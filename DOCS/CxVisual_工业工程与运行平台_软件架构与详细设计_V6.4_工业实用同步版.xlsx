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3863523f584f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总览与导航" sheetId="1" r:id="R1608a5060e404557"/>
    <x:sheet xmlns:r="http://schemas.openxmlformats.org/officeDocument/2006/relationships" name="01_图元体系" sheetId="2" r:id="R55f05d093ef040ea"/>
    <x:sheet xmlns:r="http://schemas.openxmlformats.org/officeDocument/2006/relationships" name="02_平台能力功能索引" sheetId="3" r:id="R843dfb3af80e4aa6"/>
    <x:sheet xmlns:r="http://schemas.openxmlformats.org/officeDocument/2006/relationships" name="03_架构总纲与领域边界" sheetId="4" r:id="R3b477fb077364722"/>
    <x:sheet xmlns:r="http://schemas.openxmlformats.org/officeDocument/2006/relationships" name="04_Solution与模块依赖" sheetId="5" r:id="Rfba5a776c47043f5"/>
    <x:sheet xmlns:r="http://schemas.openxmlformats.org/officeDocument/2006/relationships" name="05_平台公共接口与核心类" sheetId="6" r:id="R0a87d67df2164c43"/>
    <x:sheet xmlns:r="http://schemas.openxmlformats.org/officeDocument/2006/relationships" name="06_设计与编码规范" sheetId="7" r:id="R322d58e9f0334a18"/>
    <x:sheet xmlns:r="http://schemas.openxmlformats.org/officeDocument/2006/relationships" name="07_StudioDesigner架构" sheetId="8" r:id="Rdbfb098f5bc9426b"/>
    <x:sheet xmlns:r="http://schemas.openxmlformats.org/officeDocument/2006/relationships" name="08_Renderer与几何系统" sheetId="9" r:id="R578c45ace0954967"/>
    <x:sheet xmlns:r="http://schemas.openxmlformats.org/officeDocument/2006/relationships" name="09_CommandUndoTransaction" sheetId="10" r:id="R0ea32447c75a4668"/>
    <x:sheet xmlns:r="http://schemas.openxmlformats.org/officeDocument/2006/relationships" name="10_Property元数据Binding" sheetId="11" r:id="R22f695f56dc042a9"/>
    <x:sheet xmlns:r="http://schemas.openxmlformats.org/officeDocument/2006/relationships" name="11_Symbol体系" sheetId="12" r:id="Ref1cf32449314725"/>
    <x:sheet xmlns:r="http://schemas.openxmlformats.org/officeDocument/2006/relationships" name="12_ProjectSchemaSerialization" sheetId="13" r:id="R832d1a2f3f2545ab"/>
    <x:sheet xmlns:r="http://schemas.openxmlformats.org/officeDocument/2006/relationships" name="13_Event_Action_Animation" sheetId="14" r:id="Rfc690ea4b05d4133"/>
    <x:sheet xmlns:r="http://schemas.openxmlformats.org/officeDocument/2006/relationships" name="14_Security写入审计" sheetId="15" r:id="R2726b3db839243f7"/>
    <x:sheet xmlns:r="http://schemas.openxmlformats.org/officeDocument/2006/relationships" name="15_SVG资源样式主题" sheetId="16" r:id="Re6322ac2b1ea49f7"/>
    <x:sheet xmlns:r="http://schemas.openxmlformats.org/officeDocument/2006/relationships" name="16_Chart与数据可视化管线" sheetId="17" r:id="R75e95442756a4901"/>
    <x:sheet xmlns:r="http://schemas.openxmlformats.org/officeDocument/2006/relationships" name="17_SCADA_ICS" sheetId="18" r:id="Rf39d8810405448d4"/>
    <x:sheet xmlns:r="http://schemas.openxmlformats.org/officeDocument/2006/relationships" name="18_RuntimeHost与Domain宿主" sheetId="19" r:id="R0048707a995c4495"/>
    <x:sheet xmlns:r="http://schemas.openxmlformats.org/officeDocument/2006/relationships" name="19_Graph编排模型与执行基础" sheetId="20" r:id="R42e58c41d4ee48b5"/>
    <x:sheet xmlns:r="http://schemas.openxmlformats.org/officeDocument/2006/relationships" name="20_Graph类型系统与数据契约" sheetId="21" r:id="R35cb479918774a69"/>
    <x:sheet xmlns:r="http://schemas.openxmlformats.org/officeDocument/2006/relationships" name="21_Graph统一OnlineDebug架构" sheetId="22" r:id="Red843b81578b49e0"/>
    <x:sheet xmlns:r="http://schemas.openxmlformats.org/officeDocument/2006/relationships" name="22_Graph集成与资源管理" sheetId="23" r:id="Re4dbb0ef8ca0437d"/>
    <x:sheet xmlns:r="http://schemas.openxmlformats.org/officeDocument/2006/relationships" name="23_GraphRuntime部署可靠性Agent" sheetId="24" r:id="Re6d8daf1329045b8"/>
    <x:sheet xmlns:r="http://schemas.openxmlformats.org/officeDocument/2006/relationships" name="24_GraphSDK与Plugin扩展" sheetId="25" r:id="Rffab1d7915bf4e3a"/>
    <x:sheet xmlns:r="http://schemas.openxmlformats.org/officeDocument/2006/relationships" name="25_Graph性能诊断可观测性" sheetId="26" r:id="Re6d3aef49a0d4647"/>
    <x:sheet xmlns:r="http://schemas.openxmlformats.org/officeDocument/2006/relationships" name="26_Graph平台测试与架构门禁" sheetId="27" r:id="R176a87911ab849ff"/>
    <x:sheet xmlns:r="http://schemas.openxmlformats.org/officeDocument/2006/relationships" name="27_Motion完整开发蓝图" sheetId="28" r:id="Rf5b6ab3449074d58"/>
    <x:sheet xmlns:r="http://schemas.openxmlformats.org/officeDocument/2006/relationships" name="28_Motion在线调试" sheetId="29" r:id="R9ea724340a9a4726"/>
    <x:sheet xmlns:r="http://schemas.openxmlformats.org/officeDocument/2006/relationships" name="29_Robot完整开发蓝图" sheetId="30" r:id="R6dad40aab179493d"/>
    <x:sheet xmlns:r="http://schemas.openxmlformats.org/officeDocument/2006/relationships" name="30_Robot在线调试" sheetId="31" r:id="Reeb0aaed431c430b"/>
    <x:sheet xmlns:r="http://schemas.openxmlformats.org/officeDocument/2006/relationships" name="31_Vision完整开发蓝图" sheetId="32" r:id="R9911654e9d2546f1"/>
    <x:sheet xmlns:r="http://schemas.openxmlformats.org/officeDocument/2006/relationships" name="32_Vision在线调试" sheetId="33" r:id="Rbf2b2fe61506498e"/>
    <x:sheet xmlns:r="http://schemas.openxmlformats.org/officeDocument/2006/relationships" name="33_CT3D完整开发蓝图" sheetId="34" r:id="R03d6a9f9c1004a51"/>
    <x:sheet xmlns:r="http://schemas.openxmlformats.org/officeDocument/2006/relationships" name="34_CT3D在线调试" sheetId="35" r:id="R68753280f3334efd"/>
    <x:sheet xmlns:r="http://schemas.openxmlformats.org/officeDocument/2006/relationships" name="35_Inspection完整开发蓝图" sheetId="36" r:id="R95b7a343c24743bb"/>
    <x:sheet xmlns:r="http://schemas.openxmlformats.org/officeDocument/2006/relationships" name="36_Inspection在线调试" sheetId="37" r:id="R51d5efb2ecf54fd0"/>
    <x:sheet xmlns:r="http://schemas.openxmlformats.org/officeDocument/2006/relationships" name="37_跨域执行E2E" sheetId="38" r:id="R0f134152b486430a"/>
    <x:sheet xmlns:r="http://schemas.openxmlformats.org/officeDocument/2006/relationships" name="38_Operations完整开发蓝图" sheetId="39" r:id="Rfc2a5f5985ba4659"/>
    <x:sheet xmlns:r="http://schemas.openxmlformats.org/officeDocument/2006/relationships" name="39_RemoteEngineering" sheetId="40" r:id="R109667dfa8914d4d"/>
    <x:sheet xmlns:r="http://schemas.openxmlformats.org/officeDocument/2006/relationships" name="40_开发实施路线" sheetId="41" r:id="Raf9d61f06b5c4f12"/>
    <x:sheet xmlns:r="http://schemas.openxmlformats.org/officeDocument/2006/relationships" name="41_开发追踪矩阵" sheetId="42" r:id="R49a859d158964fa7"/>
    <x:sheet xmlns:r="http://schemas.openxmlformats.org/officeDocument/2006/relationships" name="42_开发Playbook" sheetId="43" r:id="Rf2f7929f954d4e3b"/>
    <x:sheet xmlns:r="http://schemas.openxmlformats.org/officeDocument/2006/relationships" name="43_统一术语" sheetId="44" r:id="R8cd4f1c85b5f454c"/>
    <x:sheet xmlns:r="http://schemas.openxmlformats.org/officeDocument/2006/relationships" name="44_项目实例规格与ADR治理" sheetId="45" r:id="R58a13e4361b94bf1"/>
    <x:sheet xmlns:r="http://schemas.openxmlformats.org/officeDocument/2006/relationships" name="45_StudioShell与Ribbon基线" sheetId="46" r:id="Rd65980376adf4e2d"/>
    <x:sheet xmlns:r="http://schemas.openxmlformats.org/officeDocument/2006/relationships" name="46_DeviceVariable闭环" sheetId="47" r:id="R8c307999a3d84be2"/>
    <x:sheet xmlns:r="http://schemas.openxmlformats.org/officeDocument/2006/relationships" name="47_运控硬件抽象体系" sheetId="48" r:id="R573e09488c514f82"/>
    <x:sheet xmlns:r="http://schemas.openxmlformats.org/officeDocument/2006/relationships" name="48_V3.3同步审计" sheetId="49" r:id="Ra17372cc118545db"/>
    <x:sheet xmlns:r="http://schemas.openxmlformats.org/officeDocument/2006/relationships" name="49_V6.4同步审计" sheetId="50" r:id="Rd20fb1690c9a4440"/>
    <x:sheet xmlns:r="http://schemas.openxmlformats.org/officeDocument/2006/relationships" name="50_通用变量平台蓝图" sheetId="51" r:id="Rb8e025a2e3b942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6">
    <x:font>
      <x:sz val="11"/>
      <x:name val="Carlito"/>
    </x:font>
    <x:font>
      <x:b/>
      <x:sz val="15"/>
      <x:color rgb="FFFFFFFF"/>
      <x:name val="Carlito"/>
    </x:font>
    <x:font>
      <x:i/>
      <x:sz val="10"/>
      <x:color rgb="FF4F5B66"/>
      <x:name val="Carlito"/>
    </x:font>
    <x:font>
      <x:b/>
      <x:sz val="9"/>
      <x:color rgb="FF17365D"/>
      <x:name val="Carlito"/>
    </x:font>
    <x:font>
      <x:b/>
      <x:sz val="9"/>
      <x:color rgb="FF1F1F1F"/>
      <x:name val="Carlito"/>
    </x:font>
    <x:font>
      <x:sz val="9"/>
      <x:color rgb="FF1F1F1F"/>
      <x:name val="Carlito"/>
    </x:font>
    <x:font>
      <x:b/>
      <x:sz val="11"/>
      <x:color rgb="FF17365D"/>
      <x:name val="Carlito"/>
    </x:font>
    <x:font>
      <x:b/>
      <x:sz val="9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0"/>
      <x:color rgb="FF44546A"/>
      <x:name val="Carlito"/>
    </x:font>
    <x:font>
      <x:b/>
      <x:sz val="10"/>
      <x:color rgb="FF1F1F1F"/>
      <x:name val="Carlito"/>
    </x:font>
    <x:font>
      <x:sz val="10"/>
      <x:color rgb="FF1F1F1F"/>
      <x:name val="Carlito"/>
    </x:font>
    <x:font>
      <x:b/>
      <x:sz val="10"/>
      <x:color rgb="FFFFFFFF"/>
      <x:name val="Carlito"/>
    </x:font>
    <x:font>
      <x:b/>
      <x:sz val="14"/>
      <x:color rgb="FFFFFFFF"/>
      <x:name val="Carlito"/>
    </x:font>
    <x:font>
      <x:b/>
      <x:sz val="11"/>
      <x:color rgb="FF1F1F1F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EF3F8"/>
      </x:patternFill>
    </x:fill>
    <x:fill>
      <x:patternFill patternType="solid">
        <x:fgColor rgb="FFB4C6E7"/>
      </x:patternFill>
    </x:fill>
    <x:fill>
      <x:patternFill patternType="solid">
        <x:fgColor rgb="FF4472C4"/>
      </x:patternFill>
    </x:fill>
    <x:fill>
      <x:patternFill patternType="solid">
        <x:fgColor rgb="FFFFFFFF"/>
      </x:patternFill>
    </x:fill>
    <x:fill>
      <x:patternFill patternType="solid">
        <x:fgColor rgb="FFF7FAF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1F8"/>
      </x:patternFill>
    </x:fill>
    <x:fill>
      <x:patternFill patternType="solid">
        <x:fgColor rgb="FFA9C4E7"/>
      </x:patternFill>
    </x:fill>
    <x:fill>
      <x:patternFill patternType="solid">
        <x:fgColor rgb="FF4472C4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1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4" fillId="4" borderId="0" xfId="0" applyNumberFormat="1" applyFont="1" applyFill="1" applyBorder="1"/>
    <x:xf numFmtId="0" fontId="5" fillId="4" borderId="0" xfId="0" applyNumberFormat="1" applyFont="1" applyFill="1" applyBorder="1"/>
    <x:xf numFmtId="0" fontId="4" fillId="4" borderId="1" xfId="0" applyNumberFormat="1" applyFont="1" applyFill="1" applyBorder="1"/>
    <x:xf numFmtId="0" fontId="5" fillId="4" borderId="1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7" fillId="6" borderId="0" xfId="0" applyNumberFormat="1" applyFont="1" applyFill="1" applyBorder="1"/>
    <x:xf numFmtId="0" fontId="7" fillId="6" borderId="1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 applyAlignment="1">
      <x:alignment horizontal="center"/>
    </x:xf>
    <x:xf numFmtId="0" fontId="7" fillId="6" borderId="0" xfId="0" applyNumberFormat="1" applyFont="1" applyFill="1" applyBorder="1" applyAlignment="1">
      <x:alignment horizontal="center" vertical="center"/>
    </x:xf>
    <x:xf numFmtId="0" fontId="7" fillId="6" borderId="1" xfId="0" applyNumberFormat="1" applyFont="1" applyFill="1" applyBorder="1" applyAlignment="1">
      <x:alignment horizontal="center" vertical="center"/>
    </x:xf>
    <x:xf numFmtId="0" fontId="7" fillId="6" borderId="0" xfId="0" applyNumberFormat="1" applyFont="1" applyFill="1" applyBorder="1" applyAlignment="1">
      <x:alignment horizontal="center" vertical="center" wrapText="1"/>
    </x:xf>
    <x:xf numFmtId="0" fontId="7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5" fillId="7" borderId="0" xfId="0" applyNumberFormat="1" applyFont="1" applyFill="1" applyBorder="1"/>
    <x:xf numFmtId="0" fontId="5" fillId="7" borderId="1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5" fillId="8" borderId="0" xfId="0" applyNumberFormat="1" applyFont="1" applyFill="1" applyBorder="1"/>
    <x:xf numFmtId="0" fontId="5" fillId="8" borderId="1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vertical="top" wrapText="1"/>
    </x:xf>
    <x:xf numFmtId="0" fontId="5" fillId="8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/>
    <x:xf numFmtId="0" fontId="8" fillId="2" borderId="1" xfId="0" applyNumberFormat="1" applyFont="1" applyFill="1" applyBorder="1"/>
    <x:xf numFmtId="0" fontId="8" fillId="6" borderId="0" xfId="0" applyNumberFormat="1" applyFont="1" applyFill="1" applyBorder="1"/>
    <x:xf numFmtId="0" fontId="8" fillId="6" borderId="1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9" borderId="0" xfId="0" applyNumberFormat="1" applyFont="1" applyFill="1" applyBorder="1" applyAlignment="1">
      <x:alignment vertical="top" wrapText="1"/>
    </x:xf>
    <x:xf numFmtId="0" fontId="9" fillId="9" borderId="0" xfId="0" applyNumberFormat="1" applyFont="1" applyFill="1" applyBorder="1" applyAlignment="1">
      <x:alignment vertical="top" wrapText="1"/>
    </x:xf>
    <x:xf numFmtId="0" fontId="9" fillId="9" borderId="0" xfId="0" applyNumberFormat="1" applyFont="1" applyFill="1" applyBorder="1" applyAlignment="1">
      <x:alignment vertical="center" wrapText="1"/>
    </x:xf>
    <x:xf numFmtId="0" fontId="5" fillId="10" borderId="0" xfId="0" applyNumberFormat="1" applyFont="1" applyFill="1" applyBorder="1" applyAlignment="1">
      <x:alignment vertical="top" wrapText="1"/>
    </x:xf>
    <x:xf numFmtId="0" fontId="10" fillId="10" borderId="0" xfId="0" applyNumberFormat="1" applyFont="1" applyFill="1" applyBorder="1" applyAlignment="1">
      <x:alignment vertical="top" wrapText="1"/>
    </x:xf>
    <x:xf numFmtId="0" fontId="10" fillId="10" borderId="0" xfId="0" applyNumberFormat="1" applyFont="1" applyFill="1" applyBorder="1" applyAlignment="1">
      <x:alignment vertical="center" wrapText="1"/>
    </x:xf>
    <x:xf numFmtId="0" fontId="5" fillId="11" borderId="0" xfId="0" applyNumberFormat="1" applyFont="1" applyFill="1" applyBorder="1" applyAlignment="1">
      <x:alignment vertical="top" wrapText="1"/>
    </x:xf>
    <x:xf numFmtId="0" fontId="11" fillId="11" borderId="0" xfId="0" applyNumberFormat="1" applyFont="1" applyFill="1" applyBorder="1" applyAlignment="1">
      <x:alignment vertical="top" wrapText="1"/>
    </x:xf>
    <x:xf numFmtId="0" fontId="12" fillId="11" borderId="0" xfId="0" applyNumberFormat="1" applyFont="1" applyFill="1" applyBorder="1" applyAlignment="1">
      <x:alignment vertical="top" wrapText="1"/>
    </x:xf>
    <x:xf numFmtId="0" fontId="5" fillId="12" borderId="0" xfId="0" applyNumberFormat="1" applyFont="1" applyFill="1" applyBorder="1" applyAlignment="1">
      <x:alignment vertical="top" wrapText="1"/>
    </x:xf>
    <x:xf numFmtId="0" fontId="6" fillId="12" borderId="0" xfId="0" applyNumberFormat="1" applyFont="1" applyFill="1" applyBorder="1" applyAlignment="1">
      <x:alignment vertical="top" wrapText="1"/>
    </x:xf>
    <x:xf numFmtId="0" fontId="6" fillId="12" borderId="0" xfId="0" applyNumberFormat="1" applyFont="1" applyFill="1" applyBorder="1" applyAlignment="1">
      <x:alignment vertical="center" wrapText="1"/>
    </x:xf>
    <x:xf numFmtId="0" fontId="5" fillId="13" borderId="0" xfId="0" applyNumberFormat="1" applyFont="1" applyFill="1" applyBorder="1" applyAlignment="1">
      <x:alignment vertical="top" wrapText="1"/>
    </x:xf>
    <x:xf numFmtId="0" fontId="13" fillId="13" borderId="0" xfId="0" applyNumberFormat="1" applyFont="1" applyFill="1" applyBorder="1" applyAlignment="1">
      <x:alignment vertical="top" wrapText="1"/>
    </x:xf>
    <x:xf numFmtId="0" fontId="13" fillId="13" borderId="0" xfId="0" applyNumberFormat="1" applyFont="1" applyFill="1" applyBorder="1" applyAlignment="1">
      <x:alignment horizontal="center" vertical="top" wrapText="1"/>
    </x:xf>
    <x:xf numFmtId="0" fontId="13" fillId="13" borderId="0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top" wrapText="1"/>
    </x:xf>
    <x:xf numFmtId="0" fontId="10" fillId="3" borderId="0" xfId="0" applyNumberFormat="1" applyFont="1" applyFill="1" applyBorder="1" applyAlignment="1">
      <x:alignment vertical="top" wrapText="1"/>
    </x:xf>
    <x:xf numFmtId="0" fontId="10" fillId="3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top" wrapText="1"/>
    </x:xf>
    <x:xf numFmtId="0" fontId="13" fillId="6" borderId="0" xfId="0" applyNumberFormat="1" applyFont="1" applyFill="1" applyBorder="1" applyAlignment="1">
      <x:alignment vertical="top" wrapText="1"/>
    </x:xf>
    <x:xf numFmtId="0" fontId="13" fillId="6" borderId="0" xfId="0" applyNumberFormat="1" applyFont="1" applyFill="1" applyBorder="1" applyAlignment="1">
      <x:alignment horizontal="center" vertical="top" wrapText="1"/>
    </x:xf>
    <x:xf numFmtId="0" fontId="13" fillId="6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 applyAlignment="1">
      <x:alignment wrapText="1"/>
    </x:xf>
    <x:xf numFmtId="0" fontId="14" fillId="14" borderId="0" xfId="0" applyNumberFormat="1" applyFont="1" applyFill="1" applyBorder="1" applyAlignment="1">
      <x:alignment wrapText="1"/>
    </x:xf>
    <x:xf numFmtId="0" fontId="14" fillId="14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 applyAlignment="1">
      <x:alignment wrapText="1"/>
    </x:xf>
    <x:xf numFmtId="0" fontId="15" fillId="15" borderId="0" xfId="0" applyNumberFormat="1" applyFont="1" applyFill="1" applyBorder="1" applyAlignment="1">
      <x:alignment wrapText="1"/>
    </x:xf>
    <x:xf numFmtId="0" fontId="15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 applyAlignment="1">
      <x:alignment wrapText="1"/>
    </x:xf>
    <x:xf numFmtId="0" fontId="8" fillId="16" borderId="0" xfId="0" applyNumberFormat="1" applyFont="1" applyFill="1" applyBorder="1" applyAlignment="1">
      <x:alignment wrapText="1"/>
    </x:xf>
    <x:xf numFmtId="0" fontId="8" fillId="16" borderId="0" xfId="0" applyNumberFormat="1" applyFont="1" applyFill="1" applyBorder="1" applyAlignment="1">
      <x:alignment horizontal="center" wrapText="1"/>
    </x:xf>
    <x:xf numFmtId="0" fontId="8" fillId="16" borderId="0" xfId="0" applyNumberFormat="1" applyFont="1" applyFill="1" applyBorder="1" applyAlignment="1">
      <x:alignment horizontal="center" vertical="center" wrapText="1"/>
    </x:xf>
    <x:xf numFmtId="0" fontId="14" fillId="1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5" fillId="15" borderId="0" xfId="0" applyNumberFormat="1" applyFont="1" applyFill="1" applyBorder="1" applyAlignment="1">
      <x:alignment vertical="top" wrapText="1"/>
    </x:xf>
    <x:xf numFmtId="0" fontId="8" fillId="16" borderId="0" xfId="0" applyNumberFormat="1" applyFont="1" applyFill="1" applyBorder="1" applyAlignment="1">
      <x:alignment horizontal="center" vertical="top" wrapText="1"/>
    </x:xf>
    <x:xf numFmtId="0" fontId="0" fillId="15" borderId="0" xfId="0" applyNumberFormat="1" applyFont="1" applyFill="1" applyBorder="1"/>
    <x:xf numFmtId="0" fontId="15" fillId="15" borderId="0" xfId="0" applyNumberFormat="1" applyFont="1" applyFill="1" applyBorder="1"/>
    <x:xf numFmtId="0" fontId="15" fillId="15" borderId="0" xfId="0" applyNumberFormat="1" applyFont="1" applyFill="1" applyBorder="1" applyAlignment="1">
      <x:alignment vertical="center"/>
    </x:xf>
    <x:xf numFmtId="0" fontId="0" fillId="16" borderId="0" xfId="0" applyNumberFormat="1" applyFont="1" applyFill="1" applyBorder="1"/>
    <x:xf numFmtId="0" fontId="8" fillId="16" borderId="0" xfId="0" applyNumberFormat="1" applyFont="1" applyFill="1" applyBorder="1"/>
    <x:xf numFmtId="0" fontId="6" fillId="15" borderId="0" xfId="0" applyNumberFormat="1" applyFont="1" applyFill="1" applyBorder="1" applyAlignment="1">
      <x:alignment vertical="center" wrapText="1"/>
    </x:xf>
    <x:xf numFmtId="0" fontId="7" fillId="16" borderId="0" xfId="0" applyNumberFormat="1" applyFont="1" applyFill="1" applyBorder="1" applyAlignment="1">
      <x:alignment horizontal="center" vertical="center" wrapText="1"/>
    </x:xf>
    <x:xf numFmtId="0" fontId="6" fillId="16" borderId="0" xfId="0" applyNumberFormat="1" applyFont="1" applyFill="1" applyBorder="1" applyAlignment="1">
      <x:alignment vertical="center" wrapText="1"/>
    </x:xf>
    <x:xf numFmtId="0" fontId="8" fillId="16" borderId="0" xfId="0" applyNumberFormat="1" applyFont="1" applyFill="1" applyBorder="1" applyAlignment="1">
      <x:alignment vertical="center" wrapText="1"/>
    </x:xf>
    <x:xf numFmtId="0" fontId="13" fillId="16" borderId="0" xfId="0" applyNumberFormat="1" applyFont="1" applyFill="1" applyBorder="1" applyAlignment="1">
      <x:alignment horizontal="center" vertical="center" wrapText="1"/>
    </x:xf>
    <x:xf numFmtId="0" fontId="5" fillId="15" borderId="0" xfId="0" applyNumberFormat="1" applyFont="1" applyFill="1" applyBorder="1" applyAlignment="1">
      <x:alignment vertical="top" wrapText="1"/>
    </x:xf>
    <x:xf numFmtId="0" fontId="4" fillId="15" borderId="0" xfId="0" applyNumberFormat="1" applyFont="1" applyFill="1" applyBorder="1" applyAlignment="1">
      <x:alignment vertical="top" wrapText="1"/>
    </x:xf>
    <x:xf numFmtId="0" fontId="4" fillId="15" borderId="0" xfId="0" applyNumberFormat="1" applyFont="1" applyFill="1" applyBorder="1" applyAlignment="1">
      <x:alignment vertical="center" wrapText="1"/>
    </x:xf>
    <x:xf numFmtId="0" fontId="5" fillId="16" borderId="0" xfId="0" applyNumberFormat="1" applyFont="1" applyFill="1" applyBorder="1" applyAlignment="1">
      <x:alignment vertical="top" wrapText="1"/>
    </x:xf>
    <x:xf numFmtId="0" fontId="7" fillId="16" borderId="0" xfId="0" applyNumberFormat="1" applyFont="1" applyFill="1" applyBorder="1" applyAlignment="1">
      <x:alignment vertical="top" wrapText="1"/>
    </x:xf>
    <x:xf numFmtId="0" fontId="7" fillId="16" borderId="0" xfId="0" applyNumberFormat="1" applyFont="1" applyFill="1" applyBorder="1" applyAlignment="1">
      <x:alignment horizontal="center" vertical="top" wrapText="1"/>
    </x:xf>
    <x:xf numFmtId="0" fontId="1" fillId="14" borderId="0" xfId="0" applyNumberFormat="1" applyFont="1" applyFill="1" applyBorder="1" applyAlignment="1">
      <x:alignment horizontal="left" vertical="center"/>
    </x:xf>
    <x:xf numFmtId="0" fontId="14" fillId="14" borderId="0" xfId="0" applyNumberFormat="1" applyFont="1" applyFill="1" applyBorder="1" applyAlignment="1">
      <x:alignment horizontal="left" vertical="center"/>
    </x:xf>
    <x:xf numFmtId="0" fontId="0" fillId="14" borderId="0" xfId="0" applyNumberFormat="1" applyFont="1" applyFill="1" applyBorder="1"/>
    <x:xf numFmtId="0" fontId="14" fillId="14" borderId="0" xfId="0" applyNumberFormat="1" applyFont="1" applyFill="1" applyBorder="1"/>
    <x:xf numFmtId="0" fontId="14" fillId="14" borderId="0" xfId="0" applyNumberFormat="1" applyFont="1" applyFill="1" applyBorder="1" applyAlignment="1">
      <x:alignment vertical="center"/>
    </x:xf>
    <x:xf numFmtId="0" fontId="9" fillId="14" borderId="0" xfId="0" applyNumberFormat="1" applyFont="1" applyFill="1" applyBorder="1" applyAlignment="1">
      <x:alignment vertical="center" wrapText="1"/>
    </x:xf>
    <x:xf numFmtId="0" fontId="14" fillId="14" borderId="0" xfId="0" applyNumberFormat="1" applyFont="1" applyFill="1" applyBorder="1" applyAlignment="1">
      <x:alignment horizontal="left" vertical="center" wrapText="1"/>
    </x:xf>
    <x:xf numFmtId="0" fontId="14" fillId="14" borderId="0" xfId="0" applyNumberFormat="1" applyFont="1" applyFill="1" applyBorder="1" applyAlignment="1">
      <x:alignment horizontal="left"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 applyAlignment="1">
      <x:alignment horizontal="center" vertical="top" wrapText="1"/>
    </x:xf>
    <x:xf numFmtId="0" fontId="13" fillId="16" borderId="0" xfId="0" applyNumberFormat="1" applyFont="1" applyFill="1" applyBorder="1" applyAlignment="1">
      <x:alignment horizontal="center" vertical="top" wrapText="1"/>
    </x:xf>
    <x:xf numFmtId="0" fontId="0" fillId="17" borderId="0" xfId="0" applyNumberFormat="1" applyFont="1" applyFill="1" applyBorder="1" applyAlignment="1">
      <x:alignment vertical="top" wrapText="1"/>
    </x:xf>
    <x:xf numFmtId="0" fontId="12" fillId="17" borderId="0" xfId="0" applyNumberFormat="1" applyFont="1" applyFill="1" applyBorder="1" applyAlignment="1">
      <x:alignment vertical="top" wrapText="1"/>
    </x:xf>
    <x:xf numFmtId="0" fontId="12" fillId="17" borderId="0" xfId="0" applyNumberFormat="1" applyFont="1" applyFill="1" applyBorder="1" applyAlignment="1">
      <x:alignment vertical="center" wrapText="1"/>
    </x:xf>
    <x:xf numFmtId="0" fontId="7" fillId="14" borderId="0" xfId="0" applyNumberFormat="1" applyFont="1" applyFill="1" applyBorder="1" applyAlignment="1">
      <x:alignment horizontal="left" vertical="center"/>
    </x:xf>
    <x:xf numFmtId="0" fontId="7" fillId="14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5"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d3707f07e34e7c" /><Relationship Type="http://schemas.openxmlformats.org/officeDocument/2006/relationships/theme" Target="/xl/theme/theme1.xml" Id="Rfb13af61d2954685" /><Relationship Type="http://schemas.openxmlformats.org/officeDocument/2006/relationships/sharedStrings" Target="/xl/sharedStrings.xml" Id="R4375a994fec743ad" /><Relationship Type="http://schemas.openxmlformats.org/officeDocument/2006/relationships/worksheet" Target="/xl/worksheets/sheet1.xml" Id="R1608a5060e404557" /><Relationship Type="http://schemas.openxmlformats.org/officeDocument/2006/relationships/worksheet" Target="/xl/worksheets/sheet2.xml" Id="R55f05d093ef040ea" /><Relationship Type="http://schemas.openxmlformats.org/officeDocument/2006/relationships/worksheet" Target="/xl/worksheets/sheet3.xml" Id="R843dfb3af80e4aa6" /><Relationship Type="http://schemas.openxmlformats.org/officeDocument/2006/relationships/worksheet" Target="/xl/worksheets/sheet4.xml" Id="R3b477fb077364722" /><Relationship Type="http://schemas.openxmlformats.org/officeDocument/2006/relationships/worksheet" Target="/xl/worksheets/sheet5.xml" Id="Rfba5a776c47043f5" /><Relationship Type="http://schemas.openxmlformats.org/officeDocument/2006/relationships/worksheet" Target="/xl/worksheets/sheet6.xml" Id="R0a87d67df2164c43" /><Relationship Type="http://schemas.openxmlformats.org/officeDocument/2006/relationships/worksheet" Target="/xl/worksheets/sheet7.xml" Id="R322d58e9f0334a18" /><Relationship Type="http://schemas.openxmlformats.org/officeDocument/2006/relationships/worksheet" Target="/xl/worksheets/sheet8.xml" Id="Rdbfb098f5bc9426b" /><Relationship Type="http://schemas.openxmlformats.org/officeDocument/2006/relationships/worksheet" Target="/xl/worksheets/sheet9.xml" Id="R578c45ace0954967" /><Relationship Type="http://schemas.openxmlformats.org/officeDocument/2006/relationships/worksheet" Target="/xl/worksheets/sheet10.xml" Id="R0ea32447c75a4668" /><Relationship Type="http://schemas.openxmlformats.org/officeDocument/2006/relationships/worksheet" Target="/xl/worksheets/sheet11.xml" Id="R22f695f56dc042a9" /><Relationship Type="http://schemas.openxmlformats.org/officeDocument/2006/relationships/worksheet" Target="/xl/worksheets/sheet12.xml" Id="Ref1cf32449314725" /><Relationship Type="http://schemas.openxmlformats.org/officeDocument/2006/relationships/worksheet" Target="/xl/worksheets/sheet13.xml" Id="R832d1a2f3f2545ab" /><Relationship Type="http://schemas.openxmlformats.org/officeDocument/2006/relationships/worksheet" Target="/xl/worksheets/sheet14.xml" Id="Rfc690ea4b05d4133" /><Relationship Type="http://schemas.openxmlformats.org/officeDocument/2006/relationships/worksheet" Target="/xl/worksheets/sheet15.xml" Id="R2726b3db839243f7" /><Relationship Type="http://schemas.openxmlformats.org/officeDocument/2006/relationships/worksheet" Target="/xl/worksheets/sheet16.xml" Id="Re6322ac2b1ea49f7" /><Relationship Type="http://schemas.openxmlformats.org/officeDocument/2006/relationships/worksheet" Target="/xl/worksheets/sheet17.xml" Id="R75e95442756a4901" /><Relationship Type="http://schemas.openxmlformats.org/officeDocument/2006/relationships/worksheet" Target="/xl/worksheets/sheet18.xml" Id="Rf39d8810405448d4" /><Relationship Type="http://schemas.openxmlformats.org/officeDocument/2006/relationships/worksheet" Target="/xl/worksheets/sheet19.xml" Id="R0048707a995c4495" /><Relationship Type="http://schemas.openxmlformats.org/officeDocument/2006/relationships/worksheet" Target="/xl/worksheets/sheet20.xml" Id="R42e58c41d4ee48b5" /><Relationship Type="http://schemas.openxmlformats.org/officeDocument/2006/relationships/worksheet" Target="/xl/worksheets/sheet21.xml" Id="R35cb479918774a69" /><Relationship Type="http://schemas.openxmlformats.org/officeDocument/2006/relationships/worksheet" Target="/xl/worksheets/sheet22.xml" Id="Red843b81578b49e0" /><Relationship Type="http://schemas.openxmlformats.org/officeDocument/2006/relationships/worksheet" Target="/xl/worksheets/sheet23.xml" Id="Re4dbb0ef8ca0437d" /><Relationship Type="http://schemas.openxmlformats.org/officeDocument/2006/relationships/worksheet" Target="/xl/worksheets/sheet24.xml" Id="Re6d8daf1329045b8" /><Relationship Type="http://schemas.openxmlformats.org/officeDocument/2006/relationships/worksheet" Target="/xl/worksheets/sheet25.xml" Id="Rffab1d7915bf4e3a" /><Relationship Type="http://schemas.openxmlformats.org/officeDocument/2006/relationships/worksheet" Target="/xl/worksheets/sheet26.xml" Id="Re6d3aef49a0d4647" /><Relationship Type="http://schemas.openxmlformats.org/officeDocument/2006/relationships/worksheet" Target="/xl/worksheets/sheet27.xml" Id="R176a87911ab849ff" /><Relationship Type="http://schemas.openxmlformats.org/officeDocument/2006/relationships/worksheet" Target="/xl/worksheets/sheet28.xml" Id="Rf5b6ab3449074d58" /><Relationship Type="http://schemas.openxmlformats.org/officeDocument/2006/relationships/worksheet" Target="/xl/worksheets/sheet29.xml" Id="R9ea724340a9a4726" /><Relationship Type="http://schemas.openxmlformats.org/officeDocument/2006/relationships/worksheet" Target="/xl/worksheets/sheet30.xml" Id="R6dad40aab179493d" /><Relationship Type="http://schemas.openxmlformats.org/officeDocument/2006/relationships/worksheet" Target="/xl/worksheets/sheet31.xml" Id="Reeb0aaed431c430b" /><Relationship Type="http://schemas.openxmlformats.org/officeDocument/2006/relationships/worksheet" Target="/xl/worksheets/sheet32.xml" Id="R9911654e9d2546f1" /><Relationship Type="http://schemas.openxmlformats.org/officeDocument/2006/relationships/worksheet" Target="/xl/worksheets/sheet33.xml" Id="Rbf2b2fe61506498e" /><Relationship Type="http://schemas.openxmlformats.org/officeDocument/2006/relationships/worksheet" Target="/xl/worksheets/sheet34.xml" Id="R03d6a9f9c1004a51" /><Relationship Type="http://schemas.openxmlformats.org/officeDocument/2006/relationships/worksheet" Target="/xl/worksheets/sheet35.xml" Id="R68753280f3334efd" /><Relationship Type="http://schemas.openxmlformats.org/officeDocument/2006/relationships/worksheet" Target="/xl/worksheets/sheet36.xml" Id="R95b7a343c24743bb" /><Relationship Type="http://schemas.openxmlformats.org/officeDocument/2006/relationships/worksheet" Target="/xl/worksheets/sheet37.xml" Id="R51d5efb2ecf54fd0" /><Relationship Type="http://schemas.openxmlformats.org/officeDocument/2006/relationships/worksheet" Target="/xl/worksheets/sheet38.xml" Id="R0f134152b486430a" /><Relationship Type="http://schemas.openxmlformats.org/officeDocument/2006/relationships/worksheet" Target="/xl/worksheets/sheet39.xml" Id="Rfc2a5f5985ba4659" /><Relationship Type="http://schemas.openxmlformats.org/officeDocument/2006/relationships/worksheet" Target="/xl/worksheets/sheet40.xml" Id="R109667dfa8914d4d" /><Relationship Type="http://schemas.openxmlformats.org/officeDocument/2006/relationships/worksheet" Target="/xl/worksheets/sheet41.xml" Id="Raf9d61f06b5c4f12" /><Relationship Type="http://schemas.openxmlformats.org/officeDocument/2006/relationships/worksheet" Target="/xl/worksheets/sheet42.xml" Id="R49a859d158964fa7" /><Relationship Type="http://schemas.openxmlformats.org/officeDocument/2006/relationships/worksheet" Target="/xl/worksheets/sheet43.xml" Id="Rf2f7929f954d4e3b" /><Relationship Type="http://schemas.openxmlformats.org/officeDocument/2006/relationships/worksheet" Target="/xl/worksheets/sheet44.xml" Id="R8cd4f1c85b5f454c" /><Relationship Type="http://schemas.openxmlformats.org/officeDocument/2006/relationships/worksheet" Target="/xl/worksheets/sheet45.xml" Id="R58a13e4361b94bf1" /><Relationship Type="http://schemas.openxmlformats.org/officeDocument/2006/relationships/worksheet" Target="/xl/worksheets/sheet46.xml" Id="Rd65980376adf4e2d" /><Relationship Type="http://schemas.openxmlformats.org/officeDocument/2006/relationships/worksheet" Target="/xl/worksheets/sheet47.xml" Id="R8c307999a3d84be2" /><Relationship Type="http://schemas.openxmlformats.org/officeDocument/2006/relationships/worksheet" Target="/xl/worksheets/sheet48.xml" Id="R573e09488c514f82" /><Relationship Type="http://schemas.openxmlformats.org/officeDocument/2006/relationships/worksheet" Target="/xl/worksheets/sheet49.xml" Id="Ra17372cc118545db" /><Relationship Type="http://schemas.openxmlformats.org/officeDocument/2006/relationships/worksheet" Target="/xl/worksheets/sheet50.xml" Id="Rd20fb1690c9a4440" /><Relationship Type="http://schemas.openxmlformats.org/officeDocument/2006/relationships/worksheet" Target="/xl/worksheets/sheet51.xml" Id="Rb8e025a2e3b942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2" hidden="0" customWidth="1"/>
    <x:col min="4" max="4" width="28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</x:cols>
  <x:sheetData>
    <x:row r="1" ht="30" customHeight="1">
      <x:c r="A1" s="137" t="str">
        <x:v>CxVisual 工业工程与运行平台 — V6.4 总览与导航</x:v>
      </x:c>
      <x:c r="B1" s="137"/>
      <x:c r="C1" s="137"/>
      <x:c r="D1" s="137"/>
      <x:c r="E1" s="151" t="str">
        <x:v>Doc V6.4 / 2026-09-19</x:v>
      </x:c>
      <x:c r="F1" s="8"/>
      <x:c r="G1" s="8"/>
      <x:c r="H1" s="8"/>
    </x:row>
    <x:row r="2" ht="38" customHeight="1">
      <x:c r="A2" s="16" t="str">
        <x:v>最终架构：1 Platform + 6 Workbenches；当前工业实用基线：ICS / SCADA / Motion V6.4；开发方式进入 Case-Driven。</x:v>
      </x:c>
      <x:c r="B2" s="16"/>
      <x:c r="C2" s="16"/>
      <x:c r="D2" s="16"/>
      <x:c r="E2" s="16"/>
      <x:c r="F2" s="16"/>
      <x:c r="G2" s="16"/>
      <x:c r="H2" s="16"/>
    </x:row>
    <x:row r="3">
      <x:c r="A3" s="30" t="str">
        <x:v>本页唯一权威</x:v>
      </x:c>
      <x:c r="B3" s="31" t="str">
        <x:v>平台当前版本定位、权威来源、阅读路线、V6.x工业化路线与同步重点</x:v>
      </x:c>
      <x:c r="C3" s="31"/>
      <x:c r="D3" s="31"/>
      <x:c r="E3" s="31"/>
      <x:c r="F3" s="31"/>
      <x:c r="G3" s="31"/>
      <x:c r="H3" s="31"/>
    </x:row>
    <x:row r="4">
      <x:c r="A4" s="30" t="str">
        <x:v>不在本页维护</x:v>
      </x:c>
      <x:c r="B4" s="31" t="str">
        <x:v>专业细节见对应Domain页；真实任务状态只在41维护；代码证据见49同步审计</x:v>
      </x:c>
      <x:c r="C4" s="31"/>
      <x:c r="D4" s="31"/>
      <x:c r="E4" s="31"/>
      <x:c r="F4" s="31"/>
      <x:c r="G4" s="31"/>
      <x:c r="H4" s="31"/>
    </x:row>
    <x:row r="5">
      <x:c r="A5" s="30" t="str">
        <x:v>关联分页</x:v>
      </x:c>
      <x:c r="B5" s="31" t="str">
        <x:v>03~06 架构；17~18 ICS/Runtime；19~26 Graph；27~39 Workbench；40~44治理；45~50 V6.4专项</x:v>
      </x:c>
      <x:c r="C5" s="31"/>
      <x:c r="D5" s="31"/>
      <x:c r="E5" s="31"/>
      <x:c r="F5" s="31"/>
      <x:c r="G5" s="31"/>
      <x:c r="H5" s="31"/>
    </x:row>
    <x:row r="6">
      <x:c r="A6"/>
      <x:c r="B6"/>
      <x:c r="C6"/>
      <x:c r="D6"/>
      <x:c r="E6"/>
      <x:c r="F6"/>
      <x:c r="G6"/>
      <x:c r="H6"/>
    </x:row>
    <x:row r="7" ht="24" customHeight="1">
      <x:c r="A7" s="40" t="str">
        <x:v>A. CxVisual — 最终产品定位</x:v>
      </x:c>
      <x:c r="B7" s="40"/>
      <x:c r="C7" s="40"/>
      <x:c r="D7" s="40"/>
      <x:c r="E7" s="40"/>
      <x:c r="F7" s="40"/>
      <x:c r="G7" s="40"/>
      <x:c r="H7" s="40"/>
    </x:row>
    <x:row r="8" ht="28" customHeight="1">
      <x:c r="A8" s="50" t="str">
        <x:v>主题</x:v>
      </x:c>
      <x:c r="B8" s="50" t="str">
        <x:v>V6.4正式定义</x:v>
      </x:c>
      <x:c r="C8" s="50" t="str">
        <x:v>说明</x:v>
      </x:c>
      <x:c r="D8" s="50"/>
      <x:c r="E8" s="50"/>
      <x:c r="F8" s="50"/>
      <x:c r="G8" s="50"/>
      <x:c r="H8" s="50"/>
    </x:row>
    <x:row r="9">
      <x:c r="A9" s="58" t="str">
        <x:v>一句话定位</x:v>
      </x:c>
      <x:c r="B9" s="58" t="str">
        <x:v>CxVisual = Versioned Resource Graph + Capability + 6 Workbenches + 专业Runtime + Simulation/Diagnostics/Case Regression</x:v>
      </x:c>
      <x:c r="C9" s="58" t="str">
        <x:v>不是“很多工业软件拼在一个壳里”，也不是万能Graph Runtime</x:v>
      </x:c>
      <x:c r="D9" s="58"/>
      <x:c r="E9" s="58"/>
      <x:c r="F9" s="58"/>
      <x:c r="G9" s="58"/>
      <x:c r="H9" s="58"/>
    </x:row>
    <x:row r="10">
      <x:c r="A10" s="66" t="str">
        <x:v>一级结构</x:v>
      </x:c>
      <x:c r="B10" s="66" t="str">
        <x:v>1 Platform + Automation / Simulation / HMI / Vision / CT3D / Inspection</x:v>
      </x:c>
      <x:c r="C10" s="66" t="str">
        <x:v>SCADA、Motion、Robot、PLC、IoT均不因重要而升级为一级Workbench</x:v>
      </x:c>
      <x:c r="D10" s="66"/>
      <x:c r="E10" s="66"/>
      <x:c r="F10" s="66"/>
      <x:c r="G10" s="66"/>
      <x:c r="H10" s="66"/>
    </x:row>
    <x:row r="11">
      <x:c r="A11" s="58" t="str">
        <x:v>三平面</x:v>
      </x:c>
      <x:c r="B11" s="58" t="str">
        <x:v>Engineering Plane / Runtime Plane / Management Plane</x:v>
      </x:c>
      <x:c r="C11" s="58" t="str">
        <x:v>Studio负责工程定义；Runtime执行已发布定义；Operations不成为生产单点</x:v>
      </x:c>
      <x:c r="D11" s="58"/>
      <x:c r="E11" s="58"/>
      <x:c r="F11" s="58"/>
      <x:c r="G11" s="58"/>
      <x:c r="H11" s="58"/>
    </x:row>
    <x:row r="12">
      <x:c r="A12" t="str">
        <x:v>V6.4重点</x:v>
      </x:c>
      <x:c r="B12" t="str">
        <x:v>Automation内ICS/SCADA/Motion做实：真实Modbus TCP、受控写回、故障恢复、Motion Compile/Runtime</x:v>
      </x:c>
      <x:c r="C12" t="str">
        <x:v>继续保持Platform边界，不把协议/Vendor细节上提</x:v>
      </x:c>
      <x:c r="D12"/>
      <x:c r="E12"/>
      <x:c r="F12"/>
      <x:c r="G12"/>
      <x:c r="H12"/>
    </x:row>
    <x:row r="13" ht="24" customHeight="1">
      <x:c r="A13" s="40"/>
      <x:c r="B13" s="40"/>
      <x:c r="C13" s="40"/>
      <x:c r="D13" s="40"/>
      <x:c r="E13" s="40"/>
      <x:c r="F13" s="40"/>
      <x:c r="G13" s="40"/>
      <x:c r="H13" s="40"/>
    </x:row>
    <x:row r="14" ht="28" customHeight="1">
      <x:c r="A14" s="50" t="str">
        <x:v>B. 文档章节</x:v>
      </x:c>
      <x:c r="B14" s="50"/>
      <x:c r="C14" s="50"/>
      <x:c r="D14" s="50"/>
      <x:c r="E14" s="50"/>
      <x:c r="F14" s="50"/>
      <x:c r="G14" s="50"/>
      <x:c r="H14" s="50"/>
    </x:row>
    <x:row r="15">
      <x:c r="A15" s="66" t="str">
        <x:v>章节</x:v>
      </x:c>
      <x:c r="B15" s="66" t="str">
        <x:v>分页</x:v>
      </x:c>
      <x:c r="C15" s="66" t="str">
        <x:v>回答的问题</x:v>
      </x:c>
      <x:c r="D15" s="66" t="str">
        <x:v>主要读者</x:v>
      </x:c>
      <x:c r="E15" s="66"/>
      <x:c r="F15" s="66"/>
      <x:c r="G15" s="66"/>
      <x:c r="H15" s="66"/>
    </x:row>
    <x:row r="16">
      <x:c r="A16" s="58" t="str">
        <x:v>Overview / Capability</x:v>
      </x:c>
      <x:c r="B16" s="58" t="str">
        <x:v>00~02</x:v>
      </x:c>
      <x:c r="C16" s="58" t="str">
        <x:v>平台是什么、有哪些能力、当前版本重点</x:v>
      </x:c>
      <x:c r="D16" s="58" t="str">
        <x:v>所有人</x:v>
      </x:c>
      <x:c r="E16" s="58"/>
      <x:c r="F16" s="58"/>
      <x:c r="G16" s="58"/>
      <x:c r="H16" s="58"/>
    </x:row>
    <x:row r="17">
      <x:c r="A17" s="66" t="str">
        <x:v>Platform Architecture</x:v>
      </x:c>
      <x:c r="B17" s="66" t="str">
        <x:v>03~06</x:v>
      </x:c>
      <x:c r="C17" s="66" t="str">
        <x:v>1+6边界、Solution/依赖、公共Contract、编码规范</x:v>
      </x:c>
      <x:c r="D17" s="66" t="str">
        <x:v>架构/高级开发</x:v>
      </x:c>
      <x:c r="E17" s="66"/>
      <x:c r="F17" s="66"/>
      <x:c r="G17" s="66"/>
      <x:c r="H17" s="66"/>
    </x:row>
    <x:row r="18">
      <x:c r="A18" s="58" t="str">
        <x:v>Studio / HMI / SCADA Foundation</x:v>
      </x:c>
      <x:c r="B18" s="58" t="str">
        <x:v>07~18</x:v>
      </x:c>
      <x:c r="C18" s="58" t="str">
        <x:v>Studio、Renderer、Binding、SCADA/ICS、Runtime Host</x:v>
      </x:c>
      <x:c r="D18" s="58" t="str">
        <x:v>Studio/HMI/Automation</x:v>
      </x:c>
      <x:c r="E18" s="58"/>
      <x:c r="F18" s="58"/>
      <x:c r="G18" s="58"/>
      <x:c r="H18" s="58"/>
    </x:row>
    <x:row r="19">
      <x:c r="A19" s="66" t="str">
        <x:v>Graph / Runtime Foundation</x:v>
      </x:c>
      <x:c r="B19" s="66" t="str">
        <x:v>19~26</x:v>
      </x:c>
      <x:c r="C19" s="66" t="str">
        <x:v>Graph模型、类型、Compile/Plan、Debug、资源、可靠性、测试Gate</x:v>
      </x:c>
      <x:c r="D19" s="66" t="str">
        <x:v>平台/Workbench开发</x:v>
      </x:c>
      <x:c r="E19" s="66"/>
      <x:c r="F19" s="66"/>
      <x:c r="G19" s="66"/>
      <x:c r="H19" s="66"/>
    </x:row>
    <x:row r="20">
      <x:c r="A20" s="58" t="str">
        <x:v>Professional Workbenches</x:v>
      </x:c>
      <x:c r="B20" s="58" t="str">
        <x:v>27~39</x:v>
      </x:c>
      <x:c r="C20" s="58" t="str">
        <x:v>Automation(Motion/Robot)、Vision、CT3D、Inspection、Operations</x:v>
      </x:c>
      <x:c r="D20" s="58" t="str">
        <x:v>专业域开发</x:v>
      </x:c>
      <x:c r="E20" s="58"/>
      <x:c r="F20" s="58"/>
      <x:c r="G20" s="58"/>
      <x:c r="H20" s="58"/>
    </x:row>
    <x:row r="21">
      <x:c r="A21" t="str">
        <x:v>Delivery &amp; Governance</x:v>
      </x:c>
      <x:c r="B21" t="str">
        <x:v>40~44</x:v>
      </x:c>
      <x:c r="C21" t="str">
        <x:v>Case-driven路线、追踪矩阵、Playbook、术语、ADR</x:v>
      </x:c>
      <x:c r="D21" t="str">
        <x:v>负责人/QA/项目</x:v>
      </x:c>
      <x:c r="E21"/>
      <x:c r="F21"/>
      <x:c r="G21"/>
      <x:c r="H21"/>
    </x:row>
    <x:row r="22" ht="24" customHeight="1">
      <x:c r="A22" s="40" t="str">
        <x:v>V6.4 Sync Baseline</x:v>
      </x:c>
      <x:c r="B22" s="40" t="str">
        <x:v>45~50</x:v>
      </x:c>
      <x:c r="C22" s="40" t="str">
        <x:v>Studio/Ribbon、通用变量迁移、硬件抽象、V6.4审计</x:v>
      </x:c>
      <x:c r="D22" s="40" t="str">
        <x:v>全团队</x:v>
      </x:c>
      <x:c r="E22" s="40"/>
      <x:c r="F22" s="40"/>
      <x:c r="G22" s="40"/>
      <x:c r="H22" s="40"/>
    </x:row>
    <x:row r="23" ht="28" customHeight="1">
      <x:c r="A23" s="50"/>
      <x:c r="B23" s="50"/>
      <x:c r="C23" s="50"/>
      <x:c r="D23" s="50"/>
      <x:c r="E23" s="50"/>
      <x:c r="F23" s="50"/>
      <x:c r="G23" s="50"/>
      <x:c r="H23" s="50"/>
    </x:row>
    <x:row r="24">
      <x:c r="A24" s="66" t="str">
        <x:v>C. 按角色阅读路线</x:v>
      </x:c>
      <x:c r="B24" s="66"/>
      <x:c r="C24" s="66"/>
      <x:c r="D24" s="66"/>
      <x:c r="E24" s="66"/>
      <x:c r="F24" s="66"/>
      <x:c r="G24" s="66"/>
      <x:c r="H24" s="66"/>
    </x:row>
    <x:row r="25">
      <x:c r="A25" s="58" t="str">
        <x:v>角色</x:v>
      </x:c>
      <x:c r="B25" s="58" t="str">
        <x:v>第一步</x:v>
      </x:c>
      <x:c r="C25" s="58" t="str">
        <x:v>第二步</x:v>
      </x:c>
      <x:c r="D25" s="58" t="str">
        <x:v>第三步</x:v>
      </x:c>
      <x:c r="E25" s="58" t="str">
        <x:v>日常使用</x:v>
      </x:c>
      <x:c r="F25" s="58"/>
      <x:c r="G25" s="58"/>
      <x:c r="H25" s="58"/>
    </x:row>
    <x:row r="26">
      <x:c r="A26" s="66" t="str">
        <x:v>新成员/负责人</x:v>
      </x:c>
      <x:c r="B26" s="66" t="str">
        <x:v>00→03→04</x:v>
      </x:c>
      <x:c r="C26" s="66" t="str">
        <x:v>49_V6.4同步审计</x:v>
      </x:c>
      <x:c r="D26" s="66" t="str">
        <x:v>按Workbench进入27~39</x:v>
      </x:c>
      <x:c r="E26" s="66" t="str">
        <x:v>02/40/41</x:v>
      </x:c>
      <x:c r="F26" s="66"/>
      <x:c r="G26" s="66"/>
      <x:c r="H26" s="66"/>
    </x:row>
    <x:row r="27">
      <x:c r="A27" s="58" t="str">
        <x:v>Studio/HMI</x:v>
      </x:c>
      <x:c r="B27" s="58" t="str">
        <x:v>00→03→07→45</x:v>
      </x:c>
      <x:c r="C27" s="58" t="str">
        <x:v>09~16</x:v>
      </x:c>
      <x:c r="D27" s="58" t="str">
        <x:v>17/18/50变量平台</x:v>
      </x:c>
      <x:c r="E27" s="58" t="str">
        <x:v>26/41</x:v>
      </x:c>
      <x:c r="F27" s="58"/>
      <x:c r="G27" s="58"/>
      <x:c r="H27" s="58"/>
    </x:row>
    <x:row r="28">
      <x:c r="A28" s="66" t="str">
        <x:v>ICS/SCADA</x:v>
      </x:c>
      <x:c r="B28" s="66" t="str">
        <x:v>00→03→17→46/50</x:v>
      </x:c>
      <x:c r="C28" s="66" t="str">
        <x:v>18/22/25</x:v>
      </x:c>
      <x:c r="D28" s="66" t="str">
        <x:v>14安全写入+49证据</x:v>
      </x:c>
      <x:c r="E28" s="66" t="str">
        <x:v>26/41</x:v>
      </x:c>
      <x:c r="F28" s="66"/>
      <x:c r="G28" s="66"/>
      <x:c r="H28" s="66"/>
    </x:row>
    <x:row r="29">
      <x:c r="A29" s="58" t="str">
        <x:v>Automation/Motion</x:v>
      </x:c>
      <x:c r="B29" s="58" t="str">
        <x:v>00→03→17→27→47</x:v>
      </x:c>
      <x:c r="C29" s="58" t="str">
        <x:v>18/22/28</x:v>
      </x:c>
      <x:c r="D29" s="58" t="str">
        <x:v>V6.4 Case与Driver边界</x:v>
      </x:c>
      <x:c r="E29" s="58" t="str">
        <x:v>26/41</x:v>
      </x:c>
      <x:c r="F29" s="58"/>
      <x:c r="G29" s="58"/>
      <x:c r="H29" s="58"/>
    </x:row>
    <x:row r="30">
      <x:c r="A30" s="66" t="str">
        <x:v>Vision/CT3D</x:v>
      </x:c>
      <x:c r="B30" s="66" t="str">
        <x:v>00→03→31/33</x:v>
      </x:c>
      <x:c r="C30" s="66" t="str">
        <x:v>20/22/25</x:v>
      </x:c>
      <x:c r="D30" s="66" t="str">
        <x:v>37跨域E2E</x:v>
      </x:c>
      <x:c r="E30" s="66" t="str">
        <x:v>32/34/41</x:v>
      </x:c>
      <x:c r="F30" s="66"/>
      <x:c r="G30" s="66"/>
      <x:c r="H30" s="66"/>
    </x:row>
    <x:row r="31">
      <x:c r="A31" t="str">
        <x:v>Inspection/现场</x:v>
      </x:c>
      <x:c r="B31" t="str">
        <x:v>00→03→35→37</x:v>
      </x:c>
      <x:c r="C31" t="str">
        <x:v>17/18/22</x:v>
      </x:c>
      <x:c r="D31" t="str">
        <x:v>38~39运维</x:v>
      </x:c>
      <x:c r="E31" t="str">
        <x:v>26/41</x:v>
      </x:c>
      <x:c r="F31"/>
      <x:c r="G31"/>
      <x:c r="H31"/>
    </x:row>
    <x:row r="32" ht="24" customHeight="1">
      <x:c r="A32" s="40"/>
      <x:c r="B32" s="40"/>
      <x:c r="C32" s="40"/>
      <x:c r="D32" s="40"/>
      <x:c r="E32" s="40"/>
      <x:c r="F32" s="40"/>
      <x:c r="G32" s="40"/>
      <x:c r="H32" s="40"/>
    </x:row>
    <x:row r="33" ht="28" customHeight="1">
      <x:c r="A33" s="50" t="str">
        <x:v>D. 权威来源与冲突规则</x:v>
      </x:c>
      <x:c r="B33" s="50"/>
      <x:c r="C33" s="50"/>
      <x:c r="D33" s="50"/>
      <x:c r="E33" s="50"/>
      <x:c r="F33" s="50"/>
      <x:c r="G33" s="50"/>
      <x:c r="H33" s="50"/>
    </x:row>
    <x:row r="34">
      <x:c r="A34" s="58" t="str">
        <x:v>内容</x:v>
      </x:c>
      <x:c r="B34" s="58" t="str">
        <x:v>唯一权威来源</x:v>
      </x:c>
      <x:c r="C34" s="58" t="str">
        <x:v>其它分页只允许做什么</x:v>
      </x:c>
      <x:c r="D34" s="58"/>
      <x:c r="E34" s="58"/>
      <x:c r="F34" s="58"/>
      <x:c r="G34" s="58"/>
      <x:c r="H34" s="58"/>
    </x:row>
    <x:row r="35">
      <x:c r="A35" s="66" t="str">
        <x:v>最高架构原则</x:v>
      </x:c>
      <x:c r="B35" s="66" t="str">
        <x:v>《平台灵魂与架构宪法》+ 08总体架构</x:v>
      </x:c>
      <x:c r="C35" s="66" t="str">
        <x:v>不得用历史代码结构反推Owner</x:v>
      </x:c>
      <x:c r="D35" s="66"/>
      <x:c r="E35" s="66"/>
      <x:c r="F35" s="66"/>
      <x:c r="G35" s="66"/>
      <x:c r="H35" s="66"/>
    </x:row>
    <x:row r="36">
      <x:c r="A36" s="58" t="str">
        <x:v>Platform边界</x:v>
      </x:c>
      <x:c r="B36" s="58" t="str">
        <x:v>01 Platform详细设计 + 03/05</x:v>
      </x:c>
      <x:c r="C36" s="58" t="str">
        <x:v>仅引用Platform机制，不把专业语义塞回Platform</x:v>
      </x:c>
      <x:c r="D36" s="58"/>
      <x:c r="E36" s="58"/>
      <x:c r="F36" s="58"/>
      <x:c r="G36" s="58"/>
      <x:c r="H36" s="58"/>
    </x:row>
    <x:row r="37">
      <x:c r="A37" s="66" t="str">
        <x:v>Automation/ICS/SCADA/Motion</x:v>
      </x:c>
      <x:c r="B37" s="66" t="str">
        <x:v>02 Automation详细设计 + 17/27/47</x:v>
      </x:c>
      <x:c r="C37" s="66" t="str">
        <x:v>以真实Case验证，不另起一级Workbench</x:v>
      </x:c>
      <x:c r="D37" s="66"/>
      <x:c r="E37" s="66"/>
      <x:c r="F37" s="66"/>
      <x:c r="G37" s="66"/>
      <x:c r="H37" s="66"/>
    </x:row>
    <x:row r="38">
      <x:c r="A38" s="58" t="str">
        <x:v>六Workbench专业设计</x:v>
      </x:c>
      <x:c r="B38" s="58" t="str">
        <x:v>03~07详细设计 + 27~39</x:v>
      </x:c>
      <x:c r="C38" s="58" t="str">
        <x:v>专业Runtime可独立，不共享万能Executor</x:v>
      </x:c>
      <x:c r="D38" s="58"/>
      <x:c r="E38" s="58"/>
      <x:c r="F38" s="58"/>
      <x:c r="G38" s="58"/>
      <x:c r="H38" s="58"/>
    </x:row>
    <x:row r="39">
      <x:c r="A39" s="66" t="str">
        <x:v>真实代码状态</x:v>
      </x:c>
      <x:c r="B39" s="66" t="str">
        <x:v>41开发追踪矩阵 + 49 V6.4同步审计 + SourceEvidence</x:v>
      </x:c>
      <x:c r="C39" s="66" t="str">
        <x:v>设计文档不得自动推断“已完成”</x:v>
      </x:c>
      <x:c r="D39" s="66"/>
      <x:c r="E39" s="66"/>
      <x:c r="F39" s="66"/>
      <x:c r="G39" s="66"/>
      <x:c r="H39" s="66"/>
    </x:row>
    <x:row r="40">
      <x:c r="A40" s="58" t="str">
        <x:v>最新代码事实</x:v>
      </x:c>
      <x:c r="B40" s="58" t="str">
        <x:v>V6.4 Delivery Manifest / Static Validation / Case Coverage</x:v>
      </x:c>
      <x:c r="C40" s="58" t="str">
        <x:v>Windows实编译/实机认证未执行则必须标明</x:v>
      </x:c>
      <x:c r="D40" s="58"/>
      <x:c r="E40" s="58"/>
      <x:c r="F40" s="58"/>
      <x:c r="G40" s="58"/>
      <x:c r="H40" s="58"/>
    </x:row>
    <x:row r="41">
      <x:c r="A41" s="66" t="str">
        <x:v>通用变量目标</x:v>
      </x:c>
      <x:c r="B41" s="66" t="str">
        <x:v>50_通用变量平台蓝图</x:v>
      </x:c>
      <x:c r="C41" s="66" t="str">
        <x:v>V6.4仍保留DeviceVariable兼容路径；下一阶段再迁移</x:v>
      </x:c>
      <x:c r="D41" s="66"/>
      <x:c r="E41" s="66"/>
      <x:c r="F41" s="66"/>
      <x:c r="G41" s="66"/>
      <x:c r="H41" s="66"/>
    </x:row>
    <x:row r="42">
      <x:c r="A42"/>
      <x:c r="B42"/>
      <x:c r="C42"/>
      <x:c r="D42"/>
      <x:c r="E42"/>
      <x:c r="F42"/>
      <x:c r="G42"/>
      <x:c r="H42"/>
    </x:row>
    <x:row r="43" ht="24" customHeight="1">
      <x:c r="A43" s="40" t="str">
        <x:v>E. 版本演进与后续路线</x:v>
      </x:c>
      <x:c r="B43" s="40"/>
      <x:c r="C43" s="40"/>
      <x:c r="D43" s="40"/>
      <x:c r="E43" s="40"/>
      <x:c r="F43" s="40"/>
      <x:c r="G43" s="40"/>
      <x:c r="H43" s="40"/>
    </x:row>
    <x:row r="44" ht="28" customHeight="1">
      <x:c r="A44" s="50" t="str">
        <x:v>版本/阶段</x:v>
      </x:c>
      <x:c r="B44" s="50" t="str">
        <x:v>核心目标</x:v>
      </x:c>
      <x:c r="C44" s="50" t="str">
        <x:v>架构状态</x:v>
      </x:c>
      <x:c r="D44" s="50" t="str">
        <x:v>主要证据</x:v>
      </x:c>
      <x:c r="E44" s="50"/>
      <x:c r="F44" s="50"/>
      <x:c r="G44" s="50"/>
      <x:c r="H44" s="50"/>
    </x:row>
    <x:row r="45">
      <x:c r="A45" s="58" t="str">
        <x:v>V3.x</x:v>
      </x:c>
      <x:c r="B45" s="58" t="str">
        <x:v>统一Studio / Resource / Context / Central Document Host</x:v>
      </x:c>
      <x:c r="C45" s="58" t="str">
        <x:v>历史完成，作为演进来源</x:v>
      </x:c>
      <x:c r="D45" s="58" t="str">
        <x:v>45~48历史专项</x:v>
      </x:c>
      <x:c r="E45" s="58"/>
      <x:c r="F45" s="58"/>
      <x:c r="G45" s="58"/>
      <x:c r="H45" s="58"/>
    </x:row>
    <x:row r="46">
      <x:c r="A46" s="66" t="str">
        <x:v>V4.x</x:v>
      </x:c>
      <x:c r="B46" s="66" t="str">
        <x:v>迁移为 1 Platform + 6 Workbenches</x:v>
      </x:c>
      <x:c r="C46" s="66" t="str">
        <x:v>一级架构完成</x:v>
      </x:c>
      <x:c r="D46" s="66" t="str">
        <x:v>03/04/49</x:v>
      </x:c>
      <x:c r="E46" s="66"/>
      <x:c r="F46" s="66"/>
      <x:c r="G46" s="66"/>
      <x:c r="H46" s="66"/>
    </x:row>
    <x:row r="47">
      <x:c r="A47" s="58" t="str">
        <x:v>V5.x</x:v>
      </x:c>
      <x:c r="B47" s="58" t="str">
        <x:v>Contract / Runtime / Simulation / Invocation 收口</x:v>
      </x:c>
      <x:c r="C47" s="58" t="str">
        <x:v>执行边界完成</x:v>
      </x:c>
      <x:c r="D47" s="58" t="str">
        <x:v>03/18/19~26</x:v>
      </x:c>
      <x:c r="E47" s="58"/>
      <x:c r="F47" s="58"/>
      <x:c r="G47" s="58"/>
      <x:c r="H47" s="58"/>
    </x:row>
    <x:row r="48">
      <x:c r="A48" s="66" t="str">
        <x:v>V6.0</x:v>
      </x:c>
      <x:c r="B48" s="66" t="str">
        <x:v>IndustrialStable 架构冻结</x:v>
      </x:c>
      <x:c r="C48" s="66" t="str">
        <x:v>大架构冻结，不再频繁重构项目树</x:v>
      </x:c>
      <x:c r="D48" s="66" t="str">
        <x:v>49</x:v>
      </x:c>
      <x:c r="E48" s="66"/>
      <x:c r="F48" s="66"/>
      <x:c r="G48" s="66"/>
      <x:c r="H48" s="66"/>
    </x:row>
    <x:row r="49">
      <x:c r="A49" s="58" t="str">
        <x:v>V6.1~V6.3</x:v>
      </x:c>
      <x:c r="B49" s="58" t="str">
        <x:v>ICS/SCADA/Motion Case-Driven补强</x:v>
      </x:c>
      <x:c r="C49" s="58" t="str">
        <x:v>场景驱动修生命周期、压力、故障恢复</x:v>
      </x:c>
      <x:c r="D49" s="58" t="str">
        <x:v>49</x:v>
      </x:c>
      <x:c r="E49" s="58"/>
      <x:c r="F49" s="58"/>
      <x:c r="G49" s="58"/>
      <x:c r="H49" s="58"/>
    </x:row>
    <x:row r="50">
      <x:c r="A50" s="66" t="str">
        <x:v>V6.4</x:v>
      </x:c>
      <x:c r="B50" s="66" t="str">
        <x:v>Industrial Practical</x:v>
      </x:c>
      <x:c r="C50" s="66" t="str">
        <x:v>真实Socket Modbus TCP + SCADA Readback/Audit + Motion Compile/Parallel Case</x:v>
      </x:c>
      <x:c r="D50" s="66" t="str">
        <x:v>49</x:v>
      </x:c>
      <x:c r="E50" s="66"/>
      <x:c r="F50" s="66"/>
      <x:c r="G50" s="66"/>
      <x:c r="H50" s="66"/>
    </x:row>
    <x:row r="51">
      <x:c r="A51" s="58" t="str">
        <x:v>下一步</x:v>
      </x:c>
      <x:c r="B51" s="58" t="str">
        <x:v>真实PLC + 双轴运动卡 + 小自动机Case；24h→72h Soak</x:v>
      </x:c>
      <x:c r="C51" s="58" t="str">
        <x:v>继续用Case决定补什么</x:v>
      </x:c>
      <x:c r="D51" s="58" t="str">
        <x:v>40/41/49</x:v>
      </x:c>
      <x:c r="E51" s="58"/>
      <x:c r="F51" s="58"/>
      <x:c r="G51" s="58"/>
      <x:c r="H51" s="58"/>
    </x:row>
    <x:row r="52">
      <x:c r="A52" s="66" t="str">
        <x:v>V6.5候选</x:v>
      </x:c>
      <x:c r="B52" s="66" t="str">
        <x:v>Universal Variable Foundation</x:v>
      </x:c>
      <x:c r="C52" s="66" t="str">
        <x:v>从DeviceVariable迁到通用变量；先设计/Case，再落代码</x:v>
      </x:c>
      <x:c r="D52" s="66" t="str">
        <x:v>46/50</x:v>
      </x:c>
      <x:c r="E52" s="66"/>
      <x:c r="F52" s="66"/>
      <x:c r="G52" s="66"/>
      <x:c r="H52" s="66"/>
    </x:row>
    <x:row r="53">
      <x:c r="A53"/>
      <x:c r="B53"/>
      <x:c r="C53"/>
      <x:c r="D53"/>
      <x:c r="E53"/>
    </x:row>
    <x:row r="54" ht="15" hidden="0" customHeight="1">
      <x:c r="A54" s="76" t="str">
        <x:v>F. V6.4 同步重点</x:v>
      </x:c>
      <x:c r="B54" s="76"/>
      <x:c r="C54" s="76"/>
      <x:c r="D54" s="76"/>
      <x:c r="E54" s="76"/>
    </x:row>
    <x:row r="55" ht="15" hidden="0" customHeight="1">
      <x:c r="A55" s="76" t="str">
        <x:v>主题</x:v>
      </x:c>
      <x:c r="B55" s="76" t="str">
        <x:v>V6.4正式结论</x:v>
      </x:c>
      <x:c r="C55" s="76" t="str">
        <x:v>权威页</x:v>
      </x:c>
      <x:c r="D55" s="76" t="str">
        <x:v>必须避免</x:v>
      </x:c>
      <x:c r="E55" s="76" t="str">
        <x:v>当前状态</x:v>
      </x:c>
    </x:row>
    <x:row r="56" ht="52.79999923706055" hidden="0" customHeight="1">
      <x:c r="A56" s="76" t="str">
        <x:v>架构</x:v>
      </x:c>
      <x:c r="B56" s="76" t="str">
        <x:v>1 Platform + 6 Workbenches；Motion/Robot/PLC/SCADA属于Automation；CT3D与Vision平级</x:v>
      </x:c>
      <x:c r="C56" s="76" t="str">
        <x:v>03/04/49</x:v>
      </x:c>
      <x:c r="D56" s="76" t="str">
        <x:v>恢复Domain继承树或新增万能Runtime</x:v>
      </x:c>
      <x:c r="E56" s="76" t="str">
        <x:v>冻结</x:v>
      </x:c>
    </x:row>
    <x:row r="57" ht="66" hidden="0" customHeight="1">
      <x:c r="A57" s="76" t="str">
        <x:v>ICS</x:v>
      </x:c>
      <x:c r="B57" s="76" t="str">
        <x:v>DeviceTemplate/Instance/UDT/Connection/Provider/Lifecycle；Modbus TCP真实协议链</x:v>
      </x:c>
      <x:c r="C57" s="76" t="str">
        <x:v>17/47/49</x:v>
      </x:c>
      <x:c r="D57" s="76" t="str">
        <x:v>Driver创建DeviceVariable对象</x:v>
      </x:c>
      <x:c r="E57" s="76" t="str">
        <x:v>V6.4已覆盖主要链</x:v>
      </x:c>
    </x:row>
    <x:row r="58" ht="66" hidden="0" customHeight="1">
      <x:c r="A58" s="76" t="str">
        <x:v>SCADA</x:v>
      </x:c>
      <x:c r="B58" s="76" t="str">
        <x:v>State Cache/Quality/Alarm/Historian/Recipe/Health；写入必须Readback+Audit</x:v>
      </x:c>
      <x:c r="C58" s="76" t="str">
        <x:v>17/14/49</x:v>
      </x:c>
      <x:c r="D58" s="76" t="str">
        <x:v>本地缓存更新当作PLC写成功</x:v>
      </x:c>
      <x:c r="E58" s="76" t="str">
        <x:v>V6.4已覆盖主要链</x:v>
      </x:c>
    </x:row>
    <x:row r="59" ht="39.599998474121094" hidden="0" customHeight="1">
      <x:c r="A59" s="76" t="str">
        <x:v>Motion</x:v>
      </x:c>
      <x:c r="B59" s="76" t="str">
        <x:v>Definition→Validate→Compile→ExecutionPlan→专业Runtime；Lease/Interlock/Safety Gateway</x:v>
      </x:c>
      <x:c r="C59" s="76" t="str">
        <x:v>27/28/47/49</x:v>
      </x:c>
      <x:c r="D59" s="76" t="str">
        <x:v>万能GraphExecutor、Windows硬实时</x:v>
      </x:c>
      <x:c r="E59" s="76" t="str">
        <x:v>V6.4已覆盖主要链</x:v>
      </x:c>
    </x:row>
    <x:row r="60" ht="39.599998474121094" hidden="0" customHeight="1">
      <x:c r="A60" s="76" t="str">
        <x:v>Simulation</x:v>
      </x:c>
      <x:c r="B60" s="76" t="str">
        <x:v>Real/Virtual/Replay/Hybrid共用工程和Provider边界</x:v>
      </x:c>
      <x:c r="C60" s="76" t="str">
        <x:v>03/18/37</x:v>
      </x:c>
      <x:c r="D60" s="76" t="str">
        <x:v>RealFlow/SimulationFlow双份逻辑</x:v>
      </x:c>
      <x:c r="E60" s="76" t="str">
        <x:v>架构冻结，继续Case验证</x:v>
      </x:c>
    </x:row>
    <x:row r="61" ht="39.599998474121094" hidden="0" customHeight="1">
      <x:c r="A61" s="76" t="str">
        <x:v>通用变量</x:v>
      </x:c>
      <x:c r="B61" s="76" t="str">
        <x:v>Variable成为Platform一级数据能力；Device保留为Group/Owner；VariableId稳定唯一</x:v>
      </x:c>
      <x:c r="C61" s="76" t="str">
        <x:v>46/50</x:v>
      </x:c>
      <x:c r="D61" s="76" t="str">
        <x:v>MeasureDouble/Integer继续把整个Device当一个变量</x:v>
      </x:c>
      <x:c r="E61" s="76" t="str">
        <x:v>下一阶段设计</x:v>
      </x:c>
    </x:row>
    <x:row r="62" ht="39.599998474121094" hidden="0" customHeight="1">
      <x:c r="A62" s="76" t="str">
        <x:v>状态/证据</x:v>
      </x:c>
      <x:c r="B62" s="76" t="str">
        <x:v>Static/Source Gate、Case Evidence、Windows Build/Test/UiSmoke、实机认证分层记录</x:v>
      </x:c>
      <x:c r="C62" s="76" t="str">
        <x:v>26/41/49</x:v>
      </x:c>
      <x:c r="D62" s="76" t="str">
        <x:v>报告PASS但最终ZIP不是同一源码快照</x:v>
      </x:c>
      <x:c r="E62" s="76" t="str">
        <x:v>严格证据治理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6" hidden="0" customWidth="1"/>
    <x:col min="4" max="4" width="3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0" customHeight="1">
      <x:c r="A1" s="8" t="str">
        <x:v>CxVisual 图元体系与基础绘图模型</x:v>
      </x:c>
      <x:c r="B1" s="8"/>
      <x:c r="C1" s="8"/>
      <x:c r="D1" s="8"/>
      <x:c r="E1" s="8"/>
      <x:c r="F1" s="8"/>
      <x:c r="G1" s="8"/>
      <x:c r="H1" s="8"/>
      <x:c r="I1" s="8"/>
      <x:c r="J1" s="8"/>
    </x:row>
    <x:row r="2" ht="38" customHeight="1">
      <x:c r="A2" s="16" t="str">
        <x:v>定义Visual Model中所有基础图元、容器、显示控件、工业符号相关的产品分类与图元能力；该页是图元能力唯一权威清单。</x:v>
      </x:c>
      <x:c r="B2" s="16"/>
      <x:c r="C2" s="16"/>
      <x:c r="D2" s="16"/>
      <x:c r="E2" s="16"/>
      <x:c r="F2" s="16"/>
      <x:c r="G2" s="16"/>
      <x:c r="H2" s="16"/>
      <x:c r="I2" s="16"/>
      <x:c r="J2" s="16"/>
    </x:row>
    <x:row r="3">
      <x:c r="A3" s="30" t="str">
        <x:v>本页唯一权威</x:v>
      </x:c>
      <x:c r="B3" s="31" t="str">
        <x:v>图元分类、基础图元能力、SVG支持方式、Bezier/Path等绘图语义。</x:v>
      </x:c>
      <x:c r="C3" s="31"/>
      <x:c r="D3" s="31"/>
      <x:c r="E3" s="31"/>
      <x:c r="F3" s="31"/>
      <x:c r="G3" s="31"/>
      <x:c r="H3" s="31"/>
      <x:c r="I3" s="31"/>
      <x:c r="J3" s="31"/>
    </x:row>
    <x:row r="4">
      <x:c r="A4" s="30" t="str">
        <x:v>不在本页维护</x:v>
      </x:c>
      <x:c r="B4" s="31" t="str">
        <x:v>Symbol复用机制（见11）、Property/Binding（见10）、Renderer实现（见08）、具体开发状态（见41）。</x:v>
      </x:c>
      <x:c r="C4" s="31"/>
      <x:c r="D4" s="31"/>
      <x:c r="E4" s="31"/>
      <x:c r="F4" s="31"/>
      <x:c r="G4" s="31"/>
      <x:c r="H4" s="31"/>
      <x:c r="I4" s="31"/>
      <x:c r="J4" s="31"/>
    </x:row>
    <x:row r="5">
      <x:c r="A5" s="30" t="str">
        <x:v>关联分页</x:v>
      </x:c>
      <x:c r="B5" s="31" t="str">
        <x:v>07_Studio/Designer架构；08_Renderer与几何系统；11_Symbol体系；15_SVG资源样式主题。</x:v>
      </x:c>
      <x:c r="C5" s="31"/>
      <x:c r="D5" s="31"/>
      <x:c r="E5" s="31"/>
      <x:c r="F5" s="31"/>
      <x:c r="G5" s="31"/>
      <x:c r="H5" s="31"/>
      <x:c r="I5" s="31"/>
      <x:c r="J5" s="31"/>
    </x:row>
    <x:row r="6">
      <x:c r="A6"/>
      <x:c r="B6"/>
      <x:c r="C6"/>
      <x:c r="D6"/>
      <x:c r="E6"/>
      <x:c r="F6"/>
      <x:c r="G6"/>
      <x:c r="H6"/>
      <x:c r="I6"/>
      <x:c r="J6"/>
    </x:row>
    <x:row r="7">
      <x:c r="A7" s="58" t="str">
        <x:v>一级分类(7类)</x:v>
      </x:c>
      <x:c r="B7" s="58" t="str">
        <x:v>图元/对象</x:v>
      </x:c>
      <x:c r="C7" s="58" t="str">
        <x:v>建议英文名</x:v>
      </x:c>
      <x:c r="D7" s="58" t="str">
        <x:v>内部模型建议</x:v>
      </x:c>
      <x:c r="E7" s="58" t="str">
        <x:v>SVG映射</x:v>
      </x:c>
      <x:c r="F7" s="58" t="str">
        <x:v>WPF/Renderer建议</x:v>
      </x:c>
      <x:c r="G7" s="58" t="str">
        <x:v>可绑定属性示例</x:v>
      </x:c>
      <x:c r="H7" s="58" t="str">
        <x:v>运行能力</x:v>
      </x:c>
      <x:c r="I7" s="58" t="str">
        <x:v>优先级</x:v>
      </x:c>
      <x:c r="J7" s="58" t="str">
        <x:v>备注/边界</x:v>
      </x:c>
    </x:row>
    <x:row r="8">
      <x:c r="A8" s="66" t="str">
        <x:v>基础 Primitive</x:v>
      </x:c>
      <x:c r="B8" s="66" t="str">
        <x:v>点</x:v>
      </x:c>
      <x:c r="C8" s="66" t="str">
        <x:v>Point</x:v>
      </x:c>
      <x:c r="D8" s="66" t="str">
        <x:v>ShapeElementModel</x:v>
      </x:c>
      <x:c r="E8" s="66" t="str">
        <x:v>&lt;circle&gt;（小半径）</x:v>
      </x:c>
      <x:c r="F8" s="66" t="str">
        <x:v>EllipseGeometry</x:v>
      </x:c>
      <x:c r="G8" s="66" t="str">
        <x:v>X/Y/Fill/Visible</x:v>
      </x:c>
      <x:c r="H8" s="66" t="str">
        <x:v>标记、连接点</x:v>
      </x:c>
      <x:c r="I8" s="66" t="str">
        <x:v>建议</x:v>
      </x:c>
      <x:c r="J8" s="66" t="str">
        <x:v>SVG无独立point</x:v>
      </x:c>
    </x:row>
    <x:row r="9">
      <x:c r="A9" s="58" t="str">
        <x:v>基础 Primitive</x:v>
      </x:c>
      <x:c r="B9" s="58" t="str">
        <x:v>直线</x:v>
      </x:c>
      <x:c r="C9" s="58" t="str">
        <x:v>Line</x:v>
      </x:c>
      <x:c r="D9" s="58" t="str">
        <x:v>ShapeElementModel</x:v>
      </x:c>
      <x:c r="E9" s="58" t="str">
        <x:v>&lt;line&gt;</x:v>
      </x:c>
      <x:c r="F9" s="58" t="str">
        <x:v>LineGeometry / StreamGeometry</x:v>
      </x:c>
      <x:c r="G9" s="58" t="str">
        <x:v>Stroke/StrokeWidth/Visible</x:v>
      </x:c>
      <x:c r="H9" s="58" t="str">
        <x:v>连接、指示线</x:v>
      </x:c>
      <x:c r="I9" s="58" t="str">
        <x:v>必须</x:v>
      </x:c>
      <x:c r="J9" s="58"/>
    </x:row>
    <x:row r="10">
      <x:c r="A10" s="66" t="str">
        <x:v>基础 Primitive</x:v>
      </x:c>
      <x:c r="B10" s="66" t="str">
        <x:v>折线</x:v>
      </x:c>
      <x:c r="C10" s="66" t="str">
        <x:v>Polyline</x:v>
      </x:c>
      <x:c r="D10" s="66" t="str">
        <x:v>ShapeElementModel</x:v>
      </x:c>
      <x:c r="E10" s="66" t="str">
        <x:v>&lt;polyline&gt;</x:v>
      </x:c>
      <x:c r="F10" s="66" t="str">
        <x:v>StreamGeometry</x:v>
      </x:c>
      <x:c r="G10" s="66" t="str">
        <x:v>Points/Stroke/Visible</x:v>
      </x:c>
      <x:c r="H10" s="66" t="str">
        <x:v>管路/折线</x:v>
      </x:c>
      <x:c r="I10" s="66" t="str">
        <x:v>必须</x:v>
      </x:c>
      <x:c r="J10" s="66"/>
    </x:row>
    <x:row r="11">
      <x:c r="A11" s="58" t="str">
        <x:v>基础 Primitive</x:v>
      </x:c>
      <x:c r="B11" s="58" t="str">
        <x:v>矩形</x:v>
      </x:c>
      <x:c r="C11" s="58" t="str">
        <x:v>Rectangle</x:v>
      </x:c>
      <x:c r="D11" s="58" t="str">
        <x:v>ShapeElementModel</x:v>
      </x:c>
      <x:c r="E11" s="58" t="str">
        <x:v>&lt;rect&gt;</x:v>
      </x:c>
      <x:c r="F11" s="58" t="str">
        <x:v>RectangleGeometry</x:v>
      </x:c>
      <x:c r="G11" s="58" t="str">
        <x:v>Fill/Stroke/Opacity/Visible</x:v>
      </x:c>
      <x:c r="H11" s="58" t="str">
        <x:v>基础面板/区域</x:v>
      </x:c>
      <x:c r="I11" s="58" t="str">
        <x:v>必须</x:v>
      </x:c>
      <x:c r="J11" s="58"/>
    </x:row>
    <x:row r="12">
      <x:c r="A12" s="66" t="str">
        <x:v>基础 Primitive</x:v>
      </x:c>
      <x:c r="B12" s="66" t="str">
        <x:v>圆角矩形</x:v>
      </x:c>
      <x:c r="C12" s="66" t="str">
        <x:v>RoundedRectangle</x:v>
      </x:c>
      <x:c r="D12" s="66" t="str">
        <x:v>ShapeElementModel</x:v>
      </x:c>
      <x:c r="E12" s="66" t="str">
        <x:v>&lt;rect rx ry&gt;</x:v>
      </x:c>
      <x:c r="F12" s="66" t="str">
        <x:v>RectangleGeometry RadiusX/Y</x:v>
      </x:c>
      <x:c r="G12" s="66" t="str">
        <x:v>Fill/Stroke/Radius</x:v>
      </x:c>
      <x:c r="H12" s="66" t="str">
        <x:v>按钮外观/卡片</x:v>
      </x:c>
      <x:c r="I12" s="66" t="str">
        <x:v>必须</x:v>
      </x:c>
      <x:c r="J12" s="66"/>
    </x:row>
    <x:row r="13">
      <x:c r="A13" s="58" t="str">
        <x:v>基础 Primitive</x:v>
      </x:c>
      <x:c r="B13" s="58" t="str">
        <x:v>圆</x:v>
      </x:c>
      <x:c r="C13" s="58" t="str">
        <x:v>Circle</x:v>
      </x:c>
      <x:c r="D13" s="58" t="str">
        <x:v>ShapeElementModel</x:v>
      </x:c>
      <x:c r="E13" s="58" t="str">
        <x:v>&lt;circle&gt;</x:v>
      </x:c>
      <x:c r="F13" s="58" t="str">
        <x:v>EllipseGeometry</x:v>
      </x:c>
      <x:c r="G13" s="58" t="str">
        <x:v>Fill/Stroke/Radius</x:v>
      </x:c>
      <x:c r="H13" s="58" t="str">
        <x:v>指示灯/节点</x:v>
      </x:c>
      <x:c r="I13" s="58" t="str">
        <x:v>必须</x:v>
      </x:c>
      <x:c r="J13" s="58"/>
    </x:row>
    <x:row r="14">
      <x:c r="A14" s="66" t="str">
        <x:v>基础 Primitive</x:v>
      </x:c>
      <x:c r="B14" s="66" t="str">
        <x:v>椭圆</x:v>
      </x:c>
      <x:c r="C14" s="66" t="str">
        <x:v>Ellipse</x:v>
      </x:c>
      <x:c r="D14" s="66" t="str">
        <x:v>ShapeElementModel</x:v>
      </x:c>
      <x:c r="E14" s="66" t="str">
        <x:v>&lt;ellipse&gt;</x:v>
      </x:c>
      <x:c r="F14" s="66" t="str">
        <x:v>EllipseGeometry</x:v>
      </x:c>
      <x:c r="G14" s="66" t="str">
        <x:v>Fill/Stroke/Rx/Ry</x:v>
      </x:c>
      <x:c r="H14" s="66" t="str">
        <x:v>容器/图标</x:v>
      </x:c>
      <x:c r="I14" s="66" t="str">
        <x:v>必须</x:v>
      </x:c>
      <x:c r="J14" s="66"/>
    </x:row>
    <x:row r="15">
      <x:c r="A15" s="58" t="str">
        <x:v>基础 Primitive</x:v>
      </x:c>
      <x:c r="B15" s="58" t="str">
        <x:v>多边形</x:v>
      </x:c>
      <x:c r="C15" s="58" t="str">
        <x:v>Polygon</x:v>
      </x:c>
      <x:c r="D15" s="58" t="str">
        <x:v>ShapeElementModel</x:v>
      </x:c>
      <x:c r="E15" s="58" t="str">
        <x:v>&lt;polygon&gt;</x:v>
      </x:c>
      <x:c r="F15" s="58" t="str">
        <x:v>StreamGeometry</x:v>
      </x:c>
      <x:c r="G15" s="58" t="str">
        <x:v>Points/Fill/Stroke</x:v>
      </x:c>
      <x:c r="H15" s="58" t="str">
        <x:v>箭头/自定义形状</x:v>
      </x:c>
      <x:c r="I15" s="58" t="str">
        <x:v>必须</x:v>
      </x:c>
      <x:c r="J15" s="58"/>
    </x:row>
    <x:row r="16">
      <x:c r="A16" s="66" t="str">
        <x:v>基础 Primitive</x:v>
      </x:c>
      <x:c r="B16" s="66" t="str">
        <x:v>三角形</x:v>
      </x:c>
      <x:c r="C16" s="66" t="str">
        <x:v>Triangle</x:v>
      </x:c>
      <x:c r="D16" s="66" t="str">
        <x:v>ShapeElementModel</x:v>
      </x:c>
      <x:c r="E16" s="66" t="str">
        <x:v>&lt;polygon&gt;</x:v>
      </x:c>
      <x:c r="F16" s="66" t="str">
        <x:v>StreamGeometry</x:v>
      </x:c>
      <x:c r="G16" s="66" t="str">
        <x:v>Fill/Stroke/Rotation</x:v>
      </x:c>
      <x:c r="H16" s="66" t="str">
        <x:v>箭头/指向</x:v>
      </x:c>
      <x:c r="I16" s="66" t="str">
        <x:v>建议</x:v>
      </x:c>
      <x:c r="J16" s="66" t="str">
        <x:v>Polygon特例</x:v>
      </x:c>
    </x:row>
    <x:row r="17">
      <x:c r="A17" s="58" t="str">
        <x:v>基础 Primitive</x:v>
      </x:c>
      <x:c r="B17" s="58" t="str">
        <x:v>正多边形</x:v>
      </x:c>
      <x:c r="C17" s="58" t="str">
        <x:v>RegularPolygon</x:v>
      </x:c>
      <x:c r="D17" s="58" t="str">
        <x:v>ShapeElementModel</x:v>
      </x:c>
      <x:c r="E17" s="58" t="str">
        <x:v>&lt;polygon&gt;</x:v>
      </x:c>
      <x:c r="F17" s="58" t="str">
        <x:v>参数生成Geometry</x:v>
      </x:c>
      <x:c r="G17" s="58" t="str">
        <x:v>Sides/Radius/Fill</x:v>
      </x:c>
      <x:c r="H17" s="58" t="str">
        <x:v>标识图形</x:v>
      </x:c>
      <x:c r="I17" s="58" t="str">
        <x:v>建议</x:v>
      </x:c>
      <x:c r="J17" s="58" t="str">
        <x:v>参数化图元</x:v>
      </x:c>
    </x:row>
    <x:row r="18">
      <x:c r="A18" s="66" t="str">
        <x:v>基础 Primitive</x:v>
      </x:c>
      <x:c r="B18" s="66" t="str">
        <x:v>星形</x:v>
      </x:c>
      <x:c r="C18" s="66" t="str">
        <x:v>Star</x:v>
      </x:c>
      <x:c r="D18" s="66" t="str">
        <x:v>ShapeElementModel</x:v>
      </x:c>
      <x:c r="E18" s="66" t="str">
        <x:v>&lt;polygon&gt;/&lt;path&gt;</x:v>
      </x:c>
      <x:c r="F18" s="66" t="str">
        <x:v>参数生成Geometry</x:v>
      </x:c>
      <x:c r="G18" s="66" t="str">
        <x:v>Points/InnerRadius/Fill</x:v>
      </x:c>
      <x:c r="H18" s="66" t="str">
        <x:v>标识/装饰</x:v>
      </x:c>
      <x:c r="I18" s="66" t="str">
        <x:v>建议</x:v>
      </x:c>
      <x:c r="J18" s="66" t="str">
        <x:v>参数化图元</x:v>
      </x:c>
    </x:row>
    <x:row r="19">
      <x:c r="A19" s="58" t="str">
        <x:v>基础 Primitive</x:v>
      </x:c>
      <x:c r="B19" s="58" t="str">
        <x:v>圆弧</x:v>
      </x:c>
      <x:c r="C19" s="58" t="str">
        <x:v>Arc</x:v>
      </x:c>
      <x:c r="D19" s="58" t="str">
        <x:v>ShapeElementModel</x:v>
      </x:c>
      <x:c r="E19" s="58" t="str">
        <x:v>&lt;path A&gt;</x:v>
      </x:c>
      <x:c r="F19" s="58" t="str">
        <x:v>ArcSegment</x:v>
      </x:c>
      <x:c r="G19" s="58" t="str">
        <x:v>Start/End/Radius/Stroke</x:v>
      </x:c>
      <x:c r="H19" s="58" t="str">
        <x:v>曲线管路/刻度</x:v>
      </x:c>
      <x:c r="I19" s="58" t="str">
        <x:v>必须</x:v>
      </x:c>
      <x:c r="J19" s="58"/>
    </x:row>
    <x:row r="20">
      <x:c r="A20" s="66" t="str">
        <x:v>基础 Primitive</x:v>
      </x:c>
      <x:c r="B20" s="66" t="str">
        <x:v>扇形</x:v>
      </x:c>
      <x:c r="C20" s="66" t="str">
        <x:v>Sector</x:v>
      </x:c>
      <x:c r="D20" s="66" t="str">
        <x:v>ShapeElementModel</x:v>
      </x:c>
      <x:c r="E20" s="66" t="str">
        <x:v>&lt;path&gt;</x:v>
      </x:c>
      <x:c r="F20" s="66" t="str">
        <x:v>ArcSegment + LineSegment</x:v>
      </x:c>
      <x:c r="G20" s="66" t="str">
        <x:v>Angle/Radius/Fill</x:v>
      </x:c>
      <x:c r="H20" s="66" t="str">
        <x:v>饼块/仪表区间</x:v>
      </x:c>
      <x:c r="I20" s="66" t="str">
        <x:v>建议</x:v>
      </x:c>
      <x:c r="J20" s="66"/>
    </x:row>
    <x:row r="21">
      <x:c r="A21" s="58" t="str">
        <x:v>基础 Primitive</x:v>
      </x:c>
      <x:c r="B21" s="58" t="str">
        <x:v>二次贝塞尔</x:v>
      </x:c>
      <x:c r="C21" s="58" t="str">
        <x:v>QuadraticBezier</x:v>
      </x:c>
      <x:c r="D21" s="58" t="str">
        <x:v>ShapeElementModel</x:v>
      </x:c>
      <x:c r="E21" s="58" t="str">
        <x:v>&lt;path Q&gt;</x:v>
      </x:c>
      <x:c r="F21" s="58" t="str">
        <x:v>QuadraticBezierSegment</x:v>
      </x:c>
      <x:c r="G21" s="58" t="str">
        <x:v>Control/End/Stroke</x:v>
      </x:c>
      <x:c r="H21" s="58" t="str">
        <x:v>自由曲线</x:v>
      </x:c>
      <x:c r="I21" s="58" t="str">
        <x:v>必须</x:v>
      </x:c>
      <x:c r="J21" s="58" t="str">
        <x:v>1个控制点</x:v>
      </x:c>
    </x:row>
    <x:row r="22">
      <x:c r="A22" s="66" t="str">
        <x:v>基础 Primitive</x:v>
      </x:c>
      <x:c r="B22" s="66" t="str">
        <x:v>三次贝塞尔</x:v>
      </x:c>
      <x:c r="C22" s="66" t="str">
        <x:v>CubicBezier</x:v>
      </x:c>
      <x:c r="D22" s="66" t="str">
        <x:v>ShapeElementModel</x:v>
      </x:c>
      <x:c r="E22" s="66" t="str">
        <x:v>&lt;path C&gt;</x:v>
      </x:c>
      <x:c r="F22" s="66" t="str">
        <x:v>BezierSegment</x:v>
      </x:c>
      <x:c r="G22" s="66" t="str">
        <x:v>Control1/2/End</x:v>
      </x:c>
      <x:c r="H22" s="66" t="str">
        <x:v>自由曲线</x:v>
      </x:c>
      <x:c r="I22" s="66" t="str">
        <x:v>必须</x:v>
      </x:c>
      <x:c r="J22" s="66" t="str">
        <x:v>2个控制点</x:v>
      </x:c>
    </x:row>
    <x:row r="23">
      <x:c r="A23" s="58" t="str">
        <x:v>基础 Primitive</x:v>
      </x:c>
      <x:c r="B23" s="58" t="str">
        <x:v>平滑贝塞尔</x:v>
      </x:c>
      <x:c r="C23" s="58" t="str">
        <x:v>SmoothBezier</x:v>
      </x:c>
      <x:c r="D23" s="58" t="str">
        <x:v>ShapeElementModel</x:v>
      </x:c>
      <x:c r="E23" s="58" t="str">
        <x:v>&lt;path S/T&gt;</x:v>
      </x:c>
      <x:c r="F23" s="58" t="str">
        <x:v>归一化为显式Bezier/Quadratic</x:v>
      </x:c>
      <x:c r="G23" s="58" t="str">
        <x:v>Control/End</x:v>
      </x:c>
      <x:c r="H23" s="58" t="str">
        <x:v>连续曲线</x:v>
      </x:c>
      <x:c r="I23" s="58" t="str">
        <x:v>建议</x:v>
      </x:c>
      <x:c r="J23" s="58" t="str">
        <x:v>内部保存显式控制点</x:v>
      </x:c>
    </x:row>
    <x:row r="24">
      <x:c r="A24" s="66" t="str">
        <x:v>基础 Primitive</x:v>
      </x:c>
      <x:c r="B24" s="66" t="str">
        <x:v>自由曲线</x:v>
      </x:c>
      <x:c r="C24" s="66" t="str">
        <x:v>Freehand</x:v>
      </x:c>
      <x:c r="D24" s="66" t="str">
        <x:v>ShapeElementModel</x:v>
      </x:c>
      <x:c r="E24" s="66" t="str">
        <x:v>&lt;path&gt;</x:v>
      </x:c>
      <x:c r="F24" s="66" t="str">
        <x:v>采样→简化→StreamGeometry</x:v>
      </x:c>
      <x:c r="G24" s="66" t="str">
        <x:v>Stroke/Points</x:v>
      </x:c>
      <x:c r="H24" s="66" t="str">
        <x:v>手绘/标注</x:v>
      </x:c>
      <x:c r="I24" s="66" t="str">
        <x:v>必须</x:v>
      </x:c>
      <x:c r="J24" s="66" t="str">
        <x:v>支持点简化</x:v>
      </x:c>
    </x:row>
    <x:row r="25">
      <x:c r="A25" s="58" t="str">
        <x:v>基础 Primitive</x:v>
      </x:c>
      <x:c r="B25" s="58" t="str">
        <x:v>任意路径</x:v>
      </x:c>
      <x:c r="C25" s="58" t="str">
        <x:v>Path</x:v>
      </x:c>
      <x:c r="D25" s="58" t="str">
        <x:v>ShapeElementModel</x:v>
      </x:c>
      <x:c r="E25" s="58" t="str">
        <x:v>&lt;path&gt;</x:v>
      </x:c>
      <x:c r="F25" s="58" t="str">
        <x:v>PathGeometry/StreamGeometry</x:v>
      </x:c>
      <x:c r="G25" s="58" t="str">
        <x:v>Fill/Stroke/Segments</x:v>
      </x:c>
      <x:c r="H25" s="58" t="str">
        <x:v>复杂工业图形</x:v>
      </x:c>
      <x:c r="I25" s="58" t="str">
        <x:v>必须</x:v>
      </x:c>
      <x:c r="J25" s="58" t="str">
        <x:v>支持M/L/H/V/C/S/Q/T/A/Z</x:v>
      </x:c>
    </x:row>
    <x:row r="26">
      <x:c r="A26" s="66" t="str">
        <x:v>基础 Primitive</x:v>
      </x:c>
      <x:c r="B26" s="66" t="str">
        <x:v>文本</x:v>
      </x:c>
      <x:c r="C26" s="66" t="str">
        <x:v>Text</x:v>
      </x:c>
      <x:c r="D26" s="66" t="str">
        <x:v>TextElementModel</x:v>
      </x:c>
      <x:c r="E26" s="66" t="str">
        <x:v>&lt;text&gt;</x:v>
      </x:c>
      <x:c r="F26" s="66" t="str">
        <x:v>FormattedText / TextBlock(编辑态)</x:v>
      </x:c>
      <x:c r="G26" s="66" t="str">
        <x:v>Text/Font/Size/Color/Visible</x:v>
      </x:c>
      <x:c r="H26" s="66" t="str">
        <x:v>标签/数值</x:v>
      </x:c>
      <x:c r="I26" s="66" t="str">
        <x:v>必须</x:v>
      </x:c>
      <x:c r="J26" s="66" t="str">
        <x:v>双击可用TextBox覆层编辑</x:v>
      </x:c>
    </x:row>
    <x:row r="27">
      <x:c r="A27" s="58" t="str">
        <x:v>控件 Control</x:v>
      </x:c>
      <x:c r="B27" s="58" t="str">
        <x:v>富文本</x:v>
      </x:c>
      <x:c r="C27" s="58" t="str">
        <x:v>RichText</x:v>
      </x:c>
      <x:c r="D27" s="58" t="str">
        <x:v>ControlElementModel</x:v>
      </x:c>
      <x:c r="E27" s="58" t="str">
        <x:v>不建议SVG</x:v>
      </x:c>
      <x:c r="F27" s="58" t="str">
        <x:v>RichTextBox/FlowDocument</x:v>
      </x:c>
      <x:c r="G27" s="58" t="str">
        <x:v>Text/Style</x:v>
      </x:c>
      <x:c r="H27" s="58" t="str">
        <x:v>说明/文档</x:v>
      </x:c>
      <x:c r="I27" s="58" t="str">
        <x:v>后期</x:v>
      </x:c>
      <x:c r="J27" s="58"/>
    </x:row>
    <x:row r="28">
      <x:c r="A28" s="66" t="str">
        <x:v>基础 Primitive</x:v>
      </x:c>
      <x:c r="B28" s="66" t="str">
        <x:v>图片</x:v>
      </x:c>
      <x:c r="C28" s="66" t="str">
        <x:v>Image</x:v>
      </x:c>
      <x:c r="D28" s="66" t="str">
        <x:v>ImageElementModel</x:v>
      </x:c>
      <x:c r="E28" s="66" t="str">
        <x:v>&lt;image&gt;</x:v>
      </x:c>
      <x:c r="F28" s="66" t="str">
        <x:v>BitmapSource/Image</x:v>
      </x:c>
      <x:c r="G28" s="66" t="str">
        <x:v>Source/Opacity/Visible</x:v>
      </x:c>
      <x:c r="H28" s="66" t="str">
        <x:v>背景/照片/图标</x:v>
      </x:c>
      <x:c r="I28" s="66" t="str">
        <x:v>必须</x:v>
      </x:c>
      <x:c r="J28" s="66" t="str">
        <x:v>资源ID引用，禁止绝对路径</x:v>
      </x:c>
    </x:row>
    <x:row r="29">
      <x:c r="A29" s="58" t="str">
        <x:v>基础 Primitive</x:v>
      </x:c>
      <x:c r="B29" s="58" t="str">
        <x:v>SVG图形</x:v>
      </x:c>
      <x:c r="C29" s="58" t="str">
        <x:v>SvgGraphic</x:v>
      </x:c>
      <x:c r="D29" s="58" t="str">
        <x:v>SvgGraphicElementModel</x:v>
      </x:c>
      <x:c r="E29" s="58" t="str">
        <x:v>SVG子树</x:v>
      </x:c>
      <x:c r="F29" s="58" t="str">
        <x:v>SharpVectors→Drawing/Geometry</x:v>
      </x:c>
      <x:c r="G29" s="58" t="str">
        <x:v>Color/Opacity/Visible</x:v>
      </x:c>
      <x:c r="H29" s="58" t="str">
        <x:v>工业符号/Logo</x:v>
      </x:c>
      <x:c r="I29" s="58" t="str">
        <x:v>必须</x:v>
      </x:c>
      <x:c r="J29" s="58" t="str">
        <x:v>可保留原始SVG或转换内部矢量模型</x:v>
      </x:c>
    </x:row>
    <x:row r="30">
      <x:c r="A30" s="66" t="str">
        <x:v>基础 Primitive</x:v>
      </x:c>
      <x:c r="B30" s="66" t="str">
        <x:v>图标</x:v>
      </x:c>
      <x:c r="C30" s="66" t="str">
        <x:v>Icon</x:v>
      </x:c>
      <x:c r="D30" s="66" t="str">
        <x:v>SvgGraphicElementModel</x:v>
      </x:c>
      <x:c r="E30" s="66" t="str">
        <x:v>SVG path</x:v>
      </x:c>
      <x:c r="F30" s="66" t="str">
        <x:v>GeometryDrawing</x:v>
      </x:c>
      <x:c r="G30" s="66" t="str">
        <x:v>Color/Visible</x:v>
      </x:c>
      <x:c r="H30" s="66" t="str">
        <x:v>工具栏/状态</x:v>
      </x:c>
      <x:c r="I30" s="66" t="str">
        <x:v>建议</x:v>
      </x:c>
      <x:c r="J30" s="66"/>
    </x:row>
    <x:row r="31">
      <x:c r="A31" s="58" t="str">
        <x:v>容器 Container</x:v>
      </x:c>
      <x:c r="B31" s="58" t="str">
        <x:v>坐标容器</x:v>
      </x:c>
      <x:c r="C31" s="58" t="str">
        <x:v>CoordinateContainer</x:v>
      </x:c>
      <x:c r="D31" s="58" t="str">
        <x:v>ContainerElementModel</x:v>
      </x:c>
      <x:c r="E31" s="58" t="str">
        <x:v>&lt;g&gt;+transform</x:v>
      </x:c>
      <x:c r="F31" s="58" t="str">
        <x:v>Canvas语义 + 自研坐标布局</x:v>
      </x:c>
      <x:c r="G31" s="58" t="str">
        <x:v>X/Y/Size/Visible</x:v>
      </x:c>
      <x:c r="H31" s="58" t="str">
        <x:v>工业主画布</x:v>
      </x:c>
      <x:c r="I31" s="58" t="str">
        <x:v>必须</x:v>
      </x:c>
      <x:c r="J31" s="58" t="str">
        <x:v>Fixed/Percent/Uniform</x:v>
      </x:c>
    </x:row>
    <x:row r="32">
      <x:c r="A32" s="66" t="str">
        <x:v>容器 Container</x:v>
      </x:c>
      <x:c r="B32" s="66" t="str">
        <x:v>网格容器</x:v>
      </x:c>
      <x:c r="C32" s="66" t="str">
        <x:v>GridContainer</x:v>
      </x:c>
      <x:c r="D32" s="66" t="str">
        <x:v>ContainerElementModel</x:v>
      </x:c>
      <x:c r="E32" s="66" t="str">
        <x:v>无直接对应</x:v>
      </x:c>
      <x:c r="F32" s="66" t="str">
        <x:v>Grid</x:v>
      </x:c>
      <x:c r="G32" s="66" t="str">
        <x:v>Rows/Cols/Visibility</x:v>
      </x:c>
      <x:c r="H32" s="66" t="str">
        <x:v>标准UI布局</x:v>
      </x:c>
      <x:c r="I32" s="66" t="str">
        <x:v>建议</x:v>
      </x:c>
      <x:c r="J32" s="66"/>
    </x:row>
    <x:row r="33">
      <x:c r="A33" s="58" t="str">
        <x:v>容器 Container</x:v>
      </x:c>
      <x:c r="B33" s="58" t="str">
        <x:v>堆叠容器</x:v>
      </x:c>
      <x:c r="C33" s="58" t="str">
        <x:v>StackContainer</x:v>
      </x:c>
      <x:c r="D33" s="58" t="str">
        <x:v>ContainerElementModel</x:v>
      </x:c>
      <x:c r="E33" s="58" t="str">
        <x:v>无直接对应</x:v>
      </x:c>
      <x:c r="F33" s="58" t="str">
        <x:v>StackPanel</x:v>
      </x:c>
      <x:c r="G33" s="58" t="str">
        <x:v>Orientation/Spacing</x:v>
      </x:c>
      <x:c r="H33" s="58" t="str">
        <x:v>表单/菜单</x:v>
      </x:c>
      <x:c r="I33" s="58" t="str">
        <x:v>建议</x:v>
      </x:c>
      <x:c r="J33" s="58"/>
    </x:row>
    <x:row r="34">
      <x:c r="A34" s="66" t="str">
        <x:v>容器 Container</x:v>
      </x:c>
      <x:c r="B34" s="66" t="str">
        <x:v>换行容器</x:v>
      </x:c>
      <x:c r="C34" s="66" t="str">
        <x:v>WrapContainer</x:v>
      </x:c>
      <x:c r="D34" s="66" t="str">
        <x:v>ContainerElementModel</x:v>
      </x:c>
      <x:c r="E34" s="66" t="str">
        <x:v>无直接对应</x:v>
      </x:c>
      <x:c r="F34" s="66" t="str">
        <x:v>WrapPanel</x:v>
      </x:c>
      <x:c r="G34" s="66" t="str">
        <x:v>Orientation</x:v>
      </x:c>
      <x:c r="H34" s="66" t="str">
        <x:v>工具按钮区</x:v>
      </x:c>
      <x:c r="I34" s="66" t="str">
        <x:v>后期</x:v>
      </x:c>
      <x:c r="J34" s="66"/>
    </x:row>
    <x:row r="35">
      <x:c r="A35" s="58" t="str">
        <x:v>容器 Container</x:v>
      </x:c>
      <x:c r="B35" s="58" t="str">
        <x:v>停靠容器</x:v>
      </x:c>
      <x:c r="C35" s="58" t="str">
        <x:v>DockContainer</x:v>
      </x:c>
      <x:c r="D35" s="58" t="str">
        <x:v>ContainerElementModel</x:v>
      </x:c>
      <x:c r="E35" s="58" t="str">
        <x:v>无直接对应</x:v>
      </x:c>
      <x:c r="F35" s="58" t="str">
        <x:v>DockPanel</x:v>
      </x:c>
      <x:c r="G35" s="58" t="str">
        <x:v>Dock</x:v>
      </x:c>
      <x:c r="H35" s="58" t="str">
        <x:v>页面框架</x:v>
      </x:c>
      <x:c r="I35" s="58" t="str">
        <x:v>建议</x:v>
      </x:c>
      <x:c r="J35" s="58"/>
    </x:row>
    <x:row r="36">
      <x:c r="A36" s="66" t="str">
        <x:v>容器 Container</x:v>
      </x:c>
      <x:c r="B36" s="66" t="str">
        <x:v>标签容器</x:v>
      </x:c>
      <x:c r="C36" s="66" t="str">
        <x:v>TabContainer</x:v>
      </x:c>
      <x:c r="D36" s="66" t="str">
        <x:v>ContainerElementModel</x:v>
      </x:c>
      <x:c r="E36" s="66" t="str">
        <x:v>无直接对应</x:v>
      </x:c>
      <x:c r="F36" s="66" t="str">
        <x:v>TabControl</x:v>
      </x:c>
      <x:c r="G36" s="66" t="str">
        <x:v>SelectedIndex/Visible</x:v>
      </x:c>
      <x:c r="H36" s="66" t="str">
        <x:v>多区域页面</x:v>
      </x:c>
      <x:c r="I36" s="66" t="str">
        <x:v>建议</x:v>
      </x:c>
      <x:c r="J36" s="66"/>
    </x:row>
    <x:row r="37">
      <x:c r="A37" s="58" t="str">
        <x:v>容器 Container</x:v>
      </x:c>
      <x:c r="B37" s="58" t="str">
        <x:v>分割容器</x:v>
      </x:c>
      <x:c r="C37" s="58" t="str">
        <x:v>SplitContainer</x:v>
      </x:c>
      <x:c r="D37" s="58" t="str">
        <x:v>ContainerElementModel</x:v>
      </x:c>
      <x:c r="E37" s="58" t="str">
        <x:v>无直接对应</x:v>
      </x:c>
      <x:c r="F37" s="58" t="str">
        <x:v>GridSplitter + Grid</x:v>
      </x:c>
      <x:c r="G37" s="58" t="str">
        <x:v>SplitRatio</x:v>
      </x:c>
      <x:c r="H37" s="58" t="str">
        <x:v>双栏/多栏</x:v>
      </x:c>
      <x:c r="I37" s="58" t="str">
        <x:v>后期</x:v>
      </x:c>
      <x:c r="J37" s="58"/>
    </x:row>
    <x:row r="38">
      <x:c r="A38" s="66" t="str">
        <x:v>容器 Container</x:v>
      </x:c>
      <x:c r="B38" s="66" t="str">
        <x:v>滚动容器</x:v>
      </x:c>
      <x:c r="C38" s="66" t="str">
        <x:v>ScrollContainer</x:v>
      </x:c>
      <x:c r="D38" s="66" t="str">
        <x:v>ContainerElementModel</x:v>
      </x:c>
      <x:c r="E38" s="66" t="str">
        <x:v>无直接对应</x:v>
      </x:c>
      <x:c r="F38" s="66" t="str">
        <x:v>ScrollViewer</x:v>
      </x:c>
      <x:c r="G38" s="66" t="str">
        <x:v>Offsets</x:v>
      </x:c>
      <x:c r="H38" s="66" t="str">
        <x:v>大内容区域</x:v>
      </x:c>
      <x:c r="I38" s="66" t="str">
        <x:v>建议</x:v>
      </x:c>
      <x:c r="J38" s="66"/>
    </x:row>
    <x:row r="39">
      <x:c r="A39" s="58" t="str">
        <x:v>容器 Container</x:v>
      </x:c>
      <x:c r="B39" s="58" t="str">
        <x:v>弹层容器</x:v>
      </x:c>
      <x:c r="C39" s="58" t="str">
        <x:v>PopupContainer</x:v>
      </x:c>
      <x:c r="D39" s="58" t="str">
        <x:v>ContainerElementModel</x:v>
      </x:c>
      <x:c r="E39" s="58" t="str">
        <x:v>无直接对应</x:v>
      </x:c>
      <x:c r="F39" s="58" t="str">
        <x:v>Adorner/Popup/Overlay</x:v>
      </x:c>
      <x:c r="G39" s="58" t="str">
        <x:v>Open/Visible/Modal</x:v>
      </x:c>
      <x:c r="H39" s="58" t="str">
        <x:v>详情弹窗/确认</x:v>
      </x:c>
      <x:c r="I39" s="58" t="str">
        <x:v>必须</x:v>
      </x:c>
      <x:c r="J39" s="58"/>
    </x:row>
    <x:row r="40">
      <x:c r="A40" s="66" t="str">
        <x:v>控件 Control</x:v>
      </x:c>
      <x:c r="B40" s="66" t="str">
        <x:v>标签</x:v>
      </x:c>
      <x:c r="C40" s="66" t="str">
        <x:v>Label</x:v>
      </x:c>
      <x:c r="D40" s="66" t="str">
        <x:v>ControlElementModel</x:v>
      </x:c>
      <x:c r="E40" s="66" t="str">
        <x:v>不适合SVG</x:v>
      </x:c>
      <x:c r="F40" s="66" t="str">
        <x:v>TextBlock/Label</x:v>
      </x:c>
      <x:c r="G40" s="66" t="str">
        <x:v>Text/Foreground/Visible</x:v>
      </x:c>
      <x:c r="H40" s="66" t="str">
        <x:v>真实交互/焦点/键盘/IME</x:v>
      </x:c>
      <x:c r="I40" s="66" t="str">
        <x:v>必须</x:v>
      </x:c>
      <x:c r="J40" s="66" t="str">
        <x:v>运行时使用真实WPF控件</x:v>
      </x:c>
    </x:row>
    <x:row r="41">
      <x:c r="A41" s="58" t="str">
        <x:v>控件 Control</x:v>
      </x:c>
      <x:c r="B41" s="58" t="str">
        <x:v>按钮</x:v>
      </x:c>
      <x:c r="C41" s="58" t="str">
        <x:v>Button</x:v>
      </x:c>
      <x:c r="D41" s="58" t="str">
        <x:v>ControlElementModel</x:v>
      </x:c>
      <x:c r="E41" s="58" t="str">
        <x:v>不适合SVG</x:v>
      </x:c>
      <x:c r="F41" s="58" t="str">
        <x:v>Button</x:v>
      </x:c>
      <x:c r="G41" s="58" t="str">
        <x:v>Text/Enabled/Background/Visible</x:v>
      </x:c>
      <x:c r="H41" s="58" t="str">
        <x:v>真实交互/焦点/键盘/IME</x:v>
      </x:c>
      <x:c r="I41" s="58" t="str">
        <x:v>必须</x:v>
      </x:c>
      <x:c r="J41" s="58" t="str">
        <x:v>运行时使用真实WPF控件</x:v>
      </x:c>
    </x:row>
    <x:row r="42">
      <x:c r="A42" s="66" t="str">
        <x:v>控件 Control</x:v>
      </x:c>
      <x:c r="B42" s="66" t="str">
        <x:v>切换按钮</x:v>
      </x:c>
      <x:c r="C42" s="66" t="str">
        <x:v>ToggleButton</x:v>
      </x:c>
      <x:c r="D42" s="66" t="str">
        <x:v>ControlElementModel</x:v>
      </x:c>
      <x:c r="E42" s="66" t="str">
        <x:v>不适合SVG</x:v>
      </x:c>
      <x:c r="F42" s="66" t="str">
        <x:v>ToggleButton</x:v>
      </x:c>
      <x:c r="G42" s="66" t="str">
        <x:v>IsChecked/Text/Enabled</x:v>
      </x:c>
      <x:c r="H42" s="66" t="str">
        <x:v>真实交互/焦点/键盘/IME</x:v>
      </x:c>
      <x:c r="I42" s="66" t="str">
        <x:v>必须</x:v>
      </x:c>
      <x:c r="J42" s="66" t="str">
        <x:v>运行时使用真实WPF控件</x:v>
      </x:c>
    </x:row>
    <x:row r="43">
      <x:c r="A43" s="58" t="str">
        <x:v>控件 Control</x:v>
      </x:c>
      <x:c r="B43" s="58" t="str">
        <x:v>文本输入</x:v>
      </x:c>
      <x:c r="C43" s="58" t="str">
        <x:v>TextBox</x:v>
      </x:c>
      <x:c r="D43" s="58" t="str">
        <x:v>ControlElementModel</x:v>
      </x:c>
      <x:c r="E43" s="58" t="str">
        <x:v>不适合SVG</x:v>
      </x:c>
      <x:c r="F43" s="58" t="str">
        <x:v>TextBox</x:v>
      </x:c>
      <x:c r="G43" s="58" t="str">
        <x:v>Text/Enabled/Visible</x:v>
      </x:c>
      <x:c r="H43" s="58" t="str">
        <x:v>真实交互/焦点/键盘/IME</x:v>
      </x:c>
      <x:c r="I43" s="58" t="str">
        <x:v>必须</x:v>
      </x:c>
      <x:c r="J43" s="58" t="str">
        <x:v>运行时使用真实WPF控件</x:v>
      </x:c>
    </x:row>
    <x:row r="44">
      <x:c r="A44" s="66" t="str">
        <x:v>控件 Control</x:v>
      </x:c>
      <x:c r="B44" s="66" t="str">
        <x:v>密码输入</x:v>
      </x:c>
      <x:c r="C44" s="66" t="str">
        <x:v>PasswordBox</x:v>
      </x:c>
      <x:c r="D44" s="66" t="str">
        <x:v>ControlElementModel</x:v>
      </x:c>
      <x:c r="E44" s="66" t="str">
        <x:v>不适合SVG</x:v>
      </x:c>
      <x:c r="F44" s="66" t="str">
        <x:v>PasswordBox</x:v>
      </x:c>
      <x:c r="G44" s="66" t="str">
        <x:v>Enabled/Visible</x:v>
      </x:c>
      <x:c r="H44" s="66" t="str">
        <x:v>真实交互/焦点/键盘/IME</x:v>
      </x:c>
      <x:c r="I44" s="66" t="str">
        <x:v>建议</x:v>
      </x:c>
      <x:c r="J44" s="66" t="str">
        <x:v>运行时使用真实WPF控件</x:v>
      </x:c>
    </x:row>
    <x:row r="45">
      <x:c r="A45" s="58" t="str">
        <x:v>控件 Control</x:v>
      </x:c>
      <x:c r="B45" s="58" t="str">
        <x:v>复选框</x:v>
      </x:c>
      <x:c r="C45" s="58" t="str">
        <x:v>CheckBox</x:v>
      </x:c>
      <x:c r="D45" s="58" t="str">
        <x:v>ControlElementModel</x:v>
      </x:c>
      <x:c r="E45" s="58" t="str">
        <x:v>不适合SVG</x:v>
      </x:c>
      <x:c r="F45" s="58" t="str">
        <x:v>CheckBox</x:v>
      </x:c>
      <x:c r="G45" s="58" t="str">
        <x:v>IsChecked/Text/Enabled</x:v>
      </x:c>
      <x:c r="H45" s="58" t="str">
        <x:v>真实交互/焦点/键盘/IME</x:v>
      </x:c>
      <x:c r="I45" s="58" t="str">
        <x:v>必须</x:v>
      </x:c>
      <x:c r="J45" s="58" t="str">
        <x:v>运行时使用真实WPF控件</x:v>
      </x:c>
    </x:row>
    <x:row r="46">
      <x:c r="A46" s="66" t="str">
        <x:v>控件 Control</x:v>
      </x:c>
      <x:c r="B46" s="66" t="str">
        <x:v>单选框</x:v>
      </x:c>
      <x:c r="C46" s="66" t="str">
        <x:v>RadioButton</x:v>
      </x:c>
      <x:c r="D46" s="66" t="str">
        <x:v>ControlElementModel</x:v>
      </x:c>
      <x:c r="E46" s="66" t="str">
        <x:v>不适合SVG</x:v>
      </x:c>
      <x:c r="F46" s="66" t="str">
        <x:v>RadioButton</x:v>
      </x:c>
      <x:c r="G46" s="66" t="str">
        <x:v>IsChecked/Group/Text</x:v>
      </x:c>
      <x:c r="H46" s="66" t="str">
        <x:v>真实交互/焦点/键盘/IME</x:v>
      </x:c>
      <x:c r="I46" s="66" t="str">
        <x:v>建议</x:v>
      </x:c>
      <x:c r="J46" s="66" t="str">
        <x:v>运行时使用真实WPF控件</x:v>
      </x:c>
    </x:row>
    <x:row r="47">
      <x:c r="A47" s="58" t="str">
        <x:v>控件 Control</x:v>
      </x:c>
      <x:c r="B47" s="58" t="str">
        <x:v>下拉框</x:v>
      </x:c>
      <x:c r="C47" s="58" t="str">
        <x:v>ComboBox</x:v>
      </x:c>
      <x:c r="D47" s="58" t="str">
        <x:v>ControlElementModel</x:v>
      </x:c>
      <x:c r="E47" s="58" t="str">
        <x:v>不适合SVG</x:v>
      </x:c>
      <x:c r="F47" s="58" t="str">
        <x:v>ComboBox</x:v>
      </x:c>
      <x:c r="G47" s="58" t="str">
        <x:v>Items/SelectedValue/Enabled</x:v>
      </x:c>
      <x:c r="H47" s="58" t="str">
        <x:v>真实交互/焦点/键盘/IME</x:v>
      </x:c>
      <x:c r="I47" s="58" t="str">
        <x:v>必须</x:v>
      </x:c>
      <x:c r="J47" s="58" t="str">
        <x:v>运行时使用真实WPF控件</x:v>
      </x:c>
    </x:row>
    <x:row r="48">
      <x:c r="A48" s="66" t="str">
        <x:v>控件 Control</x:v>
      </x:c>
      <x:c r="B48" s="66" t="str">
        <x:v>列表框</x:v>
      </x:c>
      <x:c r="C48" s="66" t="str">
        <x:v>ListBox</x:v>
      </x:c>
      <x:c r="D48" s="66" t="str">
        <x:v>ControlElementModel</x:v>
      </x:c>
      <x:c r="E48" s="66" t="str">
        <x:v>不适合SVG</x:v>
      </x:c>
      <x:c r="F48" s="66" t="str">
        <x:v>ListBox</x:v>
      </x:c>
      <x:c r="G48" s="66" t="str">
        <x:v>Items/SelectedValue</x:v>
      </x:c>
      <x:c r="H48" s="66" t="str">
        <x:v>真实交互/焦点/键盘/IME</x:v>
      </x:c>
      <x:c r="I48" s="66" t="str">
        <x:v>建议</x:v>
      </x:c>
      <x:c r="J48" s="66" t="str">
        <x:v>运行时使用真实WPF控件</x:v>
      </x:c>
    </x:row>
    <x:row r="49">
      <x:c r="A49" s="58" t="str">
        <x:v>控件 Control</x:v>
      </x:c>
      <x:c r="B49" s="58" t="str">
        <x:v>列表视图</x:v>
      </x:c>
      <x:c r="C49" s="58" t="str">
        <x:v>ListView</x:v>
      </x:c>
      <x:c r="D49" s="58" t="str">
        <x:v>ControlElementModel</x:v>
      </x:c>
      <x:c r="E49" s="58" t="str">
        <x:v>不适合SVG</x:v>
      </x:c>
      <x:c r="F49" s="58" t="str">
        <x:v>ListView</x:v>
      </x:c>
      <x:c r="G49" s="58" t="str">
        <x:v>Items/SelectedItem</x:v>
      </x:c>
      <x:c r="H49" s="58" t="str">
        <x:v>真实交互/焦点/键盘/IME</x:v>
      </x:c>
      <x:c r="I49" s="58" t="str">
        <x:v>后期</x:v>
      </x:c>
      <x:c r="J49" s="58" t="str">
        <x:v>运行时使用真实WPF控件</x:v>
      </x:c>
    </x:row>
    <x:row r="50">
      <x:c r="A50" s="66" t="str">
        <x:v>控件 Control</x:v>
      </x:c>
      <x:c r="B50" s="66" t="str">
        <x:v>树视图</x:v>
      </x:c>
      <x:c r="C50" s="66" t="str">
        <x:v>TreeView</x:v>
      </x:c>
      <x:c r="D50" s="66" t="str">
        <x:v>ControlElementModel</x:v>
      </x:c>
      <x:c r="E50" s="66" t="str">
        <x:v>不适合SVG</x:v>
      </x:c>
      <x:c r="F50" s="66" t="str">
        <x:v>TreeView</x:v>
      </x:c>
      <x:c r="G50" s="66" t="str">
        <x:v>Items/SelectedItem</x:v>
      </x:c>
      <x:c r="H50" s="66" t="str">
        <x:v>真实交互/焦点/键盘/IME</x:v>
      </x:c>
      <x:c r="I50" s="66" t="str">
        <x:v>后期</x:v>
      </x:c>
      <x:c r="J50" s="66" t="str">
        <x:v>运行时使用真实WPF控件</x:v>
      </x:c>
    </x:row>
    <x:row r="51">
      <x:c r="A51" s="58" t="str">
        <x:v>控件 Control</x:v>
      </x:c>
      <x:c r="B51" s="58" t="str">
        <x:v>滑块</x:v>
      </x:c>
      <x:c r="C51" s="58" t="str">
        <x:v>Slider</x:v>
      </x:c>
      <x:c r="D51" s="58" t="str">
        <x:v>ControlElementModel</x:v>
      </x:c>
      <x:c r="E51" s="58" t="str">
        <x:v>不适合SVG</x:v>
      </x:c>
      <x:c r="F51" s="58" t="str">
        <x:v>Slider</x:v>
      </x:c>
      <x:c r="G51" s="58" t="str">
        <x:v>Value/Min/Max/Enabled</x:v>
      </x:c>
      <x:c r="H51" s="58" t="str">
        <x:v>真实交互/焦点/键盘/IME</x:v>
      </x:c>
      <x:c r="I51" s="58" t="str">
        <x:v>建议</x:v>
      </x:c>
      <x:c r="J51" s="58" t="str">
        <x:v>运行时使用真实WPF控件</x:v>
      </x:c>
    </x:row>
    <x:row r="52">
      <x:c r="A52" s="66" t="str">
        <x:v>控件 Control</x:v>
      </x:c>
      <x:c r="B52" s="66" t="str">
        <x:v>标准进度条</x:v>
      </x:c>
      <x:c r="C52" s="66" t="str">
        <x:v>ProgressBarControl</x:v>
      </x:c>
      <x:c r="D52" s="66" t="str">
        <x:v>ControlElementModel</x:v>
      </x:c>
      <x:c r="E52" s="66" t="str">
        <x:v>不适合SVG</x:v>
      </x:c>
      <x:c r="F52" s="66" t="str">
        <x:v>ProgressBar</x:v>
      </x:c>
      <x:c r="G52" s="66" t="str">
        <x:v>Value/Min/Max</x:v>
      </x:c>
      <x:c r="H52" s="66" t="str">
        <x:v>真实交互/焦点/键盘/IME</x:v>
      </x:c>
      <x:c r="I52" s="66" t="str">
        <x:v>必须</x:v>
      </x:c>
      <x:c r="J52" s="66" t="str">
        <x:v>运行时使用真实WPF控件</x:v>
      </x:c>
    </x:row>
    <x:row r="53">
      <x:c r="A53" s="58" t="str">
        <x:v>控件 Control</x:v>
      </x:c>
      <x:c r="B53" s="58" t="str">
        <x:v>数值输入</x:v>
      </x:c>
      <x:c r="C53" s="58" t="str">
        <x:v>NumericInput</x:v>
      </x:c>
      <x:c r="D53" s="58" t="str">
        <x:v>ControlElementModel</x:v>
      </x:c>
      <x:c r="E53" s="58" t="str">
        <x:v>不适合SVG</x:v>
      </x:c>
      <x:c r="F53" s="58" t="str">
        <x:v>自研NumericUpDown</x:v>
      </x:c>
      <x:c r="G53" s="58" t="str">
        <x:v>Value/Min/Max/Step</x:v>
      </x:c>
      <x:c r="H53" s="58" t="str">
        <x:v>真实交互/焦点/键盘/IME</x:v>
      </x:c>
      <x:c r="I53" s="58" t="str">
        <x:v>建议</x:v>
      </x:c>
      <x:c r="J53" s="58" t="str">
        <x:v>运行时使用真实WPF控件</x:v>
      </x:c>
    </x:row>
    <x:row r="54">
      <x:c r="A54" s="66" t="str">
        <x:v>控件 Control</x:v>
      </x:c>
      <x:c r="B54" s="66" t="str">
        <x:v>日期时间输入</x:v>
      </x:c>
      <x:c r="C54" s="66" t="str">
        <x:v>DateTimeInput</x:v>
      </x:c>
      <x:c r="D54" s="66" t="str">
        <x:v>ControlElementModel</x:v>
      </x:c>
      <x:c r="E54" s="66" t="str">
        <x:v>不适合SVG</x:v>
      </x:c>
      <x:c r="F54" s="66" t="str">
        <x:v>自研/第三方可选</x:v>
      </x:c>
      <x:c r="G54" s="66" t="str">
        <x:v>Value/Enabled</x:v>
      </x:c>
      <x:c r="H54" s="66" t="str">
        <x:v>真实交互/焦点/键盘/IME</x:v>
      </x:c>
      <x:c r="I54" s="66" t="str">
        <x:v>后期</x:v>
      </x:c>
      <x:c r="J54" s="66" t="str">
        <x:v>运行时使用真实WPF控件</x:v>
      </x:c>
    </x:row>
    <x:row r="55">
      <x:c r="A55" s="58" t="str">
        <x:v>控件 Control</x:v>
      </x:c>
      <x:c r="B55" s="58" t="str">
        <x:v>数据表格</x:v>
      </x:c>
      <x:c r="C55" s="58" t="str">
        <x:v>DataGrid</x:v>
      </x:c>
      <x:c r="D55" s="58" t="str">
        <x:v>ControlElementModel</x:v>
      </x:c>
      <x:c r="E55" s="58" t="str">
        <x:v>不适合SVG</x:v>
      </x:c>
      <x:c r="F55" s="58" t="str">
        <x:v>DataGrid</x:v>
      </x:c>
      <x:c r="G55" s="58" t="str">
        <x:v>Items/Selected/Visibility</x:v>
      </x:c>
      <x:c r="H55" s="58" t="str">
        <x:v>真实交互/焦点/键盘/IME</x:v>
      </x:c>
      <x:c r="I55" s="58" t="str">
        <x:v>建议</x:v>
      </x:c>
      <x:c r="J55" s="58" t="str">
        <x:v>运行时使用真实WPF控件</x:v>
      </x:c>
    </x:row>
    <x:row r="56">
      <x:c r="A56" s="66" t="str">
        <x:v>控件 Control</x:v>
      </x:c>
      <x:c r="B56" s="66" t="str">
        <x:v>边框/面板</x:v>
      </x:c>
      <x:c r="C56" s="66" t="str">
        <x:v>BorderPanel</x:v>
      </x:c>
      <x:c r="D56" s="66" t="str">
        <x:v>ControlElementModel</x:v>
      </x:c>
      <x:c r="E56" s="66" t="str">
        <x:v>不适合SVG</x:v>
      </x:c>
      <x:c r="F56" s="66" t="str">
        <x:v>Border</x:v>
      </x:c>
      <x:c r="G56" s="66" t="str">
        <x:v>Background/Border/Visible</x:v>
      </x:c>
      <x:c r="H56" s="66" t="str">
        <x:v>真实交互/焦点/键盘/IME</x:v>
      </x:c>
      <x:c r="I56" s="66" t="str">
        <x:v>建议</x:v>
      </x:c>
      <x:c r="J56" s="66" t="str">
        <x:v>运行时使用真实WPF控件</x:v>
      </x:c>
    </x:row>
    <x:row r="57">
      <x:c r="A57" s="58" t="str">
        <x:v>控件 Control</x:v>
      </x:c>
      <x:c r="B57" s="58" t="str">
        <x:v>分隔线</x:v>
      </x:c>
      <x:c r="C57" s="58" t="str">
        <x:v>Separator</x:v>
      </x:c>
      <x:c r="D57" s="58" t="str">
        <x:v>ControlElementModel</x:v>
      </x:c>
      <x:c r="E57" s="58" t="str">
        <x:v>不适合SVG</x:v>
      </x:c>
      <x:c r="F57" s="58" t="str">
        <x:v>Separator</x:v>
      </x:c>
      <x:c r="G57" s="58" t="str">
        <x:v>Visible</x:v>
      </x:c>
      <x:c r="H57" s="58" t="str">
        <x:v>真实交互/焦点/键盘/IME</x:v>
      </x:c>
      <x:c r="I57" s="58" t="str">
        <x:v>后期</x:v>
      </x:c>
      <x:c r="J57" s="58" t="str">
        <x:v>运行时使用真实WPF控件</x:v>
      </x:c>
    </x:row>
    <x:row r="58">
      <x:c r="A58" s="66" t="str">
        <x:v>符号 Symbol</x:v>
      </x:c>
      <x:c r="B58" s="66" t="str">
        <x:v>管道</x:v>
      </x:c>
      <x:c r="C58" s="66" t="str">
        <x:v>Pipe</x:v>
      </x:c>
      <x:c r="D58" s="66" t="str">
        <x:v>SymbolInstanceElementModel</x:v>
      </x:c>
      <x:c r="E58" s="66" t="str">
        <x:v>Polyline/Path</x:v>
      </x:c>
      <x:c r="F58" s="66" t="str">
        <x:v>Symbol + Geometry</x:v>
      </x:c>
      <x:c r="G58" s="66" t="str">
        <x:v>Color/Width/Flow/Visible</x:v>
      </x:c>
      <x:c r="H58" s="66" t="str">
        <x:v>流动/状态动画</x:v>
      </x:c>
      <x:c r="I58" s="66" t="str">
        <x:v>必须</x:v>
      </x:c>
      <x:c r="J58" s="66" t="str">
        <x:v>建议以Symbol/Faceplate承载行为</x:v>
      </x:c>
    </x:row>
    <x:row r="59">
      <x:c r="A59" s="58" t="str">
        <x:v>符号 Symbol</x:v>
      </x:c>
      <x:c r="B59" s="58" t="str">
        <x:v>阀门</x:v>
      </x:c>
      <x:c r="C59" s="58" t="str">
        <x:v>Valve</x:v>
      </x:c>
      <x:c r="D59" s="58" t="str">
        <x:v>SymbolInstanceElementModel</x:v>
      </x:c>
      <x:c r="E59" s="58" t="str">
        <x:v>SVG/Symbol</x:v>
      </x:c>
      <x:c r="F59" s="58" t="str">
        <x:v>Symbol Definition/Instance</x:v>
      </x:c>
      <x:c r="G59" s="58" t="str">
        <x:v>Open/Alarm/Color</x:v>
      </x:c>
      <x:c r="H59" s="58" t="str">
        <x:v>开关/报警</x:v>
      </x:c>
      <x:c r="I59" s="58" t="str">
        <x:v>必须</x:v>
      </x:c>
      <x:c r="J59" s="58" t="str">
        <x:v>建议以Symbol/Faceplate承载行为</x:v>
      </x:c>
    </x:row>
    <x:row r="60">
      <x:c r="A60" s="66" t="str">
        <x:v>符号 Symbol</x:v>
      </x:c>
      <x:c r="B60" s="66" t="str">
        <x:v>泵</x:v>
      </x:c>
      <x:c r="C60" s="66" t="str">
        <x:v>Pump</x:v>
      </x:c>
      <x:c r="D60" s="66" t="str">
        <x:v>SymbolInstanceElementModel</x:v>
      </x:c>
      <x:c r="E60" s="66" t="str">
        <x:v>SVG/Symbol</x:v>
      </x:c>
      <x:c r="F60" s="66" t="str">
        <x:v>Symbol Definition/Instance</x:v>
      </x:c>
      <x:c r="G60" s="66" t="str">
        <x:v>Running/Alarm/Speed</x:v>
      </x:c>
      <x:c r="H60" s="66" t="str">
        <x:v>旋转/状态</x:v>
      </x:c>
      <x:c r="I60" s="66" t="str">
        <x:v>必须</x:v>
      </x:c>
      <x:c r="J60" s="66" t="str">
        <x:v>建议以Symbol/Faceplate承载行为</x:v>
      </x:c>
    </x:row>
    <x:row r="61">
      <x:c r="A61" s="58" t="str">
        <x:v>符号 Symbol</x:v>
      </x:c>
      <x:c r="B61" s="58" t="str">
        <x:v>电机</x:v>
      </x:c>
      <x:c r="C61" s="58" t="str">
        <x:v>Motor</x:v>
      </x:c>
      <x:c r="D61" s="58" t="str">
        <x:v>SymbolInstanceElementModel</x:v>
      </x:c>
      <x:c r="E61" s="58" t="str">
        <x:v>SVG/Symbol</x:v>
      </x:c>
      <x:c r="F61" s="58" t="str">
        <x:v>Symbol Definition/Instance</x:v>
      </x:c>
      <x:c r="G61" s="58" t="str">
        <x:v>Running/Alarm/Speed</x:v>
      </x:c>
      <x:c r="H61" s="58" t="str">
        <x:v>旋转/状态</x:v>
      </x:c>
      <x:c r="I61" s="58" t="str">
        <x:v>必须</x:v>
      </x:c>
      <x:c r="J61" s="58" t="str">
        <x:v>建议以Symbol/Faceplate承载行为</x:v>
      </x:c>
    </x:row>
    <x:row r="62">
      <x:c r="A62" s="66" t="str">
        <x:v>符号 Symbol</x:v>
      </x:c>
      <x:c r="B62" s="66" t="str">
        <x:v>储罐</x:v>
      </x:c>
      <x:c r="C62" s="66" t="str">
        <x:v>Tank</x:v>
      </x:c>
      <x:c r="D62" s="66" t="str">
        <x:v>SymbolInstanceElementModel</x:v>
      </x:c>
      <x:c r="E62" s="66" t="str">
        <x:v>SVG/Geometry</x:v>
      </x:c>
      <x:c r="F62" s="66" t="str">
        <x:v>Symbol + ClipGeometry</x:v>
      </x:c>
      <x:c r="G62" s="66" t="str">
        <x:v>Level/Color/Alarm</x:v>
      </x:c>
      <x:c r="H62" s="66" t="str">
        <x:v>液位动态</x:v>
      </x:c>
      <x:c r="I62" s="66" t="str">
        <x:v>必须</x:v>
      </x:c>
      <x:c r="J62" s="66" t="str">
        <x:v>建议以Symbol/Faceplate承载行为</x:v>
      </x:c>
    </x:row>
    <x:row r="63">
      <x:c r="A63" s="58" t="str">
        <x:v>符号 Symbol</x:v>
      </x:c>
      <x:c r="B63" s="58" t="str">
        <x:v>压力容器</x:v>
      </x:c>
      <x:c r="C63" s="58" t="str">
        <x:v>Vessel</x:v>
      </x:c>
      <x:c r="D63" s="58" t="str">
        <x:v>SymbolInstanceElementModel</x:v>
      </x:c>
      <x:c r="E63" s="58" t="str">
        <x:v>SVG/Geometry</x:v>
      </x:c>
      <x:c r="F63" s="58" t="str">
        <x:v>Symbol</x:v>
      </x:c>
      <x:c r="G63" s="58" t="str">
        <x:v>Level/Pressure/Alarm</x:v>
      </x:c>
      <x:c r="H63" s="58" t="str">
        <x:v>液位/压力</x:v>
      </x:c>
      <x:c r="I63" s="58" t="str">
        <x:v>建议</x:v>
      </x:c>
      <x:c r="J63" s="58" t="str">
        <x:v>建议以Symbol/Faceplate承载行为</x:v>
      </x:c>
    </x:row>
    <x:row r="64">
      <x:c r="A64" s="66" t="str">
        <x:v>符号 Symbol</x:v>
      </x:c>
      <x:c r="B64" s="66" t="str">
        <x:v>风机</x:v>
      </x:c>
      <x:c r="C64" s="66" t="str">
        <x:v>Fan</x:v>
      </x:c>
      <x:c r="D64" s="66" t="str">
        <x:v>SymbolInstanceElementModel</x:v>
      </x:c>
      <x:c r="E64" s="66" t="str">
        <x:v>SVG/Symbol</x:v>
      </x:c>
      <x:c r="F64" s="66" t="str">
        <x:v>Symbol</x:v>
      </x:c>
      <x:c r="G64" s="66" t="str">
        <x:v>Running/Speed/Alarm</x:v>
      </x:c>
      <x:c r="H64" s="66" t="str">
        <x:v>旋转</x:v>
      </x:c>
      <x:c r="I64" s="66" t="str">
        <x:v>建议</x:v>
      </x:c>
      <x:c r="J64" s="66" t="str">
        <x:v>建议以Symbol/Faceplate承载行为</x:v>
      </x:c>
    </x:row>
    <x:row r="65">
      <x:c r="A65" s="58" t="str">
        <x:v>符号 Symbol</x:v>
      </x:c>
      <x:c r="B65" s="58" t="str">
        <x:v>输送机</x:v>
      </x:c>
      <x:c r="C65" s="58" t="str">
        <x:v>Conveyor</x:v>
      </x:c>
      <x:c r="D65" s="58" t="str">
        <x:v>SymbolInstanceElementModel</x:v>
      </x:c>
      <x:c r="E65" s="58" t="str">
        <x:v>SVG/Geometry</x:v>
      </x:c>
      <x:c r="F65" s="58" t="str">
        <x:v>Symbol</x:v>
      </x:c>
      <x:c r="G65" s="58" t="str">
        <x:v>Running/Speed</x:v>
      </x:c>
      <x:c r="H65" s="58" t="str">
        <x:v>移动动画</x:v>
      </x:c>
      <x:c r="I65" s="58" t="str">
        <x:v>建议</x:v>
      </x:c>
      <x:c r="J65" s="58" t="str">
        <x:v>建议以Symbol/Faceplate承载行为</x:v>
      </x:c>
    </x:row>
    <x:row r="66">
      <x:c r="A66" s="66" t="str">
        <x:v>符号 Symbol</x:v>
      </x:c>
      <x:c r="B66" s="66" t="str">
        <x:v>气缸</x:v>
      </x:c>
      <x:c r="C66" s="66" t="str">
        <x:v>Cylinder</x:v>
      </x:c>
      <x:c r="D66" s="66" t="str">
        <x:v>SymbolInstanceElementModel</x:v>
      </x:c>
      <x:c r="E66" s="66" t="str">
        <x:v>SVG/Geometry</x:v>
      </x:c>
      <x:c r="F66" s="66" t="str">
        <x:v>Symbol</x:v>
      </x:c>
      <x:c r="G66" s="66" t="str">
        <x:v>Position/Extend/Alarm</x:v>
      </x:c>
      <x:c r="H66" s="66" t="str">
        <x:v>伸缩</x:v>
      </x:c>
      <x:c r="I66" s="66" t="str">
        <x:v>建议</x:v>
      </x:c>
      <x:c r="J66" s="66" t="str">
        <x:v>建议以Symbol/Faceplate承载行为</x:v>
      </x:c>
    </x:row>
    <x:row r="67">
      <x:c r="A67" s="58" t="str">
        <x:v>符号 Symbol</x:v>
      </x:c>
      <x:c r="B67" s="58" t="str">
        <x:v>加热器</x:v>
      </x:c>
      <x:c r="C67" s="58" t="str">
        <x:v>Heater</x:v>
      </x:c>
      <x:c r="D67" s="58" t="str">
        <x:v>SymbolInstanceElementModel</x:v>
      </x:c>
      <x:c r="E67" s="58" t="str">
        <x:v>SVG/Geometry</x:v>
      </x:c>
      <x:c r="F67" s="58" t="str">
        <x:v>Symbol</x:v>
      </x:c>
      <x:c r="G67" s="58" t="str">
        <x:v>On/Temperature</x:v>
      </x:c>
      <x:c r="H67" s="58" t="str">
        <x:v>颜色/闪烁</x:v>
      </x:c>
      <x:c r="I67" s="58" t="str">
        <x:v>后期</x:v>
      </x:c>
      <x:c r="J67" s="58" t="str">
        <x:v>建议以Symbol/Faceplate承载行为</x:v>
      </x:c>
    </x:row>
    <x:row r="68">
      <x:c r="A68" s="66" t="str">
        <x:v>符号 Symbol</x:v>
      </x:c>
      <x:c r="B68" s="66" t="str">
        <x:v>搅拌器</x:v>
      </x:c>
      <x:c r="C68" s="66" t="str">
        <x:v>Mixer</x:v>
      </x:c>
      <x:c r="D68" s="66" t="str">
        <x:v>SymbolInstanceElementModel</x:v>
      </x:c>
      <x:c r="E68" s="66" t="str">
        <x:v>SVG/Symbol</x:v>
      </x:c>
      <x:c r="F68" s="66" t="str">
        <x:v>Symbol</x:v>
      </x:c>
      <x:c r="G68" s="66" t="str">
        <x:v>Running/Speed</x:v>
      </x:c>
      <x:c r="H68" s="66" t="str">
        <x:v>旋转</x:v>
      </x:c>
      <x:c r="I68" s="66" t="str">
        <x:v>后期</x:v>
      </x:c>
      <x:c r="J68" s="66" t="str">
        <x:v>建议以Symbol/Faceplate承载行为</x:v>
      </x:c>
    </x:row>
    <x:row r="69">
      <x:c r="A69" s="58" t="str">
        <x:v>显示 Display</x:v>
      </x:c>
      <x:c r="B69" s="58" t="str">
        <x:v>流量计</x:v>
      </x:c>
      <x:c r="C69" s="58" t="str">
        <x:v>FlowMeter</x:v>
      </x:c>
      <x:c r="D69" s="58" t="str">
        <x:v>DisplayElementModel</x:v>
      </x:c>
      <x:c r="E69" s="58" t="str">
        <x:v>SVG/Geometry</x:v>
      </x:c>
      <x:c r="F69" s="58" t="str">
        <x:v>Symbol</x:v>
      </x:c>
      <x:c r="G69" s="58" t="str">
        <x:v>Flow/Alarm</x:v>
      </x:c>
      <x:c r="H69" s="58" t="str">
        <x:v>数值/状态</x:v>
      </x:c>
      <x:c r="I69" s="58" t="str">
        <x:v>建议</x:v>
      </x:c>
      <x:c r="J69" s="58" t="str">
        <x:v>建议以Symbol/Faceplate承载行为</x:v>
      </x:c>
    </x:row>
    <x:row r="70">
      <x:c r="A70" s="66" t="str">
        <x:v>符号 Symbol</x:v>
      </x:c>
      <x:c r="B70" s="66" t="str">
        <x:v>传感器</x:v>
      </x:c>
      <x:c r="C70" s="66" t="str">
        <x:v>Sensor</x:v>
      </x:c>
      <x:c r="D70" s="66" t="str">
        <x:v>SymbolInstanceElementModel</x:v>
      </x:c>
      <x:c r="E70" s="66" t="str">
        <x:v>SVG/Symbol</x:v>
      </x:c>
      <x:c r="F70" s="66" t="str">
        <x:v>Symbol</x:v>
      </x:c>
      <x:c r="G70" s="66" t="str">
        <x:v>Value/Alarm</x:v>
      </x:c>
      <x:c r="H70" s="66" t="str">
        <x:v>状态/数值</x:v>
      </x:c>
      <x:c r="I70" s="66" t="str">
        <x:v>必须</x:v>
      </x:c>
      <x:c r="J70" s="66" t="str">
        <x:v>建议以Symbol/Faceplate承载行为</x:v>
      </x:c>
    </x:row>
    <x:row r="71">
      <x:c r="A71" s="58" t="str">
        <x:v>符号 Symbol</x:v>
      </x:c>
      <x:c r="B71" s="58" t="str">
        <x:v>开关</x:v>
      </x:c>
      <x:c r="C71" s="58" t="str">
        <x:v>Switch</x:v>
      </x:c>
      <x:c r="D71" s="58" t="str">
        <x:v>SymbolInstanceElementModel</x:v>
      </x:c>
      <x:c r="E71" s="58" t="str">
        <x:v>SVG/Geometry</x:v>
      </x:c>
      <x:c r="F71" s="58" t="str">
        <x:v>Symbol</x:v>
      </x:c>
      <x:c r="G71" s="58" t="str">
        <x:v>State/Enabled</x:v>
      </x:c>
      <x:c r="H71" s="58" t="str">
        <x:v>切换</x:v>
      </x:c>
      <x:c r="I71" s="58" t="str">
        <x:v>建议</x:v>
      </x:c>
      <x:c r="J71" s="58" t="str">
        <x:v>建议以Symbol/Faceplate承载行为</x:v>
      </x:c>
    </x:row>
    <x:row r="72">
      <x:c r="A72" s="66" t="str">
        <x:v>显示 Display</x:v>
      </x:c>
      <x:c r="B72" s="66" t="str">
        <x:v>指示灯</x:v>
      </x:c>
      <x:c r="C72" s="66" t="str">
        <x:v>Lamp</x:v>
      </x:c>
      <x:c r="D72" s="66" t="str">
        <x:v>DisplayElementModel</x:v>
      </x:c>
      <x:c r="E72" s="66" t="str">
        <x:v>SVG/Geometry</x:v>
      </x:c>
      <x:c r="F72" s="66" t="str">
        <x:v>Symbol</x:v>
      </x:c>
      <x:c r="G72" s="66" t="str">
        <x:v>State/Color/Blink</x:v>
      </x:c>
      <x:c r="H72" s="66" t="str">
        <x:v>颜色/闪烁</x:v>
      </x:c>
      <x:c r="I72" s="66" t="str">
        <x:v>必须</x:v>
      </x:c>
      <x:c r="J72" s="66" t="str">
        <x:v>建议以Symbol/Faceplate承载行为</x:v>
      </x:c>
    </x:row>
    <x:row r="73">
      <x:c r="A73" s="58" t="str">
        <x:v>显示 Display</x:v>
      </x:c>
      <x:c r="B73" s="58" t="str">
        <x:v>三色灯</x:v>
      </x:c>
      <x:c r="C73" s="58" t="str">
        <x:v>StackLight</x:v>
      </x:c>
      <x:c r="D73" s="58" t="str">
        <x:v>DisplayElementModel</x:v>
      </x:c>
      <x:c r="E73" s="58" t="str">
        <x:v>SVG/Geometry</x:v>
      </x:c>
      <x:c r="F73" s="58" t="str">
        <x:v>Symbol</x:v>
      </x:c>
      <x:c r="G73" s="58" t="str">
        <x:v>Red/Yellow/Green/Buzzer</x:v>
      </x:c>
      <x:c r="H73" s="58" t="str">
        <x:v>多状态</x:v>
      </x:c>
      <x:c r="I73" s="58" t="str">
        <x:v>建议</x:v>
      </x:c>
      <x:c r="J73" s="58" t="str">
        <x:v>建议以Symbol/Faceplate承载行为</x:v>
      </x:c>
    </x:row>
    <x:row r="74">
      <x:c r="A74" s="66" t="str">
        <x:v>显示 Display</x:v>
      </x:c>
      <x:c r="B74" s="66" t="str">
        <x:v>温度计</x:v>
      </x:c>
      <x:c r="C74" s="66" t="str">
        <x:v>Thermometer</x:v>
      </x:c>
      <x:c r="D74" s="66" t="str">
        <x:v>DisplayElementModel</x:v>
      </x:c>
      <x:c r="E74" s="66" t="str">
        <x:v>SVG/Geometry</x:v>
      </x:c>
      <x:c r="F74" s="66" t="str">
        <x:v>Symbol</x:v>
      </x:c>
      <x:c r="G74" s="66" t="str">
        <x:v>Value/Min/Max/Color</x:v>
      </x:c>
      <x:c r="H74" s="66" t="str">
        <x:v>液柱变化</x:v>
      </x:c>
      <x:c r="I74" s="66" t="str">
        <x:v>必须</x:v>
      </x:c>
      <x:c r="J74" s="66" t="str">
        <x:v>建议以Symbol/Faceplate承载行为</x:v>
      </x:c>
    </x:row>
    <x:row r="75">
      <x:c r="A75" s="58" t="str">
        <x:v>显示 Display</x:v>
      </x:c>
      <x:c r="B75" s="58" t="str">
        <x:v>LED数码管</x:v>
      </x:c>
      <x:c r="C75" s="58" t="str">
        <x:v>LedDisplay</x:v>
      </x:c>
      <x:c r="D75" s="58" t="str">
        <x:v>DisplayElementModel</x:v>
      </x:c>
      <x:c r="E75" s="58" t="str">
        <x:v>SVG/Geometry</x:v>
      </x:c>
      <x:c r="F75" s="58" t="str">
        <x:v>Symbol</x:v>
      </x:c>
      <x:c r="G75" s="58" t="str">
        <x:v>Value/Format/Color</x:v>
      </x:c>
      <x:c r="H75" s="58" t="str">
        <x:v>数字显示</x:v>
      </x:c>
      <x:c r="I75" s="58" t="str">
        <x:v>必须</x:v>
      </x:c>
      <x:c r="J75" s="58" t="str">
        <x:v>建议以Symbol/Faceplate承载行为</x:v>
      </x:c>
    </x:row>
    <x:row r="76">
      <x:c r="A76" s="66" t="str">
        <x:v>显示 Display</x:v>
      </x:c>
      <x:c r="B76" s="66" t="str">
        <x:v>数值显示</x:v>
      </x:c>
      <x:c r="C76" s="66" t="str">
        <x:v>NumericDisplay</x:v>
      </x:c>
      <x:c r="D76" s="66" t="str">
        <x:v>DisplayElementModel</x:v>
      </x:c>
      <x:c r="E76" s="66" t="str">
        <x:v>按对象而定</x:v>
      </x:c>
      <x:c r="F76" s="66" t="str">
        <x:v>Text/FormattedText</x:v>
      </x:c>
      <x:c r="G76" s="66" t="str">
        <x:v>Value/Format/Unit/Color</x:v>
      </x:c>
      <x:c r="H76" s="66" t="str">
        <x:v>实时数值</x:v>
      </x:c>
      <x:c r="I76" s="66" t="str">
        <x:v>必须</x:v>
      </x:c>
      <x:c r="J76" s="66"/>
    </x:row>
    <x:row r="77">
      <x:c r="A77" s="58" t="str">
        <x:v>显示 Display</x:v>
      </x:c>
      <x:c r="B77" s="58" t="str">
        <x:v>状态指示</x:v>
      </x:c>
      <x:c r="C77" s="58" t="str">
        <x:v>Indicator</x:v>
      </x:c>
      <x:c r="D77" s="58" t="str">
        <x:v>DisplayElementModel</x:v>
      </x:c>
      <x:c r="E77" s="58" t="str">
        <x:v>按对象而定</x:v>
      </x:c>
      <x:c r="F77" s="58" t="str">
        <x:v>Geometry/Control</x:v>
      </x:c>
      <x:c r="G77" s="58" t="str">
        <x:v>State/Color/Text/Blink</x:v>
      </x:c>
      <x:c r="H77" s="58" t="str">
        <x:v>离散状态</x:v>
      </x:c>
      <x:c r="I77" s="58" t="str">
        <x:v>必须</x:v>
      </x:c>
      <x:c r="J77" s="58"/>
    </x:row>
    <x:row r="78">
      <x:c r="A78" s="66" t="str">
        <x:v>显示 Display</x:v>
      </x:c>
      <x:c r="B78" s="66" t="str">
        <x:v>数据进度条</x:v>
      </x:c>
      <x:c r="C78" s="66" t="str">
        <x:v>DataProgressBar</x:v>
      </x:c>
      <x:c r="D78" s="66" t="str">
        <x:v>DisplayElementModel</x:v>
      </x:c>
      <x:c r="E78" s="66" t="str">
        <x:v>按对象而定</x:v>
      </x:c>
      <x:c r="F78" s="66" t="str">
        <x:v>Geometry</x:v>
      </x:c>
      <x:c r="G78" s="66" t="str">
        <x:v>Value/Min/Max/Color</x:v>
      </x:c>
      <x:c r="H78" s="66" t="str">
        <x:v>模拟量</x:v>
      </x:c>
      <x:c r="I78" s="66" t="str">
        <x:v>必须</x:v>
      </x:c>
      <x:c r="J78" s="66"/>
    </x:row>
    <x:row r="79">
      <x:c r="A79" s="58" t="str">
        <x:v>显示 Display</x:v>
      </x:c>
      <x:c r="B79" s="58" t="str">
        <x:v>仪表盘</x:v>
      </x:c>
      <x:c r="C79" s="58" t="str">
        <x:v>Gauge</x:v>
      </x:c>
      <x:c r="D79" s="58" t="str">
        <x:v>DisplayElementModel</x:v>
      </x:c>
      <x:c r="E79" s="58" t="str">
        <x:v>按对象而定</x:v>
      </x:c>
      <x:c r="F79" s="58" t="str">
        <x:v>Geometry</x:v>
      </x:c>
      <x:c r="G79" s="58" t="str">
        <x:v>Value/Range/Zones</x:v>
      </x:c>
      <x:c r="H79" s="58" t="str">
        <x:v>仪表显示</x:v>
      </x:c>
      <x:c r="I79" s="58" t="str">
        <x:v>必须</x:v>
      </x:c>
      <x:c r="J79" s="58"/>
    </x:row>
    <x:row r="80">
      <x:c r="A80" s="66" t="str">
        <x:v>显示 Display</x:v>
      </x:c>
      <x:c r="B80" s="66" t="str">
        <x:v>简单仪表</x:v>
      </x:c>
      <x:c r="C80" s="66" t="str">
        <x:v>SimpleGauge</x:v>
      </x:c>
      <x:c r="D80" s="66" t="str">
        <x:v>DisplayElementModel</x:v>
      </x:c>
      <x:c r="E80" s="66" t="str">
        <x:v>按对象而定</x:v>
      </x:c>
      <x:c r="F80" s="66" t="str">
        <x:v>Geometry</x:v>
      </x:c>
      <x:c r="G80" s="66" t="str">
        <x:v>Value/Range</x:v>
      </x:c>
      <x:c r="H80" s="66" t="str">
        <x:v>轻量仪表</x:v>
      </x:c>
      <x:c r="I80" s="66" t="str">
        <x:v>建议</x:v>
      </x:c>
      <x:c r="J80" s="66"/>
    </x:row>
    <x:row r="81">
      <x:c r="A81" s="58" t="str">
        <x:v>图表 Chart</x:v>
      </x:c>
      <x:c r="B81" s="58" t="str">
        <x:v>趋势图</x:v>
      </x:c>
      <x:c r="C81" s="58" t="str">
        <x:v>TrendChart</x:v>
      </x:c>
      <x:c r="D81" s="58" t="str">
        <x:v>ChartElementModel</x:v>
      </x:c>
      <x:c r="E81" s="58" t="str">
        <x:v>按对象而定</x:v>
      </x:c>
      <x:c r="F81" s="58" t="str">
        <x:v>ScottPlot.WPF</x:v>
      </x:c>
      <x:c r="G81" s="58" t="str">
        <x:v>Series/History/Window</x:v>
      </x:c>
      <x:c r="H81" s="58" t="str">
        <x:v>实时/历史趋势</x:v>
      </x:c>
      <x:c r="I81" s="58" t="str">
        <x:v>必须</x:v>
      </x:c>
      <x:c r="J81" s="58"/>
    </x:row>
    <x:row r="82">
      <x:c r="A82" s="66" t="str">
        <x:v>图表 Chart</x:v>
      </x:c>
      <x:c r="B82" s="66" t="str">
        <x:v>时间序列图</x:v>
      </x:c>
      <x:c r="C82" s="66" t="str">
        <x:v>TimeSeriesChart</x:v>
      </x:c>
      <x:c r="D82" s="66" t="str">
        <x:v>ChartElementModel</x:v>
      </x:c>
      <x:c r="E82" s="66" t="str">
        <x:v>按对象而定</x:v>
      </x:c>
      <x:c r="F82" s="66" t="str">
        <x:v>ScottPlot.WPF</x:v>
      </x:c>
      <x:c r="G82" s="66" t="str">
        <x:v>Series/TimeRange</x:v>
      </x:c>
      <x:c r="H82" s="66" t="str">
        <x:v>时序数据</x:v>
      </x:c>
      <x:c r="I82" s="66" t="str">
        <x:v>必须</x:v>
      </x:c>
      <x:c r="J82" s="66"/>
    </x:row>
    <x:row r="83">
      <x:c r="A83" s="58" t="str">
        <x:v>图表 Chart</x:v>
      </x:c>
      <x:c r="B83" s="58" t="str">
        <x:v>XY图</x:v>
      </x:c>
      <x:c r="C83" s="58" t="str">
        <x:v>XYChart</x:v>
      </x:c>
      <x:c r="D83" s="58" t="str">
        <x:v>ChartElementModel</x:v>
      </x:c>
      <x:c r="E83" s="58" t="str">
        <x:v>按对象而定</x:v>
      </x:c>
      <x:c r="F83" s="58" t="str">
        <x:v>ScottPlot.WPF</x:v>
      </x:c>
      <x:c r="G83" s="58" t="str">
        <x:v>XSeries/YSeries</x:v>
      </x:c>
      <x:c r="H83" s="58" t="str">
        <x:v>散点/过程曲线</x:v>
      </x:c>
      <x:c r="I83" s="58" t="str">
        <x:v>建议</x:v>
      </x:c>
      <x:c r="J83" s="58"/>
    </x:row>
    <x:row r="84">
      <x:c r="A84" s="66" t="str">
        <x:v>图表 Chart</x:v>
      </x:c>
      <x:c r="B84" s="66" t="str">
        <x:v>柱状图</x:v>
      </x:c>
      <x:c r="C84" s="66" t="str">
        <x:v>BarChart</x:v>
      </x:c>
      <x:c r="D84" s="66" t="str">
        <x:v>ChartElementModel</x:v>
      </x:c>
      <x:c r="E84" s="66" t="str">
        <x:v>按对象而定</x:v>
      </x:c>
      <x:c r="F84" s="66" t="str">
        <x:v>ScottPlot.WPF</x:v>
      </x:c>
      <x:c r="G84" s="66" t="str">
        <x:v>Series/Category</x:v>
      </x:c>
      <x:c r="H84" s="66" t="str">
        <x:v>统计展示</x:v>
      </x:c>
      <x:c r="I84" s="66" t="str">
        <x:v>建议</x:v>
      </x:c>
      <x:c r="J84" s="66"/>
    </x:row>
    <x:row r="85">
      <x:c r="A85" s="58" t="str">
        <x:v>图表 Chart</x:v>
      </x:c>
      <x:c r="B85" s="58" t="str">
        <x:v>饼图</x:v>
      </x:c>
      <x:c r="C85" s="58" t="str">
        <x:v>PieChart</x:v>
      </x:c>
      <x:c r="D85" s="58" t="str">
        <x:v>ChartElementModel</x:v>
      </x:c>
      <x:c r="E85" s="58" t="str">
        <x:v>按对象而定</x:v>
      </x:c>
      <x:c r="F85" s="58" t="str">
        <x:v>ScottPlot.WPF</x:v>
      </x:c>
      <x:c r="G85" s="58" t="str">
        <x:v>Series</x:v>
      </x:c>
      <x:c r="H85" s="58" t="str">
        <x:v>占比展示</x:v>
      </x:c>
      <x:c r="I85" s="58" t="str">
        <x:v>建议</x:v>
      </x:c>
      <x:c r="J85" s="58"/>
    </x:row>
    <x:row r="86">
      <x:c r="A86" s="66" t="str">
        <x:v>图表 Chart</x:v>
      </x:c>
      <x:c r="B86" s="66" t="str">
        <x:v>迷你趋势</x:v>
      </x:c>
      <x:c r="C86" s="66" t="str">
        <x:v>Sparkline</x:v>
      </x:c>
      <x:c r="D86" s="66" t="str">
        <x:v>ChartElementModel</x:v>
      </x:c>
      <x:c r="E86" s="66" t="str">
        <x:v>按对象而定</x:v>
      </x:c>
      <x:c r="F86" s="66" t="str">
        <x:v>自研/ScottPlot</x:v>
      </x:c>
      <x:c r="G86" s="66" t="str">
        <x:v>Series/Window</x:v>
      </x:c>
      <x:c r="H86" s="66" t="str">
        <x:v>小型趋势</x:v>
      </x:c>
      <x:c r="I86" s="66" t="str">
        <x:v>建议</x:v>
      </x:c>
      <x:c r="J86" s="66"/>
    </x:row>
    <x:row r="87">
      <x:c r="A87" s="58" t="str">
        <x:v>显示 Display</x:v>
      </x:c>
      <x:c r="B87" s="58" t="str">
        <x:v>报警状态</x:v>
      </x:c>
      <x:c r="C87" s="58" t="str">
        <x:v>AlarmStatus</x:v>
      </x:c>
      <x:c r="D87" s="58" t="str">
        <x:v>DisplayElementModel</x:v>
      </x:c>
      <x:c r="E87" s="58" t="str">
        <x:v>按对象而定</x:v>
      </x:c>
      <x:c r="F87" s="58" t="str">
        <x:v>WPF Control</x:v>
      </x:c>
      <x:c r="G87" s="58" t="str">
        <x:v>Filter/State</x:v>
      </x:c>
      <x:c r="H87" s="58" t="str">
        <x:v>当前报警</x:v>
      </x:c>
      <x:c r="I87" s="58" t="str">
        <x:v>建议</x:v>
      </x:c>
      <x:c r="J87" s="58"/>
    </x:row>
    <x:row r="88">
      <x:c r="A88" s="66" t="str">
        <x:v>显示 Display</x:v>
      </x:c>
      <x:c r="B88" s="66" t="str">
        <x:v>报警日志表</x:v>
      </x:c>
      <x:c r="C88" s="66" t="str">
        <x:v>AlarmJournalTable</x:v>
      </x:c>
      <x:c r="D88" s="66" t="str">
        <x:v>DisplayElementModel</x:v>
      </x:c>
      <x:c r="E88" s="66" t="str">
        <x:v>按对象而定</x:v>
      </x:c>
      <x:c r="F88" s="66" t="str">
        <x:v>DataGrid</x:v>
      </x:c>
      <x:c r="G88" s="66" t="str">
        <x:v>Filter/TimeRange</x:v>
      </x:c>
      <x:c r="H88" s="66" t="str">
        <x:v>历史报警</x:v>
      </x:c>
      <x:c r="I88" s="66" t="str">
        <x:v>建议</x:v>
      </x:c>
      <x:c r="J88" s="66"/>
    </x:row>
    <x:row r="89">
      <x:c r="A89" s="58" t="str">
        <x:v>显示 Display</x:v>
      </x:c>
      <x:c r="B89" s="58" t="str">
        <x:v>历史数据表</x:v>
      </x:c>
      <x:c r="C89" s="58" t="str">
        <x:v>HistoryTable</x:v>
      </x:c>
      <x:c r="D89" s="58" t="str">
        <x:v>DisplayElementModel</x:v>
      </x:c>
      <x:c r="E89" s="58" t="str">
        <x:v>按对象而定</x:v>
      </x:c>
      <x:c r="F89" s="58" t="str">
        <x:v>DataGrid</x:v>
      </x:c>
      <x:c r="G89" s="58" t="str">
        <x:v>Query/Columns</x:v>
      </x:c>
      <x:c r="H89" s="58" t="str">
        <x:v>历史数据</x:v>
      </x:c>
      <x:c r="I89" s="58" t="str">
        <x:v>后期</x:v>
      </x:c>
      <x:c r="J89" s="58"/>
    </x:row>
    <x:row r="90">
      <x:c r="A90" s="66" t="str">
        <x:v>显示 Display</x:v>
      </x:c>
      <x:c r="B90" s="66" t="str">
        <x:v>条码</x:v>
      </x:c>
      <x:c r="C90" s="66" t="str">
        <x:v>Barcode</x:v>
      </x:c>
      <x:c r="D90" s="66" t="str">
        <x:v>DisplayElementModel</x:v>
      </x:c>
      <x:c r="E90" s="66" t="str">
        <x:v>按对象而定</x:v>
      </x:c>
      <x:c r="F90" s="66" t="str">
        <x:v>Barcode renderer</x:v>
      </x:c>
      <x:c r="G90" s="66" t="str">
        <x:v>Value/Format</x:v>
      </x:c>
      <x:c r="H90" s="66" t="str">
        <x:v>条码显示</x:v>
      </x:c>
      <x:c r="I90" s="66" t="str">
        <x:v>后期</x:v>
      </x:c>
      <x:c r="J90" s="66"/>
    </x:row>
    <x:row r="91">
      <x:c r="A91" s="58" t="str">
        <x:v>显示 Display</x:v>
      </x:c>
      <x:c r="B91" s="58" t="str">
        <x:v>二维码</x:v>
      </x:c>
      <x:c r="C91" s="58" t="str">
        <x:v>QRCode</x:v>
      </x:c>
      <x:c r="D91" s="58" t="str">
        <x:v>DisplayElementModel</x:v>
      </x:c>
      <x:c r="E91" s="58" t="str">
        <x:v>按对象而定</x:v>
      </x:c>
      <x:c r="F91" s="58" t="str">
        <x:v>QR renderer</x:v>
      </x:c>
      <x:c r="G91" s="58" t="str">
        <x:v>Value</x:v>
      </x:c>
      <x:c r="H91" s="58" t="str">
        <x:v>二维码显示</x:v>
      </x:c>
      <x:c r="I91" s="58" t="str">
        <x:v>后期</x:v>
      </x:c>
      <x:c r="J91" s="58"/>
    </x:row>
    <x:row r="92">
      <x:c r="A92" s="66" t="str">
        <x:v>容器 Container</x:v>
      </x:c>
      <x:c r="B92" s="66" t="str">
        <x:v>图元组</x:v>
      </x:c>
      <x:c r="C92" s="66" t="str">
        <x:v>Group</x:v>
      </x:c>
      <x:c r="D92" s="66" t="str">
        <x:v>GroupElementModel</x:v>
      </x:c>
      <x:c r="E92" s="66" t="str">
        <x:v>&lt;g&gt;</x:v>
      </x:c>
      <x:c r="F92" s="66" t="str">
        <x:v>GroupModel + Transform</x:v>
      </x:c>
      <x:c r="G92" s="66" t="str">
        <x:v>Visible/Opacity/Transform</x:v>
      </x:c>
      <x:c r="H92" s="66" t="str">
        <x:v>整体编辑</x:v>
      </x:c>
      <x:c r="I92" s="66" t="str">
        <x:v>必须</x:v>
      </x:c>
      <x:c r="J92" s="66" t="str">
        <x:v>Group拥有Children</x:v>
      </x:c>
    </x:row>
    <x:row r="93">
      <x:c r="A93" s="58" t="str">
        <x:v>符号 Symbol</x:v>
      </x:c>
      <x:c r="B93" s="58" t="str">
        <x:v>项目符号定义</x:v>
      </x:c>
      <x:c r="C93" s="58" t="str">
        <x:v>SymbolDefinition</x:v>
      </x:c>
      <x:c r="D93" s="58" t="str">
        <x:v>SymbolDefinition</x:v>
      </x:c>
      <x:c r="E93" s="58" t="str">
        <x:v>可含SVG/基础图元</x:v>
      </x:c>
      <x:c r="F93" s="58" t="str">
        <x:v>SymbolDefinition Editor</x:v>
      </x:c>
      <x:c r="G93" s="58" t="str">
        <x:v>PublicProperties/States</x:v>
      </x:c>
      <x:c r="H93" s="58" t="str">
        <x:v>语义复用/版本</x:v>
      </x:c>
      <x:c r="I93" s="58" t="str">
        <x:v>必须</x:v>
      </x:c>
      <x:c r="J93" s="58" t="str">
        <x:v>Definition不直接占页面</x:v>
      </x:c>
    </x:row>
    <x:row r="94">
      <x:c r="A94" s="66" t="str">
        <x:v>符号 Symbol</x:v>
      </x:c>
      <x:c r="B94" s="66" t="str">
        <x:v>符号实例</x:v>
      </x:c>
      <x:c r="C94" s="66" t="str">
        <x:v>SymbolInstance</x:v>
      </x:c>
      <x:c r="D94" s="66" t="str">
        <x:v>SymbolInstanceElementModel</x:v>
      </x:c>
      <x:c r="E94" s="66" t="str">
        <x:v>&lt;use&gt;语义类似</x:v>
      </x:c>
      <x:c r="F94" s="66" t="str">
        <x:v>SymbolInstanceRenderer</x:v>
      </x:c>
      <x:c r="G94" s="66" t="str">
        <x:v>Overrides/Bindings</x:v>
      </x:c>
      <x:c r="H94" s="66" t="str">
        <x:v>实例运行/ scoped address</x:v>
      </x:c>
      <x:c r="I94" s="66" t="str">
        <x:v>必须</x:v>
      </x:c>
      <x:c r="J94" s="66" t="str">
        <x:v>页面只存Definition引用与覆盖</x:v>
      </x:c>
    </x:row>
    <x:row r="95">
      <x:c r="A95" s="58" t="str">
        <x:v>符号 Symbol</x:v>
      </x:c>
      <x:c r="B95" s="58" t="str">
        <x:v>内置标准符号</x:v>
      </x:c>
      <x:c r="C95" s="58" t="str">
        <x:v>BuiltInSymbol</x:v>
      </x:c>
      <x:c r="D95" s="58" t="str">
        <x:v>BuiltInSymbolDefinition</x:v>
      </x:c>
      <x:c r="E95" s="58" t="str">
        <x:v>可含SVG/Geometry</x:v>
      </x:c>
      <x:c r="F95" s="58" t="str">
        <x:v>统一Symbol Renderer</x:v>
      </x:c>
      <x:c r="G95" s="58" t="str">
        <x:v>PublicProperties</x:v>
      </x:c>
      <x:c r="H95" s="58" t="str">
        <x:v>标准设备库</x:v>
      </x:c>
      <x:c r="I95" s="58" t="str">
        <x:v>必须</x:v>
      </x:c>
      <x:c r="J95" s="58" t="str">
        <x:v>Pump/Valve/Motor等逐步迁移</x:v>
      </x:c>
    </x:row>
    <x:row r="96">
      <x:c r="A96" s="66" t="str">
        <x:v>符号 Symbol</x:v>
      </x:c>
      <x:c r="B96" s="66" t="str">
        <x:v>Faceplate符号</x:v>
      </x:c>
      <x:c r="C96" s="66" t="str">
        <x:v>FaceplateSymbol</x:v>
      </x:c>
      <x:c r="D96" s="66" t="str">
        <x:v>SymbolDefinition + FaceplateMetadata</x:v>
      </x:c>
      <x:c r="E96" s="66" t="str">
        <x:v>可含SVG/UI模板</x:v>
      </x:c>
      <x:c r="F96" s="66" t="str">
        <x:v>Symbol+Navigation/Popup</x:v>
      </x:c>
      <x:c r="G96" s="66" t="str">
        <x:v>Parameters/Events</x:v>
      </x:c>
      <x:c r="H96" s="66" t="str">
        <x:v>详情/操作面板</x:v>
      </x:c>
      <x:c r="I96" s="66" t="str">
        <x:v>建议</x:v>
      </x:c>
      <x:c r="J96" s="66" t="str">
        <x:v>Faceplate是Symbol使用模式，不是第二套Component</x:v>
      </x:c>
    </x:row>
    <x:row r="97">
      <x:c r="A97" s="58" t="str">
        <x:v>符号 Symbol</x:v>
      </x:c>
      <x:c r="B97" s="58" t="str">
        <x:v>参数化符号模板</x:v>
      </x:c>
      <x:c r="C97" s="58" t="str">
        <x:v>ParameterizedSymbol</x:v>
      </x:c>
      <x:c r="D97" s="58" t="str">
        <x:v>SymbolDefinition</x:v>
      </x:c>
      <x:c r="E97" s="58" t="str">
        <x:v>可含SVG</x:v>
      </x:c>
      <x:c r="F97" s="58" t="str">
        <x:v>Symbol Renderer</x:v>
      </x:c>
      <x:c r="G97" s="58" t="str">
        <x:v>PublicProperties/Ports</x:v>
      </x:c>
      <x:c r="H97" s="58" t="str">
        <x:v>模板化</x:v>
      </x:c>
      <x:c r="I97" s="58" t="str">
        <x:v>建议</x:v>
      </x:c>
      <x:c r="J97" s="58" t="str">
        <x:v>统一由PublicProperty/Mapping实现</x:v>
      </x:c>
    </x:row>
    <x:row r="98">
      <x:c r="A98" s="66" t="str">
        <x:v>显示 Display</x:v>
      </x:c>
      <x:c r="B98" s="66" t="str">
        <x:v>日期时间显示</x:v>
      </x:c>
      <x:c r="C98" s="66" t="str">
        <x:v>DateTimeDisplay</x:v>
      </x:c>
      <x:c r="D98" s="66" t="str">
        <x:v>DisplayElementModel</x:v>
      </x:c>
      <x:c r="E98" s="66" t="str">
        <x:v>不适合SVG</x:v>
      </x:c>
      <x:c r="F98" s="66" t="str">
        <x:v>TextBlock + Formatter</x:v>
      </x:c>
      <x:c r="G98" s="66" t="str">
        <x:v>Value/Format/Visible</x:v>
      </x:c>
      <x:c r="H98" s="66" t="str">
        <x:v>显示当前/变量时间</x:v>
      </x:c>
      <x:c r="I98" s="66" t="str">
        <x:v>建议</x:v>
      </x:c>
      <x:c r="J98" s="66" t="str">
        <x:v>需求14.2</x:v>
      </x:c>
    </x:row>
    <x:row r="99">
      <x:c r="A99" s="58" t="str">
        <x:v>控件 Control</x:v>
      </x:c>
      <x:c r="B99" s="58" t="str">
        <x:v>日期时间选择</x:v>
      </x:c>
      <x:c r="C99" s="58" t="str">
        <x:v>DateTimePicker</x:v>
      </x:c>
      <x:c r="D99" s="58" t="str">
        <x:v>ControlElementModel</x:v>
      </x:c>
      <x:c r="E99" s="58" t="str">
        <x:v>不适合SVG</x:v>
      </x:c>
      <x:c r="F99" s="58" t="str">
        <x:v>自研WPF DateTimePicker/组合控件</x:v>
      </x:c>
      <x:c r="G99" s="58" t="str">
        <x:v>Value/Enabled/Visible</x:v>
      </x:c>
      <x:c r="H99" s="58" t="str">
        <x:v>时间参数输入</x:v>
      </x:c>
      <x:c r="I99" s="58" t="str">
        <x:v>建议</x:v>
      </x:c>
      <x:c r="J99" s="58" t="str">
        <x:v>需求14.2</x:v>
      </x:c>
    </x:row>
    <x:row r="100">
      <x:c r="A100" s="66" t="str">
        <x:v>控件 Control</x:v>
      </x:c>
      <x:c r="B100" s="66" t="str">
        <x:v>页面导航按钮</x:v>
      </x:c>
      <x:c r="C100" s="66" t="str">
        <x:v>NavigationButton</x:v>
      </x:c>
      <x:c r="D100" s="66" t="str">
        <x:v>ControlElementModel</x:v>
      </x:c>
      <x:c r="E100" s="66" t="str">
        <x:v>不适合SVG</x:v>
      </x:c>
      <x:c r="F100" s="66" t="str">
        <x:v>Button + NavigateAction</x:v>
      </x:c>
      <x:c r="G100" s="66" t="str">
        <x:v>TargetPage/Enabled/Visible</x:v>
      </x:c>
      <x:c r="H100" s="66" t="str">
        <x:v>页面跳转</x:v>
      </x:c>
      <x:c r="I100" s="66" t="str">
        <x:v>必须</x:v>
      </x:c>
      <x:c r="J100" s="66" t="str">
        <x:v>需求14.2/21</x:v>
      </x:c>
    </x:row>
    <x:row r="101">
      <x:c r="A101" s="58" t="str">
        <x:v>控件 Control</x:v>
      </x:c>
      <x:c r="B101" s="58" t="str">
        <x:v>弹窗打开按钮</x:v>
      </x:c>
      <x:c r="C101" s="58" t="str">
        <x:v>PopupButton</x:v>
      </x:c>
      <x:c r="D101" s="58" t="str">
        <x:v>ControlElementModel</x:v>
      </x:c>
      <x:c r="E101" s="58" t="str">
        <x:v>不适合SVG</x:v>
      </x:c>
      <x:c r="F101" s="58" t="str">
        <x:v>Button + OpenPopupAction</x:v>
      </x:c>
      <x:c r="G101" s="58" t="str">
        <x:v>PopupId/Parameters</x:v>
      </x:c>
      <x:c r="H101" s="58" t="str">
        <x:v>打开详情/参数弹窗</x:v>
      </x:c>
      <x:c r="I101" s="58" t="str">
        <x:v>必须</x:v>
      </x:c>
      <x:c r="J101" s="58" t="str">
        <x:v>需求14.2/21</x:v>
      </x:c>
    </x:row>
    <x:row r="102">
      <x:c r="A102" s="66" t="str">
        <x:v>控件 Control</x:v>
      </x:c>
      <x:c r="B102" s="66" t="str">
        <x:v>图片按钮</x:v>
      </x:c>
      <x:c r="C102" s="66" t="str">
        <x:v>ImageButton</x:v>
      </x:c>
      <x:c r="D102" s="66" t="str">
        <x:v>ControlElementModel</x:v>
      </x:c>
      <x:c r="E102" s="66" t="str">
        <x:v>可使用SVG图标</x:v>
      </x:c>
      <x:c r="F102" s="66" t="str">
        <x:v>Button Template</x:v>
      </x:c>
      <x:c r="G102" s="66" t="str">
        <x:v>Image/Text/Enabled</x:v>
      </x:c>
      <x:c r="H102" s="66" t="str">
        <x:v>图标型操作</x:v>
      </x:c>
      <x:c r="I102" s="66" t="str">
        <x:v>建议</x:v>
      </x:c>
      <x:c r="J102" s="66" t="str">
        <x:v>需求14.2</x:v>
      </x:c>
    </x:row>
    <x:row r="103">
      <x:c r="A103" s="58" t="str">
        <x:v>显示 Display</x:v>
      </x:c>
      <x:c r="B103" s="58" t="str">
        <x:v>状态图片</x:v>
      </x:c>
      <x:c r="C103" s="58" t="str">
        <x:v>StateImage</x:v>
      </x:c>
      <x:c r="D103" s="58" t="str">
        <x:v>DisplayElementModel</x:v>
      </x:c>
      <x:c r="E103" s="58" t="str">
        <x:v>SVG/Image</x:v>
      </x:c>
      <x:c r="F103" s="58" t="str">
        <x:v>Image + StateMap</x:v>
      </x:c>
      <x:c r="G103" s="58" t="str">
        <x:v>State/ImageSource/Visible</x:v>
      </x:c>
      <x:c r="H103" s="58" t="str">
        <x:v>多状态图片切换</x:v>
      </x:c>
      <x:c r="I103" s="58" t="str">
        <x:v>必须</x:v>
      </x:c>
      <x:c r="J103" s="58" t="str">
        <x:v>需求14.3</x:v>
      </x:c>
    </x:row>
    <x:row r="104">
      <x:c r="A104" s="66" t="str">
        <x:v>显示 Display</x:v>
      </x:c>
      <x:c r="B104" s="66" t="str">
        <x:v>报警灯</x:v>
      </x:c>
      <x:c r="C104" s="66" t="str">
        <x:v>AlarmLamp</x:v>
      </x:c>
      <x:c r="D104" s="66" t="str">
        <x:v>DisplayElementModel</x:v>
      </x:c>
      <x:c r="E104" s="66" t="str">
        <x:v>SVG/Geometry</x:v>
      </x:c>
      <x:c r="F104" s="66" t="str">
        <x:v>Symbol</x:v>
      </x:c>
      <x:c r="G104" s="66" t="str">
        <x:v>AlarmState/Level/Blink/Color</x:v>
      </x:c>
      <x:c r="H104" s="66" t="str">
        <x:v>报警指示</x:v>
      </x:c>
      <x:c r="I104" s="66" t="str">
        <x:v>必须</x:v>
      </x:c>
      <x:c r="J104" s="66" t="str">
        <x:v>需求14.3</x:v>
      </x:c>
    </x:row>
    <x:row r="105">
      <x:c r="A105" s="58" t="str">
        <x:v>符号 Symbol</x:v>
      </x:c>
      <x:c r="B105" s="58" t="str">
        <x:v>相机状态</x:v>
      </x:c>
      <x:c r="C105" s="58" t="str">
        <x:v>CameraStatus</x:v>
      </x:c>
      <x:c r="D105" s="58" t="str">
        <x:v>SymbolInstanceElementModel</x:v>
      </x:c>
      <x:c r="E105" s="58" t="str">
        <x:v>SVG/Symbol</x:v>
      </x:c>
      <x:c r="F105" s="58" t="str">
        <x:v>Symbol</x:v>
      </x:c>
      <x:c r="G105" s="58" t="str">
        <x:v>Online/Grab/Alarm/Exposure</x:v>
      </x:c>
      <x:c r="H105" s="58" t="str">
        <x:v>相机运行状态</x:v>
      </x:c>
      <x:c r="I105" s="58" t="str">
        <x:v>必须</x:v>
      </x:c>
      <x:c r="J105" s="58" t="str">
        <x:v>公司设备场景</x:v>
      </x:c>
    </x:row>
    <x:row r="106">
      <x:c r="A106" s="66" t="str">
        <x:v>符号 Symbol</x:v>
      </x:c>
      <x:c r="B106" s="66" t="str">
        <x:v>安全门状态</x:v>
      </x:c>
      <x:c r="C106" s="66" t="str">
        <x:v>SafetyDoorStatus</x:v>
      </x:c>
      <x:c r="D106" s="66" t="str">
        <x:v>SymbolInstanceElementModel</x:v>
      </x:c>
      <x:c r="E106" s="66" t="str">
        <x:v>SVG/Symbol</x:v>
      </x:c>
      <x:c r="F106" s="66" t="str">
        <x:v>Symbol</x:v>
      </x:c>
      <x:c r="G106" s="66" t="str">
        <x:v>Closed/Locked/Alarm</x:v>
      </x:c>
      <x:c r="H106" s="66" t="str">
        <x:v>安全门显示</x:v>
      </x:c>
      <x:c r="I106" s="66" t="str">
        <x:v>必须</x:v>
      </x:c>
      <x:c r="J106" s="66" t="str">
        <x:v>需求14.3</x:v>
      </x:c>
    </x:row>
    <x:row r="107">
      <x:c r="A107" s="58" t="str">
        <x:v>符号 Symbol</x:v>
      </x:c>
      <x:c r="B107" s="58" t="str">
        <x:v>急停状态</x:v>
      </x:c>
      <x:c r="C107" s="58" t="str">
        <x:v>EmergencyStopStatus</x:v>
      </x:c>
      <x:c r="D107" s="58" t="str">
        <x:v>SymbolInstanceElementModel</x:v>
      </x:c>
      <x:c r="E107" s="58" t="str">
        <x:v>SVG/Symbol</x:v>
      </x:c>
      <x:c r="F107" s="58" t="str">
        <x:v>Symbol</x:v>
      </x:c>
      <x:c r="G107" s="58" t="str">
        <x:v>Pressed/ResetRequired</x:v>
      </x:c>
      <x:c r="H107" s="58" t="str">
        <x:v>急停状态</x:v>
      </x:c>
      <x:c r="I107" s="58" t="str">
        <x:v>必须</x:v>
      </x:c>
      <x:c r="J107" s="58" t="str">
        <x:v>需求14.3</x:v>
      </x:c>
    </x:row>
    <x:row r="108">
      <x:c r="A108" s="66" t="str">
        <x:v>符号 Symbol</x:v>
      </x:c>
      <x:c r="B108" s="66" t="str">
        <x:v>轴状态</x:v>
      </x:c>
      <x:c r="C108" s="66" t="str">
        <x:v>AxisStatus</x:v>
      </x:c>
      <x:c r="D108" s="66" t="str">
        <x:v>SymbolInstanceElementModel</x:v>
      </x:c>
      <x:c r="E108" s="66" t="str">
        <x:v>SVG/Control</x:v>
      </x:c>
      <x:c r="F108" s="66" t="str">
        <x:v>Symbol</x:v>
      </x:c>
      <x:c r="G108" s="66" t="str">
        <x:v>Position/ServoOn/Home/Alarm/Moving</x:v>
      </x:c>
      <x:c r="H108" s="66" t="str">
        <x:v>运动轴状态</x:v>
      </x:c>
      <x:c r="I108" s="66" t="str">
        <x:v>必须</x:v>
      </x:c>
      <x:c r="J108" s="66" t="str">
        <x:v>需求14.3</x:v>
      </x:c>
    </x:row>
    <x:row r="109">
      <x:c r="A109" s="58" t="str">
        <x:v>符号 Symbol</x:v>
      </x:c>
      <x:c r="B109" s="58" t="str">
        <x:v>X-Ray光源状态</x:v>
      </x:c>
      <x:c r="C109" s="58" t="str">
        <x:v>XraySourceStatus</x:v>
      </x:c>
      <x:c r="D109" s="58" t="str">
        <x:v>SymbolInstanceElementModel</x:v>
      </x:c>
      <x:c r="E109" s="58" t="str">
        <x:v>SVG/Control</x:v>
      </x:c>
      <x:c r="F109" s="58" t="str">
        <x:v>Symbol</x:v>
      </x:c>
      <x:c r="G109" s="58" t="str">
        <x:v>On/KV/UA/Warmup/Alarm</x:v>
      </x:c>
      <x:c r="H109" s="58" t="str">
        <x:v>X-Ray状态与参数</x:v>
      </x:c>
      <x:c r="I109" s="58" t="str">
        <x:v>必须</x:v>
      </x:c>
      <x:c r="J109" s="58" t="str">
        <x:v>需求14.3</x:v>
      </x:c>
    </x:row>
    <x:row r="110">
      <x:c r="A110" s="66" t="str">
        <x:v>符号 Symbol</x:v>
      </x:c>
      <x:c r="B110" s="66" t="str">
        <x:v>探测器状态</x:v>
      </x:c>
      <x:c r="C110" s="66" t="str">
        <x:v>DetectorStatus</x:v>
      </x:c>
      <x:c r="D110" s="66" t="str">
        <x:v>SymbolInstanceElementModel</x:v>
      </x:c>
      <x:c r="E110" s="66" t="str">
        <x:v>SVG/Control</x:v>
      </x:c>
      <x:c r="F110" s="66" t="str">
        <x:v>Symbol</x:v>
      </x:c>
      <x:c r="G110" s="66" t="str">
        <x:v>Online/Acquire/Fps/Temp/Alarm</x:v>
      </x:c>
      <x:c r="H110" s="66" t="str">
        <x:v>探测器状态</x:v>
      </x:c>
      <x:c r="I110" s="66" t="str">
        <x:v>必须</x:v>
      </x:c>
      <x:c r="J110" s="66" t="str">
        <x:v>需求14.3</x:v>
      </x:c>
    </x:row>
    <x:row r="111">
      <x:c r="A111" s="58" t="str">
        <x:v>符号 Symbol</x:v>
      </x:c>
      <x:c r="B111" s="58" t="str">
        <x:v>自动/手动模式</x:v>
      </x:c>
      <x:c r="C111" s="58" t="str">
        <x:v>AutoManualMode</x:v>
      </x:c>
      <x:c r="D111" s="58" t="str">
        <x:v>SymbolInstanceElementModel</x:v>
      </x:c>
      <x:c r="E111" s="58" t="str">
        <x:v>SVG/Control</x:v>
      </x:c>
      <x:c r="F111" s="58" t="str">
        <x:v>Symbol</x:v>
      </x:c>
      <x:c r="G111" s="58" t="str">
        <x:v>Mode/Permission</x:v>
      </x:c>
      <x:c r="H111" s="58" t="str">
        <x:v>模式显示/切换</x:v>
      </x:c>
      <x:c r="I111" s="58" t="str">
        <x:v>必须</x:v>
      </x:c>
      <x:c r="J111" s="58" t="str">
        <x:v>公司业务控件</x:v>
      </x:c>
    </x:row>
    <x:row r="112">
      <x:c r="A112" s="66" t="str">
        <x:v>控件 Control</x:v>
      </x:c>
      <x:c r="B112" s="66" t="str">
        <x:v>设备启动停止复位</x:v>
      </x:c>
      <x:c r="C112" s="66" t="str">
        <x:v>MachineCommandPanel</x:v>
      </x:c>
      <x:c r="D112" s="66" t="str">
        <x:v>ControlElementModel</x:v>
      </x:c>
      <x:c r="E112" s="66" t="str">
        <x:v>不适合纯SVG</x:v>
      </x:c>
      <x:c r="F112" s="66" t="str">
        <x:v>WPF Control + Actions</x:v>
      </x:c>
      <x:c r="G112" s="66" t="str">
        <x:v>Ready/Running/Alarm/Permission</x:v>
      </x:c>
      <x:c r="H112" s="66" t="str">
        <x:v>启动/停止/复位</x:v>
      </x:c>
      <x:c r="I112" s="66" t="str">
        <x:v>必须</x:v>
      </x:c>
      <x:c r="J112" s="66" t="str">
        <x:v>公司业务控件</x:v>
      </x:c>
    </x:row>
    <x:row r="113">
      <x:c r="A113" s="58" t="str">
        <x:v>符号 Symbol</x:v>
      </x:c>
      <x:c r="B113" s="58" t="str">
        <x:v>上料/下料状态</x:v>
      </x:c>
      <x:c r="C113" s="58" t="str">
        <x:v>LoadUnloadStatus</x:v>
      </x:c>
      <x:c r="D113" s="58" t="str">
        <x:v>SymbolInstanceElementModel</x:v>
      </x:c>
      <x:c r="E113" s="58" t="str">
        <x:v>SVG/Control</x:v>
      </x:c>
      <x:c r="F113" s="58" t="str">
        <x:v>Symbol</x:v>
      </x:c>
      <x:c r="G113" s="58" t="str">
        <x:v>State/Count/Alarm</x:v>
      </x:c>
      <x:c r="H113" s="58" t="str">
        <x:v>上下料流程</x:v>
      </x:c>
      <x:c r="I113" s="58" t="str">
        <x:v>建议</x:v>
      </x:c>
      <x:c r="J113" s="58" t="str">
        <x:v>公司业务控件</x:v>
      </x:c>
    </x:row>
    <x:row r="114">
      <x:c r="A114" s="66" t="str">
        <x:v>控件 Control</x:v>
      </x:c>
      <x:c r="B114" s="66" t="str">
        <x:v>轴控制面板</x:v>
      </x:c>
      <x:c r="C114" s="66" t="str">
        <x:v>AxisControlPanel</x:v>
      </x:c>
      <x:c r="D114" s="66" t="str">
        <x:v>ControlElementModel</x:v>
      </x:c>
      <x:c r="E114" s="66" t="str">
        <x:v>不适合纯SVG</x:v>
      </x:c>
      <x:c r="F114" s="66" t="str">
        <x:v>WPF Control</x:v>
      </x:c>
      <x:c r="G114" s="66" t="str">
        <x:v>Position/Jog/Home/Servo/Permission</x:v>
      </x:c>
      <x:c r="H114" s="66" t="str">
        <x:v>轴手动控制</x:v>
      </x:c>
      <x:c r="I114" s="66" t="str">
        <x:v>建议</x:v>
      </x:c>
      <x:c r="J114" s="66" t="str">
        <x:v>公司业务控件</x:v>
      </x:c>
    </x:row>
    <x:row r="115">
      <x:c r="A115" s="58" t="str">
        <x:v>控件 Control</x:v>
      </x:c>
      <x:c r="B115" s="58" t="str">
        <x:v>相机控制面板</x:v>
      </x:c>
      <x:c r="C115" s="58" t="str">
        <x:v>CameraControlPanel</x:v>
      </x:c>
      <x:c r="D115" s="58" t="str">
        <x:v>ControlElementModel</x:v>
      </x:c>
      <x:c r="E115" s="58" t="str">
        <x:v>不适合纯SVG</x:v>
      </x:c>
      <x:c r="F115" s="58" t="str">
        <x:v>WPF Control</x:v>
      </x:c>
      <x:c r="G115" s="58" t="str">
        <x:v>Grab/Exposure/Gain/Online</x:v>
      </x:c>
      <x:c r="H115" s="58" t="str">
        <x:v>相机调试</x:v>
      </x:c>
      <x:c r="I115" s="58" t="str">
        <x:v>建议</x:v>
      </x:c>
      <x:c r="J115" s="58" t="str">
        <x:v>公司业务控件</x:v>
      </x:c>
    </x:row>
    <x:row r="116">
      <x:c r="A116" s="66" t="str">
        <x:v>控件 Control</x:v>
      </x:c>
      <x:c r="B116" s="66" t="str">
        <x:v>X-Ray状态面板</x:v>
      </x:c>
      <x:c r="C116" s="66" t="str">
        <x:v>XrayStatusPanel</x:v>
      </x:c>
      <x:c r="D116" s="66" t="str">
        <x:v>ControlElementModel</x:v>
      </x:c>
      <x:c r="E116" s="66" t="str">
        <x:v>不适合纯SVG</x:v>
      </x:c>
      <x:c r="F116" s="66" t="str">
        <x:v>WPF Control</x:v>
      </x:c>
      <x:c r="G116" s="66" t="str">
        <x:v>KV/UA/On/Warmup/Alarm</x:v>
      </x:c>
      <x:c r="H116" s="66" t="str">
        <x:v>光源状态/控制</x:v>
      </x:c>
      <x:c r="I116" s="66" t="str">
        <x:v>建议</x:v>
      </x:c>
      <x:c r="J116" s="66" t="str">
        <x:v>公司业务控件</x:v>
      </x:c>
    </x:row>
    <x:row r="117">
      <x:c r="A117" s="58" t="str">
        <x:v>图表 Chart</x:v>
      </x:c>
      <x:c r="B117" s="58" t="str">
        <x:v>阶梯图</x:v>
      </x:c>
      <x:c r="C117" s="58" t="str">
        <x:v>StepChart</x:v>
      </x:c>
      <x:c r="D117" s="58" t="str">
        <x:v>ChartElementModel</x:v>
      </x:c>
      <x:c r="E117" s="58" t="str">
        <x:v>按对象而定</x:v>
      </x:c>
      <x:c r="F117" s="58" t="str">
        <x:v>ScottPlot.WPF/自研适配</x:v>
      </x:c>
      <x:c r="G117" s="58" t="str">
        <x:v>Series/TimeRange</x:v>
      </x:c>
      <x:c r="H117" s="58" t="str">
        <x:v>状态/过程变化</x:v>
      </x:c>
      <x:c r="I117" s="58" t="str">
        <x:v>建议</x:v>
      </x:c>
      <x:c r="J117" s="58" t="str">
        <x:v>需求15.1</x:v>
      </x:c>
    </x:row>
    <x:row r="118">
      <x:c r="A118" s="66" t="str">
        <x:v>图表 Chart</x:v>
      </x:c>
      <x:c r="B118" s="66" t="str">
        <x:v>面积图</x:v>
      </x:c>
      <x:c r="C118" s="66" t="str">
        <x:v>AreaChart</x:v>
      </x:c>
      <x:c r="D118" s="66" t="str">
        <x:v>ChartElementModel</x:v>
      </x:c>
      <x:c r="E118" s="66" t="str">
        <x:v>按对象而定</x:v>
      </x:c>
      <x:c r="F118" s="66" t="str">
        <x:v>ScottPlot.WPF/自研适配</x:v>
      </x:c>
      <x:c r="G118" s="66" t="str">
        <x:v>Series/Fill</x:v>
      </x:c>
      <x:c r="H118" s="66" t="str">
        <x:v>趋势面积显示</x:v>
      </x:c>
      <x:c r="I118" s="66" t="str">
        <x:v>建议</x:v>
      </x:c>
      <x:c r="J118" s="66" t="str">
        <x:v>需求15.1</x:v>
      </x:c>
    </x:row>
    <x:row r="119">
      <x:c r="A119" s="58" t="str">
        <x:v>图表 Chart</x:v>
      </x:c>
      <x:c r="B119" s="58" t="str">
        <x:v>堆叠柱状图</x:v>
      </x:c>
      <x:c r="C119" s="58" t="str">
        <x:v>StackedBarChart</x:v>
      </x:c>
      <x:c r="D119" s="58" t="str">
        <x:v>ChartElementModel</x:v>
      </x:c>
      <x:c r="E119" s="58" t="str">
        <x:v>按对象而定</x:v>
      </x:c>
      <x:c r="F119" s="58" t="str">
        <x:v>ScottPlot.WPF/适配</x:v>
      </x:c>
      <x:c r="G119" s="58" t="str">
        <x:v>Series/Category</x:v>
      </x:c>
      <x:c r="H119" s="58" t="str">
        <x:v>构成比较</x:v>
      </x:c>
      <x:c r="I119" s="58" t="str">
        <x:v>建议</x:v>
      </x:c>
      <x:c r="J119" s="58" t="str">
        <x:v>需求15.1</x:v>
      </x:c>
    </x:row>
    <x:row r="120">
      <x:c r="A120" s="66" t="str">
        <x:v>图表 Chart</x:v>
      </x:c>
      <x:c r="B120" s="66" t="str">
        <x:v>环形图</x:v>
      </x:c>
      <x:c r="C120" s="66" t="str">
        <x:v>DonutChart</x:v>
      </x:c>
      <x:c r="D120" s="66" t="str">
        <x:v>ChartElementModel</x:v>
      </x:c>
      <x:c r="E120" s="66" t="str">
        <x:v>按对象而定</x:v>
      </x:c>
      <x:c r="F120" s="66" t="str">
        <x:v>ScottPlot.WPF/自研</x:v>
      </x:c>
      <x:c r="G120" s="66" t="str">
        <x:v>Series</x:v>
      </x:c>
      <x:c r="H120" s="66" t="str">
        <x:v>占比</x:v>
      </x:c>
      <x:c r="I120" s="66" t="str">
        <x:v>建议</x:v>
      </x:c>
      <x:c r="J120" s="66" t="str">
        <x:v>需求15.1</x:v>
      </x:c>
    </x:row>
    <x:row r="121">
      <x:c r="A121" s="58" t="str">
        <x:v>显示 Display</x:v>
      </x:c>
      <x:c r="B121" s="58" t="str">
        <x:v>环形进度图</x:v>
      </x:c>
      <x:c r="C121" s="58" t="str">
        <x:v>RingProgress</x:v>
      </x:c>
      <x:c r="D121" s="58" t="str">
        <x:v>DisplayElementModel</x:v>
      </x:c>
      <x:c r="E121" s="58" t="str">
        <x:v>SVG/Geometry</x:v>
      </x:c>
      <x:c r="F121" s="58" t="str">
        <x:v>Geometry</x:v>
      </x:c>
      <x:c r="G121" s="58" t="str">
        <x:v>Value/Min/Max/Color</x:v>
      </x:c>
      <x:c r="H121" s="58" t="str">
        <x:v>进度/利用率</x:v>
      </x:c>
      <x:c r="I121" s="58" t="str">
        <x:v>建议</x:v>
      </x:c>
      <x:c r="J121" s="58" t="str">
        <x:v>需求15.1</x:v>
      </x:c>
    </x:row>
    <x:row r="122">
      <x:c r="A122" s="66" t="str">
        <x:v>显示 Display</x:v>
      </x:c>
      <x:c r="B122" s="66" t="str">
        <x:v>数值统计卡</x:v>
      </x:c>
      <x:c r="C122" s="66" t="str">
        <x:v>StatisticCard</x:v>
      </x:c>
      <x:c r="D122" s="66" t="str">
        <x:v>DisplayElementModel</x:v>
      </x:c>
      <x:c r="E122" s="66" t="str">
        <x:v>不适合SVG</x:v>
      </x:c>
      <x:c r="F122" s="66" t="str">
        <x:v>WPF Control</x:v>
      </x:c>
      <x:c r="G122" s="66" t="str">
        <x:v>Value/Title/Unit/Trend/State</x:v>
      </x:c>
      <x:c r="H122" s="66" t="str">
        <x:v>KPI统计</x:v>
      </x:c>
      <x:c r="I122" s="66" t="str">
        <x:v>必须</x:v>
      </x:c>
      <x:c r="J122" s="66" t="str">
        <x:v>需求15.1</x:v>
      </x:c>
    </x:row>
    <x:row r="123">
      <x:c r="A123" s="58" t="str">
        <x:v>图表 Chart</x:v>
      </x:c>
      <x:c r="B123" s="58" t="str">
        <x:v>状态分布图</x:v>
      </x:c>
      <x:c r="C123" s="58" t="str">
        <x:v>StateDistributionChart</x:v>
      </x:c>
      <x:c r="D123" s="58" t="str">
        <x:v>ChartElementModel</x:v>
      </x:c>
      <x:c r="E123" s="58" t="str">
        <x:v>按对象而定</x:v>
      </x:c>
      <x:c r="F123" s="58" t="str">
        <x:v>Chart Adapter</x:v>
      </x:c>
      <x:c r="G123" s="58" t="str">
        <x:v>Series/Category</x:v>
      </x:c>
      <x:c r="H123" s="58" t="str">
        <x:v>设备状态分布</x:v>
      </x:c>
      <x:c r="I123" s="58" t="str">
        <x:v>建议</x:v>
      </x:c>
      <x:c r="J123" s="58" t="str">
        <x:v>需求15.1</x:v>
      </x:c>
    </x:row>
    <x:row r="124">
      <x:c r="A124" s="66" t="str">
        <x:v>图表 Chart</x:v>
      </x:c>
      <x:c r="B124" s="66" t="str">
        <x:v>状态时间轴</x:v>
      </x:c>
      <x:c r="C124" s="66" t="str">
        <x:v>StateTimeline</x:v>
      </x:c>
      <x:c r="D124" s="66" t="str">
        <x:v>ChartElementModel</x:v>
      </x:c>
      <x:c r="E124" s="66" t="str">
        <x:v>按对象而定</x:v>
      </x:c>
      <x:c r="F124" s="66" t="str">
        <x:v>自研/Chart</x:v>
      </x:c>
      <x:c r="G124" s="66" t="str">
        <x:v>StateSegments/TimeRange</x:v>
      </x:c>
      <x:c r="H124" s="66" t="str">
        <x:v>甘特式状态时间轴</x:v>
      </x:c>
      <x:c r="I124" s="66" t="str">
        <x:v>建议</x:v>
      </x:c>
      <x:c r="J124" s="66" t="str">
        <x:v>需求15.1</x:v>
      </x:c>
    </x:row>
    <x:row r="125">
      <x:c r="A125" s="58" t="str">
        <x:v>显示 Display</x:v>
      </x:c>
      <x:c r="B125" s="58" t="str">
        <x:v>日志列表</x:v>
      </x:c>
      <x:c r="C125" s="58" t="str">
        <x:v>LogList</x:v>
      </x:c>
      <x:c r="D125" s="58" t="str">
        <x:v>DisplayElementModel</x:v>
      </x:c>
      <x:c r="E125" s="58" t="str">
        <x:v>不适合SVG</x:v>
      </x:c>
      <x:c r="F125" s="58" t="str">
        <x:v>DataGrid/ListView</x:v>
      </x:c>
      <x:c r="G125" s="58" t="str">
        <x:v>Filter/Level/Source</x:v>
      </x:c>
      <x:c r="H125" s="58" t="str">
        <x:v>运行/调试日志</x:v>
      </x:c>
      <x:c r="I125" s="58" t="str">
        <x:v>必须</x:v>
      </x:c>
      <x:c r="J125" s="58" t="str">
        <x:v>需求14.4/34</x:v>
      </x:c>
    </x:row>
    <x:row r="126">
      <x:c r="A126" s="66" t="str">
        <x:v>显示 Display</x:v>
      </x:c>
      <x:c r="B126" s="66" t="str">
        <x:v>IO状态列表</x:v>
      </x:c>
      <x:c r="C126" s="66" t="str">
        <x:v>IoStatusList</x:v>
      </x:c>
      <x:c r="D126" s="66" t="str">
        <x:v>DisplayElementModel</x:v>
      </x:c>
      <x:c r="E126" s="66" t="str">
        <x:v>不适合SVG</x:v>
      </x:c>
      <x:c r="F126" s="66" t="str">
        <x:v>Virtualized DataGrid</x:v>
      </x:c>
      <x:c r="G126" s="66" t="str">
        <x:v>Items/Filter/Value</x:v>
      </x:c>
      <x:c r="H126" s="66" t="str">
        <x:v>IO点位监控</x:v>
      </x:c>
      <x:c r="I126" s="66" t="str">
        <x:v>必须</x:v>
      </x:c>
      <x:c r="J126" s="66" t="str">
        <x:v>需求14.4</x:v>
      </x:c>
    </x:row>
    <x:row r="127">
      <x:c r="A127" s="58" t="str">
        <x:v>显示 Display</x:v>
      </x:c>
      <x:c r="B127" s="58" t="str">
        <x:v>轴状态列表</x:v>
      </x:c>
      <x:c r="C127" s="58" t="str">
        <x:v>AxisStatusList</x:v>
      </x:c>
      <x:c r="D127" s="58" t="str">
        <x:v>DisplayElementModel</x:v>
      </x:c>
      <x:c r="E127" s="58" t="str">
        <x:v>不适合SVG</x:v>
      </x:c>
      <x:c r="F127" s="58" t="str">
        <x:v>Virtualized DataGrid</x:v>
      </x:c>
      <x:c r="G127" s="58" t="str">
        <x:v>Items/Filter</x:v>
      </x:c>
      <x:c r="H127" s="58" t="str">
        <x:v>多轴状态</x:v>
      </x:c>
      <x:c r="I127" s="58" t="str">
        <x:v>建议</x:v>
      </x:c>
      <x:c r="J127" s="58" t="str">
        <x:v>需求14.4</x:v>
      </x:c>
    </x:row>
    <x:row r="128">
      <x:c r="A128" s="66" t="str">
        <x:v>媒体 Media</x:v>
      </x:c>
      <x:c r="B128" s="66" t="str">
        <x:v>检测结果显示</x:v>
      </x:c>
      <x:c r="C128" s="66" t="str">
        <x:v>DetectionResultView</x:v>
      </x:c>
      <x:c r="D128" s="66" t="str">
        <x:v>MediaElementModel</x:v>
      </x:c>
      <x:c r="E128" s="66" t="str">
        <x:v>Image/Overlay</x:v>
      </x:c>
      <x:c r="F128" s="66" t="str">
        <x:v>WPF Composite Control</x:v>
      </x:c>
      <x:c r="G128" s="66" t="str">
        <x:v>Image/Result/Defects</x:v>
      </x:c>
      <x:c r="H128" s="66" t="str">
        <x:v>检测结果展示</x:v>
      </x:c>
      <x:c r="I128" s="66" t="str">
        <x:v>建议</x:v>
      </x:c>
      <x:c r="J128" s="66" t="str">
        <x:v>公司业务控件</x:v>
      </x:c>
    </x:row>
    <x:row r="129">
      <x:c r="A129" s="58" t="str">
        <x:v>图表 Chart</x:v>
      </x:c>
      <x:c r="B129" s="58" t="str">
        <x:v>缺陷统计</x:v>
      </x:c>
      <x:c r="C129" s="58" t="str">
        <x:v>DefectStatistics</x:v>
      </x:c>
      <x:c r="D129" s="58" t="str">
        <x:v>ChartElementModel</x:v>
      </x:c>
      <x:c r="E129" s="58" t="str">
        <x:v>按对象而定</x:v>
      </x:c>
      <x:c r="F129" s="58" t="str">
        <x:v>Chart + Table</x:v>
      </x:c>
      <x:c r="G129" s="58" t="str">
        <x:v>Counts/Yield/Category</x:v>
      </x:c>
      <x:c r="H129" s="58" t="str">
        <x:v>缺陷统计</x:v>
      </x:c>
      <x:c r="I129" s="58" t="str">
        <x:v>建议</x:v>
      </x:c>
      <x:c r="J129" s="58" t="str">
        <x:v>需求14.4/15.1</x:v>
      </x:c>
    </x:row>
    <x:row r="130">
      <x:c r="A130" s="66" t="str">
        <x:v>显示 Display</x:v>
      </x:c>
      <x:c r="B130" s="66" t="str">
        <x:v>良率/UPH/节拍卡</x:v>
      </x:c>
      <x:c r="C130" s="66" t="str">
        <x:v>ProductionKpi</x:v>
      </x:c>
      <x:c r="D130" s="66" t="str">
        <x:v>DisplayElementModel</x:v>
      </x:c>
      <x:c r="E130" s="66" t="str">
        <x:v>不适合SVG</x:v>
      </x:c>
      <x:c r="F130" s="66" t="str">
        <x:v>StatisticCard/Chart</x:v>
      </x:c>
      <x:c r="G130" s="66" t="str">
        <x:v>Yield/UPH/CycleTime/OEE</x:v>
      </x:c>
      <x:c r="H130" s="66" t="str">
        <x:v>生产KPI</x:v>
      </x:c>
      <x:c r="I130" s="66" t="str">
        <x:v>建议</x:v>
      </x:c>
      <x:c r="J130" s="66" t="str">
        <x:v>需求15.1</x:v>
      </x:c>
    </x:row>
    <x:row r="131">
      <x:c r="A131"/>
      <x:c r="B131"/>
      <x:c r="C131"/>
      <x:c r="D131"/>
      <x:c r="E131"/>
      <x:c r="F131"/>
      <x:c r="G131"/>
      <x:c r="H131"/>
      <x:c r="I131"/>
      <x:c r="J131"/>
    </x:row>
    <x:row r="132">
      <x:c r="A132"/>
      <x:c r="B132"/>
      <x:c r="C132"/>
      <x:c r="D132"/>
      <x:c r="E132"/>
      <x:c r="F132"/>
      <x:c r="G132"/>
      <x:c r="H132"/>
      <x:c r="I132"/>
      <x:c r="J132"/>
    </x:row>
    <x:row r="133">
      <x:c r="A133" s="58" t="str">
        <x:v>统一规范补充：7类边界 / Capability / Group→Symbol / 转换规则</x:v>
      </x:c>
      <x:c r="B133" s="58"/>
      <x:c r="C133" s="58"/>
      <x:c r="D133" s="58"/>
      <x:c r="E133" s="58"/>
      <x:c r="F133" s="58"/>
      <x:c r="G133" s="58"/>
      <x:c r="H133" s="58"/>
      <x:c r="I133" s="58"/>
      <x:c r="J133" s="58"/>
    </x:row>
    <x:row r="134">
      <x:c r="A134" s="66" t="str">
        <x:v>一级分类</x:v>
      </x:c>
      <x:c r="B134" s="66" t="str">
        <x:v>定义</x:v>
      </x:c>
      <x:c r="C134" s="66" t="str">
        <x:v>典型对象</x:v>
      </x:c>
      <x:c r="D134" s="66" t="str">
        <x:v>创建来源</x:v>
      </x:c>
      <x:c r="E134" s="66" t="str">
        <x:v>动态能力</x:v>
      </x:c>
      <x:c r="F134" s="66" t="str">
        <x:v>Children</x:v>
      </x:c>
      <x:c r="G134" s="66" t="str">
        <x:v>专用Runtime</x:v>
      </x:c>
      <x:c r="H134" s="66" t="str">
        <x:v>核心边界</x:v>
      </x:c>
      <x:c r="I134" s="66" t="str">
        <x:v>TypeId策略</x:v>
      </x:c>
      <x:c r="J134" s="66" t="str">
        <x:v>工具箱</x:v>
      </x:c>
    </x:row>
    <x:row r="135">
      <x:c r="A135" s="58" t="str">
        <x:v>基础 Primitive</x:v>
      </x:c>
      <x:c r="B135" s="58" t="str">
        <x:v>几何/文字/普通静态资源，无独立业务语义</x:v>
      </x:c>
      <x:c r="C135" s="58" t="str">
        <x:v>Line/Rect/Path/Text/Image/SVG</x:v>
      </x:c>
      <x:c r="D135" s="58" t="str">
        <x:v>直接绘制/导入</x:v>
      </x:c>
      <x:c r="E135" s="58" t="str">
        <x:v>可Binding/State/Animation</x:v>
      </x:c>
      <x:c r="F135" s="58" t="str">
        <x:v>Group后可组合</x:v>
      </x:c>
      <x:c r="G135" s="58" t="str">
        <x:v>否</x:v>
      </x:c>
      <x:c r="H135" s="58" t="str">
        <x:v>动态后仍保持原类型</x:v>
      </x:c>
      <x:c r="I135" s="58" t="str">
        <x:v>稳定TypeId</x:v>
      </x:c>
      <x:c r="J135" s="58" t="str">
        <x:v>基础</x:v>
      </x:c>
    </x:row>
    <x:row r="136">
      <x:c r="A136" s="66" t="str">
        <x:v>符号 Symbol</x:v>
      </x:c>
      <x:c r="B136" s="66" t="str">
        <x:v>多个视觉对象形成独立语义并暴露稳定接口</x:v>
      </x:c>
      <x:c r="C136" s="66" t="str">
        <x:v>Motor/Valve/Pump/工位/用户设备</x:v>
      </x:c>
      <x:c r="D136" s="66" t="str">
        <x:v>Group→创建Symbol/标准库</x:v>
      </x:c>
      <x:c r="E136" s="66" t="str">
        <x:v>强</x:v>
      </x:c>
      <x:c r="F136" s="66" t="str">
        <x:v>Definition内有Children</x:v>
      </x:c>
      <x:c r="G136" s="66" t="str">
        <x:v>Symbol Runtime</x:v>
      </x:c>
      <x:c r="H136" s="66" t="str">
        <x:v>Definition/Instance分离</x:v>
      </x:c>
      <x:c r="I136" s="66" t="str">
        <x:v>实例typeId稳定</x:v>
      </x:c>
      <x:c r="J136" s="66" t="str">
        <x:v>符号</x:v>
      </x:c>
    </x:row>
    <x:row r="137">
      <x:c r="A137" s="58" t="str">
        <x:v>显示 Display</x:v>
      </x:c>
      <x:c r="B137" s="58" t="str">
        <x:v>专业数据显示属性模型</x:v>
      </x:c>
      <x:c r="C137" s="58" t="str">
        <x:v>Numeric/Gauge/LED/Level/KPI</x:v>
      </x:c>
      <x:c r="D137" s="58" t="str">
        <x:v>显示库/语义升级</x:v>
      </x:c>
      <x:c r="E137" s="58" t="str">
        <x:v>强</x:v>
      </x:c>
      <x:c r="F137" s="58" t="str">
        <x:v>通常否</x:v>
      </x:c>
      <x:c r="G137" s="58" t="str">
        <x:v>部分</x:v>
      </x:c>
      <x:c r="H137" s="58" t="str">
        <x:v>简单Text+Binding不必升级</x:v>
      </x:c>
      <x:c r="I137" s="58" t="str">
        <x:v>专用类型</x:v>
      </x:c>
      <x:c r="J137" s="58" t="str">
        <x:v>显示</x:v>
      </x:c>
    </x:row>
    <x:row r="138">
      <x:c r="A138" s="66" t="str">
        <x:v>控件 Control</x:v>
      </x:c>
      <x:c r="B138" s="66" t="str">
        <x:v>用户输入/焦点/校验/TwoWay/权限</x:v>
      </x:c>
      <x:c r="C138" s="66" t="str">
        <x:v>Button/Input/Combo/DataGrid</x:v>
      </x:c>
      <x:c r="D138" s="66" t="str">
        <x:v>控件库</x:v>
      </x:c>
      <x:c r="E138" s="66" t="str">
        <x:v>强</x:v>
      </x:c>
      <x:c r="F138" s="66" t="str">
        <x:v>模板可含视觉</x:v>
      </x:c>
      <x:c r="G138" s="66" t="str">
        <x:v>是</x:v>
      </x:c>
      <x:c r="H138" s="66" t="str">
        <x:v>行为专用</x:v>
      </x:c>
      <x:c r="I138" s="66" t="str">
        <x:v>专用类型</x:v>
      </x:c>
      <x:c r="J138" s="66" t="str">
        <x:v>控件</x:v>
      </x:c>
    </x:row>
    <x:row r="139">
      <x:c r="A139" s="58" t="str">
        <x:v>图表 Chart</x:v>
      </x:c>
      <x:c r="B139" s="58" t="str">
        <x:v>Series/Axis/Cache/History数据模型</x:v>
      </x:c>
      <x:c r="C139" s="58" t="str">
        <x:v>Trend/XY/Bar/Pie</x:v>
      </x:c>
      <x:c r="D139" s="58" t="str">
        <x:v>图表库</x:v>
      </x:c>
      <x:c r="E139" s="58" t="str">
        <x:v>多数据源</x:v>
      </x:c>
      <x:c r="F139" s="58" t="str">
        <x:v>内部复杂</x:v>
      </x:c>
      <x:c r="G139" s="58" t="str">
        <x:v>是</x:v>
      </x:c>
      <x:c r="H139" s="58" t="str">
        <x:v>不是Polyline动态版</x:v>
      </x:c>
      <x:c r="I139" s="58" t="str">
        <x:v>专用类型</x:v>
      </x:c>
      <x:c r="J139" s="58" t="str">
        <x:v>图表</x:v>
      </x:c>
    </x:row>
    <x:row r="140">
      <x:c r="A140" s="66" t="str">
        <x:v>容器 Container</x:v>
      </x:c>
      <x:c r="B140" s="66" t="str">
        <x:v>Children/布局/裁剪/活动内容</x:v>
      </x:c>
      <x:c r="C140" s="66" t="str">
        <x:v>Group/Panel/Tab/Repeater</x:v>
      </x:c>
      <x:c r="D140" s="66" t="str">
        <x:v>组合/容器库</x:v>
      </x:c>
      <x:c r="E140" s="66" t="str">
        <x:v>可</x:v>
      </x:c>
      <x:c r="F140" s="66" t="str">
        <x:v>是</x:v>
      </x:c>
      <x:c r="G140" s="66" t="str">
        <x:v>复杂容器是</x:v>
      </x:c>
      <x:c r="H140" s="66" t="str">
        <x:v>Group最轻量</x:v>
      </x:c>
      <x:c r="I140" s="66" t="str">
        <x:v>专用类型</x:v>
      </x:c>
      <x:c r="J140" s="66" t="str">
        <x:v>容器</x:v>
      </x:c>
    </x:row>
    <x:row r="141">
      <x:c r="A141" s="58" t="str">
        <x:v>媒体 Media</x:v>
      </x:c>
      <x:c r="B141" s="58" t="str">
        <x:v>资源/流/帧/连接生命周期</x:v>
      </x:c>
      <x:c r="C141" s="58" t="str">
        <x:v>Video/Camera/Web/XRayImage</x:v>
      </x:c>
      <x:c r="D141" s="58" t="str">
        <x:v>媒体库</x:v>
      </x:c>
      <x:c r="E141" s="58" t="str">
        <x:v>可</x:v>
      </x:c>
      <x:c r="F141" s="58" t="str">
        <x:v>通常否</x:v>
      </x:c>
      <x:c r="G141" s="58" t="str">
        <x:v>是</x:v>
      </x:c>
      <x:c r="H141" s="58" t="str">
        <x:v>静态Image可仍属基础</x:v>
      </x:c>
      <x:c r="I141" s="58" t="str">
        <x:v>专用类型</x:v>
      </x:c>
      <x:c r="J141" s="58" t="str">
        <x:v>媒体</x:v>
      </x:c>
    </x:row>
    <x:row r="142">
      <x:c r="A142"/>
      <x:c r="B142"/>
      <x:c r="C142"/>
      <x:c r="D142"/>
      <x:c r="E142"/>
      <x:c r="F142"/>
      <x:c r="G142"/>
      <x:c r="H142"/>
      <x:c r="I142"/>
      <x:c r="J142"/>
    </x:row>
    <x:row r="143" ht="28" customHeight="1">
      <x:c r="A143" s="50" t="str">
        <x:v>机制</x:v>
      </x:c>
      <x:c r="B143" s="50" t="str">
        <x:v>何时使用</x:v>
      </x:c>
      <x:c r="C143" s="50" t="str">
        <x:v>是否换TypeId</x:v>
      </x:c>
      <x:c r="D143" s="50" t="str">
        <x:v>是否产生新对象</x:v>
      </x:c>
      <x:c r="E143" s="50" t="str">
        <x:v>实现</x:v>
      </x:c>
      <x:c r="F143" s="50" t="str">
        <x:v>Designer动作</x:v>
      </x:c>
      <x:c r="G143" s="50" t="str">
        <x:v>Undo</x:v>
      </x:c>
      <x:c r="H143" s="50" t="str">
        <x:v>例子</x:v>
      </x:c>
      <x:c r="I143" s="50" t="str">
        <x:v>禁止</x:v>
      </x:c>
      <x:c r="J143" s="50" t="str">
        <x:v>阶段</x:v>
      </x:c>
    </x:row>
    <x:row r="144">
      <x:c r="A144" s="66" t="str">
        <x:v>附加Capability</x:v>
      </x:c>
      <x:c r="B144" s="66" t="str">
        <x:v>对象语义不变，仅属性随变量/条件/时间变化</x:v>
      </x:c>
      <x:c r="C144" s="66" t="str">
        <x:v>否</x:v>
      </x:c>
      <x:c r="D144" s="66" t="str">
        <x:v>否</x:v>
      </x:c>
      <x:c r="E144" s="66" t="str">
        <x:v>Bindings/StateRules/Animations/Events</x:v>
      </x:c>
      <x:c r="F144" s="66" t="str">
        <x:v>绑定/状态/动画/事件</x:v>
      </x:c>
      <x:c r="G144" s="66" t="str">
        <x:v>Command化</x:v>
      </x:c>
      <x:c r="H144" s="66" t="str">
        <x:v>Ellipse→状态灯效果</x:v>
      </x:c>
      <x:c r="I144" s="66" t="str">
        <x:v>禁止DynamicEllipse</x:v>
      </x:c>
      <x:c r="J144" s="66" t="str">
        <x:v>M3</x:v>
      </x:c>
    </x:row>
    <x:row r="145">
      <x:c r="A145" s="58" t="str">
        <x:v>语义升级</x:v>
      </x:c>
      <x:c r="B145" s="58" t="str">
        <x:v>已有基础对象出现稳定专业属性模型</x:v>
      </x:c>
      <x:c r="C145" s="58" t="str">
        <x:v>是</x:v>
      </x:c>
      <x:c r="D145" s="58" t="str">
        <x:v>通常是</x:v>
      </x:c>
      <x:c r="E145" s="58" t="str">
        <x:v>IElementConverter</x:v>
      </x:c>
      <x:c r="F145" s="58" t="str">
        <x:v>转换为…</x:v>
      </x:c>
      <x:c r="G145" s="58" t="str">
        <x:v>单Command</x:v>
      </x:c>
      <x:c r="H145" s="58" t="str">
        <x:v>Text→NumericDisplay</x:v>
      </x:c>
      <x:c r="I145" s="58" t="str">
        <x:v>不要一绑定就升级</x:v>
      </x:c>
      <x:c r="J145" s="58" t="str">
        <x:v>M4</x:v>
      </x:c>
    </x:row>
    <x:row r="146">
      <x:c r="A146" s="66" t="str">
        <x:v>创建Symbol</x:v>
      </x:c>
      <x:c r="B146" s="66" t="str">
        <x:v>多个图形形成独立语义对象</x:v>
      </x:c>
      <x:c r="C146" s="66" t="str">
        <x:v>实例为Symbol</x:v>
      </x:c>
      <x:c r="D146" s="66" t="str">
        <x:v>Definition+Instance</x:v>
      </x:c>
      <x:c r="E146" s="66" t="str">
        <x:v>SymbolAuthoringService</x:v>
      </x:c>
      <x:c r="F146" s="66" t="str">
        <x:v>先Group→创建Symbol</x:v>
      </x:c>
      <x:c r="G146" s="66" t="str">
        <x:v>单事务</x:v>
      </x:c>
      <x:c r="H146" s="66" t="str">
        <x:v>Shapes→Motor</x:v>
      </x:c>
      <x:c r="I146" s="66" t="str">
        <x:v>Group≠Symbol</x:v>
      </x:c>
      <x:c r="J146" s="66" t="str">
        <x:v>M2</x:v>
      </x:c>
    </x:row>
    <x:row r="147">
      <x:c r="A147" s="58" t="str">
        <x:v>专用创建</x:v>
      </x:c>
      <x:c r="B147" s="58" t="str">
        <x:v>有独立交互/数据/布局/资源生命周期</x:v>
      </x:c>
      <x:c r="C147" s="58" t="str">
        <x:v>直接专用</x:v>
      </x:c>
      <x:c r="D147" s="58" t="str">
        <x:v>是</x:v>
      </x:c>
      <x:c r="E147" s="58" t="str">
        <x:v>Factory/Registry+专用Host</x:v>
      </x:c>
      <x:c r="F147" s="58" t="str">
        <x:v>对应工具箱</x:v>
      </x:c>
      <x:c r="G147" s="58" t="str">
        <x:v>AddElementCommand</x:v>
      </x:c>
      <x:c r="H147" s="58" t="str">
        <x:v>Trend/Tab/Camera</x:v>
      </x:c>
      <x:c r="I147" s="58" t="str">
        <x:v>禁止普通图形+脚本长期模拟</x:v>
      </x:c>
      <x:c r="J147" s="58" t="str">
        <x:v>M4</x:v>
      </x:c>
    </x:row>
    <x:row r="148">
      <x:c r="A148"/>
      <x:c r="B148"/>
      <x:c r="C148"/>
      <x:c r="D148"/>
      <x:c r="E148"/>
      <x:c r="F148"/>
      <x:c r="G148"/>
      <x:c r="H148"/>
      <x:c r="I148"/>
      <x:c r="J148"/>
    </x:row>
    <x:row r="149" ht="28" customHeight="1">
      <x:c r="A149" s="50" t="str">
        <x:v>对象定位与组织</x:v>
      </x:c>
      <x:c r="B149" s="50" t="str">
        <x:v>正式规则</x:v>
      </x:c>
      <x:c r="C149" s="50" t="str">
        <x:v>设计器用途</x:v>
      </x:c>
      <x:c r="D149" s="50" t="str">
        <x:v>Runtime用途</x:v>
      </x:c>
      <x:c r="E149" s="50" t="str">
        <x:v>索引</x:v>
      </x:c>
      <x:c r="F149" s="50" t="str">
        <x:v>稳定键</x:v>
      </x:c>
      <x:c r="G149" s="50" t="str">
        <x:v>Role示例</x:v>
      </x:c>
      <x:c r="H149" s="50" t="str">
        <x:v>Layer关系</x:v>
      </x:c>
      <x:c r="I149" s="50" t="str">
        <x:v>验收</x:v>
      </x:c>
      <x:c r="J149" s="50" t="str">
        <x:v>阶段</x:v>
      </x:c>
    </x:row>
    <x:row r="150">
      <x:c r="A150" s="66" t="str">
        <x:v>Alias/Tags</x:v>
      </x:c>
      <x:c r="B150" s="66" t="str">
        <x:v>Alias稳定引用；Tags多维检索</x:v>
      </x:c>
      <x:c r="C150" s="66" t="str">
        <x:v>搜索/脚本提示/批量定位</x:v>
      </x:c>
      <x:c r="D150" s="66" t="str">
        <x:v>Runtime API查找入口</x:v>
      </x:c>
      <x:c r="E150" s="66" t="str">
        <x:v>ProjectObjectIndex</x:v>
      </x:c>
      <x:c r="F150" s="66" t="str">
        <x:v>Id/Alias/Tag</x:v>
      </x:c>
      <x:c r="G150" s="66" t="str">
        <x:v>-</x:v>
      </x:c>
      <x:c r="H150" s="66" t="str">
        <x:v>独立于Layer</x:v>
      </x:c>
      <x:c r="I150" s="66" t="str">
        <x:v>改显示名不破引用</x:v>
      </x:c>
      <x:c r="J150" s="66" t="str">
        <x:v>M2</x:v>
      </x:c>
    </x:row>
    <x:row r="151">
      <x:c r="A151" s="58" t="str">
        <x:v>DesignRole/SemanticRole</x:v>
      </x:c>
      <x:c r="B151" s="58" t="str">
        <x:v>Role表示语义，不改变CLR类型</x:v>
      </x:c>
      <x:c r="C151" s="58" t="str">
        <x:v>背景过滤/Symbol封装/内部部件</x:v>
      </x:c>
      <x:c r="D151" s="58" t="str">
        <x:v>Mapping/Action/Script定位辅助</x:v>
      </x:c>
      <x:c r="E151" s="58" t="str">
        <x:v>Project/Symbol indexes</x:v>
      </x:c>
      <x:c r="F151" s="58" t="str">
        <x:v>Role</x:v>
      </x:c>
      <x:c r="G151" s="58" t="str">
        <x:v>Background/Body/Rotor/AlarmLamp</x:v>
      </x:c>
      <x:c r="H151" s="58" t="str">
        <x:v>与Layer正交</x:v>
      </x:c>
      <x:c r="I151" s="58" t="str">
        <x:v>Role歧义有诊断</x:v>
      </x:c>
      <x:c r="J151" s="58" t="str">
        <x:v>M2~M3</x:v>
      </x:c>
    </x:row>
    <x:row r="152">
      <x:c r="A152" s="66" t="str">
        <x:v>RuntimeElementAddress</x:v>
      </x:c>
      <x:c r="B152" s="66" t="str">
        <x:v>Page对象=id；Symbol child=instanceId::localElementId</x:v>
      </x:c>
      <x:c r="C152" s="66" t="str">
        <x:v>诊断定位</x:v>
      </x:c>
      <x:c r="D152" s="66" t="str">
        <x:v>所有Runtime Store key</x:v>
      </x:c>
      <x:c r="E152" s="66" t="str">
        <x:v>RuntimeObjectRegistry</x:v>
      </x:c>
      <x:c r="F152" s="66" t="str">
        <x:v>runtime address</x:v>
      </x:c>
      <x:c r="G152" s="66" t="str">
        <x:v>-</x:v>
      </x:c>
      <x:c r="H152" s="66" t="str">
        <x:v>N/A</x:v>
      </x:c>
      <x:c r="I152" s="66" t="str">
        <x:v>100实例不串值</x:v>
      </x:c>
      <x:c r="J152" s="66" t="str">
        <x:v>M3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4" hidden="0" customWidth="1"/>
    <x:col min="4" max="4" width="28" hidden="0" customWidth="1"/>
    <x:col min="5" max="5" width="48" hidden="0" customWidth="1"/>
    <x:col min="6" max="6" width="14" hidden="0" customWidth="1"/>
    <x:col min="7" max="7" width="42" hidden="0" customWidth="1"/>
    <x:col min="8" max="8" width="11" hidden="0" customWidth="1"/>
  </x:cols>
  <x:sheetData>
    <x:row r="1" ht="30" customHeight="1">
      <x:c r="A1" s="8" t="str">
        <x:v>CxVisual 平台能力 / 功能索引</x:v>
      </x:c>
      <x:c r="B1" s="8"/>
      <x:c r="C1" s="8"/>
      <x:c r="D1" s="8"/>
      <x:c r="E1" s="8"/>
      <x:c r="F1" s="8"/>
      <x:c r="G1" s="8"/>
      <x:c r="H1" s="8"/>
    </x:row>
    <x:row r="2" ht="38" customHeight="1">
      <x:c r="A2" s="16" t="str">
        <x:v>只维护“平台具备/计划具备哪些用户能力”；V6.4追加Case-Driven工业实用能力与V6.5通用变量候选。真实Status仍只在41维护。</x:v>
      </x:c>
      <x:c r="B2" s="16"/>
      <x:c r="C2" s="16"/>
      <x:c r="D2" s="16"/>
      <x:c r="E2" s="16"/>
      <x:c r="F2" s="16"/>
      <x:c r="G2" s="16"/>
      <x:c r="H2" s="16"/>
    </x:row>
    <x:row r="3">
      <x:c r="A3" s="30" t="str">
        <x:v>本页唯一权威</x:v>
      </x:c>
      <x:c r="B3" s="31" t="str">
        <x:v>CapabilityId、Domain、Category、Capability、用户能力说明、Core/Extended级别、DesignRef、里程碑。</x:v>
      </x:c>
      <x:c r="C3" s="31"/>
      <x:c r="D3" s="31"/>
      <x:c r="E3" s="31"/>
      <x:c r="F3" s="31"/>
      <x:c r="G3" s="31"/>
      <x:c r="H3" s="31"/>
    </x:row>
    <x:row r="4">
      <x:c r="A4" s="30" t="str">
        <x:v>不在本页维护</x:v>
      </x:c>
      <x:c r="B4" s="31" t="str">
        <x:v>实现类/接口/Runtime细节、真实Status、测试证据；分别见Domain页、26、40、41。</x:v>
      </x:c>
      <x:c r="C4" s="31"/>
      <x:c r="D4" s="31"/>
      <x:c r="E4" s="31"/>
      <x:c r="F4" s="31"/>
      <x:c r="G4" s="31"/>
      <x:c r="H4" s="31"/>
    </x:row>
    <x:row r="5">
      <x:c r="A5" s="30" t="str">
        <x:v>关联分页：03/04架构；17 ICS/SCADA；27 Motion；40路线；41状态；46/50变量；49_V6.4同步审计。</x:v>
      </x:c>
      <x:c r="B5" s="31" t="str">
        <x:v>03_架构总纲与领域边界；07 Studio；17 SCADA；19~26 Graph；27~39 Domain；40路线；41状态；45~47专项基线。</x:v>
      </x:c>
      <x:c r="C5" s="31"/>
      <x:c r="D5" s="31"/>
      <x:c r="E5" s="31"/>
      <x:c r="F5" s="31"/>
      <x:c r="G5" s="31"/>
      <x:c r="H5" s="31"/>
    </x:row>
    <x:row r="6">
      <x:c r="A6"/>
      <x:c r="B6"/>
      <x:c r="C6"/>
      <x:c r="D6"/>
      <x:c r="E6"/>
      <x:c r="F6"/>
      <x:c r="G6"/>
      <x:c r="H6"/>
    </x:row>
    <x:row r="7" ht="24" customHeight="1">
      <x:c r="A7" s="40" t="str">
        <x:v>A. Capability Catalog — 平台能力唯一索引</x:v>
      </x:c>
      <x:c r="B7" s="40"/>
      <x:c r="C7" s="40"/>
      <x:c r="D7" s="40"/>
      <x:c r="E7" s="40"/>
      <x:c r="F7" s="40"/>
      <x:c r="G7" s="40"/>
      <x:c r="H7" s="40"/>
    </x:row>
    <x:row r="8" ht="28" customHeight="1">
      <x:c r="A8" s="50" t="str">
        <x:v>CapabilityId</x:v>
      </x:c>
      <x:c r="B8" s="50" t="str">
        <x:v>Domain</x:v>
      </x:c>
      <x:c r="C8" s="50" t="str">
        <x:v>Category</x:v>
      </x:c>
      <x:c r="D8" s="50" t="str">
        <x:v>Capability</x:v>
      </x:c>
      <x:c r="E8" s="50" t="str">
        <x:v>用户能力说明</x:v>
      </x:c>
      <x:c r="F8" s="50" t="str">
        <x:v>Level</x:v>
      </x:c>
      <x:c r="G8" s="50" t="str">
        <x:v>DesignRef</x:v>
      </x:c>
      <x:c r="H8" s="50" t="str">
        <x:v>里程碑</x:v>
      </x:c>
    </x:row>
    <x:row r="9">
      <x:c r="A9" s="58" t="str">
        <x:v>CAP-HMI-001</x:v>
      </x:c>
      <x:c r="B9" s="58" t="str">
        <x:v>Visual/HMI</x:v>
      </x:c>
      <x:c r="C9" s="58" t="str">
        <x:v>工程/文件</x:v>
      </x:c>
      <x:c r="D9" s="58" t="str">
        <x:v>新建工程</x:v>
      </x:c>
      <x:c r="E9" s="58" t="str">
        <x:v>创建Project/默认Page/默认Layer</x:v>
      </x:c>
      <x:c r="F9" s="58" t="str">
        <x:v>Core</x:v>
      </x:c>
      <x:c r="G9" s="58" t="str">
        <x:v>12_ProjectSchemaSerialization</x:v>
      </x:c>
      <x:c r="H9" s="58" t="str">
        <x:v>M1</x:v>
      </x:c>
    </x:row>
    <x:row r="10">
      <x:c r="A10" s="66" t="str">
        <x:v>CAP-HMI-002</x:v>
      </x:c>
      <x:c r="B10" s="66" t="str">
        <x:v>Visual/HMI</x:v>
      </x:c>
      <x:c r="C10" s="66" t="str">
        <x:v>工程/文件</x:v>
      </x:c>
      <x:c r="D10" s="66" t="str">
        <x:v>打开工程</x:v>
      </x:c>
      <x:c r="E10" s="66" t="str">
        <x:v>读取.cxv或目录，校验格式与版本</x:v>
      </x:c>
      <x:c r="F10" s="66" t="str">
        <x:v>Core</x:v>
      </x:c>
      <x:c r="G10" s="66" t="str">
        <x:v>12_ProjectSchemaSerialization</x:v>
      </x:c>
      <x:c r="H10" s="66" t="str">
        <x:v>M1</x:v>
      </x:c>
    </x:row>
    <x:row r="11">
      <x:c r="A11" s="58" t="str">
        <x:v>CAP-HMI-003</x:v>
      </x:c>
      <x:c r="B11" s="58" t="str">
        <x:v>Visual/HMI</x:v>
      </x:c>
      <x:c r="C11" s="58" t="str">
        <x:v>工程/文件</x:v>
      </x:c>
      <x:c r="D11" s="58" t="str">
        <x:v>保存工程</x:v>
      </x:c>
      <x:c r="E11" s="58" t="str">
        <x:v>快照+校验+tmp+原子替换</x:v>
      </x:c>
      <x:c r="F11" s="58" t="str">
        <x:v>Core</x:v>
      </x:c>
      <x:c r="G11" s="58" t="str">
        <x:v>12_ProjectSchemaSerialization</x:v>
      </x:c>
      <x:c r="H11" s="58" t="str">
        <x:v>M1</x:v>
      </x:c>
    </x:row>
    <x:row r="12">
      <x:c r="A12" s="66" t="str">
        <x:v>CAP-HMI-004</x:v>
      </x:c>
      <x:c r="B12" s="66" t="str">
        <x:v>Visual/HMI</x:v>
      </x:c>
      <x:c r="C12" s="66" t="str">
        <x:v>工程/文件</x:v>
      </x:c>
      <x:c r="D12" s="66" t="str">
        <x:v>另存为</x:v>
      </x:c>
      <x:c r="E12" s="66" t="str">
        <x:v>另存工程</x:v>
      </x:c>
      <x:c r="F12" s="66" t="str">
        <x:v>Core</x:v>
      </x:c>
      <x:c r="G12" s="66" t="str">
        <x:v>12_ProjectSchemaSerialization</x:v>
      </x:c>
      <x:c r="H12" s="66" t="str">
        <x:v>M1</x:v>
      </x:c>
    </x:row>
    <x:row r="13">
      <x:c r="A13" s="58" t="str">
        <x:v>CAP-HMI-005</x:v>
      </x:c>
      <x:c r="B13" s="58" t="str">
        <x:v>Visual/HMI</x:v>
      </x:c>
      <x:c r="C13" s="58" t="str">
        <x:v>工程/文件</x:v>
      </x:c>
      <x:c r="D13" s="58" t="str">
        <x:v>关闭工程</x:v>
      </x:c>
      <x:c r="E13" s="58" t="str">
        <x:v>脏数据提示与资源释放</x:v>
      </x:c>
      <x:c r="F13" s="58" t="str">
        <x:v>Core</x:v>
      </x:c>
      <x:c r="G13" s="58" t="str">
        <x:v>12_ProjectSchemaSerialization</x:v>
      </x:c>
      <x:c r="H13" s="58" t="str">
        <x:v>M1</x:v>
      </x:c>
    </x:row>
    <x:row r="14">
      <x:c r="A14" s="66" t="str">
        <x:v>CAP-HMI-006</x:v>
      </x:c>
      <x:c r="B14" s="66" t="str">
        <x:v>Visual/HMI</x:v>
      </x:c>
      <x:c r="C14" s="66" t="str">
        <x:v>工程/文件</x:v>
      </x:c>
      <x:c r="D14" s="66" t="str">
        <x:v>工程属性</x:v>
      </x:c>
      <x:c r="E14" s="66" t="str">
        <x:v>名称、默认分辨率、启动页、主题等</x:v>
      </x:c>
      <x:c r="F14" s="66" t="str">
        <x:v>Core</x:v>
      </x:c>
      <x:c r="G14" s="66" t="str">
        <x:v>12_ProjectSchemaSerialization</x:v>
      </x:c>
      <x:c r="H14" s="66" t="str">
        <x:v>M1</x:v>
      </x:c>
    </x:row>
    <x:row r="15">
      <x:c r="A15" s="58" t="str">
        <x:v>CAP-HMI-007</x:v>
      </x:c>
      <x:c r="B15" s="58" t="str">
        <x:v>Visual/HMI</x:v>
      </x:c>
      <x:c r="C15" s="58" t="str">
        <x:v>工程/文件</x:v>
      </x:c>
      <x:c r="D15" s="58" t="str">
        <x:v>自动保存</x:v>
      </x:c>
      <x:c r="E15" s="58" t="str">
        <x:v>写AutoRecovery，不覆盖正式工程</x:v>
      </x:c>
      <x:c r="F15" s="58" t="str">
        <x:v>Core</x:v>
      </x:c>
      <x:c r="G15" s="58" t="str">
        <x:v>12_ProjectSchemaSerialization</x:v>
      </x:c>
      <x:c r="H15" s="58" t="str">
        <x:v>M1</x:v>
      </x:c>
    </x:row>
    <x:row r="16">
      <x:c r="A16" s="66" t="str">
        <x:v>CAP-HMI-008</x:v>
      </x:c>
      <x:c r="B16" s="66" t="str">
        <x:v>Visual/HMI</x:v>
      </x:c>
      <x:c r="C16" s="66" t="str">
        <x:v>工程/文件</x:v>
      </x:c>
      <x:c r="D16" s="66" t="str">
        <x:v>异常恢复</x:v>
      </x:c>
      <x:c r="E16" s="66" t="str">
        <x:v>启动检测恢复数据</x:v>
      </x:c>
      <x:c r="F16" s="66" t="str">
        <x:v>Core</x:v>
      </x:c>
      <x:c r="G16" s="66" t="str">
        <x:v>12_ProjectSchemaSerialization</x:v>
      </x:c>
      <x:c r="H16" s="66" t="str">
        <x:v>M1</x:v>
      </x:c>
    </x:row>
    <x:row r="17">
      <x:c r="A17" s="58" t="str">
        <x:v>CAP-HMI-009</x:v>
      </x:c>
      <x:c r="B17" s="58" t="str">
        <x:v>Visual/HMI</x:v>
      </x:c>
      <x:c r="C17" s="58" t="str">
        <x:v>工程/文件</x:v>
      </x:c>
      <x:c r="D17" s="58" t="str">
        <x:v>备份工程</x:v>
      </x:c>
      <x:c r="E17" s="58" t="str">
        <x:v>最近N个备份/手工备份</x:v>
      </x:c>
      <x:c r="F17" s="58" t="str">
        <x:v>Core</x:v>
      </x:c>
      <x:c r="G17" s="58" t="str">
        <x:v>12_ProjectSchemaSerialization</x:v>
      </x:c>
      <x:c r="H17" s="58" t="str">
        <x:v>M1</x:v>
      </x:c>
    </x:row>
    <x:row r="18">
      <x:c r="A18" s="66" t="str">
        <x:v>CAP-HMI-010</x:v>
      </x:c>
      <x:c r="B18" s="66" t="str">
        <x:v>Visual/HMI</x:v>
      </x:c>
      <x:c r="C18" s="66" t="str">
        <x:v>工程/文件</x:v>
      </x:c>
      <x:c r="D18" s="66" t="str">
        <x:v>工程版本迁移</x:v>
      </x:c>
      <x:c r="E18" s="66" t="str">
        <x:v>formatVersion逐级升级</x:v>
      </x:c>
      <x:c r="F18" s="66" t="str">
        <x:v>Core</x:v>
      </x:c>
      <x:c r="G18" s="66" t="str">
        <x:v>12_ProjectSchemaSerialization</x:v>
      </x:c>
      <x:c r="H18" s="66" t="str">
        <x:v>M1</x:v>
      </x:c>
    </x:row>
    <x:row r="19">
      <x:c r="A19" s="58" t="str">
        <x:v>CAP-HMI-011</x:v>
      </x:c>
      <x:c r="B19" s="58" t="str">
        <x:v>Visual/HMI</x:v>
      </x:c>
      <x:c r="C19" s="58" t="str">
        <x:v>工程/文件</x:v>
      </x:c>
      <x:c r="D19" s="58" t="str">
        <x:v>工程模板</x:v>
      </x:c>
      <x:c r="E19" s="58" t="str">
        <x:v>从标准模板建立工程</x:v>
      </x:c>
      <x:c r="F19" s="58" t="str">
        <x:v>Core</x:v>
      </x:c>
      <x:c r="G19" s="58" t="str">
        <x:v>12_ProjectSchemaSerialization</x:v>
      </x:c>
      <x:c r="H19" s="58" t="str">
        <x:v>M1</x:v>
      </x:c>
    </x:row>
    <x:row r="20">
      <x:c r="A20" s="66" t="str">
        <x:v>CAP-HMI-012</x:v>
      </x:c>
      <x:c r="B20" s="66" t="str">
        <x:v>Visual/HMI</x:v>
      </x:c>
      <x:c r="C20" s="66" t="str">
        <x:v>工程/文件</x:v>
      </x:c>
      <x:c r="D20" s="66" t="str">
        <x:v>导出工程包</x:v>
      </x:c>
      <x:c r="E20" s="66" t="str">
        <x:v>导出完整.cxv</x:v>
      </x:c>
      <x:c r="F20" s="66" t="str">
        <x:v>Core</x:v>
      </x:c>
      <x:c r="G20" s="66" t="str">
        <x:v>12_ProjectSchemaSerialization</x:v>
      </x:c>
      <x:c r="H20" s="66" t="str">
        <x:v>M1</x:v>
      </x:c>
    </x:row>
    <x:row r="21">
      <x:c r="A21" s="58" t="str">
        <x:v>CAP-HMI-013</x:v>
      </x:c>
      <x:c r="B21" s="58" t="str">
        <x:v>Visual/HMI</x:v>
      </x:c>
      <x:c r="C21" s="58" t="str">
        <x:v>工程/文件</x:v>
      </x:c>
      <x:c r="D21" s="58" t="str">
        <x:v>导入工程资源</x:v>
      </x:c>
      <x:c r="E21" s="58" t="str">
        <x:v>导入组件、SVG、图片、变量模板</x:v>
      </x:c>
      <x:c r="F21" s="58" t="str">
        <x:v>Core</x:v>
      </x:c>
      <x:c r="G21" s="58" t="str">
        <x:v>12_ProjectSchemaSerialization</x:v>
      </x:c>
      <x:c r="H21" s="58" t="str">
        <x:v>M1</x:v>
      </x:c>
    </x:row>
    <x:row r="22">
      <x:c r="A22" s="66" t="str">
        <x:v>CAP-HMI-014</x:v>
      </x:c>
      <x:c r="B22" s="66" t="str">
        <x:v>Visual/HMI</x:v>
      </x:c>
      <x:c r="C22" s="66" t="str">
        <x:v>工程/文件</x:v>
      </x:c>
      <x:c r="D22" s="66" t="str">
        <x:v>工程校验</x:v>
      </x:c>
      <x:c r="E22" s="66" t="str">
        <x:v>缺失资源/断链Binding/重复ID/非法属性</x:v>
      </x:c>
      <x:c r="F22" s="66" t="str">
        <x:v>Core</x:v>
      </x:c>
      <x:c r="G22" s="66" t="str">
        <x:v>12_ProjectSchemaSerialization</x:v>
      </x:c>
      <x:c r="H22" s="66" t="str">
        <x:v>M1</x:v>
      </x:c>
    </x:row>
    <x:row r="23">
      <x:c r="A23" s="58" t="str">
        <x:v>CAP-HMI-015</x:v>
      </x:c>
      <x:c r="B23" s="58" t="str">
        <x:v>Visual/HMI</x:v>
      </x:c>
      <x:c r="C23" s="58" t="str">
        <x:v>页面管理</x:v>
      </x:c>
      <x:c r="D23" s="58" t="str">
        <x:v>添加页面</x:v>
      </x:c>
      <x:c r="E23" s="58" t="str">
        <x:v>新建Page并加入Project</x:v>
      </x:c>
      <x:c r="F23" s="58" t="str">
        <x:v>Core</x:v>
      </x:c>
      <x:c r="G23" s="58" t="str">
        <x:v>07_StudioDesigner架构 / 08_Renderer与几何系统 / 09_CommandUndoTransaction</x:v>
      </x:c>
      <x:c r="H23" s="58" t="str">
        <x:v>M2</x:v>
      </x:c>
    </x:row>
    <x:row r="24">
      <x:c r="A24" s="66" t="str">
        <x:v>CAP-HMI-016</x:v>
      </x:c>
      <x:c r="B24" s="66" t="str">
        <x:v>Visual/HMI</x:v>
      </x:c>
      <x:c r="C24" s="66" t="str">
        <x:v>页面管理</x:v>
      </x:c>
      <x:c r="D24" s="66" t="str">
        <x:v>删除页面</x:v>
      </x:c>
      <x:c r="E24" s="66" t="str">
        <x:v>引用检查后删除</x:v>
      </x:c>
      <x:c r="F24" s="66" t="str">
        <x:v>Core</x:v>
      </x:c>
      <x:c r="G24" s="66" t="str">
        <x:v>07_StudioDesigner架构 / 08_Renderer与几何系统 / 09_CommandUndoTransaction</x:v>
      </x:c>
      <x:c r="H24" s="66" t="str">
        <x:v>M2</x:v>
      </x:c>
    </x:row>
    <x:row r="25">
      <x:c r="A25" s="58" t="str">
        <x:v>CAP-HMI-017</x:v>
      </x:c>
      <x:c r="B25" s="58" t="str">
        <x:v>Visual/HMI</x:v>
      </x:c>
      <x:c r="C25" s="58" t="str">
        <x:v>页面管理</x:v>
      </x:c>
      <x:c r="D25" s="58" t="str">
        <x:v>复制页面</x:v>
      </x:c>
      <x:c r="E25" s="58" t="str">
        <x:v>深拷贝页面并重建内部ID</x:v>
      </x:c>
      <x:c r="F25" s="58" t="str">
        <x:v>Core</x:v>
      </x:c>
      <x:c r="G25" s="58" t="str">
        <x:v>07_StudioDesigner架构 / 08_Renderer与几何系统 / 09_CommandUndoTransaction</x:v>
      </x:c>
      <x:c r="H25" s="58" t="str">
        <x:v>M2</x:v>
      </x:c>
    </x:row>
    <x:row r="26">
      <x:c r="A26" s="66" t="str">
        <x:v>CAP-HMI-018</x:v>
      </x:c>
      <x:c r="B26" s="66" t="str">
        <x:v>Visual/HMI</x:v>
      </x:c>
      <x:c r="C26" s="66" t="str">
        <x:v>页面管理</x:v>
      </x:c>
      <x:c r="D26" s="66" t="str">
        <x:v>重命名页面</x:v>
      </x:c>
      <x:c r="E26" s="66" t="str">
        <x:v>显示名与ID分离</x:v>
      </x:c>
      <x:c r="F26" s="66" t="str">
        <x:v>Core</x:v>
      </x:c>
      <x:c r="G26" s="66" t="str">
        <x:v>07_StudioDesigner架构 / 08_Renderer与几何系统 / 09_CommandUndoTransaction</x:v>
      </x:c>
      <x:c r="H26" s="66" t="str">
        <x:v>M2</x:v>
      </x:c>
    </x:row>
    <x:row r="27">
      <x:c r="A27" s="58" t="str">
        <x:v>CAP-HMI-019</x:v>
      </x:c>
      <x:c r="B27" s="58" t="str">
        <x:v>Visual/HMI</x:v>
      </x:c>
      <x:c r="C27" s="58" t="str">
        <x:v>页面管理</x:v>
      </x:c>
      <x:c r="D27" s="58" t="str">
        <x:v>页面属性</x:v>
      </x:c>
      <x:c r="E27" s="58" t="str">
        <x:v>尺寸、背景、缩放模式</x:v>
      </x:c>
      <x:c r="F27" s="58" t="str">
        <x:v>Core</x:v>
      </x:c>
      <x:c r="G27" s="58" t="str">
        <x:v>07_StudioDesigner架构 / 08_Renderer与几何系统 / 09_CommandUndoTransaction</x:v>
      </x:c>
      <x:c r="H27" s="58" t="str">
        <x:v>M2</x:v>
      </x:c>
    </x:row>
    <x:row r="28">
      <x:c r="A28" s="66" t="str">
        <x:v>CAP-HMI-020</x:v>
      </x:c>
      <x:c r="B28" s="66" t="str">
        <x:v>Visual/HMI</x:v>
      </x:c>
      <x:c r="C28" s="66" t="str">
        <x:v>页面管理</x:v>
      </x:c>
      <x:c r="D28" s="66" t="str">
        <x:v>页面切换</x:v>
      </x:c>
      <x:c r="E28" s="66" t="str">
        <x:v>设计器多标签页</x:v>
      </x:c>
      <x:c r="F28" s="66" t="str">
        <x:v>Core</x:v>
      </x:c>
      <x:c r="G28" s="66" t="str">
        <x:v>07_StudioDesigner架构 / 08_Renderer与几何系统 / 09_CommandUndoTransaction</x:v>
      </x:c>
      <x:c r="H28" s="66" t="str">
        <x:v>M2</x:v>
      </x:c>
    </x:row>
    <x:row r="29">
      <x:c r="A29" s="58" t="str">
        <x:v>CAP-HMI-021</x:v>
      </x:c>
      <x:c r="B29" s="58" t="str">
        <x:v>Visual/HMI</x:v>
      </x:c>
      <x:c r="C29" s="58" t="str">
        <x:v>页面管理</x:v>
      </x:c>
      <x:c r="D29" s="58" t="str">
        <x:v>设置启动页</x:v>
      </x:c>
      <x:c r="E29" s="58" t="str">
        <x:v>Runtime启动入口</x:v>
      </x:c>
      <x:c r="F29" s="58" t="str">
        <x:v>Core</x:v>
      </x:c>
      <x:c r="G29" s="58" t="str">
        <x:v>07_StudioDesigner架构 / 08_Renderer与几何系统 / 09_CommandUndoTransaction</x:v>
      </x:c>
      <x:c r="H29" s="58" t="str">
        <x:v>M2</x:v>
      </x:c>
    </x:row>
    <x:row r="30">
      <x:c r="A30" s="66" t="str">
        <x:v>CAP-HMI-022</x:v>
      </x:c>
      <x:c r="B30" s="66" t="str">
        <x:v>Visual/HMI</x:v>
      </x:c>
      <x:c r="C30" s="66" t="str">
        <x:v>页面管理</x:v>
      </x:c>
      <x:c r="D30" s="66" t="str">
        <x:v>页面预览</x:v>
      </x:c>
      <x:c r="E30" s="66" t="str">
        <x:v>运行态预览</x:v>
      </x:c>
      <x:c r="F30" s="66" t="str">
        <x:v>Extended</x:v>
      </x:c>
      <x:c r="G30" s="66" t="str">
        <x:v>07_StudioDesigner架构 / 08_Renderer与几何系统 / 09_CommandUndoTransaction</x:v>
      </x:c>
      <x:c r="H30" s="66" t="str">
        <x:v>M2</x:v>
      </x:c>
    </x:row>
    <x:row r="31">
      <x:c r="A31" s="58" t="str">
        <x:v>CAP-HMI-023</x:v>
      </x:c>
      <x:c r="B31" s="58" t="str">
        <x:v>Visual/HMI</x:v>
      </x:c>
      <x:c r="C31" s="58" t="str">
        <x:v>页面管理</x:v>
      </x:c>
      <x:c r="D31" s="58" t="str">
        <x:v>页面导入/导出</x:v>
      </x:c>
      <x:c r="E31" s="58" t="str">
        <x:v>页面资源复用</x:v>
      </x:c>
      <x:c r="F31" s="58" t="str">
        <x:v>Extended</x:v>
      </x:c>
      <x:c r="G31" s="58" t="str">
        <x:v>07_StudioDesigner架构 / 08_Renderer与几何系统 / 09_CommandUndoTransaction</x:v>
      </x:c>
      <x:c r="H31" s="58" t="str">
        <x:v>M2</x:v>
      </x:c>
    </x:row>
    <x:row r="32">
      <x:c r="A32" s="66" t="str">
        <x:v>CAP-HMI-024</x:v>
      </x:c>
      <x:c r="B32" s="66" t="str">
        <x:v>Visual/HMI</x:v>
      </x:c>
      <x:c r="C32" s="66" t="str">
        <x:v>工程树/大纲</x:v>
      </x:c>
      <x:c r="D32" s="66" t="str">
        <x:v>Project Browser</x:v>
      </x:c>
      <x:c r="E32" s="66" t="str">
        <x:v>显示Project/Page/Container/Element树</x:v>
      </x:c>
      <x:c r="F32" s="66" t="str">
        <x:v>Core</x:v>
      </x:c>
      <x:c r="G32" s="66" t="str">
        <x:v>03_架构总纲与领域边界</x:v>
      </x:c>
      <x:c r="H32" s="66" t="str">
        <x:v>M1</x:v>
      </x:c>
    </x:row>
    <x:row r="33">
      <x:c r="A33" s="58" t="str">
        <x:v>CAP-HMI-025</x:v>
      </x:c>
      <x:c r="B33" s="58" t="str">
        <x:v>Visual/HMI</x:v>
      </x:c>
      <x:c r="C33" s="58" t="str">
        <x:v>工程树/大纲</x:v>
      </x:c>
      <x:c r="D33" s="58" t="str">
        <x:v>元素树选择联动</x:v>
      </x:c>
      <x:c r="E33" s="58" t="str">
        <x:v>树与画布选择同步</x:v>
      </x:c>
      <x:c r="F33" s="58" t="str">
        <x:v>Core</x:v>
      </x:c>
      <x:c r="G33" s="58" t="str">
        <x:v>03_架构总纲与领域边界</x:v>
      </x:c>
      <x:c r="H33" s="58" t="str">
        <x:v>M1</x:v>
      </x:c>
    </x:row>
    <x:row r="34">
      <x:c r="A34" s="66" t="str">
        <x:v>CAP-HMI-026</x:v>
      </x:c>
      <x:c r="B34" s="66" t="str">
        <x:v>Visual/HMI</x:v>
      </x:c>
      <x:c r="C34" s="66" t="str">
        <x:v>工程树/大纲</x:v>
      </x:c>
      <x:c r="D34" s="66" t="str">
        <x:v>树内拖拽排序</x:v>
      </x:c>
      <x:c r="E34" s="66" t="str">
        <x:v>修改父容器/ZIndex</x:v>
      </x:c>
      <x:c r="F34" s="66" t="str">
        <x:v>Core</x:v>
      </x:c>
      <x:c r="G34" s="66" t="str">
        <x:v>03_架构总纲与领域边界</x:v>
      </x:c>
      <x:c r="H34" s="66" t="str">
        <x:v>M1</x:v>
      </x:c>
    </x:row>
    <x:row r="35">
      <x:c r="A35" s="58" t="str">
        <x:v>CAP-HMI-027</x:v>
      </x:c>
      <x:c r="B35" s="58" t="str">
        <x:v>Visual/HMI</x:v>
      </x:c>
      <x:c r="C35" s="58" t="str">
        <x:v>工程树/大纲</x:v>
      </x:c>
      <x:c r="D35" s="58" t="str">
        <x:v>树内显示隐藏</x:v>
      </x:c>
      <x:c r="E35" s="58" t="str">
        <x:v>元素/图层可见性</x:v>
      </x:c>
      <x:c r="F35" s="58" t="str">
        <x:v>Core</x:v>
      </x:c>
      <x:c r="G35" s="58" t="str">
        <x:v>03_架构总纲与领域边界</x:v>
      </x:c>
      <x:c r="H35" s="58" t="str">
        <x:v>M1</x:v>
      </x:c>
    </x:row>
    <x:row r="36">
      <x:c r="A36" s="66" t="str">
        <x:v>CAP-HMI-028</x:v>
      </x:c>
      <x:c r="B36" s="66" t="str">
        <x:v>Visual/HMI</x:v>
      </x:c>
      <x:c r="C36" s="66" t="str">
        <x:v>工程树/大纲</x:v>
      </x:c>
      <x:c r="D36" s="66" t="str">
        <x:v>树内锁定</x:v>
      </x:c>
      <x:c r="E36" s="66" t="str">
        <x:v>元素/图层锁定</x:v>
      </x:c>
      <x:c r="F36" s="66" t="str">
        <x:v>Core</x:v>
      </x:c>
      <x:c r="G36" s="66" t="str">
        <x:v>03_架构总纲与领域边界</x:v>
      </x:c>
      <x:c r="H36" s="66" t="str">
        <x:v>M1</x:v>
      </x:c>
    </x:row>
    <x:row r="37">
      <x:c r="A37" s="58" t="str">
        <x:v>CAP-HMI-029</x:v>
      </x:c>
      <x:c r="B37" s="58" t="str">
        <x:v>Visual/HMI</x:v>
      </x:c>
      <x:c r="C37" s="58" t="str">
        <x:v>工程树/大纲</x:v>
      </x:c>
      <x:c r="D37" s="58" t="str">
        <x:v>搜索元素</x:v>
      </x:c>
      <x:c r="E37" s="58" t="str">
        <x:v>按名称/类型/ID搜索</x:v>
      </x:c>
      <x:c r="F37" s="58" t="str">
        <x:v>Core</x:v>
      </x:c>
      <x:c r="G37" s="58" t="str">
        <x:v>03_架构总纲与领域边界</x:v>
      </x:c>
      <x:c r="H37" s="58" t="str">
        <x:v>M1</x:v>
      </x:c>
    </x:row>
    <x:row r="38">
      <x:c r="A38" s="66" t="str">
        <x:v>CAP-HMI-030</x:v>
      </x:c>
      <x:c r="B38" s="66" t="str">
        <x:v>Visual/HMI</x:v>
      </x:c>
      <x:c r="C38" s="66" t="str">
        <x:v>基本编辑</x:v>
      </x:c>
      <x:c r="D38" s="66" t="str">
        <x:v>选择</x:v>
      </x:c>
      <x:c r="E38" s="66" t="str">
        <x:v>单选</x:v>
      </x:c>
      <x:c r="F38" s="66" t="str">
        <x:v>Core</x:v>
      </x:c>
      <x:c r="G38" s="66" t="str">
        <x:v>07_StudioDesigner架构 / 08_Renderer与几何系统 / 09_CommandUndoTransaction</x:v>
      </x:c>
      <x:c r="H38" s="66" t="str">
        <x:v>M2</x:v>
      </x:c>
    </x:row>
    <x:row r="39">
      <x:c r="A39" s="58" t="str">
        <x:v>CAP-HMI-031</x:v>
      </x:c>
      <x:c r="B39" s="58" t="str">
        <x:v>Visual/HMI</x:v>
      </x:c>
      <x:c r="C39" s="58" t="str">
        <x:v>基本编辑</x:v>
      </x:c>
      <x:c r="D39" s="58" t="str">
        <x:v>Ctrl多选</x:v>
      </x:c>
      <x:c r="E39" s="58" t="str">
        <x:v>增量多选</x:v>
      </x:c>
      <x:c r="F39" s="58" t="str">
        <x:v>Core</x:v>
      </x:c>
      <x:c r="G39" s="58" t="str">
        <x:v>07_StudioDesigner架构 / 08_Renderer与几何系统 / 09_CommandUndoTransaction</x:v>
      </x:c>
      <x:c r="H39" s="58" t="str">
        <x:v>M2</x:v>
      </x:c>
    </x:row>
    <x:row r="40">
      <x:c r="A40" s="66" t="str">
        <x:v>CAP-HMI-032</x:v>
      </x:c>
      <x:c r="B40" s="66" t="str">
        <x:v>Visual/HMI</x:v>
      </x:c>
      <x:c r="C40" s="66" t="str">
        <x:v>基本编辑</x:v>
      </x:c>
      <x:c r="D40" s="66" t="str">
        <x:v>框选</x:v>
      </x:c>
      <x:c r="E40" s="66" t="str">
        <x:v>矩形框选择</x:v>
      </x:c>
      <x:c r="F40" s="66" t="str">
        <x:v>Core</x:v>
      </x:c>
      <x:c r="G40" s="66" t="str">
        <x:v>07_StudioDesigner架构 / 08_Renderer与几何系统 / 09_CommandUndoTransaction</x:v>
      </x:c>
      <x:c r="H40" s="66" t="str">
        <x:v>M2</x:v>
      </x:c>
    </x:row>
    <x:row r="41">
      <x:c r="A41" s="58" t="str">
        <x:v>CAP-HMI-033</x:v>
      </x:c>
      <x:c r="B41" s="58" t="str">
        <x:v>Visual/HMI</x:v>
      </x:c>
      <x:c r="C41" s="58" t="str">
        <x:v>基本编辑</x:v>
      </x:c>
      <x:c r="D41" s="58" t="str">
        <x:v>全选</x:v>
      </x:c>
      <x:c r="E41" s="58" t="str">
        <x:v>当前容器/页面全选</x:v>
      </x:c>
      <x:c r="F41" s="58" t="str">
        <x:v>Core</x:v>
      </x:c>
      <x:c r="G41" s="58" t="str">
        <x:v>07_StudioDesigner架构 / 08_Renderer与几何系统 / 09_CommandUndoTransaction</x:v>
      </x:c>
      <x:c r="H41" s="58" t="str">
        <x:v>M2</x:v>
      </x:c>
    </x:row>
    <x:row r="42">
      <x:c r="A42" s="66" t="str">
        <x:v>CAP-HMI-034</x:v>
      </x:c>
      <x:c r="B42" s="66" t="str">
        <x:v>Visual/HMI</x:v>
      </x:c>
      <x:c r="C42" s="66" t="str">
        <x:v>基本编辑</x:v>
      </x:c>
      <x:c r="D42" s="66" t="str">
        <x:v>取消选择</x:v>
      </x:c>
      <x:c r="E42" s="66" t="str">
        <x:v>清空SelectionManager</x:v>
      </x:c>
      <x:c r="F42" s="66" t="str">
        <x:v>Core</x:v>
      </x:c>
      <x:c r="G42" s="66" t="str">
        <x:v>07_StudioDesigner架构 / 08_Renderer与几何系统 / 09_CommandUndoTransaction</x:v>
      </x:c>
      <x:c r="H42" s="66" t="str">
        <x:v>M2</x:v>
      </x:c>
    </x:row>
    <x:row r="43">
      <x:c r="A43" s="58" t="str">
        <x:v>CAP-HMI-035</x:v>
      </x:c>
      <x:c r="B43" s="58" t="str">
        <x:v>Visual/HMI</x:v>
      </x:c>
      <x:c r="C43" s="58" t="str">
        <x:v>基本编辑</x:v>
      </x:c>
      <x:c r="D43" s="58" t="str">
        <x:v>复制</x:v>
      </x:c>
      <x:c r="E43" s="58" t="str">
        <x:v>ElementModel进入内部剪贴板</x:v>
      </x:c>
      <x:c r="F43" s="58" t="str">
        <x:v>Core</x:v>
      </x:c>
      <x:c r="G43" s="58" t="str">
        <x:v>07_StudioDesigner架构 / 08_Renderer与几何系统 / 09_CommandUndoTransaction</x:v>
      </x:c>
      <x:c r="H43" s="58" t="str">
        <x:v>M2</x:v>
      </x:c>
    </x:row>
    <x:row r="44">
      <x:c r="A44" s="66" t="str">
        <x:v>CAP-HMI-036</x:v>
      </x:c>
      <x:c r="B44" s="66" t="str">
        <x:v>Visual/HMI</x:v>
      </x:c>
      <x:c r="C44" s="66" t="str">
        <x:v>基本编辑</x:v>
      </x:c>
      <x:c r="D44" s="66" t="str">
        <x:v>粘贴</x:v>
      </x:c>
      <x:c r="E44" s="66" t="str">
        <x:v>新ID并偏移位置</x:v>
      </x:c>
      <x:c r="F44" s="66" t="str">
        <x:v>Core</x:v>
      </x:c>
      <x:c r="G44" s="66" t="str">
        <x:v>07_StudioDesigner架构 / 08_Renderer与几何系统 / 09_CommandUndoTransaction</x:v>
      </x:c>
      <x:c r="H44" s="66" t="str">
        <x:v>M2</x:v>
      </x:c>
    </x:row>
    <x:row r="45">
      <x:c r="A45" s="58" t="str">
        <x:v>CAP-HMI-037</x:v>
      </x:c>
      <x:c r="B45" s="58" t="str">
        <x:v>Visual/HMI</x:v>
      </x:c>
      <x:c r="C45" s="58" t="str">
        <x:v>基本编辑</x:v>
      </x:c>
      <x:c r="D45" s="58" t="str">
        <x:v>剪切</x:v>
      </x:c>
      <x:c r="E45" s="58" t="str">
        <x:v>Copy + Delete</x:v>
      </x:c>
      <x:c r="F45" s="58" t="str">
        <x:v>Core</x:v>
      </x:c>
      <x:c r="G45" s="58" t="str">
        <x:v>07_StudioDesigner架构 / 08_Renderer与几何系统 / 09_CommandUndoTransaction</x:v>
      </x:c>
      <x:c r="H45" s="58" t="str">
        <x:v>M2</x:v>
      </x:c>
    </x:row>
    <x:row r="46">
      <x:c r="A46" s="66" t="str">
        <x:v>CAP-HMI-038</x:v>
      </x:c>
      <x:c r="B46" s="66" t="str">
        <x:v>Visual/HMI</x:v>
      </x:c>
      <x:c r="C46" s="66" t="str">
        <x:v>基本编辑</x:v>
      </x:c>
      <x:c r="D46" s="66" t="str">
        <x:v>删除</x:v>
      </x:c>
      <x:c r="E46" s="66" t="str">
        <x:v>可Undo</x:v>
      </x:c>
      <x:c r="F46" s="66" t="str">
        <x:v>Core</x:v>
      </x:c>
      <x:c r="G46" s="66" t="str">
        <x:v>07_StudioDesigner架构 / 08_Renderer与几何系统 / 09_CommandUndoTransaction</x:v>
      </x:c>
      <x:c r="H46" s="66" t="str">
        <x:v>M2</x:v>
      </x:c>
    </x:row>
    <x:row r="47">
      <x:c r="A47" s="58" t="str">
        <x:v>CAP-HMI-039</x:v>
      </x:c>
      <x:c r="B47" s="58" t="str">
        <x:v>Visual/HMI</x:v>
      </x:c>
      <x:c r="C47" s="58" t="str">
        <x:v>基本编辑</x:v>
      </x:c>
      <x:c r="D47" s="58" t="str">
        <x:v>克隆</x:v>
      </x:c>
      <x:c r="E47" s="58" t="str">
        <x:v>原位/偏移复制</x:v>
      </x:c>
      <x:c r="F47" s="58" t="str">
        <x:v>Core</x:v>
      </x:c>
      <x:c r="G47" s="58" t="str">
        <x:v>07_StudioDesigner架构 / 08_Renderer与几何系统 / 09_CommandUndoTransaction</x:v>
      </x:c>
      <x:c r="H47" s="58" t="str">
        <x:v>M2</x:v>
      </x:c>
    </x:row>
    <x:row r="48">
      <x:c r="A48" s="66" t="str">
        <x:v>CAP-HMI-040</x:v>
      </x:c>
      <x:c r="B48" s="66" t="str">
        <x:v>Visual/HMI</x:v>
      </x:c>
      <x:c r="C48" s="66" t="str">
        <x:v>基本编辑</x:v>
      </x:c>
      <x:c r="D48" s="66" t="str">
        <x:v>撤销</x:v>
      </x:c>
      <x:c r="E48" s="66" t="str">
        <x:v>CommandHistory</x:v>
      </x:c>
      <x:c r="F48" s="66" t="str">
        <x:v>Core</x:v>
      </x:c>
      <x:c r="G48" s="66" t="str">
        <x:v>07_StudioDesigner架构 / 08_Renderer与几何系统 / 09_CommandUndoTransaction</x:v>
      </x:c>
      <x:c r="H48" s="66" t="str">
        <x:v>M2</x:v>
      </x:c>
    </x:row>
    <x:row r="49">
      <x:c r="A49" s="58" t="str">
        <x:v>CAP-HMI-041</x:v>
      </x:c>
      <x:c r="B49" s="58" t="str">
        <x:v>Visual/HMI</x:v>
      </x:c>
      <x:c r="C49" s="58" t="str">
        <x:v>基本编辑</x:v>
      </x:c>
      <x:c r="D49" s="58" t="str">
        <x:v>重做</x:v>
      </x:c>
      <x:c r="E49" s="58" t="str">
        <x:v>CommandHistory</x:v>
      </x:c>
      <x:c r="F49" s="58" t="str">
        <x:v>Core</x:v>
      </x:c>
      <x:c r="G49" s="58" t="str">
        <x:v>07_StudioDesigner架构 / 08_Renderer与几何系统 / 09_CommandUndoTransaction</x:v>
      </x:c>
      <x:c r="H49" s="58" t="str">
        <x:v>M2</x:v>
      </x:c>
    </x:row>
    <x:row r="50">
      <x:c r="A50" s="66" t="str">
        <x:v>CAP-HMI-042</x:v>
      </x:c>
      <x:c r="B50" s="66" t="str">
        <x:v>Visual/HMI</x:v>
      </x:c>
      <x:c r="C50" s="66" t="str">
        <x:v>基本编辑</x:v>
      </x:c>
      <x:c r="D50" s="66" t="str">
        <x:v>查找/替换</x:v>
      </x:c>
      <x:c r="E50" s="66" t="str">
        <x:v>文本/名称/绑定路径批量替换</x:v>
      </x:c>
      <x:c r="F50" s="66" t="str">
        <x:v>Core</x:v>
      </x:c>
      <x:c r="G50" s="66" t="str">
        <x:v>07_StudioDesigner架构 / 08_Renderer与几何系统 / 09_CommandUndoTransaction</x:v>
      </x:c>
      <x:c r="H50" s="66" t="str">
        <x:v>M2</x:v>
      </x:c>
    </x:row>
    <x:row r="51">
      <x:c r="A51" s="58" t="str">
        <x:v>CAP-HMI-043</x:v>
      </x:c>
      <x:c r="B51" s="58" t="str">
        <x:v>Visual/HMI</x:v>
      </x:c>
      <x:c r="C51" s="58" t="str">
        <x:v>基本编辑</x:v>
      </x:c>
      <x:c r="D51" s="58" t="str">
        <x:v>快捷键</x:v>
      </x:c>
      <x:c r="E51" s="58" t="str">
        <x:v>Ctrl+C/V/Z/Y等</x:v>
      </x:c>
      <x:c r="F51" s="58" t="str">
        <x:v>Core</x:v>
      </x:c>
      <x:c r="G51" s="58" t="str">
        <x:v>07_StudioDesigner架构 / 08_Renderer与几何系统 / 09_CommandUndoTransaction</x:v>
      </x:c>
      <x:c r="H51" s="58" t="str">
        <x:v>M2</x:v>
      </x:c>
    </x:row>
    <x:row r="52">
      <x:c r="A52" s="66" t="str">
        <x:v>CAP-HMI-044</x:v>
      </x:c>
      <x:c r="B52" s="66" t="str">
        <x:v>Visual/HMI</x:v>
      </x:c>
      <x:c r="C52" s="66" t="str">
        <x:v>绘图工具</x:v>
      </x:c>
      <x:c r="D52" s="66" t="str">
        <x:v>直线绘制</x:v>
      </x:c>
      <x:c r="E52" s="66" t="str">
        <x:v>两点绘制</x:v>
      </x:c>
      <x:c r="F52" s="66" t="str">
        <x:v>Core</x:v>
      </x:c>
      <x:c r="G52" s="66" t="str">
        <x:v>07_StudioDesigner架构 / 08_Renderer与几何系统 / 09_CommandUndoTransaction</x:v>
      </x:c>
      <x:c r="H52" s="66" t="str">
        <x:v>M2</x:v>
      </x:c>
    </x:row>
    <x:row r="53">
      <x:c r="A53" s="58" t="str">
        <x:v>CAP-HMI-045</x:v>
      </x:c>
      <x:c r="B53" s="58" t="str">
        <x:v>Visual/HMI</x:v>
      </x:c>
      <x:c r="C53" s="58" t="str">
        <x:v>绘图工具</x:v>
      </x:c>
      <x:c r="D53" s="58" t="str">
        <x:v>折线绘制</x:v>
      </x:c>
      <x:c r="E53" s="58" t="str">
        <x:v>多点结束</x:v>
      </x:c>
      <x:c r="F53" s="58" t="str">
        <x:v>Core</x:v>
      </x:c>
      <x:c r="G53" s="58" t="str">
        <x:v>07_StudioDesigner架构 / 08_Renderer与几何系统 / 09_CommandUndoTransaction</x:v>
      </x:c>
      <x:c r="H53" s="58" t="str">
        <x:v>M2</x:v>
      </x:c>
    </x:row>
    <x:row r="54">
      <x:c r="A54" s="66" t="str">
        <x:v>CAP-HMI-046</x:v>
      </x:c>
      <x:c r="B54" s="66" t="str">
        <x:v>Visual/HMI</x:v>
      </x:c>
      <x:c r="C54" s="66" t="str">
        <x:v>绘图工具</x:v>
      </x:c>
      <x:c r="D54" s="66" t="str">
        <x:v>矩形绘制</x:v>
      </x:c>
      <x:c r="E54" s="66" t="str">
        <x:v>拖拽绘制</x:v>
      </x:c>
      <x:c r="F54" s="66" t="str">
        <x:v>Core</x:v>
      </x:c>
      <x:c r="G54" s="66" t="str">
        <x:v>07_StudioDesigner架构 / 08_Renderer与几何系统 / 09_CommandUndoTransaction</x:v>
      </x:c>
      <x:c r="H54" s="66" t="str">
        <x:v>M2</x:v>
      </x:c>
    </x:row>
    <x:row r="55">
      <x:c r="A55" s="58" t="str">
        <x:v>CAP-HMI-047</x:v>
      </x:c>
      <x:c r="B55" s="58" t="str">
        <x:v>Visual/HMI</x:v>
      </x:c>
      <x:c r="C55" s="58" t="str">
        <x:v>绘图工具</x:v>
      </x:c>
      <x:c r="D55" s="58" t="str">
        <x:v>圆角矩形绘制</x:v>
      </x:c>
      <x:c r="E55" s="58" t="str">
        <x:v>半径可调</x:v>
      </x:c>
      <x:c r="F55" s="58" t="str">
        <x:v>Core</x:v>
      </x:c>
      <x:c r="G55" s="58" t="str">
        <x:v>07_StudioDesigner架构 / 08_Renderer与几何系统 / 09_CommandUndoTransaction</x:v>
      </x:c>
      <x:c r="H55" s="58" t="str">
        <x:v>M2</x:v>
      </x:c>
    </x:row>
    <x:row r="56">
      <x:c r="A56" s="66" t="str">
        <x:v>CAP-HMI-048</x:v>
      </x:c>
      <x:c r="B56" s="66" t="str">
        <x:v>Visual/HMI</x:v>
      </x:c>
      <x:c r="C56" s="66" t="str">
        <x:v>绘图工具</x:v>
      </x:c>
      <x:c r="D56" s="66" t="str">
        <x:v>圆/椭圆绘制</x:v>
      </x:c>
      <x:c r="E56" s="66" t="str">
        <x:v>Shift约束圆</x:v>
      </x:c>
      <x:c r="F56" s="66" t="str">
        <x:v>Core</x:v>
      </x:c>
      <x:c r="G56" s="66" t="str">
        <x:v>07_StudioDesigner架构 / 08_Renderer与几何系统 / 09_CommandUndoTransaction</x:v>
      </x:c>
      <x:c r="H56" s="66" t="str">
        <x:v>M2</x:v>
      </x:c>
    </x:row>
    <x:row r="57">
      <x:c r="A57" s="58" t="str">
        <x:v>CAP-HMI-049</x:v>
      </x:c>
      <x:c r="B57" s="58" t="str">
        <x:v>Visual/HMI</x:v>
      </x:c>
      <x:c r="C57" s="58" t="str">
        <x:v>绘图工具</x:v>
      </x:c>
      <x:c r="D57" s="58" t="str">
        <x:v>多边形绘制</x:v>
      </x:c>
      <x:c r="E57" s="58" t="str">
        <x:v>多点闭合</x:v>
      </x:c>
      <x:c r="F57" s="58" t="str">
        <x:v>Core</x:v>
      </x:c>
      <x:c r="G57" s="58" t="str">
        <x:v>07_StudioDesigner架构 / 08_Renderer与几何系统 / 09_CommandUndoTransaction</x:v>
      </x:c>
      <x:c r="H57" s="58" t="str">
        <x:v>M2</x:v>
      </x:c>
    </x:row>
    <x:row r="58">
      <x:c r="A58" s="66" t="str">
        <x:v>CAP-HMI-050</x:v>
      </x:c>
      <x:c r="B58" s="66" t="str">
        <x:v>Visual/HMI</x:v>
      </x:c>
      <x:c r="C58" s="66" t="str">
        <x:v>绘图工具</x:v>
      </x:c>
      <x:c r="D58" s="66" t="str">
        <x:v>星形/正多边形</x:v>
      </x:c>
      <x:c r="E58" s="66" t="str">
        <x:v>参数化</x:v>
      </x:c>
      <x:c r="F58" s="66" t="str">
        <x:v>Core</x:v>
      </x:c>
      <x:c r="G58" s="66" t="str">
        <x:v>07_StudioDesigner架构 / 08_Renderer与几何系统 / 09_CommandUndoTransaction</x:v>
      </x:c>
      <x:c r="H58" s="66" t="str">
        <x:v>M2</x:v>
      </x:c>
    </x:row>
    <x:row r="59">
      <x:c r="A59" s="58" t="str">
        <x:v>CAP-HMI-051</x:v>
      </x:c>
      <x:c r="B59" s="58" t="str">
        <x:v>Visual/HMI</x:v>
      </x:c>
      <x:c r="C59" s="58" t="str">
        <x:v>绘图工具</x:v>
      </x:c>
      <x:c r="D59" s="58" t="str">
        <x:v>圆弧绘制</x:v>
      </x:c>
      <x:c r="E59" s="58" t="str">
        <x:v>起点/终点/半径</x:v>
      </x:c>
      <x:c r="F59" s="58" t="str">
        <x:v>Core</x:v>
      </x:c>
      <x:c r="G59" s="58" t="str">
        <x:v>07_StudioDesigner架构 / 08_Renderer与几何系统 / 09_CommandUndoTransaction</x:v>
      </x:c>
      <x:c r="H59" s="58" t="str">
        <x:v>M2</x:v>
      </x:c>
    </x:row>
    <x:row r="60">
      <x:c r="A60" s="66" t="str">
        <x:v>CAP-HMI-052</x:v>
      </x:c>
      <x:c r="B60" s="66" t="str">
        <x:v>Visual/HMI</x:v>
      </x:c>
      <x:c r="C60" s="66" t="str">
        <x:v>绘图工具</x:v>
      </x:c>
      <x:c r="D60" s="66" t="str">
        <x:v>二次贝塞尔</x:v>
      </x:c>
      <x:c r="E60" s="66" t="str">
        <x:v>控制点编辑</x:v>
      </x:c>
      <x:c r="F60" s="66" t="str">
        <x:v>Core</x:v>
      </x:c>
      <x:c r="G60" s="66" t="str">
        <x:v>07_StudioDesigner架构 / 08_Renderer与几何系统 / 09_CommandUndoTransaction</x:v>
      </x:c>
      <x:c r="H60" s="66" t="str">
        <x:v>M2</x:v>
      </x:c>
    </x:row>
    <x:row r="61">
      <x:c r="A61" s="58" t="str">
        <x:v>CAP-HMI-053</x:v>
      </x:c>
      <x:c r="B61" s="58" t="str">
        <x:v>Visual/HMI</x:v>
      </x:c>
      <x:c r="C61" s="58" t="str">
        <x:v>绘图工具</x:v>
      </x:c>
      <x:c r="D61" s="58" t="str">
        <x:v>三次贝塞尔</x:v>
      </x:c>
      <x:c r="E61" s="58" t="str">
        <x:v>双控制柄</x:v>
      </x:c>
      <x:c r="F61" s="58" t="str">
        <x:v>Core</x:v>
      </x:c>
      <x:c r="G61" s="58" t="str">
        <x:v>07_StudioDesigner架构 / 08_Renderer与几何系统 / 09_CommandUndoTransaction</x:v>
      </x:c>
      <x:c r="H61" s="58" t="str">
        <x:v>M2</x:v>
      </x:c>
    </x:row>
    <x:row r="62">
      <x:c r="A62" s="66" t="str">
        <x:v>CAP-HMI-054</x:v>
      </x:c>
      <x:c r="B62" s="66" t="str">
        <x:v>Visual/HMI</x:v>
      </x:c>
      <x:c r="C62" s="66" t="str">
        <x:v>绘图工具</x:v>
      </x:c>
      <x:c r="D62" s="66" t="str">
        <x:v>自由曲线</x:v>
      </x:c>
      <x:c r="E62" s="66" t="str">
        <x:v>采样与简化</x:v>
      </x:c>
      <x:c r="F62" s="66" t="str">
        <x:v>Core</x:v>
      </x:c>
      <x:c r="G62" s="66" t="str">
        <x:v>07_StudioDesigner架构 / 08_Renderer与几何系统 / 09_CommandUndoTransaction</x:v>
      </x:c>
      <x:c r="H62" s="66" t="str">
        <x:v>M2</x:v>
      </x:c>
    </x:row>
    <x:row r="63">
      <x:c r="A63" s="58" t="str">
        <x:v>CAP-HMI-055</x:v>
      </x:c>
      <x:c r="B63" s="58" t="str">
        <x:v>Visual/HMI</x:v>
      </x:c>
      <x:c r="C63" s="58" t="str">
        <x:v>绘图工具</x:v>
      </x:c>
      <x:c r="D63" s="58" t="str">
        <x:v>Path工具</x:v>
      </x:c>
      <x:c r="E63" s="58" t="str">
        <x:v>M/L/C/Q/A/Z</x:v>
      </x:c>
      <x:c r="F63" s="58" t="str">
        <x:v>Core</x:v>
      </x:c>
      <x:c r="G63" s="58" t="str">
        <x:v>07_StudioDesigner架构 / 08_Renderer与几何系统 / 09_CommandUndoTransaction</x:v>
      </x:c>
      <x:c r="H63" s="58" t="str">
        <x:v>M2</x:v>
      </x:c>
    </x:row>
    <x:row r="64">
      <x:c r="A64" s="66" t="str">
        <x:v>CAP-HMI-056</x:v>
      </x:c>
      <x:c r="B64" s="66" t="str">
        <x:v>Visual/HMI</x:v>
      </x:c>
      <x:c r="C64" s="66" t="str">
        <x:v>绘图工具</x:v>
      </x:c>
      <x:c r="D64" s="66" t="str">
        <x:v>文本工具</x:v>
      </x:c>
      <x:c r="E64" s="66" t="str">
        <x:v>点击/拖拽文本框</x:v>
      </x:c>
      <x:c r="F64" s="66" t="str">
        <x:v>Core</x:v>
      </x:c>
      <x:c r="G64" s="66" t="str">
        <x:v>07_StudioDesigner架构 / 08_Renderer与几何系统 / 09_CommandUndoTransaction</x:v>
      </x:c>
      <x:c r="H64" s="66" t="str">
        <x:v>M2</x:v>
      </x:c>
    </x:row>
    <x:row r="65">
      <x:c r="A65" s="58" t="str">
        <x:v>CAP-HMI-057</x:v>
      </x:c>
      <x:c r="B65" s="58" t="str">
        <x:v>Visual/HMI</x:v>
      </x:c>
      <x:c r="C65" s="58" t="str">
        <x:v>绘图工具</x:v>
      </x:c>
      <x:c r="D65" s="58" t="str">
        <x:v>图片工具</x:v>
      </x:c>
      <x:c r="E65" s="58" t="str">
        <x:v>资源导入并放置</x:v>
      </x:c>
      <x:c r="F65" s="58" t="str">
        <x:v>Core</x:v>
      </x:c>
      <x:c r="G65" s="58" t="str">
        <x:v>07_StudioDesigner架构 / 08_Renderer与几何系统 / 09_CommandUndoTransaction</x:v>
      </x:c>
      <x:c r="H65" s="58" t="str">
        <x:v>M2</x:v>
      </x:c>
    </x:row>
    <x:row r="66">
      <x:c r="A66" s="66" t="str">
        <x:v>CAP-HMI-058</x:v>
      </x:c>
      <x:c r="B66" s="66" t="str">
        <x:v>Visual/HMI</x:v>
      </x:c>
      <x:c r="C66" s="66" t="str">
        <x:v>绘图工具</x:v>
      </x:c>
      <x:c r="D66" s="66" t="str">
        <x:v>SVG工具</x:v>
      </x:c>
      <x:c r="E66" s="66" t="str">
        <x:v>SVG导入/放置</x:v>
      </x:c>
      <x:c r="F66" s="66" t="str">
        <x:v>Core</x:v>
      </x:c>
      <x:c r="G66" s="66" t="str">
        <x:v>07_StudioDesigner架构 / 08_Renderer与几何系统 / 09_CommandUndoTransaction</x:v>
      </x:c>
      <x:c r="H66" s="66" t="str">
        <x:v>M2</x:v>
      </x:c>
    </x:row>
    <x:row r="67">
      <x:c r="A67" s="58" t="str">
        <x:v>CAP-HMI-059</x:v>
      </x:c>
      <x:c r="B67" s="58" t="str">
        <x:v>Visual/HMI</x:v>
      </x:c>
      <x:c r="C67" s="58" t="str">
        <x:v>视图/画布</x:v>
      </x:c>
      <x:c r="D67" s="58" t="str">
        <x:v>放大</x:v>
      </x:c>
      <x:c r="E67" s="58" t="str">
        <x:v>视口缩放</x:v>
      </x:c>
      <x:c r="F67" s="58" t="str">
        <x:v>Core</x:v>
      </x:c>
      <x:c r="G67" s="58" t="str">
        <x:v>07_StudioDesigner架构 / 08_Renderer与几何系统 / 09_CommandUndoTransaction</x:v>
      </x:c>
      <x:c r="H67" s="58" t="str">
        <x:v>M2</x:v>
      </x:c>
    </x:row>
    <x:row r="68">
      <x:c r="A68" s="66" t="str">
        <x:v>CAP-HMI-060</x:v>
      </x:c>
      <x:c r="B68" s="66" t="str">
        <x:v>Visual/HMI</x:v>
      </x:c>
      <x:c r="C68" s="66" t="str">
        <x:v>视图/画布</x:v>
      </x:c>
      <x:c r="D68" s="66" t="str">
        <x:v>缩小</x:v>
      </x:c>
      <x:c r="E68" s="66" t="str">
        <x:v>视口缩放</x:v>
      </x:c>
      <x:c r="F68" s="66" t="str">
        <x:v>Core</x:v>
      </x:c>
      <x:c r="G68" s="66" t="str">
        <x:v>07_StudioDesigner架构 / 08_Renderer与几何系统 / 09_CommandUndoTransaction</x:v>
      </x:c>
      <x:c r="H68" s="66" t="str">
        <x:v>M2</x:v>
      </x:c>
    </x:row>
    <x:row r="69">
      <x:c r="A69" s="58" t="str">
        <x:v>CAP-HMI-061</x:v>
      </x:c>
      <x:c r="B69" s="58" t="str">
        <x:v>Visual/HMI</x:v>
      </x:c>
      <x:c r="C69" s="58" t="str">
        <x:v>视图/画布</x:v>
      </x:c>
      <x:c r="D69" s="58" t="str">
        <x:v>100%</x:v>
      </x:c>
      <x:c r="E69" s="58" t="str">
        <x:v>原始比例</x:v>
      </x:c>
      <x:c r="F69" s="58" t="str">
        <x:v>Core</x:v>
      </x:c>
      <x:c r="G69" s="58" t="str">
        <x:v>07_StudioDesigner架构 / 08_Renderer与几何系统 / 09_CommandUndoTransaction</x:v>
      </x:c>
      <x:c r="H69" s="58" t="str">
        <x:v>M2</x:v>
      </x:c>
    </x:row>
    <x:row r="70">
      <x:c r="A70" s="66" t="str">
        <x:v>CAP-HMI-062</x:v>
      </x:c>
      <x:c r="B70" s="66" t="str">
        <x:v>Visual/HMI</x:v>
      </x:c>
      <x:c r="C70" s="66" t="str">
        <x:v>视图/画布</x:v>
      </x:c>
      <x:c r="D70" s="66" t="str">
        <x:v>适应窗口</x:v>
      </x:c>
      <x:c r="E70" s="66" t="str">
        <x:v>页面适配</x:v>
      </x:c>
      <x:c r="F70" s="66" t="str">
        <x:v>Core</x:v>
      </x:c>
      <x:c r="G70" s="66" t="str">
        <x:v>07_StudioDesigner架构 / 08_Renderer与几何系统 / 09_CommandUndoTransaction</x:v>
      </x:c>
      <x:c r="H70" s="66" t="str">
        <x:v>M2</x:v>
      </x:c>
    </x:row>
    <x:row r="71">
      <x:c r="A71" s="58" t="str">
        <x:v>CAP-HMI-063</x:v>
      </x:c>
      <x:c r="B71" s="58" t="str">
        <x:v>Visual/HMI</x:v>
      </x:c>
      <x:c r="C71" s="58" t="str">
        <x:v>视图/画布</x:v>
      </x:c>
      <x:c r="D71" s="58" t="str">
        <x:v>适应选区</x:v>
      </x:c>
      <x:c r="E71" s="58" t="str">
        <x:v>缩放到选中范围</x:v>
      </x:c>
      <x:c r="F71" s="58" t="str">
        <x:v>Extended</x:v>
      </x:c>
      <x:c r="G71" s="58" t="str">
        <x:v>07_StudioDesigner架构 / 08_Renderer与几何系统 / 09_CommandUndoTransaction</x:v>
      </x:c>
      <x:c r="H71" s="58" t="str">
        <x:v>M2</x:v>
      </x:c>
    </x:row>
    <x:row r="72">
      <x:c r="A72" s="66" t="str">
        <x:v>CAP-HMI-064</x:v>
      </x:c>
      <x:c r="B72" s="66" t="str">
        <x:v>Visual/HMI</x:v>
      </x:c>
      <x:c r="C72" s="66" t="str">
        <x:v>视图/画布</x:v>
      </x:c>
      <x:c r="D72" s="66" t="str">
        <x:v>平移画布</x:v>
      </x:c>
      <x:c r="E72" s="66" t="str">
        <x:v>中键/空格拖动</x:v>
      </x:c>
      <x:c r="F72" s="66" t="str">
        <x:v>Core</x:v>
      </x:c>
      <x:c r="G72" s="66" t="str">
        <x:v>07_StudioDesigner架构 / 08_Renderer与几何系统 / 09_CommandUndoTransaction</x:v>
      </x:c>
      <x:c r="H72" s="66" t="str">
        <x:v>M2</x:v>
      </x:c>
    </x:row>
    <x:row r="73">
      <x:c r="A73" s="58" t="str">
        <x:v>CAP-HMI-065</x:v>
      </x:c>
      <x:c r="B73" s="58" t="str">
        <x:v>Visual/HMI</x:v>
      </x:c>
      <x:c r="C73" s="58" t="str">
        <x:v>视图/画布</x:v>
      </x:c>
      <x:c r="D73" s="58" t="str">
        <x:v>缩放到鼠标</x:v>
      </x:c>
      <x:c r="E73" s="58" t="str">
        <x:v>保持鼠标下模型点</x:v>
      </x:c>
      <x:c r="F73" s="58" t="str">
        <x:v>Core</x:v>
      </x:c>
      <x:c r="G73" s="58" t="str">
        <x:v>07_StudioDesigner架构 / 08_Renderer与几何系统 / 09_CommandUndoTransaction</x:v>
      </x:c>
      <x:c r="H73" s="58" t="str">
        <x:v>M2</x:v>
      </x:c>
    </x:row>
    <x:row r="74">
      <x:c r="A74" s="66" t="str">
        <x:v>CAP-HMI-066</x:v>
      </x:c>
      <x:c r="B74" s="66" t="str">
        <x:v>Visual/HMI</x:v>
      </x:c>
      <x:c r="C74" s="66" t="str">
        <x:v>视图/画布</x:v>
      </x:c>
      <x:c r="D74" s="66" t="str">
        <x:v>标尺</x:v>
      </x:c>
      <x:c r="E74" s="66" t="str">
        <x:v>横纵标尺</x:v>
      </x:c>
      <x:c r="F74" s="66" t="str">
        <x:v>Extended</x:v>
      </x:c>
      <x:c r="G74" s="66" t="str">
        <x:v>07_StudioDesigner架构 / 08_Renderer与几何系统 / 09_CommandUndoTransaction</x:v>
      </x:c>
      <x:c r="H74" s="66" t="str">
        <x:v>M2</x:v>
      </x:c>
    </x:row>
    <x:row r="75">
      <x:c r="A75" s="58" t="str">
        <x:v>CAP-HMI-067</x:v>
      </x:c>
      <x:c r="B75" s="58" t="str">
        <x:v>Visual/HMI</x:v>
      </x:c>
      <x:c r="C75" s="58" t="str">
        <x:v>视图/画布</x:v>
      </x:c>
      <x:c r="D75" s="58" t="str">
        <x:v>网格</x:v>
      </x:c>
      <x:c r="E75" s="58" t="str">
        <x:v>可配置网格</x:v>
      </x:c>
      <x:c r="F75" s="58" t="str">
        <x:v>Core</x:v>
      </x:c>
      <x:c r="G75" s="58" t="str">
        <x:v>07_StudioDesigner架构 / 08_Renderer与几何系统 / 09_CommandUndoTransaction</x:v>
      </x:c>
      <x:c r="H75" s="58" t="str">
        <x:v>M2</x:v>
      </x:c>
    </x:row>
    <x:row r="76">
      <x:c r="A76" s="66" t="str">
        <x:v>CAP-HMI-068</x:v>
      </x:c>
      <x:c r="B76" s="66" t="str">
        <x:v>Visual/HMI</x:v>
      </x:c>
      <x:c r="C76" s="66" t="str">
        <x:v>视图/画布</x:v>
      </x:c>
      <x:c r="D76" s="66" t="str">
        <x:v>辅助线</x:v>
      </x:c>
      <x:c r="E76" s="66" t="str">
        <x:v>参考线</x:v>
      </x:c>
      <x:c r="F76" s="66" t="str">
        <x:v>Extended</x:v>
      </x:c>
      <x:c r="G76" s="66" t="str">
        <x:v>07_StudioDesigner架构 / 08_Renderer与几何系统 / 09_CommandUndoTransaction</x:v>
      </x:c>
      <x:c r="H76" s="66" t="str">
        <x:v>M2</x:v>
      </x:c>
    </x:row>
    <x:row r="77">
      <x:c r="A77" s="58" t="str">
        <x:v>CAP-HMI-069</x:v>
      </x:c>
      <x:c r="B77" s="58" t="str">
        <x:v>Visual/HMI</x:v>
      </x:c>
      <x:c r="C77" s="58" t="str">
        <x:v>视图/画布</x:v>
      </x:c>
      <x:c r="D77" s="58" t="str">
        <x:v>智能参考线</x:v>
      </x:c>
      <x:c r="E77" s="58" t="str">
        <x:v>对齐参考</x:v>
      </x:c>
      <x:c r="F77" s="58" t="str">
        <x:v>Extended</x:v>
      </x:c>
      <x:c r="G77" s="58" t="str">
        <x:v>07_StudioDesigner架构 / 08_Renderer与几何系统 / 09_CommandUndoTransaction</x:v>
      </x:c>
      <x:c r="H77" s="58" t="str">
        <x:v>M2</x:v>
      </x:c>
    </x:row>
    <x:row r="78">
      <x:c r="A78" s="66" t="str">
        <x:v>CAP-HMI-070</x:v>
      </x:c>
      <x:c r="B78" s="66" t="str">
        <x:v>Visual/HMI</x:v>
      </x:c>
      <x:c r="C78" s="66" t="str">
        <x:v>视图/画布</x:v>
      </x:c>
      <x:c r="D78" s="66" t="str">
        <x:v>像素/坐标显示</x:v>
      </x:c>
      <x:c r="E78" s="66" t="str">
        <x:v>状态栏实时坐标</x:v>
      </x:c>
      <x:c r="F78" s="66" t="str">
        <x:v>Core</x:v>
      </x:c>
      <x:c r="G78" s="66" t="str">
        <x:v>07_StudioDesigner架构 / 08_Renderer与几何系统 / 09_CommandUndoTransaction</x:v>
      </x:c>
      <x:c r="H78" s="66" t="str">
        <x:v>M2</x:v>
      </x:c>
    </x:row>
    <x:row r="79">
      <x:c r="A79" s="58" t="str">
        <x:v>CAP-HMI-071</x:v>
      </x:c>
      <x:c r="B79" s="58" t="str">
        <x:v>Visual/HMI</x:v>
      </x:c>
      <x:c r="C79" s="58" t="str">
        <x:v>几何变换</x:v>
      </x:c>
      <x:c r="D79" s="58" t="str">
        <x:v>移动</x:v>
      </x:c>
      <x:c r="E79" s="58" t="str">
        <x:v>鼠标或精确X/Y</x:v>
      </x:c>
      <x:c r="F79" s="58" t="str">
        <x:v>Core</x:v>
      </x:c>
      <x:c r="G79" s="58" t="str">
        <x:v>03_架构总纲与领域边界</x:v>
      </x:c>
      <x:c r="H79" s="58" t="str">
        <x:v>M2</x:v>
      </x:c>
    </x:row>
    <x:row r="80">
      <x:c r="A80" s="66" t="str">
        <x:v>CAP-HMI-072</x:v>
      </x:c>
      <x:c r="B80" s="66" t="str">
        <x:v>Visual/HMI</x:v>
      </x:c>
      <x:c r="C80" s="66" t="str">
        <x:v>几何变换</x:v>
      </x:c>
      <x:c r="D80" s="66" t="str">
        <x:v>缩放</x:v>
      </x:c>
      <x:c r="E80" s="66" t="str">
        <x:v>8方向控制点</x:v>
      </x:c>
      <x:c r="F80" s="66" t="str">
        <x:v>Core</x:v>
      </x:c>
      <x:c r="G80" s="66" t="str">
        <x:v>03_架构总纲与领域边界</x:v>
      </x:c>
      <x:c r="H80" s="66" t="str">
        <x:v>M2</x:v>
      </x:c>
    </x:row>
    <x:row r="81">
      <x:c r="A81" s="58" t="str">
        <x:v>CAP-HMI-073</x:v>
      </x:c>
      <x:c r="B81" s="58" t="str">
        <x:v>Visual/HMI</x:v>
      </x:c>
      <x:c r="C81" s="58" t="str">
        <x:v>几何变换</x:v>
      </x:c>
      <x:c r="D81" s="58" t="str">
        <x:v>旋转</x:v>
      </x:c>
      <x:c r="E81" s="58" t="str">
        <x:v>控制点/精确角度</x:v>
      </x:c>
      <x:c r="F81" s="58" t="str">
        <x:v>Core</x:v>
      </x:c>
      <x:c r="G81" s="58" t="str">
        <x:v>03_架构总纲与领域边界</x:v>
      </x:c>
      <x:c r="H81" s="58" t="str">
        <x:v>M2</x:v>
      </x:c>
    </x:row>
    <x:row r="82">
      <x:c r="A82" s="66" t="str">
        <x:v>CAP-HMI-074</x:v>
      </x:c>
      <x:c r="B82" s="66" t="str">
        <x:v>Visual/HMI</x:v>
      </x:c>
      <x:c r="C82" s="66" t="str">
        <x:v>几何变换</x:v>
      </x:c>
      <x:c r="D82" s="66" t="str">
        <x:v>顺时针90°</x:v>
      </x:c>
      <x:c r="E82" s="66" t="str">
        <x:v>快速旋转</x:v>
      </x:c>
      <x:c r="F82" s="66" t="str">
        <x:v>Core</x:v>
      </x:c>
      <x:c r="G82" s="66" t="str">
        <x:v>03_架构总纲与领域边界</x:v>
      </x:c>
      <x:c r="H82" s="66" t="str">
        <x:v>M2</x:v>
      </x:c>
    </x:row>
    <x:row r="83">
      <x:c r="A83" s="58" t="str">
        <x:v>CAP-HMI-075</x:v>
      </x:c>
      <x:c r="B83" s="58" t="str">
        <x:v>Visual/HMI</x:v>
      </x:c>
      <x:c r="C83" s="58" t="str">
        <x:v>几何变换</x:v>
      </x:c>
      <x:c r="D83" s="58" t="str">
        <x:v>逆时针90°</x:v>
      </x:c>
      <x:c r="E83" s="58" t="str">
        <x:v>快速旋转</x:v>
      </x:c>
      <x:c r="F83" s="58" t="str">
        <x:v>Core</x:v>
      </x:c>
      <x:c r="G83" s="58" t="str">
        <x:v>03_架构总纲与领域边界</x:v>
      </x:c>
      <x:c r="H83" s="58" t="str">
        <x:v>M2</x:v>
      </x:c>
    </x:row>
    <x:row r="84">
      <x:c r="A84" s="66" t="str">
        <x:v>CAP-HMI-076</x:v>
      </x:c>
      <x:c r="B84" s="66" t="str">
        <x:v>Visual/HMI</x:v>
      </x:c>
      <x:c r="C84" s="66" t="str">
        <x:v>几何变换</x:v>
      </x:c>
      <x:c r="D84" s="66" t="str">
        <x:v>水平翻转</x:v>
      </x:c>
      <x:c r="E84" s="66" t="str">
        <x:v>矩阵</x:v>
      </x:c>
      <x:c r="F84" s="66" t="str">
        <x:v>Core</x:v>
      </x:c>
      <x:c r="G84" s="66" t="str">
        <x:v>03_架构总纲与领域边界</x:v>
      </x:c>
      <x:c r="H84" s="66" t="str">
        <x:v>M2</x:v>
      </x:c>
    </x:row>
    <x:row r="85">
      <x:c r="A85" s="58" t="str">
        <x:v>CAP-HMI-077</x:v>
      </x:c>
      <x:c r="B85" s="58" t="str">
        <x:v>Visual/HMI</x:v>
      </x:c>
      <x:c r="C85" s="58" t="str">
        <x:v>几何变换</x:v>
      </x:c>
      <x:c r="D85" s="58" t="str">
        <x:v>垂直翻转</x:v>
      </x:c>
      <x:c r="E85" s="58" t="str">
        <x:v>矩阵</x:v>
      </x:c>
      <x:c r="F85" s="58" t="str">
        <x:v>Core</x:v>
      </x:c>
      <x:c r="G85" s="58" t="str">
        <x:v>03_架构总纲与领域边界</x:v>
      </x:c>
      <x:c r="H85" s="58" t="str">
        <x:v>M2</x:v>
      </x:c>
    </x:row>
    <x:row r="86">
      <x:c r="A86" s="66" t="str">
        <x:v>CAP-HMI-078</x:v>
      </x:c>
      <x:c r="B86" s="66" t="str">
        <x:v>Visual/HMI</x:v>
      </x:c>
      <x:c r="C86" s="66" t="str">
        <x:v>几何变换</x:v>
      </x:c>
      <x:c r="D86" s="66" t="str">
        <x:v>倾斜</x:v>
      </x:c>
      <x:c r="E86" s="66" t="str">
        <x:v>支持元素开放</x:v>
      </x:c>
      <x:c r="F86" s="66" t="str">
        <x:v>Extended</x:v>
      </x:c>
      <x:c r="G86" s="66" t="str">
        <x:v>03_架构总纲与领域边界</x:v>
      </x:c>
      <x:c r="H86" s="66" t="str">
        <x:v>M2</x:v>
      </x:c>
    </x:row>
    <x:row r="87">
      <x:c r="A87" s="58" t="str">
        <x:v>CAP-HMI-079</x:v>
      </x:c>
      <x:c r="B87" s="58" t="str">
        <x:v>Visual/HMI</x:v>
      </x:c>
      <x:c r="C87" s="58" t="str">
        <x:v>几何变换</x:v>
      </x:c>
      <x:c r="D87" s="58" t="str">
        <x:v>锁定宽高比</x:v>
      </x:c>
      <x:c r="E87" s="58" t="str">
        <x:v>缩放约束</x:v>
      </x:c>
      <x:c r="F87" s="58" t="str">
        <x:v>Core</x:v>
      </x:c>
      <x:c r="G87" s="58" t="str">
        <x:v>03_架构总纲与领域边界</x:v>
      </x:c>
      <x:c r="H87" s="58" t="str">
        <x:v>M2</x:v>
      </x:c>
    </x:row>
    <x:row r="88">
      <x:c r="A88" s="66" t="str">
        <x:v>CAP-HMI-080</x:v>
      </x:c>
      <x:c r="B88" s="66" t="str">
        <x:v>Visual/HMI</x:v>
      </x:c>
      <x:c r="C88" s="66" t="str">
        <x:v>几何变换</x:v>
      </x:c>
      <x:c r="D88" s="66" t="str">
        <x:v>精确位置尺寸</x:v>
      </x:c>
      <x:c r="E88" s="66" t="str">
        <x:v>属性输入</x:v>
      </x:c>
      <x:c r="F88" s="66" t="str">
        <x:v>Core</x:v>
      </x:c>
      <x:c r="G88" s="66" t="str">
        <x:v>03_架构总纲与领域边界</x:v>
      </x:c>
      <x:c r="H88" s="66" t="str">
        <x:v>M2</x:v>
      </x:c>
    </x:row>
    <x:row r="89">
      <x:c r="A89" s="58" t="str">
        <x:v>CAP-HMI-081</x:v>
      </x:c>
      <x:c r="B89" s="58" t="str">
        <x:v>Visual/HMI</x:v>
      </x:c>
      <x:c r="C89" s="58" t="str">
        <x:v>几何变换</x:v>
      </x:c>
      <x:c r="D89" s="58" t="str">
        <x:v>变换中心</x:v>
      </x:c>
      <x:c r="E89" s="58" t="str">
        <x:v>旋转/缩放锚点</x:v>
      </x:c>
      <x:c r="F89" s="58" t="str">
        <x:v>Extended</x:v>
      </x:c>
      <x:c r="G89" s="58" t="str">
        <x:v>03_架构总纲与领域边界</x:v>
      </x:c>
      <x:c r="H89" s="58" t="str">
        <x:v>M2</x:v>
      </x:c>
    </x:row>
    <x:row r="90">
      <x:c r="A90" s="66" t="str">
        <x:v>CAP-HMI-082</x:v>
      </x:c>
      <x:c r="B90" s="66" t="str">
        <x:v>Visual/HMI</x:v>
      </x:c>
      <x:c r="C90" s="66" t="str">
        <x:v>Path编辑</x:v>
      </x:c>
      <x:c r="D90" s="66" t="str">
        <x:v>节点选择</x:v>
      </x:c>
      <x:c r="E90" s="66" t="str">
        <x:v>Path节点编辑</x:v>
      </x:c>
      <x:c r="F90" s="66" t="str">
        <x:v>Core</x:v>
      </x:c>
      <x:c r="G90" s="66" t="str">
        <x:v>07_StudioDesigner架构 / 08_Renderer与几何系统 / 09_CommandUndoTransaction</x:v>
      </x:c>
      <x:c r="H90" s="66" t="str">
        <x:v>M2</x:v>
      </x:c>
    </x:row>
    <x:row r="91">
      <x:c r="A91" s="58" t="str">
        <x:v>CAP-HMI-083</x:v>
      </x:c>
      <x:c r="B91" s="58" t="str">
        <x:v>Visual/HMI</x:v>
      </x:c>
      <x:c r="C91" s="58" t="str">
        <x:v>Path编辑</x:v>
      </x:c>
      <x:c r="D91" s="58" t="str">
        <x:v>移动节点</x:v>
      </x:c>
      <x:c r="E91" s="58" t="str">
        <x:v>移动端点/锚点</x:v>
      </x:c>
      <x:c r="F91" s="58" t="str">
        <x:v>Core</x:v>
      </x:c>
      <x:c r="G91" s="58" t="str">
        <x:v>07_StudioDesigner架构 / 08_Renderer与几何系统 / 09_CommandUndoTransaction</x:v>
      </x:c>
      <x:c r="H91" s="58" t="str">
        <x:v>M2</x:v>
      </x:c>
    </x:row>
    <x:row r="92">
      <x:c r="A92" s="66" t="str">
        <x:v>CAP-HMI-084</x:v>
      </x:c>
      <x:c r="B92" s="66" t="str">
        <x:v>Visual/HMI</x:v>
      </x:c>
      <x:c r="C92" s="66" t="str">
        <x:v>Path编辑</x:v>
      </x:c>
      <x:c r="D92" s="66" t="str">
        <x:v>添加节点</x:v>
      </x:c>
      <x:c r="E92" s="66" t="str">
        <x:v>在线段插入</x:v>
      </x:c>
      <x:c r="F92" s="66" t="str">
        <x:v>Extended</x:v>
      </x:c>
      <x:c r="G92" s="66" t="str">
        <x:v>07_StudioDesigner架构 / 08_Renderer与几何系统 / 09_CommandUndoTransaction</x:v>
      </x:c>
      <x:c r="H92" s="66" t="str">
        <x:v>M2</x:v>
      </x:c>
    </x:row>
    <x:row r="93">
      <x:c r="A93" s="58" t="str">
        <x:v>CAP-HMI-085</x:v>
      </x:c>
      <x:c r="B93" s="58" t="str">
        <x:v>Visual/HMI</x:v>
      </x:c>
      <x:c r="C93" s="58" t="str">
        <x:v>Path编辑</x:v>
      </x:c>
      <x:c r="D93" s="58" t="str">
        <x:v>删除节点</x:v>
      </x:c>
      <x:c r="E93" s="58" t="str">
        <x:v>维护闭合关系</x:v>
      </x:c>
      <x:c r="F93" s="58" t="str">
        <x:v>Extended</x:v>
      </x:c>
      <x:c r="G93" s="58" t="str">
        <x:v>07_StudioDesigner架构 / 08_Renderer与几何系统 / 09_CommandUndoTransaction</x:v>
      </x:c>
      <x:c r="H93" s="58" t="str">
        <x:v>M2</x:v>
      </x:c>
    </x:row>
    <x:row r="94">
      <x:c r="A94" s="66" t="str">
        <x:v>CAP-HMI-086</x:v>
      </x:c>
      <x:c r="B94" s="66" t="str">
        <x:v>Visual/HMI</x:v>
      </x:c>
      <x:c r="C94" s="66" t="str">
        <x:v>Path编辑</x:v>
      </x:c>
      <x:c r="D94" s="66" t="str">
        <x:v>节点类型转换</x:v>
      </x:c>
      <x:c r="E94" s="66" t="str">
        <x:v>直线/平滑/尖角</x:v>
      </x:c>
      <x:c r="F94" s="66" t="str">
        <x:v>Extended</x:v>
      </x:c>
      <x:c r="G94" s="66" t="str">
        <x:v>07_StudioDesigner架构 / 08_Renderer与几何系统 / 09_CommandUndoTransaction</x:v>
      </x:c>
      <x:c r="H94" s="66" t="str">
        <x:v>M2</x:v>
      </x:c>
    </x:row>
    <x:row r="95">
      <x:c r="A95" s="58" t="str">
        <x:v>CAP-HMI-087</x:v>
      </x:c>
      <x:c r="B95" s="58" t="str">
        <x:v>Visual/HMI</x:v>
      </x:c>
      <x:c r="C95" s="58" t="str">
        <x:v>Path编辑</x:v>
      </x:c>
      <x:c r="D95" s="58" t="str">
        <x:v>贝塞尔手柄</x:v>
      </x:c>
      <x:c r="E95" s="58" t="str">
        <x:v>控制柄可视编辑</x:v>
      </x:c>
      <x:c r="F95" s="58" t="str">
        <x:v>Core</x:v>
      </x:c>
      <x:c r="G95" s="58" t="str">
        <x:v>07_StudioDesigner架构 / 08_Renderer与几何系统 / 09_CommandUndoTransaction</x:v>
      </x:c>
      <x:c r="H95" s="58" t="str">
        <x:v>M2</x:v>
      </x:c>
    </x:row>
    <x:row r="96">
      <x:c r="A96" s="66" t="str">
        <x:v>CAP-HMI-088</x:v>
      </x:c>
      <x:c r="B96" s="66" t="str">
        <x:v>Visual/HMI</x:v>
      </x:c>
      <x:c r="C96" s="66" t="str">
        <x:v>Path编辑</x:v>
      </x:c>
      <x:c r="D96" s="66" t="str">
        <x:v>闭合/打开路径</x:v>
      </x:c>
      <x:c r="E96" s="66" t="str">
        <x:v>Z命令</x:v>
      </x:c>
      <x:c r="F96" s="66" t="str">
        <x:v>Extended</x:v>
      </x:c>
      <x:c r="G96" s="66" t="str">
        <x:v>07_StudioDesigner架构 / 08_Renderer与几何系统 / 09_CommandUndoTransaction</x:v>
      </x:c>
      <x:c r="H96" s="66" t="str">
        <x:v>M2</x:v>
      </x:c>
    </x:row>
    <x:row r="97">
      <x:c r="A97" s="58" t="str">
        <x:v>CAP-HMI-089</x:v>
      </x:c>
      <x:c r="B97" s="58" t="str">
        <x:v>Visual/HMI</x:v>
      </x:c>
      <x:c r="C97" s="58" t="str">
        <x:v>Path编辑</x:v>
      </x:c>
      <x:c r="D97" s="58" t="str">
        <x:v>反转路径</x:v>
      </x:c>
      <x:c r="E97" s="58" t="str">
        <x:v>方向反转</x:v>
      </x:c>
      <x:c r="F97" s="58" t="str">
        <x:v>Extended</x:v>
      </x:c>
      <x:c r="G97" s="58" t="str">
        <x:v>07_StudioDesigner架构 / 08_Renderer与几何系统 / 09_CommandUndoTransaction</x:v>
      </x:c>
      <x:c r="H97" s="58" t="str">
        <x:v>M2</x:v>
      </x:c>
    </x:row>
    <x:row r="98">
      <x:c r="A98" s="66" t="str">
        <x:v>CAP-HMI-090</x:v>
      </x:c>
      <x:c r="B98" s="66" t="str">
        <x:v>Visual/HMI</x:v>
      </x:c>
      <x:c r="C98" s="66" t="str">
        <x:v>颜色/样式</x:v>
      </x:c>
      <x:c r="D98" s="66" t="str">
        <x:v>填充颜色</x:v>
      </x:c>
      <x:c r="E98" s="66" t="str">
        <x:v>fill/Brush</x:v>
      </x:c>
      <x:c r="F98" s="66" t="str">
        <x:v>Core</x:v>
      </x:c>
      <x:c r="G98" s="66" t="str">
        <x:v>03_架构总纲与领域边界</x:v>
      </x:c>
      <x:c r="H98" s="66" t="str">
        <x:v>M2</x:v>
      </x:c>
    </x:row>
    <x:row r="99">
      <x:c r="A99" s="58" t="str">
        <x:v>CAP-HMI-091</x:v>
      </x:c>
      <x:c r="B99" s="58" t="str">
        <x:v>Visual/HMI</x:v>
      </x:c>
      <x:c r="C99" s="58" t="str">
        <x:v>颜色/样式</x:v>
      </x:c>
      <x:c r="D99" s="58" t="str">
        <x:v>线条颜色</x:v>
      </x:c>
      <x:c r="E99" s="58" t="str">
        <x:v>stroke/Pen</x:v>
      </x:c>
      <x:c r="F99" s="58" t="str">
        <x:v>Core</x:v>
      </x:c>
      <x:c r="G99" s="58" t="str">
        <x:v>03_架构总纲与领域边界</x:v>
      </x:c>
      <x:c r="H99" s="58" t="str">
        <x:v>M2</x:v>
      </x:c>
    </x:row>
    <x:row r="100">
      <x:c r="A100" s="66" t="str">
        <x:v>CAP-HMI-092</x:v>
      </x:c>
      <x:c r="B100" s="66" t="str">
        <x:v>Visual/HMI</x:v>
      </x:c>
      <x:c r="C100" s="66" t="str">
        <x:v>颜色/样式</x:v>
      </x:c>
      <x:c r="D100" s="66" t="str">
        <x:v>线宽</x:v>
      </x:c>
      <x:c r="E100" s="66" t="str">
        <x:v>stroke-width</x:v>
      </x:c>
      <x:c r="F100" s="66" t="str">
        <x:v>Core</x:v>
      </x:c>
      <x:c r="G100" s="66" t="str">
        <x:v>03_架构总纲与领域边界</x:v>
      </x:c>
      <x:c r="H100" s="66" t="str">
        <x:v>M2</x:v>
      </x:c>
    </x:row>
    <x:row r="101">
      <x:c r="A101" s="58" t="str">
        <x:v>CAP-HMI-093</x:v>
      </x:c>
      <x:c r="B101" s="58" t="str">
        <x:v>Visual/HMI</x:v>
      </x:c>
      <x:c r="C101" s="58" t="str">
        <x:v>颜色/样式</x:v>
      </x:c>
      <x:c r="D101" s="58" t="str">
        <x:v>透明度</x:v>
      </x:c>
      <x:c r="E101" s="58" t="str">
        <x:v>元素/填充/线条</x:v>
      </x:c>
      <x:c r="F101" s="58" t="str">
        <x:v>Core</x:v>
      </x:c>
      <x:c r="G101" s="58" t="str">
        <x:v>03_架构总纲与领域边界</x:v>
      </x:c>
      <x:c r="H101" s="58" t="str">
        <x:v>M2</x:v>
      </x:c>
    </x:row>
    <x:row r="102">
      <x:c r="A102" s="66" t="str">
        <x:v>CAP-HMI-094</x:v>
      </x:c>
      <x:c r="B102" s="66" t="str">
        <x:v>Visual/HMI</x:v>
      </x:c>
      <x:c r="C102" s="66" t="str">
        <x:v>颜色/样式</x:v>
      </x:c>
      <x:c r="D102" s="66" t="str">
        <x:v>线型</x:v>
      </x:c>
      <x:c r="E102" s="66" t="str">
        <x:v>实线/虚线/点划线</x:v>
      </x:c>
      <x:c r="F102" s="66" t="str">
        <x:v>Core</x:v>
      </x:c>
      <x:c r="G102" s="66" t="str">
        <x:v>03_架构总纲与领域边界</x:v>
      </x:c>
      <x:c r="H102" s="66" t="str">
        <x:v>M2</x:v>
      </x:c>
    </x:row>
    <x:row r="103">
      <x:c r="A103" s="58" t="str">
        <x:v>CAP-HMI-095</x:v>
      </x:c>
      <x:c r="B103" s="58" t="str">
        <x:v>Visual/HMI</x:v>
      </x:c>
      <x:c r="C103" s="58" t="str">
        <x:v>颜色/样式</x:v>
      </x:c>
      <x:c r="D103" s="58" t="str">
        <x:v>线帽</x:v>
      </x:c>
      <x:c r="E103" s="58" t="str">
        <x:v>Butt/Round/Square</x:v>
      </x:c>
      <x:c r="F103" s="58" t="str">
        <x:v>Extended</x:v>
      </x:c>
      <x:c r="G103" s="58" t="str">
        <x:v>03_架构总纲与领域边界</x:v>
      </x:c>
      <x:c r="H103" s="58" t="str">
        <x:v>M2</x:v>
      </x:c>
    </x:row>
    <x:row r="104">
      <x:c r="A104" s="66" t="str">
        <x:v>CAP-HMI-096</x:v>
      </x:c>
      <x:c r="B104" s="66" t="str">
        <x:v>Visual/HMI</x:v>
      </x:c>
      <x:c r="C104" s="66" t="str">
        <x:v>颜色/样式</x:v>
      </x:c>
      <x:c r="D104" s="66" t="str">
        <x:v>连接样式</x:v>
      </x:c>
      <x:c r="E104" s="66" t="str">
        <x:v>Miter/Round/Bevel</x:v>
      </x:c>
      <x:c r="F104" s="66" t="str">
        <x:v>Extended</x:v>
      </x:c>
      <x:c r="G104" s="66" t="str">
        <x:v>03_架构总纲与领域边界</x:v>
      </x:c>
      <x:c r="H104" s="66" t="str">
        <x:v>M2</x:v>
      </x:c>
    </x:row>
    <x:row r="105">
      <x:c r="A105" s="58" t="str">
        <x:v>CAP-HMI-097</x:v>
      </x:c>
      <x:c r="B105" s="58" t="str">
        <x:v>Visual/HMI</x:v>
      </x:c>
      <x:c r="C105" s="58" t="str">
        <x:v>颜色/样式</x:v>
      </x:c>
      <x:c r="D105" s="58" t="str">
        <x:v>线性渐变</x:v>
      </x:c>
      <x:c r="E105" s="58" t="str">
        <x:v>GradientStop列表</x:v>
      </x:c>
      <x:c r="F105" s="58" t="str">
        <x:v>Extended</x:v>
      </x:c>
      <x:c r="G105" s="58" t="str">
        <x:v>03_架构总纲与领域边界</x:v>
      </x:c>
      <x:c r="H105" s="58" t="str">
        <x:v>M2</x:v>
      </x:c>
    </x:row>
    <x:row r="106">
      <x:c r="A106" s="66" t="str">
        <x:v>CAP-HMI-098</x:v>
      </x:c>
      <x:c r="B106" s="66" t="str">
        <x:v>Visual/HMI</x:v>
      </x:c>
      <x:c r="C106" s="66" t="str">
        <x:v>颜色/样式</x:v>
      </x:c>
      <x:c r="D106" s="66" t="str">
        <x:v>径向渐变</x:v>
      </x:c>
      <x:c r="E106" s="66" t="str">
        <x:v>GradientStop列表</x:v>
      </x:c>
      <x:c r="F106" s="66" t="str">
        <x:v>Extended</x:v>
      </x:c>
      <x:c r="G106" s="66" t="str">
        <x:v>03_架构总纲与领域边界</x:v>
      </x:c>
      <x:c r="H106" s="66" t="str">
        <x:v>M2</x:v>
      </x:c>
    </x:row>
    <x:row r="107">
      <x:c r="A107" s="58" t="str">
        <x:v>CAP-HMI-099</x:v>
      </x:c>
      <x:c r="B107" s="58" t="str">
        <x:v>Visual/HMI</x:v>
      </x:c>
      <x:c r="C107" s="58" t="str">
        <x:v>颜色/样式</x:v>
      </x:c>
      <x:c r="D107" s="58" t="str">
        <x:v>阴影</x:v>
      </x:c>
      <x:c r="E107" s="58" t="str">
        <x:v>效果层</x:v>
      </x:c>
      <x:c r="F107" s="58" t="str">
        <x:v>Extended</x:v>
      </x:c>
      <x:c r="G107" s="58" t="str">
        <x:v>03_架构总纲与领域边界</x:v>
      </x:c>
      <x:c r="H107" s="58" t="str">
        <x:v>M2</x:v>
      </x:c>
    </x:row>
    <x:row r="108">
      <x:c r="A108" s="66" t="str">
        <x:v>CAP-HMI-100</x:v>
      </x:c>
      <x:c r="B108" s="66" t="str">
        <x:v>Visual/HMI</x:v>
      </x:c>
      <x:c r="C108" s="66" t="str">
        <x:v>颜色/样式</x:v>
      </x:c>
      <x:c r="D108" s="66" t="str">
        <x:v>样式复制</x:v>
      </x:c>
      <x:c r="E108" s="66" t="str">
        <x:v>复制格式</x:v>
      </x:c>
      <x:c r="F108" s="66" t="str">
        <x:v>Extended</x:v>
      </x:c>
      <x:c r="G108" s="66" t="str">
        <x:v>03_架构总纲与领域边界</x:v>
      </x:c>
      <x:c r="H108" s="66" t="str">
        <x:v>M2</x:v>
      </x:c>
    </x:row>
    <x:row r="109">
      <x:c r="A109" s="58" t="str">
        <x:v>CAP-HMI-101</x:v>
      </x:c>
      <x:c r="B109" s="58" t="str">
        <x:v>Visual/HMI</x:v>
      </x:c>
      <x:c r="C109" s="58" t="str">
        <x:v>颜色/样式</x:v>
      </x:c>
      <x:c r="D109" s="58" t="str">
        <x:v>样式类</x:v>
      </x:c>
      <x:c r="E109" s="58" t="str">
        <x:v>Theme/StyleClass资源</x:v>
      </x:c>
      <x:c r="F109" s="58" t="str">
        <x:v>Extended</x:v>
      </x:c>
      <x:c r="G109" s="58" t="str">
        <x:v>03_架构总纲与领域边界</x:v>
      </x:c>
      <x:c r="H109" s="58" t="str">
        <x:v>M2</x:v>
      </x:c>
    </x:row>
    <x:row r="110">
      <x:c r="A110" s="66" t="str">
        <x:v>CAP-HMI-102</x:v>
      </x:c>
      <x:c r="B110" s="66" t="str">
        <x:v>Visual/HMI</x:v>
      </x:c>
      <x:c r="C110" s="66" t="str">
        <x:v>对齐/层级</x:v>
      </x:c>
      <x:c r="D110" s="66" t="str">
        <x:v>左对齐</x:v>
      </x:c>
      <x:c r="E110" s="66" t="str">
        <x:v>多选左边缘一致</x:v>
      </x:c>
      <x:c r="F110" s="66" t="str">
        <x:v>Core</x:v>
      </x:c>
      <x:c r="G110" s="66" t="str">
        <x:v>07_StudioDesigner架构 / 08_Renderer与几何系统 / 09_CommandUndoTransaction</x:v>
      </x:c>
      <x:c r="H110" s="66" t="str">
        <x:v>M2</x:v>
      </x:c>
    </x:row>
    <x:row r="111">
      <x:c r="A111" s="58" t="str">
        <x:v>CAP-HMI-103</x:v>
      </x:c>
      <x:c r="B111" s="58" t="str">
        <x:v>Visual/HMI</x:v>
      </x:c>
      <x:c r="C111" s="58" t="str">
        <x:v>对齐/层级</x:v>
      </x:c>
      <x:c r="D111" s="58" t="str">
        <x:v>右对齐</x:v>
      </x:c>
      <x:c r="E111" s="58" t="str">
        <x:v>多选右边缘一致</x:v>
      </x:c>
      <x:c r="F111" s="58" t="str">
        <x:v>Core</x:v>
      </x:c>
      <x:c r="G111" s="58" t="str">
        <x:v>07_StudioDesigner架构 / 08_Renderer与几何系统 / 09_CommandUndoTransaction</x:v>
      </x:c>
      <x:c r="H111" s="58" t="str">
        <x:v>M2</x:v>
      </x:c>
    </x:row>
    <x:row r="112">
      <x:c r="A112" s="66" t="str">
        <x:v>CAP-HMI-104</x:v>
      </x:c>
      <x:c r="B112" s="66" t="str">
        <x:v>Visual/HMI</x:v>
      </x:c>
      <x:c r="C112" s="66" t="str">
        <x:v>对齐/层级</x:v>
      </x:c>
      <x:c r="D112" s="66" t="str">
        <x:v>上对齐</x:v>
      </x:c>
      <x:c r="E112" s="66" t="str">
        <x:v>顶部一致</x:v>
      </x:c>
      <x:c r="F112" s="66" t="str">
        <x:v>Core</x:v>
      </x:c>
      <x:c r="G112" s="66" t="str">
        <x:v>07_StudioDesigner架构 / 08_Renderer与几何系统 / 09_CommandUndoTransaction</x:v>
      </x:c>
      <x:c r="H112" s="66" t="str">
        <x:v>M2</x:v>
      </x:c>
    </x:row>
    <x:row r="113">
      <x:c r="A113" s="58" t="str">
        <x:v>CAP-HMI-105</x:v>
      </x:c>
      <x:c r="B113" s="58" t="str">
        <x:v>Visual/HMI</x:v>
      </x:c>
      <x:c r="C113" s="58" t="str">
        <x:v>对齐/层级</x:v>
      </x:c>
      <x:c r="D113" s="58" t="str">
        <x:v>下对齐</x:v>
      </x:c>
      <x:c r="E113" s="58" t="str">
        <x:v>底部一致</x:v>
      </x:c>
      <x:c r="F113" s="58" t="str">
        <x:v>Core</x:v>
      </x:c>
      <x:c r="G113" s="58" t="str">
        <x:v>07_StudioDesigner架构 / 08_Renderer与几何系统 / 09_CommandUndoTransaction</x:v>
      </x:c>
      <x:c r="H113" s="58" t="str">
        <x:v>M2</x:v>
      </x:c>
    </x:row>
    <x:row r="114">
      <x:c r="A114" s="66" t="str">
        <x:v>CAP-HMI-106</x:v>
      </x:c>
      <x:c r="B114" s="66" t="str">
        <x:v>Visual/HMI</x:v>
      </x:c>
      <x:c r="C114" s="66" t="str">
        <x:v>对齐/层级</x:v>
      </x:c>
      <x:c r="D114" s="66" t="str">
        <x:v>水平居中</x:v>
      </x:c>
      <x:c r="E114" s="66" t="str">
        <x:v>X中心一致</x:v>
      </x:c>
      <x:c r="F114" s="66" t="str">
        <x:v>Core</x:v>
      </x:c>
      <x:c r="G114" s="66" t="str">
        <x:v>07_StudioDesigner架构 / 08_Renderer与几何系统 / 09_CommandUndoTransaction</x:v>
      </x:c>
      <x:c r="H114" s="66" t="str">
        <x:v>M2</x:v>
      </x:c>
    </x:row>
    <x:row r="115">
      <x:c r="A115" s="58" t="str">
        <x:v>CAP-HMI-107</x:v>
      </x:c>
      <x:c r="B115" s="58" t="str">
        <x:v>Visual/HMI</x:v>
      </x:c>
      <x:c r="C115" s="58" t="str">
        <x:v>对齐/层级</x:v>
      </x:c>
      <x:c r="D115" s="58" t="str">
        <x:v>垂直居中</x:v>
      </x:c>
      <x:c r="E115" s="58" t="str">
        <x:v>Y中心一致</x:v>
      </x:c>
      <x:c r="F115" s="58" t="str">
        <x:v>Core</x:v>
      </x:c>
      <x:c r="G115" s="58" t="str">
        <x:v>07_StudioDesigner架构 / 08_Renderer与几何系统 / 09_CommandUndoTransaction</x:v>
      </x:c>
      <x:c r="H115" s="58" t="str">
        <x:v>M2</x:v>
      </x:c>
    </x:row>
    <x:row r="116">
      <x:c r="A116" s="66" t="str">
        <x:v>CAP-HMI-108</x:v>
      </x:c>
      <x:c r="B116" s="66" t="str">
        <x:v>Visual/HMI</x:v>
      </x:c>
      <x:c r="C116" s="66" t="str">
        <x:v>对齐/层级</x:v>
      </x:c>
      <x:c r="D116" s="66" t="str">
        <x:v>水平均布</x:v>
      </x:c>
      <x:c r="E116" s="66" t="str">
        <x:v>等间距</x:v>
      </x:c>
      <x:c r="F116" s="66" t="str">
        <x:v>Core</x:v>
      </x:c>
      <x:c r="G116" s="66" t="str">
        <x:v>07_StudioDesigner架构 / 08_Renderer与几何系统 / 09_CommandUndoTransaction</x:v>
      </x:c>
      <x:c r="H116" s="66" t="str">
        <x:v>M2</x:v>
      </x:c>
    </x:row>
    <x:row r="117">
      <x:c r="A117" s="58" t="str">
        <x:v>CAP-HMI-109</x:v>
      </x:c>
      <x:c r="B117" s="58" t="str">
        <x:v>Visual/HMI</x:v>
      </x:c>
      <x:c r="C117" s="58" t="str">
        <x:v>对齐/层级</x:v>
      </x:c>
      <x:c r="D117" s="58" t="str">
        <x:v>垂直均布</x:v>
      </x:c>
      <x:c r="E117" s="58" t="str">
        <x:v>等间距</x:v>
      </x:c>
      <x:c r="F117" s="58" t="str">
        <x:v>Core</x:v>
      </x:c>
      <x:c r="G117" s="58" t="str">
        <x:v>07_StudioDesigner架构 / 08_Renderer与几何系统 / 09_CommandUndoTransaction</x:v>
      </x:c>
      <x:c r="H117" s="58" t="str">
        <x:v>M2</x:v>
      </x:c>
    </x:row>
    <x:row r="118">
      <x:c r="A118" s="66" t="str">
        <x:v>CAP-HMI-110</x:v>
      </x:c>
      <x:c r="B118" s="66" t="str">
        <x:v>Visual/HMI</x:v>
      </x:c>
      <x:c r="C118" s="66" t="str">
        <x:v>对齐/层级</x:v>
      </x:c>
      <x:c r="D118" s="66" t="str">
        <x:v>同宽</x:v>
      </x:c>
      <x:c r="E118" s="66" t="str">
        <x:v>尺寸统一</x:v>
      </x:c>
      <x:c r="F118" s="66" t="str">
        <x:v>Core</x:v>
      </x:c>
      <x:c r="G118" s="66" t="str">
        <x:v>07_StudioDesigner架构 / 08_Renderer与几何系统 / 09_CommandUndoTransaction</x:v>
      </x:c>
      <x:c r="H118" s="66" t="str">
        <x:v>M2</x:v>
      </x:c>
    </x:row>
    <x:row r="119">
      <x:c r="A119" s="58" t="str">
        <x:v>CAP-HMI-111</x:v>
      </x:c>
      <x:c r="B119" s="58" t="str">
        <x:v>Visual/HMI</x:v>
      </x:c>
      <x:c r="C119" s="58" t="str">
        <x:v>对齐/层级</x:v>
      </x:c>
      <x:c r="D119" s="58" t="str">
        <x:v>同高</x:v>
      </x:c>
      <x:c r="E119" s="58" t="str">
        <x:v>尺寸统一</x:v>
      </x:c>
      <x:c r="F119" s="58" t="str">
        <x:v>Core</x:v>
      </x:c>
      <x:c r="G119" s="58" t="str">
        <x:v>07_StudioDesigner架构 / 08_Renderer与几何系统 / 09_CommandUndoTransaction</x:v>
      </x:c>
      <x:c r="H119" s="58" t="str">
        <x:v>M2</x:v>
      </x:c>
    </x:row>
    <x:row r="120">
      <x:c r="A120" s="66" t="str">
        <x:v>CAP-HMI-112</x:v>
      </x:c>
      <x:c r="B120" s="66" t="str">
        <x:v>Visual/HMI</x:v>
      </x:c>
      <x:c r="C120" s="66" t="str">
        <x:v>对齐/层级</x:v>
      </x:c>
      <x:c r="D120" s="66" t="str">
        <x:v>同尺寸</x:v>
      </x:c>
      <x:c r="E120" s="66" t="str">
        <x:v>宽高统一</x:v>
      </x:c>
      <x:c r="F120" s="66" t="str">
        <x:v>Core</x:v>
      </x:c>
      <x:c r="G120" s="66" t="str">
        <x:v>07_StudioDesigner架构 / 08_Renderer与几何系统 / 09_CommandUndoTransaction</x:v>
      </x:c>
      <x:c r="H120" s="66" t="str">
        <x:v>M2</x:v>
      </x:c>
    </x:row>
    <x:row r="121">
      <x:c r="A121" s="58" t="str">
        <x:v>CAP-HMI-113</x:v>
      </x:c>
      <x:c r="B121" s="58" t="str">
        <x:v>Visual/HMI</x:v>
      </x:c>
      <x:c r="C121" s="58" t="str">
        <x:v>对齐/层级</x:v>
      </x:c>
      <x:c r="D121" s="58" t="str">
        <x:v>移到顶层</x:v>
      </x:c>
      <x:c r="E121" s="58" t="str">
        <x:v>ZIndex</x:v>
      </x:c>
      <x:c r="F121" s="58" t="str">
        <x:v>Core</x:v>
      </x:c>
      <x:c r="G121" s="58" t="str">
        <x:v>07_StudioDesigner架构 / 08_Renderer与几何系统 / 09_CommandUndoTransaction</x:v>
      </x:c>
      <x:c r="H121" s="58" t="str">
        <x:v>M2</x:v>
      </x:c>
    </x:row>
    <x:row r="122">
      <x:c r="A122" s="66" t="str">
        <x:v>CAP-HMI-114</x:v>
      </x:c>
      <x:c r="B122" s="66" t="str">
        <x:v>Visual/HMI</x:v>
      </x:c>
      <x:c r="C122" s="66" t="str">
        <x:v>对齐/层级</x:v>
      </x:c>
      <x:c r="D122" s="66" t="str">
        <x:v>移到最底层</x:v>
      </x:c>
      <x:c r="E122" s="66" t="str">
        <x:v>ZIndex</x:v>
      </x:c>
      <x:c r="F122" s="66" t="str">
        <x:v>Core</x:v>
      </x:c>
      <x:c r="G122" s="66" t="str">
        <x:v>07_StudioDesigner架构 / 08_Renderer与几何系统 / 09_CommandUndoTransaction</x:v>
      </x:c>
      <x:c r="H122" s="66" t="str">
        <x:v>M2</x:v>
      </x:c>
    </x:row>
    <x:row r="123">
      <x:c r="A123" s="58" t="str">
        <x:v>CAP-HMI-115</x:v>
      </x:c>
      <x:c r="B123" s="58" t="str">
        <x:v>Visual/HMI</x:v>
      </x:c>
      <x:c r="C123" s="58" t="str">
        <x:v>对齐/层级</x:v>
      </x:c>
      <x:c r="D123" s="58" t="str">
        <x:v>前移一层</x:v>
      </x:c>
      <x:c r="E123" s="58" t="str">
        <x:v>ZIndex</x:v>
      </x:c>
      <x:c r="F123" s="58" t="str">
        <x:v>Core</x:v>
      </x:c>
      <x:c r="G123" s="58" t="str">
        <x:v>07_StudioDesigner架构 / 08_Renderer与几何系统 / 09_CommandUndoTransaction</x:v>
      </x:c>
      <x:c r="H123" s="58" t="str">
        <x:v>M2</x:v>
      </x:c>
    </x:row>
    <x:row r="124">
      <x:c r="A124" s="66" t="str">
        <x:v>CAP-HMI-116</x:v>
      </x:c>
      <x:c r="B124" s="66" t="str">
        <x:v>Visual/HMI</x:v>
      </x:c>
      <x:c r="C124" s="66" t="str">
        <x:v>对齐/层级</x:v>
      </x:c>
      <x:c r="D124" s="66" t="str">
        <x:v>后移一层</x:v>
      </x:c>
      <x:c r="E124" s="66" t="str">
        <x:v>ZIndex</x:v>
      </x:c>
      <x:c r="F124" s="66" t="str">
        <x:v>Core</x:v>
      </x:c>
      <x:c r="G124" s="66" t="str">
        <x:v>07_StudioDesigner架构 / 08_Renderer与几何系统 / 09_CommandUndoTransaction</x:v>
      </x:c>
      <x:c r="H124" s="66" t="str">
        <x:v>M2</x:v>
      </x:c>
    </x:row>
    <x:row r="125">
      <x:c r="A125" s="58" t="str">
        <x:v>CAP-HMI-117</x:v>
      </x:c>
      <x:c r="B125" s="58" t="str">
        <x:v>Visual/HMI</x:v>
      </x:c>
      <x:c r="C125" s="58" t="str">
        <x:v>图层/组合/Symbol</x:v>
      </x:c>
      <x:c r="D125" s="58" t="str">
        <x:v>新建图层</x:v>
      </x:c>
      <x:c r="E125" s="58" t="str">
        <x:v>Page内图层</x:v>
      </x:c>
      <x:c r="F125" s="58" t="str">
        <x:v>Core</x:v>
      </x:c>
      <x:c r="G125" s="58" t="str">
        <x:v>11_Symbol体系</x:v>
      </x:c>
      <x:c r="H125" s="58" t="str">
        <x:v>M2</x:v>
      </x:c>
    </x:row>
    <x:row r="126">
      <x:c r="A126" s="66" t="str">
        <x:v>CAP-HMI-118</x:v>
      </x:c>
      <x:c r="B126" s="66" t="str">
        <x:v>Visual/HMI</x:v>
      </x:c>
      <x:c r="C126" s="66" t="str">
        <x:v>图层/组合/Symbol</x:v>
      </x:c>
      <x:c r="D126" s="66" t="str">
        <x:v>删除图层</x:v>
      </x:c>
      <x:c r="E126" s="66" t="str">
        <x:v>元素迁移/引用检查</x:v>
      </x:c>
      <x:c r="F126" s="66" t="str">
        <x:v>Core</x:v>
      </x:c>
      <x:c r="G126" s="66" t="str">
        <x:v>11_Symbol体系</x:v>
      </x:c>
      <x:c r="H126" s="66" t="str">
        <x:v>M2</x:v>
      </x:c>
    </x:row>
    <x:row r="127">
      <x:c r="A127" s="58" t="str">
        <x:v>CAP-HMI-119</x:v>
      </x:c>
      <x:c r="B127" s="58" t="str">
        <x:v>Visual/HMI</x:v>
      </x:c>
      <x:c r="C127" s="58" t="str">
        <x:v>图层/组合/Symbol</x:v>
      </x:c>
      <x:c r="D127" s="58" t="str">
        <x:v>图层排序</x:v>
      </x:c>
      <x:c r="E127" s="58" t="str">
        <x:v>Z顺序</x:v>
      </x:c>
      <x:c r="F127" s="58" t="str">
        <x:v>Core</x:v>
      </x:c>
      <x:c r="G127" s="58" t="str">
        <x:v>11_Symbol体系</x:v>
      </x:c>
      <x:c r="H127" s="58" t="str">
        <x:v>M2</x:v>
      </x:c>
    </x:row>
    <x:row r="128">
      <x:c r="A128" s="66" t="str">
        <x:v>CAP-HMI-120</x:v>
      </x:c>
      <x:c r="B128" s="66" t="str">
        <x:v>Visual/HMI</x:v>
      </x:c>
      <x:c r="C128" s="66" t="str">
        <x:v>图层/组合/Symbol</x:v>
      </x:c>
      <x:c r="D128" s="66" t="str">
        <x:v>图层显示/隐藏</x:v>
      </x:c>
      <x:c r="E128" s="66" t="str">
        <x:v>设计/运行可见</x:v>
      </x:c>
      <x:c r="F128" s="66" t="str">
        <x:v>Core</x:v>
      </x:c>
      <x:c r="G128" s="66" t="str">
        <x:v>11_Symbol体系</x:v>
      </x:c>
      <x:c r="H128" s="66" t="str">
        <x:v>M2</x:v>
      </x:c>
    </x:row>
    <x:row r="129">
      <x:c r="A129" s="58" t="str">
        <x:v>CAP-HMI-121</x:v>
      </x:c>
      <x:c r="B129" s="58" t="str">
        <x:v>Visual/HMI</x:v>
      </x:c>
      <x:c r="C129" s="58" t="str">
        <x:v>图层/组合/Symbol</x:v>
      </x:c>
      <x:c r="D129" s="58" t="str">
        <x:v>图层锁定</x:v>
      </x:c>
      <x:c r="E129" s="58" t="str">
        <x:v>防误编辑</x:v>
      </x:c>
      <x:c r="F129" s="58" t="str">
        <x:v>Core</x:v>
      </x:c>
      <x:c r="G129" s="58" t="str">
        <x:v>11_Symbol体系</x:v>
      </x:c>
      <x:c r="H129" s="58" t="str">
        <x:v>M2</x:v>
      </x:c>
    </x:row>
    <x:row r="130">
      <x:c r="A130" s="66" t="str">
        <x:v>CAP-HMI-122</x:v>
      </x:c>
      <x:c r="B130" s="66" t="str">
        <x:v>Visual/HMI</x:v>
      </x:c>
      <x:c r="C130" s="66" t="str">
        <x:v>图层/组合/Symbol</x:v>
      </x:c>
      <x:c r="D130" s="66" t="str">
        <x:v>组合</x:v>
      </x:c>
      <x:c r="E130" s="66" t="str">
        <x:v>GroupElement</x:v>
      </x:c>
      <x:c r="F130" s="66" t="str">
        <x:v>Core</x:v>
      </x:c>
      <x:c r="G130" s="66" t="str">
        <x:v>11_Symbol体系</x:v>
      </x:c>
      <x:c r="H130" s="66" t="str">
        <x:v>M2</x:v>
      </x:c>
    </x:row>
    <x:row r="131">
      <x:c r="A131" s="58" t="str">
        <x:v>CAP-HMI-123</x:v>
      </x:c>
      <x:c r="B131" s="58" t="str">
        <x:v>Visual/HMI</x:v>
      </x:c>
      <x:c r="C131" s="58" t="str">
        <x:v>图层/组合/Symbol</x:v>
      </x:c>
      <x:c r="D131" s="58" t="str">
        <x:v>取消组合</x:v>
      </x:c>
      <x:c r="E131" s="58" t="str">
        <x:v>保持世界坐标</x:v>
      </x:c>
      <x:c r="F131" s="58" t="str">
        <x:v>Core</x:v>
      </x:c>
      <x:c r="G131" s="58" t="str">
        <x:v>11_Symbol体系</x:v>
      </x:c>
      <x:c r="H131" s="58" t="str">
        <x:v>M2</x:v>
      </x:c>
    </x:row>
    <x:row r="132">
      <x:c r="A132" s="66" t="str">
        <x:v>CAP-HMI-124</x:v>
      </x:c>
      <x:c r="B132" s="66" t="str">
        <x:v>Visual/HMI</x:v>
      </x:c>
      <x:c r="C132" s="66" t="str">
        <x:v>图层/组合/Symbol</x:v>
      </x:c>
      <x:c r="D132" s="66" t="str">
        <x:v>创建Symbol</x:v>
      </x:c>
      <x:c r="E132" s="66" t="str">
        <x:v>合法Group→Definition+Instance；包含边界检查/局部坐标/公开属性初始定义</x:v>
      </x:c>
      <x:c r="F132" s="66" t="str">
        <x:v>Core</x:v>
      </x:c>
      <x:c r="G132" s="66" t="str">
        <x:v>11_Symbol体系</x:v>
      </x:c>
      <x:c r="H132" s="66" t="str">
        <x:v>M2</x:v>
      </x:c>
    </x:row>
    <x:row r="133">
      <x:c r="A133" s="58" t="str">
        <x:v>CAP-HMI-125</x:v>
      </x:c>
      <x:c r="B133" s="58" t="str">
        <x:v>Visual/HMI</x:v>
      </x:c>
      <x:c r="C133" s="58" t="str">
        <x:v>图层/组合/Symbol</x:v>
      </x:c>
      <x:c r="D133" s="58" t="str">
        <x:v>放置Symbol实例</x:v>
      </x:c>
      <x:c r="E133" s="58" t="str">
        <x:v>从项目/用户Symbol库创建实例</x:v>
      </x:c>
      <x:c r="F133" s="58" t="str">
        <x:v>Core</x:v>
      </x:c>
      <x:c r="G133" s="58" t="str">
        <x:v>11_Symbol体系</x:v>
      </x:c>
      <x:c r="H133" s="58" t="str">
        <x:v>M2</x:v>
      </x:c>
    </x:row>
    <x:row r="134">
      <x:c r="A134" s="66" t="str">
        <x:v>CAP-HMI-126</x:v>
      </x:c>
      <x:c r="B134" s="66" t="str">
        <x:v>Visual/HMI</x:v>
      </x:c>
      <x:c r="C134" s="66" t="str">
        <x:v>图层/组合/Symbol</x:v>
      </x:c>
      <x:c r="D134" s="66" t="str">
        <x:v>更新Symbol定义</x:v>
      </x:c>
      <x:c r="E134" s="66" t="str">
        <x:v>进入Symbol Editor修改内部结构/公开属性/映射/版本</x:v>
      </x:c>
      <x:c r="F134" s="66" t="str">
        <x:v>Core</x:v>
      </x:c>
      <x:c r="G134" s="66" t="str">
        <x:v>11_Symbol体系</x:v>
      </x:c>
      <x:c r="H134" s="66" t="str">
        <x:v>M2</x:v>
      </x:c>
    </x:row>
    <x:row r="135">
      <x:c r="A135" s="58" t="str">
        <x:v>CAP-HMI-127</x:v>
      </x:c>
      <x:c r="B135" s="58" t="str">
        <x:v>Visual/HMI</x:v>
      </x:c>
      <x:c r="C135" s="58" t="str">
        <x:v>图层/组合/Symbol</x:v>
      </x:c>
      <x:c r="D135" s="58" t="str">
        <x:v>实例公开属性覆盖</x:v>
      </x:c>
      <x:c r="E135" s="58" t="str">
        <x:v>只保存与Definition默认值不同的Override</x:v>
      </x:c>
      <x:c r="F135" s="58" t="str">
        <x:v>Core</x:v>
      </x:c>
      <x:c r="G135" s="58" t="str">
        <x:v>11_Symbol体系</x:v>
      </x:c>
      <x:c r="H135" s="58" t="str">
        <x:v>M2</x:v>
      </x:c>
    </x:row>
    <x:row r="136">
      <x:c r="A136" s="66" t="str">
        <x:v>CAP-HMI-128</x:v>
      </x:c>
      <x:c r="B136" s="66" t="str">
        <x:v>Visual/HMI</x:v>
      </x:c>
      <x:c r="C136" s="66" t="str">
        <x:v>图层/组合/Symbol</x:v>
      </x:c>
      <x:c r="D136" s="66" t="str">
        <x:v>Symbol公开属性</x:v>
      </x:c>
      <x:c r="E136" s="66" t="str">
        <x:v>Key/Type/Default/Unit/Bindable/Description</x:v>
      </x:c>
      <x:c r="F136" s="66" t="str">
        <x:v>Core</x:v>
      </x:c>
      <x:c r="G136" s="66" t="str">
        <x:v>11_Symbol体系</x:v>
      </x:c>
      <x:c r="H136" s="66" t="str">
        <x:v>M2</x:v>
      </x:c>
    </x:row>
    <x:row r="137">
      <x:c r="A137" s="58" t="str">
        <x:v>CAP-HMI-129</x:v>
      </x:c>
      <x:c r="B137" s="58" t="str">
        <x:v>Visual/HMI</x:v>
      </x:c>
      <x:c r="C137" s="58" t="str">
        <x:v>图层/组合/Symbol</x:v>
      </x:c>
      <x:c r="D137" s="58" t="str">
        <x:v>Symbol属性映射</x:v>
      </x:c>
      <x:c r="E137" s="58" t="str">
        <x:v>PublicProperty→内部child property/state/animation；ID→Alias→Role</x:v>
      </x:c>
      <x:c r="F137" s="58" t="str">
        <x:v>Core</x:v>
      </x:c>
      <x:c r="G137" s="58" t="str">
        <x:v>11_Symbol体系</x:v>
      </x:c>
      <x:c r="H137" s="58" t="str">
        <x:v>M2</x:v>
      </x:c>
    </x:row>
    <x:row r="138">
      <x:c r="A138" s="66" t="str">
        <x:v>CAP-HMI-130</x:v>
      </x:c>
      <x:c r="B138" s="66" t="str">
        <x:v>Visual/HMI</x:v>
      </x:c>
      <x:c r="C138" s="66" t="str">
        <x:v>属性编辑器</x:v>
      </x:c>
      <x:c r="D138" s="66" t="str">
        <x:v>属性面板</x:v>
      </x:c>
      <x:c r="E138" s="66" t="str">
        <x:v>元数据驱动属性编辑</x:v>
      </x:c>
      <x:c r="F138" s="66" t="str">
        <x:v>Core</x:v>
      </x:c>
      <x:c r="G138" s="66" t="str">
        <x:v>10_Property元数据Binding</x:v>
      </x:c>
      <x:c r="H138" s="66" t="str">
        <x:v>M2</x:v>
      </x:c>
    </x:row>
    <x:row r="139">
      <x:c r="A139" s="58" t="str">
        <x:v>CAP-HMI-131</x:v>
      </x:c>
      <x:c r="B139" s="58" t="str">
        <x:v>Visual/HMI</x:v>
      </x:c>
      <x:c r="C139" s="58" t="str">
        <x:v>属性编辑器</x:v>
      </x:c>
      <x:c r="D139" s="58" t="str">
        <x:v>属性分类</x:v>
      </x:c>
      <x:c r="E139" s="58" t="str">
        <x:v>Common/Appearance/Data/Events</x:v>
      </x:c>
      <x:c r="F139" s="58" t="str">
        <x:v>Core</x:v>
      </x:c>
      <x:c r="G139" s="58" t="str">
        <x:v>10_Property元数据Binding</x:v>
      </x:c>
      <x:c r="H139" s="58" t="str">
        <x:v>M2</x:v>
      </x:c>
    </x:row>
    <x:row r="140">
      <x:c r="A140" s="66" t="str">
        <x:v>CAP-HMI-132</x:v>
      </x:c>
      <x:c r="B140" s="66" t="str">
        <x:v>Visual/HMI</x:v>
      </x:c>
      <x:c r="C140" s="66" t="str">
        <x:v>属性编辑器</x:v>
      </x:c>
      <x:c r="D140" s="66" t="str">
        <x:v>多选公共属性</x:v>
      </x:c>
      <x:c r="E140" s="66" t="str">
        <x:v>多选公共可编辑属性</x:v>
      </x:c>
      <x:c r="F140" s="66" t="str">
        <x:v>Extended</x:v>
      </x:c>
      <x:c r="G140" s="66" t="str">
        <x:v>10_Property元数据Binding</x:v>
      </x:c>
      <x:c r="H140" s="66" t="str">
        <x:v>M2</x:v>
      </x:c>
    </x:row>
    <x:row r="141">
      <x:c r="A141" s="58" t="str">
        <x:v>CAP-HMI-133</x:v>
      </x:c>
      <x:c r="B141" s="58" t="str">
        <x:v>Visual/HMI</x:v>
      </x:c>
      <x:c r="C141" s="58" t="str">
        <x:v>属性编辑器</x:v>
      </x:c>
      <x:c r="D141" s="58" t="str">
        <x:v>属性搜索</x:v>
      </x:c>
      <x:c r="E141" s="58" t="str">
        <x:v>按名称筛选</x:v>
      </x:c>
      <x:c r="F141" s="58" t="str">
        <x:v>Extended</x:v>
      </x:c>
      <x:c r="G141" s="58" t="str">
        <x:v>10_Property元数据Binding</x:v>
      </x:c>
      <x:c r="H141" s="58" t="str">
        <x:v>M2</x:v>
      </x:c>
    </x:row>
    <x:row r="142">
      <x:c r="A142" s="66" t="str">
        <x:v>CAP-HMI-134</x:v>
      </x:c>
      <x:c r="B142" s="66" t="str">
        <x:v>Visual/HMI</x:v>
      </x:c>
      <x:c r="C142" s="66" t="str">
        <x:v>属性编辑器</x:v>
      </x:c>
      <x:c r="D142" s="66" t="str">
        <x:v>属性重置</x:v>
      </x:c>
      <x:c r="E142" s="66" t="str">
        <x:v>恢复默认/继承</x:v>
      </x:c>
      <x:c r="F142" s="66" t="str">
        <x:v>Extended</x:v>
      </x:c>
      <x:c r="G142" s="66" t="str">
        <x:v>10_Property元数据Binding</x:v>
      </x:c>
      <x:c r="H142" s="66" t="str">
        <x:v>M2</x:v>
      </x:c>
    </x:row>
    <x:row r="143">
      <x:c r="A143" s="58" t="str">
        <x:v>CAP-HMI-135</x:v>
      </x:c>
      <x:c r="B143" s="58" t="str">
        <x:v>Visual/HMI</x:v>
      </x:c>
      <x:c r="C143" s="58" t="str">
        <x:v>属性编辑器</x:v>
      </x:c>
      <x:c r="D143" s="58" t="str">
        <x:v>绑定入口</x:v>
      </x:c>
      <x:c r="E143" s="58" t="str">
        <x:v>属性右侧[fx]/链图标</x:v>
      </x:c>
      <x:c r="F143" s="58" t="str">
        <x:v>Core</x:v>
      </x:c>
      <x:c r="G143" s="58" t="str">
        <x:v>10_Property元数据Binding</x:v>
      </x:c>
      <x:c r="H143" s="58" t="str">
        <x:v>M2</x:v>
      </x:c>
    </x:row>
    <x:row r="144">
      <x:c r="A144" s="66" t="str">
        <x:v>CAP-HMI-136</x:v>
      </x:c>
      <x:c r="B144" s="66" t="str">
        <x:v>Visual/HMI</x:v>
      </x:c>
      <x:c r="C144" s="66" t="str">
        <x:v>属性编辑器</x:v>
      </x:c>
      <x:c r="D144" s="66" t="str">
        <x:v>属性验证</x:v>
      </x:c>
      <x:c r="E144" s="66" t="str">
        <x:v>范围/类型/必填</x:v>
      </x:c>
      <x:c r="F144" s="66" t="str">
        <x:v>Core</x:v>
      </x:c>
      <x:c r="G144" s="66" t="str">
        <x:v>10_Property元数据Binding</x:v>
      </x:c>
      <x:c r="H144" s="66" t="str">
        <x:v>M2</x:v>
      </x:c>
    </x:row>
    <x:row r="145">
      <x:c r="A145" s="58" t="str">
        <x:v>CAP-HMI-137</x:v>
      </x:c>
      <x:c r="B145" s="58" t="str">
        <x:v>Visual/HMI</x:v>
      </x:c>
      <x:c r="C145" s="58" t="str">
        <x:v>属性编辑器</x:v>
      </x:c>
      <x:c r="D145" s="58" t="str">
        <x:v>自定义属性</x:v>
      </x:c>
      <x:c r="E145" s="58" t="str">
        <x:v>Symbol/Page参数</x:v>
      </x:c>
      <x:c r="F145" s="58" t="str">
        <x:v>Core</x:v>
      </x:c>
      <x:c r="G145" s="58" t="str">
        <x:v>10_Property元数据Binding</x:v>
      </x:c>
      <x:c r="H145" s="58" t="str">
        <x:v>M2</x:v>
      </x:c>
    </x:row>
    <x:row r="146">
      <x:c r="A146" s="66" t="str">
        <x:v>CAP-HMI-138</x:v>
      </x:c>
      <x:c r="B146" s="66" t="str">
        <x:v>Visual/HMI</x:v>
      </x:c>
      <x:c r="C146" s="66" t="str">
        <x:v>变量/Tag/绑定</x:v>
      </x:c>
      <x:c r="D146" s="66" t="str">
        <x:v>Tag Browser</x:v>
      </x:c>
      <x:c r="E146" s="66" t="str">
        <x:v>PLC/内部/System/UDT变量树</x:v>
      </x:c>
      <x:c r="F146" s="66" t="str">
        <x:v>Core</x:v>
      </x:c>
      <x:c r="G146" s="66" t="str">
        <x:v>10_Property元数据Binding</x:v>
      </x:c>
      <x:c r="H146" s="66" t="str">
        <x:v>M2</x:v>
      </x:c>
    </x:row>
    <x:row r="147">
      <x:c r="A147" s="58" t="str">
        <x:v>CAP-HMI-139</x:v>
      </x:c>
      <x:c r="B147" s="58" t="str">
        <x:v>Visual/HMI</x:v>
      </x:c>
      <x:c r="C147" s="58" t="str">
        <x:v>变量/Tag/绑定</x:v>
      </x:c>
      <x:c r="D147" s="58" t="str">
        <x:v>Tag搜索</x:v>
      </x:c>
      <x:c r="E147" s="58" t="str">
        <x:v>按名称/路径</x:v>
      </x:c>
      <x:c r="F147" s="58" t="str">
        <x:v>Core</x:v>
      </x:c>
      <x:c r="G147" s="58" t="str">
        <x:v>10_Property元数据Binding</x:v>
      </x:c>
      <x:c r="H147" s="58" t="str">
        <x:v>M2</x:v>
      </x:c>
    </x:row>
    <x:row r="148">
      <x:c r="A148" s="66" t="str">
        <x:v>CAP-HMI-140</x:v>
      </x:c>
      <x:c r="B148" s="66" t="str">
        <x:v>Visual/HMI</x:v>
      </x:c>
      <x:c r="C148" s="66" t="str">
        <x:v>变量/Tag/绑定</x:v>
      </x:c>
      <x:c r="D148" s="66" t="str">
        <x:v>拖拽Tag到属性</x:v>
      </x:c>
      <x:c r="E148" s="66" t="str">
        <x:v>自动TagBinding</x:v>
      </x:c>
      <x:c r="F148" s="66" t="str">
        <x:v>Core</x:v>
      </x:c>
      <x:c r="G148" s="66" t="str">
        <x:v>10_Property元数据Binding</x:v>
      </x:c>
      <x:c r="H148" s="66" t="str">
        <x:v>M2</x:v>
      </x:c>
    </x:row>
    <x:row r="149">
      <x:c r="A149" s="58" t="str">
        <x:v>CAP-HMI-141</x:v>
      </x:c>
      <x:c r="B149" s="58" t="str">
        <x:v>Visual/HMI</x:v>
      </x:c>
      <x:c r="C149" s="58" t="str">
        <x:v>变量/Tag/绑定</x:v>
      </x:c>
      <x:c r="D149" s="58" t="str">
        <x:v>拖拽Tag到画布</x:v>
      </x:c>
      <x:c r="E149" s="58" t="str">
        <x:v>按类型创建数据组件</x:v>
      </x:c>
      <x:c r="F149" s="58" t="str">
        <x:v>Core</x:v>
      </x:c>
      <x:c r="G149" s="58" t="str">
        <x:v>10_Property元数据Binding</x:v>
      </x:c>
      <x:c r="H149" s="58" t="str">
        <x:v>M2</x:v>
      </x:c>
    </x:row>
    <x:row r="150">
      <x:c r="A150" s="66" t="str">
        <x:v>CAP-HMI-142</x:v>
      </x:c>
      <x:c r="B150" s="66" t="str">
        <x:v>Visual/HMI</x:v>
      </x:c>
      <x:c r="C150" s="66" t="str">
        <x:v>变量/Tag/绑定</x:v>
      </x:c>
      <x:c r="D150" s="66" t="str">
        <x:v>变量定义</x:v>
      </x:c>
      <x:c r="E150" s="66" t="str">
        <x:v>Local/PLC/System/Calculated</x:v>
      </x:c>
      <x:c r="F150" s="66" t="str">
        <x:v>Core</x:v>
      </x:c>
      <x:c r="G150" s="66" t="str">
        <x:v>10_Property元数据Binding</x:v>
      </x:c>
      <x:c r="H150" s="66" t="str">
        <x:v>M2</x:v>
      </x:c>
    </x:row>
    <x:row r="151">
      <x:c r="A151" s="58" t="str">
        <x:v>CAP-HMI-143</x:v>
      </x:c>
      <x:c r="B151" s="58" t="str">
        <x:v>Visual/HMI</x:v>
      </x:c>
      <x:c r="C151" s="58" t="str">
        <x:v>变量/Tag/绑定</x:v>
      </x:c>
      <x:c r="D151" s="58" t="str">
        <x:v>变量分组</x:v>
      </x:c>
      <x:c r="E151" s="58" t="str">
        <x:v>树形组织</x:v>
      </x:c>
      <x:c r="F151" s="58" t="str">
        <x:v>Core</x:v>
      </x:c>
      <x:c r="G151" s="58" t="str">
        <x:v>10_Property元数据Binding</x:v>
      </x:c>
      <x:c r="H151" s="58" t="str">
        <x:v>M2</x:v>
      </x:c>
    </x:row>
    <x:row r="152">
      <x:c r="A152" s="66" t="str">
        <x:v>CAP-HMI-144</x:v>
      </x:c>
      <x:c r="B152" s="66" t="str">
        <x:v>Visual/HMI</x:v>
      </x:c>
      <x:c r="C152" s="66" t="str">
        <x:v>变量/Tag/绑定</x:v>
      </x:c>
      <x:c r="D152" s="66" t="str">
        <x:v>变量类型</x:v>
      </x:c>
      <x:c r="E152" s="66" t="str">
        <x:v>Bool/Int/Double/String/DateTime/Enum</x:v>
      </x:c>
      <x:c r="F152" s="66" t="str">
        <x:v>Core</x:v>
      </x:c>
      <x:c r="G152" s="66" t="str">
        <x:v>10_Property元数据Binding</x:v>
      </x:c>
      <x:c r="H152" s="66" t="str">
        <x:v>M2</x:v>
      </x:c>
    </x:row>
    <x:row r="153">
      <x:c r="A153" s="58" t="str">
        <x:v>CAP-HMI-145</x:v>
      </x:c>
      <x:c r="B153" s="58" t="str">
        <x:v>Visual/HMI</x:v>
      </x:c>
      <x:c r="C153" s="58" t="str">
        <x:v>变量/Tag/绑定</x:v>
      </x:c>
      <x:c r="D153" s="58" t="str">
        <x:v>读写属性</x:v>
      </x:c>
      <x:c r="E153" s="58" t="str">
        <x:v>ReadOnly/ReadWrite</x:v>
      </x:c>
      <x:c r="F153" s="58" t="str">
        <x:v>Core</x:v>
      </x:c>
      <x:c r="G153" s="58" t="str">
        <x:v>10_Property元数据Binding</x:v>
      </x:c>
      <x:c r="H153" s="58" t="str">
        <x:v>M2</x:v>
      </x:c>
    </x:row>
    <x:row r="154">
      <x:c r="A154" s="66" t="str">
        <x:v>CAP-HMI-146</x:v>
      </x:c>
      <x:c r="B154" s="66" t="str">
        <x:v>Visual/HMI</x:v>
      </x:c>
      <x:c r="C154" s="66" t="str">
        <x:v>变量/Tag/绑定</x:v>
      </x:c>
      <x:c r="D154" s="66" t="str">
        <x:v>TagBinding</x:v>
      </x:c>
      <x:c r="E154" s="66" t="str">
        <x:v>属性←变量</x:v>
      </x:c>
      <x:c r="F154" s="66" t="str">
        <x:v>Core</x:v>
      </x:c>
      <x:c r="G154" s="66" t="str">
        <x:v>10_Property元数据Binding</x:v>
      </x:c>
      <x:c r="H154" s="66" t="str">
        <x:v>M2</x:v>
      </x:c>
    </x:row>
    <x:row r="155">
      <x:c r="A155" s="58" t="str">
        <x:v>CAP-HMI-147</x:v>
      </x:c>
      <x:c r="B155" s="58" t="str">
        <x:v>Visual/HMI</x:v>
      </x:c>
      <x:c r="C155" s="58" t="str">
        <x:v>变量/Tag/绑定</x:v>
      </x:c>
      <x:c r="D155" s="58" t="str">
        <x:v>PropertyBinding</x:v>
      </x:c>
      <x:c r="E155" s="58" t="str">
        <x:v>属性←元素属性</x:v>
      </x:c>
      <x:c r="F155" s="58" t="str">
        <x:v>Core</x:v>
      </x:c>
      <x:c r="G155" s="58" t="str">
        <x:v>10_Property元数据Binding</x:v>
      </x:c>
      <x:c r="H155" s="58" t="str">
        <x:v>M2</x:v>
      </x:c>
    </x:row>
    <x:row r="156">
      <x:c r="A156" s="66" t="str">
        <x:v>CAP-HMI-148</x:v>
      </x:c>
      <x:c r="B156" s="66" t="str">
        <x:v>Visual/HMI</x:v>
      </x:c>
      <x:c r="C156" s="66" t="str">
        <x:v>变量/Tag/绑定</x:v>
      </x:c>
      <x:c r="D156" s="66" t="str">
        <x:v>ExpressionBinding</x:v>
      </x:c>
      <x:c r="E156" s="66" t="str">
        <x:v>受限表达式</x:v>
      </x:c>
      <x:c r="F156" s="66" t="str">
        <x:v>Core</x:v>
      </x:c>
      <x:c r="G156" s="66" t="str">
        <x:v>10_Property元数据Binding</x:v>
      </x:c>
      <x:c r="H156" s="66" t="str">
        <x:v>M2</x:v>
      </x:c>
    </x:row>
    <x:row r="157">
      <x:c r="A157" s="58" t="str">
        <x:v>CAP-HMI-149</x:v>
      </x:c>
      <x:c r="B157" s="58" t="str">
        <x:v>Visual/HMI</x:v>
      </x:c>
      <x:c r="C157" s="58" t="str">
        <x:v>变量/Tag/绑定</x:v>
      </x:c>
      <x:c r="D157" s="58" t="str">
        <x:v>Converter</x:v>
      </x:c>
      <x:c r="E157" s="58" t="str">
        <x:v>BoolToColor/RangeMap/Format</x:v>
      </x:c>
      <x:c r="F157" s="58" t="str">
        <x:v>Core</x:v>
      </x:c>
      <x:c r="G157" s="58" t="str">
        <x:v>10_Property元数据Binding</x:v>
      </x:c>
      <x:c r="H157" s="58" t="str">
        <x:v>M2</x:v>
      </x:c>
    </x:row>
    <x:row r="158">
      <x:c r="A158" s="66" t="str">
        <x:v>CAP-HMI-150</x:v>
      </x:c>
      <x:c r="B158" s="66" t="str">
        <x:v>Visual/HMI</x:v>
      </x:c>
      <x:c r="C158" s="66" t="str">
        <x:v>变量/Tag/绑定</x:v>
      </x:c>
      <x:c r="D158" s="66" t="str">
        <x:v>Fallback/Quality</x:v>
      </x:c>
      <x:c r="E158" s="66" t="str">
        <x:v>坏质量/断线策略</x:v>
      </x:c>
      <x:c r="F158" s="66" t="str">
        <x:v>Core</x:v>
      </x:c>
      <x:c r="G158" s="66" t="str">
        <x:v>10_Property元数据Binding</x:v>
      </x:c>
      <x:c r="H158" s="66" t="str">
        <x:v>M2</x:v>
      </x:c>
    </x:row>
    <x:row r="159">
      <x:c r="A159" s="58" t="str">
        <x:v>CAP-HMI-151</x:v>
      </x:c>
      <x:c r="B159" s="58" t="str">
        <x:v>Visual/HMI</x:v>
      </x:c>
      <x:c r="C159" s="58" t="str">
        <x:v>变量/Tag/绑定</x:v>
      </x:c>
      <x:c r="D159" s="58" t="str">
        <x:v>Binding诊断</x:v>
      </x:c>
      <x:c r="E159" s="58" t="str">
        <x:v>当前值/来源/质量/刷新时间</x:v>
      </x:c>
      <x:c r="F159" s="58" t="str">
        <x:v>Core</x:v>
      </x:c>
      <x:c r="G159" s="58" t="str">
        <x:v>10_Property元数据Binding</x:v>
      </x:c>
      <x:c r="H159" s="58" t="str">
        <x:v>M2</x:v>
      </x:c>
    </x:row>
    <x:row r="160">
      <x:c r="A160" s="66" t="str">
        <x:v>CAP-HMI-152</x:v>
      </x:c>
      <x:c r="B160" s="66" t="str">
        <x:v>Visual/HMI</x:v>
      </x:c>
      <x:c r="C160" s="66" t="str">
        <x:v>变量/Tag/绑定</x:v>
      </x:c>
      <x:c r="D160" s="66" t="str">
        <x:v>批量配点</x:v>
      </x:c>
      <x:c r="E160" s="66" t="str">
        <x:v>规则/名称批量匹配</x:v>
      </x:c>
      <x:c r="F160" s="66" t="str">
        <x:v>Core</x:v>
      </x:c>
      <x:c r="G160" s="66" t="str">
        <x:v>10_Property元数据Binding</x:v>
      </x:c>
      <x:c r="H160" s="66" t="str">
        <x:v>M2</x:v>
      </x:c>
    </x:row>
    <x:row r="161">
      <x:c r="A161" s="58" t="str">
        <x:v>CAP-HMI-153</x:v>
      </x:c>
      <x:c r="B161" s="58" t="str">
        <x:v>Visual/HMI</x:v>
      </x:c>
      <x:c r="C161" s="58" t="str">
        <x:v>变量/Tag/绑定</x:v>
      </x:c>
      <x:c r="D161" s="58" t="str">
        <x:v>UDT/模板参数映射</x:v>
      </x:c>
      <x:c r="E161" s="58" t="str">
        <x:v>Symbol实例绑定结构化Tag</x:v>
      </x:c>
      <x:c r="F161" s="58" t="str">
        <x:v>Core</x:v>
      </x:c>
      <x:c r="G161" s="58" t="str">
        <x:v>10_Property元数据Binding</x:v>
      </x:c>
      <x:c r="H161" s="58" t="str">
        <x:v>M2</x:v>
      </x:c>
    </x:row>
    <x:row r="162">
      <x:c r="A162" s="66" t="str">
        <x:v>CAP-HMI-154</x:v>
      </x:c>
      <x:c r="B162" s="66" t="str">
        <x:v>Visual/HMI</x:v>
      </x:c>
      <x:c r="C162" s="66" t="str">
        <x:v>事件/动作</x:v>
      </x:c>
      <x:c r="D162" s="66" t="str">
        <x:v>Click事件</x:v>
      </x:c>
      <x:c r="E162" s="66" t="str">
        <x:v>点击触发Action</x:v>
      </x:c>
      <x:c r="F162" s="66" t="str">
        <x:v>Core</x:v>
      </x:c>
      <x:c r="G162" s="66" t="str">
        <x:v>13_Event_Action_Animation</x:v>
      </x:c>
      <x:c r="H162" s="66" t="str">
        <x:v>M2</x:v>
      </x:c>
    </x:row>
    <x:row r="163">
      <x:c r="A163" s="58" t="str">
        <x:v>CAP-HMI-155</x:v>
      </x:c>
      <x:c r="B163" s="58" t="str">
        <x:v>Visual/HMI</x:v>
      </x:c>
      <x:c r="C163" s="58" t="str">
        <x:v>事件/动作</x:v>
      </x:c>
      <x:c r="D163" s="58" t="str">
        <x:v>DoubleClick</x:v>
      </x:c>
      <x:c r="E163" s="58" t="str">
        <x:v>双击</x:v>
      </x:c>
      <x:c r="F163" s="58" t="str">
        <x:v>Extended</x:v>
      </x:c>
      <x:c r="G163" s="58" t="str">
        <x:v>13_Event_Action_Animation</x:v>
      </x:c>
      <x:c r="H163" s="58" t="str">
        <x:v>M2</x:v>
      </x:c>
    </x:row>
    <x:row r="164">
      <x:c r="A164" s="66" t="str">
        <x:v>CAP-HMI-156</x:v>
      </x:c>
      <x:c r="B164" s="66" t="str">
        <x:v>Visual/HMI</x:v>
      </x:c>
      <x:c r="C164" s="66" t="str">
        <x:v>事件/动作</x:v>
      </x:c>
      <x:c r="D164" s="66" t="str">
        <x:v>MouseDown/Up</x:v>
      </x:c>
      <x:c r="E164" s="66" t="str">
        <x:v>按下/释放</x:v>
      </x:c>
      <x:c r="F164" s="66" t="str">
        <x:v>Extended</x:v>
      </x:c>
      <x:c r="G164" s="66" t="str">
        <x:v>13_Event_Action_Animation</x:v>
      </x:c>
      <x:c r="H164" s="66" t="str">
        <x:v>M2</x:v>
      </x:c>
    </x:row>
    <x:row r="165">
      <x:c r="A165" s="58" t="str">
        <x:v>CAP-HMI-157</x:v>
      </x:c>
      <x:c r="B165" s="58" t="str">
        <x:v>Visual/HMI</x:v>
      </x:c>
      <x:c r="C165" s="58" t="str">
        <x:v>事件/动作</x:v>
      </x:c>
      <x:c r="D165" s="58" t="str">
        <x:v>ValueChanged</x:v>
      </x:c>
      <x:c r="E165" s="58" t="str">
        <x:v>值变化</x:v>
      </x:c>
      <x:c r="F165" s="58" t="str">
        <x:v>Extended</x:v>
      </x:c>
      <x:c r="G165" s="58" t="str">
        <x:v>13_Event_Action_Animation</x:v>
      </x:c>
      <x:c r="H165" s="58" t="str">
        <x:v>M2</x:v>
      </x:c>
    </x:row>
    <x:row r="166">
      <x:c r="A166" s="66" t="str">
        <x:v>CAP-HMI-158</x:v>
      </x:c>
      <x:c r="B166" s="66" t="str">
        <x:v>Visual/HMI</x:v>
      </x:c>
      <x:c r="C166" s="66" t="str">
        <x:v>事件/动作</x:v>
      </x:c>
      <x:c r="D166" s="66" t="str">
        <x:v>页面打开/关闭</x:v>
      </x:c>
      <x:c r="E166" s="66" t="str">
        <x:v>生命周期</x:v>
      </x:c>
      <x:c r="F166" s="66" t="str">
        <x:v>Core</x:v>
      </x:c>
      <x:c r="G166" s="66" t="str">
        <x:v>13_Event_Action_Animation</x:v>
      </x:c>
      <x:c r="H166" s="66" t="str">
        <x:v>M2</x:v>
      </x:c>
    </x:row>
    <x:row r="167">
      <x:c r="A167" s="58" t="str">
        <x:v>CAP-HMI-159</x:v>
      </x:c>
      <x:c r="B167" s="58" t="str">
        <x:v>Visual/HMI</x:v>
      </x:c>
      <x:c r="C167" s="58" t="str">
        <x:v>事件/动作</x:v>
      </x:c>
      <x:c r="D167" s="58" t="str">
        <x:v>写变量</x:v>
      </x:c>
      <x:c r="E167" s="58" t="str">
        <x:v>写PLC/内部变量</x:v>
      </x:c>
      <x:c r="F167" s="58" t="str">
        <x:v>Core</x:v>
      </x:c>
      <x:c r="G167" s="58" t="str">
        <x:v>13_Event_Action_Animation</x:v>
      </x:c>
      <x:c r="H167" s="58" t="str">
        <x:v>M2</x:v>
      </x:c>
    </x:row>
    <x:row r="168">
      <x:c r="A168" s="66" t="str">
        <x:v>CAP-HMI-160</x:v>
      </x:c>
      <x:c r="B168" s="66" t="str">
        <x:v>Visual/HMI</x:v>
      </x:c>
      <x:c r="C168" s="66" t="str">
        <x:v>事件/动作</x:v>
      </x:c>
      <x:c r="D168" s="66" t="str">
        <x:v>切换变量</x:v>
      </x:c>
      <x:c r="E168" s="66" t="str">
        <x:v>Bool切换</x:v>
      </x:c>
      <x:c r="F168" s="66" t="str">
        <x:v>Core</x:v>
      </x:c>
      <x:c r="G168" s="66" t="str">
        <x:v>13_Event_Action_Animation</x:v>
      </x:c>
      <x:c r="H168" s="66" t="str">
        <x:v>M2</x:v>
      </x:c>
    </x:row>
    <x:row r="169">
      <x:c r="A169" s="58" t="str">
        <x:v>CAP-HMI-161</x:v>
      </x:c>
      <x:c r="B169" s="58" t="str">
        <x:v>Visual/HMI</x:v>
      </x:c>
      <x:c r="C169" s="58" t="str">
        <x:v>事件/动作</x:v>
      </x:c>
      <x:c r="D169" s="58" t="str">
        <x:v>页面跳转</x:v>
      </x:c>
      <x:c r="E169" s="58" t="str">
        <x:v>打开/替换页面</x:v>
      </x:c>
      <x:c r="F169" s="58" t="str">
        <x:v>Core</x:v>
      </x:c>
      <x:c r="G169" s="58" t="str">
        <x:v>13_Event_Action_Animation</x:v>
      </x:c>
      <x:c r="H169" s="58" t="str">
        <x:v>M2</x:v>
      </x:c>
    </x:row>
    <x:row r="170">
      <x:c r="A170" s="66" t="str">
        <x:v>CAP-HMI-162</x:v>
      </x:c>
      <x:c r="B170" s="66" t="str">
        <x:v>Visual/HMI</x:v>
      </x:c>
      <x:c r="C170" s="66" t="str">
        <x:v>事件/动作</x:v>
      </x:c>
      <x:c r="D170" s="66" t="str">
        <x:v>打开弹窗</x:v>
      </x:c>
      <x:c r="E170" s="66" t="str">
        <x:v>带参数</x:v>
      </x:c>
      <x:c r="F170" s="66" t="str">
        <x:v>Core</x:v>
      </x:c>
      <x:c r="G170" s="66" t="str">
        <x:v>13_Event_Action_Animation</x:v>
      </x:c>
      <x:c r="H170" s="66" t="str">
        <x:v>M2</x:v>
      </x:c>
    </x:row>
    <x:row r="171">
      <x:c r="A171" s="58" t="str">
        <x:v>CAP-HMI-163</x:v>
      </x:c>
      <x:c r="B171" s="58" t="str">
        <x:v>Visual/HMI</x:v>
      </x:c>
      <x:c r="C171" s="58" t="str">
        <x:v>事件/动作</x:v>
      </x:c>
      <x:c r="D171" s="58" t="str">
        <x:v>关闭弹窗</x:v>
      </x:c>
      <x:c r="E171" s="58" t="str">
        <x:v>关闭弹窗</x:v>
      </x:c>
      <x:c r="F171" s="58" t="str">
        <x:v>Core</x:v>
      </x:c>
      <x:c r="G171" s="58" t="str">
        <x:v>13_Event_Action_Animation</x:v>
      </x:c>
      <x:c r="H171" s="58" t="str">
        <x:v>M2</x:v>
      </x:c>
    </x:row>
    <x:row r="172">
      <x:c r="A172" s="66" t="str">
        <x:v>CAP-HMI-164</x:v>
      </x:c>
      <x:c r="B172" s="66" t="str">
        <x:v>Visual/HMI</x:v>
      </x:c>
      <x:c r="C172" s="66" t="str">
        <x:v>事件/动作</x:v>
      </x:c>
      <x:c r="D172" s="66" t="str">
        <x:v>执行命令</x:v>
      </x:c>
      <x:c r="E172" s="66" t="str">
        <x:v>调用受控Command</x:v>
      </x:c>
      <x:c r="F172" s="66" t="str">
        <x:v>Extended</x:v>
      </x:c>
      <x:c r="G172" s="66" t="str">
        <x:v>13_Event_Action_Animation</x:v>
      </x:c>
      <x:c r="H172" s="66" t="str">
        <x:v>M2</x:v>
      </x:c>
    </x:row>
    <x:row r="173">
      <x:c r="A173" s="58" t="str">
        <x:v>CAP-HMI-165</x:v>
      </x:c>
      <x:c r="B173" s="58" t="str">
        <x:v>Visual/HMI</x:v>
      </x:c>
      <x:c r="C173" s="58" t="str">
        <x:v>事件/动作</x:v>
      </x:c>
      <x:c r="D173" s="58" t="str">
        <x:v>确认对话框</x:v>
      </x:c>
      <x:c r="E173" s="58" t="str">
        <x:v>危险操作确认</x:v>
      </x:c>
      <x:c r="F173" s="58" t="str">
        <x:v>Core</x:v>
      </x:c>
      <x:c r="G173" s="58" t="str">
        <x:v>13_Event_Action_Animation</x:v>
      </x:c>
      <x:c r="H173" s="58" t="str">
        <x:v>M2</x:v>
      </x:c>
    </x:row>
    <x:row r="174">
      <x:c r="A174" s="66" t="str">
        <x:v>CAP-HMI-166</x:v>
      </x:c>
      <x:c r="B174" s="66" t="str">
        <x:v>Visual/HMI</x:v>
      </x:c>
      <x:c r="C174" s="66" t="str">
        <x:v>事件/动作</x:v>
      </x:c>
      <x:c r="D174" s="66" t="str">
        <x:v>动作链</x:v>
      </x:c>
      <x:c r="E174" s="66" t="str">
        <x:v>多个Action顺序/条件</x:v>
      </x:c>
      <x:c r="F174" s="66" t="str">
        <x:v>Core</x:v>
      </x:c>
      <x:c r="G174" s="66" t="str">
        <x:v>13_Event_Action_Animation</x:v>
      </x:c>
      <x:c r="H174" s="66" t="str">
        <x:v>M2</x:v>
      </x:c>
    </x:row>
    <x:row r="175">
      <x:c r="A175" s="58" t="str">
        <x:v>CAP-HMI-167</x:v>
      </x:c>
      <x:c r="B175" s="58" t="str">
        <x:v>Visual/HMI</x:v>
      </x:c>
      <x:c r="C175" s="58" t="str">
        <x:v>事件/动作</x:v>
      </x:c>
      <x:c r="D175" s="58" t="str">
        <x:v>脚本扩展点</x:v>
      </x:c>
      <x:c r="E175" s="58" t="str">
        <x:v>后期受控沙箱</x:v>
      </x:c>
      <x:c r="F175" s="58" t="str">
        <x:v>Extended</x:v>
      </x:c>
      <x:c r="G175" s="58" t="str">
        <x:v>13_Event_Action_Animation</x:v>
      </x:c>
      <x:c r="H175" s="58" t="str">
        <x:v>M2</x:v>
      </x:c>
    </x:row>
    <x:row r="176">
      <x:c r="A176" s="66" t="str">
        <x:v>CAP-HMI-168</x:v>
      </x:c>
      <x:c r="B176" s="66" t="str">
        <x:v>Visual/HMI</x:v>
      </x:c>
      <x:c r="C176" s="66" t="str">
        <x:v>动画</x:v>
      </x:c>
      <x:c r="D176" s="66" t="str">
        <x:v>显隐动画</x:v>
      </x:c>
      <x:c r="E176" s="66" t="str">
        <x:v>状态驱动</x:v>
      </x:c>
      <x:c r="F176" s="66" t="str">
        <x:v>Core</x:v>
      </x:c>
      <x:c r="G176" s="66" t="str">
        <x:v>13_Event_Action_Animation</x:v>
      </x:c>
      <x:c r="H176" s="66" t="str">
        <x:v>M2</x:v>
      </x:c>
    </x:row>
    <x:row r="177">
      <x:c r="A177" s="58" t="str">
        <x:v>CAP-HMI-169</x:v>
      </x:c>
      <x:c r="B177" s="58" t="str">
        <x:v>Visual/HMI</x:v>
      </x:c>
      <x:c r="C177" s="58" t="str">
        <x:v>动画</x:v>
      </x:c>
      <x:c r="D177" s="58" t="str">
        <x:v>颜色动画</x:v>
      </x:c>
      <x:c r="E177" s="58" t="str">
        <x:v>状态/阈值</x:v>
      </x:c>
      <x:c r="F177" s="58" t="str">
        <x:v>Core</x:v>
      </x:c>
      <x:c r="G177" s="58" t="str">
        <x:v>13_Event_Action_Animation</x:v>
      </x:c>
      <x:c r="H177" s="58" t="str">
        <x:v>M2</x:v>
      </x:c>
    </x:row>
    <x:row r="178">
      <x:c r="A178" s="66" t="str">
        <x:v>CAP-HMI-170</x:v>
      </x:c>
      <x:c r="B178" s="66" t="str">
        <x:v>Visual/HMI</x:v>
      </x:c>
      <x:c r="C178" s="66" t="str">
        <x:v>动画</x:v>
      </x:c>
      <x:c r="D178" s="66" t="str">
        <x:v>闪烁动画</x:v>
      </x:c>
      <x:c r="E178" s="66" t="str">
        <x:v>报警</x:v>
      </x:c>
      <x:c r="F178" s="66" t="str">
        <x:v>Core</x:v>
      </x:c>
      <x:c r="G178" s="66" t="str">
        <x:v>13_Event_Action_Animation</x:v>
      </x:c>
      <x:c r="H178" s="66" t="str">
        <x:v>M2</x:v>
      </x:c>
    </x:row>
    <x:row r="179">
      <x:c r="A179" s="58" t="str">
        <x:v>CAP-HMI-171</x:v>
      </x:c>
      <x:c r="B179" s="58" t="str">
        <x:v>Visual/HMI</x:v>
      </x:c>
      <x:c r="C179" s="58" t="str">
        <x:v>动画</x:v>
      </x:c>
      <x:c r="D179" s="58" t="str">
        <x:v>旋转动画</x:v>
      </x:c>
      <x:c r="E179" s="58" t="str">
        <x:v>泵/电机/风机</x:v>
      </x:c>
      <x:c r="F179" s="58" t="str">
        <x:v>Core</x:v>
      </x:c>
      <x:c r="G179" s="58" t="str">
        <x:v>13_Event_Action_Animation</x:v>
      </x:c>
      <x:c r="H179" s="58" t="str">
        <x:v>M2</x:v>
      </x:c>
    </x:row>
    <x:row r="180">
      <x:c r="A180" s="66" t="str">
        <x:v>CAP-HMI-172</x:v>
      </x:c>
      <x:c r="B180" s="66" t="str">
        <x:v>Visual/HMI</x:v>
      </x:c>
      <x:c r="C180" s="66" t="str">
        <x:v>动画</x:v>
      </x:c>
      <x:c r="D180" s="66" t="str">
        <x:v>位移动画</x:v>
      </x:c>
      <x:c r="E180" s="66" t="str">
        <x:v>设备/箭头</x:v>
      </x:c>
      <x:c r="F180" s="66" t="str">
        <x:v>Extended</x:v>
      </x:c>
      <x:c r="G180" s="66" t="str">
        <x:v>13_Event_Action_Animation</x:v>
      </x:c>
      <x:c r="H180" s="66" t="str">
        <x:v>M2</x:v>
      </x:c>
    </x:row>
    <x:row r="181">
      <x:c r="A181" s="58" t="str">
        <x:v>CAP-HMI-173</x:v>
      </x:c>
      <x:c r="B181" s="58" t="str">
        <x:v>Visual/HMI</x:v>
      </x:c>
      <x:c r="C181" s="58" t="str">
        <x:v>动画</x:v>
      </x:c>
      <x:c r="D181" s="58" t="str">
        <x:v>缩放动画</x:v>
      </x:c>
      <x:c r="E181" s="58" t="str">
        <x:v>状态强调</x:v>
      </x:c>
      <x:c r="F181" s="58" t="str">
        <x:v>Extended</x:v>
      </x:c>
      <x:c r="G181" s="58" t="str">
        <x:v>13_Event_Action_Animation</x:v>
      </x:c>
      <x:c r="H181" s="58" t="str">
        <x:v>M2</x:v>
      </x:c>
    </x:row>
    <x:row r="182">
      <x:c r="A182" s="66" t="str">
        <x:v>CAP-HMI-174</x:v>
      </x:c>
      <x:c r="B182" s="66" t="str">
        <x:v>Visual/HMI</x:v>
      </x:c>
      <x:c r="C182" s="66" t="str">
        <x:v>动画</x:v>
      </x:c>
      <x:c r="D182" s="66" t="str">
        <x:v>液位动画</x:v>
      </x:c>
      <x:c r="E182" s="66" t="str">
        <x:v>Tank clip/fill</x:v>
      </x:c>
      <x:c r="F182" s="66" t="str">
        <x:v>Core</x:v>
      </x:c>
      <x:c r="G182" s="66" t="str">
        <x:v>13_Event_Action_Animation</x:v>
      </x:c>
      <x:c r="H182" s="66" t="str">
        <x:v>M2</x:v>
      </x:c>
    </x:row>
    <x:row r="183">
      <x:c r="A183" s="58" t="str">
        <x:v>CAP-HMI-175</x:v>
      </x:c>
      <x:c r="B183" s="58" t="str">
        <x:v>Visual/HMI</x:v>
      </x:c>
      <x:c r="C183" s="58" t="str">
        <x:v>动画</x:v>
      </x:c>
      <x:c r="D183" s="58" t="str">
        <x:v>流动动画</x:v>
      </x:c>
      <x:c r="E183" s="58" t="str">
        <x:v>管道DashOffset/粒子</x:v>
      </x:c>
      <x:c r="F183" s="58" t="str">
        <x:v>Core</x:v>
      </x:c>
      <x:c r="G183" s="58" t="str">
        <x:v>13_Event_Action_Animation</x:v>
      </x:c>
      <x:c r="H183" s="58" t="str">
        <x:v>M2</x:v>
      </x:c>
    </x:row>
    <x:row r="184">
      <x:c r="A184" s="66" t="str">
        <x:v>CAP-HMI-176</x:v>
      </x:c>
      <x:c r="B184" s="66" t="str">
        <x:v>Visual/HMI</x:v>
      </x:c>
      <x:c r="C184" s="66" t="str">
        <x:v>动画</x:v>
      </x:c>
      <x:c r="D184" s="66" t="str">
        <x:v>路径动画</x:v>
      </x:c>
      <x:c r="E184" s="66" t="str">
        <x:v>对象沿路径运动</x:v>
      </x:c>
      <x:c r="F184" s="66" t="str">
        <x:v>Extended</x:v>
      </x:c>
      <x:c r="G184" s="66" t="str">
        <x:v>13_Event_Action_Animation</x:v>
      </x:c>
      <x:c r="H184" s="66" t="str">
        <x:v>M2</x:v>
      </x:c>
    </x:row>
    <x:row r="185">
      <x:c r="A185" s="58" t="str">
        <x:v>CAP-HMI-177</x:v>
      </x:c>
      <x:c r="B185" s="58" t="str">
        <x:v>Visual/HMI</x:v>
      </x:c>
      <x:c r="C185" s="58" t="str">
        <x:v>动画</x:v>
      </x:c>
      <x:c r="D185" s="58" t="str">
        <x:v>动画节流</x:v>
      </x:c>
      <x:c r="E185" s="58" t="str">
        <x:v>不可见时停止/降频</x:v>
      </x:c>
      <x:c r="F185" s="58" t="str">
        <x:v>Core</x:v>
      </x:c>
      <x:c r="G185" s="58" t="str">
        <x:v>13_Event_Action_Animation</x:v>
      </x:c>
      <x:c r="H185" s="58" t="str">
        <x:v>M2</x:v>
      </x:c>
    </x:row>
    <x:row r="186">
      <x:c r="A186" s="66" t="str">
        <x:v>CAP-HMI-178</x:v>
      </x:c>
      <x:c r="B186" s="66" t="str">
        <x:v>Visual/HMI</x:v>
      </x:c>
      <x:c r="C186" s="66" t="str">
        <x:v>管道/连接</x:v>
      </x:c>
      <x:c r="D186" s="66" t="str">
        <x:v>连接点</x:v>
      </x:c>
      <x:c r="E186" s="66" t="str">
        <x:v>组件暴露端口</x:v>
      </x:c>
      <x:c r="F186" s="66" t="str">
        <x:v>Core</x:v>
      </x:c>
      <x:c r="G186" s="66" t="str">
        <x:v>03_架构总纲与领域边界</x:v>
      </x:c>
      <x:c r="H186" s="66" t="str">
        <x:v>M2</x:v>
      </x:c>
    </x:row>
    <x:row r="187">
      <x:c r="A187" s="58" t="str">
        <x:v>CAP-HMI-179</x:v>
      </x:c>
      <x:c r="B187" s="58" t="str">
        <x:v>Visual/HMI</x:v>
      </x:c>
      <x:c r="C187" s="58" t="str">
        <x:v>管道/连接</x:v>
      </x:c>
      <x:c r="D187" s="58" t="str">
        <x:v>端口吸附</x:v>
      </x:c>
      <x:c r="E187" s="58" t="str">
        <x:v>管道吸附设备端口</x:v>
      </x:c>
      <x:c r="F187" s="58" t="str">
        <x:v>Core</x:v>
      </x:c>
      <x:c r="G187" s="58" t="str">
        <x:v>03_架构总纲与领域边界</x:v>
      </x:c>
      <x:c r="H187" s="58" t="str">
        <x:v>M2</x:v>
      </x:c>
    </x:row>
    <x:row r="188">
      <x:c r="A188" s="66" t="str">
        <x:v>CAP-HMI-180</x:v>
      </x:c>
      <x:c r="B188" s="66" t="str">
        <x:v>Visual/HMI</x:v>
      </x:c>
      <x:c r="C188" s="66" t="str">
        <x:v>管道/连接</x:v>
      </x:c>
      <x:c r="D188" s="66" t="str">
        <x:v>管道折线编辑</x:v>
      </x:c>
      <x:c r="E188" s="66" t="str">
        <x:v>正交折线</x:v>
      </x:c>
      <x:c r="F188" s="66" t="str">
        <x:v>Core</x:v>
      </x:c>
      <x:c r="G188" s="66" t="str">
        <x:v>03_架构总纲与领域边界</x:v>
      </x:c>
      <x:c r="H188" s="66" t="str">
        <x:v>M2</x:v>
      </x:c>
    </x:row>
    <x:row r="189">
      <x:c r="A189" s="58" t="str">
        <x:v>CAP-HMI-181</x:v>
      </x:c>
      <x:c r="B189" s="58" t="str">
        <x:v>Visual/HMI</x:v>
      </x:c>
      <x:c r="C189" s="58" t="str">
        <x:v>管道/连接</x:v>
      </x:c>
      <x:c r="D189" s="58" t="str">
        <x:v>自动直角转折</x:v>
      </x:c>
      <x:c r="E189" s="58" t="str">
        <x:v>基础自动路由</x:v>
      </x:c>
      <x:c r="F189" s="58" t="str">
        <x:v>Extended</x:v>
      </x:c>
      <x:c r="G189" s="58" t="str">
        <x:v>03_架构总纲与领域边界</x:v>
      </x:c>
      <x:c r="H189" s="58" t="str">
        <x:v>M2</x:v>
      </x:c>
    </x:row>
    <x:row r="190">
      <x:c r="A190" s="66" t="str">
        <x:v>CAP-HMI-182</x:v>
      </x:c>
      <x:c r="B190" s="66" t="str">
        <x:v>Visual/HMI</x:v>
      </x:c>
      <x:c r="C190" s="66" t="str">
        <x:v>管道/连接</x:v>
      </x:c>
      <x:c r="D190" s="66" t="str">
        <x:v>T型/十字连接</x:v>
      </x:c>
      <x:c r="E190" s="66" t="str">
        <x:v>接头模型</x:v>
      </x:c>
      <x:c r="F190" s="66" t="str">
        <x:v>Extended</x:v>
      </x:c>
      <x:c r="G190" s="66" t="str">
        <x:v>03_架构总纲与领域边界</x:v>
      </x:c>
      <x:c r="H190" s="66" t="str">
        <x:v>M2</x:v>
      </x:c>
    </x:row>
    <x:row r="191">
      <x:c r="A191" s="58" t="str">
        <x:v>CAP-HMI-183</x:v>
      </x:c>
      <x:c r="B191" s="58" t="str">
        <x:v>Visual/HMI</x:v>
      </x:c>
      <x:c r="C191" s="58" t="str">
        <x:v>管道/连接</x:v>
      </x:c>
      <x:c r="D191" s="58" t="str">
        <x:v>断链检测</x:v>
      </x:c>
      <x:c r="E191" s="58" t="str">
        <x:v>移动组件后检查</x:v>
      </x:c>
      <x:c r="F191" s="58" t="str">
        <x:v>Core</x:v>
      </x:c>
      <x:c r="G191" s="58" t="str">
        <x:v>03_架构总纲与领域边界</x:v>
      </x:c>
      <x:c r="H191" s="58" t="str">
        <x:v>M2</x:v>
      </x:c>
    </x:row>
    <x:row r="192">
      <x:c r="A192" s="66" t="str">
        <x:v>CAP-HMI-184</x:v>
      </x:c>
      <x:c r="B192" s="66" t="str">
        <x:v>Visual/HMI</x:v>
      </x:c>
      <x:c r="C192" s="66" t="str">
        <x:v>管道/连接</x:v>
      </x:c>
      <x:c r="D192" s="66" t="str">
        <x:v>流向箭头</x:v>
      </x:c>
      <x:c r="E192" s="66" t="str">
        <x:v>方向显示</x:v>
      </x:c>
      <x:c r="F192" s="66" t="str">
        <x:v>Extended</x:v>
      </x:c>
      <x:c r="G192" s="66" t="str">
        <x:v>03_架构总纲与领域边界</x:v>
      </x:c>
      <x:c r="H192" s="66" t="str">
        <x:v>M2</x:v>
      </x:c>
    </x:row>
    <x:row r="193">
      <x:c r="A193" s="58" t="str">
        <x:v>CAP-HMI-185</x:v>
      </x:c>
      <x:c r="B193" s="58" t="str">
        <x:v>Visual/HMI</x:v>
      </x:c>
      <x:c r="C193" s="58" t="str">
        <x:v>管道/连接</x:v>
      </x:c>
      <x:c r="D193" s="58" t="str">
        <x:v>管道状态绑定</x:v>
      </x:c>
      <x:c r="E193" s="58" t="str">
        <x:v>颜色/流动/宽度</x:v>
      </x:c>
      <x:c r="F193" s="58" t="str">
        <x:v>Core</x:v>
      </x:c>
      <x:c r="G193" s="58" t="str">
        <x:v>03_架构总纲与领域边界</x:v>
      </x:c>
      <x:c r="H193" s="58" t="str">
        <x:v>M2</x:v>
      </x:c>
    </x:row>
    <x:row r="194">
      <x:c r="A194" s="66" t="str">
        <x:v>CAP-SCA-001</x:v>
      </x:c>
      <x:c r="B194" s="66" t="str">
        <x:v>SCADA</x:v>
      </x:c>
      <x:c r="C194" s="66" t="str">
        <x:v>数据图表/报警</x:v>
      </x:c>
      <x:c r="D194" s="66" t="str">
        <x:v>实时趋势</x:v>
      </x:c>
      <x:c r="E194" s="66" t="str">
        <x:v>固定窗口实时曲线</x:v>
      </x:c>
      <x:c r="F194" s="66" t="str">
        <x:v>Core</x:v>
      </x:c>
      <x:c r="G194" s="66" t="str">
        <x:v>17_SCADA_ICS</x:v>
      </x:c>
      <x:c r="H194" s="66" t="str">
        <x:v>M2</x:v>
      </x:c>
    </x:row>
    <x:row r="195">
      <x:c r="A195" s="58" t="str">
        <x:v>CAP-SCA-002</x:v>
      </x:c>
      <x:c r="B195" s="58" t="str">
        <x:v>SCADA</x:v>
      </x:c>
      <x:c r="C195" s="58" t="str">
        <x:v>数据图表/报警</x:v>
      </x:c>
      <x:c r="D195" s="58" t="str">
        <x:v>历史趋势</x:v>
      </x:c>
      <x:c r="E195" s="58" t="str">
        <x:v>时间范围查询</x:v>
      </x:c>
      <x:c r="F195" s="58" t="str">
        <x:v>Core</x:v>
      </x:c>
      <x:c r="G195" s="58" t="str">
        <x:v>17_SCADA_ICS</x:v>
      </x:c>
      <x:c r="H195" s="58" t="str">
        <x:v>M2</x:v>
      </x:c>
    </x:row>
    <x:row r="196">
      <x:c r="A196" s="66" t="str">
        <x:v>CAP-SCA-003</x:v>
      </x:c>
      <x:c r="B196" s="66" t="str">
        <x:v>SCADA</x:v>
      </x:c>
      <x:c r="C196" s="66" t="str">
        <x:v>数据图表/报警</x:v>
      </x:c>
      <x:c r="D196" s="66" t="str">
        <x:v>多序列</x:v>
      </x:c>
      <x:c r="E196" s="66" t="str">
        <x:v>多Tag曲线</x:v>
      </x:c>
      <x:c r="F196" s="66" t="str">
        <x:v>Core</x:v>
      </x:c>
      <x:c r="G196" s="66" t="str">
        <x:v>17_SCADA_ICS</x:v>
      </x:c>
      <x:c r="H196" s="66" t="str">
        <x:v>M2</x:v>
      </x:c>
    </x:row>
    <x:row r="197">
      <x:c r="A197" s="58" t="str">
        <x:v>CAP-SCA-004</x:v>
      </x:c>
      <x:c r="B197" s="58" t="str">
        <x:v>SCADA</x:v>
      </x:c>
      <x:c r="C197" s="58" t="str">
        <x:v>数据图表/报警</x:v>
      </x:c>
      <x:c r="D197" s="58" t="str">
        <x:v>坐标轴配置</x:v>
      </x:c>
      <x:c r="E197" s="58" t="str">
        <x:v>范围/单位/时间轴</x:v>
      </x:c>
      <x:c r="F197" s="58" t="str">
        <x:v>Core</x:v>
      </x:c>
      <x:c r="G197" s="58" t="str">
        <x:v>17_SCADA_ICS</x:v>
      </x:c>
      <x:c r="H197" s="58" t="str">
        <x:v>M2</x:v>
      </x:c>
    </x:row>
    <x:row r="198">
      <x:c r="A198" s="66" t="str">
        <x:v>CAP-SCA-005</x:v>
      </x:c>
      <x:c r="B198" s="66" t="str">
        <x:v>SCADA</x:v>
      </x:c>
      <x:c r="C198" s="66" t="str">
        <x:v>数据图表/报警</x:v>
      </x:c>
      <x:c r="D198" s="66" t="str">
        <x:v>图例</x:v>
      </x:c>
      <x:c r="E198" s="66" t="str">
        <x:v>显示/隐藏系列</x:v>
      </x:c>
      <x:c r="F198" s="66" t="str">
        <x:v>Extended</x:v>
      </x:c>
      <x:c r="G198" s="66" t="str">
        <x:v>17_SCADA_ICS</x:v>
      </x:c>
      <x:c r="H198" s="66" t="str">
        <x:v>M2</x:v>
      </x:c>
    </x:row>
    <x:row r="199">
      <x:c r="A199" s="58" t="str">
        <x:v>CAP-SCA-006</x:v>
      </x:c>
      <x:c r="B199" s="58" t="str">
        <x:v>SCADA</x:v>
      </x:c>
      <x:c r="C199" s="58" t="str">
        <x:v>数据图表/报警</x:v>
      </x:c>
      <x:c r="D199" s="58" t="str">
        <x:v>游标/数据提示</x:v>
      </x:c>
      <x:c r="E199" s="58" t="str">
        <x:v>查看点值</x:v>
      </x:c>
      <x:c r="F199" s="58" t="str">
        <x:v>Extended</x:v>
      </x:c>
      <x:c r="G199" s="58" t="str">
        <x:v>17_SCADA_ICS</x:v>
      </x:c>
      <x:c r="H199" s="58" t="str">
        <x:v>M2</x:v>
      </x:c>
    </x:row>
    <x:row r="200">
      <x:c r="A200" s="66" t="str">
        <x:v>CAP-SCA-007</x:v>
      </x:c>
      <x:c r="B200" s="66" t="str">
        <x:v>SCADA</x:v>
      </x:c>
      <x:c r="C200" s="66" t="str">
        <x:v>数据图表/报警</x:v>
      </x:c>
      <x:c r="D200" s="66" t="str">
        <x:v>缩放/平移图表</x:v>
      </x:c>
      <x:c r="E200" s="66" t="str">
        <x:v>运行态交互</x:v>
      </x:c>
      <x:c r="F200" s="66" t="str">
        <x:v>Extended</x:v>
      </x:c>
      <x:c r="G200" s="66" t="str">
        <x:v>17_SCADA_ICS</x:v>
      </x:c>
      <x:c r="H200" s="66" t="str">
        <x:v>M2</x:v>
      </x:c>
    </x:row>
    <x:row r="201">
      <x:c r="A201" s="58" t="str">
        <x:v>CAP-SCA-008</x:v>
      </x:c>
      <x:c r="B201" s="58" t="str">
        <x:v>SCADA</x:v>
      </x:c>
      <x:c r="C201" s="58" t="str">
        <x:v>数据图表/报警</x:v>
      </x:c>
      <x:c r="D201" s="58" t="str">
        <x:v>数据降采样</x:v>
      </x:c>
      <x:c r="E201" s="58" t="str">
        <x:v>大数据抽样</x:v>
      </x:c>
      <x:c r="F201" s="58" t="str">
        <x:v>Core</x:v>
      </x:c>
      <x:c r="G201" s="58" t="str">
        <x:v>17_SCADA_ICS</x:v>
      </x:c>
      <x:c r="H201" s="58" t="str">
        <x:v>M2</x:v>
      </x:c>
    </x:row>
    <x:row r="202">
      <x:c r="A202" s="66" t="str">
        <x:v>CAP-SCA-009</x:v>
      </x:c>
      <x:c r="B202" s="66" t="str">
        <x:v>SCADA</x:v>
      </x:c>
      <x:c r="C202" s="66" t="str">
        <x:v>数据图表/报警</x:v>
      </x:c>
      <x:c r="D202" s="66" t="str">
        <x:v>报警状态</x:v>
      </x:c>
      <x:c r="E202" s="66" t="str">
        <x:v>当前报警列表</x:v>
      </x:c>
      <x:c r="F202" s="66" t="str">
        <x:v>Extended</x:v>
      </x:c>
      <x:c r="G202" s="66" t="str">
        <x:v>17_SCADA_ICS</x:v>
      </x:c>
      <x:c r="H202" s="66" t="str">
        <x:v>M2</x:v>
      </x:c>
    </x:row>
    <x:row r="203">
      <x:c r="A203" s="58" t="str">
        <x:v>CAP-SCA-010</x:v>
      </x:c>
      <x:c r="B203" s="58" t="str">
        <x:v>SCADA</x:v>
      </x:c>
      <x:c r="C203" s="58" t="str">
        <x:v>数据图表/报警</x:v>
      </x:c>
      <x:c r="D203" s="58" t="str">
        <x:v>报警确认</x:v>
      </x:c>
      <x:c r="E203" s="58" t="str">
        <x:v>权限控制</x:v>
      </x:c>
      <x:c r="F203" s="58" t="str">
        <x:v>Extended</x:v>
      </x:c>
      <x:c r="G203" s="58" t="str">
        <x:v>17_SCADA_ICS</x:v>
      </x:c>
      <x:c r="H203" s="58" t="str">
        <x:v>M2</x:v>
      </x:c>
    </x:row>
    <x:row r="204">
      <x:c r="A204" s="66" t="str">
        <x:v>CAP-SCA-011</x:v>
      </x:c>
      <x:c r="B204" s="66" t="str">
        <x:v>SCADA</x:v>
      </x:c>
      <x:c r="C204" s="66" t="str">
        <x:v>数据图表/报警</x:v>
      </x:c>
      <x:c r="D204" s="66" t="str">
        <x:v>报警历史</x:v>
      </x:c>
      <x:c r="E204" s="66" t="str">
        <x:v>历史查询</x:v>
      </x:c>
      <x:c r="F204" s="66" t="str">
        <x:v>Extended</x:v>
      </x:c>
      <x:c r="G204" s="66" t="str">
        <x:v>17_SCADA_ICS</x:v>
      </x:c>
      <x:c r="H204" s="66" t="str">
        <x:v>M2</x:v>
      </x:c>
    </x:row>
    <x:row r="205">
      <x:c r="A205" s="58" t="str">
        <x:v>CAP-SCA-012</x:v>
      </x:c>
      <x:c r="B205" s="58" t="str">
        <x:v>SCADA</x:v>
      </x:c>
      <x:c r="C205" s="58" t="str">
        <x:v>数据图表/报警</x:v>
      </x:c>
      <x:c r="D205" s="58" t="str">
        <x:v>历史数据表</x:v>
      </x:c>
      <x:c r="E205" s="58" t="str">
        <x:v>分页/虚拟化</x:v>
      </x:c>
      <x:c r="F205" s="58" t="str">
        <x:v>Extended</x:v>
      </x:c>
      <x:c r="G205" s="58" t="str">
        <x:v>17_SCADA_ICS</x:v>
      </x:c>
      <x:c r="H205" s="58" t="str">
        <x:v>M2</x:v>
      </x:c>
    </x:row>
    <x:row r="206">
      <x:c r="A206" s="66" t="str">
        <x:v>CAP-HMI-186</x:v>
      </x:c>
      <x:c r="B206" s="66" t="str">
        <x:v>Visual/HMI</x:v>
      </x:c>
      <x:c r="C206" s="66" t="str">
        <x:v>运行时/导航</x:v>
      </x:c>
      <x:c r="D206" s="66" t="str">
        <x:v>编辑/运行切换</x:v>
      </x:c>
      <x:c r="E206" s="66" t="str">
        <x:v>同页快速切换</x:v>
      </x:c>
      <x:c r="F206" s="66" t="str">
        <x:v>Core</x:v>
      </x:c>
      <x:c r="G206" s="66" t="str">
        <x:v>18_RuntimeHost与Domain宿主</x:v>
      </x:c>
      <x:c r="H206" s="66" t="str">
        <x:v>M2</x:v>
      </x:c>
    </x:row>
    <x:row r="207">
      <x:c r="A207" s="58" t="str">
        <x:v>CAP-HMI-187</x:v>
      </x:c>
      <x:c r="B207" s="58" t="str">
        <x:v>Visual/HMI</x:v>
      </x:c>
      <x:c r="C207" s="58" t="str">
        <x:v>运行时/导航</x:v>
      </x:c>
      <x:c r="D207" s="58" t="str">
        <x:v>独立Runtime</x:v>
      </x:c>
      <x:c r="E207" s="58" t="str">
        <x:v>脱离Designer运行</x:v>
      </x:c>
      <x:c r="F207" s="58" t="str">
        <x:v>Core</x:v>
      </x:c>
      <x:c r="G207" s="58" t="str">
        <x:v>18_RuntimeHost与Domain宿主</x:v>
      </x:c>
      <x:c r="H207" s="58" t="str">
        <x:v>M2</x:v>
      </x:c>
    </x:row>
    <x:row r="208">
      <x:c r="A208" s="66" t="str">
        <x:v>CAP-HMI-188</x:v>
      </x:c>
      <x:c r="B208" s="66" t="str">
        <x:v>Visual/HMI</x:v>
      </x:c>
      <x:c r="C208" s="66" t="str">
        <x:v>运行时/导航</x:v>
      </x:c>
      <x:c r="D208" s="66" t="str">
        <x:v>启动页</x:v>
      </x:c>
      <x:c r="E208" s="66" t="str">
        <x:v>项目入口</x:v>
      </x:c>
      <x:c r="F208" s="66" t="str">
        <x:v>Core</x:v>
      </x:c>
      <x:c r="G208" s="66" t="str">
        <x:v>18_RuntimeHost与Domain宿主</x:v>
      </x:c>
      <x:c r="H208" s="66" t="str">
        <x:v>M2</x:v>
      </x:c>
    </x:row>
    <x:row r="209">
      <x:c r="A209" s="58" t="str">
        <x:v>CAP-HMI-189</x:v>
      </x:c>
      <x:c r="B209" s="58" t="str">
        <x:v>Visual/HMI</x:v>
      </x:c>
      <x:c r="C209" s="58" t="str">
        <x:v>运行时/导航</x:v>
      </x:c>
      <x:c r="D209" s="58" t="str">
        <x:v>页面导航</x:v>
      </x:c>
      <x:c r="E209" s="58" t="str">
        <x:v>参数传递</x:v>
      </x:c>
      <x:c r="F209" s="58" t="str">
        <x:v>Core</x:v>
      </x:c>
      <x:c r="G209" s="58" t="str">
        <x:v>18_RuntimeHost与Domain宿主</x:v>
      </x:c>
      <x:c r="H209" s="58" t="str">
        <x:v>M2</x:v>
      </x:c>
    </x:row>
    <x:row r="210">
      <x:c r="A210" s="66" t="str">
        <x:v>CAP-HMI-190</x:v>
      </x:c>
      <x:c r="B210" s="66" t="str">
        <x:v>Visual/HMI</x:v>
      </x:c>
      <x:c r="C210" s="66" t="str">
        <x:v>运行时/导航</x:v>
      </x:c>
      <x:c r="D210" s="66" t="str">
        <x:v>返回/前进</x:v>
      </x:c>
      <x:c r="E210" s="66" t="str">
        <x:v>导航栈</x:v>
      </x:c>
      <x:c r="F210" s="66" t="str">
        <x:v>Extended</x:v>
      </x:c>
      <x:c r="G210" s="66" t="str">
        <x:v>18_RuntimeHost与Domain宿主</x:v>
      </x:c>
      <x:c r="H210" s="66" t="str">
        <x:v>M2</x:v>
      </x:c>
    </x:row>
    <x:row r="211">
      <x:c r="A211" s="58" t="str">
        <x:v>CAP-HMI-191</x:v>
      </x:c>
      <x:c r="B211" s="58" t="str">
        <x:v>Visual/HMI</x:v>
      </x:c>
      <x:c r="C211" s="58" t="str">
        <x:v>运行时/导航</x:v>
      </x:c>
      <x:c r="D211" s="58" t="str">
        <x:v>弹窗</x:v>
      </x:c>
      <x:c r="E211" s="58" t="str">
        <x:v>Modal/NonModal</x:v>
      </x:c>
      <x:c r="F211" s="58" t="str">
        <x:v>Core</x:v>
      </x:c>
      <x:c r="G211" s="58" t="str">
        <x:v>18_RuntimeHost与Domain宿主</x:v>
      </x:c>
      <x:c r="H211" s="58" t="str">
        <x:v>M2</x:v>
      </x:c>
    </x:row>
    <x:row r="212">
      <x:c r="A212" s="66" t="str">
        <x:v>CAP-HMI-192</x:v>
      </x:c>
      <x:c r="B212" s="66" t="str">
        <x:v>Visual/HMI</x:v>
      </x:c>
      <x:c r="C212" s="66" t="str">
        <x:v>运行时/导航</x:v>
      </x:c>
      <x:c r="D212" s="66" t="str">
        <x:v>Overlay</x:v>
      </x:c>
      <x:c r="E212" s="66" t="str">
        <x:v>遮罩层</x:v>
      </x:c>
      <x:c r="F212" s="66" t="str">
        <x:v>Core</x:v>
      </x:c>
      <x:c r="G212" s="66" t="str">
        <x:v>18_RuntimeHost与Domain宿主</x:v>
      </x:c>
      <x:c r="H212" s="66" t="str">
        <x:v>M2</x:v>
      </x:c>
    </x:row>
    <x:row r="213">
      <x:c r="A213" s="58" t="str">
        <x:v>CAP-HMI-193</x:v>
      </x:c>
      <x:c r="B213" s="58" t="str">
        <x:v>Visual/HMI</x:v>
      </x:c>
      <x:c r="C213" s="58" t="str">
        <x:v>运行时/导航</x:v>
      </x:c>
      <x:c r="D213" s="58" t="str">
        <x:v>全屏</x:v>
      </x:c>
      <x:c r="E213" s="58" t="str">
        <x:v>大屏运行</x:v>
      </x:c>
      <x:c r="F213" s="58" t="str">
        <x:v>Extended</x:v>
      </x:c>
      <x:c r="G213" s="58" t="str">
        <x:v>18_RuntimeHost与Domain宿主</x:v>
      </x:c>
      <x:c r="H213" s="58" t="str">
        <x:v>M2</x:v>
      </x:c>
    </x:row>
    <x:row r="214">
      <x:c r="A214" s="66" t="str">
        <x:v>CAP-HMI-194</x:v>
      </x:c>
      <x:c r="B214" s="66" t="str">
        <x:v>Visual/HMI</x:v>
      </x:c>
      <x:c r="C214" s="66" t="str">
        <x:v>运行时/导航</x:v>
      </x:c>
      <x:c r="D214" s="66" t="str">
        <x:v>运行权限</x:v>
      </x:c>
      <x:c r="E214" s="66" t="str">
        <x:v>控件/动作权限</x:v>
      </x:c>
      <x:c r="F214" s="66" t="str">
        <x:v>Extended</x:v>
      </x:c>
      <x:c r="G214" s="66" t="str">
        <x:v>18_RuntimeHost与Domain宿主</x:v>
      </x:c>
      <x:c r="H214" s="66" t="str">
        <x:v>M2</x:v>
      </x:c>
    </x:row>
    <x:row r="215">
      <x:c r="A215" s="58" t="str">
        <x:v>CAP-HMI-195</x:v>
      </x:c>
      <x:c r="B215" s="58" t="str">
        <x:v>Visual/HMI</x:v>
      </x:c>
      <x:c r="C215" s="58" t="str">
        <x:v>运行时/导航</x:v>
      </x:c>
      <x:c r="D215" s="58" t="str">
        <x:v>会话变量</x:v>
      </x:c>
      <x:c r="E215" s="58" t="str">
        <x:v>会话内变量</x:v>
      </x:c>
      <x:c r="F215" s="58" t="str">
        <x:v>Extended</x:v>
      </x:c>
      <x:c r="G215" s="58" t="str">
        <x:v>18_RuntimeHost与Domain宿主</x:v>
      </x:c>
      <x:c r="H215" s="58" t="str">
        <x:v>M2</x:v>
      </x:c>
    </x:row>
    <x:row r="216">
      <x:c r="A216" s="66" t="str">
        <x:v>CAP-HMI-196</x:v>
      </x:c>
      <x:c r="B216" s="66" t="str">
        <x:v>Visual/HMI</x:v>
      </x:c>
      <x:c r="C216" s="66" t="str">
        <x:v>运行时/导航</x:v>
      </x:c>
      <x:c r="D216" s="66" t="str">
        <x:v>断线策略</x:v>
      </x:c>
      <x:c r="E216" s="66" t="str">
        <x:v>PLC断线/质量异常</x:v>
      </x:c>
      <x:c r="F216" s="66" t="str">
        <x:v>Core</x:v>
      </x:c>
      <x:c r="G216" s="66" t="str">
        <x:v>18_RuntimeHost与Domain宿主</x:v>
      </x:c>
      <x:c r="H216" s="66" t="str">
        <x:v>M2</x:v>
      </x:c>
    </x:row>
    <x:row r="217">
      <x:c r="A217" s="58" t="str">
        <x:v>CAP-HMI-197</x:v>
      </x:c>
      <x:c r="B217" s="58" t="str">
        <x:v>Visual/HMI</x:v>
      </x:c>
      <x:c r="C217" s="58" t="str">
        <x:v>运行时/导航</x:v>
      </x:c>
      <x:c r="D217" s="58" t="str">
        <x:v>运行日志</x:v>
      </x:c>
      <x:c r="E217" s="58" t="str">
        <x:v>动作/异常/绑定错误</x:v>
      </x:c>
      <x:c r="F217" s="58" t="str">
        <x:v>Core</x:v>
      </x:c>
      <x:c r="G217" s="58" t="str">
        <x:v>18_RuntimeHost与Domain宿主</x:v>
      </x:c>
      <x:c r="H217" s="58" t="str">
        <x:v>M2</x:v>
      </x:c>
    </x:row>
    <x:row r="218">
      <x:c r="A218" s="66" t="str">
        <x:v>CAP-HMI-198</x:v>
      </x:c>
      <x:c r="B218" s="66" t="str">
        <x:v>Visual/HMI</x:v>
      </x:c>
      <x:c r="C218" s="66" t="str">
        <x:v>布局适配/主题</x:v>
      </x:c>
      <x:c r="D218" s="66" t="str">
        <x:v>Fixed坐标模式</x:v>
      </x:c>
      <x:c r="E218" s="66" t="str">
        <x:v>固定坐标</x:v>
      </x:c>
      <x:c r="F218" s="66" t="str">
        <x:v>Core</x:v>
      </x:c>
      <x:c r="G218" s="66" t="str">
        <x:v>15_SVG资源样式主题</x:v>
      </x:c>
      <x:c r="H218" s="66" t="str">
        <x:v>M2</x:v>
      </x:c>
    </x:row>
    <x:row r="219">
      <x:c r="A219" s="58" t="str">
        <x:v>CAP-HMI-199</x:v>
      </x:c>
      <x:c r="B219" s="58" t="str">
        <x:v>Visual/HMI</x:v>
      </x:c>
      <x:c r="C219" s="58" t="str">
        <x:v>布局适配/主题</x:v>
      </x:c>
      <x:c r="D219" s="58" t="str">
        <x:v>Uniform等比缩放</x:v>
      </x:c>
      <x:c r="E219" s="58" t="str">
        <x:v>整体等比适配</x:v>
      </x:c>
      <x:c r="F219" s="58" t="str">
        <x:v>Core</x:v>
      </x:c>
      <x:c r="G219" s="58" t="str">
        <x:v>15_SVG资源样式主题</x:v>
      </x:c>
      <x:c r="H219" s="58" t="str">
        <x:v>M2</x:v>
      </x:c>
    </x:row>
    <x:row r="220">
      <x:c r="A220" s="66" t="str">
        <x:v>CAP-HMI-200</x:v>
      </x:c>
      <x:c r="B220" s="66" t="str">
        <x:v>Visual/HMI</x:v>
      </x:c>
      <x:c r="C220" s="66" t="str">
        <x:v>布局适配/主题</x:v>
      </x:c>
      <x:c r="D220" s="66" t="str">
        <x:v>Percent布局</x:v>
      </x:c>
      <x:c r="E220" s="66" t="str">
        <x:v>相对坐标</x:v>
      </x:c>
      <x:c r="F220" s="66" t="str">
        <x:v>Extended</x:v>
      </x:c>
      <x:c r="G220" s="66" t="str">
        <x:v>15_SVG资源样式主题</x:v>
      </x:c>
      <x:c r="H220" s="66" t="str">
        <x:v>M2</x:v>
      </x:c>
    </x:row>
    <x:row r="221">
      <x:c r="A221" s="58" t="str">
        <x:v>CAP-HMI-201</x:v>
      </x:c>
      <x:c r="B221" s="58" t="str">
        <x:v>Visual/HMI</x:v>
      </x:c>
      <x:c r="C221" s="58" t="str">
        <x:v>布局适配/主题</x:v>
      </x:c>
      <x:c r="D221" s="58" t="str">
        <x:v>Grid布局</x:v>
      </x:c>
      <x:c r="E221" s="58" t="str">
        <x:v>标准UI区域</x:v>
      </x:c>
      <x:c r="F221" s="58" t="str">
        <x:v>Extended</x:v>
      </x:c>
      <x:c r="G221" s="58" t="str">
        <x:v>15_SVG资源样式主题</x:v>
      </x:c>
      <x:c r="H221" s="58" t="str">
        <x:v>M2</x:v>
      </x:c>
    </x:row>
    <x:row r="222">
      <x:c r="A222" s="66" t="str">
        <x:v>CAP-HMI-202</x:v>
      </x:c>
      <x:c r="B222" s="66" t="str">
        <x:v>Visual/HMI</x:v>
      </x:c>
      <x:c r="C222" s="66" t="str">
        <x:v>布局适配/主题</x:v>
      </x:c>
      <x:c r="D222" s="66" t="str">
        <x:v>Stack/Flex式布局</x:v>
      </x:c>
      <x:c r="E222" s="66" t="str">
        <x:v>响应式区域</x:v>
      </x:c>
      <x:c r="F222" s="66" t="str">
        <x:v>Extended</x:v>
      </x:c>
      <x:c r="G222" s="66" t="str">
        <x:v>15_SVG资源样式主题</x:v>
      </x:c>
      <x:c r="H222" s="66" t="str">
        <x:v>M2</x:v>
      </x:c>
    </x:row>
    <x:row r="223">
      <x:c r="A223" s="58" t="str">
        <x:v>CAP-HMI-203</x:v>
      </x:c>
      <x:c r="B223" s="58" t="str">
        <x:v>Visual/HMI</x:v>
      </x:c>
      <x:c r="C223" s="58" t="str">
        <x:v>布局适配/主题</x:v>
      </x:c>
      <x:c r="D223" s="58" t="str">
        <x:v>Breakpoint布局</x:v>
      </x:c>
      <x:c r="E223" s="58" t="str">
        <x:v>宽度切换</x:v>
      </x:c>
      <x:c r="F223" s="58" t="str">
        <x:v>Extended</x:v>
      </x:c>
      <x:c r="G223" s="58" t="str">
        <x:v>15_SVG资源样式主题</x:v>
      </x:c>
      <x:c r="H223" s="58" t="str">
        <x:v>M2</x:v>
      </x:c>
    </x:row>
    <x:row r="224" ht="28" customHeight="1">
      <x:c r="A224" s="50" t="str">
        <x:v>CAP-HMI-204</x:v>
      </x:c>
      <x:c r="B224" s="50" t="str">
        <x:v>Visual/HMI</x:v>
      </x:c>
      <x:c r="C224" s="50" t="str">
        <x:v>布局适配/主题</x:v>
      </x:c>
      <x:c r="D224" s="50" t="str">
        <x:v>主题</x:v>
      </x:c>
      <x:c r="E224" s="50" t="str">
        <x:v>Light/Dark/工业主题</x:v>
      </x:c>
      <x:c r="F224" s="50" t="str">
        <x:v>Extended</x:v>
      </x:c>
      <x:c r="G224" s="50" t="str">
        <x:v>15_SVG资源样式主题</x:v>
      </x:c>
      <x:c r="H224" s="50" t="str">
        <x:v>M2</x:v>
      </x:c>
    </x:row>
    <x:row r="225">
      <x:c r="A225" s="66" t="str">
        <x:v>CAP-HMI-205</x:v>
      </x:c>
      <x:c r="B225" s="66" t="str">
        <x:v>Visual/HMI</x:v>
      </x:c>
      <x:c r="C225" s="66" t="str">
        <x:v>布局适配/主题</x:v>
      </x:c>
      <x:c r="D225" s="66" t="str">
        <x:v>样式类</x:v>
      </x:c>
      <x:c r="E225" s="66" t="str">
        <x:v>全局统一外观</x:v>
      </x:c>
      <x:c r="F225" s="66" t="str">
        <x:v>Extended</x:v>
      </x:c>
      <x:c r="G225" s="66" t="str">
        <x:v>15_SVG资源样式主题</x:v>
      </x:c>
      <x:c r="H225" s="66" t="str">
        <x:v>M2</x:v>
      </x:c>
    </x:row>
    <x:row r="226">
      <x:c r="A226" s="58" t="str">
        <x:v>CAP-HMI-206</x:v>
      </x:c>
      <x:c r="B226" s="58" t="str">
        <x:v>Visual/HMI</x:v>
      </x:c>
      <x:c r="C226" s="58" t="str">
        <x:v>布局适配/主题</x:v>
      </x:c>
      <x:c r="D226" s="58" t="str">
        <x:v>全局资源</x:v>
      </x:c>
      <x:c r="E226" s="58" t="str">
        <x:v>Brush/Font/Style</x:v>
      </x:c>
      <x:c r="F226" s="58" t="str">
        <x:v>Extended</x:v>
      </x:c>
      <x:c r="G226" s="58" t="str">
        <x:v>15_SVG资源样式主题</x:v>
      </x:c>
      <x:c r="H226" s="58" t="str">
        <x:v>M2</x:v>
      </x:c>
    </x:row>
    <x:row r="227">
      <x:c r="A227" s="66" t="str">
        <x:v>CAP-HMI-207</x:v>
      </x:c>
      <x:c r="B227" s="66" t="str">
        <x:v>Visual/HMI</x:v>
      </x:c>
      <x:c r="C227" s="66" t="str">
        <x:v>资源/SVG</x:v>
      </x:c>
      <x:c r="D227" s="66" t="str">
        <x:v>资源管理器</x:v>
      </x:c>
      <x:c r="E227" s="66" t="str">
        <x:v>Image/SVG/Icon统一资源</x:v>
      </x:c>
      <x:c r="F227" s="66" t="str">
        <x:v>Core</x:v>
      </x:c>
      <x:c r="G227" s="66" t="str">
        <x:v>15_SVG资源样式主题</x:v>
      </x:c>
      <x:c r="H227" s="66" t="str">
        <x:v>M2</x:v>
      </x:c>
    </x:row>
    <x:row r="228">
      <x:c r="A228" s="58" t="str">
        <x:v>CAP-HMI-208</x:v>
      </x:c>
      <x:c r="B228" s="58" t="str">
        <x:v>Visual/HMI</x:v>
      </x:c>
      <x:c r="C228" s="58" t="str">
        <x:v>资源/SVG</x:v>
      </x:c>
      <x:c r="D228" s="58" t="str">
        <x:v>资源ID引用</x:v>
      </x:c>
      <x:c r="E228" s="58" t="str">
        <x:v>禁止绝对路径</x:v>
      </x:c>
      <x:c r="F228" s="58" t="str">
        <x:v>Core</x:v>
      </x:c>
      <x:c r="G228" s="58" t="str">
        <x:v>15_SVG资源样式主题</x:v>
      </x:c>
      <x:c r="H228" s="58" t="str">
        <x:v>M2</x:v>
      </x:c>
    </x:row>
    <x:row r="229">
      <x:c r="A229" s="66" t="str">
        <x:v>CAP-HMI-209</x:v>
      </x:c>
      <x:c r="B229" s="66" t="str">
        <x:v>Visual/HMI</x:v>
      </x:c>
      <x:c r="C229" s="66" t="str">
        <x:v>资源/SVG</x:v>
      </x:c>
      <x:c r="D229" s="66" t="str">
        <x:v>Hash去重</x:v>
      </x:c>
      <x:c r="E229" s="66" t="str">
        <x:v>SHA256去重</x:v>
      </x:c>
      <x:c r="F229" s="66" t="str">
        <x:v>Extended</x:v>
      </x:c>
      <x:c r="G229" s="66" t="str">
        <x:v>15_SVG资源样式主题</x:v>
      </x:c>
      <x:c r="H229" s="66" t="str">
        <x:v>M2</x:v>
      </x:c>
    </x:row>
    <x:row r="230">
      <x:c r="A230" s="58" t="str">
        <x:v>CAP-HMI-210</x:v>
      </x:c>
      <x:c r="B230" s="58" t="str">
        <x:v>Visual/HMI</x:v>
      </x:c>
      <x:c r="C230" s="58" t="str">
        <x:v>资源/SVG</x:v>
      </x:c>
      <x:c r="D230" s="58" t="str">
        <x:v>SVG导入</x:v>
      </x:c>
      <x:c r="E230" s="58" t="str">
        <x:v>SharpVectors解析/转换</x:v>
      </x:c>
      <x:c r="F230" s="58" t="str">
        <x:v>Core</x:v>
      </x:c>
      <x:c r="G230" s="58" t="str">
        <x:v>15_SVG资源样式主题</x:v>
      </x:c>
      <x:c r="H230" s="58" t="str">
        <x:v>M2</x:v>
      </x:c>
    </x:row>
    <x:row r="231">
      <x:c r="A231" s="66" t="str">
        <x:v>CAP-HMI-211</x:v>
      </x:c>
      <x:c r="B231" s="66" t="str">
        <x:v>Visual/HMI</x:v>
      </x:c>
      <x:c r="C231" s="66" t="str">
        <x:v>资源/SVG</x:v>
      </x:c>
      <x:c r="D231" s="66" t="str">
        <x:v>SVG导出</x:v>
      </x:c>
      <x:c r="E231" s="66" t="str">
        <x:v>基础Shape/Path导出</x:v>
      </x:c>
      <x:c r="F231" s="66" t="str">
        <x:v>Core</x:v>
      </x:c>
      <x:c r="G231" s="66" t="str">
        <x:v>15_SVG资源样式主题</x:v>
      </x:c>
      <x:c r="H231" s="66" t="str">
        <x:v>M2</x:v>
      </x:c>
    </x:row>
    <x:row r="232">
      <x:c r="A232" s="58" t="str">
        <x:v>CAP-HMI-212</x:v>
      </x:c>
      <x:c r="B232" s="58" t="str">
        <x:v>Visual/HMI</x:v>
      </x:c>
      <x:c r="C232" s="58" t="str">
        <x:v>资源/SVG</x:v>
      </x:c>
      <x:c r="D232" s="58" t="str">
        <x:v>SVG Path兼容</x:v>
      </x:c>
      <x:c r="E232" s="58" t="str">
        <x:v>M/L/H/V/C/S/Q/T/A/Z</x:v>
      </x:c>
      <x:c r="F232" s="58" t="str">
        <x:v>Core</x:v>
      </x:c>
      <x:c r="G232" s="58" t="str">
        <x:v>15_SVG资源样式主题</x:v>
      </x:c>
      <x:c r="H232" s="58" t="str">
        <x:v>M2</x:v>
      </x:c>
    </x:row>
    <x:row r="233">
      <x:c r="A233" s="66" t="str">
        <x:v>CAP-HMI-213</x:v>
      </x:c>
      <x:c r="B233" s="66" t="str">
        <x:v>Visual/HMI</x:v>
      </x:c>
      <x:c r="C233" s="66" t="str">
        <x:v>资源/SVG</x:v>
      </x:c>
      <x:c r="D233" s="66" t="str">
        <x:v>SVG Transform兼容</x:v>
      </x:c>
      <x:c r="E233" s="66" t="str">
        <x:v>translate/rotate/scale/skew/matrix</x:v>
      </x:c>
      <x:c r="F233" s="66" t="str">
        <x:v>Core</x:v>
      </x:c>
      <x:c r="G233" s="66" t="str">
        <x:v>15_SVG资源样式主题</x:v>
      </x:c>
      <x:c r="H233" s="66" t="str">
        <x:v>M2</x:v>
      </x:c>
    </x:row>
    <x:row r="234">
      <x:c r="A234" s="58" t="str">
        <x:v>CAP-HMI-214</x:v>
      </x:c>
      <x:c r="B234" s="58" t="str">
        <x:v>Visual/HMI</x:v>
      </x:c>
      <x:c r="C234" s="58" t="str">
        <x:v>资源/SVG</x:v>
      </x:c>
      <x:c r="D234" s="58" t="str">
        <x:v>SVG Gradient兼容</x:v>
      </x:c>
      <x:c r="E234" s="58" t="str">
        <x:v>linear/radial</x:v>
      </x:c>
      <x:c r="F234" s="58" t="str">
        <x:v>Extended</x:v>
      </x:c>
      <x:c r="G234" s="58" t="str">
        <x:v>15_SVG资源样式主题</x:v>
      </x:c>
      <x:c r="H234" s="58" t="str">
        <x:v>M2</x:v>
      </x:c>
    </x:row>
    <x:row r="235">
      <x:c r="A235" s="66" t="str">
        <x:v>CAP-HMI-215</x:v>
      </x:c>
      <x:c r="B235" s="66" t="str">
        <x:v>Visual/HMI</x:v>
      </x:c>
      <x:c r="C235" s="66" t="str">
        <x:v>资源/SVG</x:v>
      </x:c>
      <x:c r="D235" s="66" t="str">
        <x:v>SVG defs/symbol/use</x:v>
      </x:c>
      <x:c r="E235" s="66" t="str">
        <x:v>资源/实例</x:v>
      </x:c>
      <x:c r="F235" s="66" t="str">
        <x:v>Extended</x:v>
      </x:c>
      <x:c r="G235" s="66" t="str">
        <x:v>15_SVG资源样式主题</x:v>
      </x:c>
      <x:c r="H235" s="66" t="str">
        <x:v>M2</x:v>
      </x:c>
    </x:row>
    <x:row r="236">
      <x:c r="A236" s="58" t="str">
        <x:v>CAP-HMI-216</x:v>
      </x:c>
      <x:c r="B236" s="58" t="str">
        <x:v>Visual/HMI</x:v>
      </x:c>
      <x:c r="C236" s="58" t="str">
        <x:v>资源/SVG</x:v>
      </x:c>
      <x:c r="D236" s="58" t="str">
        <x:v>SVG clip/mask</x:v>
      </x:c>
      <x:c r="E236" s="58" t="str">
        <x:v>裁剪/蒙版</x:v>
      </x:c>
      <x:c r="F236" s="58" t="str">
        <x:v>Extended</x:v>
      </x:c>
      <x:c r="G236" s="58" t="str">
        <x:v>15_SVG资源样式主题</x:v>
      </x:c>
      <x:c r="H236" s="58" t="str">
        <x:v>M2</x:v>
      </x:c>
    </x:row>
    <x:row r="237">
      <x:c r="A237" s="66" t="str">
        <x:v>CAP-HMI-217</x:v>
      </x:c>
      <x:c r="B237" s="66" t="str">
        <x:v>Visual/HMI</x:v>
      </x:c>
      <x:c r="C237" s="66" t="str">
        <x:v>资源/SVG</x:v>
      </x:c>
      <x:c r="D237" s="66" t="str">
        <x:v>图片导入</x:v>
      </x:c>
      <x:c r="E237" s="66" t="str">
        <x:v>PNG/JPG/BMP</x:v>
      </x:c>
      <x:c r="F237" s="66" t="str">
        <x:v>Core</x:v>
      </x:c>
      <x:c r="G237" s="66" t="str">
        <x:v>15_SVG资源样式主题</x:v>
      </x:c>
      <x:c r="H237" s="66" t="str">
        <x:v>M2</x:v>
      </x:c>
    </x:row>
    <x:row r="238">
      <x:c r="A238" s="58" t="str">
        <x:v>CAP-HMI-218</x:v>
      </x:c>
      <x:c r="B238" s="58" t="str">
        <x:v>Visual/HMI</x:v>
      </x:c>
      <x:c r="C238" s="58" t="str">
        <x:v>资源/SVG</x:v>
      </x:c>
      <x:c r="D238" s="58" t="str">
        <x:v>资源缺失诊断</x:v>
      </x:c>
      <x:c r="E238" s="58" t="str">
        <x:v>打开/发布前检查</x:v>
      </x:c>
      <x:c r="F238" s="58" t="str">
        <x:v>Core</x:v>
      </x:c>
      <x:c r="G238" s="58" t="str">
        <x:v>15_SVG资源样式主题</x:v>
      </x:c>
      <x:c r="H238" s="58" t="str">
        <x:v>M2</x:v>
      </x:c>
    </x:row>
    <x:row r="239">
      <x:c r="A239" s="66" t="str">
        <x:v>CAP-HMI-219</x:v>
      </x:c>
      <x:c r="B239" s="66" t="str">
        <x:v>Visual/HMI</x:v>
      </x:c>
      <x:c r="C239" s="66" t="str">
        <x:v>在线调试</x:v>
      </x:c>
      <x:c r="D239" s="66" t="str">
        <x:v>模拟变量</x:v>
      </x:c>
      <x:c r="E239" s="66" t="str">
        <x:v>无PLC调试</x:v>
      </x:c>
      <x:c r="F239" s="66" t="str">
        <x:v>Core</x:v>
      </x:c>
      <x:c r="G239" s="66" t="str">
        <x:v>03_架构总纲与领域边界</x:v>
      </x:c>
      <x:c r="H239" s="66" t="str">
        <x:v>M2</x:v>
      </x:c>
    </x:row>
    <x:row r="240">
      <x:c r="A240" s="58" t="str">
        <x:v>CAP-HMI-220</x:v>
      </x:c>
      <x:c r="B240" s="58" t="str">
        <x:v>Visual/HMI</x:v>
      </x:c>
      <x:c r="C240" s="58" t="str">
        <x:v>在线调试</x:v>
      </x:c>
      <x:c r="D240" s="58" t="str">
        <x:v>在线Tag值</x:v>
      </x:c>
      <x:c r="E240" s="58" t="str">
        <x:v>TagBrowser实时值</x:v>
      </x:c>
      <x:c r="F240" s="58" t="str">
        <x:v>Core</x:v>
      </x:c>
      <x:c r="G240" s="58" t="str">
        <x:v>03_架构总纲与领域边界</x:v>
      </x:c>
      <x:c r="H240" s="58" t="str">
        <x:v>M2</x:v>
      </x:c>
    </x:row>
    <x:row r="241">
      <x:c r="A241" s="66" t="str">
        <x:v>CAP-HMI-221</x:v>
      </x:c>
      <x:c r="B241" s="66" t="str">
        <x:v>Visual/HMI</x:v>
      </x:c>
      <x:c r="C241" s="66" t="str">
        <x:v>在线调试</x:v>
      </x:c>
      <x:c r="D241" s="66" t="str">
        <x:v>绑定值追踪</x:v>
      </x:c>
      <x:c r="E241" s="66" t="str">
        <x:v>来源→转换→目标值</x:v>
      </x:c>
      <x:c r="F241" s="66" t="str">
        <x:v>Core</x:v>
      </x:c>
      <x:c r="G241" s="66" t="str">
        <x:v>03_架构总纲与领域边界</x:v>
      </x:c>
      <x:c r="H241" s="66" t="str">
        <x:v>M2</x:v>
      </x:c>
    </x:row>
    <x:row r="242">
      <x:c r="A242" s="58" t="str">
        <x:v>CAP-HMI-222</x:v>
      </x:c>
      <x:c r="B242" s="58" t="str">
        <x:v>Visual/HMI</x:v>
      </x:c>
      <x:c r="C242" s="58" t="str">
        <x:v>在线调试</x:v>
      </x:c>
      <x:c r="D242" s="58" t="str">
        <x:v>运行属性检查</x:v>
      </x:c>
      <x:c r="E242" s="58" t="str">
        <x:v>Inspector</x:v>
      </x:c>
      <x:c r="F242" s="58" t="str">
        <x:v>Extended</x:v>
      </x:c>
      <x:c r="G242" s="58" t="str">
        <x:v>03_架构总纲与领域边界</x:v>
      </x:c>
      <x:c r="H242" s="58" t="str">
        <x:v>M2</x:v>
      </x:c>
    </x:row>
    <x:row r="243">
      <x:c r="A243" s="66" t="str">
        <x:v>CAP-HMI-223</x:v>
      </x:c>
      <x:c r="B243" s="66" t="str">
        <x:v>Visual/HMI</x:v>
      </x:c>
      <x:c r="C243" s="66" t="str">
        <x:v>在线调试</x:v>
      </x:c>
      <x:c r="D243" s="66" t="str">
        <x:v>强制值/临时写值</x:v>
      </x:c>
      <x:c r="E243" s="66" t="str">
        <x:v>权限/提示</x:v>
      </x:c>
      <x:c r="F243" s="66" t="str">
        <x:v>Extended</x:v>
      </x:c>
      <x:c r="G243" s="66" t="str">
        <x:v>03_架构总纲与领域边界</x:v>
      </x:c>
      <x:c r="H243" s="66" t="str">
        <x:v>M2</x:v>
      </x:c>
    </x:row>
    <x:row r="244">
      <x:c r="A244" s="58" t="str">
        <x:v>CAP-HMI-224</x:v>
      </x:c>
      <x:c r="B244" s="58" t="str">
        <x:v>Visual/HMI</x:v>
      </x:c>
      <x:c r="C244" s="58" t="str">
        <x:v>在线调试</x:v>
      </x:c>
      <x:c r="D244" s="58" t="str">
        <x:v>断点式事件日志</x:v>
      </x:c>
      <x:c r="E244" s="58" t="str">
        <x:v>动作链诊断</x:v>
      </x:c>
      <x:c r="F244" s="58" t="str">
        <x:v>Extended</x:v>
      </x:c>
      <x:c r="G244" s="58" t="str">
        <x:v>03_架构总纲与领域边界</x:v>
      </x:c>
      <x:c r="H244" s="58" t="str">
        <x:v>M2</x:v>
      </x:c>
    </x:row>
    <x:row r="245">
      <x:c r="A245" s="66" t="str">
        <x:v>CAP-HMI-225</x:v>
      </x:c>
      <x:c r="B245" s="66" t="str">
        <x:v>Visual/HMI</x:v>
      </x:c>
      <x:c r="C245" s="66" t="str">
        <x:v>在线调试</x:v>
      </x:c>
      <x:c r="D245" s="66" t="str">
        <x:v>输出控制台</x:v>
      </x:c>
      <x:c r="E245" s="66" t="str">
        <x:v>设计/运行日志</x:v>
      </x:c>
      <x:c r="F245" s="66" t="str">
        <x:v>Core</x:v>
      </x:c>
      <x:c r="G245" s="66" t="str">
        <x:v>03_架构总纲与领域边界</x:v>
      </x:c>
      <x:c r="H245" s="66" t="str">
        <x:v>M2</x:v>
      </x:c>
    </x:row>
    <x:row r="246">
      <x:c r="A246" s="58" t="str">
        <x:v>CAP-HMI-226</x:v>
      </x:c>
      <x:c r="B246" s="58" t="str">
        <x:v>Visual/HMI</x:v>
      </x:c>
      <x:c r="C246" s="58" t="str">
        <x:v>在线调试</x:v>
      </x:c>
      <x:c r="D246" s="58" t="str">
        <x:v>性能面板</x:v>
      </x:c>
      <x:c r="E246" s="58" t="str">
        <x:v>FPS/元素数/绑定数/耗时</x:v>
      </x:c>
      <x:c r="F246" s="58" t="str">
        <x:v>Extended</x:v>
      </x:c>
      <x:c r="G246" s="58" t="str">
        <x:v>03_架构总纲与领域边界</x:v>
      </x:c>
      <x:c r="H246" s="58" t="str">
        <x:v>M2</x:v>
      </x:c>
    </x:row>
    <x:row r="247">
      <x:c r="A247" s="66" t="str">
        <x:v>CAP-GRF-001</x:v>
      </x:c>
      <x:c r="B247" s="66" t="str">
        <x:v>Graph Platform</x:v>
      </x:c>
      <x:c r="C247" s="66" t="str">
        <x:v>性能/安全/质量</x:v>
      </x:c>
      <x:c r="D247" s="66" t="str">
        <x:v>大页面虚拟化</x:v>
      </x:c>
      <x:c r="E247" s="66" t="str">
        <x:v>不可见页面不创建UI</x:v>
      </x:c>
      <x:c r="F247" s="66" t="str">
        <x:v>Core</x:v>
      </x:c>
      <x:c r="G247" s="66" t="str">
        <x:v>25_Graph性能诊断可观测性</x:v>
      </x:c>
      <x:c r="H247" s="66" t="str">
        <x:v>M3</x:v>
      </x:c>
    </x:row>
    <x:row r="248">
      <x:c r="A248" s="58" t="str">
        <x:v>CAP-GRF-002</x:v>
      </x:c>
      <x:c r="B248" s="58" t="str">
        <x:v>Graph Platform</x:v>
      </x:c>
      <x:c r="C248" s="58" t="str">
        <x:v>性能/安全/质量</x:v>
      </x:c>
      <x:c r="D248" s="58" t="str">
        <x:v>控件虚拟化</x:v>
      </x:c>
      <x:c r="E248" s="58" t="str">
        <x:v>列表/表格虚拟化</x:v>
      </x:c>
      <x:c r="F248" s="58" t="str">
        <x:v>Extended</x:v>
      </x:c>
      <x:c r="G248" s="58" t="str">
        <x:v>25_Graph性能诊断可观测性</x:v>
      </x:c>
      <x:c r="H248" s="58" t="str">
        <x:v>M3</x:v>
      </x:c>
    </x:row>
    <x:row r="249">
      <x:c r="A249" s="66" t="str">
        <x:v>CAP-GRF-003</x:v>
      </x:c>
      <x:c r="B249" s="66" t="str">
        <x:v>Graph Platform</x:v>
      </x:c>
      <x:c r="C249" s="66" t="str">
        <x:v>性能/安全/质量</x:v>
      </x:c>
      <x:c r="D249" s="66" t="str">
        <x:v>DrawingVisual缓存</x:v>
      </x:c>
      <x:c r="E249" s="66" t="str">
        <x:v>静态图形缓存</x:v>
      </x:c>
      <x:c r="F249" s="66" t="str">
        <x:v>Core</x:v>
      </x:c>
      <x:c r="G249" s="66" t="str">
        <x:v>25_Graph性能诊断可观测性</x:v>
      </x:c>
      <x:c r="H249" s="66" t="str">
        <x:v>M3</x:v>
      </x:c>
    </x:row>
    <x:row r="250">
      <x:c r="A250" s="58" t="str">
        <x:v>CAP-GRF-004</x:v>
      </x:c>
      <x:c r="B250" s="58" t="str">
        <x:v>Graph Platform</x:v>
      </x:c>
      <x:c r="C250" s="58" t="str">
        <x:v>性能/安全/质量</x:v>
      </x:c>
      <x:c r="D250" s="58" t="str">
        <x:v>脏区域刷新</x:v>
      </x:c>
      <x:c r="E250" s="58" t="str">
        <x:v>仅重绘变化对象</x:v>
      </x:c>
      <x:c r="F250" s="58" t="str">
        <x:v>Extended</x:v>
      </x:c>
      <x:c r="G250" s="58" t="str">
        <x:v>25_Graph性能诊断可观测性</x:v>
      </x:c>
      <x:c r="H250" s="58" t="str">
        <x:v>M3</x:v>
      </x:c>
    </x:row>
    <x:row r="251">
      <x:c r="A251" s="66" t="str">
        <x:v>CAP-GRF-005</x:v>
      </x:c>
      <x:c r="B251" s="66" t="str">
        <x:v>Graph Platform</x:v>
      </x:c>
      <x:c r="C251" s="66" t="str">
        <x:v>性能/安全/质量</x:v>
      </x:c>
      <x:c r="D251" s="66" t="str">
        <x:v>绑定批处理</x:v>
      </x:c>
      <x:c r="E251" s="66" t="str">
        <x:v>按帧批量应用属性</x:v>
      </x:c>
      <x:c r="F251" s="66" t="str">
        <x:v>Core</x:v>
      </x:c>
      <x:c r="G251" s="66" t="str">
        <x:v>25_Graph性能诊断可观测性</x:v>
      </x:c>
      <x:c r="H251" s="66" t="str">
        <x:v>M3</x:v>
      </x:c>
    </x:row>
    <x:row r="252">
      <x:c r="A252" s="58" t="str">
        <x:v>CAP-GRF-006</x:v>
      </x:c>
      <x:c r="B252" s="58" t="str">
        <x:v>Graph Platform</x:v>
      </x:c>
      <x:c r="C252" s="58" t="str">
        <x:v>性能/安全/质量</x:v>
      </x:c>
      <x:c r="D252" s="58" t="str">
        <x:v>刷新频率分级</x:v>
      </x:c>
      <x:c r="E252" s="58" t="str">
        <x:v>快/中/慢Tag</x:v>
      </x:c>
      <x:c r="F252" s="58" t="str">
        <x:v>Core</x:v>
      </x:c>
      <x:c r="G252" s="58" t="str">
        <x:v>25_Graph性能诊断可观测性</x:v>
      </x:c>
      <x:c r="H252" s="58" t="str">
        <x:v>M3</x:v>
      </x:c>
    </x:row>
    <x:row r="253">
      <x:c r="A253" s="66" t="str">
        <x:v>CAP-GRF-007</x:v>
      </x:c>
      <x:c r="B253" s="66" t="str">
        <x:v>Graph Platform</x:v>
      </x:c>
      <x:c r="C253" s="66" t="str">
        <x:v>性能/安全/质量</x:v>
      </x:c>
      <x:c r="D253" s="66" t="str">
        <x:v>资源缓存</x:v>
      </x:c>
      <x:c r="E253" s="66" t="str">
        <x:v>图片/SVG缓存</x:v>
      </x:c>
      <x:c r="F253" s="66" t="str">
        <x:v>Core</x:v>
      </x:c>
      <x:c r="G253" s="66" t="str">
        <x:v>25_Graph性能诊断可观测性</x:v>
      </x:c>
      <x:c r="H253" s="66" t="str">
        <x:v>M3</x:v>
      </x:c>
    </x:row>
    <x:row r="254">
      <x:c r="A254" s="58" t="str">
        <x:v>CAP-GRF-008</x:v>
      </x:c>
      <x:c r="B254" s="58" t="str">
        <x:v>Graph Platform</x:v>
      </x:c>
      <x:c r="C254" s="58" t="str">
        <x:v>性能/安全/质量</x:v>
      </x:c>
      <x:c r="D254" s="58" t="str">
        <x:v>线程隔离</x:v>
      </x:c>
      <x:c r="E254" s="58" t="str">
        <x:v>采集/计算不阻塞UI</x:v>
      </x:c>
      <x:c r="F254" s="58" t="str">
        <x:v>Core</x:v>
      </x:c>
      <x:c r="G254" s="58" t="str">
        <x:v>25_Graph性能诊断可观测性</x:v>
      </x:c>
      <x:c r="H254" s="58" t="str">
        <x:v>M3</x:v>
      </x:c>
    </x:row>
    <x:row r="255">
      <x:c r="A255" s="66" t="str">
        <x:v>CAP-GRF-009</x:v>
      </x:c>
      <x:c r="B255" s="66" t="str">
        <x:v>Graph Platform</x:v>
      </x:c>
      <x:c r="C255" s="66" t="str">
        <x:v>性能/安全/质量</x:v>
      </x:c>
      <x:c r="D255" s="66" t="str">
        <x:v>取消与超时</x:v>
      </x:c>
      <x:c r="E255" s="66" t="str">
        <x:v>IO/历史查询</x:v>
      </x:c>
      <x:c r="F255" s="66" t="str">
        <x:v>Core</x:v>
      </x:c>
      <x:c r="G255" s="66" t="str">
        <x:v>25_Graph性能诊断可观测性</x:v>
      </x:c>
      <x:c r="H255" s="66" t="str">
        <x:v>M3</x:v>
      </x:c>
    </x:row>
    <x:row r="256">
      <x:c r="A256" s="58" t="str">
        <x:v>CAP-GRF-010</x:v>
      </x:c>
      <x:c r="B256" s="58" t="str">
        <x:v>Graph Platform</x:v>
      </x:c>
      <x:c r="C256" s="58" t="str">
        <x:v>性能/安全/质量</x:v>
      </x:c>
      <x:c r="D256" s="58" t="str">
        <x:v>项目签名/校验</x:v>
      </x:c>
      <x:c r="E256" s="58" t="str">
        <x:v>Hash/签名</x:v>
      </x:c>
      <x:c r="F256" s="58" t="str">
        <x:v>Extended</x:v>
      </x:c>
      <x:c r="G256" s="58" t="str">
        <x:v>25_Graph性能诊断可观测性</x:v>
      </x:c>
      <x:c r="H256" s="58" t="str">
        <x:v>M3</x:v>
      </x:c>
    </x:row>
    <x:row r="257">
      <x:c r="A257" s="66" t="str">
        <x:v>CAP-GRF-011</x:v>
      </x:c>
      <x:c r="B257" s="66" t="str">
        <x:v>Graph Platform</x:v>
      </x:c>
      <x:c r="C257" s="66" t="str">
        <x:v>性能/安全/质量</x:v>
      </x:c>
      <x:c r="D257" s="66" t="str">
        <x:v>权限模型</x:v>
      </x:c>
      <x:c r="E257" s="66" t="str">
        <x:v>页面/按钮/写Tag权限</x:v>
      </x:c>
      <x:c r="F257" s="66" t="str">
        <x:v>Extended</x:v>
      </x:c>
      <x:c r="G257" s="66" t="str">
        <x:v>25_Graph性能诊断可观测性</x:v>
      </x:c>
      <x:c r="H257" s="66" t="str">
        <x:v>M3</x:v>
      </x:c>
    </x:row>
    <x:row r="258">
      <x:c r="A258" s="58" t="str">
        <x:v>CAP-GRF-012</x:v>
      </x:c>
      <x:c r="B258" s="58" t="str">
        <x:v>Graph Platform</x:v>
      </x:c>
      <x:c r="C258" s="58" t="str">
        <x:v>性能/安全/质量</x:v>
      </x:c>
      <x:c r="D258" s="58" t="str">
        <x:v>危险写操作确认</x:v>
      </x:c>
      <x:c r="E258" s="58" t="str">
        <x:v>二次确认/权限</x:v>
      </x:c>
      <x:c r="F258" s="58" t="str">
        <x:v>Core</x:v>
      </x:c>
      <x:c r="G258" s="58" t="str">
        <x:v>25_Graph性能诊断可观测性</x:v>
      </x:c>
      <x:c r="H258" s="58" t="str">
        <x:v>M3</x:v>
      </x:c>
    </x:row>
    <x:row r="259">
      <x:c r="A259" s="66" t="str">
        <x:v>CAP-GRF-013</x:v>
      </x:c>
      <x:c r="B259" s="66" t="str">
        <x:v>Graph Platform</x:v>
      </x:c>
      <x:c r="C259" s="66" t="str">
        <x:v>性能/安全/质量</x:v>
      </x:c>
      <x:c r="D259" s="66" t="str">
        <x:v>输入校验</x:v>
      </x:c>
      <x:c r="E259" s="66" t="str">
        <x:v>UI输入范围/类型</x:v>
      </x:c>
      <x:c r="F259" s="66" t="str">
        <x:v>Core</x:v>
      </x:c>
      <x:c r="G259" s="66" t="str">
        <x:v>25_Graph性能诊断可观测性</x:v>
      </x:c>
      <x:c r="H259" s="66" t="str">
        <x:v>M3</x:v>
      </x:c>
    </x:row>
    <x:row r="260">
      <x:c r="A260" s="58" t="str">
        <x:v>CAP-GRF-014</x:v>
      </x:c>
      <x:c r="B260" s="58" t="str">
        <x:v>Graph Platform</x:v>
      </x:c>
      <x:c r="C260" s="58" t="str">
        <x:v>性能/安全/质量</x:v>
      </x:c>
      <x:c r="D260" s="58" t="str">
        <x:v>插件白名单</x:v>
      </x:c>
      <x:c r="E260" s="58" t="str">
        <x:v>扩展控制</x:v>
      </x:c>
      <x:c r="F260" s="58" t="str">
        <x:v>Extended</x:v>
      </x:c>
      <x:c r="G260" s="58" t="str">
        <x:v>25_Graph性能诊断可观测性</x:v>
      </x:c>
      <x:c r="H260" s="58" t="str">
        <x:v>M3</x:v>
      </x:c>
    </x:row>
    <x:row r="261">
      <x:c r="A261" s="66" t="str">
        <x:v>CAP-GRF-015</x:v>
      </x:c>
      <x:c r="B261" s="66" t="str">
        <x:v>Graph Platform</x:v>
      </x:c>
      <x:c r="C261" s="66" t="str">
        <x:v>扩展/插件</x:v>
      </x:c>
      <x:c r="D261" s="66" t="str">
        <x:v>组件注册</x:v>
      </x:c>
      <x:c r="E261" s="66" t="str">
        <x:v>类型→Factory/Metadata</x:v>
      </x:c>
      <x:c r="F261" s="66" t="str">
        <x:v>Core</x:v>
      </x:c>
      <x:c r="G261" s="66" t="str">
        <x:v>24_GraphSDK与Plugin扩展</x:v>
      </x:c>
      <x:c r="H261" s="66" t="str">
        <x:v>M3</x:v>
      </x:c>
    </x:row>
    <x:row r="262">
      <x:c r="A262" s="58" t="str">
        <x:v>CAP-GRF-016</x:v>
      </x:c>
      <x:c r="B262" s="58" t="str">
        <x:v>Graph Platform</x:v>
      </x:c>
      <x:c r="C262" s="58" t="str">
        <x:v>扩展/插件</x:v>
      </x:c>
      <x:c r="D262" s="58" t="str">
        <x:v>自定义组件SDK</x:v>
      </x:c>
      <x:c r="E262" s="58" t="str">
        <x:v>内部/第三方扩展</x:v>
      </x:c>
      <x:c r="F262" s="58" t="str">
        <x:v>Extended</x:v>
      </x:c>
      <x:c r="G262" s="58" t="str">
        <x:v>24_GraphSDK与Plugin扩展</x:v>
      </x:c>
      <x:c r="H262" s="58" t="str">
        <x:v>M3</x:v>
      </x:c>
    </x:row>
    <x:row r="263">
      <x:c r="A263" s="66" t="str">
        <x:v>CAP-GRF-017</x:v>
      </x:c>
      <x:c r="B263" s="66" t="str">
        <x:v>Graph Platform</x:v>
      </x:c>
      <x:c r="C263" s="66" t="str">
        <x:v>扩展/插件</x:v>
      </x:c>
      <x:c r="D263" s="66" t="str">
        <x:v>属性编辑器注册</x:v>
      </x:c>
      <x:c r="E263" s="66" t="str">
        <x:v>类型化编辑器</x:v>
      </x:c>
      <x:c r="F263" s="66" t="str">
        <x:v>Extended</x:v>
      </x:c>
      <x:c r="G263" s="66" t="str">
        <x:v>24_GraphSDK与Plugin扩展</x:v>
      </x:c>
      <x:c r="H263" s="66" t="str">
        <x:v>M3</x:v>
      </x:c>
    </x:row>
    <x:row r="264">
      <x:c r="A264" s="58" t="str">
        <x:v>CAP-GRF-018</x:v>
      </x:c>
      <x:c r="B264" s="58" t="str">
        <x:v>Graph Platform</x:v>
      </x:c>
      <x:c r="C264" s="58" t="str">
        <x:v>扩展/插件</x:v>
      </x:c>
      <x:c r="D264" s="58" t="str">
        <x:v>Binding Provider扩展</x:v>
      </x:c>
      <x:c r="E264" s="58" t="str">
        <x:v>自定义数据源</x:v>
      </x:c>
      <x:c r="F264" s="58" t="str">
        <x:v>Extended</x:v>
      </x:c>
      <x:c r="G264" s="58" t="str">
        <x:v>24_GraphSDK与Plugin扩展</x:v>
      </x:c>
      <x:c r="H264" s="58" t="str">
        <x:v>M3</x:v>
      </x:c>
    </x:row>
    <x:row r="265">
      <x:c r="A265" s="66" t="str">
        <x:v>CAP-GRF-019</x:v>
      </x:c>
      <x:c r="B265" s="66" t="str">
        <x:v>Graph Platform</x:v>
      </x:c>
      <x:c r="C265" s="66" t="str">
        <x:v>扩展/插件</x:v>
      </x:c>
      <x:c r="D265" s="66" t="str">
        <x:v>Variable Provider扩展</x:v>
      </x:c>
      <x:c r="E265" s="66" t="str">
        <x:v>PLC/MQTT/OPC适配</x:v>
      </x:c>
      <x:c r="F265" s="66" t="str">
        <x:v>Extended</x:v>
      </x:c>
      <x:c r="G265" s="66" t="str">
        <x:v>24_GraphSDK与Plugin扩展</x:v>
      </x:c>
      <x:c r="H265" s="66" t="str">
        <x:v>M3</x:v>
      </x:c>
    </x:row>
    <x:row r="266">
      <x:c r="A266" s="58" t="str">
        <x:v>CAP-GRF-020</x:v>
      </x:c>
      <x:c r="B266" s="58" t="str">
        <x:v>Graph Platform</x:v>
      </x:c>
      <x:c r="C266" s="58" t="str">
        <x:v>扩展/插件</x:v>
      </x:c>
      <x:c r="D266" s="58" t="str">
        <x:v>导入导出插件</x:v>
      </x:c>
      <x:c r="E266" s="58" t="str">
        <x:v>CAD/SVG扩展</x:v>
      </x:c>
      <x:c r="F266" s="58" t="str">
        <x:v>Extended</x:v>
      </x:c>
      <x:c r="G266" s="58" t="str">
        <x:v>24_GraphSDK与Plugin扩展</x:v>
      </x:c>
      <x:c r="H266" s="58" t="str">
        <x:v>M3</x:v>
      </x:c>
    </x:row>
    <x:row r="267">
      <x:c r="A267" s="66" t="str">
        <x:v>CAP-GRF-021</x:v>
      </x:c>
      <x:c r="B267" s="66" t="str">
        <x:v>Graph Platform</x:v>
      </x:c>
      <x:c r="C267" s="66" t="str">
        <x:v>扩展/插件</x:v>
      </x:c>
      <x:c r="D267" s="66" t="str">
        <x:v>版本兼容检查</x:v>
      </x:c>
      <x:c r="E267" s="66" t="str">
        <x:v>插件API版本</x:v>
      </x:c>
      <x:c r="F267" s="66" t="str">
        <x:v>Extended</x:v>
      </x:c>
      <x:c r="G267" s="66" t="str">
        <x:v>24_GraphSDK与Plugin扩展</x:v>
      </x:c>
      <x:c r="H267" s="66" t="str">
        <x:v>M3</x:v>
      </x:c>
    </x:row>
    <x:row r="268">
      <x:c r="A268" s="58" t="str">
        <x:v>CAP-GRF-022</x:v>
      </x:c>
      <x:c r="B268" s="58" t="str">
        <x:v>Graph Platform</x:v>
      </x:c>
      <x:c r="C268" s="58" t="str">
        <x:v>测试/验证</x:v>
      </x:c>
      <x:c r="D268" s="58" t="str">
        <x:v>Core单元测试</x:v>
      </x:c>
      <x:c r="E268" s="58" t="str">
        <x:v>Geometry/Model/Serialization</x:v>
      </x:c>
      <x:c r="F268" s="58" t="str">
        <x:v>Core</x:v>
      </x:c>
      <x:c r="G268" s="58" t="str">
        <x:v>26_Graph平台测试与架构门禁</x:v>
      </x:c>
      <x:c r="H268" s="58" t="str">
        <x:v>M3</x:v>
      </x:c>
    </x:row>
    <x:row r="269">
      <x:c r="A269" s="66" t="str">
        <x:v>CAP-GRF-023</x:v>
      </x:c>
      <x:c r="B269" s="66" t="str">
        <x:v>Graph Platform</x:v>
      </x:c>
      <x:c r="C269" s="66" t="str">
        <x:v>测试/验证</x:v>
      </x:c>
      <x:c r="D269" s="66" t="str">
        <x:v>Command测试</x:v>
      </x:c>
      <x:c r="E269" s="66" t="str">
        <x:v>Execute/Undo/Redo</x:v>
      </x:c>
      <x:c r="F269" s="66" t="str">
        <x:v>Core</x:v>
      </x:c>
      <x:c r="G269" s="66" t="str">
        <x:v>26_Graph平台测试与架构门禁</x:v>
      </x:c>
      <x:c r="H269" s="66" t="str">
        <x:v>M3</x:v>
      </x:c>
    </x:row>
    <x:row r="270">
      <x:c r="A270" s="58" t="str">
        <x:v>CAP-GRF-024</x:v>
      </x:c>
      <x:c r="B270" s="58" t="str">
        <x:v>Graph Platform</x:v>
      </x:c>
      <x:c r="C270" s="58" t="str">
        <x:v>测试/验证</x:v>
      </x:c>
      <x:c r="D270" s="58" t="str">
        <x:v>工程往返测试</x:v>
      </x:c>
      <x:c r="E270" s="58" t="str">
        <x:v>Save→Load→Equal</x:v>
      </x:c>
      <x:c r="F270" s="58" t="str">
        <x:v>Core</x:v>
      </x:c>
      <x:c r="G270" s="58" t="str">
        <x:v>26_Graph平台测试与架构门禁</x:v>
      </x:c>
      <x:c r="H270" s="58" t="str">
        <x:v>M3</x:v>
      </x:c>
    </x:row>
    <x:row r="271">
      <x:c r="A271" s="66" t="str">
        <x:v>CAP-GRF-025</x:v>
      </x:c>
      <x:c r="B271" s="66" t="str">
        <x:v>Graph Platform</x:v>
      </x:c>
      <x:c r="C271" s="66" t="str">
        <x:v>测试/验证</x:v>
      </x:c>
      <x:c r="D271" s="66" t="str">
        <x:v>版本迁移测试</x:v>
      </x:c>
      <x:c r="E271" s="66" t="str">
        <x:v>旧格式→当前</x:v>
      </x:c>
      <x:c r="F271" s="66" t="str">
        <x:v>Core</x:v>
      </x:c>
      <x:c r="G271" s="66" t="str">
        <x:v>26_Graph平台测试与架构门禁</x:v>
      </x:c>
      <x:c r="H271" s="66" t="str">
        <x:v>M3</x:v>
      </x:c>
    </x:row>
    <x:row r="272">
      <x:c r="A272" s="58" t="str">
        <x:v>CAP-GRF-026</x:v>
      </x:c>
      <x:c r="B272" s="58" t="str">
        <x:v>Graph Platform</x:v>
      </x:c>
      <x:c r="C272" s="58" t="str">
        <x:v>测试/验证</x:v>
      </x:c>
      <x:c r="D272" s="58" t="str">
        <x:v>SVG兼容测试集</x:v>
      </x:c>
      <x:c r="E272" s="58" t="str">
        <x:v>典型SVG样本</x:v>
      </x:c>
      <x:c r="F272" s="58" t="str">
        <x:v>Core</x:v>
      </x:c>
      <x:c r="G272" s="58" t="str">
        <x:v>26_Graph平台测试与架构门禁</x:v>
      </x:c>
      <x:c r="H272" s="58" t="str">
        <x:v>M3</x:v>
      </x:c>
    </x:row>
    <x:row r="273">
      <x:c r="A273" s="66" t="str">
        <x:v>CAP-GRF-027</x:v>
      </x:c>
      <x:c r="B273" s="66" t="str">
        <x:v>Graph Platform</x:v>
      </x:c>
      <x:c r="C273" s="66" t="str">
        <x:v>测试/验证</x:v>
      </x:c>
      <x:c r="D273" s="66" t="str">
        <x:v>Binding测试</x:v>
      </x:c>
      <x:c r="E273" s="66" t="str">
        <x:v>质量/转换/异常</x:v>
      </x:c>
      <x:c r="F273" s="66" t="str">
        <x:v>Core</x:v>
      </x:c>
      <x:c r="G273" s="66" t="str">
        <x:v>26_Graph平台测试与架构门禁</x:v>
      </x:c>
      <x:c r="H273" s="66" t="str">
        <x:v>M3</x:v>
      </x:c>
    </x:row>
    <x:row r="274">
      <x:c r="A274" s="58" t="str">
        <x:v>CAP-GRF-028</x:v>
      </x:c>
      <x:c r="B274" s="58" t="str">
        <x:v>Graph Platform</x:v>
      </x:c>
      <x:c r="C274" s="58" t="str">
        <x:v>测试/验证</x:v>
      </x:c>
      <x:c r="D274" s="58" t="str">
        <x:v>UI交互测试</x:v>
      </x:c>
      <x:c r="E274" s="58" t="str">
        <x:v>关键路径自动化</x:v>
      </x:c>
      <x:c r="F274" s="58" t="str">
        <x:v>Extended</x:v>
      </x:c>
      <x:c r="G274" s="58" t="str">
        <x:v>26_Graph平台测试与架构门禁</x:v>
      </x:c>
      <x:c r="H274" s="58" t="str">
        <x:v>M3</x:v>
      </x:c>
    </x:row>
    <x:row r="275">
      <x:c r="A275" s="66" t="str">
        <x:v>CAP-GRF-029</x:v>
      </x:c>
      <x:c r="B275" s="66" t="str">
        <x:v>Graph Platform</x:v>
      </x:c>
      <x:c r="C275" s="66" t="str">
        <x:v>测试/验证</x:v>
      </x:c>
      <x:c r="D275" s="66" t="str">
        <x:v>性能基准</x:v>
      </x:c>
      <x:c r="E275" s="66" t="str">
        <x:v>大页面/趋势/绑定</x:v>
      </x:c>
      <x:c r="F275" s="66" t="str">
        <x:v>Extended</x:v>
      </x:c>
      <x:c r="G275" s="66" t="str">
        <x:v>26_Graph平台测试与架构门禁</x:v>
      </x:c>
      <x:c r="H275" s="66" t="str">
        <x:v>M3</x:v>
      </x:c>
    </x:row>
    <x:row r="276">
      <x:c r="A276" s="58" t="str">
        <x:v>CAP-GRF-030</x:v>
      </x:c>
      <x:c r="B276" s="58" t="str">
        <x:v>Graph Platform</x:v>
      </x:c>
      <x:c r="C276" s="58" t="str">
        <x:v>测试/验证</x:v>
      </x:c>
      <x:c r="D276" s="58" t="str">
        <x:v>老化测试</x:v>
      </x:c>
      <x:c r="E276" s="58" t="str">
        <x:v>长时间运行内存/CPU</x:v>
      </x:c>
      <x:c r="F276" s="58" t="str">
        <x:v>Core</x:v>
      </x:c>
      <x:c r="G276" s="58" t="str">
        <x:v>26_Graph平台测试与架构门禁</x:v>
      </x:c>
      <x:c r="H276" s="58" t="str">
        <x:v>M3</x:v>
      </x:c>
    </x:row>
    <x:row r="277">
      <x:c r="A277" s="66" t="str">
        <x:v>CAP-HMI-227</x:v>
      </x:c>
      <x:c r="B277" s="66" t="str">
        <x:v>Visual/HMI</x:v>
      </x:c>
      <x:c r="C277" s="66" t="str">
        <x:v>页面/导航</x:v>
      </x:c>
      <x:c r="D277" s="66" t="str">
        <x:v>标签位置</x:v>
      </x:c>
      <x:c r="E277" s="66" t="str">
        <x:v>顶部标签、侧边标签、隐藏标签三种导航形式</x:v>
      </x:c>
      <x:c r="F277" s="66" t="str">
        <x:v>Core</x:v>
      </x:c>
      <x:c r="G277" s="66" t="str">
        <x:v>07_StudioDesigner架构 / 08_Renderer与几何系统 / 09_CommandUndoTransaction</x:v>
      </x:c>
      <x:c r="H277" s="66" t="str">
        <x:v>M2</x:v>
      </x:c>
    </x:row>
    <x:row r="278">
      <x:c r="A278" s="58" t="str">
        <x:v>CAP-HMI-228</x:v>
      </x:c>
      <x:c r="B278" s="58" t="str">
        <x:v>Visual/HMI</x:v>
      </x:c>
      <x:c r="C278" s="58" t="str">
        <x:v>页面/导航</x:v>
      </x:c>
      <x:c r="D278" s="58" t="str">
        <x:v>标签权限</x:v>
      </x:c>
      <x:c r="E278" s="58" t="str">
        <x:v>标签按权限显示/启用</x:v>
      </x:c>
      <x:c r="F278" s="58" t="str">
        <x:v>Extended</x:v>
      </x:c>
      <x:c r="G278" s="58" t="str">
        <x:v>07_StudioDesigner架构 / 08_Renderer与几何系统 / 09_CommandUndoTransaction</x:v>
      </x:c>
      <x:c r="H278" s="58" t="str">
        <x:v>M2</x:v>
      </x:c>
    </x:row>
    <x:row r="279">
      <x:c r="A279" s="66" t="str">
        <x:v>CAP-HMI-229</x:v>
      </x:c>
      <x:c r="B279" s="66" t="str">
        <x:v>Visual/HMI</x:v>
      </x:c>
      <x:c r="C279" s="66" t="str">
        <x:v>页面/导航</x:v>
      </x:c>
      <x:c r="D279" s="66" t="str">
        <x:v>标签动态显示</x:v>
      </x:c>
      <x:c r="E279" s="66" t="str">
        <x:v>标签按变量状态显示/启用</x:v>
      </x:c>
      <x:c r="F279" s="66" t="str">
        <x:v>Extended</x:v>
      </x:c>
      <x:c r="G279" s="66" t="str">
        <x:v>07_StudioDesigner架构 / 08_Renderer与几何系统 / 09_CommandUndoTransaction</x:v>
      </x:c>
      <x:c r="H279" s="66" t="str">
        <x:v>M2</x:v>
      </x:c>
    </x:row>
    <x:row r="280">
      <x:c r="A280" s="58" t="str">
        <x:v>CAP-HMI-230</x:v>
      </x:c>
      <x:c r="B280" s="58" t="str">
        <x:v>Visual/HMI</x:v>
      </x:c>
      <x:c r="C280" s="58" t="str">
        <x:v>页面/导航</x:v>
      </x:c>
      <x:c r="D280" s="58" t="str">
        <x:v>异常回退页面</x:v>
      </x:c>
      <x:c r="E280" s="58" t="str">
        <x:v>页面加载失败/运行异常时切换回退页</x:v>
      </x:c>
      <x:c r="F280" s="58" t="str">
        <x:v>Extended</x:v>
      </x:c>
      <x:c r="G280" s="58" t="str">
        <x:v>07_StudioDesigner架构 / 08_Renderer与几何系统 / 09_CommandUndoTransaction</x:v>
      </x:c>
      <x:c r="H280" s="58" t="str">
        <x:v>M2</x:v>
      </x:c>
    </x:row>
    <x:row r="281">
      <x:c r="A281" s="66" t="str">
        <x:v>CAP-HMI-231</x:v>
      </x:c>
      <x:c r="B281" s="66" t="str">
        <x:v>Visual/HMI</x:v>
      </x:c>
      <x:c r="C281" s="66" t="str">
        <x:v>页面/导航</x:v>
      </x:c>
      <x:c r="D281" s="66" t="str">
        <x:v>页面分组</x:v>
      </x:c>
      <x:c r="E281" s="66" t="str">
        <x:v>一级导航/页面分组</x:v>
      </x:c>
      <x:c r="F281" s="66" t="str">
        <x:v>Extended</x:v>
      </x:c>
      <x:c r="G281" s="66" t="str">
        <x:v>07_StudioDesigner架构 / 08_Renderer与几何系统 / 09_CommandUndoTransaction</x:v>
      </x:c>
      <x:c r="H281" s="66" t="str">
        <x:v>M2</x:v>
      </x:c>
    </x:row>
    <x:row r="282">
      <x:c r="A282" s="58" t="str">
        <x:v>CAP-HMI-232</x:v>
      </x:c>
      <x:c r="B282" s="58" t="str">
        <x:v>Visual/HMI</x:v>
      </x:c>
      <x:c r="C282" s="58" t="str">
        <x:v>页面/导航</x:v>
      </x:c>
      <x:c r="D282" s="58" t="str">
        <x:v>页面滚动区域</x:v>
      </x:c>
      <x:c r="E282" s="58" t="str">
        <x:v>页面内部滚动、固定和缩放区域</x:v>
      </x:c>
      <x:c r="F282" s="58" t="str">
        <x:v>Extended</x:v>
      </x:c>
      <x:c r="G282" s="58" t="str">
        <x:v>07_StudioDesigner架构 / 08_Renderer与几何系统 / 09_CommandUndoTransaction</x:v>
      </x:c>
      <x:c r="H282" s="58" t="str">
        <x:v>M2</x:v>
      </x:c>
    </x:row>
    <x:row r="283">
      <x:c r="A283" s="66" t="str">
        <x:v>CAP-HMI-233</x:v>
      </x:c>
      <x:c r="B283" s="66" t="str">
        <x:v>Visual/HMI</x:v>
      </x:c>
      <x:c r="C283" s="66" t="str">
        <x:v>页面/导航</x:v>
      </x:c>
      <x:c r="D283" s="66" t="str">
        <x:v>页面状态保留</x:v>
      </x:c>
      <x:c r="E283" s="66" t="str">
        <x:v>输入值/滚动/图表缓存/局部状态按策略保留</x:v>
      </x:c>
      <x:c r="F283" s="66" t="str">
        <x:v>Core</x:v>
      </x:c>
      <x:c r="G283" s="66" t="str">
        <x:v>07_StudioDesigner架构 / 08_Renderer与几何系统 / 09_CommandUndoTransaction</x:v>
      </x:c>
      <x:c r="H283" s="66" t="str">
        <x:v>M2</x:v>
      </x:c>
    </x:row>
    <x:row r="284">
      <x:c r="A284" s="58" t="str">
        <x:v>CAP-HMI-234</x:v>
      </x:c>
      <x:c r="B284" s="58" t="str">
        <x:v>Visual/HMI</x:v>
      </x:c>
      <x:c r="C284" s="58" t="str">
        <x:v>页面/导航</x:v>
      </x:c>
      <x:c r="D284" s="58" t="str">
        <x:v>多显示器分配</x:v>
      </x:c>
      <x:c r="E284" s="58" t="str">
        <x:v>指定页面/窗口打开到指定显示器</x:v>
      </x:c>
      <x:c r="F284" s="58" t="str">
        <x:v>Extended</x:v>
      </x:c>
      <x:c r="G284" s="58" t="str">
        <x:v>07_StudioDesigner架构 / 08_Renderer与几何系统 / 09_CommandUndoTransaction</x:v>
      </x:c>
      <x:c r="H284" s="58" t="str">
        <x:v>M2</x:v>
      </x:c>
    </x:row>
    <x:row r="285">
      <x:c r="A285" s="66" t="str">
        <x:v>CAP-HMI-235</x:v>
      </x:c>
      <x:c r="B285" s="66" t="str">
        <x:v>Visual/HMI</x:v>
      </x:c>
      <x:c r="C285" s="66" t="str">
        <x:v>弹窗</x:v>
      </x:c>
      <x:c r="D285" s="66" t="str">
        <x:v>弹窗设计</x:v>
      </x:c>
      <x:c r="E285" s="66" t="str">
        <x:v>弹窗作为独立可设计资源，拥有图层、控件、参数</x:v>
      </x:c>
      <x:c r="F285" s="66" t="str">
        <x:v>Core</x:v>
      </x:c>
      <x:c r="G285" s="66" t="str">
        <x:v>07_StudioDesigner架构 / 08_Renderer与几何系统 / 09_CommandUndoTransaction</x:v>
      </x:c>
      <x:c r="H285" s="66" t="str">
        <x:v>M2</x:v>
      </x:c>
    </x:row>
    <x:row r="286">
      <x:c r="A286" s="58" t="str">
        <x:v>CAP-HMI-236</x:v>
      </x:c>
      <x:c r="B286" s="58" t="str">
        <x:v>Visual/HMI</x:v>
      </x:c>
      <x:c r="C286" s="58" t="str">
        <x:v>弹窗</x:v>
      </x:c>
      <x:c r="D286" s="58" t="str">
        <x:v>模态/非模态</x:v>
      </x:c>
      <x:c r="E286" s="58" t="str">
        <x:v>Modal/NonModal</x:v>
      </x:c>
      <x:c r="F286" s="58" t="str">
        <x:v>Core</x:v>
      </x:c>
      <x:c r="G286" s="58" t="str">
        <x:v>07_StudioDesigner架构 / 08_Renderer与几何系统 / 09_CommandUndoTransaction</x:v>
      </x:c>
      <x:c r="H286" s="58" t="str">
        <x:v>M2</x:v>
      </x:c>
    </x:row>
    <x:row r="287">
      <x:c r="A287" s="66" t="str">
        <x:v>CAP-HMI-237</x:v>
      </x:c>
      <x:c r="B287" s="66" t="str">
        <x:v>Visual/HMI</x:v>
      </x:c>
      <x:c r="C287" s="66" t="str">
        <x:v>弹窗</x:v>
      </x:c>
      <x:c r="D287" s="66" t="str">
        <x:v>弹窗拖动</x:v>
      </x:c>
      <x:c r="E287" s="66" t="str">
        <x:v>运行时是否允许拖动</x:v>
      </x:c>
      <x:c r="F287" s="66" t="str">
        <x:v>Extended</x:v>
      </x:c>
      <x:c r="G287" s="66" t="str">
        <x:v>07_StudioDesigner架构 / 08_Renderer与几何系统 / 09_CommandUndoTransaction</x:v>
      </x:c>
      <x:c r="H287" s="66" t="str">
        <x:v>M2</x:v>
      </x:c>
    </x:row>
    <x:row r="288">
      <x:c r="A288" s="58" t="str">
        <x:v>CAP-HMI-238</x:v>
      </x:c>
      <x:c r="B288" s="58" t="str">
        <x:v>Visual/HMI</x:v>
      </x:c>
      <x:c r="C288" s="58" t="str">
        <x:v>弹窗</x:v>
      </x:c>
      <x:c r="D288" s="58" t="str">
        <x:v>弹窗尺寸调整</x:v>
      </x:c>
      <x:c r="E288" s="58" t="str">
        <x:v>运行时是否允许调整大小</x:v>
      </x:c>
      <x:c r="F288" s="58" t="str">
        <x:v>Extended</x:v>
      </x:c>
      <x:c r="G288" s="58" t="str">
        <x:v>07_StudioDesigner架构 / 08_Renderer与几何系统 / 09_CommandUndoTransaction</x:v>
      </x:c>
      <x:c r="H288" s="58" t="str">
        <x:v>M2</x:v>
      </x:c>
    </x:row>
    <x:row r="289">
      <x:c r="A289" s="66" t="str">
        <x:v>CAP-HMI-239</x:v>
      </x:c>
      <x:c r="B289" s="66" t="str">
        <x:v>Visual/HMI</x:v>
      </x:c>
      <x:c r="C289" s="66" t="str">
        <x:v>弹窗</x:v>
      </x:c>
      <x:c r="D289" s="66" t="str">
        <x:v>弹窗定位</x:v>
      </x:c>
      <x:c r="E289" s="66" t="str">
        <x:v>居中/相对主窗口/相对控件/指定坐标/最大化</x:v>
      </x:c>
      <x:c r="F289" s="66" t="str">
        <x:v>Core</x:v>
      </x:c>
      <x:c r="G289" s="66" t="str">
        <x:v>07_StudioDesigner架构 / 08_Renderer与几何系统 / 09_CommandUndoTransaction</x:v>
      </x:c>
      <x:c r="H289" s="66" t="str">
        <x:v>M2</x:v>
      </x:c>
    </x:row>
    <x:row r="290">
      <x:c r="A290" s="58" t="str">
        <x:v>CAP-HMI-240</x:v>
      </x:c>
      <x:c r="B290" s="58" t="str">
        <x:v>Visual/HMI</x:v>
      </x:c>
      <x:c r="C290" s="58" t="str">
        <x:v>弹窗</x:v>
      </x:c>
      <x:c r="D290" s="58" t="str">
        <x:v>重复打开策略</x:v>
      </x:c>
      <x:c r="E290" s="58" t="str">
        <x:v>允许多实例/单实例/激活已有</x:v>
      </x:c>
      <x:c r="F290" s="58" t="str">
        <x:v>Extended</x:v>
      </x:c>
      <x:c r="G290" s="58" t="str">
        <x:v>07_StudioDesigner架构 / 08_Renderer与几何系统 / 09_CommandUndoTransaction</x:v>
      </x:c>
      <x:c r="H290" s="58" t="str">
        <x:v>M2</x:v>
      </x:c>
    </x:row>
    <x:row r="291">
      <x:c r="A291" s="66" t="str">
        <x:v>CAP-HMI-241</x:v>
      </x:c>
      <x:c r="B291" s="66" t="str">
        <x:v>Visual/HMI</x:v>
      </x:c>
      <x:c r="C291" s="66" t="str">
        <x:v>弹窗</x:v>
      </x:c>
      <x:c r="D291" s="66" t="str">
        <x:v>遮罩关闭</x:v>
      </x:c>
      <x:c r="E291" s="66" t="str">
        <x:v>可配置点击遮罩关闭</x:v>
      </x:c>
      <x:c r="F291" s="66" t="str">
        <x:v>Extended</x:v>
      </x:c>
      <x:c r="G291" s="66" t="str">
        <x:v>07_StudioDesigner架构 / 08_Renderer与几何系统 / 09_CommandUndoTransaction</x:v>
      </x:c>
      <x:c r="H291" s="66" t="str">
        <x:v>M2</x:v>
      </x:c>
    </x:row>
    <x:row r="292">
      <x:c r="A292" s="58" t="str">
        <x:v>CAP-HMI-242</x:v>
      </x:c>
      <x:c r="B292" s="58" t="str">
        <x:v>Visual/HMI</x:v>
      </x:c>
      <x:c r="C292" s="58" t="str">
        <x:v>弹窗</x:v>
      </x:c>
      <x:c r="D292" s="58" t="str">
        <x:v>超时关闭</x:v>
      </x:c>
      <x:c r="E292" s="58" t="str">
        <x:v>配置超时自动关闭</x:v>
      </x:c>
      <x:c r="F292" s="58" t="str">
        <x:v>Extended</x:v>
      </x:c>
      <x:c r="G292" s="58" t="str">
        <x:v>07_StudioDesigner架构 / 08_Renderer与几何系统 / 09_CommandUndoTransaction</x:v>
      </x:c>
      <x:c r="H292" s="58" t="str">
        <x:v>M2</x:v>
      </x:c>
    </x:row>
    <x:row r="293">
      <x:c r="A293" s="66" t="str">
        <x:v>CAP-HMI-243</x:v>
      </x:c>
      <x:c r="B293" s="66" t="str">
        <x:v>Visual/HMI</x:v>
      </x:c>
      <x:c r="C293" s="66" t="str">
        <x:v>弹窗</x:v>
      </x:c>
      <x:c r="D293" s="66" t="str">
        <x:v>弹窗参数</x:v>
      </x:c>
      <x:c r="E293" s="66" t="str">
        <x:v>打开时传递设备/变量/上下文参数</x:v>
      </x:c>
      <x:c r="F293" s="66" t="str">
        <x:v>Core</x:v>
      </x:c>
      <x:c r="G293" s="66" t="str">
        <x:v>07_StudioDesigner架构 / 08_Renderer与几何系统 / 09_CommandUndoTransaction</x:v>
      </x:c>
      <x:c r="H293" s="66" t="str">
        <x:v>M2</x:v>
      </x:c>
    </x:row>
    <x:row r="294">
      <x:c r="A294" s="58" t="str">
        <x:v>CAP-HMI-244</x:v>
      </x:c>
      <x:c r="B294" s="58" t="str">
        <x:v>Visual/HMI</x:v>
      </x:c>
      <x:c r="C294" s="58" t="str">
        <x:v>工程/发布</x:v>
      </x:c>
      <x:c r="D294" s="58" t="str">
        <x:v>最近工程</x:v>
      </x:c>
      <x:c r="E294" s="58" t="str">
        <x:v>维护最近使用工程</x:v>
      </x:c>
      <x:c r="F294" s="58" t="str">
        <x:v>Extended</x:v>
      </x:c>
      <x:c r="G294" s="58" t="str">
        <x:v>03_架构总纲与领域边界</x:v>
      </x:c>
      <x:c r="H294" s="58" t="str">
        <x:v>M2</x:v>
      </x:c>
    </x:row>
    <x:row r="295">
      <x:c r="A295" s="66" t="str">
        <x:v>CAP-HMI-245</x:v>
      </x:c>
      <x:c r="B295" s="66" t="str">
        <x:v>Visual/HMI</x:v>
      </x:c>
      <x:c r="C295" s="66" t="str">
        <x:v>工程/发布</x:v>
      </x:c>
      <x:c r="D295" s="66" t="str">
        <x:v>工程编号/作者</x:v>
      </x:c>
      <x:c r="E295" s="66" t="str">
        <x:v>工程编号、作者、公司、备注、最低Runtime版本</x:v>
      </x:c>
      <x:c r="F295" s="66" t="str">
        <x:v>Extended</x:v>
      </x:c>
      <x:c r="G295" s="66" t="str">
        <x:v>03_架构总纲与领域边界</x:v>
      </x:c>
      <x:c r="H295" s="66" t="str">
        <x:v>M2</x:v>
      </x:c>
    </x:row>
    <x:row r="296">
      <x:c r="A296" s="58" t="str">
        <x:v>CAP-HMI-246</x:v>
      </x:c>
      <x:c r="B296" s="58" t="str">
        <x:v>Visual/HMI</x:v>
      </x:c>
      <x:c r="C296" s="58" t="str">
        <x:v>工程/发布</x:v>
      </x:c>
      <x:c r="D296" s="58" t="str">
        <x:v>发布清单</x:v>
      </x:c>
      <x:c r="E296" s="58" t="str">
        <x:v>生成工程版本、插件、资源、Hash和校验报告</x:v>
      </x:c>
      <x:c r="F296" s="58" t="str">
        <x:v>Core</x:v>
      </x:c>
      <x:c r="G296" s="58" t="str">
        <x:v>03_架构总纲与领域边界</x:v>
      </x:c>
      <x:c r="H296" s="58" t="str">
        <x:v>M2</x:v>
      </x:c>
    </x:row>
    <x:row r="297">
      <x:c r="A297" s="66" t="str">
        <x:v>CAP-HMI-247</x:v>
      </x:c>
      <x:c r="B297" s="66" t="str">
        <x:v>Visual/HMI</x:v>
      </x:c>
      <x:c r="C297" s="66" t="str">
        <x:v>工程/发布</x:v>
      </x:c>
      <x:c r="D297" s="66" t="str">
        <x:v>只读发布</x:v>
      </x:c>
      <x:c r="E297" s="66" t="str">
        <x:v>运行端可读取但设计器不可直接编辑</x:v>
      </x:c>
      <x:c r="F297" s="66" t="str">
        <x:v>Extended</x:v>
      </x:c>
      <x:c r="G297" s="66" t="str">
        <x:v>03_架构总纲与领域边界</x:v>
      </x:c>
      <x:c r="H297" s="66" t="str">
        <x:v>M2</x:v>
      </x:c>
    </x:row>
    <x:row r="298">
      <x:c r="A298" s="58" t="str">
        <x:v>CAP-HMI-248</x:v>
      </x:c>
      <x:c r="B298" s="58" t="str">
        <x:v>Visual/HMI</x:v>
      </x:c>
      <x:c r="C298" s="58" t="str">
        <x:v>工程/发布</x:v>
      </x:c>
      <x:c r="D298" s="58" t="str">
        <x:v>加密发布</x:v>
      </x:c>
      <x:c r="E298" s="58" t="str">
        <x:v>敏感配置/脚本/资源加密</x:v>
      </x:c>
      <x:c r="F298" s="58" t="str">
        <x:v>Extended</x:v>
      </x:c>
      <x:c r="G298" s="58" t="str">
        <x:v>03_架构总纲与领域边界</x:v>
      </x:c>
      <x:c r="H298" s="58" t="str">
        <x:v>M2</x:v>
      </x:c>
    </x:row>
    <x:row r="299">
      <x:c r="A299" s="66" t="str">
        <x:v>CAP-HMI-249</x:v>
      </x:c>
      <x:c r="B299" s="66" t="str">
        <x:v>Visual/HMI</x:v>
      </x:c>
      <x:c r="C299" s="66" t="str">
        <x:v>工程/发布</x:v>
      </x:c>
      <x:c r="D299" s="66" t="str">
        <x:v>签名发布</x:v>
      </x:c>
      <x:c r="E299" s="66" t="str">
        <x:v>Runtime加载前验证签名/完整性</x:v>
      </x:c>
      <x:c r="F299" s="66" t="str">
        <x:v>Extended</x:v>
      </x:c>
      <x:c r="G299" s="66" t="str">
        <x:v>03_架构总纲与领域边界</x:v>
      </x:c>
      <x:c r="H299" s="66" t="str">
        <x:v>M2</x:v>
      </x:c>
    </x:row>
    <x:row r="300">
      <x:c r="A300" s="58" t="str">
        <x:v>CAP-HMI-250</x:v>
      </x:c>
      <x:c r="B300" s="58" t="str">
        <x:v>Visual/HMI</x:v>
      </x:c>
      <x:c r="C300" s="58" t="str">
        <x:v>工程/发布</x:v>
      </x:c>
      <x:c r="D300" s="58" t="str">
        <x:v>目录发布</x:v>
      </x:c>
      <x:c r="E300" s="58" t="str">
        <x:v>保持目录结构便于现场调试</x:v>
      </x:c>
      <x:c r="F300" s="58" t="str">
        <x:v>Core</x:v>
      </x:c>
      <x:c r="G300" s="58" t="str">
        <x:v>03_架构总纲与领域边界</x:v>
      </x:c>
      <x:c r="H300" s="58" t="str">
        <x:v>M2</x:v>
      </x:c>
    </x:row>
    <x:row r="301">
      <x:c r="A301" s="66" t="str">
        <x:v>CAP-HMI-251</x:v>
      </x:c>
      <x:c r="B301" s="66" t="str">
        <x:v>Visual/HMI</x:v>
      </x:c>
      <x:c r="C301" s="66" t="str">
        <x:v>工程/发布</x:v>
      </x:c>
      <x:c r="D301" s="66" t="str">
        <x:v>单包发布</x:v>
      </x:c>
      <x:c r="E301" s="66" t="str">
        <x:v>单文件包发布</x:v>
      </x:c>
      <x:c r="F301" s="66" t="str">
        <x:v>Core</x:v>
      </x:c>
      <x:c r="G301" s="66" t="str">
        <x:v>03_架构总纲与领域边界</x:v>
      </x:c>
      <x:c r="H301" s="66" t="str">
        <x:v>M2</x:v>
      </x:c>
    </x:row>
    <x:row r="302">
      <x:c r="A302" s="58" t="str">
        <x:v>CAP-HMI-252</x:v>
      </x:c>
      <x:c r="B302" s="58" t="str">
        <x:v>Visual/HMI</x:v>
      </x:c>
      <x:c r="C302" s="58" t="str">
        <x:v>工程/发布</x:v>
      </x:c>
      <x:c r="D302" s="58" t="str">
        <x:v>完整发布</x:v>
      </x:c>
      <x:c r="E302" s="58" t="str">
        <x:v>完整工程、资源、插件与依赖</x:v>
      </x:c>
      <x:c r="F302" s="58" t="str">
        <x:v>Extended</x:v>
      </x:c>
      <x:c r="G302" s="58" t="str">
        <x:v>03_架构总纲与领域边界</x:v>
      </x:c>
      <x:c r="H302" s="58" t="str">
        <x:v>M2</x:v>
      </x:c>
    </x:row>
    <x:row r="303">
      <x:c r="A303" s="66" t="str">
        <x:v>CAP-HMI-253</x:v>
      </x:c>
      <x:c r="B303" s="66" t="str">
        <x:v>Visual/HMI</x:v>
      </x:c>
      <x:c r="C303" s="66" t="str">
        <x:v>工程/发布</x:v>
      </x:c>
      <x:c r="D303" s="66" t="str">
        <x:v>增量发布</x:v>
      </x:c>
      <x:c r="E303" s="66" t="str">
        <x:v>仅变更页面/资源/脚本/配置</x:v>
      </x:c>
      <x:c r="F303" s="66" t="str">
        <x:v>Extended</x:v>
      </x:c>
      <x:c r="G303" s="66" t="str">
        <x:v>03_架构总纲与领域边界</x:v>
      </x:c>
      <x:c r="H303" s="66" t="str">
        <x:v>M2</x:v>
      </x:c>
    </x:row>
    <x:row r="304">
      <x:c r="A304" s="58" t="str">
        <x:v>CAP-HMI-254</x:v>
      </x:c>
      <x:c r="B304" s="58" t="str">
        <x:v>Visual/HMI</x:v>
      </x:c>
      <x:c r="C304" s="58" t="str">
        <x:v>工程/发布</x:v>
      </x:c>
      <x:c r="D304" s="58" t="str">
        <x:v>离线发布包</x:v>
      </x:c>
      <x:c r="E304" s="58" t="str">
        <x:v>适用无法联网工控机</x:v>
      </x:c>
      <x:c r="F304" s="58" t="str">
        <x:v>Extended</x:v>
      </x:c>
      <x:c r="G304" s="58" t="str">
        <x:v>03_架构总纲与领域边界</x:v>
      </x:c>
      <x:c r="H304" s="58" t="str">
        <x:v>M2</x:v>
      </x:c>
    </x:row>
    <x:row r="305">
      <x:c r="A305" s="66" t="str">
        <x:v>CAP-SCA-013</x:v>
      </x:c>
      <x:c r="B305" s="66" t="str">
        <x:v>SCADA</x:v>
      </x:c>
      <x:c r="C305" s="66" t="str">
        <x:v>变量/点位管理</x:v>
      </x:c>
      <x:c r="D305" s="66" t="str">
        <x:v>变量唯一ID</x:v>
      </x:c>
      <x:c r="E305" s="66" t="str">
        <x:v>变量绑定保存唯一ID，同时保留路径/名称/类型</x:v>
      </x:c>
      <x:c r="F305" s="66" t="str">
        <x:v>Core</x:v>
      </x:c>
      <x:c r="G305" s="66" t="str">
        <x:v>17_SCADA_ICS</x:v>
      </x:c>
      <x:c r="H305" s="66" t="str">
        <x:v>M2</x:v>
      </x:c>
    </x:row>
    <x:row r="306">
      <x:c r="A306" s="58" t="str">
        <x:v>CAP-SCA-014</x:v>
      </x:c>
      <x:c r="B306" s="58" t="str">
        <x:v>SCADA</x:v>
      </x:c>
      <x:c r="C306" s="58" t="str">
        <x:v>变量/点位管理</x:v>
      </x:c>
      <x:c r="D306" s="58" t="str">
        <x:v>变量别名</x:v>
      </x:c>
      <x:c r="E306" s="58" t="str">
        <x:v>工程级变量别名与显示名</x:v>
      </x:c>
      <x:c r="F306" s="58" t="str">
        <x:v>Extended</x:v>
      </x:c>
      <x:c r="G306" s="58" t="str">
        <x:v>17_SCADA_ICS</x:v>
      </x:c>
      <x:c r="H306" s="58" t="str">
        <x:v>M2</x:v>
      </x:c>
    </x:row>
    <x:row r="307">
      <x:c r="A307" s="66" t="str">
        <x:v>CAP-SCA-015</x:v>
      </x:c>
      <x:c r="B307" s="66" t="str">
        <x:v>SCADA</x:v>
      </x:c>
      <x:c r="C307" s="66" t="str">
        <x:v>变量/点位管理</x:v>
      </x:c>
      <x:c r="D307" s="66" t="str">
        <x:v>变量收藏</x:v>
      </x:c>
      <x:c r="E307" s="66" t="str">
        <x:v>变量选择器收藏常用变量</x:v>
      </x:c>
      <x:c r="F307" s="66" t="str">
        <x:v>Extended</x:v>
      </x:c>
      <x:c r="G307" s="66" t="str">
        <x:v>17_SCADA_ICS</x:v>
      </x:c>
      <x:c r="H307" s="66" t="str">
        <x:v>M2</x:v>
      </x:c>
    </x:row>
    <x:row r="308">
      <x:c r="A308" s="58" t="str">
        <x:v>CAP-SCA-016</x:v>
      </x:c>
      <x:c r="B308" s="58" t="str">
        <x:v>SCADA</x:v>
      </x:c>
      <x:c r="C308" s="58" t="str">
        <x:v>变量/点位管理</x:v>
      </x:c>
      <x:c r="D308" s="58" t="str">
        <x:v>最近使用变量</x:v>
      </x:c>
      <x:c r="E308" s="58" t="str">
        <x:v>变量选择器最近使用</x:v>
      </x:c>
      <x:c r="F308" s="58" t="str">
        <x:v>Extended</x:v>
      </x:c>
      <x:c r="G308" s="58" t="str">
        <x:v>17_SCADA_ICS</x:v>
      </x:c>
      <x:c r="H308" s="58" t="str">
        <x:v>M2</x:v>
      </x:c>
    </x:row>
    <x:row r="309">
      <x:c r="A309" s="66" t="str">
        <x:v>CAP-SCA-017</x:v>
      </x:c>
      <x:c r="B309" s="66" t="str">
        <x:v>SCADA</x:v>
      </x:c>
      <x:c r="C309" s="66" t="str">
        <x:v>变量/点位管理</x:v>
      </x:c>
      <x:c r="D309" s="66" t="str">
        <x:v>变量详情</x:v>
      </x:c>
      <x:c r="E309" s="66" t="str">
        <x:v>当前值、描述、单位、上下限、来源/地址（按权限）</x:v>
      </x:c>
      <x:c r="F309" s="66" t="str">
        <x:v>Extended</x:v>
      </x:c>
      <x:c r="G309" s="66" t="str">
        <x:v>17_SCADA_ICS</x:v>
      </x:c>
      <x:c r="H309" s="66" t="str">
        <x:v>M2</x:v>
      </x:c>
    </x:row>
    <x:row r="310">
      <x:c r="A310" s="58" t="str">
        <x:v>CAP-SCA-018</x:v>
      </x:c>
      <x:c r="B310" s="58" t="str">
        <x:v>SCADA</x:v>
      </x:c>
      <x:c r="C310" s="58" t="str">
        <x:v>变量/点位管理</x:v>
      </x:c>
      <x:c r="D310" s="58" t="str">
        <x:v>失效绑定修复</x:v>
      </x:c>
      <x:c r="E310" s="58" t="str">
        <x:v>变量删除/ID变化后重新映射</x:v>
      </x:c>
      <x:c r="F310" s="58" t="str">
        <x:v>Core</x:v>
      </x:c>
      <x:c r="G310" s="58" t="str">
        <x:v>17_SCADA_ICS</x:v>
      </x:c>
      <x:c r="H310" s="58" t="str">
        <x:v>M2</x:v>
      </x:c>
    </x:row>
    <x:row r="311">
      <x:c r="A311" s="66" t="str">
        <x:v>CAP-SCA-019</x:v>
      </x:c>
      <x:c r="B311" s="66" t="str">
        <x:v>SCADA</x:v>
      </x:c>
      <x:c r="C311" s="66" t="str">
        <x:v>变量/点位管理</x:v>
      </x:c>
      <x:c r="D311" s="66" t="str">
        <x:v>点表Excel导入</x:v>
      </x:c>
      <x:c r="E311" s="66" t="str">
        <x:v>调用现有点表模块导入</x:v>
      </x:c>
      <x:c r="F311" s="66" t="str">
        <x:v>Extended</x:v>
      </x:c>
      <x:c r="G311" s="66" t="str">
        <x:v>17_SCADA_ICS</x:v>
      </x:c>
      <x:c r="H311" s="66" t="str">
        <x:v>M2</x:v>
      </x:c>
    </x:row>
    <x:row r="312">
      <x:c r="A312" s="58" t="str">
        <x:v>CAP-SCA-020</x:v>
      </x:c>
      <x:c r="B312" s="58" t="str">
        <x:v>SCADA</x:v>
      </x:c>
      <x:c r="C312" s="58" t="str">
        <x:v>变量/点位管理</x:v>
      </x:c>
      <x:c r="D312" s="58" t="str">
        <x:v>点表CSV导入</x:v>
      </x:c>
      <x:c r="E312" s="58" t="str">
        <x:v>调用现有点表模块导入</x:v>
      </x:c>
      <x:c r="F312" s="58" t="str">
        <x:v>Extended</x:v>
      </x:c>
      <x:c r="G312" s="58" t="str">
        <x:v>17_SCADA_ICS</x:v>
      </x:c>
      <x:c r="H312" s="58" t="str">
        <x:v>M2</x:v>
      </x:c>
    </x:row>
    <x:row r="313">
      <x:c r="A313" s="66" t="str">
        <x:v>CAP-SCA-021</x:v>
      </x:c>
      <x:c r="B313" s="66" t="str">
        <x:v>SCADA</x:v>
      </x:c>
      <x:c r="C313" s="66" t="str">
        <x:v>变量/点位管理</x:v>
      </x:c>
      <x:c r="D313" s="66" t="str">
        <x:v>点表JSON导入</x:v>
      </x:c>
      <x:c r="E313" s="66" t="str">
        <x:v>调用现有点表模块导入</x:v>
      </x:c>
      <x:c r="F313" s="66" t="str">
        <x:v>Extended</x:v>
      </x:c>
      <x:c r="G313" s="66" t="str">
        <x:v>17_SCADA_ICS</x:v>
      </x:c>
      <x:c r="H313" s="66" t="str">
        <x:v>M2</x:v>
      </x:c>
    </x:row>
    <x:row r="314">
      <x:c r="A314" s="58" t="str">
        <x:v>CAP-SCA-022</x:v>
      </x:c>
      <x:c r="B314" s="58" t="str">
        <x:v>SCADA</x:v>
      </x:c>
      <x:c r="C314" s="58" t="str">
        <x:v>变量/点位管理</x:v>
      </x:c>
      <x:c r="D314" s="58" t="str">
        <x:v>点表导入预览</x:v>
      </x:c>
      <x:c r="E314" s="58" t="str">
        <x:v>重复点、类型、地址冲突检查</x:v>
      </x:c>
      <x:c r="F314" s="58" t="str">
        <x:v>Extended</x:v>
      </x:c>
      <x:c r="G314" s="58" t="str">
        <x:v>17_SCADA_ICS</x:v>
      </x:c>
      <x:c r="H314" s="58" t="str">
        <x:v>M2</x:v>
      </x:c>
    </x:row>
    <x:row r="315">
      <x:c r="A315" s="66" t="str">
        <x:v>CAP-SCA-023</x:v>
      </x:c>
      <x:c r="B315" s="66" t="str">
        <x:v>SCADA</x:v>
      </x:c>
      <x:c r="C315" s="66" t="str">
        <x:v>变量/点位管理</x:v>
      </x:c>
      <x:c r="D315" s="66" t="str">
        <x:v>变量未绑定清单</x:v>
      </x:c>
      <x:c r="E315" s="66" t="str">
        <x:v>输出未绑定/失效/类型不匹配清单</x:v>
      </x:c>
      <x:c r="F315" s="66" t="str">
        <x:v>Extended</x:v>
      </x:c>
      <x:c r="G315" s="66" t="str">
        <x:v>17_SCADA_ICS</x:v>
      </x:c>
      <x:c r="H315" s="66" t="str">
        <x:v>M2</x:v>
      </x:c>
    </x:row>
    <x:row r="316">
      <x:c r="A316" s="58" t="str">
        <x:v>CAP-HMI-255</x:v>
      </x:c>
      <x:c r="B316" s="58" t="str">
        <x:v>Visual/HMI</x:v>
      </x:c>
      <x:c r="C316" s="58" t="str">
        <x:v>批量配点</x:v>
      </x:c>
      <x:c r="D316" s="58" t="str">
        <x:v>顺序配点</x:v>
      </x:c>
      <x:c r="E316" s="58" t="str">
        <x:v>按选择顺序/名称/X/Y/图层ZIndex等控件排序与变量排序一一绑定</x:v>
      </x:c>
      <x:c r="F316" s="58" t="str">
        <x:v>Core</x:v>
      </x:c>
      <x:c r="G316" s="58" t="str">
        <x:v>03_架构总纲与领域边界</x:v>
      </x:c>
      <x:c r="H316" s="58" t="str">
        <x:v>M2</x:v>
      </x:c>
    </x:row>
    <x:row r="317">
      <x:c r="A317" s="66" t="str">
        <x:v>CAP-HMI-256</x:v>
      </x:c>
      <x:c r="B317" s="66" t="str">
        <x:v>Visual/HMI</x:v>
      </x:c>
      <x:c r="C317" s="66" t="str">
        <x:v>批量配点</x:v>
      </x:c>
      <x:c r="D317" s="66" t="str">
        <x:v>自然数字排序</x:v>
      </x:c>
      <x:c r="E317" s="66" t="str">
        <x:v>Value2排在Value10之前</x:v>
      </x:c>
      <x:c r="F317" s="66" t="str">
        <x:v>Core</x:v>
      </x:c>
      <x:c r="G317" s="66" t="str">
        <x:v>03_架构总纲与领域边界</x:v>
      </x:c>
      <x:c r="H317" s="66" t="str">
        <x:v>M2</x:v>
      </x:c>
    </x:row>
    <x:row r="318">
      <x:c r="A318" s="58" t="str">
        <x:v>CAP-HMI-257</x:v>
      </x:c>
      <x:c r="B318" s="58" t="str">
        <x:v>Visual/HMI</x:v>
      </x:c>
      <x:c r="C318" s="58" t="str">
        <x:v>批量配点</x:v>
      </x:c>
      <x:c r="D318" s="58" t="str">
        <x:v>名称匹配</x:v>
      </x:c>
      <x:c r="E318" s="58" t="str">
        <x:v>控件名/SVG ID/属性名与变量名精确/包含/模糊匹配</x:v>
      </x:c>
      <x:c r="F318" s="58" t="str">
        <x:v>Core</x:v>
      </x:c>
      <x:c r="G318" s="58" t="str">
        <x:v>03_架构总纲与领域边界</x:v>
      </x:c>
      <x:c r="H318" s="58" t="str">
        <x:v>M2</x:v>
      </x:c>
    </x:row>
    <x:row r="319">
      <x:c r="A319" s="66" t="str">
        <x:v>CAP-HMI-258</x:v>
      </x:c>
      <x:c r="B319" s="66" t="str">
        <x:v>Visual/HMI</x:v>
      </x:c>
      <x:c r="C319" s="66" t="str">
        <x:v>批量配点</x:v>
      </x:c>
      <x:c r="D319" s="66" t="str">
        <x:v>字符规则</x:v>
      </x:c>
      <x:c r="E319" s="66" t="str">
        <x:v>下划线↔点号、大小写忽略、去前后缀、中文别名</x:v>
      </x:c>
      <x:c r="F319" s="66" t="str">
        <x:v>Core</x:v>
      </x:c>
      <x:c r="G319" s="66" t="str">
        <x:v>03_架构总纲与领域边界</x:v>
      </x:c>
      <x:c r="H319" s="66" t="str">
        <x:v>M2</x:v>
      </x:c>
    </x:row>
    <x:row r="320">
      <x:c r="A320" s="58" t="str">
        <x:v>CAP-HMI-259</x:v>
      </x:c>
      <x:c r="B320" s="58" t="str">
        <x:v>Visual/HMI</x:v>
      </x:c>
      <x:c r="C320" s="58" t="str">
        <x:v>批量配点</x:v>
      </x:c>
      <x:c r="D320" s="58" t="str">
        <x:v>正则匹配</x:v>
      </x:c>
      <x:c r="E320" s="58" t="str">
        <x:v>正则表达式与捕获组匹配</x:v>
      </x:c>
      <x:c r="F320" s="58" t="str">
        <x:v>Core</x:v>
      </x:c>
      <x:c r="G320" s="58" t="str">
        <x:v>03_架构总纲与领域边界</x:v>
      </x:c>
      <x:c r="H320" s="58" t="str">
        <x:v>M2</x:v>
      </x:c>
    </x:row>
    <x:row r="321">
      <x:c r="A321" s="66" t="str">
        <x:v>CAP-HMI-260</x:v>
      </x:c>
      <x:c r="B321" s="66" t="str">
        <x:v>Visual/HMI</x:v>
      </x:c>
      <x:c r="C321" s="66" t="str">
        <x:v>批量配点</x:v>
      </x:c>
      <x:c r="D321" s="66" t="str">
        <x:v>匹配置信度</x:v>
      </x:c>
      <x:c r="E321" s="66" t="str">
        <x:v>显示自动匹配置信度并设置阈值</x:v>
      </x:c>
      <x:c r="F321" s="66" t="str">
        <x:v>Core</x:v>
      </x:c>
      <x:c r="G321" s="66" t="str">
        <x:v>03_架构总纲与领域边界</x:v>
      </x:c>
      <x:c r="H321" s="66" t="str">
        <x:v>M2</x:v>
      </x:c>
    </x:row>
    <x:row r="322">
      <x:c r="A322" s="58" t="str">
        <x:v>CAP-HMI-261</x:v>
      </x:c>
      <x:c r="B322" s="58" t="str">
        <x:v>Visual/HMI</x:v>
      </x:c>
      <x:c r="C322" s="58" t="str">
        <x:v>批量配点</x:v>
      </x:c>
      <x:c r="D322" s="58" t="str">
        <x:v>前缀替换</x:v>
      </x:c>
      <x:c r="E322" s="58" t="str">
        <x:v>复制设备后Motor01→Motor02</x:v>
      </x:c>
      <x:c r="F322" s="58" t="str">
        <x:v>Core</x:v>
      </x:c>
      <x:c r="G322" s="58" t="str">
        <x:v>03_架构总纲与领域边界</x:v>
      </x:c>
      <x:c r="H322" s="58" t="str">
        <x:v>M2</x:v>
      </x:c>
    </x:row>
    <x:row r="323">
      <x:c r="A323" s="66" t="str">
        <x:v>CAP-HMI-262</x:v>
      </x:c>
      <x:c r="B323" s="66" t="str">
        <x:v>Visual/HMI</x:v>
      </x:c>
      <x:c r="C323" s="66" t="str">
        <x:v>批量配点</x:v>
      </x:c>
      <x:c r="D323" s="66" t="str">
        <x:v>后缀替换</x:v>
      </x:c>
      <x:c r="E323" s="66" t="str">
        <x:v>批量替换后缀</x:v>
      </x:c>
      <x:c r="F323" s="66" t="str">
        <x:v>Core</x:v>
      </x:c>
      <x:c r="G323" s="66" t="str">
        <x:v>03_架构总纲与领域边界</x:v>
      </x:c>
      <x:c r="H323" s="66" t="str">
        <x:v>M2</x:v>
      </x:c>
    </x:row>
    <x:row r="324">
      <x:c r="A324" s="58" t="str">
        <x:v>CAP-HMI-263</x:v>
      </x:c>
      <x:c r="B324" s="58" t="str">
        <x:v>Visual/HMI</x:v>
      </x:c>
      <x:c r="C324" s="58" t="str">
        <x:v>批量配点</x:v>
      </x:c>
      <x:c r="D324" s="58" t="str">
        <x:v>中间编号替换</x:v>
      </x:c>
      <x:c r="E324" s="58" t="str">
        <x:v>设备编号批量替换</x:v>
      </x:c>
      <x:c r="F324" s="58" t="str">
        <x:v>Core</x:v>
      </x:c>
      <x:c r="G324" s="58" t="str">
        <x:v>03_架构总纲与领域边界</x:v>
      </x:c>
      <x:c r="H324" s="58" t="str">
        <x:v>M2</x:v>
      </x:c>
    </x:row>
    <x:row r="325">
      <x:c r="A325" s="66" t="str">
        <x:v>CAP-HMI-264</x:v>
      </x:c>
      <x:c r="B325" s="66" t="str">
        <x:v>Visual/HMI</x:v>
      </x:c>
      <x:c r="C325" s="66" t="str">
        <x:v>批量配点</x:v>
      </x:c>
      <x:c r="D325" s="66" t="str">
        <x:v>变量分组替换</x:v>
      </x:c>
      <x:c r="E325" s="66" t="str">
        <x:v>变量组整体替换</x:v>
      </x:c>
      <x:c r="F325" s="66" t="str">
        <x:v>Core</x:v>
      </x:c>
      <x:c r="G325" s="66" t="str">
        <x:v>03_架构总纲与领域边界</x:v>
      </x:c>
      <x:c r="H325" s="66" t="str">
        <x:v>M2</x:v>
      </x:c>
    </x:row>
    <x:row r="326">
      <x:c r="A326" s="58" t="str">
        <x:v>CAP-HMI-265</x:v>
      </x:c>
      <x:c r="B326" s="58" t="str">
        <x:v>Visual/HMI</x:v>
      </x:c>
      <x:c r="C326" s="58" t="str">
        <x:v>批量配点</x:v>
      </x:c>
      <x:c r="D326" s="58" t="str">
        <x:v>Excel映射粘贴</x:v>
      </x:c>
      <x:c r="E326" s="58" t="str">
        <x:v>从Excel粘贴控件-属性-变量映射</x:v>
      </x:c>
      <x:c r="F326" s="58" t="str">
        <x:v>Core</x:v>
      </x:c>
      <x:c r="G326" s="58" t="str">
        <x:v>03_架构总纲与领域边界</x:v>
      </x:c>
      <x:c r="H326" s="58" t="str">
        <x:v>M2</x:v>
      </x:c>
    </x:row>
    <x:row r="327">
      <x:c r="A327" s="66" t="str">
        <x:v>CAP-HMI-266</x:v>
      </x:c>
      <x:c r="B327" s="66" t="str">
        <x:v>Visual/HMI</x:v>
      </x:c>
      <x:c r="C327" s="66" t="str">
        <x:v>批量配点</x:v>
      </x:c>
      <x:c r="D327" s="66" t="str">
        <x:v>批量配点表格</x:v>
      </x:c>
      <x:c r="E327" s="66" t="str">
        <x:v>控件/属性/当前变量/新变量/类型/状态/说明表格</x:v>
      </x:c>
      <x:c r="F327" s="66" t="str">
        <x:v>Core</x:v>
      </x:c>
      <x:c r="G327" s="66" t="str">
        <x:v>03_架构总纲与领域边界</x:v>
      </x:c>
      <x:c r="H327" s="66" t="str">
        <x:v>M2</x:v>
      </x:c>
    </x:row>
    <x:row r="328">
      <x:c r="A328" s="58" t="str">
        <x:v>CAP-HMI-267</x:v>
      </x:c>
      <x:c r="B328" s="58" t="str">
        <x:v>Visual/HMI</x:v>
      </x:c>
      <x:c r="C328" s="58" t="str">
        <x:v>批量配点</x:v>
      </x:c>
      <x:c r="D328" s="58" t="str">
        <x:v>只显示错误</x:v>
      </x:c>
      <x:c r="E328" s="58" t="str">
        <x:v>筛选未匹配/类型错误/只读/危险点</x:v>
      </x:c>
      <x:c r="F328" s="58" t="str">
        <x:v>Core</x:v>
      </x:c>
      <x:c r="G328" s="58" t="str">
        <x:v>03_架构总纲与领域边界</x:v>
      </x:c>
      <x:c r="H328" s="58" t="str">
        <x:v>M2</x:v>
      </x:c>
    </x:row>
    <x:row r="329">
      <x:c r="A329" s="66" t="str">
        <x:v>CAP-HMI-268</x:v>
      </x:c>
      <x:c r="B329" s="66" t="str">
        <x:v>Visual/HMI</x:v>
      </x:c>
      <x:c r="C329" s="66" t="str">
        <x:v>批量配点</x:v>
      </x:c>
      <x:c r="D329" s="66" t="str">
        <x:v>模板设备前缀</x:v>
      </x:c>
      <x:c r="E329" s="66" t="str">
        <x:v>模板实例输入设备前缀自动绑定</x:v>
      </x:c>
      <x:c r="F329" s="66" t="str">
        <x:v>Core</x:v>
      </x:c>
      <x:c r="G329" s="66" t="str">
        <x:v>03_架构总纲与领域边界</x:v>
      </x:c>
      <x:c r="H329" s="66" t="str">
        <x:v>M2</x:v>
      </x:c>
    </x:row>
    <x:row r="330">
      <x:c r="A330" s="58" t="str">
        <x:v>CAP-HMI-269</x:v>
      </x:c>
      <x:c r="B330" s="58" t="str">
        <x:v>Visual/HMI</x:v>
      </x:c>
      <x:c r="C330" s="58" t="str">
        <x:v>批量配点</x:v>
      </x:c>
      <x:c r="D330" s="58" t="str">
        <x:v>SVG ID配点</x:v>
      </x:c>
      <x:c r="E330" s="58" t="str">
        <x:v>按SVG元素ID/class与变量自动匹配</x:v>
      </x:c>
      <x:c r="F330" s="58" t="str">
        <x:v>Core</x:v>
      </x:c>
      <x:c r="G330" s="58" t="str">
        <x:v>03_架构总纲与领域边界</x:v>
      </x:c>
      <x:c r="H330" s="58" t="str">
        <x:v>M2</x:v>
      </x:c>
    </x:row>
    <x:row r="331">
      <x:c r="A331" s="66" t="str">
        <x:v>CAP-HMI-270</x:v>
      </x:c>
      <x:c r="B331" s="66" t="str">
        <x:v>Visual/HMI</x:v>
      </x:c>
      <x:c r="C331" s="66" t="str">
        <x:v>批量配点</x:v>
      </x:c>
      <x:c r="D331" s="66" t="str">
        <x:v>批量配点预览</x:v>
      </x:c>
      <x:c r="E331" s="66" t="str">
        <x:v>修改前/后预览、成功/警告/失败统计</x:v>
      </x:c>
      <x:c r="F331" s="66" t="str">
        <x:v>Core</x:v>
      </x:c>
      <x:c r="G331" s="66" t="str">
        <x:v>03_架构总纲与领域边界</x:v>
      </x:c>
      <x:c r="H331" s="66" t="str">
        <x:v>M2</x:v>
      </x:c>
    </x:row>
    <x:row r="332">
      <x:c r="A332" s="58" t="str">
        <x:v>CAP-HMI-271</x:v>
      </x:c>
      <x:c r="B332" s="58" t="str">
        <x:v>Visual/HMI</x:v>
      </x:c>
      <x:c r="C332" s="58" t="str">
        <x:v>批量配点</x:v>
      </x:c>
      <x:c r="D332" s="58" t="str">
        <x:v>批量配点事务</x:v>
      </x:c>
      <x:c r="E332" s="58" t="str">
        <x:v>整批操作单一Undo单元</x:v>
      </x:c>
      <x:c r="F332" s="58" t="str">
        <x:v>Core</x:v>
      </x:c>
      <x:c r="G332" s="58" t="str">
        <x:v>03_架构总纲与领域边界</x:v>
      </x:c>
      <x:c r="H332" s="58" t="str">
        <x:v>M2</x:v>
      </x:c>
    </x:row>
    <x:row r="333">
      <x:c r="A333" s="66" t="str">
        <x:v>CAP-HMI-272</x:v>
      </x:c>
      <x:c r="B333" s="66" t="str">
        <x:v>Visual/HMI</x:v>
      </x:c>
      <x:c r="C333" s="66" t="str">
        <x:v>批量配点</x:v>
      </x:c>
      <x:c r="D333" s="66" t="str">
        <x:v>批量配点报告</x:v>
      </x:c>
      <x:c r="E333" s="66" t="str">
        <x:v>输出未匹配、类型不匹配、危险写点报告</x:v>
      </x:c>
      <x:c r="F333" s="66" t="str">
        <x:v>Core</x:v>
      </x:c>
      <x:c r="G333" s="66" t="str">
        <x:v>03_架构总纲与领域边界</x:v>
      </x:c>
      <x:c r="H333" s="66" t="str">
        <x:v>M2</x:v>
      </x:c>
    </x:row>
    <x:row r="334">
      <x:c r="A334" s="58" t="str">
        <x:v>CAP-HMI-273</x:v>
      </x:c>
      <x:c r="B334" s="58" t="str">
        <x:v>Visual/HMI</x:v>
      </x:c>
      <x:c r="C334" s="58" t="str">
        <x:v>表达式/状态映射</x:v>
      </x:c>
      <x:c r="D334" s="58" t="str">
        <x:v>位判断</x:v>
      </x:c>
      <x:c r="E334" s="58" t="str">
        <x:v>支持位掩码/位判断</x:v>
      </x:c>
      <x:c r="F334" s="58" t="str">
        <x:v>Extended</x:v>
      </x:c>
      <x:c r="G334" s="58" t="str">
        <x:v>10_Property元数据Binding</x:v>
      </x:c>
      <x:c r="H334" s="58" t="str">
        <x:v>M2</x:v>
      </x:c>
    </x:row>
    <x:row r="335">
      <x:c r="A335" s="66" t="str">
        <x:v>CAP-HMI-274</x:v>
      </x:c>
      <x:c r="B335" s="66" t="str">
        <x:v>Visual/HMI</x:v>
      </x:c>
      <x:c r="C335" s="66" t="str">
        <x:v>表达式/状态映射</x:v>
      </x:c>
      <x:c r="D335" s="66" t="str">
        <x:v>枚举映射</x:v>
      </x:c>
      <x:c r="E335" s="66" t="str">
        <x:v>数值/枚举→文本/颜色/图片/状态</x:v>
      </x:c>
      <x:c r="F335" s="66" t="str">
        <x:v>Core</x:v>
      </x:c>
      <x:c r="G335" s="66" t="str">
        <x:v>10_Property元数据Binding</x:v>
      </x:c>
      <x:c r="H335" s="66" t="str">
        <x:v>M2</x:v>
      </x:c>
    </x:row>
    <x:row r="336">
      <x:c r="A336" s="58" t="str">
        <x:v>CAP-HMI-275</x:v>
      </x:c>
      <x:c r="B336" s="58" t="str">
        <x:v>Visual/HMI</x:v>
      </x:c>
      <x:c r="C336" s="58" t="str">
        <x:v>表达式/状态映射</x:v>
      </x:c>
      <x:c r="D336" s="58" t="str">
        <x:v>比例偏移</x:v>
      </x:c>
      <x:c r="E336" s="58" t="str">
        <x:v>数值比例和偏移转换</x:v>
      </x:c>
      <x:c r="F336" s="58" t="str">
        <x:v>Extended</x:v>
      </x:c>
      <x:c r="G336" s="58" t="str">
        <x:v>10_Property元数据Binding</x:v>
      </x:c>
      <x:c r="H336" s="58" t="str">
        <x:v>M2</x:v>
      </x:c>
    </x:row>
    <x:row r="337">
      <x:c r="A337" s="66" t="str">
        <x:v>CAP-HMI-276</x:v>
      </x:c>
      <x:c r="B337" s="66" t="str">
        <x:v>Visual/HMI</x:v>
      </x:c>
      <x:c r="C337" s="66" t="str">
        <x:v>表达式/状态映射</x:v>
      </x:c>
      <x:c r="D337" s="66" t="str">
        <x:v>多状态映射</x:v>
      </x:c>
      <x:c r="E337" s="66" t="str">
        <x:v>0灰/1绿/2黄/3红闪等</x:v>
      </x:c>
      <x:c r="F337" s="66" t="str">
        <x:v>Core</x:v>
      </x:c>
      <x:c r="G337" s="66" t="str">
        <x:v>10_Property元数据Binding</x:v>
      </x:c>
      <x:c r="H337" s="66" t="str">
        <x:v>M2</x:v>
      </x:c>
    </x:row>
    <x:row r="338">
      <x:c r="A338" s="58" t="str">
        <x:v>CAP-HMI-277</x:v>
      </x:c>
      <x:c r="B338" s="58" t="str">
        <x:v>Visual/HMI</x:v>
      </x:c>
      <x:c r="C338" s="58" t="str">
        <x:v>表达式/状态映射</x:v>
      </x:c>
      <x:c r="D338" s="58" t="str">
        <x:v>常用数学函数</x:v>
      </x:c>
      <x:c r="E338" s="58" t="str">
        <x:v>abs/min/max/round等受限函数</x:v>
      </x:c>
      <x:c r="F338" s="58" t="str">
        <x:v>Extended</x:v>
      </x:c>
      <x:c r="G338" s="58" t="str">
        <x:v>10_Property元数据Binding</x:v>
      </x:c>
      <x:c r="H338" s="58" t="str">
        <x:v>M2</x:v>
      </x:c>
    </x:row>
    <x:row r="339">
      <x:c r="A339" s="66" t="str">
        <x:v>CAP-HMI-278</x:v>
      </x:c>
      <x:c r="B339" s="66" t="str">
        <x:v>Visual/HMI</x:v>
      </x:c>
      <x:c r="C339" s="66" t="str">
        <x:v>表达式/状态映射</x:v>
      </x:c>
      <x:c r="D339" s="66" t="str">
        <x:v>表达式错误隔离</x:v>
      </x:c>
      <x:c r="E339" s="66" t="str">
        <x:v>单表达式错误不影响页面其他绑定</x:v>
      </x:c>
      <x:c r="F339" s="66" t="str">
        <x:v>Core</x:v>
      </x:c>
      <x:c r="G339" s="66" t="str">
        <x:v>10_Property元数据Binding</x:v>
      </x:c>
      <x:c r="H339" s="66" t="str">
        <x:v>M2</x:v>
      </x:c>
    </x:row>
    <x:row r="340">
      <x:c r="A340" s="58" t="str">
        <x:v>CAP-HMI-279</x:v>
      </x:c>
      <x:c r="B340" s="58" t="str">
        <x:v>Visual/HMI</x:v>
      </x:c>
      <x:c r="C340" s="58" t="str">
        <x:v>表达式/状态映射</x:v>
      </x:c>
      <x:c r="D340" s="58" t="str">
        <x:v>表达式诊断</x:v>
      </x:c>
      <x:c r="E340" s="58" t="str">
        <x:v>显示输入、输出、错误和耗时</x:v>
      </x:c>
      <x:c r="F340" s="58" t="str">
        <x:v>Extended</x:v>
      </x:c>
      <x:c r="G340" s="58" t="str">
        <x:v>10_Property元数据Binding</x:v>
      </x:c>
      <x:c r="H340" s="58" t="str">
        <x:v>M2</x:v>
      </x:c>
    </x:row>
    <x:row r="341">
      <x:c r="A341" s="66" t="str">
        <x:v>CAP-SEC-001</x:v>
      </x:c>
      <x:c r="B341" s="66" t="str">
        <x:v>Security</x:v>
      </x:c>
      <x:c r="C341" s="66" t="str">
        <x:v>变量写入/安全</x:v>
      </x:c>
      <x:c r="D341" s="66" t="str">
        <x:v>按下写入</x:v>
      </x:c>
      <x:c r="E341" s="66" t="str">
        <x:v>MouseDown写值</x:v>
      </x:c>
      <x:c r="F341" s="66" t="str">
        <x:v>Core</x:v>
      </x:c>
      <x:c r="G341" s="66" t="str">
        <x:v>14_Security写入审计</x:v>
      </x:c>
      <x:c r="H341" s="66" t="str">
        <x:v>M2</x:v>
      </x:c>
    </x:row>
    <x:row r="342">
      <x:c r="A342" s="58" t="str">
        <x:v>CAP-SEC-002</x:v>
      </x:c>
      <x:c r="B342" s="58" t="str">
        <x:v>Security</x:v>
      </x:c>
      <x:c r="C342" s="58" t="str">
        <x:v>变量写入/安全</x:v>
      </x:c>
      <x:c r="D342" s="58" t="str">
        <x:v>松开写入</x:v>
      </x:c>
      <x:c r="E342" s="58" t="str">
        <x:v>MouseUp写值并处理失焦/异常</x:v>
      </x:c>
      <x:c r="F342" s="58" t="str">
        <x:v>Core</x:v>
      </x:c>
      <x:c r="G342" s="58" t="str">
        <x:v>14_Security写入审计</x:v>
      </x:c>
      <x:c r="H342" s="58" t="str">
        <x:v>M2</x:v>
      </x:c>
    </x:row>
    <x:row r="343">
      <x:c r="A343" s="66" t="str">
        <x:v>CAP-SEC-003</x:v>
      </x:c>
      <x:c r="B343" s="66" t="str">
        <x:v>Security</x:v>
      </x:c>
      <x:c r="C343" s="66" t="str">
        <x:v>变量写入/安全</x:v>
      </x:c>
      <x:c r="D343" s="66" t="str">
        <x:v>确认后写入</x:v>
      </x:c>
      <x:c r="E343" s="66" t="str">
        <x:v>数值输入/下拉确认后写入</x:v>
      </x:c>
      <x:c r="F343" s="66" t="str">
        <x:v>Core</x:v>
      </x:c>
      <x:c r="G343" s="66" t="str">
        <x:v>14_Security写入审计</x:v>
      </x:c>
      <x:c r="H343" s="66" t="str">
        <x:v>M2</x:v>
      </x:c>
    </x:row>
    <x:row r="344">
      <x:c r="A344" s="58" t="str">
        <x:v>CAP-SEC-004</x:v>
      </x:c>
      <x:c r="B344" s="58" t="str">
        <x:v>Security</x:v>
      </x:c>
      <x:c r="C344" s="58" t="str">
        <x:v>变量写入/安全</x:v>
      </x:c>
      <x:c r="D344" s="58" t="str">
        <x:v>写入范围</x:v>
      </x:c>
      <x:c r="E344" s="58" t="str">
        <x:v>上下限/步长/允许值集合</x:v>
      </x:c>
      <x:c r="F344" s="58" t="str">
        <x:v>Core</x:v>
      </x:c>
      <x:c r="G344" s="58" t="str">
        <x:v>14_Security写入审计</x:v>
      </x:c>
      <x:c r="H344" s="58" t="str">
        <x:v>M2</x:v>
      </x:c>
    </x:row>
    <x:row r="345">
      <x:c r="A345" s="66" t="str">
        <x:v>CAP-SEC-005</x:v>
      </x:c>
      <x:c r="B345" s="66" t="str">
        <x:v>Security</x:v>
      </x:c>
      <x:c r="C345" s="66" t="str">
        <x:v>变量写入/安全</x:v>
      </x:c>
      <x:c r="D345" s="66" t="str">
        <x:v>防重复点击</x:v>
      </x:c>
      <x:c r="E345" s="66" t="str">
        <x:v>防抖/冷却时间</x:v>
      </x:c>
      <x:c r="F345" s="66" t="str">
        <x:v>Core</x:v>
      </x:c>
      <x:c r="G345" s="66" t="str">
        <x:v>14_Security写入审计</x:v>
      </x:c>
      <x:c r="H345" s="66" t="str">
        <x:v>M2</x:v>
      </x:c>
    </x:row>
    <x:row r="346">
      <x:c r="A346" s="58" t="str">
        <x:v>CAP-SEC-006</x:v>
      </x:c>
      <x:c r="B346" s="58" t="str">
        <x:v>Security</x:v>
      </x:c>
      <x:c r="C346" s="58" t="str">
        <x:v>变量写入/安全</x:v>
      </x:c>
      <x:c r="D346" s="58" t="str">
        <x:v>写入超时</x:v>
      </x:c>
      <x:c r="E346" s="58" t="str">
        <x:v>超时提示</x:v>
      </x:c>
      <x:c r="F346" s="58" t="str">
        <x:v>Core</x:v>
      </x:c>
      <x:c r="G346" s="58" t="str">
        <x:v>14_Security写入审计</x:v>
      </x:c>
      <x:c r="H346" s="58" t="str">
        <x:v>M2</x:v>
      </x:c>
    </x:row>
    <x:row r="347">
      <x:c r="A347" s="66" t="str">
        <x:v>CAP-SEC-007</x:v>
      </x:c>
      <x:c r="B347" s="66" t="str">
        <x:v>Security</x:v>
      </x:c>
      <x:c r="C347" s="66" t="str">
        <x:v>变量写入/安全</x:v>
      </x:c>
      <x:c r="D347" s="66" t="str">
        <x:v>写后回读</x:v>
      </x:c>
      <x:c r="E347" s="66" t="str">
        <x:v>写入后读取确认</x:v>
      </x:c>
      <x:c r="F347" s="66" t="str">
        <x:v>Core</x:v>
      </x:c>
      <x:c r="G347" s="66" t="str">
        <x:v>14_Security写入审计</x:v>
      </x:c>
      <x:c r="H347" s="66" t="str">
        <x:v>M2</x:v>
      </x:c>
    </x:row>
    <x:row r="348">
      <x:c r="A348" s="58" t="str">
        <x:v>CAP-SEC-008</x:v>
      </x:c>
      <x:c r="B348" s="58" t="str">
        <x:v>Security</x:v>
      </x:c>
      <x:c r="C348" s="58" t="str">
        <x:v>变量写入/安全</x:v>
      </x:c>
      <x:c r="D348" s="58" t="str">
        <x:v>危险点分级</x:v>
      </x:c>
      <x:c r="E348" s="58" t="str">
        <x:v>危险点图标/风险等级</x:v>
      </x:c>
      <x:c r="F348" s="58" t="str">
        <x:v>Core</x:v>
      </x:c>
      <x:c r="G348" s="58" t="str">
        <x:v>14_Security写入审计</x:v>
      </x:c>
      <x:c r="H348" s="58" t="str">
        <x:v>M2</x:v>
      </x:c>
    </x:row>
    <x:row r="349">
      <x:c r="A349" s="66" t="str">
        <x:v>CAP-SEC-009</x:v>
      </x:c>
      <x:c r="B349" s="66" t="str">
        <x:v>Security</x:v>
      </x:c>
      <x:c r="C349" s="66" t="str">
        <x:v>变量写入/安全</x:v>
      </x:c>
      <x:c r="D349" s="66" t="str">
        <x:v>写入前后审计</x:v>
      </x:c>
      <x:c r="E349" s="66" t="str">
        <x:v>记录前值/目标值/回读值</x:v>
      </x:c>
      <x:c r="F349" s="66" t="str">
        <x:v>Core</x:v>
      </x:c>
      <x:c r="G349" s="66" t="str">
        <x:v>14_Security写入审计</x:v>
      </x:c>
      <x:c r="H349" s="66" t="str">
        <x:v>M2</x:v>
      </x:c>
    </x:row>
    <x:row r="350">
      <x:c r="A350" s="58" t="str">
        <x:v>CAP-SEC-010</x:v>
      </x:c>
      <x:c r="B350" s="58" t="str">
        <x:v>Security</x:v>
      </x:c>
      <x:c r="C350" s="58" t="str">
        <x:v>变量写入/安全</x:v>
      </x:c>
      <x:c r="D350" s="58" t="str">
        <x:v>调试写入总开关</x:v>
      </x:c>
      <x:c r="E350" s="58" t="str">
        <x:v>在线调试真实写入默认关闭并二次确认</x:v>
      </x:c>
      <x:c r="F350" s="58" t="str">
        <x:v>Core</x:v>
      </x:c>
      <x:c r="G350" s="58" t="str">
        <x:v>14_Security写入审计</x:v>
      </x:c>
      <x:c r="H350" s="58" t="str">
        <x:v>M2</x:v>
      </x:c>
    </x:row>
    <x:row r="351">
      <x:c r="A351" s="66" t="str">
        <x:v>CAP-HMI-280</x:v>
      </x:c>
      <x:c r="B351" s="66" t="str">
        <x:v>Visual/HMI</x:v>
      </x:c>
      <x:c r="C351" s="66" t="str">
        <x:v>SVG详细</x:v>
      </x:c>
      <x:c r="D351" s="66" t="str">
        <x:v>SVG可编辑导入</x:v>
      </x:c>
      <x:c r="E351" s="66" t="str">
        <x:v>rect/circle/ellipse/line/polyline/polygon/path/text/image/g转换内部元素</x:v>
      </x:c>
      <x:c r="F351" s="66" t="str">
        <x:v>Core</x:v>
      </x:c>
      <x:c r="G351" s="66" t="str">
        <x:v>15_SVG资源样式主题</x:v>
      </x:c>
      <x:c r="H351" s="66" t="str">
        <x:v>M2</x:v>
      </x:c>
    </x:row>
    <x:row r="352">
      <x:c r="A352" s="58" t="str">
        <x:v>CAP-HMI-281</x:v>
      </x:c>
      <x:c r="B352" s="58" t="str">
        <x:v>Visual/HMI</x:v>
      </x:c>
      <x:c r="C352" s="58" t="str">
        <x:v>SVG详细</x:v>
      </x:c>
      <x:c r="D352" s="58" t="str">
        <x:v>SVG整体导入</x:v>
      </x:c>
      <x:c r="E352" s="58" t="str">
        <x:v>复杂SVG作为整体矢量控件</x:v>
      </x:c>
      <x:c r="F352" s="58" t="str">
        <x:v>Core</x:v>
      </x:c>
      <x:c r="G352" s="58" t="str">
        <x:v>15_SVG资源样式主题</x:v>
      </x:c>
      <x:c r="H352" s="58" t="str">
        <x:v>M2</x:v>
      </x:c>
    </x:row>
    <x:row r="353">
      <x:c r="A353" s="66" t="str">
        <x:v>CAP-HMI-282</x:v>
      </x:c>
      <x:c r="B353" s="66" t="str">
        <x:v>Visual/HMI</x:v>
      </x:c>
      <x:c r="C353" s="66" t="str">
        <x:v>SVG详细</x:v>
      </x:c>
      <x:c r="D353" s="66" t="str">
        <x:v>SVG结构保留</x:v>
      </x:c>
      <x:c r="E353" s="66" t="str">
        <x:v>id/class/group/order/style/transform/viewBox/text尽量保留</x:v>
      </x:c>
      <x:c r="F353" s="66" t="str">
        <x:v>Core</x:v>
      </x:c>
      <x:c r="G353" s="66" t="str">
        <x:v>15_SVG资源样式主题</x:v>
      </x:c>
      <x:c r="H353" s="66" t="str">
        <x:v>M2</x:v>
      </x:c>
    </x:row>
    <x:row r="354">
      <x:c r="A354" s="58" t="str">
        <x:v>CAP-HMI-283</x:v>
      </x:c>
      <x:c r="B354" s="58" t="str">
        <x:v>Visual/HMI</x:v>
      </x:c>
      <x:c r="C354" s="58" t="str">
        <x:v>SVG详细</x:v>
      </x:c>
      <x:c r="D354" s="58" t="str">
        <x:v>SVG导入向导</x:v>
      </x:c>
      <x:c r="E354" s="58" t="str">
        <x:v>预览、模式、尺寸、分组、图层、ID检查、自动配点、不支持项报告</x:v>
      </x:c>
      <x:c r="F354" s="58" t="str">
        <x:v>Core</x:v>
      </x:c>
      <x:c r="G354" s="58" t="str">
        <x:v>15_SVG资源样式主题</x:v>
      </x:c>
      <x:c r="H354" s="58" t="str">
        <x:v>M2</x:v>
      </x:c>
    </x:row>
    <x:row r="355">
      <x:c r="A355" s="66" t="str">
        <x:v>CAP-HMI-284</x:v>
      </x:c>
      <x:c r="B355" s="66" t="str">
        <x:v>Visual/HMI</x:v>
      </x:c>
      <x:c r="C355" s="66" t="str">
        <x:v>SVG详细</x:v>
      </x:c>
      <x:c r="D355" s="66" t="str">
        <x:v>SVG图层映射</x:v>
      </x:c>
      <x:c r="E355" s="66" t="str">
        <x:v>第一层g/id/class/背景/交互/状态规则映射组态图层</x:v>
      </x:c>
      <x:c r="F355" s="66" t="str">
        <x:v>Core</x:v>
      </x:c>
      <x:c r="G355" s="66" t="str">
        <x:v>15_SVG资源样式主题</x:v>
      </x:c>
      <x:c r="H355" s="66" t="str">
        <x:v>M2</x:v>
      </x:c>
    </x:row>
    <x:row r="356">
      <x:c r="A356" s="58" t="str">
        <x:v>CAP-HMI-285</x:v>
      </x:c>
      <x:c r="B356" s="58" t="str">
        <x:v>Visual/HMI</x:v>
      </x:c>
      <x:c r="C356" s="58" t="str">
        <x:v>SVG详细</x:v>
      </x:c>
      <x:c r="D356" s="58" t="str">
        <x:v>SVG复杂特性报告</x:v>
      </x:c>
      <x:c r="E356" s="58" t="str">
        <x:v>filter/mask/clip/gradient/pattern/font/script/external resource降级说明</x:v>
      </x:c>
      <x:c r="F356" s="58" t="str">
        <x:v>Core</x:v>
      </x:c>
      <x:c r="G356" s="58" t="str">
        <x:v>15_SVG资源样式主题</x:v>
      </x:c>
      <x:c r="H356" s="58" t="str">
        <x:v>M2</x:v>
      </x:c>
    </x:row>
    <x:row r="357">
      <x:c r="A357" s="66" t="str">
        <x:v>CAP-HMI-286</x:v>
      </x:c>
      <x:c r="B357" s="66" t="str">
        <x:v>Visual/HMI</x:v>
      </x:c>
      <x:c r="C357" s="66" t="str">
        <x:v>SVG详细</x:v>
      </x:c>
      <x:c r="D357" s="66" t="str">
        <x:v>SVG脚本禁用</x:v>
      </x:c>
      <x:c r="E357" s="66" t="str">
        <x:v>禁止执行JavaScript</x:v>
      </x:c>
      <x:c r="F357" s="66" t="str">
        <x:v>Core</x:v>
      </x:c>
      <x:c r="G357" s="66" t="str">
        <x:v>15_SVG资源样式主题</x:v>
      </x:c>
      <x:c r="H357" s="66" t="str">
        <x:v>M2</x:v>
      </x:c>
    </x:row>
    <x:row r="358">
      <x:c r="A358" s="58" t="str">
        <x:v>CAP-HMI-287</x:v>
      </x:c>
      <x:c r="B358" s="58" t="str">
        <x:v>Visual/HMI</x:v>
      </x:c>
      <x:c r="C358" s="58" t="str">
        <x:v>SVG详细</x:v>
      </x:c>
      <x:c r="D358" s="58" t="str">
        <x:v>SVG外部网络禁用</x:v>
      </x:c>
      <x:c r="E358" s="58" t="str">
        <x:v>默认禁止外部网络资源</x:v>
      </x:c>
      <x:c r="F358" s="58" t="str">
        <x:v>Core</x:v>
      </x:c>
      <x:c r="G358" s="58" t="str">
        <x:v>15_SVG资源样式主题</x:v>
      </x:c>
      <x:c r="H358" s="58" t="str">
        <x:v>M2</x:v>
      </x:c>
    </x:row>
    <x:row r="359">
      <x:c r="A359" s="66" t="str">
        <x:v>CAP-HMI-288</x:v>
      </x:c>
      <x:c r="B359" s="66" t="str">
        <x:v>Visual/HMI</x:v>
      </x:c>
      <x:c r="C359" s="66" t="str">
        <x:v>SVG详细</x:v>
      </x:c>
      <x:c r="D359" s="66" t="str">
        <x:v>SVG资源限制</x:v>
      </x:c>
      <x:c r="E359" s="66" t="str">
        <x:v>文件大小、元素数量、路径复杂度、嵌套深度限制</x:v>
      </x:c>
      <x:c r="F359" s="66" t="str">
        <x:v>Core</x:v>
      </x:c>
      <x:c r="G359" s="66" t="str">
        <x:v>15_SVG资源样式主题</x:v>
      </x:c>
      <x:c r="H359" s="66" t="str">
        <x:v>M2</x:v>
      </x:c>
    </x:row>
    <x:row r="360">
      <x:c r="A360" s="58" t="str">
        <x:v>CAP-HMI-289</x:v>
      </x:c>
      <x:c r="B360" s="58" t="str">
        <x:v>Visual/HMI</x:v>
      </x:c>
      <x:c r="C360" s="58" t="str">
        <x:v>SVG详细</x:v>
      </x:c>
      <x:c r="D360" s="58" t="str">
        <x:v>标准SVG导出</x:v>
      </x:c>
      <x:c r="E360" s="58" t="str">
        <x:v>视觉内容供浏览器/第三方矢量软件使用</x:v>
      </x:c>
      <x:c r="F360" s="58" t="str">
        <x:v>Core</x:v>
      </x:c>
      <x:c r="G360" s="58" t="str">
        <x:v>15_SVG资源样式主题</x:v>
      </x:c>
      <x:c r="H360" s="58" t="str">
        <x:v>M2</x:v>
      </x:c>
    </x:row>
    <x:row r="361">
      <x:c r="A361" s="66" t="str">
        <x:v>CAP-HMI-290</x:v>
      </x:c>
      <x:c r="B361" s="66" t="str">
        <x:v>Visual/HMI</x:v>
      </x:c>
      <x:c r="C361" s="66" t="str">
        <x:v>SVG详细</x:v>
      </x:c>
      <x:c r="D361" s="66" t="str">
        <x:v>工程SVG导出</x:v>
      </x:c>
      <x:c r="E361" s="66" t="str">
        <x:v>data-*元数据+binding/resource伴随文件</x:v>
      </x:c>
      <x:c r="F361" s="66" t="str">
        <x:v>Extended</x:v>
      </x:c>
      <x:c r="G361" s="66" t="str">
        <x:v>15_SVG资源样式主题</x:v>
      </x:c>
      <x:c r="H361" s="66" t="str">
        <x:v>M2</x:v>
      </x:c>
    </x:row>
    <x:row r="362">
      <x:c r="A362" s="58" t="str">
        <x:v>CAP-HMI-291</x:v>
      </x:c>
      <x:c r="B362" s="58" t="str">
        <x:v>Visual/HMI</x:v>
      </x:c>
      <x:c r="C362" s="58" t="str">
        <x:v>SVG详细</x:v>
      </x:c>
      <x:c r="D362" s="58" t="str">
        <x:v>SVG往返恢复</x:v>
      </x:c>
      <x:c r="E362" s="58" t="str">
        <x:v>平台导出再导入恢复ID/分组/图层/主要绑定/基础动作</x:v>
      </x:c>
      <x:c r="F362" s="58" t="str">
        <x:v>Extended</x:v>
      </x:c>
      <x:c r="G362" s="58" t="str">
        <x:v>15_SVG资源样式主题</x:v>
      </x:c>
      <x:c r="H362" s="58" t="str">
        <x:v>M2</x:v>
      </x:c>
    </x:row>
    <x:row r="363">
      <x:c r="A363" s="66" t="str">
        <x:v>CAP-HMI-292</x:v>
      </x:c>
      <x:c r="B363" s="66" t="str">
        <x:v>Visual/HMI</x:v>
      </x:c>
      <x:c r="C363" s="66" t="str">
        <x:v>在线调试增强</x:v>
      </x:c>
      <x:c r="D363" s="66" t="str">
        <x:v>自动重连统计</x:v>
      </x:c>
      <x:c r="E363" s="66" t="str">
        <x:v>最后连接时间、重连次数、订阅数</x:v>
      </x:c>
      <x:c r="F363" s="66" t="str">
        <x:v>Extended</x:v>
      </x:c>
      <x:c r="G363" s="66" t="str">
        <x:v>03_架构总纲与领域边界</x:v>
      </x:c>
      <x:c r="H363" s="66" t="str">
        <x:v>M2</x:v>
      </x:c>
    </x:row>
    <x:row r="364">
      <x:c r="A364" s="58" t="str">
        <x:v>CAP-HMI-293</x:v>
      </x:c>
      <x:c r="B364" s="58" t="str">
        <x:v>Visual/HMI</x:v>
      </x:c>
      <x:c r="C364" s="58" t="str">
        <x:v>在线调试增强</x:v>
      </x:c>
      <x:c r="D364" s="58" t="str">
        <x:v>模拟/真实数据源切换</x:v>
      </x:c>
      <x:c r="E364" s="58" t="str">
        <x:v>在线调试切换Simulation/Real Provider</x:v>
      </x:c>
      <x:c r="F364" s="58" t="str">
        <x:v>Extended</x:v>
      </x:c>
      <x:c r="G364" s="58" t="str">
        <x:v>03_架构总纲与领域边界</x:v>
      </x:c>
      <x:c r="H364" s="58" t="str">
        <x:v>M2</x:v>
      </x:c>
    </x:row>
    <x:row r="365">
      <x:c r="A365" s="66" t="str">
        <x:v>CAP-HMI-294</x:v>
      </x:c>
      <x:c r="B365" s="66" t="str">
        <x:v>Visual/HMI</x:v>
      </x:c>
      <x:c r="C365" s="66" t="str">
        <x:v>在线调试增强</x:v>
      </x:c>
      <x:c r="D365" s="66" t="str">
        <x:v>编辑交互</x:v>
      </x:c>
      <x:c r="E365" s="66" t="str">
        <x:v>实时显示值但点击用于选择/编辑，不执行动作</x:v>
      </x:c>
      <x:c r="F365" s="66" t="str">
        <x:v>Core</x:v>
      </x:c>
      <x:c r="G365" s="66" t="str">
        <x:v>03_架构总纲与领域边界</x:v>
      </x:c>
      <x:c r="H365" s="66" t="str">
        <x:v>M2</x:v>
      </x:c>
    </x:row>
    <x:row r="366">
      <x:c r="A366" s="58" t="str">
        <x:v>CAP-HMI-295</x:v>
      </x:c>
      <x:c r="B366" s="58" t="str">
        <x:v>Visual/HMI</x:v>
      </x:c>
      <x:c r="C366" s="58" t="str">
        <x:v>在线调试增强</x:v>
      </x:c>
      <x:c r="D366" s="58" t="str">
        <x:v>运行交互</x:v>
      </x:c>
      <x:c r="E366" s="58" t="str">
        <x:v>实时执行按钮/开关/输入动作，禁用移动缩放</x:v>
      </x:c>
      <x:c r="F366" s="58" t="str">
        <x:v>Core</x:v>
      </x:c>
      <x:c r="G366" s="58" t="str">
        <x:v>03_架构总纲与领域边界</x:v>
      </x:c>
      <x:c r="H366" s="58" t="str">
        <x:v>M2</x:v>
      </x:c>
    </x:row>
    <x:row r="367">
      <x:c r="A367" s="66" t="str">
        <x:v>CAP-HMI-296</x:v>
      </x:c>
      <x:c r="B367" s="66" t="str">
        <x:v>Visual/HMI</x:v>
      </x:c>
      <x:c r="C367" s="66" t="str">
        <x:v>在线调试增强</x:v>
      </x:c>
      <x:c r="D367" s="66" t="str">
        <x:v>暂停刷新</x:v>
      </x:c>
      <x:c r="E367" s="66" t="str">
        <x:v>暂停/恢复组态刷新</x:v>
      </x:c>
      <x:c r="F367" s="66" t="str">
        <x:v>Core</x:v>
      </x:c>
      <x:c r="G367" s="66" t="str">
        <x:v>03_架构总纲与领域边界</x:v>
      </x:c>
      <x:c r="H367" s="66" t="str">
        <x:v>M2</x:v>
      </x:c>
    </x:row>
    <x:row r="368">
      <x:c r="A368" s="58" t="str">
        <x:v>CAP-HMI-297</x:v>
      </x:c>
      <x:c r="B368" s="58" t="str">
        <x:v>Visual/HMI</x:v>
      </x:c>
      <x:c r="C368" s="58" t="str">
        <x:v>在线调试增强</x:v>
      </x:c>
      <x:c r="D368" s="58" t="str">
        <x:v>变量监视方案</x:v>
      </x:c>
      <x:c r="E368" s="58" t="str">
        <x:v>保存/导入/导出监视列表</x:v>
      </x:c>
      <x:c r="F368" s="58" t="str">
        <x:v>Extended</x:v>
      </x:c>
      <x:c r="G368" s="58" t="str">
        <x:v>03_架构总纲与领域边界</x:v>
      </x:c>
      <x:c r="H368" s="58" t="str">
        <x:v>M2</x:v>
      </x:c>
    </x:row>
    <x:row r="369">
      <x:c r="A369" s="66" t="str">
        <x:v>CAP-HMI-298</x:v>
      </x:c>
      <x:c r="B369" s="66" t="str">
        <x:v>Visual/HMI</x:v>
      </x:c>
      <x:c r="C369" s="66" t="str">
        <x:v>在线调试增强</x:v>
      </x:c>
      <x:c r="D369" s="66" t="str">
        <x:v>值变化高亮</x:v>
      </x:c>
      <x:c r="E369" s="66" t="str">
        <x:v>监视列表变化高亮/变化次数</x:v>
      </x:c>
      <x:c r="F369" s="66" t="str">
        <x:v>Extended</x:v>
      </x:c>
      <x:c r="G369" s="66" t="str">
        <x:v>03_架构总纲与领域边界</x:v>
      </x:c>
      <x:c r="H369" s="66" t="str">
        <x:v>M2</x:v>
      </x:c>
    </x:row>
    <x:row r="370">
      <x:c r="A370" s="58" t="str">
        <x:v>CAP-HMI-299</x:v>
      </x:c>
      <x:c r="B370" s="58" t="str">
        <x:v>Visual/HMI</x:v>
      </x:c>
      <x:c r="C370" s="58" t="str">
        <x:v>在线调试增强</x:v>
      </x:c>
      <x:c r="D370" s="58" t="str">
        <x:v>十六/二进制显示</x:v>
      </x:c>
      <x:c r="E370" s="58" t="str">
        <x:v>Hex/Bit视图</x:v>
      </x:c>
      <x:c r="F370" s="58" t="str">
        <x:v>Extended</x:v>
      </x:c>
      <x:c r="G370" s="58" t="str">
        <x:v>03_架构总纲与领域边界</x:v>
      </x:c>
      <x:c r="H370" s="58" t="str">
        <x:v>M2</x:v>
      </x:c>
    </x:row>
    <x:row r="371">
      <x:c r="A371" s="66" t="str">
        <x:v>CAP-HMI-300</x:v>
      </x:c>
      <x:c r="B371" s="66" t="str">
        <x:v>Visual/HMI</x:v>
      </x:c>
      <x:c r="C371" s="66" t="str">
        <x:v>在线调试增强</x:v>
      </x:c>
      <x:c r="D371" s="66" t="str">
        <x:v>CSV回放</x:v>
      </x:c>
      <x:c r="E371" s="66" t="str">
        <x:v>模拟数据按CSV回放</x:v>
      </x:c>
      <x:c r="F371" s="66" t="str">
        <x:v>Extended</x:v>
      </x:c>
      <x:c r="G371" s="66" t="str">
        <x:v>03_架构总纲与领域边界</x:v>
      </x:c>
      <x:c r="H371" s="66" t="str">
        <x:v>M2</x:v>
      </x:c>
    </x:row>
    <x:row r="372">
      <x:c r="A372" s="58" t="str">
        <x:v>CAP-HMI-301</x:v>
      </x:c>
      <x:c r="B372" s="58" t="str">
        <x:v>Visual/HMI</x:v>
      </x:c>
      <x:c r="C372" s="58" t="str">
        <x:v>在线调试增强</x:v>
      </x:c>
      <x:c r="D372" s="58" t="str">
        <x:v>时间序列回放</x:v>
      </x:c>
      <x:c r="E372" s="58" t="str">
        <x:v>模拟按时间序列播放</x:v>
      </x:c>
      <x:c r="F372" s="58" t="str">
        <x:v>Extended</x:v>
      </x:c>
      <x:c r="G372" s="58" t="str">
        <x:v>03_架构总纲与领域边界</x:v>
      </x:c>
      <x:c r="H372" s="58" t="str">
        <x:v>M2</x:v>
      </x:c>
    </x:row>
    <x:row r="373">
      <x:c r="A373" s="66" t="str">
        <x:v>CAP-HMI-302</x:v>
      </x:c>
      <x:c r="B373" s="66" t="str">
        <x:v>Visual/HMI</x:v>
      </x:c>
      <x:c r="C373" s="66" t="str">
        <x:v>在线调试增强</x:v>
      </x:c>
      <x:c r="D373" s="66" t="str">
        <x:v>组态层强制值</x:v>
      </x:c>
      <x:c r="E373" s="66" t="str">
        <x:v>仅覆盖组态显示，与PLC强制区分</x:v>
      </x:c>
      <x:c r="F373" s="66" t="str">
        <x:v>Extended</x:v>
      </x:c>
      <x:c r="G373" s="66" t="str">
        <x:v>03_架构总纲与领域边界</x:v>
      </x:c>
      <x:c r="H373" s="66" t="str">
        <x:v>M2</x:v>
      </x:c>
    </x:row>
    <x:row r="374">
      <x:c r="A374" s="58" t="str">
        <x:v>CAP-HMI-303</x:v>
      </x:c>
      <x:c r="B374" s="58" t="str">
        <x:v>Visual/HMI</x:v>
      </x:c>
      <x:c r="C374" s="58" t="str">
        <x:v>在线调试增强</x:v>
      </x:c>
      <x:c r="D374" s="58" t="str">
        <x:v>通信统计</x:v>
      </x:c>
      <x:c r="E374" s="58" t="str">
        <x:v>读写成功/失败/超时/平均耗时/QPS/订阅数</x:v>
      </x:c>
      <x:c r="F374" s="58" t="str">
        <x:v>Core</x:v>
      </x:c>
      <x:c r="G374" s="58" t="str">
        <x:v>03_架构总纲与领域边界</x:v>
      </x:c>
      <x:c r="H374" s="58" t="str">
        <x:v>M2</x:v>
      </x:c>
    </x:row>
    <x:row r="375">
      <x:c r="A375" s="66" t="str">
        <x:v>CAP-HMI-304</x:v>
      </x:c>
      <x:c r="B375" s="66" t="str">
        <x:v>Visual/HMI</x:v>
      </x:c>
      <x:c r="C375" s="66" t="str">
        <x:v>在线调试增强</x:v>
      </x:c>
      <x:c r="D375" s="66" t="str">
        <x:v>报文监视</x:v>
      </x:c>
      <x:c r="E375" s="66" t="str">
        <x:v>按连接/方向/内容过滤、暂停、导出、条数上限</x:v>
      </x:c>
      <x:c r="F375" s="66" t="str">
        <x:v>Extended</x:v>
      </x:c>
      <x:c r="G375" s="66" t="str">
        <x:v>03_架构总纲与领域边界</x:v>
      </x:c>
      <x:c r="H375" s="66" t="str">
        <x:v>M2</x:v>
      </x:c>
    </x:row>
    <x:row r="376">
      <x:c r="A376" s="58" t="str">
        <x:v>CAP-HMI-305</x:v>
      </x:c>
      <x:c r="B376" s="58" t="str">
        <x:v>Visual/HMI</x:v>
      </x:c>
      <x:c r="C376" s="58" t="str">
        <x:v>在线调试增强</x:v>
      </x:c>
      <x:c r="D376" s="58" t="str">
        <x:v>在线修改绑定</x:v>
      </x:c>
      <x:c r="E376" s="58" t="str">
        <x:v>修改后释放旧订阅、新绑定及时生效</x:v>
      </x:c>
      <x:c r="F376" s="58" t="str">
        <x:v>Extended</x:v>
      </x:c>
      <x:c r="G376" s="58" t="str">
        <x:v>03_架构总纲与领域边界</x:v>
      </x:c>
      <x:c r="H376" s="58" t="str">
        <x:v>M2</x:v>
      </x:c>
    </x:row>
    <x:row r="377">
      <x:c r="A377" s="66" t="str">
        <x:v>CAP-HMI-306</x:v>
      </x:c>
      <x:c r="B377" s="66" t="str">
        <x:v>Visual/HMI</x:v>
      </x:c>
      <x:c r="C377" s="66" t="str">
        <x:v>在线调试增强</x:v>
      </x:c>
      <x:c r="D377" s="66" t="str">
        <x:v>局部刷新</x:v>
      </x:c>
      <x:c r="E377" s="66" t="str">
        <x:v>局部控件/当前页面重新加载</x:v>
      </x:c>
      <x:c r="F377" s="66" t="str">
        <x:v>Extended</x:v>
      </x:c>
      <x:c r="G377" s="66" t="str">
        <x:v>03_架构总纲与领域边界</x:v>
      </x:c>
      <x:c r="H377" s="66" t="str">
        <x:v>M2</x:v>
      </x:c>
    </x:row>
    <x:row r="378">
      <x:c r="A378" s="58" t="str">
        <x:v>CAP-HMI-307</x:v>
      </x:c>
      <x:c r="B378" s="58" t="str">
        <x:v>Visual/HMI</x:v>
      </x:c>
      <x:c r="C378" s="58" t="str">
        <x:v>Runtime接口</x:v>
      </x:c>
      <x:c r="D378" s="58" t="str">
        <x:v>Runtime LoadProject</x:v>
      </x:c>
      <x:c r="E378" s="58" t="str">
        <x:v>加载工程</x:v>
      </x:c>
      <x:c r="F378" s="58" t="str">
        <x:v>Core</x:v>
      </x:c>
      <x:c r="G378" s="58" t="str">
        <x:v>03_架构总纲与领域边界</x:v>
      </x:c>
      <x:c r="H378" s="58" t="str">
        <x:v>M2</x:v>
      </x:c>
    </x:row>
    <x:row r="379">
      <x:c r="A379" s="66" t="str">
        <x:v>CAP-HMI-308</x:v>
      </x:c>
      <x:c r="B379" s="66" t="str">
        <x:v>Visual/HMI</x:v>
      </x:c>
      <x:c r="C379" s="66" t="str">
        <x:v>Runtime接口</x:v>
      </x:c>
      <x:c r="D379" s="66" t="str">
        <x:v>Runtime Start</x:v>
      </x:c>
      <x:c r="E379" s="66" t="str">
        <x:v>启动运行引擎</x:v>
      </x:c>
      <x:c r="F379" s="66" t="str">
        <x:v>Core</x:v>
      </x:c>
      <x:c r="G379" s="66" t="str">
        <x:v>03_架构总纲与领域边界</x:v>
      </x:c>
      <x:c r="H379" s="66" t="str">
        <x:v>M2</x:v>
      </x:c>
    </x:row>
    <x:row r="380">
      <x:c r="A380" s="58" t="str">
        <x:v>CAP-HMI-309</x:v>
      </x:c>
      <x:c r="B380" s="58" t="str">
        <x:v>Visual/HMI</x:v>
      </x:c>
      <x:c r="C380" s="58" t="str">
        <x:v>Runtime接口</x:v>
      </x:c>
      <x:c r="D380" s="58" t="str">
        <x:v>Runtime Stop</x:v>
      </x:c>
      <x:c r="E380" s="58" t="str">
        <x:v>停止并释放订阅/动画</x:v>
      </x:c>
      <x:c r="F380" s="58" t="str">
        <x:v>Core</x:v>
      </x:c>
      <x:c r="G380" s="58" t="str">
        <x:v>03_架构总纲与领域边界</x:v>
      </x:c>
      <x:c r="H380" s="58" t="str">
        <x:v>M2</x:v>
      </x:c>
    </x:row>
    <x:row r="381">
      <x:c r="A381" s="66" t="str">
        <x:v>CAP-HMI-310</x:v>
      </x:c>
      <x:c r="B381" s="66" t="str">
        <x:v>Visual/HMI</x:v>
      </x:c>
      <x:c r="C381" s="66" t="str">
        <x:v>Runtime接口</x:v>
      </x:c>
      <x:c r="D381" s="66" t="str">
        <x:v>Runtime Reload</x:v>
      </x:c>
      <x:c r="E381" s="66" t="str">
        <x:v>重新加载工程/当前发布版本</x:v>
      </x:c>
      <x:c r="F381" s="66" t="str">
        <x:v>Core</x:v>
      </x:c>
      <x:c r="G381" s="66" t="str">
        <x:v>03_架构总纲与领域边界</x:v>
      </x:c>
      <x:c r="H381" s="66" t="str">
        <x:v>M2</x:v>
      </x:c>
    </x:row>
    <x:row r="382">
      <x:c r="A382" s="58" t="str">
        <x:v>CAP-HMI-311</x:v>
      </x:c>
      <x:c r="B382" s="58" t="str">
        <x:v>Visual/HMI</x:v>
      </x:c>
      <x:c r="C382" s="58" t="str">
        <x:v>Runtime接口</x:v>
      </x:c>
      <x:c r="D382" s="58" t="str">
        <x:v>Runtime NavigatePage</x:v>
      </x:c>
      <x:c r="E382" s="58" t="str">
        <x:v>宿主代码切换页面</x:v>
      </x:c>
      <x:c r="F382" s="58" t="str">
        <x:v>Core</x:v>
      </x:c>
      <x:c r="G382" s="58" t="str">
        <x:v>03_架构总纲与领域边界</x:v>
      </x:c>
      <x:c r="H382" s="58" t="str">
        <x:v>M2</x:v>
      </x:c>
    </x:row>
    <x:row r="383">
      <x:c r="A383" s="66" t="str">
        <x:v>CAP-HMI-312</x:v>
      </x:c>
      <x:c r="B383" s="66" t="str">
        <x:v>Visual/HMI</x:v>
      </x:c>
      <x:c r="C383" s="66" t="str">
        <x:v>Runtime接口</x:v>
      </x:c>
      <x:c r="D383" s="66" t="str">
        <x:v>Runtime OpenPopup</x:v>
      </x:c>
      <x:c r="E383" s="66" t="str">
        <x:v>宿主打开弹窗并传参</x:v>
      </x:c>
      <x:c r="F383" s="66" t="str">
        <x:v>Core</x:v>
      </x:c>
      <x:c r="G383" s="66" t="str">
        <x:v>03_架构总纲与领域边界</x:v>
      </x:c>
      <x:c r="H383" s="66" t="str">
        <x:v>M2</x:v>
      </x:c>
    </x:row>
    <x:row r="384">
      <x:c r="A384" s="58" t="str">
        <x:v>CAP-HMI-313</x:v>
      </x:c>
      <x:c r="B384" s="58" t="str">
        <x:v>Visual/HMI</x:v>
      </x:c>
      <x:c r="C384" s="58" t="str">
        <x:v>Runtime接口</x:v>
      </x:c>
      <x:c r="D384" s="58" t="str">
        <x:v>Runtime SetVariableProvider</x:v>
      </x:c>
      <x:c r="E384" s="58" t="str">
        <x:v>注入现有变量适配器</x:v>
      </x:c>
      <x:c r="F384" s="58" t="str">
        <x:v>Core</x:v>
      </x:c>
      <x:c r="G384" s="58" t="str">
        <x:v>03_架构总纲与领域边界</x:v>
      </x:c>
      <x:c r="H384" s="58" t="str">
        <x:v>M2</x:v>
      </x:c>
    </x:row>
    <x:row r="385">
      <x:c r="A385" s="66" t="str">
        <x:v>CAP-HMI-314</x:v>
      </x:c>
      <x:c r="B385" s="66" t="str">
        <x:v>Visual/HMI</x:v>
      </x:c>
      <x:c r="C385" s="66" t="str">
        <x:v>Runtime接口</x:v>
      </x:c>
      <x:c r="D385" s="66" t="str">
        <x:v>Runtime SetCurrentUser</x:v>
      </x:c>
      <x:c r="E385" s="66" t="str">
        <x:v>注入宿主当前用户/权限</x:v>
      </x:c>
      <x:c r="F385" s="66" t="str">
        <x:v>Core</x:v>
      </x:c>
      <x:c r="G385" s="66" t="str">
        <x:v>03_架构总纲与领域边界</x:v>
      </x:c>
      <x:c r="H385" s="66" t="str">
        <x:v>M2</x:v>
      </x:c>
    </x:row>
    <x:row r="386">
      <x:c r="A386" s="58" t="str">
        <x:v>CAP-HMI-315</x:v>
      </x:c>
      <x:c r="B386" s="58" t="str">
        <x:v>Visual/HMI</x:v>
      </x:c>
      <x:c r="C386" s="58" t="str">
        <x:v>Runtime接口</x:v>
      </x:c>
      <x:c r="D386" s="58" t="str">
        <x:v>Runtime Status</x:v>
      </x:c>
      <x:c r="E386" s="58" t="str">
        <x:v>未加载/已加载/启动中/运行/暂停/异常/停止</x:v>
      </x:c>
      <x:c r="F386" s="58" t="str">
        <x:v>Core</x:v>
      </x:c>
      <x:c r="G386" s="58" t="str">
        <x:v>03_架构总纲与领域边界</x:v>
      </x:c>
      <x:c r="H386" s="58" t="str">
        <x:v>M2</x:v>
      </x:c>
    </x:row>
    <x:row r="387">
      <x:c r="A387" s="66" t="str">
        <x:v>CAP-HMI-316</x:v>
      </x:c>
      <x:c r="B387" s="66" t="str">
        <x:v>Visual/HMI</x:v>
      </x:c>
      <x:c r="C387" s="66" t="str">
        <x:v>Runtime接口</x:v>
      </x:c>
      <x:c r="D387" s="66" t="str">
        <x:v>Runtime异常回调</x:v>
      </x:c>
      <x:c r="E387" s="66" t="str">
        <x:v>向宿主报告页面/绑定/资源/插件异常</x:v>
      </x:c>
      <x:c r="F387" s="66" t="str">
        <x:v>Core</x:v>
      </x:c>
      <x:c r="G387" s="66" t="str">
        <x:v>03_架构总纲与领域边界</x:v>
      </x:c>
      <x:c r="H387" s="66" t="str">
        <x:v>M2</x:v>
      </x:c>
    </x:row>
    <x:row r="388">
      <x:c r="A388" s="58" t="str">
        <x:v>CAP-HMI-317</x:v>
      </x:c>
      <x:c r="B388" s="58" t="str">
        <x:v>Visual/HMI</x:v>
      </x:c>
      <x:c r="C388" s="58" t="str">
        <x:v>Runtime接口</x:v>
      </x:c>
      <x:c r="D388" s="58" t="str">
        <x:v>独立Runtime命令行</x:v>
      </x:c>
      <x:c r="E388" s="58" t="str">
        <x:v>指定工程/启动页/窗口或全屏</x:v>
      </x:c>
      <x:c r="F388" s="58" t="str">
        <x:v>Core</x:v>
      </x:c>
      <x:c r="G388" s="58" t="str">
        <x:v>03_架构总纲与领域边界</x:v>
      </x:c>
      <x:c r="H388" s="58" t="str">
        <x:v>M2</x:v>
      </x:c>
    </x:row>
    <x:row r="389">
      <x:c r="A389" s="66" t="str">
        <x:v>CAP-HMI-318</x:v>
      </x:c>
      <x:c r="B389" s="66" t="str">
        <x:v>Visual/HMI</x:v>
      </x:c>
      <x:c r="C389" s="66" t="str">
        <x:v>显示适配</x:v>
      </x:c>
      <x:c r="D389" s="66" t="str">
        <x:v>适合宽度</x:v>
      </x:c>
      <x:c r="E389" s="66" t="str">
        <x:v>设计器画布适合宽度</x:v>
      </x:c>
      <x:c r="F389" s="66" t="str">
        <x:v>Extended</x:v>
      </x:c>
      <x:c r="G389" s="66" t="str">
        <x:v>03_架构总纲与领域边界</x:v>
      </x:c>
      <x:c r="H389" s="66" t="str">
        <x:v>M2</x:v>
      </x:c>
    </x:row>
    <x:row r="390">
      <x:c r="A390" s="58" t="str">
        <x:v>CAP-HMI-319</x:v>
      </x:c>
      <x:c r="B390" s="58" t="str">
        <x:v>Visual/HMI</x:v>
      </x:c>
      <x:c r="C390" s="58" t="str">
        <x:v>显示适配</x:v>
      </x:c>
      <x:c r="D390" s="58" t="str">
        <x:v>常用DPI</x:v>
      </x:c>
      <x:c r="E390" s="58" t="str">
        <x:v>100/125/150/175/200%</x:v>
      </x:c>
      <x:c r="F390" s="58" t="str">
        <x:v>Core</x:v>
      </x:c>
      <x:c r="G390" s="58" t="str">
        <x:v>03_架构总纲与领域边界</x:v>
      </x:c>
      <x:c r="H390" s="58" t="str">
        <x:v>M2</x:v>
      </x:c>
    </x:row>
    <x:row r="391">
      <x:c r="A391" s="66" t="str">
        <x:v>CAP-HMI-320</x:v>
      </x:c>
      <x:c r="B391" s="66" t="str">
        <x:v>Visual/HMI</x:v>
      </x:c>
      <x:c r="C391" s="66" t="str">
        <x:v>显示适配</x:v>
      </x:c>
      <x:c r="D391" s="66" t="str">
        <x:v>2K/4K适配</x:v>
      </x:c>
      <x:c r="E391" s="66" t="str">
        <x:v>2K/4K显示器</x:v>
      </x:c>
      <x:c r="F391" s="66" t="str">
        <x:v>Core</x:v>
      </x:c>
      <x:c r="G391" s="66" t="str">
        <x:v>03_架构总纲与领域边界</x:v>
      </x:c>
      <x:c r="H391" s="66" t="str">
        <x:v>M2</x:v>
      </x:c>
    </x:row>
    <x:row r="392">
      <x:c r="A392" s="58" t="str">
        <x:v>CAP-HMI-321</x:v>
      </x:c>
      <x:c r="B392" s="58" t="str">
        <x:v>Visual/HMI</x:v>
      </x:c>
      <x:c r="C392" s="58" t="str">
        <x:v>显示适配</x:v>
      </x:c>
      <x:c r="D392" s="58" t="str">
        <x:v>留黑边策略</x:v>
      </x:c>
      <x:c r="E392" s="58" t="str">
        <x:v>默认等比缩放居中，非等比拉伸默认禁用</x:v>
      </x:c>
      <x:c r="F392" s="58" t="str">
        <x:v>Core</x:v>
      </x:c>
      <x:c r="G392" s="58" t="str">
        <x:v>03_架构总纲与领域边界</x:v>
      </x:c>
      <x:c r="H392" s="58" t="str">
        <x:v>M2</x:v>
      </x:c>
    </x:row>
    <x:row r="393">
      <x:c r="A393" s="66" t="str">
        <x:v>CAP-HMI-322</x:v>
      </x:c>
      <x:c r="B393" s="66" t="str">
        <x:v>Visual/HMI</x:v>
      </x:c>
      <x:c r="C393" s="66" t="str">
        <x:v>显示适配</x:v>
      </x:c>
      <x:c r="D393" s="66" t="str">
        <x:v>字体等比缩放</x:v>
      </x:c>
      <x:c r="E393" s="66" t="str">
        <x:v>字体随页面缩放</x:v>
      </x:c>
      <x:c r="F393" s="66" t="str">
        <x:v>Extended</x:v>
      </x:c>
      <x:c r="G393" s="66" t="str">
        <x:v>03_架构总纲与领域边界</x:v>
      </x:c>
      <x:c r="H393" s="66" t="str">
        <x:v>M2</x:v>
      </x:c>
    </x:row>
    <x:row r="394">
      <x:c r="A394" s="58" t="str">
        <x:v>CAP-HMI-323</x:v>
      </x:c>
      <x:c r="B394" s="58" t="str">
        <x:v>Visual/HMI</x:v>
      </x:c>
      <x:c r="C394" s="58" t="str">
        <x:v>显示适配</x:v>
      </x:c>
      <x:c r="D394" s="58" t="str">
        <x:v>多显示器</x:v>
      </x:c>
      <x:c r="E394" s="58" t="str">
        <x:v>指定屏幕/全屏策略</x:v>
      </x:c>
      <x:c r="F394" s="58" t="str">
        <x:v>Extended</x:v>
      </x:c>
      <x:c r="G394" s="58" t="str">
        <x:v>03_架构总纲与领域边界</x:v>
      </x:c>
      <x:c r="H394" s="58" t="str">
        <x:v>M2</x:v>
      </x:c>
    </x:row>
    <x:row r="395">
      <x:c r="A395" s="66" t="str">
        <x:v>CAP-SEC-011</x:v>
      </x:c>
      <x:c r="B395" s="66" t="str">
        <x:v>Security</x:v>
      </x:c>
      <x:c r="C395" s="66" t="str">
        <x:v>权限/安全/审计</x:v>
      </x:c>
      <x:c r="D395" s="66" t="str">
        <x:v>宿主权限接入</x:v>
      </x:c>
      <x:c r="E395" s="66" t="str">
        <x:v>接入现有登录/权限系统</x:v>
      </x:c>
      <x:c r="F395" s="66" t="str">
        <x:v>Core</x:v>
      </x:c>
      <x:c r="G395" s="66" t="str">
        <x:v>14_Security写入审计</x:v>
      </x:c>
      <x:c r="H395" s="66" t="str">
        <x:v>M2</x:v>
      </x:c>
    </x:row>
    <x:row r="396">
      <x:c r="A396" s="58" t="str">
        <x:v>CAP-SEC-012</x:v>
      </x:c>
      <x:c r="B396" s="58" t="str">
        <x:v>Security</x:v>
      </x:c>
      <x:c r="C396" s="58" t="str">
        <x:v>权限/安全/审计</x:v>
      </x:c>
      <x:c r="D396" s="58" t="str">
        <x:v>用户角色</x:v>
      </x:c>
      <x:c r="E396" s="58" t="str">
        <x:v>独立用户/组/角色/继承/组合</x:v>
      </x:c>
      <x:c r="F396" s="58" t="str">
        <x:v>Extended</x:v>
      </x:c>
      <x:c r="G396" s="58" t="str">
        <x:v>14_Security写入审计</x:v>
      </x:c>
      <x:c r="H396" s="58" t="str">
        <x:v>M2</x:v>
      </x:c>
    </x:row>
    <x:row r="397">
      <x:c r="A397" s="66" t="str">
        <x:v>CAP-SEC-013</x:v>
      </x:c>
      <x:c r="B397" s="66" t="str">
        <x:v>Security</x:v>
      </x:c>
      <x:c r="C397" s="66" t="str">
        <x:v>权限/安全/审计</x:v>
      </x:c>
      <x:c r="D397" s="66" t="str">
        <x:v>页面权限</x:v>
      </x:c>
      <x:c r="E397" s="66" t="str">
        <x:v>页面/标签查看权限</x:v>
      </x:c>
      <x:c r="F397" s="66" t="str">
        <x:v>Extended</x:v>
      </x:c>
      <x:c r="G397" s="66" t="str">
        <x:v>14_Security写入审计</x:v>
      </x:c>
      <x:c r="H397" s="66" t="str">
        <x:v>M2</x:v>
      </x:c>
    </x:row>
    <x:row r="398">
      <x:c r="A398" s="58" t="str">
        <x:v>CAP-SEC-014</x:v>
      </x:c>
      <x:c r="B398" s="58" t="str">
        <x:v>Security</x:v>
      </x:c>
      <x:c r="C398" s="58" t="str">
        <x:v>权限/安全/审计</x:v>
      </x:c>
      <x:c r="D398" s="58" t="str">
        <x:v>控件权限</x:v>
      </x:c>
      <x:c r="E398" s="58" t="str">
        <x:v>控件显示/启用/操作权限</x:v>
      </x:c>
      <x:c r="F398" s="58" t="str">
        <x:v>Core</x:v>
      </x:c>
      <x:c r="G398" s="58" t="str">
        <x:v>14_Security写入审计</x:v>
      </x:c>
      <x:c r="H398" s="58" t="str">
        <x:v>M2</x:v>
      </x:c>
    </x:row>
    <x:row r="399">
      <x:c r="A399" s="66" t="str">
        <x:v>CAP-SEC-015</x:v>
      </x:c>
      <x:c r="B399" s="66" t="str">
        <x:v>Security</x:v>
      </x:c>
      <x:c r="C399" s="66" t="str">
        <x:v>权限/安全/审计</x:v>
      </x:c>
      <x:c r="D399" s="66" t="str">
        <x:v>变量权限</x:v>
      </x:c>
      <x:c r="E399" s="66" t="str">
        <x:v>变量读取/写入/强制权限</x:v>
      </x:c>
      <x:c r="F399" s="66" t="str">
        <x:v>Core</x:v>
      </x:c>
      <x:c r="G399" s="66" t="str">
        <x:v>14_Security写入审计</x:v>
      </x:c>
      <x:c r="H399" s="66" t="str">
        <x:v>M2</x:v>
      </x:c>
    </x:row>
    <x:row r="400">
      <x:c r="A400" s="58" t="str">
        <x:v>CAP-SEC-016</x:v>
      </x:c>
      <x:c r="B400" s="58" t="str">
        <x:v>Security</x:v>
      </x:c>
      <x:c r="C400" s="58" t="str">
        <x:v>权限/安全/审计</x:v>
      </x:c>
      <x:c r="D400" s="58" t="str">
        <x:v>在线调试权限</x:v>
      </x:c>
      <x:c r="E400" s="58" t="str">
        <x:v>报文/地址/模拟/强制权限</x:v>
      </x:c>
      <x:c r="F400" s="58" t="str">
        <x:v>Extended</x:v>
      </x:c>
      <x:c r="G400" s="58" t="str">
        <x:v>14_Security写入审计</x:v>
      </x:c>
      <x:c r="H400" s="58" t="str">
        <x:v>M2</x:v>
      </x:c>
    </x:row>
    <x:row r="401">
      <x:c r="A401" s="66" t="str">
        <x:v>CAP-SEC-017</x:v>
      </x:c>
      <x:c r="B401" s="66" t="str">
        <x:v>Security</x:v>
      </x:c>
      <x:c r="C401" s="66" t="str">
        <x:v>权限/安全/审计</x:v>
      </x:c>
      <x:c r="D401" s="66" t="str">
        <x:v>电子签名</x:v>
      </x:c>
      <x:c r="E401" s="66" t="str">
        <x:v>危险写入/配方/发布等签名</x:v>
      </x:c>
      <x:c r="F401" s="66" t="str">
        <x:v>Extended</x:v>
      </x:c>
      <x:c r="G401" s="66" t="str">
        <x:v>14_Security写入审计</x:v>
      </x:c>
      <x:c r="H401" s="66" t="str">
        <x:v>M2</x:v>
      </x:c>
    </x:row>
    <x:row r="402">
      <x:c r="A402" s="58" t="str">
        <x:v>CAP-SEC-018</x:v>
      </x:c>
      <x:c r="B402" s="58" t="str">
        <x:v>Security</x:v>
      </x:c>
      <x:c r="C402" s="58" t="str">
        <x:v>权限/安全/审计</x:v>
      </x:c>
      <x:c r="D402" s="58" t="str">
        <x:v>双人授权</x:v>
      </x:c>
      <x:c r="E402" s="58" t="str">
        <x:v>高风险操作双人确认</x:v>
      </x:c>
      <x:c r="F402" s="58" t="str">
        <x:v>Extended</x:v>
      </x:c>
      <x:c r="G402" s="58" t="str">
        <x:v>14_Security写入审计</x:v>
      </x:c>
      <x:c r="H402" s="58" t="str">
        <x:v>M2</x:v>
      </x:c>
    </x:row>
    <x:row r="403">
      <x:c r="A403" s="66" t="str">
        <x:v>CAP-SEC-019</x:v>
      </x:c>
      <x:c r="B403" s="66" t="str">
        <x:v>Security</x:v>
      </x:c>
      <x:c r="C403" s="66" t="str">
        <x:v>权限/安全/审计</x:v>
      </x:c>
      <x:c r="D403" s="66" t="str">
        <x:v>操作原因</x:v>
      </x:c>
      <x:c r="E403" s="66" t="str">
        <x:v>危险操作要求原因输入</x:v>
      </x:c>
      <x:c r="F403" s="66" t="str">
        <x:v>Extended</x:v>
      </x:c>
      <x:c r="G403" s="66" t="str">
        <x:v>14_Security写入审计</x:v>
      </x:c>
      <x:c r="H403" s="66" t="str">
        <x:v>M2</x:v>
      </x:c>
    </x:row>
    <x:row r="404">
      <x:c r="A404" s="58" t="str">
        <x:v>CAP-SEC-020</x:v>
      </x:c>
      <x:c r="B404" s="58" t="str">
        <x:v>Security</x:v>
      </x:c>
      <x:c r="C404" s="58" t="str">
        <x:v>权限/安全/审计</x:v>
      </x:c>
      <x:c r="D404" s="58" t="str">
        <x:v>会话超时</x:v>
      </x:c>
      <x:c r="E404" s="58" t="str">
        <x:v>用户会话超时</x:v>
      </x:c>
      <x:c r="F404" s="58" t="str">
        <x:v>Extended</x:v>
      </x:c>
      <x:c r="G404" s="58" t="str">
        <x:v>14_Security写入审计</x:v>
      </x:c>
      <x:c r="H404" s="58" t="str">
        <x:v>M2</x:v>
      </x:c>
    </x:row>
    <x:row r="405">
      <x:c r="A405" s="66" t="str">
        <x:v>CAP-SEC-021</x:v>
      </x:c>
      <x:c r="B405" s="66" t="str">
        <x:v>Security</x:v>
      </x:c>
      <x:c r="C405" s="66" t="str">
        <x:v>权限/安全/审计</x:v>
      </x:c>
      <x:c r="D405" s="66" t="str">
        <x:v>审计日志防篡改</x:v>
      </x:c>
      <x:c r="E405" s="66" t="str">
        <x:v>普通用户不可修改/删除</x:v>
      </x:c>
      <x:c r="F405" s="66" t="str">
        <x:v>Core</x:v>
      </x:c>
      <x:c r="G405" s="66" t="str">
        <x:v>14_Security写入审计</x:v>
      </x:c>
      <x:c r="H405" s="66" t="str">
        <x:v>M2</x:v>
      </x:c>
    </x:row>
    <x:row r="406">
      <x:c r="A406" s="58" t="str">
        <x:v>CAP-SEC-022</x:v>
      </x:c>
      <x:c r="B406" s="58" t="str">
        <x:v>Security</x:v>
      </x:c>
      <x:c r="C406" s="58" t="str">
        <x:v>权限/安全/审计</x:v>
      </x:c>
      <x:c r="D406" s="58" t="str">
        <x:v>审计导出归档</x:v>
      </x:c>
      <x:c r="E406" s="58" t="str">
        <x:v>按权限查询、导出、归档</x:v>
      </x:c>
      <x:c r="F406" s="58" t="str">
        <x:v>Extended</x:v>
      </x:c>
      <x:c r="G406" s="58" t="str">
        <x:v>14_Security写入审计</x:v>
      </x:c>
      <x:c r="H406" s="58" t="str">
        <x:v>M2</x:v>
      </x:c>
    </x:row>
    <x:row r="407">
      <x:c r="A407" s="66" t="str">
        <x:v>CAP-SCA-024</x:v>
      </x:c>
      <x:c r="B407" s="66" t="str">
        <x:v>SCADA</x:v>
      </x:c>
      <x:c r="C407" s="66" t="str">
        <x:v>报警管理</x:v>
      </x:c>
      <x:c r="D407" s="66" t="str">
        <x:v>布尔报警</x:v>
      </x:c>
      <x:c r="E407" s="66" t="str">
        <x:v>Bool触发</x:v>
      </x:c>
      <x:c r="F407" s="66" t="str">
        <x:v>Core</x:v>
      </x:c>
      <x:c r="G407" s="66" t="str">
        <x:v>17_SCADA_ICS</x:v>
      </x:c>
      <x:c r="H407" s="66" t="str">
        <x:v>M2</x:v>
      </x:c>
    </x:row>
    <x:row r="408">
      <x:c r="A408" s="58" t="str">
        <x:v>CAP-SCA-025</x:v>
      </x:c>
      <x:c r="B408" s="58" t="str">
        <x:v>SCADA</x:v>
      </x:c>
      <x:c r="C408" s="58" t="str">
        <x:v>报警管理</x:v>
      </x:c>
      <x:c r="D408" s="58" t="str">
        <x:v>模拟量四限报警</x:v>
      </x:c>
      <x:c r="E408" s="58" t="str">
        <x:v>HH/H/L/LL</x:v>
      </x:c>
      <x:c r="F408" s="58" t="str">
        <x:v>Core</x:v>
      </x:c>
      <x:c r="G408" s="58" t="str">
        <x:v>17_SCADA_ICS</x:v>
      </x:c>
      <x:c r="H408" s="58" t="str">
        <x:v>M2</x:v>
      </x:c>
    </x:row>
    <x:row r="409">
      <x:c r="A409" s="66" t="str">
        <x:v>CAP-SCA-026</x:v>
      </x:c>
      <x:c r="B409" s="66" t="str">
        <x:v>SCADA</x:v>
      </x:c>
      <x:c r="C409" s="66" t="str">
        <x:v>报警管理</x:v>
      </x:c>
      <x:c r="D409" s="66" t="str">
        <x:v>区间报警</x:v>
      </x:c>
      <x:c r="E409" s="66" t="str">
        <x:v>进入/离开区间</x:v>
      </x:c>
      <x:c r="F409" s="66" t="str">
        <x:v>Extended</x:v>
      </x:c>
      <x:c r="G409" s="66" t="str">
        <x:v>17_SCADA_ICS</x:v>
      </x:c>
      <x:c r="H409" s="66" t="str">
        <x:v>M2</x:v>
      </x:c>
    </x:row>
    <x:row r="410">
      <x:c r="A410" s="58" t="str">
        <x:v>CAP-SCA-027</x:v>
      </x:c>
      <x:c r="B410" s="58" t="str">
        <x:v>SCADA</x:v>
      </x:c>
      <x:c r="C410" s="58" t="str">
        <x:v>报警管理</x:v>
      </x:c>
      <x:c r="D410" s="58" t="str">
        <x:v>变化率报警</x:v>
      </x:c>
      <x:c r="E410" s="58" t="str">
        <x:v>数值变化率</x:v>
      </x:c>
      <x:c r="F410" s="58" t="str">
        <x:v>Extended</x:v>
      </x:c>
      <x:c r="G410" s="58" t="str">
        <x:v>17_SCADA_ICS</x:v>
      </x:c>
      <x:c r="H410" s="58" t="str">
        <x:v>M2</x:v>
      </x:c>
    </x:row>
    <x:row r="411">
      <x:c r="A411" s="66" t="str">
        <x:v>CAP-SCA-028</x:v>
      </x:c>
      <x:c r="B411" s="66" t="str">
        <x:v>SCADA</x:v>
      </x:c>
      <x:c r="C411" s="66" t="str">
        <x:v>报警管理</x:v>
      </x:c>
      <x:c r="D411" s="66" t="str">
        <x:v>通信质量报警</x:v>
      </x:c>
      <x:c r="E411" s="66" t="str">
        <x:v>断线/Bad Quality</x:v>
      </x:c>
      <x:c r="F411" s="66" t="str">
        <x:v>Extended</x:v>
      </x:c>
      <x:c r="G411" s="66" t="str">
        <x:v>17_SCADA_ICS</x:v>
      </x:c>
      <x:c r="H411" s="66" t="str">
        <x:v>M2</x:v>
      </x:c>
    </x:row>
    <x:row r="412">
      <x:c r="A412" s="58" t="str">
        <x:v>CAP-SCA-029</x:v>
      </x:c>
      <x:c r="B412" s="58" t="str">
        <x:v>SCADA</x:v>
      </x:c>
      <x:c r="C412" s="58" t="str">
        <x:v>报警管理</x:v>
      </x:c>
      <x:c r="D412" s="58" t="str">
        <x:v>表达式报警</x:v>
      </x:c>
      <x:c r="E412" s="58" t="str">
        <x:v>多变量条件</x:v>
      </x:c>
      <x:c r="F412" s="58" t="str">
        <x:v>Extended</x:v>
      </x:c>
      <x:c r="G412" s="58" t="str">
        <x:v>17_SCADA_ICS</x:v>
      </x:c>
      <x:c r="H412" s="58" t="str">
        <x:v>M2</x:v>
      </x:c>
    </x:row>
    <x:row r="413">
      <x:c r="A413" s="66" t="str">
        <x:v>CAP-SCA-030</x:v>
      </x:c>
      <x:c r="B413" s="66" t="str">
        <x:v>SCADA</x:v>
      </x:c>
      <x:c r="C413" s="66" t="str">
        <x:v>报警管理</x:v>
      </x:c>
      <x:c r="D413" s="66" t="str">
        <x:v>报警模板</x:v>
      </x:c>
      <x:c r="E413" s="66" t="str">
        <x:v>批量设备报警复用</x:v>
      </x:c>
      <x:c r="F413" s="66" t="str">
        <x:v>Extended</x:v>
      </x:c>
      <x:c r="G413" s="66" t="str">
        <x:v>17_SCADA_ICS</x:v>
      </x:c>
      <x:c r="H413" s="66" t="str">
        <x:v>M2</x:v>
      </x:c>
    </x:row>
    <x:row r="414">
      <x:c r="A414" s="58" t="str">
        <x:v>CAP-SCA-031</x:v>
      </x:c>
      <x:c r="B414" s="58" t="str">
        <x:v>SCADA</x:v>
      </x:c>
      <x:c r="C414" s="58" t="str">
        <x:v>报警管理</x:v>
      </x:c>
      <x:c r="D414" s="58" t="str">
        <x:v>报警延时/防抖</x:v>
      </x:c>
      <x:c r="E414" s="58" t="str">
        <x:v>触发/恢复延时与防抖</x:v>
      </x:c>
      <x:c r="F414" s="58" t="str">
        <x:v>Extended</x:v>
      </x:c>
      <x:c r="G414" s="58" t="str">
        <x:v>17_SCADA_ICS</x:v>
      </x:c>
      <x:c r="H414" s="58" t="str">
        <x:v>M2</x:v>
      </x:c>
    </x:row>
    <x:row r="415">
      <x:c r="A415" s="66" t="str">
        <x:v>CAP-SCA-032</x:v>
      </x:c>
      <x:c r="B415" s="66" t="str">
        <x:v>SCADA</x:v>
      </x:c>
      <x:c r="C415" s="66" t="str">
        <x:v>报警管理</x:v>
      </x:c>
      <x:c r="D415" s="66" t="str">
        <x:v>报警确认</x:v>
      </x:c>
      <x:c r="E415" s="66" t="str">
        <x:v>单条/批量确认</x:v>
      </x:c>
      <x:c r="F415" s="66" t="str">
        <x:v>Core</x:v>
      </x:c>
      <x:c r="G415" s="66" t="str">
        <x:v>17_SCADA_ICS</x:v>
      </x:c>
      <x:c r="H415" s="66" t="str">
        <x:v>M2</x:v>
      </x:c>
    </x:row>
    <x:row r="416">
      <x:c r="A416" s="58" t="str">
        <x:v>CAP-SCA-033</x:v>
      </x:c>
      <x:c r="B416" s="58" t="str">
        <x:v>SCADA</x:v>
      </x:c>
      <x:c r="C416" s="58" t="str">
        <x:v>报警管理</x:v>
      </x:c>
      <x:c r="D416" s="58" t="str">
        <x:v>报警抑制</x:v>
      </x:c>
      <x:c r="E416" s="58" t="str">
        <x:v>手工/条件/维护/时间段</x:v>
      </x:c>
      <x:c r="F416" s="58" t="str">
        <x:v>Extended</x:v>
      </x:c>
      <x:c r="G416" s="58" t="str">
        <x:v>17_SCADA_ICS</x:v>
      </x:c>
      <x:c r="H416" s="58" t="str">
        <x:v>M2</x:v>
      </x:c>
    </x:row>
    <x:row r="417">
      <x:c r="A417" s="66" t="str">
        <x:v>CAP-SCA-034</x:v>
      </x:c>
      <x:c r="B417" s="66" t="str">
        <x:v>SCADA</x:v>
      </x:c>
      <x:c r="C417" s="66" t="str">
        <x:v>报警管理</x:v>
      </x:c>
      <x:c r="D417" s="66" t="str">
        <x:v>报警维护模式</x:v>
      </x:c>
      <x:c r="E417" s="66" t="str">
        <x:v>设备/报警组批量维护</x:v>
      </x:c>
      <x:c r="F417" s="66" t="str">
        <x:v>Extended</x:v>
      </x:c>
      <x:c r="G417" s="66" t="str">
        <x:v>17_SCADA_ICS</x:v>
      </x:c>
      <x:c r="H417" s="66" t="str">
        <x:v>M2</x:v>
      </x:c>
    </x:row>
    <x:row r="418">
      <x:c r="A418" s="58" t="str">
        <x:v>CAP-SCA-035</x:v>
      </x:c>
      <x:c r="B418" s="58" t="str">
        <x:v>SCADA</x:v>
      </x:c>
      <x:c r="C418" s="58" t="str">
        <x:v>报警管理</x:v>
      </x:c>
      <x:c r="D418" s="58" t="str">
        <x:v>报警洪泛检测</x:v>
      </x:c>
      <x:c r="E418" s="58" t="str">
        <x:v>高频报警限流显示</x:v>
      </x:c>
      <x:c r="F418" s="58" t="str">
        <x:v>Extended</x:v>
      </x:c>
      <x:c r="G418" s="58" t="str">
        <x:v>17_SCADA_ICS</x:v>
      </x:c>
      <x:c r="H418" s="58" t="str">
        <x:v>M2</x:v>
      </x:c>
    </x:row>
    <x:row r="419">
      <x:c r="A419" s="66" t="str">
        <x:v>CAP-SCA-036</x:v>
      </x:c>
      <x:c r="B419" s="66" t="str">
        <x:v>SCADA</x:v>
      </x:c>
      <x:c r="C419" s="66" t="str">
        <x:v>报警管理</x:v>
      </x:c>
      <x:c r="D419" s="66" t="str">
        <x:v>报警声音</x:v>
      </x:c>
      <x:c r="E419" s="66" t="str">
        <x:v>按级别声音/静音</x:v>
      </x:c>
      <x:c r="F419" s="66" t="str">
        <x:v>Extended</x:v>
      </x:c>
      <x:c r="G419" s="66" t="str">
        <x:v>17_SCADA_ICS</x:v>
      </x:c>
      <x:c r="H419" s="66" t="str">
        <x:v>M2</x:v>
      </x:c>
    </x:row>
    <x:row r="420">
      <x:c r="A420" s="58" t="str">
        <x:v>CAP-SCA-037</x:v>
      </x:c>
      <x:c r="B420" s="58" t="str">
        <x:v>SCADA</x:v>
      </x:c>
      <x:c r="C420" s="58" t="str">
        <x:v>报警管理</x:v>
      </x:c>
      <x:c r="D420" s="58" t="str">
        <x:v>报警关联导航</x:v>
      </x:c>
      <x:c r="E420" s="58" t="str">
        <x:v>跳转关联页面/控件/设备</x:v>
      </x:c>
      <x:c r="F420" s="58" t="str">
        <x:v>Extended</x:v>
      </x:c>
      <x:c r="G420" s="58" t="str">
        <x:v>17_SCADA_ICS</x:v>
      </x:c>
      <x:c r="H420" s="58" t="str">
        <x:v>M2</x:v>
      </x:c>
    </x:row>
    <x:row r="421">
      <x:c r="A421" s="66" t="str">
        <x:v>CAP-SCA-038</x:v>
      </x:c>
      <x:c r="B421" s="66" t="str">
        <x:v>SCADA</x:v>
      </x:c>
      <x:c r="C421" s="66" t="str">
        <x:v>报警管理</x:v>
      </x:c>
      <x:c r="D421" s="66" t="str">
        <x:v>报警历史统计</x:v>
      </x:c>
      <x:c r="E421" s="66" t="str">
        <x:v>持续时间/次数/确认/恢复/TopN</x:v>
      </x:c>
      <x:c r="F421" s="66" t="str">
        <x:v>Core</x:v>
      </x:c>
      <x:c r="G421" s="66" t="str">
        <x:v>17_SCADA_ICS</x:v>
      </x:c>
      <x:c r="H421" s="66" t="str">
        <x:v>M2</x:v>
      </x:c>
    </x:row>
    <x:row r="422">
      <x:c r="A422" s="58" t="str">
        <x:v>CAP-SCA-039</x:v>
      </x:c>
      <x:c r="B422" s="58" t="str">
        <x:v>SCADA</x:v>
      </x:c>
      <x:c r="C422" s="58" t="str">
        <x:v>历史数据</x:v>
      </x:c>
      <x:c r="D422" s="58" t="str">
        <x:v>历史变量配置</x:v>
      </x:c>
      <x:c r="E422" s="58" t="str">
        <x:v>采集周期/变化/死区/事件触发</x:v>
      </x:c>
      <x:c r="F422" s="58" t="str">
        <x:v>Core</x:v>
      </x:c>
      <x:c r="G422" s="58" t="str">
        <x:v>17_SCADA_ICS</x:v>
      </x:c>
      <x:c r="H422" s="58" t="str">
        <x:v>M2</x:v>
      </x:c>
    </x:row>
    <x:row r="423">
      <x:c r="A423" s="66" t="str">
        <x:v>CAP-SCA-040</x:v>
      </x:c>
      <x:c r="B423" s="66" t="str">
        <x:v>SCADA</x:v>
      </x:c>
      <x:c r="C423" s="66" t="str">
        <x:v>历史数据</x:v>
      </x:c>
      <x:c r="D423" s="66" t="str">
        <x:v>历史质量</x:v>
      </x:c>
      <x:c r="E423" s="66" t="str">
        <x:v>时间戳/值/质量/数据源</x:v>
      </x:c>
      <x:c r="F423" s="66" t="str">
        <x:v>Core</x:v>
      </x:c>
      <x:c r="G423" s="66" t="str">
        <x:v>17_SCADA_ICS</x:v>
      </x:c>
      <x:c r="H423" s="66" t="str">
        <x:v>M2</x:v>
      </x:c>
    </x:row>
    <x:row r="424">
      <x:c r="A424" s="58" t="str">
        <x:v>CAP-SCA-041</x:v>
      </x:c>
      <x:c r="B424" s="58" t="str">
        <x:v>SCADA</x:v>
      </x:c>
      <x:c r="C424" s="58" t="str">
        <x:v>历史数据</x:v>
      </x:c>
      <x:c r="D424" s="58" t="str">
        <x:v>断线缓存补写</x:v>
      </x:c>
      <x:c r="E424" s="58" t="str">
        <x:v>断线缓存，恢复后补写</x:v>
      </x:c>
      <x:c r="F424" s="58" t="str">
        <x:v>Extended</x:v>
      </x:c>
      <x:c r="G424" s="58" t="str">
        <x:v>17_SCADA_ICS</x:v>
      </x:c>
      <x:c r="H424" s="58" t="str">
        <x:v>M2</x:v>
      </x:c>
    </x:row>
    <x:row r="425">
      <x:c r="A425" s="66" t="str">
        <x:v>CAP-SCA-042</x:v>
      </x:c>
      <x:c r="B425" s="66" t="str">
        <x:v>SCADA</x:v>
      </x:c>
      <x:c r="C425" s="66" t="str">
        <x:v>历史数据</x:v>
      </x:c>
      <x:c r="D425" s="66" t="str">
        <x:v>批量历史写入</x:v>
      </x:c>
      <x:c r="E425" s="66" t="str">
        <x:v>后台批量写入/失败重试</x:v>
      </x:c>
      <x:c r="F425" s="66" t="str">
        <x:v>Extended</x:v>
      </x:c>
      <x:c r="G425" s="66" t="str">
        <x:v>17_SCADA_ICS</x:v>
      </x:c>
      <x:c r="H425" s="66" t="str">
        <x:v>M2</x:v>
      </x:c>
    </x:row>
    <x:row r="426">
      <x:c r="A426" s="58" t="str">
        <x:v>CAP-SCA-043</x:v>
      </x:c>
      <x:c r="B426" s="58" t="str">
        <x:v>SCADA</x:v>
      </x:c>
      <x:c r="C426" s="58" t="str">
        <x:v>历史数据</x:v>
      </x:c>
      <x:c r="D426" s="58" t="str">
        <x:v>历史聚合</x:v>
      </x:c>
      <x:c r="E426" s="58" t="str">
        <x:v>Min/Max/Avg/Sum/Count/StdDev</x:v>
      </x:c>
      <x:c r="F426" s="58" t="str">
        <x:v>Core</x:v>
      </x:c>
      <x:c r="G426" s="58" t="str">
        <x:v>17_SCADA_ICS</x:v>
      </x:c>
      <x:c r="H426" s="58" t="str">
        <x:v>M2</x:v>
      </x:c>
    </x:row>
    <x:row r="427">
      <x:c r="A427" s="66" t="str">
        <x:v>CAP-SCA-044</x:v>
      </x:c>
      <x:c r="B427" s="66" t="str">
        <x:v>SCADA</x:v>
      </x:c>
      <x:c r="C427" s="66" t="str">
        <x:v>历史数据</x:v>
      </x:c>
      <x:c r="D427" s="66" t="str">
        <x:v>历史等间隔采样</x:v>
      </x:c>
      <x:c r="E427" s="66" t="str">
        <x:v>时间窗口聚合/等间隔</x:v>
      </x:c>
      <x:c r="F427" s="66" t="str">
        <x:v>Extended</x:v>
      </x:c>
      <x:c r="G427" s="66" t="str">
        <x:v>17_SCADA_ICS</x:v>
      </x:c>
      <x:c r="H427" s="66" t="str">
        <x:v>M2</x:v>
      </x:c>
    </x:row>
    <x:row r="428">
      <x:c r="A428" s="58" t="str">
        <x:v>CAP-SCA-045</x:v>
      </x:c>
      <x:c r="B428" s="58" t="str">
        <x:v>SCADA</x:v>
      </x:c>
      <x:c r="C428" s="58" t="str">
        <x:v>历史数据</x:v>
      </x:c>
      <x:c r="D428" s="58" t="str">
        <x:v>历史查询取消</x:v>
      </x:c>
      <x:c r="E428" s="58" t="str">
        <x:v>分页/流式/超时/取消</x:v>
      </x:c>
      <x:c r="F428" s="58" t="str">
        <x:v>Extended</x:v>
      </x:c>
      <x:c r="G428" s="58" t="str">
        <x:v>17_SCADA_ICS</x:v>
      </x:c>
      <x:c r="H428" s="58" t="str">
        <x:v>M2</x:v>
      </x:c>
    </x:row>
    <x:row r="429">
      <x:c r="A429" s="66" t="str">
        <x:v>CAP-SCA-046</x:v>
      </x:c>
      <x:c r="B429" s="66" t="str">
        <x:v>SCADA</x:v>
      </x:c>
      <x:c r="C429" s="66" t="str">
        <x:v>历史数据</x:v>
      </x:c>
      <x:c r="D429" s="66" t="str">
        <x:v>历史数据权限</x:v>
      </x:c>
      <x:c r="E429" s="66" t="str">
        <x:v>查询数据范围权限</x:v>
      </x:c>
      <x:c r="F429" s="66" t="str">
        <x:v>Extended</x:v>
      </x:c>
      <x:c r="G429" s="66" t="str">
        <x:v>17_SCADA_ICS</x:v>
      </x:c>
      <x:c r="H429" s="66" t="str">
        <x:v>M2</x:v>
      </x:c>
    </x:row>
    <x:row r="430">
      <x:c r="A430" s="58" t="str">
        <x:v>CAP-SCA-047</x:v>
      </x:c>
      <x:c r="B430" s="58" t="str">
        <x:v>SCADA</x:v>
      </x:c>
      <x:c r="C430" s="58" t="str">
        <x:v>历史数据</x:v>
      </x:c>
      <x:c r="D430" s="58" t="str">
        <x:v>历史归档清理</x:v>
      </x:c>
      <x:c r="E430" s="58" t="str">
        <x:v>自动归档/保留/清理</x:v>
      </x:c>
      <x:c r="F430" s="58" t="str">
        <x:v>Core</x:v>
      </x:c>
      <x:c r="G430" s="58" t="str">
        <x:v>17_SCADA_ICS</x:v>
      </x:c>
      <x:c r="H430" s="58" t="str">
        <x:v>M2</x:v>
      </x:c>
    </x:row>
    <x:row r="431">
      <x:c r="A431" s="66" t="str">
        <x:v>CAP-SCA-048</x:v>
      </x:c>
      <x:c r="B431" s="66" t="str">
        <x:v>SCADA</x:v>
      </x:c>
      <x:c r="C431" s="66" t="str">
        <x:v>历史数据</x:v>
      </x:c>
      <x:c r="D431" s="66" t="str">
        <x:v>历史存储健康</x:v>
      </x:c>
      <x:c r="E431" s="66" t="str">
        <x:v>容量/连接/损坏检测</x:v>
      </x:c>
      <x:c r="F431" s="66" t="str">
        <x:v>Extended</x:v>
      </x:c>
      <x:c r="G431" s="66" t="str">
        <x:v>17_SCADA_ICS</x:v>
      </x:c>
      <x:c r="H431" s="66" t="str">
        <x:v>M2</x:v>
      </x:c>
    </x:row>
    <x:row r="432">
      <x:c r="A432" s="58" t="str">
        <x:v>CAP-HMI-324</x:v>
      </x:c>
      <x:c r="B432" s="58" t="str">
        <x:v>Visual/HMI</x:v>
      </x:c>
      <x:c r="C432" s="58" t="str">
        <x:v>报表</x:v>
      </x:c>
      <x:c r="D432" s="58" t="str">
        <x:v>报表模板设计</x:v>
      </x:c>
      <x:c r="E432" s="58" t="str">
        <x:v>标题/文本/图片/表格/图表/页眉页脚/页码</x:v>
      </x:c>
      <x:c r="F432" s="58" t="str">
        <x:v>Extended</x:v>
      </x:c>
      <x:c r="G432" s="58" t="str">
        <x:v>16_Chart与数据可视化管线</x:v>
      </x:c>
      <x:c r="H432" s="58" t="str">
        <x:v>M2</x:v>
      </x:c>
    </x:row>
    <x:row r="433">
      <x:c r="A433" s="66" t="str">
        <x:v>CAP-HMI-325</x:v>
      </x:c>
      <x:c r="B433" s="66" t="str">
        <x:v>Visual/HMI</x:v>
      </x:c>
      <x:c r="C433" s="66" t="str">
        <x:v>报表</x:v>
      </x:c>
      <x:c r="D433" s="66" t="str">
        <x:v>动态报表字段</x:v>
      </x:c>
      <x:c r="E433" s="66" t="str">
        <x:v>变量/历史/报警/审计/配方/表达式/脚本</x:v>
      </x:c>
      <x:c r="F433" s="66" t="str">
        <x:v>Extended</x:v>
      </x:c>
      <x:c r="G433" s="66" t="str">
        <x:v>16_Chart与数据可视化管线</x:v>
      </x:c>
      <x:c r="H433" s="66" t="str">
        <x:v>M2</x:v>
      </x:c>
    </x:row>
    <x:row r="434">
      <x:c r="A434" s="58" t="str">
        <x:v>CAP-HMI-326</x:v>
      </x:c>
      <x:c r="B434" s="58" t="str">
        <x:v>Visual/HMI</x:v>
      </x:c>
      <x:c r="C434" s="58" t="str">
        <x:v>报表</x:v>
      </x:c>
      <x:c r="D434" s="58" t="str">
        <x:v>报表分组汇总</x:v>
      </x:c>
      <x:c r="E434" s="58" t="str">
        <x:v>分组/排序/小计/总计/条件格式</x:v>
      </x:c>
      <x:c r="F434" s="58" t="str">
        <x:v>Extended</x:v>
      </x:c>
      <x:c r="G434" s="58" t="str">
        <x:v>16_Chart与数据可视化管线</x:v>
      </x:c>
      <x:c r="H434" s="58" t="str">
        <x:v>M2</x:v>
      </x:c>
    </x:row>
    <x:row r="435">
      <x:c r="A435" s="66" t="str">
        <x:v>CAP-HMI-327</x:v>
      </x:c>
      <x:c r="B435" s="66" t="str">
        <x:v>Visual/HMI</x:v>
      </x:c>
      <x:c r="C435" s="66" t="str">
        <x:v>报表</x:v>
      </x:c>
      <x:c r="D435" s="66" t="str">
        <x:v>定时报表</x:v>
      </x:c>
      <x:c r="E435" s="66" t="str">
        <x:v>班次/日/周/月/自定义周期</x:v>
      </x:c>
      <x:c r="F435" s="66" t="str">
        <x:v>Extended</x:v>
      </x:c>
      <x:c r="G435" s="66" t="str">
        <x:v>16_Chart与数据可视化管线</x:v>
      </x:c>
      <x:c r="H435" s="66" t="str">
        <x:v>M2</x:v>
      </x:c>
    </x:row>
    <x:row r="436">
      <x:c r="A436" s="58" t="str">
        <x:v>CAP-HMI-328</x:v>
      </x:c>
      <x:c r="B436" s="58" t="str">
        <x:v>Visual/HMI</x:v>
      </x:c>
      <x:c r="C436" s="58" t="str">
        <x:v>报表</x:v>
      </x:c>
      <x:c r="D436" s="58" t="str">
        <x:v>事件报表</x:v>
      </x:c>
      <x:c r="E436" s="58" t="str">
        <x:v>事件触发生成</x:v>
      </x:c>
      <x:c r="F436" s="58" t="str">
        <x:v>Extended</x:v>
      </x:c>
      <x:c r="G436" s="58" t="str">
        <x:v>16_Chart与数据可视化管线</x:v>
      </x:c>
      <x:c r="H436" s="58" t="str">
        <x:v>M2</x:v>
      </x:c>
    </x:row>
    <x:row r="437">
      <x:c r="A437" s="66" t="str">
        <x:v>CAP-HMI-329</x:v>
      </x:c>
      <x:c r="B437" s="66" t="str">
        <x:v>Visual/HMI</x:v>
      </x:c>
      <x:c r="C437" s="66" t="str">
        <x:v>报表</x:v>
      </x:c>
      <x:c r="D437" s="66" t="str">
        <x:v>报表任务队列</x:v>
      </x:c>
      <x:c r="E437" s="66" t="str">
        <x:v>进度/失败重试/历史</x:v>
      </x:c>
      <x:c r="F437" s="66" t="str">
        <x:v>Extended</x:v>
      </x:c>
      <x:c r="G437" s="66" t="str">
        <x:v>16_Chart与数据可视化管线</x:v>
      </x:c>
      <x:c r="H437" s="66" t="str">
        <x:v>M2</x:v>
      </x:c>
    </x:row>
    <x:row r="438">
      <x:c r="A438" s="58" t="str">
        <x:v>CAP-HMI-330</x:v>
      </x:c>
      <x:c r="B438" s="58" t="str">
        <x:v>Visual/HMI</x:v>
      </x:c>
      <x:c r="C438" s="58" t="str">
        <x:v>报表</x:v>
      </x:c>
      <x:c r="D438" s="58" t="str">
        <x:v>PDF导出</x:v>
      </x:c>
      <x:c r="E438" s="58" t="str">
        <x:v>PDF</x:v>
      </x:c>
      <x:c r="F438" s="58" t="str">
        <x:v>Extended</x:v>
      </x:c>
      <x:c r="G438" s="58" t="str">
        <x:v>16_Chart与数据可视化管线</x:v>
      </x:c>
      <x:c r="H438" s="58" t="str">
        <x:v>M2</x:v>
      </x:c>
    </x:row>
    <x:row r="439">
      <x:c r="A439" s="66" t="str">
        <x:v>CAP-HMI-331</x:v>
      </x:c>
      <x:c r="B439" s="66" t="str">
        <x:v>Visual/HMI</x:v>
      </x:c>
      <x:c r="C439" s="66" t="str">
        <x:v>报表</x:v>
      </x:c>
      <x:c r="D439" s="66" t="str">
        <x:v>Excel导出</x:v>
      </x:c>
      <x:c r="E439" s="66" t="str">
        <x:v>Excel</x:v>
      </x:c>
      <x:c r="F439" s="66" t="str">
        <x:v>Extended</x:v>
      </x:c>
      <x:c r="G439" s="66" t="str">
        <x:v>16_Chart与数据可视化管线</x:v>
      </x:c>
      <x:c r="H439" s="66" t="str">
        <x:v>M2</x:v>
      </x:c>
    </x:row>
    <x:row r="440">
      <x:c r="A440" s="58" t="str">
        <x:v>CAP-HMI-332</x:v>
      </x:c>
      <x:c r="B440" s="58" t="str">
        <x:v>Visual/HMI</x:v>
      </x:c>
      <x:c r="C440" s="58" t="str">
        <x:v>报表</x:v>
      </x:c>
      <x:c r="D440" s="58" t="str">
        <x:v>CSV导出</x:v>
      </x:c>
      <x:c r="E440" s="58" t="str">
        <x:v>CSV</x:v>
      </x:c>
      <x:c r="F440" s="58" t="str">
        <x:v>Extended</x:v>
      </x:c>
      <x:c r="G440" s="58" t="str">
        <x:v>16_Chart与数据可视化管线</x:v>
      </x:c>
      <x:c r="H440" s="58" t="str">
        <x:v>M2</x:v>
      </x:c>
    </x:row>
    <x:row r="441">
      <x:c r="A441" s="66" t="str">
        <x:v>CAP-HMI-333</x:v>
      </x:c>
      <x:c r="B441" s="66" t="str">
        <x:v>Visual/HMI</x:v>
      </x:c>
      <x:c r="C441" s="66" t="str">
        <x:v>报表</x:v>
      </x:c>
      <x:c r="D441" s="66" t="str">
        <x:v>打印</x:v>
      </x:c>
      <x:c r="E441" s="66" t="str">
        <x:v>打印输出</x:v>
      </x:c>
      <x:c r="F441" s="66" t="str">
        <x:v>Extended</x:v>
      </x:c>
      <x:c r="G441" s="66" t="str">
        <x:v>16_Chart与数据可视化管线</x:v>
      </x:c>
      <x:c r="H441" s="66" t="str">
        <x:v>M2</x:v>
      </x:c>
    </x:row>
    <x:row r="442">
      <x:c r="A442" s="58" t="str">
        <x:v>CAP-SCA-049</x:v>
      </x:c>
      <x:c r="B442" s="58" t="str">
        <x:v>SCADA</x:v>
      </x:c>
      <x:c r="C442" s="58" t="str">
        <x:v>配方</x:v>
      </x:c>
      <x:c r="D442" s="58" t="str">
        <x:v>配方分类/版本</x:v>
      </x:c>
      <x:c r="E442" s="58" t="str">
        <x:v>分类、名称、编码、产品型号、版本</x:v>
      </x:c>
      <x:c r="F442" s="58" t="str">
        <x:v>Extended</x:v>
      </x:c>
      <x:c r="G442" s="58" t="str">
        <x:v>17_SCADA_ICS</x:v>
      </x:c>
      <x:c r="H442" s="58" t="str">
        <x:v>M2</x:v>
      </x:c>
    </x:row>
    <x:row r="443">
      <x:c r="A443" s="66" t="str">
        <x:v>CAP-SCA-050</x:v>
      </x:c>
      <x:c r="B443" s="66" t="str">
        <x:v>SCADA</x:v>
      </x:c>
      <x:c r="C443" s="66" t="str">
        <x:v>配方</x:v>
      </x:c>
      <x:c r="D443" s="66" t="str">
        <x:v>配方变量项</x:v>
      </x:c>
      <x:c r="E443" s="66" t="str">
        <x:v>目标值/上下限/单位/写入顺序</x:v>
      </x:c>
      <x:c r="F443" s="66" t="str">
        <x:v>Extended</x:v>
      </x:c>
      <x:c r="G443" s="66" t="str">
        <x:v>17_SCADA_ICS</x:v>
      </x:c>
      <x:c r="H443" s="66" t="str">
        <x:v>M2</x:v>
      </x:c>
    </x:row>
    <x:row r="444">
      <x:c r="A444" s="58" t="str">
        <x:v>CAP-SCA-051</x:v>
      </x:c>
      <x:c r="B444" s="58" t="str">
        <x:v>SCADA</x:v>
      </x:c>
      <x:c r="C444" s="58" t="str">
        <x:v>配方</x:v>
      </x:c>
      <x:c r="D444" s="58" t="str">
        <x:v>设备读取生成配方</x:v>
      </x:c>
      <x:c r="E444" s="58" t="str">
        <x:v>读取当前参数生成配方</x:v>
      </x:c>
      <x:c r="F444" s="58" t="str">
        <x:v>Extended</x:v>
      </x:c>
      <x:c r="G444" s="58" t="str">
        <x:v>17_SCADA_ICS</x:v>
      </x:c>
      <x:c r="H444" s="58" t="str">
        <x:v>M2</x:v>
      </x:c>
    </x:row>
    <x:row r="445">
      <x:c r="A445" s="66" t="str">
        <x:v>CAP-SCA-052</x:v>
      </x:c>
      <x:c r="B445" s="66" t="str">
        <x:v>SCADA</x:v>
      </x:c>
      <x:c r="C445" s="66" t="str">
        <x:v>配方</x:v>
      </x:c>
      <x:c r="D445" s="66" t="str">
        <x:v>配方比较</x:v>
      </x:c>
      <x:c r="E445" s="66" t="str">
        <x:v>当前值vs目标值/版本比较</x:v>
      </x:c>
      <x:c r="F445" s="66" t="str">
        <x:v>Extended</x:v>
      </x:c>
      <x:c r="G445" s="66" t="str">
        <x:v>17_SCADA_ICS</x:v>
      </x:c>
      <x:c r="H445" s="66" t="str">
        <x:v>M2</x:v>
      </x:c>
    </x:row>
    <x:row r="446">
      <x:c r="A446" s="58" t="str">
        <x:v>CAP-SCA-053</x:v>
      </x:c>
      <x:c r="B446" s="58" t="str">
        <x:v>SCADA</x:v>
      </x:c>
      <x:c r="C446" s="58" t="str">
        <x:v>配方</x:v>
      </x:c>
      <x:c r="D446" s="58" t="str">
        <x:v>配方下发</x:v>
      </x:c>
      <x:c r="E446" s="58" t="str">
        <x:v>按顺序/分组写入</x:v>
      </x:c>
      <x:c r="F446" s="58" t="str">
        <x:v>Extended</x:v>
      </x:c>
      <x:c r="G446" s="58" t="str">
        <x:v>17_SCADA_ICS</x:v>
      </x:c>
      <x:c r="H446" s="58" t="str">
        <x:v>M2</x:v>
      </x:c>
    </x:row>
    <x:row r="447">
      <x:c r="A447" s="66" t="str">
        <x:v>CAP-SCA-054</x:v>
      </x:c>
      <x:c r="B447" s="66" t="str">
        <x:v>SCADA</x:v>
      </x:c>
      <x:c r="C447" s="66" t="str">
        <x:v>配方</x:v>
      </x:c>
      <x:c r="D447" s="66" t="str">
        <x:v>配方回读验证</x:v>
      </x:c>
      <x:c r="E447" s="66" t="str">
        <x:v>写入后回读确认</x:v>
      </x:c>
      <x:c r="F447" s="66" t="str">
        <x:v>Extended</x:v>
      </x:c>
      <x:c r="G447" s="66" t="str">
        <x:v>17_SCADA_ICS</x:v>
      </x:c>
      <x:c r="H447" s="66" t="str">
        <x:v>M2</x:v>
      </x:c>
    </x:row>
    <x:row r="448">
      <x:c r="A448" s="58" t="str">
        <x:v>CAP-SCA-055</x:v>
      </x:c>
      <x:c r="B448" s="58" t="str">
        <x:v>SCADA</x:v>
      </x:c>
      <x:c r="C448" s="58" t="str">
        <x:v>配方</x:v>
      </x:c>
      <x:c r="D448" s="58" t="str">
        <x:v>配方失败回滚</x:v>
      </x:c>
      <x:c r="E448" s="58" t="str">
        <x:v>部分失败回滚或停止</x:v>
      </x:c>
      <x:c r="F448" s="58" t="str">
        <x:v>Extended</x:v>
      </x:c>
      <x:c r="G448" s="58" t="str">
        <x:v>17_SCADA_ICS</x:v>
      </x:c>
      <x:c r="H448" s="58" t="str">
        <x:v>M2</x:v>
      </x:c>
    </x:row>
    <x:row r="449">
      <x:c r="A449" s="66" t="str">
        <x:v>CAP-SCA-056</x:v>
      </x:c>
      <x:c r="B449" s="66" t="str">
        <x:v>SCADA</x:v>
      </x:c>
      <x:c r="C449" s="66" t="str">
        <x:v>配方</x:v>
      </x:c>
      <x:c r="D449" s="66" t="str">
        <x:v>配方审批</x:v>
      </x:c>
      <x:c r="E449" s="66" t="str">
        <x:v>草稿/待审核/已批准/停用</x:v>
      </x:c>
      <x:c r="F449" s="66" t="str">
        <x:v>Extended</x:v>
      </x:c>
      <x:c r="G449" s="66" t="str">
        <x:v>17_SCADA_ICS</x:v>
      </x:c>
      <x:c r="H449" s="66" t="str">
        <x:v>M2</x:v>
      </x:c>
    </x:row>
    <x:row r="450">
      <x:c r="A450" s="58" t="str">
        <x:v>CAP-SCA-057</x:v>
      </x:c>
      <x:c r="B450" s="58" t="str">
        <x:v>SCADA</x:v>
      </x:c>
      <x:c r="C450" s="58" t="str">
        <x:v>配方</x:v>
      </x:c>
      <x:c r="D450" s="58" t="str">
        <x:v>配方电子签名</x:v>
      </x:c>
      <x:c r="E450" s="58" t="str">
        <x:v>审批/下发签名</x:v>
      </x:c>
      <x:c r="F450" s="58" t="str">
        <x:v>Extended</x:v>
      </x:c>
      <x:c r="G450" s="58" t="str">
        <x:v>17_SCADA_ICS</x:v>
      </x:c>
      <x:c r="H450" s="58" t="str">
        <x:v>M2</x:v>
      </x:c>
    </x:row>
    <x:row r="451">
      <x:c r="A451" s="66" t="str">
        <x:v>CAP-HMI-334</x:v>
      </x:c>
      <x:c r="B451" s="66" t="str">
        <x:v>Visual/HMI</x:v>
      </x:c>
      <x:c r="C451" s="66" t="str">
        <x:v>脚本/插件SDK</x:v>
      </x:c>
      <x:c r="D451" s="66" t="str">
        <x:v>脚本编辑器</x:v>
      </x:c>
      <x:c r="E451" s="66" t="str">
        <x:v>语法高亮、自动补全、错误提示</x:v>
      </x:c>
      <x:c r="F451" s="66" t="str">
        <x:v>Extended</x:v>
      </x:c>
      <x:c r="G451" s="66" t="str">
        <x:v>03_架构总纲与领域边界</x:v>
      </x:c>
      <x:c r="H451" s="66" t="str">
        <x:v>M2</x:v>
      </x:c>
    </x:row>
    <x:row r="452">
      <x:c r="A452" s="58" t="str">
        <x:v>CAP-HMI-335</x:v>
      </x:c>
      <x:c r="B452" s="58" t="str">
        <x:v>Visual/HMI</x:v>
      </x:c>
      <x:c r="C452" s="58" t="str">
        <x:v>脚本/插件SDK</x:v>
      </x:c>
      <x:c r="D452" s="58" t="str">
        <x:v>脚本编译检查</x:v>
      </x:c>
      <x:c r="E452" s="58" t="str">
        <x:v>发布前语法/安全检查</x:v>
      </x:c>
      <x:c r="F452" s="58" t="str">
        <x:v>Extended</x:v>
      </x:c>
      <x:c r="G452" s="58" t="str">
        <x:v>03_架构总纲与领域边界</x:v>
      </x:c>
      <x:c r="H452" s="58" t="str">
        <x:v>M2</x:v>
      </x:c>
    </x:row>
    <x:row r="453">
      <x:c r="A453" s="66" t="str">
        <x:v>CAP-HMI-336</x:v>
      </x:c>
      <x:c r="B453" s="66" t="str">
        <x:v>Visual/HMI</x:v>
      </x:c>
      <x:c r="C453" s="66" t="str">
        <x:v>脚本/插件SDK</x:v>
      </x:c>
      <x:c r="D453" s="66" t="str">
        <x:v>脚本断点调试</x:v>
      </x:c>
      <x:c r="E453" s="66" t="str">
        <x:v>断点、单步、变量查看、输出</x:v>
      </x:c>
      <x:c r="F453" s="66" t="str">
        <x:v>Extended</x:v>
      </x:c>
      <x:c r="G453" s="66" t="str">
        <x:v>03_架构总纲与领域边界</x:v>
      </x:c>
      <x:c r="H453" s="66" t="str">
        <x:v>M2</x:v>
      </x:c>
    </x:row>
    <x:row r="454">
      <x:c r="A454" s="58" t="str">
        <x:v>CAP-HMI-337</x:v>
      </x:c>
      <x:c r="B454" s="58" t="str">
        <x:v>Visual/HMI</x:v>
      </x:c>
      <x:c r="C454" s="58" t="str">
        <x:v>脚本/插件SDK</x:v>
      </x:c>
      <x:c r="D454" s="58" t="str">
        <x:v>脚本资源限制</x:v>
      </x:c>
      <x:c r="E454" s="58" t="str">
        <x:v>执行时间/内存/递归深度/取消</x:v>
      </x:c>
      <x:c r="F454" s="58" t="str">
        <x:v>Extended</x:v>
      </x:c>
      <x:c r="G454" s="58" t="str">
        <x:v>03_架构总纲与领域边界</x:v>
      </x:c>
      <x:c r="H454" s="58" t="str">
        <x:v>M2</x:v>
      </x:c>
    </x:row>
    <x:row r="455">
      <x:c r="A455" s="66" t="str">
        <x:v>CAP-HMI-338</x:v>
      </x:c>
      <x:c r="B455" s="66" t="str">
        <x:v>Visual/HMI</x:v>
      </x:c>
      <x:c r="C455" s="66" t="str">
        <x:v>脚本/插件SDK</x:v>
      </x:c>
      <x:c r="D455" s="66" t="str">
        <x:v>脚本API白名单</x:v>
      </x:c>
      <x:c r="E455" s="66" t="str">
        <x:v>文件/网络/进程/反射默认禁止</x:v>
      </x:c>
      <x:c r="F455" s="66" t="str">
        <x:v>Extended</x:v>
      </x:c>
      <x:c r="G455" s="66" t="str">
        <x:v>03_架构总纲与领域边界</x:v>
      </x:c>
      <x:c r="H455" s="66" t="str">
        <x:v>M2</x:v>
      </x:c>
    </x:row>
    <x:row r="456">
      <x:c r="A456" s="58" t="str">
        <x:v>CAP-HMI-339</x:v>
      </x:c>
      <x:c r="B456" s="58" t="str">
        <x:v>Visual/HMI</x:v>
      </x:c>
      <x:c r="C456" s="58" t="str">
        <x:v>脚本/插件SDK</x:v>
      </x:c>
      <x:c r="D456" s="58" t="str">
        <x:v>驱动插件SDK</x:v>
      </x:c>
      <x:c r="E456" s="58" t="str">
        <x:v>PLC/OPC UA/DB/HTTP/TCP/Serial/MQ数据源</x:v>
      </x:c>
      <x:c r="F456" s="58" t="str">
        <x:v>Extended</x:v>
      </x:c>
      <x:c r="G456" s="58" t="str">
        <x:v>03_架构总纲与领域边界</x:v>
      </x:c>
      <x:c r="H456" s="58" t="str">
        <x:v>M2</x:v>
      </x:c>
    </x:row>
    <x:row r="457">
      <x:c r="A457" s="66" t="str">
        <x:v>CAP-HMI-340</x:v>
      </x:c>
      <x:c r="B457" s="66" t="str">
        <x:v>Visual/HMI</x:v>
      </x:c>
      <x:c r="C457" s="66" t="str">
        <x:v>脚本/插件SDK</x:v>
      </x:c>
      <x:c r="D457" s="66" t="str">
        <x:v>控件插件SDK</x:v>
      </x:c>
      <x:c r="E457" s="66" t="str">
        <x:v>属性/绑定/事件/序列化/设计预览/Runtime渲染</x:v>
      </x:c>
      <x:c r="F457" s="66" t="str">
        <x:v>Extended</x:v>
      </x:c>
      <x:c r="G457" s="66" t="str">
        <x:v>03_架构总纲与领域边界</x:v>
      </x:c>
      <x:c r="H457" s="66" t="str">
        <x:v>M2</x:v>
      </x:c>
    </x:row>
    <x:row r="458">
      <x:c r="A458" s="58" t="str">
        <x:v>CAP-HMI-341</x:v>
      </x:c>
      <x:c r="B458" s="58" t="str">
        <x:v>Visual/HMI</x:v>
      </x:c>
      <x:c r="C458" s="58" t="str">
        <x:v>脚本/插件SDK</x:v>
      </x:c>
      <x:c r="D458" s="58" t="str">
        <x:v>动作插件SDK</x:v>
      </x:c>
      <x:c r="E458" s="58" t="str">
        <x:v>同步/异步/超时/取消/结果/权限/危险等级</x:v>
      </x:c>
      <x:c r="F458" s="58" t="str">
        <x:v>Extended</x:v>
      </x:c>
      <x:c r="G458" s="58" t="str">
        <x:v>03_架构总纲与领域边界</x:v>
      </x:c>
      <x:c r="H458" s="58" t="str">
        <x:v>M2</x:v>
      </x:c>
    </x:row>
    <x:row r="459">
      <x:c r="A459" s="66" t="str">
        <x:v>CAP-HMI-342</x:v>
      </x:c>
      <x:c r="B459" s="66" t="str">
        <x:v>Visual/HMI</x:v>
      </x:c>
      <x:c r="C459" s="66" t="str">
        <x:v>脚本/插件SDK</x:v>
      </x:c>
      <x:c r="D459" s="66" t="str">
        <x:v>插件安装升级</x:v>
      </x:c>
      <x:c r="E459" s="66" t="str">
        <x:v>安装/启用/停用/升级/卸载</x:v>
      </x:c>
      <x:c r="F459" s="66" t="str">
        <x:v>Extended</x:v>
      </x:c>
      <x:c r="G459" s="66" t="str">
        <x:v>03_架构总纲与领域边界</x:v>
      </x:c>
      <x:c r="H459" s="66" t="str">
        <x:v>M2</x:v>
      </x:c>
    </x:row>
    <x:row r="460">
      <x:c r="A460" s="58" t="str">
        <x:v>CAP-HMI-343</x:v>
      </x:c>
      <x:c r="B460" s="58" t="str">
        <x:v>Visual/HMI</x:v>
      </x:c>
      <x:c r="C460" s="58" t="str">
        <x:v>脚本/插件SDK</x:v>
      </x:c>
      <x:c r="D460" s="58" t="str">
        <x:v>插件签名</x:v>
      </x:c>
      <x:c r="E460" s="58" t="str">
        <x:v>来源与签名校验</x:v>
      </x:c>
      <x:c r="F460" s="58" t="str">
        <x:v>Extended</x:v>
      </x:c>
      <x:c r="G460" s="58" t="str">
        <x:v>03_架构总纲与领域边界</x:v>
      </x:c>
      <x:c r="H460" s="58" t="str">
        <x:v>M2</x:v>
      </x:c>
    </x:row>
    <x:row r="461">
      <x:c r="A461" s="66" t="str">
        <x:v>CAP-HMI-344</x:v>
      </x:c>
      <x:c r="B461" s="66" t="str">
        <x:v>Visual/HMI</x:v>
      </x:c>
      <x:c r="C461" s="66" t="str">
        <x:v>脚本/插件SDK</x:v>
      </x:c>
      <x:c r="D461" s="66" t="str">
        <x:v>插件依赖冲突</x:v>
      </x:c>
      <x:c r="E461" s="66" t="str">
        <x:v>版本依赖/冲突检测</x:v>
      </x:c>
      <x:c r="F461" s="66" t="str">
        <x:v>Extended</x:v>
      </x:c>
      <x:c r="G461" s="66" t="str">
        <x:v>03_架构总纲与领域边界</x:v>
      </x:c>
      <x:c r="H461" s="66" t="str">
        <x:v>M2</x:v>
      </x:c>
    </x:row>
    <x:row r="462">
      <x:c r="A462" s="58" t="str">
        <x:v>CAP-GRF-031</x:v>
      </x:c>
      <x:c r="B462" s="58" t="str">
        <x:v>Graph Platform</x:v>
      </x:c>
      <x:c r="C462" s="58" t="str">
        <x:v>版本/协作/部署</x:v>
      </x:c>
      <x:c r="D462" s="58" t="str">
        <x:v>工程差异比较</x:v>
      </x:c>
      <x:c r="E462" s="58" t="str">
        <x:v>工程信息/页面/控件/绑定/脚本/模板/资源/报警等差异</x:v>
      </x:c>
      <x:c r="F462" s="58" t="str">
        <x:v>Extended</x:v>
      </x:c>
      <x:c r="G462" s="58" t="str">
        <x:v>23_GraphRuntime部署可靠性Agent</x:v>
      </x:c>
      <x:c r="H462" s="58" t="str">
        <x:v>M3</x:v>
      </x:c>
    </x:row>
    <x:row r="463">
      <x:c r="A463" s="66" t="str">
        <x:v>CAP-GRF-032</x:v>
      </x:c>
      <x:c r="B463" s="66" t="str">
        <x:v>Graph Platform</x:v>
      </x:c>
      <x:c r="C463" s="66" t="str">
        <x:v>版本/协作/部署</x:v>
      </x:c>
      <x:c r="D463" s="66" t="str">
        <x:v>差异定位</x:v>
      </x:c>
      <x:c r="E463" s="66" t="str">
        <x:v>双击差异定位设计器对象</x:v>
      </x:c>
      <x:c r="F463" s="66" t="str">
        <x:v>Extended</x:v>
      </x:c>
      <x:c r="G463" s="66" t="str">
        <x:v>23_GraphRuntime部署可靠性Agent</x:v>
      </x:c>
      <x:c r="H463" s="66" t="str">
        <x:v>M3</x:v>
      </x:c>
    </x:row>
    <x:row r="464">
      <x:c r="A464" s="58" t="str">
        <x:v>CAP-GRF-033</x:v>
      </x:c>
      <x:c r="B464" s="58" t="str">
        <x:v>Graph Platform</x:v>
      </x:c>
      <x:c r="C464" s="58" t="str">
        <x:v>版本/协作/部署</x:v>
      </x:c>
      <x:c r="D464" s="58" t="str">
        <x:v>选择性合并</x:v>
      </x:c>
      <x:c r="E464" s="58" t="str">
        <x:v>选择性合并并处理冲突</x:v>
      </x:c>
      <x:c r="F464" s="58" t="str">
        <x:v>Extended</x:v>
      </x:c>
      <x:c r="G464" s="58" t="str">
        <x:v>23_GraphRuntime部署可靠性Agent</x:v>
      </x:c>
      <x:c r="H464" s="58" t="str">
        <x:v>M3</x:v>
      </x:c>
    </x:row>
    <x:row r="465">
      <x:c r="A465" s="66" t="str">
        <x:v>CAP-GRF-034</x:v>
      </x:c>
      <x:c r="B465" s="66" t="str">
        <x:v>Graph Platform</x:v>
      </x:c>
      <x:c r="C465" s="66" t="str">
        <x:v>版本/协作/部署</x:v>
      </x:c>
      <x:c r="D465" s="66" t="str">
        <x:v>Git友好序列化</x:v>
      </x:c>
      <x:c r="E465" s="66" t="str">
        <x:v>稳定排序、可读JSON、减少无关Diff</x:v>
      </x:c>
      <x:c r="F465" s="66" t="str">
        <x:v>Extended</x:v>
      </x:c>
      <x:c r="G465" s="66" t="str">
        <x:v>23_GraphRuntime部署可靠性Agent</x:v>
      </x:c>
      <x:c r="H465" s="66" t="str">
        <x:v>M3</x:v>
      </x:c>
    </x:row>
    <x:row r="466">
      <x:c r="A466" s="58" t="str">
        <x:v>CAP-GRF-035</x:v>
      </x:c>
      <x:c r="B466" s="58" t="str">
        <x:v>Graph Platform</x:v>
      </x:c>
      <x:c r="C466" s="58" t="str">
        <x:v>版本/协作/部署</x:v>
      </x:c>
      <x:c r="D466" s="58" t="str">
        <x:v>工程锁</x:v>
      </x:c>
      <x:c r="E466" s="58" t="str">
        <x:v>协作工程锁</x:v>
      </x:c>
      <x:c r="F466" s="58" t="str">
        <x:v>Extended</x:v>
      </x:c>
      <x:c r="G466" s="58" t="str">
        <x:v>23_GraphRuntime部署可靠性Agent</x:v>
      </x:c>
      <x:c r="H466" s="58" t="str">
        <x:v>M3</x:v>
      </x:c>
    </x:row>
    <x:row r="467">
      <x:c r="A467" s="66" t="str">
        <x:v>CAP-GRF-036</x:v>
      </x:c>
      <x:c r="B467" s="66" t="str">
        <x:v>Graph Platform</x:v>
      </x:c>
      <x:c r="C467" s="66" t="str">
        <x:v>版本/协作/部署</x:v>
      </x:c>
      <x:c r="D467" s="66" t="str">
        <x:v>页面锁</x:v>
      </x:c>
      <x:c r="E467" s="66" t="str">
        <x:v>页面/资源锁</x:v>
      </x:c>
      <x:c r="F467" s="66" t="str">
        <x:v>Extended</x:v>
      </x:c>
      <x:c r="G467" s="66" t="str">
        <x:v>23_GraphRuntime部署可靠性Agent</x:v>
      </x:c>
      <x:c r="H467" s="66" t="str">
        <x:v>M3</x:v>
      </x:c>
    </x:row>
    <x:row r="468">
      <x:c r="A468" s="58" t="str">
        <x:v>CAP-GRF-037</x:v>
      </x:c>
      <x:c r="B468" s="58" t="str">
        <x:v>Graph Platform</x:v>
      </x:c>
      <x:c r="C468" s="58" t="str">
        <x:v>版本/协作/部署</x:v>
      </x:c>
      <x:c r="D468" s="58" t="str">
        <x:v>变更记录</x:v>
      </x:c>
      <x:c r="E468" s="58" t="str">
        <x:v>编辑人/说明/时间</x:v>
      </x:c>
      <x:c r="F468" s="58" t="str">
        <x:v>Extended</x:v>
      </x:c>
      <x:c r="G468" s="58" t="str">
        <x:v>23_GraphRuntime部署可靠性Agent</x:v>
      </x:c>
      <x:c r="H468" s="58" t="str">
        <x:v>M3</x:v>
      </x:c>
    </x:row>
    <x:row r="469">
      <x:c r="A469" s="66" t="str">
        <x:v>CAP-GRF-038</x:v>
      </x:c>
      <x:c r="B469" s="66" t="str">
        <x:v>Graph Platform</x:v>
      </x:c>
      <x:c r="C469" s="66" t="str">
        <x:v>版本/协作/部署</x:v>
      </x:c>
      <x:c r="D469" s="66" t="str">
        <x:v>发布环境</x:v>
      </x:c>
      <x:c r="E469" s="66" t="str">
        <x:v>测试/预发布/生产</x:v>
      </x:c>
      <x:c r="F469" s="66" t="str">
        <x:v>Extended</x:v>
      </x:c>
      <x:c r="G469" s="66" t="str">
        <x:v>23_GraphRuntime部署可靠性Agent</x:v>
      </x:c>
      <x:c r="H469" s="66" t="str">
        <x:v>M3</x:v>
      </x:c>
    </x:row>
    <x:row r="470">
      <x:c r="A470" s="58" t="str">
        <x:v>CAP-GRF-039</x:v>
      </x:c>
      <x:c r="B470" s="58" t="str">
        <x:v>Graph Platform</x:v>
      </x:c>
      <x:c r="C470" s="58" t="str">
        <x:v>版本/协作/部署</x:v>
      </x:c>
      <x:c r="D470" s="58" t="str">
        <x:v>设备组发布</x:v>
      </x:c>
      <x:c r="E470" s="58" t="str">
        <x:v>单设备/设备组目标</x:v>
      </x:c>
      <x:c r="F470" s="58" t="str">
        <x:v>Extended</x:v>
      </x:c>
      <x:c r="G470" s="58" t="str">
        <x:v>23_GraphRuntime部署可靠性Agent</x:v>
      </x:c>
      <x:c r="H470" s="58" t="str">
        <x:v>M3</x:v>
      </x:c>
    </x:row>
    <x:row r="471">
      <x:c r="A471" s="66" t="str">
        <x:v>CAP-GRF-040</x:v>
      </x:c>
      <x:c r="B471" s="66" t="str">
        <x:v>Graph Platform</x:v>
      </x:c>
      <x:c r="C471" s="66" t="str">
        <x:v>版本/协作/部署</x:v>
      </x:c>
      <x:c r="D471" s="66" t="str">
        <x:v>计划发布</x:v>
      </x:c>
      <x:c r="E471" s="66" t="str">
        <x:v>维护窗口/立即/计划时间</x:v>
      </x:c>
      <x:c r="F471" s="66" t="str">
        <x:v>Extended</x:v>
      </x:c>
      <x:c r="G471" s="66" t="str">
        <x:v>23_GraphRuntime部署可靠性Agent</x:v>
      </x:c>
      <x:c r="H471" s="66" t="str">
        <x:v>M3</x:v>
      </x:c>
    </x:row>
    <x:row r="472">
      <x:c r="A472" s="58" t="str">
        <x:v>CAP-GRF-041</x:v>
      </x:c>
      <x:c r="B472" s="58" t="str">
        <x:v>Graph Platform</x:v>
      </x:c>
      <x:c r="C472" s="58" t="str">
        <x:v>版本/协作/部署</x:v>
      </x:c>
      <x:c r="D472" s="58" t="str">
        <x:v>远程Runtime状态</x:v>
      </x:c>
      <x:c r="E472" s="58" t="str">
        <x:v>在线/版本/工程/心跳</x:v>
      </x:c>
      <x:c r="F472" s="58" t="str">
        <x:v>Extended</x:v>
      </x:c>
      <x:c r="G472" s="58" t="str">
        <x:v>23_GraphRuntime部署可靠性Agent</x:v>
      </x:c>
      <x:c r="H472" s="58" t="str">
        <x:v>M3</x:v>
      </x:c>
    </x:row>
    <x:row r="473">
      <x:c r="A473" s="66" t="str">
        <x:v>CAP-GRF-042</x:v>
      </x:c>
      <x:c r="B473" s="66" t="str">
        <x:v>Graph Platform</x:v>
      </x:c>
      <x:c r="C473" s="66" t="str">
        <x:v>版本/协作/部署</x:v>
      </x:c>
      <x:c r="D473" s="66" t="str">
        <x:v>断点续传</x:v>
      </x:c>
      <x:c r="E473" s="66" t="str">
        <x:v>发布包断点续传</x:v>
      </x:c>
      <x:c r="F473" s="66" t="str">
        <x:v>Extended</x:v>
      </x:c>
      <x:c r="G473" s="66" t="str">
        <x:v>23_GraphRuntime部署可靠性Agent</x:v>
      </x:c>
      <x:c r="H473" s="66" t="str">
        <x:v>M3</x:v>
      </x:c>
    </x:row>
    <x:row r="474">
      <x:c r="A474" s="58" t="str">
        <x:v>CAP-GRF-043</x:v>
      </x:c>
      <x:c r="B474" s="58" t="str">
        <x:v>Graph Platform</x:v>
      </x:c>
      <x:c r="C474" s="58" t="str">
        <x:v>版本/协作/部署</x:v>
      </x:c>
      <x:c r="D474" s="58" t="str">
        <x:v>失败自动回退</x:v>
      </x:c>
      <x:c r="E474" s="58" t="str">
        <x:v>新版本加载失败回退最近可运行版本</x:v>
      </x:c>
      <x:c r="F474" s="58" t="str">
        <x:v>Extended</x:v>
      </x:c>
      <x:c r="G474" s="58" t="str">
        <x:v>23_GraphRuntime部署可靠性Agent</x:v>
      </x:c>
      <x:c r="H474" s="58" t="str">
        <x:v>M3</x:v>
      </x:c>
    </x:row>
    <x:row r="475">
      <x:c r="A475" s="66" t="str">
        <x:v>CAP-GRF-044</x:v>
      </x:c>
      <x:c r="B475" s="66" t="str">
        <x:v>Graph Platform</x:v>
      </x:c>
      <x:c r="C475" s="66" t="str">
        <x:v>版本/协作/部署</x:v>
      </x:c>
      <x:c r="D475" s="66" t="str">
        <x:v>人工回滚</x:v>
      </x:c>
      <x:c r="E475" s="66" t="str">
        <x:v>选择历史版本回滚</x:v>
      </x:c>
      <x:c r="F475" s="66" t="str">
        <x:v>Extended</x:v>
      </x:c>
      <x:c r="G475" s="66" t="str">
        <x:v>23_GraphRuntime部署可靠性Agent</x:v>
      </x:c>
      <x:c r="H475" s="66" t="str">
        <x:v>M3</x:v>
      </x:c>
    </x:row>
    <x:row r="476">
      <x:c r="A476" s="58" t="str">
        <x:v>CAP-HMI-345</x:v>
      </x:c>
      <x:c r="B476" s="58" t="str">
        <x:v>Visual/HMI</x:v>
      </x:c>
      <x:c r="C476" s="58" t="str">
        <x:v>Web/移动端</x:v>
      </x:c>
      <x:c r="D476" s="58" t="str">
        <x:v>Web只读页面</x:v>
      </x:c>
      <x:c r="E476" s="58" t="str">
        <x:v>浏览器显示页面/控件/SVG/实时状态</x:v>
      </x:c>
      <x:c r="F476" s="58" t="str">
        <x:v>Extended</x:v>
      </x:c>
      <x:c r="G476" s="58" t="str">
        <x:v>03_架构总纲与领域边界</x:v>
      </x:c>
      <x:c r="H476" s="58" t="str">
        <x:v>M2</x:v>
      </x:c>
    </x:row>
    <x:row r="477">
      <x:c r="A477" s="66" t="str">
        <x:v>CAP-HMI-346</x:v>
      </x:c>
      <x:c r="B477" s="66" t="str">
        <x:v>Visual/HMI</x:v>
      </x:c>
      <x:c r="C477" s="66" t="str">
        <x:v>Web/移动端</x:v>
      </x:c>
      <x:c r="D477" s="66" t="str">
        <x:v>Web报警趋势</x:v>
      </x:c>
      <x:c r="E477" s="66" t="str">
        <x:v>实时/历史报警与趋势</x:v>
      </x:c>
      <x:c r="F477" s="66" t="str">
        <x:v>Extended</x:v>
      </x:c>
      <x:c r="G477" s="66" t="str">
        <x:v>03_架构总纲与领域边界</x:v>
      </x:c>
      <x:c r="H477" s="66" t="str">
        <x:v>M2</x:v>
      </x:c>
    </x:row>
    <x:row r="478">
      <x:c r="A478" s="58" t="str">
        <x:v>CAP-HMI-347</x:v>
      </x:c>
      <x:c r="B478" s="58" t="str">
        <x:v>Visual/HMI</x:v>
      </x:c>
      <x:c r="C478" s="58" t="str">
        <x:v>Web/移动端</x:v>
      </x:c>
      <x:c r="D478" s="58" t="str">
        <x:v>Web权限</x:v>
      </x:c>
      <x:c r="E478" s="58" t="str">
        <x:v>登录/页面/数据权限</x:v>
      </x:c>
      <x:c r="F478" s="58" t="str">
        <x:v>Extended</x:v>
      </x:c>
      <x:c r="G478" s="58" t="str">
        <x:v>03_架构总纲与领域边界</x:v>
      </x:c>
      <x:c r="H478" s="58" t="str">
        <x:v>M2</x:v>
      </x:c>
    </x:row>
    <x:row r="479">
      <x:c r="A479" s="66" t="str">
        <x:v>CAP-HMI-348</x:v>
      </x:c>
      <x:c r="B479" s="66" t="str">
        <x:v>Visual/HMI</x:v>
      </x:c>
      <x:c r="C479" s="66" t="str">
        <x:v>Web/移动端</x:v>
      </x:c>
      <x:c r="D479" s="66" t="str">
        <x:v>Web写入默认关闭</x:v>
      </x:c>
      <x:c r="E479" s="66" t="str">
        <x:v>工程+用户+设备多重开关</x:v>
      </x:c>
      <x:c r="F479" s="66" t="str">
        <x:v>Extended</x:v>
      </x:c>
      <x:c r="G479" s="66" t="str">
        <x:v>03_架构总纲与领域边界</x:v>
      </x:c>
      <x:c r="H479" s="66" t="str">
        <x:v>M2</x:v>
      </x:c>
    </x:row>
    <x:row r="480">
      <x:c r="A480" s="58" t="str">
        <x:v>CAP-HMI-349</x:v>
      </x:c>
      <x:c r="B480" s="58" t="str">
        <x:v>Visual/HMI</x:v>
      </x:c>
      <x:c r="C480" s="58" t="str">
        <x:v>Web/移动端</x:v>
      </x:c>
      <x:c r="D480" s="58" t="str">
        <x:v>Web危险写入</x:v>
      </x:c>
      <x:c r="E480" s="58" t="str">
        <x:v>二次确认/电子签名/网络状态校验</x:v>
      </x:c>
      <x:c r="F480" s="58" t="str">
        <x:v>Extended</x:v>
      </x:c>
      <x:c r="G480" s="58" t="str">
        <x:v>03_架构总纲与领域边界</x:v>
      </x:c>
      <x:c r="H480" s="58" t="str">
        <x:v>M2</x:v>
      </x:c>
    </x:row>
    <x:row r="481">
      <x:c r="A481" s="66" t="str">
        <x:v>CAP-HMI-350</x:v>
      </x:c>
      <x:c r="B481" s="66" t="str">
        <x:v>Visual/HMI</x:v>
      </x:c>
      <x:c r="C481" s="66" t="str">
        <x:v>Web/移动端</x:v>
      </x:c>
      <x:c r="D481" s="66" t="str">
        <x:v>移动设备总览</x:v>
      </x:c>
      <x:c r="E481" s="66" t="str">
        <x:v>关键状态/生产指标/报警/趋势/报表</x:v>
      </x:c>
      <x:c r="F481" s="66" t="str">
        <x:v>Extended</x:v>
      </x:c>
      <x:c r="G481" s="66" t="str">
        <x:v>03_架构总纲与领域边界</x:v>
      </x:c>
      <x:c r="H481" s="66" t="str">
        <x:v>M2</x:v>
      </x:c>
    </x:row>
    <x:row r="482">
      <x:c r="A482" s="58" t="str">
        <x:v>CAP-HMI-351</x:v>
      </x:c>
      <x:c r="B482" s="58" t="str">
        <x:v>Visual/HMI</x:v>
      </x:c>
      <x:c r="C482" s="58" t="str">
        <x:v>Web/移动端</x:v>
      </x:c>
      <x:c r="D482" s="58" t="str">
        <x:v>移动响应式</x:v>
      </x:c>
      <x:c r="E482" s="58" t="str">
        <x:v>触摸和响应式布局</x:v>
      </x:c>
      <x:c r="F482" s="58" t="str">
        <x:v>Extended</x:v>
      </x:c>
      <x:c r="G482" s="58" t="str">
        <x:v>03_架构总纲与领域边界</x:v>
      </x:c>
      <x:c r="H482" s="58" t="str">
        <x:v>M2</x:v>
      </x:c>
    </x:row>
    <x:row r="483">
      <x:c r="A483" s="66" t="str">
        <x:v>CAP-HMI-352</x:v>
      </x:c>
      <x:c r="B483" s="66" t="str">
        <x:v>Visual/HMI</x:v>
      </x:c>
      <x:c r="C483" s="66" t="str">
        <x:v>Web/移动端</x:v>
      </x:c>
      <x:c r="D483" s="66" t="str">
        <x:v>消息通知</x:v>
      </x:c>
      <x:c r="E483" s="66" t="str">
        <x:v>报警/事件通知（需外部服务）</x:v>
      </x:c>
      <x:c r="F483" s="66" t="str">
        <x:v>Extended</x:v>
      </x:c>
      <x:c r="G483" s="66" t="str">
        <x:v>03_架构总纲与领域边界</x:v>
      </x:c>
      <x:c r="H483" s="66" t="str">
        <x:v>M2</x:v>
      </x:c>
    </x:row>
    <x:row r="484">
      <x:c r="A484" s="58" t="str">
        <x:v>CAP-GRF-045</x:v>
      </x:c>
      <x:c r="B484" s="58" t="str">
        <x:v>Graph Platform</x:v>
      </x:c>
      <x:c r="C484" s="58" t="str">
        <x:v>性能/日志/诊断</x:v>
      </x:c>
      <x:c r="D484" s="58" t="str">
        <x:v>500控件编辑性能</x:v>
      </x:c>
      <x:c r="E484" s="58" t="str">
        <x:v>普通页面500基础控件仍流畅编辑</x:v>
      </x:c>
      <x:c r="F484" s="58" t="str">
        <x:v>Extended</x:v>
      </x:c>
      <x:c r="G484" s="58" t="str">
        <x:v>25_Graph性能诊断可观测性</x:v>
      </x:c>
      <x:c r="H484" s="58" t="str">
        <x:v>M3</x:v>
      </x:c>
    </x:row>
    <x:row r="485">
      <x:c r="A485" s="66" t="str">
        <x:v>CAP-GRF-046</x:v>
      </x:c>
      <x:c r="B485" s="66" t="str">
        <x:v>Graph Platform</x:v>
      </x:c>
      <x:c r="C485" s="66" t="str">
        <x:v>性能/日志/诊断</x:v>
      </x:c>
      <x:c r="D485" s="66" t="str">
        <x:v>订阅共享</x:v>
      </x:c>
      <x:c r="E485" s="66" t="str">
        <x:v>相同变量多控件引用共享数据源</x:v>
      </x:c>
      <x:c r="F485" s="66" t="str">
        <x:v>Core</x:v>
      </x:c>
      <x:c r="G485" s="66" t="str">
        <x:v>25_Graph性能诊断可观测性</x:v>
      </x:c>
      <x:c r="H485" s="66" t="str">
        <x:v>M3</x:v>
      </x:c>
    </x:row>
    <x:row r="486">
      <x:c r="A486" s="58" t="str">
        <x:v>CAP-GRF-047</x:v>
      </x:c>
      <x:c r="B486" s="58" t="str">
        <x:v>Graph Platform</x:v>
      </x:c>
      <x:c r="C486" s="58" t="str">
        <x:v>性能/日志/诊断</x:v>
      </x:c>
      <x:c r="D486" s="58" t="str">
        <x:v>页面隐藏降频</x:v>
      </x:c>
      <x:c r="E486" s="58" t="str">
        <x:v>不可见页降低动画/图表绘制</x:v>
      </x:c>
      <x:c r="F486" s="58" t="str">
        <x:v>Extended</x:v>
      </x:c>
      <x:c r="G486" s="58" t="str">
        <x:v>25_Graph性能诊断可观测性</x:v>
      </x:c>
      <x:c r="H486" s="58" t="str">
        <x:v>M3</x:v>
      </x:c>
    </x:row>
    <x:row r="487">
      <x:c r="A487" s="66" t="str">
        <x:v>CAP-GRF-048</x:v>
      </x:c>
      <x:c r="B487" s="66" t="str">
        <x:v>Graph Platform</x:v>
      </x:c>
      <x:c r="C487" s="66" t="str">
        <x:v>性能/日志/诊断</x:v>
      </x:c>
      <x:c r="D487" s="66" t="str">
        <x:v>图表采样绘制分离</x:v>
      </x:c>
      <x:c r="E487" s="66" t="str">
        <x:v>采样周期与绘制周期独立</x:v>
      </x:c>
      <x:c r="F487" s="66" t="str">
        <x:v>Extended</x:v>
      </x:c>
      <x:c r="G487" s="66" t="str">
        <x:v>25_Graph性能诊断可观测性</x:v>
      </x:c>
      <x:c r="H487" s="66" t="str">
        <x:v>M3</x:v>
      </x:c>
    </x:row>
    <x:row r="488">
      <x:c r="A488" s="58" t="str">
        <x:v>CAP-GRF-049</x:v>
      </x:c>
      <x:c r="B488" s="58" t="str">
        <x:v>Graph Platform</x:v>
      </x:c>
      <x:c r="C488" s="58" t="str">
        <x:v>性能/日志/诊断</x:v>
      </x:c>
      <x:c r="D488" s="58" t="str">
        <x:v>缓存硬上限</x:v>
      </x:c>
      <x:c r="E488" s="58" t="str">
        <x:v>按点数/时间/内存设置上限</x:v>
      </x:c>
      <x:c r="F488" s="58" t="str">
        <x:v>Core</x:v>
      </x:c>
      <x:c r="G488" s="58" t="str">
        <x:v>25_Graph性能诊断可观测性</x:v>
      </x:c>
      <x:c r="H488" s="58" t="str">
        <x:v>M3</x:v>
      </x:c>
    </x:row>
    <x:row r="489">
      <x:c r="A489" s="66" t="str">
        <x:v>CAP-GRF-050</x:v>
      </x:c>
      <x:c r="B489" s="66" t="str">
        <x:v>Graph Platform</x:v>
      </x:c>
      <x:c r="C489" s="66" t="str">
        <x:v>性能/日志/诊断</x:v>
      </x:c>
      <x:c r="D489" s="66" t="str">
        <x:v>日志分类</x:v>
      </x:c>
      <x:c r="E489" s="66" t="str">
        <x:v>设计器/工程/发布/Runtime/读写/调试/报文/绑定/插件/SVG</x:v>
      </x:c>
      <x:c r="F489" s="66" t="str">
        <x:v>Core</x:v>
      </x:c>
      <x:c r="G489" s="66" t="str">
        <x:v>25_Graph性能诊断可观测性</x:v>
      </x:c>
      <x:c r="H489" s="66" t="str">
        <x:v>M3</x:v>
      </x:c>
    </x:row>
    <x:row r="490">
      <x:c r="A490" s="58" t="str">
        <x:v>CAP-GRF-051</x:v>
      </x:c>
      <x:c r="B490" s="58" t="str">
        <x:v>Graph Platform</x:v>
      </x:c>
      <x:c r="C490" s="58" t="str">
        <x:v>性能/日志/诊断</x:v>
      </x:c>
      <x:c r="D490" s="58" t="str">
        <x:v>日志滚动</x:v>
      </x:c>
      <x:c r="E490" s="58" t="str">
        <x:v>最大大小/保留天数/脱敏</x:v>
      </x:c>
      <x:c r="F490" s="58" t="str">
        <x:v>Extended</x:v>
      </x:c>
      <x:c r="G490" s="58" t="str">
        <x:v>25_Graph性能诊断可观测性</x:v>
      </x:c>
      <x:c r="H490" s="58" t="str">
        <x:v>M3</x:v>
      </x:c>
    </x:row>
    <x:row r="491">
      <x:c r="A491" s="66" t="str">
        <x:v>CAP-GRF-052</x:v>
      </x:c>
      <x:c r="B491" s="66" t="str">
        <x:v>Graph Platform</x:v>
      </x:c>
      <x:c r="C491" s="66" t="str">
        <x:v>性能/日志/诊断</x:v>
      </x:c>
      <x:c r="D491" s="66" t="str">
        <x:v>异常定位</x:v>
      </x:c>
      <x:c r="E491" s="66" t="str">
        <x:v>错误双击定位页面/控件/配置项</x:v>
      </x:c>
      <x:c r="F491" s="66" t="str">
        <x:v>Extended</x:v>
      </x:c>
      <x:c r="G491" s="66" t="str">
        <x:v>25_Graph性能诊断可观测性</x:v>
      </x:c>
      <x:c r="H491" s="66" t="str">
        <x:v>M3</x:v>
      </x:c>
    </x:row>
    <x:row r="492">
      <x:c r="A492" s="58" t="str">
        <x:v>CAP-HMI-353</x:v>
      </x:c>
      <x:c r="B492" s="58" t="str">
        <x:v>Visual/HMI</x:v>
      </x:c>
      <x:c r="C492" s="58" t="str">
        <x:v>对象管理/检索</x:v>
      </x:c>
      <x:c r="D492" s="58" t="str">
        <x:v>元素Alias</x:v>
      </x:c>
      <x:c r="E492" s="58" t="str">
        <x:v>稳定人工引用；Name改变不影响Alias</x:v>
      </x:c>
      <x:c r="F492" s="58" t="str">
        <x:v>Core</x:v>
      </x:c>
      <x:c r="G492" s="58" t="str">
        <x:v>07_StudioDesigner架构 / 08_Renderer与几何系统 / 09_CommandUndoTransaction</x:v>
      </x:c>
      <x:c r="H492" s="58" t="str">
        <x:v>M2</x:v>
      </x:c>
    </x:row>
    <x:row r="493">
      <x:c r="A493" s="66" t="str">
        <x:v>CAP-HMI-354</x:v>
      </x:c>
      <x:c r="B493" s="66" t="str">
        <x:v>Visual/HMI</x:v>
      </x:c>
      <x:c r="C493" s="66" t="str">
        <x:v>对象管理/检索</x:v>
      </x:c>
      <x:c r="D493" s="66" t="str">
        <x:v>元素Tags</x:v>
      </x:c>
      <x:c r="E493" s="66" t="str">
        <x:v>多标签检索/筛选/Symbol库分类</x:v>
      </x:c>
      <x:c r="F493" s="66" t="str">
        <x:v>Extended</x:v>
      </x:c>
      <x:c r="G493" s="66" t="str">
        <x:v>07_StudioDesigner架构 / 08_Renderer与几何系统 / 09_CommandUndoTransaction</x:v>
      </x:c>
      <x:c r="H493" s="66" t="str">
        <x:v>M2</x:v>
      </x:c>
    </x:row>
    <x:row r="494">
      <x:c r="A494" s="58" t="str">
        <x:v>CAP-HMI-355</x:v>
      </x:c>
      <x:c r="B494" s="58" t="str">
        <x:v>Visual/HMI</x:v>
      </x:c>
      <x:c r="C494" s="58" t="str">
        <x:v>对象管理/检索</x:v>
      </x:c>
      <x:c r="D494" s="58" t="str">
        <x:v>DesignRole</x:v>
      </x:c>
      <x:c r="E494" s="58" t="str">
        <x:v>Background/Content/Annotation/Interaction/SymbolPart</x:v>
      </x:c>
      <x:c r="F494" s="58" t="str">
        <x:v>Core</x:v>
      </x:c>
      <x:c r="G494" s="58" t="str">
        <x:v>07_StudioDesigner架构 / 08_Renderer与几何系统 / 09_CommandUndoTransaction</x:v>
      </x:c>
      <x:c r="H494" s="58" t="str">
        <x:v>M2</x:v>
      </x:c>
    </x:row>
    <x:row r="495">
      <x:c r="A495" s="66" t="str">
        <x:v>CAP-HMI-356</x:v>
      </x:c>
      <x:c r="B495" s="66" t="str">
        <x:v>Visual/HMI</x:v>
      </x:c>
      <x:c r="C495" s="66" t="str">
        <x:v>对象管理/检索</x:v>
      </x:c>
      <x:c r="D495" s="66" t="str">
        <x:v>全局对象搜索</x:v>
      </x:c>
      <x:c r="E495" s="66" t="str">
        <x:v>按Page/Name/Alias/Tag/Role/Type搜索</x:v>
      </x:c>
      <x:c r="F495" s="66" t="str">
        <x:v>Core</x:v>
      </x:c>
      <x:c r="G495" s="66" t="str">
        <x:v>07_StudioDesigner架构 / 08_Renderer与几何系统 / 09_CommandUndoTransaction</x:v>
      </x:c>
      <x:c r="H495" s="66" t="str">
        <x:v>M2</x:v>
      </x:c>
    </x:row>
    <x:row r="496">
      <x:c r="A496" s="58" t="str">
        <x:v>CAP-HMI-357</x:v>
      </x:c>
      <x:c r="B496" s="58" t="str">
        <x:v>Visual/HMI</x:v>
      </x:c>
      <x:c r="C496" s="58" t="str">
        <x:v>对象管理/检索</x:v>
      </x:c>
      <x:c r="D496" s="58" t="str">
        <x:v>搜索结果定位</x:v>
      </x:c>
      <x:c r="E496" s="58" t="str">
        <x:v>打开Page→选中→高亮；Symbol child进入Symbol编辑上下文</x:v>
      </x:c>
      <x:c r="F496" s="58" t="str">
        <x:v>Core</x:v>
      </x:c>
      <x:c r="G496" s="58" t="str">
        <x:v>07_StudioDesigner架构 / 08_Renderer与几何系统 / 09_CommandUndoTransaction</x:v>
      </x:c>
      <x:c r="H496" s="58" t="str">
        <x:v>M2</x:v>
      </x:c>
    </x:row>
    <x:row r="497">
      <x:c r="A497" s="66" t="str">
        <x:v>CAP-HMI-358</x:v>
      </x:c>
      <x:c r="B497" s="66" t="str">
        <x:v>Visual/HMI</x:v>
      </x:c>
      <x:c r="C497" s="66" t="str">
        <x:v>对象管理/检索</x:v>
      </x:c>
      <x:c r="D497" s="66" t="str">
        <x:v>工程对象索引</x:v>
      </x:c>
      <x:c r="E497" s="66" t="str">
        <x:v>Command后增量维护Page/Element/Definition索引</x:v>
      </x:c>
      <x:c r="F497" s="66" t="str">
        <x:v>Core</x:v>
      </x:c>
      <x:c r="G497" s="66" t="str">
        <x:v>07_StudioDesigner架构 / 08_Renderer与几何系统 / 09_CommandUndoTransaction</x:v>
      </x:c>
      <x:c r="H497" s="66" t="str">
        <x:v>M2</x:v>
      </x:c>
    </x:row>
    <x:row r="498">
      <x:c r="A498" s="58" t="str">
        <x:v>CAP-HMI-359</x:v>
      </x:c>
      <x:c r="B498" s="58" t="str">
        <x:v>Visual/HMI</x:v>
      </x:c>
      <x:c r="C498" s="58" t="str">
        <x:v>Symbol系统</x:v>
      </x:c>
      <x:c r="D498" s="58" t="str">
        <x:v>创建前语义分类</x:v>
      </x:c>
      <x:c r="E498" s="58" t="str">
        <x:v>Role优先识别Background/Ignore/SymbolPart</x:v>
      </x:c>
      <x:c r="F498" s="58" t="str">
        <x:v>Core</x:v>
      </x:c>
      <x:c r="G498" s="58" t="str">
        <x:v>11_Symbol体系</x:v>
      </x:c>
      <x:c r="H498" s="58" t="str">
        <x:v>M2</x:v>
      </x:c>
    </x:row>
    <x:row r="499">
      <x:c r="A499" s="66" t="str">
        <x:v>CAP-HMI-360</x:v>
      </x:c>
      <x:c r="B499" s="66" t="str">
        <x:v>Visual/HMI</x:v>
      </x:c>
      <x:c r="C499" s="66" t="str">
        <x:v>Symbol系统</x:v>
      </x:c>
      <x:c r="D499" s="66" t="str">
        <x:v>Symbol创建向导</x:v>
      </x:c>
      <x:c r="E499" s="66" t="str">
        <x:v>Group确认→边界校验→Definition→PublicProperty→Mapping→Instance</x:v>
      </x:c>
      <x:c r="F499" s="66" t="str">
        <x:v>Core</x:v>
      </x:c>
      <x:c r="G499" s="66" t="str">
        <x:v>11_Symbol体系</x:v>
      </x:c>
      <x:c r="H499" s="66" t="str">
        <x:v>M2</x:v>
      </x:c>
    </x:row>
    <x:row r="500">
      <x:c r="A500" s="58" t="str">
        <x:v>CAP-HMI-361</x:v>
      </x:c>
      <x:c r="B500" s="58" t="str">
        <x:v>Visual/HMI</x:v>
      </x:c>
      <x:c r="C500" s="58" t="str">
        <x:v>Symbol系统</x:v>
      </x:c>
      <x:c r="D500" s="58" t="str">
        <x:v>Symbol内部对象索引</x:v>
      </x:c>
      <x:c r="E500" s="58" t="str">
        <x:v>localId/Alias/Role快速定位</x:v>
      </x:c>
      <x:c r="F500" s="58" t="str">
        <x:v>Core</x:v>
      </x:c>
      <x:c r="G500" s="58" t="str">
        <x:v>11_Symbol体系</x:v>
      </x:c>
      <x:c r="H500" s="58" t="str">
        <x:v>M2</x:v>
      </x:c>
    </x:row>
    <x:row r="501">
      <x:c r="A501" s="66" t="str">
        <x:v>CAP-HMI-362</x:v>
      </x:c>
      <x:c r="B501" s="66" t="str">
        <x:v>Visual/HMI</x:v>
      </x:c>
      <x:c r="C501" s="66" t="str">
        <x:v>Symbol系统</x:v>
      </x:c>
      <x:c r="D501" s="66" t="str">
        <x:v>Symbol端口</x:v>
      </x:c>
      <x:c r="E501" s="66" t="str">
        <x:v>连接/管路接口及LocalPosition/Direction/Type</x:v>
      </x:c>
      <x:c r="F501" s="66" t="str">
        <x:v>Extended</x:v>
      </x:c>
      <x:c r="G501" s="66" t="str">
        <x:v>11_Symbol体系</x:v>
      </x:c>
      <x:c r="H501" s="66" t="str">
        <x:v>M2</x:v>
      </x:c>
    </x:row>
    <x:row r="502">
      <x:c r="A502" s="58" t="str">
        <x:v>CAP-HMI-363</x:v>
      </x:c>
      <x:c r="B502" s="58" t="str">
        <x:v>Visual/HMI</x:v>
      </x:c>
      <x:c r="C502" s="58" t="str">
        <x:v>Symbol系统</x:v>
      </x:c>
      <x:c r="D502" s="58" t="str">
        <x:v>Symbol版本策略</x:v>
      </x:c>
      <x:c r="E502" s="58" t="str">
        <x:v>Pinned/Compatible/设计期Latest；发布前Resolve</x:v>
      </x:c>
      <x:c r="F502" s="58" t="str">
        <x:v>Core</x:v>
      </x:c>
      <x:c r="G502" s="58" t="str">
        <x:v>11_Symbol体系</x:v>
      </x:c>
      <x:c r="H502" s="58" t="str">
        <x:v>M2</x:v>
      </x:c>
    </x:row>
    <x:row r="503">
      <x:c r="A503" s="66" t="str">
        <x:v>CAP-HMI-364</x:v>
      </x:c>
      <x:c r="B503" s="66" t="str">
        <x:v>Visual/HMI</x:v>
      </x:c>
      <x:c r="C503" s="66" t="str">
        <x:v>Symbol系统</x:v>
      </x:c>
      <x:c r="D503" s="66" t="str">
        <x:v>Symbol用户库发布</x:v>
      </x:c>
      <x:c r="E503" s="66" t="str">
        <x:v>项目Definition发布为可安装版本资产</x:v>
      </x:c>
      <x:c r="F503" s="66" t="str">
        <x:v>Extended</x:v>
      </x:c>
      <x:c r="G503" s="66" t="str">
        <x:v>11_Symbol体系</x:v>
      </x:c>
      <x:c r="H503" s="66" t="str">
        <x:v>M2</x:v>
      </x:c>
    </x:row>
    <x:row r="504">
      <x:c r="A504" s="58" t="str">
        <x:v>CAP-HMI-365</x:v>
      </x:c>
      <x:c r="B504" s="58" t="str">
        <x:v>Visual/HMI</x:v>
      </x:c>
      <x:c r="C504" s="58" t="str">
        <x:v>运行时核心</x:v>
      </x:c>
      <x:c r="D504" s="58" t="str">
        <x:v>Runtime对象注册表</x:v>
      </x:c>
      <x:c r="E504" s="58" t="str">
        <x:v>Page对象+Symbol scoped child统一注册</x:v>
      </x:c>
      <x:c r="F504" s="58" t="str">
        <x:v>Core</x:v>
      </x:c>
      <x:c r="G504" s="58" t="str">
        <x:v>18_RuntimeHost与Domain宿主</x:v>
      </x:c>
      <x:c r="H504" s="58" t="str">
        <x:v>M2</x:v>
      </x:c>
    </x:row>
    <x:row r="505">
      <x:c r="A505" s="66" t="str">
        <x:v>CAP-HMI-366</x:v>
      </x:c>
      <x:c r="B505" s="66" t="str">
        <x:v>Visual/HMI</x:v>
      </x:c>
      <x:c r="C505" s="66" t="str">
        <x:v>运行时核心</x:v>
      </x:c>
      <x:c r="D505" s="66" t="str">
        <x:v>Runtime稳定地址</x:v>
      </x:c>
      <x:c r="E505" s="66" t="str">
        <x:v>Symbol child地址 instanceId::localElementId</x:v>
      </x:c>
      <x:c r="F505" s="66" t="str">
        <x:v>Core</x:v>
      </x:c>
      <x:c r="G505" s="66" t="str">
        <x:v>18_RuntimeHost与Domain宿主</x:v>
      </x:c>
      <x:c r="H505" s="66" t="str">
        <x:v>M2</x:v>
      </x:c>
    </x:row>
    <x:row r="506">
      <x:c r="A506" s="58" t="str">
        <x:v>CAP-HMI-367</x:v>
      </x:c>
      <x:c r="B506" s="58" t="str">
        <x:v>Visual/HMI</x:v>
      </x:c>
      <x:c r="C506" s="58" t="str">
        <x:v>运行时核心</x:v>
      </x:c>
      <x:c r="D506" s="58" t="str">
        <x:v>属性解析解释</x:v>
      </x:c>
      <x:c r="E506" s="58" t="str">
        <x:v>显示Design→Binding→Symbol→State→Animation→Action→Script→Guard来源链</x:v>
      </x:c>
      <x:c r="F506" s="58" t="str">
        <x:v>Core</x:v>
      </x:c>
      <x:c r="G506" s="58" t="str">
        <x:v>18_RuntimeHost与Domain宿主</x:v>
      </x:c>
      <x:c r="H506" s="58" t="str">
        <x:v>M2</x:v>
      </x:c>
    </x:row>
    <x:row r="507">
      <x:c r="A507" s="66" t="str">
        <x:v>CAP-HMI-368</x:v>
      </x:c>
      <x:c r="B507" s="66" t="str">
        <x:v>Visual/HMI</x:v>
      </x:c>
      <x:c r="C507" s="66" t="str">
        <x:v>运行时核心</x:v>
      </x:c>
      <x:c r="D507" s="66" t="str">
        <x:v>按来源清除运行层</x:v>
      </x:c>
      <x:c r="E507" s="66" t="str">
        <x:v>State/Animation/Action/Script失效时精确Clear并自动回退</x:v>
      </x:c>
      <x:c r="F507" s="66" t="str">
        <x:v>Core</x:v>
      </x:c>
      <x:c r="G507" s="66" t="str">
        <x:v>18_RuntimeHost与Domain宿主</x:v>
      </x:c>
      <x:c r="H507" s="66" t="str">
        <x:v>M2</x:v>
      </x:c>
    </x:row>
    <x:row r="508">
      <x:c r="A508" s="58" t="str">
        <x:v>CAP-HMI-369</x:v>
      </x:c>
      <x:c r="B508" s="58" t="str">
        <x:v>Visual/HMI</x:v>
      </x:c>
      <x:c r="C508" s="58" t="str">
        <x:v>状态编辑</x:v>
      </x:c>
      <x:c r="D508" s="58" t="str">
        <x:v>状态规则编辑器</x:v>
      </x:c>
      <x:c r="E508" s="58" t="str">
        <x:v>Condition(All/Any)+Priority+多属性Override</x:v>
      </x:c>
      <x:c r="F508" s="58" t="str">
        <x:v>Core</x:v>
      </x:c>
      <x:c r="G508" s="58" t="str">
        <x:v>13_Event_Action_Animation</x:v>
      </x:c>
      <x:c r="H508" s="58" t="str">
        <x:v>M2</x:v>
      </x:c>
    </x:row>
    <x:row r="509">
      <x:c r="A509" s="66" t="str">
        <x:v>CAP-HMI-370</x:v>
      </x:c>
      <x:c r="B509" s="66" t="str">
        <x:v>Visual/HMI</x:v>
      </x:c>
      <x:c r="C509" s="66" t="str">
        <x:v>动画编辑</x:v>
      </x:c>
      <x:c r="D509" s="66" t="str">
        <x:v>动画参数编辑器</x:v>
      </x:c>
      <x:c r="E509" s="66" t="str">
        <x:v>TargetProperty/Trigger/Duration/Repeat/Easing/StopPolicy</x:v>
      </x:c>
      <x:c r="F509" s="66" t="str">
        <x:v>Core</x:v>
      </x:c>
      <x:c r="G509" s="66" t="str">
        <x:v>13_Event_Action_Animation</x:v>
      </x:c>
      <x:c r="H509" s="66" t="str">
        <x:v>M2</x:v>
      </x:c>
    </x:row>
    <x:row r="510">
      <x:c r="A510" s="58" t="str">
        <x:v>CAP-HMI-371</x:v>
      </x:c>
      <x:c r="B510" s="58" t="str">
        <x:v>Visual/HMI</x:v>
      </x:c>
      <x:c r="C510" s="58" t="str">
        <x:v>事件动作</x:v>
      </x:c>
      <x:c r="D510" s="58" t="str">
        <x:v>事件Action可视化编辑器</x:v>
      </x:c>
      <x:c r="E510" s="58" t="str">
        <x:v>事件目录+动作链+条件/串并行/异常策略</x:v>
      </x:c>
      <x:c r="F510" s="58" t="str">
        <x:v>Core</x:v>
      </x:c>
      <x:c r="G510" s="58" t="str">
        <x:v>13_Event_Action_Animation</x:v>
      </x:c>
      <x:c r="H510" s="58" t="str">
        <x:v>M2</x:v>
      </x:c>
    </x:row>
    <x:row r="511">
      <x:c r="A511" s="66" t="str">
        <x:v>CAP-HMI-372</x:v>
      </x:c>
      <x:c r="B511" s="66" t="str">
        <x:v>Visual/HMI</x:v>
      </x:c>
      <x:c r="C511" s="66" t="str">
        <x:v>在线预览</x:v>
      </x:c>
      <x:c r="D511" s="66" t="str">
        <x:v>Runtime Preview</x:v>
      </x:c>
      <x:c r="E511" s="66" t="str">
        <x:v>使用真实Runtime内核和Simulation/Existing Provider</x:v>
      </x:c>
      <x:c r="F511" s="66" t="str">
        <x:v>Core</x:v>
      </x:c>
      <x:c r="G511" s="66" t="str">
        <x:v>18_RuntimeHost与Domain宿主</x:v>
      </x:c>
      <x:c r="H511" s="66" t="str">
        <x:v>M2</x:v>
      </x:c>
    </x:row>
    <x:row r="512">
      <x:c r="A512" s="58" t="str">
        <x:v>CAP-HMI-373</x:v>
      </x:c>
      <x:c r="B512" s="58" t="str">
        <x:v>Visual/HMI</x:v>
      </x:c>
      <x:c r="C512" s="58" t="str">
        <x:v>在线预览</x:v>
      </x:c>
      <x:c r="D512" s="58" t="str">
        <x:v>Binding Trace</x:v>
      </x:c>
      <x:c r="E512" s="58" t="str">
        <x:v>查看变量→binding→resolved property链</x:v>
      </x:c>
      <x:c r="F512" s="58" t="str">
        <x:v>Extended</x:v>
      </x:c>
      <x:c r="G512" s="58" t="str">
        <x:v>18_RuntimeHost与Domain宿主</x:v>
      </x:c>
      <x:c r="H512" s="58" t="str">
        <x:v>M2</x:v>
      </x:c>
    </x:row>
    <x:row r="513">
      <x:c r="A513" s="66" t="str">
        <x:v>CAP-HMI-374</x:v>
      </x:c>
      <x:c r="B513" s="66" t="str">
        <x:v>Visual/HMI</x:v>
      </x:c>
      <x:c r="C513" s="66" t="str">
        <x:v>工程校验</x:v>
      </x:c>
      <x:c r="D513" s="66" t="str">
        <x:v>Symbol/Role结构校验</x:v>
      </x:c>
      <x:c r="E513" s="66" t="str">
        <x:v>Mapping、Role歧义、Missing Definition、跨边界引用、嵌套限制</x:v>
      </x:c>
      <x:c r="F513" s="66" t="str">
        <x:v>Core</x:v>
      </x:c>
      <x:c r="G513" s="66" t="str">
        <x:v>12_ProjectSchemaSerialization</x:v>
      </x:c>
      <x:c r="H513" s="66" t="str">
        <x:v>M2</x:v>
      </x:c>
    </x:row>
    <x:row r="514">
      <x:c r="A514" s="58" t="str">
        <x:v>CAP-HMI-375</x:v>
      </x:c>
      <x:c r="B514" s="58" t="str">
        <x:v>Visual/HMI</x:v>
      </x:c>
      <x:c r="C514" s="58" t="str">
        <x:v>工程兼容</x:v>
      </x:c>
      <x:c r="D514" s="58" t="str">
        <x:v>Unknown类型保真</x:v>
      </x:c>
      <x:c r="E514" s="58" t="str">
        <x:v>插件缺失/未来类型RawJson保留</x:v>
      </x:c>
      <x:c r="F514" s="58" t="str">
        <x:v>Core</x:v>
      </x:c>
      <x:c r="G514" s="58" t="str">
        <x:v>12_ProjectSchemaSerialization</x:v>
      </x:c>
      <x:c r="H514" s="58" t="str">
        <x:v>M2</x:v>
      </x:c>
    </x:row>
    <x:row r="515">
      <x:c r="A515" s="66" t="str">
        <x:v>CAP-HMI-376</x:v>
      </x:c>
      <x:c r="B515" s="66" t="str">
        <x:v>Visual/HMI</x:v>
      </x:c>
      <x:c r="C515" s="66" t="str">
        <x:v>工程兼容</x:v>
      </x:c>
      <x:c r="D515" s="66" t="str">
        <x:v>TypeId Alias</x:v>
      </x:c>
      <x:c r="E515" s="66" t="str">
        <x:v>旧TypeId通过Alias/Migration兼容</x:v>
      </x:c>
      <x:c r="F515" s="66" t="str">
        <x:v>Core</x:v>
      </x:c>
      <x:c r="G515" s="66" t="str">
        <x:v>12_ProjectSchemaSerialization</x:v>
      </x:c>
      <x:c r="H515" s="66" t="str">
        <x:v>M2</x:v>
      </x:c>
    </x:row>
    <x:row r="516">
      <x:c r="A516" s="58" t="str">
        <x:v>CAP-GRF-053</x:v>
      </x:c>
      <x:c r="B516" s="58" t="str">
        <x:v>Graph Platform</x:v>
      </x:c>
      <x:c r="C516" s="58" t="str">
        <x:v>构建质量</x:v>
      </x:c>
      <x:c r="D516" s="58" t="str">
        <x:v>Windows真实Build门禁</x:v>
      </x:c>
      <x:c r="E516" s="58" t="str">
        <x:v>VS2022 net48 Debug/Release + Tests + UI Smoke，0 Error才可RC</x:v>
      </x:c>
      <x:c r="F516" s="58" t="str">
        <x:v>Core</x:v>
      </x:c>
      <x:c r="G516" s="58" t="str">
        <x:v>26_Graph平台测试与架构门禁</x:v>
      </x:c>
      <x:c r="H516" s="58" t="str">
        <x:v>M3</x:v>
      </x:c>
    </x:row>
    <x:row r="517">
      <x:c r="A517" s="66" t="str">
        <x:v>CAP-GRF-054</x:v>
      </x:c>
      <x:c r="B517" s="66" t="str">
        <x:v>Graph Platform</x:v>
      </x:c>
      <x:c r="C517" s="66" t="str">
        <x:v>Graph编排基础</x:v>
      </x:c>
      <x:c r="D517" s="66" t="str">
        <x:v>新建Graph文档</x:v>
      </x:c>
      <x:c r="E517" s="66" t="str">
        <x:v>创建GraphDefinition并选择GraphKind</x:v>
      </x:c>
      <x:c r="F517" s="66" t="str">
        <x:v>Core</x:v>
      </x:c>
      <x:c r="G517" s="66" t="str">
        <x:v>19_Graph编排模型与执行基础</x:v>
      </x:c>
      <x:c r="H517" s="66" t="str">
        <x:v>M3</x:v>
      </x:c>
    </x:row>
    <x:row r="518">
      <x:c r="A518" s="58" t="str">
        <x:v>CAP-GRF-055</x:v>
      </x:c>
      <x:c r="B518" s="58" t="str">
        <x:v>Graph Platform</x:v>
      </x:c>
      <x:c r="C518" s="58" t="str">
        <x:v>Graph编排基础</x:v>
      </x:c>
      <x:c r="D518" s="58" t="str">
        <x:v>节点工具箱</x:v>
      </x:c>
      <x:c r="E518" s="58" t="str">
        <x:v>按GraphKind/Category/Plugin筛选节点</x:v>
      </x:c>
      <x:c r="F518" s="58" t="str">
        <x:v>Core</x:v>
      </x:c>
      <x:c r="G518" s="58" t="str">
        <x:v>19_Graph编排模型与执行基础</x:v>
      </x:c>
      <x:c r="H518" s="58" t="str">
        <x:v>M3</x:v>
      </x:c>
    </x:row>
    <x:row r="519">
      <x:c r="A519" s="66" t="str">
        <x:v>CAP-GRF-056</x:v>
      </x:c>
      <x:c r="B519" s="66" t="str">
        <x:v>Graph Platform</x:v>
      </x:c>
      <x:c r="C519" s="66" t="str">
        <x:v>Graph编排基础</x:v>
      </x:c>
      <x:c r="D519" s="66" t="str">
        <x:v>添加节点</x:v>
      </x:c>
      <x:c r="E519" s="66" t="str">
        <x:v>Descriptor→NodeModel；稳定NodeTypeId</x:v>
      </x:c>
      <x:c r="F519" s="66" t="str">
        <x:v>Core</x:v>
      </x:c>
      <x:c r="G519" s="66" t="str">
        <x:v>19_Graph编排模型与执行基础</x:v>
      </x:c>
      <x:c r="H519" s="66" t="str">
        <x:v>M3</x:v>
      </x:c>
    </x:row>
    <x:row r="520">
      <x:c r="A520" s="58" t="str">
        <x:v>CAP-GRF-057</x:v>
      </x:c>
      <x:c r="B520" s="58" t="str">
        <x:v>Graph Platform</x:v>
      </x:c>
      <x:c r="C520" s="58" t="str">
        <x:v>Graph编排基础</x:v>
      </x:c>
      <x:c r="D520" s="58" t="str">
        <x:v>端口连线</x:v>
      </x:c>
      <x:c r="E520" s="58" t="str">
        <x:v>Typed Port兼容后创建Connection</x:v>
      </x:c>
      <x:c r="F520" s="58" t="str">
        <x:v>Core</x:v>
      </x:c>
      <x:c r="G520" s="58" t="str">
        <x:v>19_Graph编排模型与执行基础</x:v>
      </x:c>
      <x:c r="H520" s="58" t="str">
        <x:v>M3</x:v>
      </x:c>
    </x:row>
    <x:row r="521">
      <x:c r="A521" s="66" t="str">
        <x:v>CAP-GRF-058</x:v>
      </x:c>
      <x:c r="B521" s="66" t="str">
        <x:v>Graph Platform</x:v>
      </x:c>
      <x:c r="C521" s="66" t="str">
        <x:v>Graph编排基础</x:v>
      </x:c>
      <x:c r="D521" s="66" t="str">
        <x:v>连接校验</x:v>
      </x:c>
      <x:c r="E521" s="66" t="str">
        <x:v>Direction/DataType/Cardinality/Domain规则</x:v>
      </x:c>
      <x:c r="F521" s="66" t="str">
        <x:v>Core</x:v>
      </x:c>
      <x:c r="G521" s="66" t="str">
        <x:v>19_Graph编排模型与执行基础</x:v>
      </x:c>
      <x:c r="H521" s="66" t="str">
        <x:v>M3</x:v>
      </x:c>
    </x:row>
    <x:row r="522">
      <x:c r="A522" s="58" t="str">
        <x:v>CAP-GRF-059</x:v>
      </x:c>
      <x:c r="B522" s="58" t="str">
        <x:v>Graph Platform</x:v>
      </x:c>
      <x:c r="C522" s="58" t="str">
        <x:v>Graph编排基础</x:v>
      </x:c>
      <x:c r="D522" s="58" t="str">
        <x:v>Graph分组</x:v>
      </x:c>
      <x:c r="E522" s="58" t="str">
        <x:v>设计态分组/注释，不影响执行语义</x:v>
      </x:c>
      <x:c r="F522" s="58" t="str">
        <x:v>Extended</x:v>
      </x:c>
      <x:c r="G522" s="58" t="str">
        <x:v>19_Graph编排模型与执行基础</x:v>
      </x:c>
      <x:c r="H522" s="58" t="str">
        <x:v>M3</x:v>
      </x:c>
    </x:row>
    <x:row r="523">
      <x:c r="A523" s="66" t="str">
        <x:v>CAP-GRF-060</x:v>
      </x:c>
      <x:c r="B523" s="66" t="str">
        <x:v>Graph Platform</x:v>
      </x:c>
      <x:c r="C523" s="66" t="str">
        <x:v>Graph编排基础</x:v>
      </x:c>
      <x:c r="D523" s="66" t="str">
        <x:v>SubGraph引用</x:v>
      </x:c>
      <x:c r="E523" s="66" t="str">
        <x:v>Definition引用+版本+参数映射</x:v>
      </x:c>
      <x:c r="F523" s="66" t="str">
        <x:v>Extended</x:v>
      </x:c>
      <x:c r="G523" s="66" t="str">
        <x:v>19_Graph编排模型与执行基础</x:v>
      </x:c>
      <x:c r="H523" s="66" t="str">
        <x:v>M3</x:v>
      </x:c>
    </x:row>
    <x:row r="524">
      <x:c r="A524" s="58" t="str">
        <x:v>CAP-GRF-061</x:v>
      </x:c>
      <x:c r="B524" s="58" t="str">
        <x:v>Graph Platform</x:v>
      </x:c>
      <x:c r="C524" s="58" t="str">
        <x:v>Graph编排基础</x:v>
      </x:c>
      <x:c r="D524" s="58" t="str">
        <x:v>Graph参数</x:v>
      </x:c>
      <x:c r="E524" s="58" t="str">
        <x:v>公开输入/输出参数</x:v>
      </x:c>
      <x:c r="F524" s="58" t="str">
        <x:v>Core</x:v>
      </x:c>
      <x:c r="G524" s="58" t="str">
        <x:v>19_Graph编排模型与执行基础</x:v>
      </x:c>
      <x:c r="H524" s="58" t="str">
        <x:v>M3</x:v>
      </x:c>
    </x:row>
    <x:row r="525">
      <x:c r="A525" s="66" t="str">
        <x:v>CAP-GRF-062</x:v>
      </x:c>
      <x:c r="B525" s="66" t="str">
        <x:v>Graph Platform</x:v>
      </x:c>
      <x:c r="C525" s="66" t="str">
        <x:v>Graph编排基础</x:v>
      </x:c>
      <x:c r="D525" s="66" t="str">
        <x:v>Graph校验</x:v>
      </x:c>
      <x:c r="E525" s="66" t="str">
        <x:v>断线/循环/类型/必填/资源/域规则</x:v>
      </x:c>
      <x:c r="F525" s="66" t="str">
        <x:v>Core</x:v>
      </x:c>
      <x:c r="G525" s="66" t="str">
        <x:v>19_Graph编排模型与执行基础</x:v>
      </x:c>
      <x:c r="H525" s="66" t="str">
        <x:v>M3</x:v>
      </x:c>
    </x:row>
    <x:row r="526">
      <x:c r="A526" s="58" t="str">
        <x:v>CAP-GRF-063</x:v>
      </x:c>
      <x:c r="B526" s="58" t="str">
        <x:v>Graph Platform</x:v>
      </x:c>
      <x:c r="C526" s="58" t="str">
        <x:v>Graph编排基础</x:v>
      </x:c>
      <x:c r="D526" s="58" t="str">
        <x:v>Graph编译</x:v>
      </x:c>
      <x:c r="E526" s="58" t="str">
        <x:v>GraphKind→Domain Compiler→ExecutionPlan</x:v>
      </x:c>
      <x:c r="F526" s="58" t="str">
        <x:v>Core</x:v>
      </x:c>
      <x:c r="G526" s="58" t="str">
        <x:v>19_Graph编排模型与执行基础</x:v>
      </x:c>
      <x:c r="H526" s="58" t="str">
        <x:v>M3</x:v>
      </x:c>
    </x:row>
    <x:row r="527">
      <x:c r="A527" s="66" t="str">
        <x:v>CAP-GRF-064</x:v>
      </x:c>
      <x:c r="B527" s="66" t="str">
        <x:v>Graph Platform</x:v>
      </x:c>
      <x:c r="C527" s="66" t="str">
        <x:v>Graph编排基础</x:v>
      </x:c>
      <x:c r="D527" s="66" t="str">
        <x:v>ExecutionPlan查看</x:v>
      </x:c>
      <x:c r="E527" s="66" t="str">
        <x:v>调试/诊断查看Resolved节点与依赖</x:v>
      </x:c>
      <x:c r="F527" s="66" t="str">
        <x:v>Extended</x:v>
      </x:c>
      <x:c r="G527" s="66" t="str">
        <x:v>19_Graph编排模型与执行基础</x:v>
      </x:c>
      <x:c r="H527" s="66" t="str">
        <x:v>M3</x:v>
      </x:c>
    </x:row>
    <x:row r="528">
      <x:c r="A528" s="58" t="str">
        <x:v>CAP-GRF-065</x:v>
      </x:c>
      <x:c r="B528" s="58" t="str">
        <x:v>Graph Platform</x:v>
      </x:c>
      <x:c r="C528" s="58" t="str">
        <x:v>统一类型</x:v>
      </x:c>
      <x:c r="D528" s="58" t="str">
        <x:v>工业类型浏览器</x:v>
      </x:c>
      <x:c r="E528" s="58" t="str">
        <x:v>Scalar/Geometry/Image/Result/Context/DeviceRef</x:v>
      </x:c>
      <x:c r="F528" s="58" t="str">
        <x:v>Extended</x:v>
      </x:c>
      <x:c r="G528" s="58" t="str">
        <x:v>20_Graph类型系统与数据契约</x:v>
      </x:c>
      <x:c r="H528" s="58" t="str">
        <x:v>M3</x:v>
      </x:c>
    </x:row>
    <x:row r="529">
      <x:c r="A529" s="66" t="str">
        <x:v>CAP-GRF-066</x:v>
      </x:c>
      <x:c r="B529" s="66" t="str">
        <x:v>Graph Platform</x:v>
      </x:c>
      <x:c r="C529" s="66" t="str">
        <x:v>统一类型</x:v>
      </x:c>
      <x:c r="D529" s="66" t="str">
        <x:v>Port类型转换</x:v>
      </x:c>
      <x:c r="E529" s="66" t="str">
        <x:v>显式插入安全转换节点</x:v>
      </x:c>
      <x:c r="F529" s="66" t="str">
        <x:v>Extended</x:v>
      </x:c>
      <x:c r="G529" s="66" t="str">
        <x:v>20_Graph类型系统与数据契约</x:v>
      </x:c>
      <x:c r="H529" s="66" t="str">
        <x:v>M3</x:v>
      </x:c>
    </x:row>
    <x:row r="530">
      <x:c r="A530" s="58" t="str">
        <x:v>CAP-GRF-067</x:v>
      </x:c>
      <x:c r="B530" s="58" t="str">
        <x:v>Graph Platform</x:v>
      </x:c>
      <x:c r="C530" s="58" t="str">
        <x:v>统一调试</x:v>
      </x:c>
      <x:c r="D530" s="58" t="str">
        <x:v>Debug Session</x:v>
      </x:c>
      <x:c r="E530" s="58" t="str">
        <x:v>统一Design→Debug会话</x:v>
      </x:c>
      <x:c r="F530" s="58" t="str">
        <x:v>Core</x:v>
      </x:c>
      <x:c r="G530" s="58" t="str">
        <x:v>21_Graph统一OnlineDebug架构</x:v>
      </x:c>
      <x:c r="H530" s="58" t="str">
        <x:v>M3</x:v>
      </x:c>
    </x:row>
    <x:row r="531">
      <x:c r="A531" s="66" t="str">
        <x:v>CAP-GRF-068</x:v>
      </x:c>
      <x:c r="B531" s="66" t="str">
        <x:v>Graph Platform</x:v>
      </x:c>
      <x:c r="C531" s="66" t="str">
        <x:v>统一调试</x:v>
      </x:c>
      <x:c r="D531" s="66" t="str">
        <x:v>Simulation模式</x:v>
      </x:c>
      <x:c r="E531" s="66" t="str">
        <x:v>Tag/设备/Graph统一仿真</x:v>
      </x:c>
      <x:c r="F531" s="66" t="str">
        <x:v>Core</x:v>
      </x:c>
      <x:c r="G531" s="66" t="str">
        <x:v>21_Graph统一OnlineDebug架构</x:v>
      </x:c>
      <x:c r="H531" s="66" t="str">
        <x:v>M3</x:v>
      </x:c>
    </x:row>
    <x:row r="532">
      <x:c r="A532" s="58" t="str">
        <x:v>CAP-GRF-069</x:v>
      </x:c>
      <x:c r="B532" s="58" t="str">
        <x:v>Graph Platform</x:v>
      </x:c>
      <x:c r="C532" s="58" t="str">
        <x:v>统一调试</x:v>
      </x:c>
      <x:c r="D532" s="58" t="str">
        <x:v>Live只读模式</x:v>
      </x:c>
      <x:c r="E532" s="58" t="str">
        <x:v>接真实设备但禁止写入</x:v>
      </x:c>
      <x:c r="F532" s="58" t="str">
        <x:v>Core</x:v>
      </x:c>
      <x:c r="G532" s="58" t="str">
        <x:v>21_Graph统一OnlineDebug架构</x:v>
      </x:c>
      <x:c r="H532" s="58" t="str">
        <x:v>M3</x:v>
      </x:c>
    </x:row>
    <x:row r="533">
      <x:c r="A533" s="66" t="str">
        <x:v>CAP-GRF-070</x:v>
      </x:c>
      <x:c r="B533" s="66" t="str">
        <x:v>Graph Platform</x:v>
      </x:c>
      <x:c r="C533" s="66" t="str">
        <x:v>统一调试</x:v>
      </x:c>
      <x:c r="D533" s="66" t="str">
        <x:v>Live受控写模式</x:v>
      </x:c>
      <x:c r="E533" s="66" t="str">
        <x:v>权限+RealWriteEnabled+Audit</x:v>
      </x:c>
      <x:c r="F533" s="66" t="str">
        <x:v>Core</x:v>
      </x:c>
      <x:c r="G533" s="66" t="str">
        <x:v>21_Graph统一OnlineDebug架构</x:v>
      </x:c>
      <x:c r="H533" s="66" t="str">
        <x:v>M3</x:v>
      </x:c>
    </x:row>
    <x:row r="534">
      <x:c r="A534" s="58" t="str">
        <x:v>CAP-GRF-071</x:v>
      </x:c>
      <x:c r="B534" s="58" t="str">
        <x:v>Graph Platform</x:v>
      </x:c>
      <x:c r="C534" s="58" t="str">
        <x:v>统一调试</x:v>
      </x:c>
      <x:c r="D534" s="58" t="str">
        <x:v>Replay模式</x:v>
      </x:c>
      <x:c r="E534" s="58" t="str">
        <x:v>历史Tag/Frame/Task/Trace重放</x:v>
      </x:c>
      <x:c r="F534" s="58" t="str">
        <x:v>Extended</x:v>
      </x:c>
      <x:c r="G534" s="58" t="str">
        <x:v>21_Graph统一OnlineDebug架构</x:v>
      </x:c>
      <x:c r="H534" s="58" t="str">
        <x:v>M3</x:v>
      </x:c>
    </x:row>
    <x:row r="535">
      <x:c r="A535" s="66" t="str">
        <x:v>CAP-GRF-072</x:v>
      </x:c>
      <x:c r="B535" s="66" t="str">
        <x:v>Graph Platform</x:v>
      </x:c>
      <x:c r="C535" s="66" t="str">
        <x:v>统一调试</x:v>
      </x:c>
      <x:c r="D535" s="66" t="str">
        <x:v>断点</x:v>
      </x:c>
      <x:c r="E535" s="66" t="str">
        <x:v>Node/Action/Event条件断点</x:v>
      </x:c>
      <x:c r="F535" s="66" t="str">
        <x:v>Core</x:v>
      </x:c>
      <x:c r="G535" s="66" t="str">
        <x:v>21_Graph统一OnlineDebug架构</x:v>
      </x:c>
      <x:c r="H535" s="66" t="str">
        <x:v>M3</x:v>
      </x:c>
    </x:row>
    <x:row r="536">
      <x:c r="A536" s="58" t="str">
        <x:v>CAP-GRF-073</x:v>
      </x:c>
      <x:c r="B536" s="58" t="str">
        <x:v>Graph Platform</x:v>
      </x:c>
      <x:c r="C536" s="58" t="str">
        <x:v>统一调试</x:v>
      </x:c>
      <x:c r="D536" s="58" t="str">
        <x:v>单步</x:v>
      </x:c>
      <x:c r="E536" s="58" t="str">
        <x:v>按Domain语义单步</x:v>
      </x:c>
      <x:c r="F536" s="58" t="str">
        <x:v>Core</x:v>
      </x:c>
      <x:c r="G536" s="58" t="str">
        <x:v>21_Graph统一OnlineDebug架构</x:v>
      </x:c>
      <x:c r="H536" s="58" t="str">
        <x:v>M3</x:v>
      </x:c>
    </x:row>
    <x:row r="537">
      <x:c r="A537" s="66" t="str">
        <x:v>CAP-GRF-074</x:v>
      </x:c>
      <x:c r="B537" s="66" t="str">
        <x:v>Graph Platform</x:v>
      </x:c>
      <x:c r="C537" s="66" t="str">
        <x:v>统一调试</x:v>
      </x:c>
      <x:c r="D537" s="66" t="str">
        <x:v>Run To</x:v>
      </x:c>
      <x:c r="E537" s="66" t="str">
        <x:v>执行到指定节点/事件</x:v>
      </x:c>
      <x:c r="F537" s="66" t="str">
        <x:v>Extended</x:v>
      </x:c>
      <x:c r="G537" s="66" t="str">
        <x:v>21_Graph统一OnlineDebug架构</x:v>
      </x:c>
      <x:c r="H537" s="66" t="str">
        <x:v>M3</x:v>
      </x:c>
    </x:row>
    <x:row r="538">
      <x:c r="A538" s="58" t="str">
        <x:v>CAP-GRF-075</x:v>
      </x:c>
      <x:c r="B538" s="58" t="str">
        <x:v>Graph Platform</x:v>
      </x:c>
      <x:c r="C538" s="58" t="str">
        <x:v>统一调试</x:v>
      </x:c>
      <x:c r="D538" s="58" t="str">
        <x:v>Watch</x:v>
      </x:c>
      <x:c r="E538" s="58" t="str">
        <x:v>Tag/Property/Context/Port/Expression统一监视</x:v>
      </x:c>
      <x:c r="F538" s="58" t="str">
        <x:v>Core</x:v>
      </x:c>
      <x:c r="G538" s="58" t="str">
        <x:v>21_Graph统一OnlineDebug架构</x:v>
      </x:c>
      <x:c r="H538" s="58" t="str">
        <x:v>M3</x:v>
      </x:c>
    </x:row>
    <x:row r="539">
      <x:c r="A539" s="66" t="str">
        <x:v>CAP-GRF-076</x:v>
      </x:c>
      <x:c r="B539" s="66" t="str">
        <x:v>Graph Platform</x:v>
      </x:c>
      <x:c r="C539" s="66" t="str">
        <x:v>统一调试</x:v>
      </x:c>
      <x:c r="D539" s="66" t="str">
        <x:v>Execution Trace</x:v>
      </x:c>
      <x:c r="E539" s="66" t="str">
        <x:v>Node/Action/Device/Binding时间线与状态</x:v>
      </x:c>
      <x:c r="F539" s="66" t="str">
        <x:v>Core</x:v>
      </x:c>
      <x:c r="G539" s="66" t="str">
        <x:v>21_Graph统一OnlineDebug架构</x:v>
      </x:c>
      <x:c r="H539" s="66" t="str">
        <x:v>M3</x:v>
      </x:c>
    </x:row>
    <x:row r="540">
      <x:c r="A540" s="58" t="str">
        <x:v>CAP-GRF-077</x:v>
      </x:c>
      <x:c r="B540" s="58" t="str">
        <x:v>Graph Platform</x:v>
      </x:c>
      <x:c r="C540" s="58" t="str">
        <x:v>统一调试</x:v>
      </x:c>
      <x:c r="D540" s="58" t="str">
        <x:v>Correlation定位</x:v>
      </x:c>
      <x:c r="E540" s="58" t="str">
        <x:v>按Task/Run/Correlation串联跨域事件</x:v>
      </x:c>
      <x:c r="F540" s="58" t="str">
        <x:v>Extended</x:v>
      </x:c>
      <x:c r="G540" s="58" t="str">
        <x:v>21_Graph统一OnlineDebug架构</x:v>
      </x:c>
      <x:c r="H540" s="58" t="str">
        <x:v>M3</x:v>
      </x:c>
    </x:row>
    <x:row r="541">
      <x:c r="A541" s="66" t="str">
        <x:v>CAP-MOT-001</x:v>
      </x:c>
      <x:c r="B541" s="66" t="str">
        <x:v>Motion</x:v>
      </x:c>
      <x:c r="C541" s="66" t="str">
        <x:v>运控编排</x:v>
      </x:c>
      <x:c r="D541" s="66" t="str">
        <x:v>新建Motion Program</x:v>
      </x:c>
      <x:c r="E541" s="66" t="str">
        <x:v>创建MotionProgram Graph</x:v>
      </x:c>
      <x:c r="F541" s="66" t="str">
        <x:v>Core</x:v>
      </x:c>
      <x:c r="G541" s="66" t="str">
        <x:v>27_Motion完整开发蓝图 / 28_Motion在线调试</x:v>
      </x:c>
      <x:c r="H541" s="66" t="str">
        <x:v>M4</x:v>
      </x:c>
    </x:row>
    <x:row r="542">
      <x:c r="A542" s="58" t="str">
        <x:v>CAP-MOT-002</x:v>
      </x:c>
      <x:c r="B542" s="58" t="str">
        <x:v>Motion</x:v>
      </x:c>
      <x:c r="C542" s="58" t="str">
        <x:v>运控编排</x:v>
      </x:c>
      <x:c r="D542" s="58" t="str">
        <x:v>轴配置</x:v>
      </x:c>
      <x:c r="E542" s="58" t="str">
        <x:v>Unit/SoftLimit/HomePolicy/ControllerRef</x:v>
      </x:c>
      <x:c r="F542" s="58" t="str">
        <x:v>Core</x:v>
      </x:c>
      <x:c r="G542" s="58" t="str">
        <x:v>27_Motion完整开发蓝图 / 28_Motion在线调试</x:v>
      </x:c>
      <x:c r="H542" s="58" t="str">
        <x:v>M4</x:v>
      </x:c>
    </x:row>
    <x:row r="543">
      <x:c r="A543" s="66" t="str">
        <x:v>CAP-MOT-003</x:v>
      </x:c>
      <x:c r="B543" s="66" t="str">
        <x:v>Motion</x:v>
      </x:c>
      <x:c r="C543" s="66" t="str">
        <x:v>运控编排</x:v>
      </x:c>
      <x:c r="D543" s="66" t="str">
        <x:v>坐标系</x:v>
      </x:c>
      <x:c r="E543" s="66" t="str">
        <x:v>Parent/Transform/Unit/Version</x:v>
      </x:c>
      <x:c r="F543" s="66" t="str">
        <x:v>Extended</x:v>
      </x:c>
      <x:c r="G543" s="66" t="str">
        <x:v>27_Motion完整开发蓝图 / 28_Motion在线调试</x:v>
      </x:c>
      <x:c r="H543" s="66" t="str">
        <x:v>M4</x:v>
      </x:c>
    </x:row>
    <x:row r="544">
      <x:c r="A544" s="58" t="str">
        <x:v>CAP-MOT-004</x:v>
      </x:c>
      <x:c r="B544" s="58" t="str">
        <x:v>Motion</x:v>
      </x:c>
      <x:c r="C544" s="58" t="str">
        <x:v>运控编排</x:v>
      </x:c>
      <x:c r="D544" s="58" t="str">
        <x:v>Home节点</x:v>
      </x:c>
      <x:c r="E544" s="58" t="str">
        <x:v>轴回零动作</x:v>
      </x:c>
      <x:c r="F544" s="58" t="str">
        <x:v>Core</x:v>
      </x:c>
      <x:c r="G544" s="58" t="str">
        <x:v>27_Motion完整开发蓝图 / 28_Motion在线调试</x:v>
      </x:c>
      <x:c r="H544" s="58" t="str">
        <x:v>M4</x:v>
      </x:c>
    </x:row>
    <x:row r="545">
      <x:c r="A545" s="66" t="str">
        <x:v>CAP-MOT-005</x:v>
      </x:c>
      <x:c r="B545" s="66" t="str">
        <x:v>Motion</x:v>
      </x:c>
      <x:c r="C545" s="66" t="str">
        <x:v>运控编排</x:v>
      </x:c>
      <x:c r="D545" s="66" t="str">
        <x:v>绝对移动节点</x:v>
      </x:c>
      <x:c r="E545" s="66" t="str">
        <x:v>Target/Vel/Acc/Dec/Tolerance/Timeout</x:v>
      </x:c>
      <x:c r="F545" s="66" t="str">
        <x:v>Core</x:v>
      </x:c>
      <x:c r="G545" s="66" t="str">
        <x:v>27_Motion完整开发蓝图 / 28_Motion在线调试</x:v>
      </x:c>
      <x:c r="H545" s="66" t="str">
        <x:v>M4</x:v>
      </x:c>
    </x:row>
    <x:row r="546">
      <x:c r="A546" s="58" t="str">
        <x:v>CAP-MOT-006</x:v>
      </x:c>
      <x:c r="B546" s="58" t="str">
        <x:v>Motion</x:v>
      </x:c>
      <x:c r="C546" s="58" t="str">
        <x:v>运控编排</x:v>
      </x:c>
      <x:c r="D546" s="58" t="str">
        <x:v>相对移动节点</x:v>
      </x:c>
      <x:c r="E546" s="58" t="str">
        <x:v>Delta/Vel/Acc/Dec</x:v>
      </x:c>
      <x:c r="F546" s="58" t="str">
        <x:v>Core</x:v>
      </x:c>
      <x:c r="G546" s="58" t="str">
        <x:v>27_Motion完整开发蓝图 / 28_Motion在线调试</x:v>
      </x:c>
      <x:c r="H546" s="58" t="str">
        <x:v>M4</x:v>
      </x:c>
    </x:row>
    <x:row r="547">
      <x:c r="A547" s="66" t="str">
        <x:v>CAP-MOT-007</x:v>
      </x:c>
      <x:c r="B547" s="66" t="str">
        <x:v>Motion</x:v>
      </x:c>
      <x:c r="C547" s="66" t="str">
        <x:v>运控编排</x:v>
      </x:c>
      <x:c r="D547" s="66" t="str">
        <x:v>WaitPosition节点</x:v>
      </x:c>
      <x:c r="E547" s="66" t="str">
        <x:v>等待稳定到位</x:v>
      </x:c>
      <x:c r="F547" s="66" t="str">
        <x:v>Core</x:v>
      </x:c>
      <x:c r="G547" s="66" t="str">
        <x:v>27_Motion完整开发蓝图 / 28_Motion在线调试</x:v>
      </x:c>
      <x:c r="H547" s="66" t="str">
        <x:v>M4</x:v>
      </x:c>
    </x:row>
    <x:row r="548">
      <x:c r="A548" s="58" t="str">
        <x:v>CAP-MOT-008</x:v>
      </x:c>
      <x:c r="B548" s="58" t="str">
        <x:v>Motion</x:v>
      </x:c>
      <x:c r="C548" s="58" t="str">
        <x:v>运控编排</x:v>
      </x:c>
      <x:c r="D548" s="58" t="str">
        <x:v>IO节点</x:v>
      </x:c>
      <x:c r="E548" s="58" t="str">
        <x:v>IO写/等待/防抖/超时</x:v>
      </x:c>
      <x:c r="F548" s="58" t="str">
        <x:v>Core</x:v>
      </x:c>
      <x:c r="G548" s="58" t="str">
        <x:v>27_Motion完整开发蓝图 / 28_Motion在线调试</x:v>
      </x:c>
      <x:c r="H548" s="58" t="str">
        <x:v>M4</x:v>
      </x:c>
    </x:row>
    <x:row r="549">
      <x:c r="A549" s="66" t="str">
        <x:v>CAP-MOT-009</x:v>
      </x:c>
      <x:c r="B549" s="66" t="str">
        <x:v>Motion</x:v>
      </x:c>
      <x:c r="C549" s="66" t="str">
        <x:v>运控编排</x:v>
      </x:c>
      <x:c r="D549" s="66" t="str">
        <x:v>设备命令节点</x:v>
      </x:c>
      <x:c r="E549" s="66" t="str">
        <x:v>Camera/XRay/Robot/Cylinder等动作</x:v>
      </x:c>
      <x:c r="F549" s="66" t="str">
        <x:v>Core</x:v>
      </x:c>
      <x:c r="G549" s="66" t="str">
        <x:v>27_Motion完整开发蓝图 / 28_Motion在线调试</x:v>
      </x:c>
      <x:c r="H549" s="66" t="str">
        <x:v>M4</x:v>
      </x:c>
    </x:row>
    <x:row r="550">
      <x:c r="A550" s="58" t="str">
        <x:v>CAP-MOT-010</x:v>
      </x:c>
      <x:c r="B550" s="58" t="str">
        <x:v>Motion</x:v>
      </x:c>
      <x:c r="C550" s="58" t="str">
        <x:v>运控编排</x:v>
      </x:c>
      <x:c r="D550" s="58" t="str">
        <x:v>并行与Join</x:v>
      </x:c>
      <x:c r="E550" s="58" t="str">
        <x:v>多个动作并行后同步</x:v>
      </x:c>
      <x:c r="F550" s="58" t="str">
        <x:v>Core</x:v>
      </x:c>
      <x:c r="G550" s="58" t="str">
        <x:v>27_Motion完整开发蓝图 / 28_Motion在线调试</x:v>
      </x:c>
      <x:c r="H550" s="58" t="str">
        <x:v>M4</x:v>
      </x:c>
    </x:row>
    <x:row r="551">
      <x:c r="A551" s="66" t="str">
        <x:v>CAP-MOT-011</x:v>
      </x:c>
      <x:c r="B551" s="66" t="str">
        <x:v>Motion</x:v>
      </x:c>
      <x:c r="C551" s="66" t="str">
        <x:v>运控编排</x:v>
      </x:c>
      <x:c r="D551" s="66" t="str">
        <x:v>互锁</x:v>
      </x:c>
      <x:c r="E551" s="66" t="str">
        <x:v>Mode/Permission/Safety/DeviceState规则</x:v>
      </x:c>
      <x:c r="F551" s="66" t="str">
        <x:v>Core</x:v>
      </x:c>
      <x:c r="G551" s="66" t="str">
        <x:v>27_Motion完整开发蓝图 / 28_Motion在线调试</x:v>
      </x:c>
      <x:c r="H551" s="66" t="str">
        <x:v>M4</x:v>
      </x:c>
    </x:row>
    <x:row r="552">
      <x:c r="A552" s="58" t="str">
        <x:v>CAP-MOT-012</x:v>
      </x:c>
      <x:c r="B552" s="58" t="str">
        <x:v>Motion</x:v>
      </x:c>
      <x:c r="C552" s="58" t="str">
        <x:v>运控编排</x:v>
      </x:c>
      <x:c r="D552" s="58" t="str">
        <x:v>资源声明</x:v>
      </x:c>
      <x:c r="E552" s="58" t="str">
        <x:v>Axis/Camera/XRay等Exclusive/Shared资源</x:v>
      </x:c>
      <x:c r="F552" s="58" t="str">
        <x:v>Core</x:v>
      </x:c>
      <x:c r="G552" s="58" t="str">
        <x:v>27_Motion完整开发蓝图 / 28_Motion在线调试</x:v>
      </x:c>
      <x:c r="H552" s="58" t="str">
        <x:v>M4</x:v>
      </x:c>
    </x:row>
    <x:row r="553">
      <x:c r="A553" s="66" t="str">
        <x:v>CAP-MOT-013</x:v>
      </x:c>
      <x:c r="B553" s="66" t="str">
        <x:v>Motion</x:v>
      </x:c>
      <x:c r="C553" s="66" t="str">
        <x:v>运控编排</x:v>
      </x:c>
      <x:c r="D553" s="66" t="str">
        <x:v>超时/重试</x:v>
      </x:c>
      <x:c r="E553" s="66" t="str">
        <x:v>Timeout/Retry/Cancel策略</x:v>
      </x:c>
      <x:c r="F553" s="66" t="str">
        <x:v>Core</x:v>
      </x:c>
      <x:c r="G553" s="66" t="str">
        <x:v>27_Motion完整开发蓝图 / 28_Motion在线调试</x:v>
      </x:c>
      <x:c r="H553" s="66" t="str">
        <x:v>M4</x:v>
      </x:c>
    </x:row>
    <x:row r="554">
      <x:c r="A554" s="58" t="str">
        <x:v>CAP-MOT-014</x:v>
      </x:c>
      <x:c r="B554" s="58" t="str">
        <x:v>Motion</x:v>
      </x:c>
      <x:c r="C554" s="58" t="str">
        <x:v>运控编排</x:v>
      </x:c>
      <x:c r="D554" s="58" t="str">
        <x:v>Motion仿真</x:v>
      </x:c>
      <x:c r="E554" s="58" t="str">
        <x:v>虚拟轴/IO/设备</x:v>
      </x:c>
      <x:c r="F554" s="58" t="str">
        <x:v>Core</x:v>
      </x:c>
      <x:c r="G554" s="58" t="str">
        <x:v>27_Motion完整开发蓝图 / 28_Motion在线调试</x:v>
      </x:c>
      <x:c r="H554" s="58" t="str">
        <x:v>M4</x:v>
      </x:c>
    </x:row>
    <x:row r="555">
      <x:c r="A555" s="66" t="str">
        <x:v>CAP-MOT-015</x:v>
      </x:c>
      <x:c r="B555" s="66" t="str">
        <x:v>Motion</x:v>
      </x:c>
      <x:c r="C555" s="66" t="str">
        <x:v>运控编排</x:v>
      </x:c>
      <x:c r="D555" s="66" t="str">
        <x:v>Motion单步实机</x:v>
      </x:c>
      <x:c r="E555" s="66" t="str">
        <x:v>受控写+互锁+断点/单步</x:v>
      </x:c>
      <x:c r="F555" s="66" t="str">
        <x:v>Extended</x:v>
      </x:c>
      <x:c r="G555" s="66" t="str">
        <x:v>27_Motion完整开发蓝图 / 28_Motion在线调试</x:v>
      </x:c>
      <x:c r="H555" s="66" t="str">
        <x:v>M4</x:v>
      </x:c>
    </x:row>
    <x:row r="556">
      <x:c r="A556" s="58" t="str">
        <x:v>CAP-VIS-001</x:v>
      </x:c>
      <x:c r="B556" s="58" t="str">
        <x:v>Vision</x:v>
      </x:c>
      <x:c r="C556" s="58" t="str">
        <x:v>视觉算法编排</x:v>
      </x:c>
      <x:c r="D556" s="58" t="str">
        <x:v>新建Vision Pipeline</x:v>
      </x:c>
      <x:c r="E556" s="58" t="str">
        <x:v>创建Typed DataFlow DAG</x:v>
      </x:c>
      <x:c r="F556" s="58" t="str">
        <x:v>Core</x:v>
      </x:c>
      <x:c r="G556" s="58" t="str">
        <x:v>31_Vision完整开发蓝图 / 32_Vision在线调试</x:v>
      </x:c>
      <x:c r="H556" s="58" t="str">
        <x:v>M5</x:v>
      </x:c>
    </x:row>
    <x:row r="557">
      <x:c r="A557" s="66" t="str">
        <x:v>CAP-VIS-002</x:v>
      </x:c>
      <x:c r="B557" s="66" t="str">
        <x:v>Vision</x:v>
      </x:c>
      <x:c r="C557" s="66" t="str">
        <x:v>视觉算法编排</x:v>
      </x:c>
      <x:c r="D557" s="66" t="str">
        <x:v>图像输入节点</x:v>
      </x:c>
      <x:c r="E557" s="66" t="str">
        <x:v>Camera/File/SharedMemory/Runtime Input</x:v>
      </x:c>
      <x:c r="F557" s="66" t="str">
        <x:v>Core</x:v>
      </x:c>
      <x:c r="G557" s="66" t="str">
        <x:v>31_Vision完整开发蓝图 / 32_Vision在线调试</x:v>
      </x:c>
      <x:c r="H557" s="66" t="str">
        <x:v>M5</x:v>
      </x:c>
    </x:row>
    <x:row r="558">
      <x:c r="A558" s="58" t="str">
        <x:v>CAP-VIS-003</x:v>
      </x:c>
      <x:c r="B558" s="58" t="str">
        <x:v>Vision</x:v>
      </x:c>
      <x:c r="C558" s="58" t="str">
        <x:v>视觉算法编排</x:v>
      </x:c>
      <x:c r="D558" s="58" t="str">
        <x:v>预处理节点</x:v>
      </x:c>
      <x:c r="E558" s="58" t="str">
        <x:v>Crop/Resize/Gamma/Filter/Normalize</x:v>
      </x:c>
      <x:c r="F558" s="58" t="str">
        <x:v>Core</x:v>
      </x:c>
      <x:c r="G558" s="58" t="str">
        <x:v>31_Vision完整开发蓝图 / 32_Vision在线调试</x:v>
      </x:c>
      <x:c r="H558" s="58" t="str">
        <x:v>M5</x:v>
      </x:c>
    </x:row>
    <x:row r="559">
      <x:c r="A559" s="66" t="str">
        <x:v>CAP-VIS-004</x:v>
      </x:c>
      <x:c r="B559" s="66" t="str">
        <x:v>Vision</x:v>
      </x:c>
      <x:c r="C559" s="66" t="str">
        <x:v>视觉算法编排</x:v>
      </x:c>
      <x:c r="D559" s="66" t="str">
        <x:v>传统视觉节点</x:v>
      </x:c>
      <x:c r="E559" s="66" t="str">
        <x:v>Threshold/Morphology/Blob/Edge/Measure/Template等</x:v>
      </x:c>
      <x:c r="F559" s="66" t="str">
        <x:v>Core</x:v>
      </x:c>
      <x:c r="G559" s="66" t="str">
        <x:v>31_Vision完整开发蓝图 / 32_Vision在线调试</x:v>
      </x:c>
      <x:c r="H559" s="66" t="str">
        <x:v>M5</x:v>
      </x:c>
    </x:row>
    <x:row r="560">
      <x:c r="A560" s="58" t="str">
        <x:v>CAP-VIS-005</x:v>
      </x:c>
      <x:c r="B560" s="58" t="str">
        <x:v>Vision</x:v>
      </x:c>
      <x:c r="C560" s="58" t="str">
        <x:v>视觉算法编排</x:v>
      </x:c>
      <x:c r="D560" s="58" t="str">
        <x:v>AI节点</x:v>
      </x:c>
      <x:c r="E560" s="58" t="str">
        <x:v>ONNX/TensorRT Detection/Segmentation/Classify</x:v>
      </x:c>
      <x:c r="F560" s="58" t="str">
        <x:v>Core</x:v>
      </x:c>
      <x:c r="G560" s="58" t="str">
        <x:v>31_Vision完整开发蓝图 / 32_Vision在线调试</x:v>
      </x:c>
      <x:c r="H560" s="58" t="str">
        <x:v>M5</x:v>
      </x:c>
    </x:row>
    <x:row r="561">
      <x:c r="A561" s="66" t="str">
        <x:v>CAP-VIS-006</x:v>
      </x:c>
      <x:c r="B561" s="66" t="str">
        <x:v>Vision</x:v>
      </x:c>
      <x:c r="C561" s="66" t="str">
        <x:v>视觉算法编排</x:v>
      </x:c>
      <x:c r="D561" s="66" t="str">
        <x:v>标定/矫正节点</x:v>
      </x:c>
      <x:c r="E561" s="66" t="str">
        <x:v>FlatField/Geometry/CAD/Pose</x:v>
      </x:c>
      <x:c r="F561" s="66" t="str">
        <x:v>Core</x:v>
      </x:c>
      <x:c r="G561" s="66" t="str">
        <x:v>31_Vision完整开发蓝图 / 32_Vision在线调试</x:v>
      </x:c>
      <x:c r="H561" s="66" t="str">
        <x:v>M5</x:v>
      </x:c>
    </x:row>
    <x:row r="562">
      <x:c r="A562" s="58" t="str">
        <x:v>CAP-VIS-007</x:v>
      </x:c>
      <x:c r="B562" s="58" t="str">
        <x:v>Vision</x:v>
      </x:c>
      <x:c r="C562" s="58" t="str">
        <x:v>视觉算法编排</x:v>
      </x:c>
      <x:c r="D562" s="58" t="str">
        <x:v>结果处理节点</x:v>
      </x:c>
      <x:c r="E562" s="58" t="str">
        <x:v>Merge/Filter/NMS/Measure/Decision</x:v>
      </x:c>
      <x:c r="F562" s="58" t="str">
        <x:v>Core</x:v>
      </x:c>
      <x:c r="G562" s="58" t="str">
        <x:v>31_Vision完整开发蓝图 / 32_Vision在线调试</x:v>
      </x:c>
      <x:c r="H562" s="58" t="str">
        <x:v>M5</x:v>
      </x:c>
    </x:row>
    <x:row r="563">
      <x:c r="A563" s="66" t="str">
        <x:v>CAP-VIS-008</x:v>
      </x:c>
      <x:c r="B563" s="66" t="str">
        <x:v>Vision</x:v>
      </x:c>
      <x:c r="C563" s="66" t="str">
        <x:v>视觉算法编排</x:v>
      </x:c>
      <x:c r="D563" s="66" t="str">
        <x:v>Typed Port</x:v>
      </x:c>
      <x:c r="E563" s="66" t="str">
        <x:v>Image/Region/Detection/Measurement/Pose等强类型连接</x:v>
      </x:c>
      <x:c r="F563" s="66" t="str">
        <x:v>Core</x:v>
      </x:c>
      <x:c r="G563" s="66" t="str">
        <x:v>31_Vision完整开发蓝图 / 32_Vision在线调试</x:v>
      </x:c>
      <x:c r="H563" s="66" t="str">
        <x:v>M5</x:v>
      </x:c>
    </x:row>
    <x:row r="564">
      <x:c r="A564" s="58" t="str">
        <x:v>CAP-VIS-009</x:v>
      </x:c>
      <x:c r="B564" s="58" t="str">
        <x:v>Vision</x:v>
      </x:c>
      <x:c r="C564" s="58" t="str">
        <x:v>视觉算法编排</x:v>
      </x:c>
      <x:c r="D564" s="58" t="str">
        <x:v>节点资源提示</x:v>
      </x:c>
      <x:c r="E564" s="58" t="str">
        <x:v>CPU/GPU/Worker/Memory hints</x:v>
      </x:c>
      <x:c r="F564" s="58" t="str">
        <x:v>Extended</x:v>
      </x:c>
      <x:c r="G564" s="58" t="str">
        <x:v>31_Vision完整开发蓝图 / 32_Vision在线调试</x:v>
      </x:c>
      <x:c r="H564" s="58" t="str">
        <x:v>M5</x:v>
      </x:c>
    </x:row>
    <x:row r="565">
      <x:c r="A565" s="66" t="str">
        <x:v>CAP-VIS-010</x:v>
      </x:c>
      <x:c r="B565" s="66" t="str">
        <x:v>Vision</x:v>
      </x:c>
      <x:c r="C565" s="66" t="str">
        <x:v>视觉算法编排</x:v>
      </x:c>
      <x:c r="D565" s="66" t="str">
        <x:v>GPU资源管理</x:v>
      </x:c>
      <x:c r="E565" s="66" t="str">
        <x:v>显存/模型/并发队列管理</x:v>
      </x:c>
      <x:c r="F565" s="66" t="str">
        <x:v>Extended</x:v>
      </x:c>
      <x:c r="G565" s="66" t="str">
        <x:v>31_Vision完整开发蓝图 / 32_Vision在线调试</x:v>
      </x:c>
      <x:c r="H565" s="66" t="str">
        <x:v>M5</x:v>
      </x:c>
    </x:row>
    <x:row r="566">
      <x:c r="A566" s="58" t="str">
        <x:v>CAP-VIS-011</x:v>
      </x:c>
      <x:c r="B566" s="58" t="str">
        <x:v>Vision</x:v>
      </x:c>
      <x:c r="C566" s="58" t="str">
        <x:v>视觉算法编排</x:v>
      </x:c>
      <x:c r="D566" s="58" t="str">
        <x:v>中间数据查看</x:v>
      </x:c>
      <x:c r="E566" s="58" t="str">
        <x:v>Image/Region/Mask/Detection/Table/Scalar Viewer</x:v>
      </x:c>
      <x:c r="F566" s="58" t="str">
        <x:v>Core</x:v>
      </x:c>
      <x:c r="G566" s="58" t="str">
        <x:v>31_Vision完整开发蓝图 / 32_Vision在线调试</x:v>
      </x:c>
      <x:c r="H566" s="58" t="str">
        <x:v>M5</x:v>
      </x:c>
    </x:row>
    <x:row r="567">
      <x:c r="A567" s="66" t="str">
        <x:v>CAP-VIS-012</x:v>
      </x:c>
      <x:c r="B567" s="66" t="str">
        <x:v>Vision</x:v>
      </x:c>
      <x:c r="C567" s="66" t="str">
        <x:v>视觉算法编排</x:v>
      </x:c>
      <x:c r="D567" s="66" t="str">
        <x:v>Run To Here</x:v>
      </x:c>
      <x:c r="E567" s="66" t="str">
        <x:v>执行到目标节点并保留中间结果</x:v>
      </x:c>
      <x:c r="F567" s="66" t="str">
        <x:v>Core</x:v>
      </x:c>
      <x:c r="G567" s="66" t="str">
        <x:v>31_Vision完整开发蓝图 / 32_Vision在线调试</x:v>
      </x:c>
      <x:c r="H567" s="66" t="str">
        <x:v>M5</x:v>
      </x:c>
    </x:row>
    <x:row r="568">
      <x:c r="A568" s="58" t="str">
        <x:v>CAP-VIS-013</x:v>
      </x:c>
      <x:c r="B568" s="58" t="str">
        <x:v>Vision</x:v>
      </x:c>
      <x:c r="C568" s="58" t="str">
        <x:v>视觉算法编排</x:v>
      </x:c>
      <x:c r="D568" s="58" t="str">
        <x:v>样本Replay</x:v>
      </x:c>
      <x:c r="E568" s="58" t="str">
        <x:v>历史Frame+Version Manifest重放</x:v>
      </x:c>
      <x:c r="F568" s="58" t="str">
        <x:v>Core</x:v>
      </x:c>
      <x:c r="G568" s="58" t="str">
        <x:v>31_Vision完整开发蓝图 / 32_Vision在线调试</x:v>
      </x:c>
      <x:c r="H568" s="58" t="str">
        <x:v>M5</x:v>
      </x:c>
    </x:row>
    <x:row r="569">
      <x:c r="A569" s="66" t="str">
        <x:v>CAP-VIS-014</x:v>
      </x:c>
      <x:c r="B569" s="66" t="str">
        <x:v>Vision</x:v>
      </x:c>
      <x:c r="C569" s="66" t="str">
        <x:v>视觉算法编排</x:v>
      </x:c>
      <x:c r="D569" s="66" t="str">
        <x:v>Run对比</x:v>
      </x:c>
      <x:c r="E569" s="66" t="str">
        <x:v>结果/耗时/缺陷Diff</x:v>
      </x:c>
      <x:c r="F569" s="66" t="str">
        <x:v>Extended</x:v>
      </x:c>
      <x:c r="G569" s="66" t="str">
        <x:v>31_Vision完整开发蓝图 / 32_Vision在线调试</x:v>
      </x:c>
      <x:c r="H569" s="66" t="str">
        <x:v>M5</x:v>
      </x:c>
    </x:row>
    <x:row r="570">
      <x:c r="A570" s="58" t="str">
        <x:v>CAP-VIS-015</x:v>
      </x:c>
      <x:c r="B570" s="58" t="str">
        <x:v>Vision</x:v>
      </x:c>
      <x:c r="C570" s="58" t="str">
        <x:v>视觉算法编排</x:v>
      </x:c>
      <x:c r="D570" s="58" t="str">
        <x:v>Vision Worker</x:v>
      </x:c>
      <x:c r="E570" s="58" t="str">
        <x:v>Native/GPU算法进程隔离</x:v>
      </x:c>
      <x:c r="F570" s="58" t="str">
        <x:v>Extended</x:v>
      </x:c>
      <x:c r="G570" s="58" t="str">
        <x:v>31_Vision完整开发蓝图 / 32_Vision在线调试</x:v>
      </x:c>
      <x:c r="H570" s="58" t="str">
        <x:v>M5</x:v>
      </x:c>
    </x:row>
    <x:row r="571">
      <x:c r="A571" s="66" t="str">
        <x:v>CAP-INS-001</x:v>
      </x:c>
      <x:c r="B571" s="66" t="str">
        <x:v>Inspection</x:v>
      </x:c>
      <x:c r="C571" s="66" t="str">
        <x:v>检测流程编排</x:v>
      </x:c>
      <x:c r="D571" s="66" t="str">
        <x:v>新建Inspection Flow</x:v>
      </x:c>
      <x:c r="E571" s="66" t="str">
        <x:v>创建产品级Durable Workflow</x:v>
      </x:c>
      <x:c r="F571" s="66" t="str">
        <x:v>Core</x:v>
      </x:c>
      <x:c r="G571" s="66" t="str">
        <x:v>35_Inspection完整开发蓝图 / 36_Inspection在线调试</x:v>
      </x:c>
      <x:c r="H571" s="66" t="str">
        <x:v>M6</x:v>
      </x:c>
    </x:row>
    <x:row r="572">
      <x:c r="A572" s="58" t="str">
        <x:v>CAP-INS-002</x:v>
      </x:c>
      <x:c r="B572" s="58" t="str">
        <x:v>Inspection</x:v>
      </x:c>
      <x:c r="C572" s="58" t="str">
        <x:v>检测流程编排</x:v>
      </x:c>
      <x:c r="D572" s="58" t="str">
        <x:v>Product Context</x:v>
      </x:c>
      <x:c r="E572" s="58" t="str">
        <x:v>Barcode/Model/Batch/Variables/Results</x:v>
      </x:c>
      <x:c r="F572" s="58" t="str">
        <x:v>Core</x:v>
      </x:c>
      <x:c r="G572" s="58" t="str">
        <x:v>35_Inspection完整开发蓝图 / 36_Inspection在线调试</x:v>
      </x:c>
      <x:c r="H572" s="58" t="str">
        <x:v>M6</x:v>
      </x:c>
    </x:row>
    <x:row r="573">
      <x:c r="A573" s="66" t="str">
        <x:v>CAP-INS-003</x:v>
      </x:c>
      <x:c r="B573" s="66" t="str">
        <x:v>Inspection</x:v>
      </x:c>
      <x:c r="C573" s="66" t="str">
        <x:v>检测流程编排</x:v>
      </x:c>
      <x:c r="D573" s="66" t="str">
        <x:v>点位循环</x:v>
      </x:c>
      <x:c r="E573" s="66" t="str">
        <x:v>多点位迭代/动态点位</x:v>
      </x:c>
      <x:c r="F573" s="66" t="str">
        <x:v>Core</x:v>
      </x:c>
      <x:c r="G573" s="66" t="str">
        <x:v>35_Inspection完整开发蓝图 / 36_Inspection在线调试</x:v>
      </x:c>
      <x:c r="H573" s="66" t="str">
        <x:v>M6</x:v>
      </x:c>
    </x:row>
    <x:row r="574">
      <x:c r="A574" s="58" t="str">
        <x:v>CAP-INS-004</x:v>
      </x:c>
      <x:c r="B574" s="58" t="str">
        <x:v>Inspection</x:v>
      </x:c>
      <x:c r="C574" s="58" t="str">
        <x:v>检测流程编排</x:v>
      </x:c>
      <x:c r="D574" s="58" t="str">
        <x:v>调用Motion</x:v>
      </x:c>
      <x:c r="E574" s="58" t="str">
        <x:v>DefinitionId+Version+参数调用</x:v>
      </x:c>
      <x:c r="F574" s="58" t="str">
        <x:v>Core</x:v>
      </x:c>
      <x:c r="G574" s="58" t="str">
        <x:v>35_Inspection完整开发蓝图 / 36_Inspection在线调试</x:v>
      </x:c>
      <x:c r="H574" s="58" t="str">
        <x:v>M6</x:v>
      </x:c>
    </x:row>
    <x:row r="575">
      <x:c r="A575" s="66" t="str">
        <x:v>CAP-INS-005</x:v>
      </x:c>
      <x:c r="B575" s="66" t="str">
        <x:v>Inspection</x:v>
      </x:c>
      <x:c r="C575" s="66" t="str">
        <x:v>检测流程编排</x:v>
      </x:c>
      <x:c r="D575" s="66" t="str">
        <x:v>采图节点</x:v>
      </x:c>
      <x:c r="E575" s="66" t="str">
        <x:v>Camera/XRay采集并输出FrameRef</x:v>
      </x:c>
      <x:c r="F575" s="66" t="str">
        <x:v>Core</x:v>
      </x:c>
      <x:c r="G575" s="66" t="str">
        <x:v>35_Inspection完整开发蓝图 / 36_Inspection在线调试</x:v>
      </x:c>
      <x:c r="H575" s="66" t="str">
        <x:v>M6</x:v>
      </x:c>
    </x:row>
    <x:row r="576">
      <x:c r="A576" s="58" t="str">
        <x:v>CAP-INS-006</x:v>
      </x:c>
      <x:c r="B576" s="58" t="str">
        <x:v>Inspection</x:v>
      </x:c>
      <x:c r="C576" s="58" t="str">
        <x:v>检测流程编排</x:v>
      </x:c>
      <x:c r="D576" s="58" t="str">
        <x:v>调用Vision</x:v>
      </x:c>
      <x:c r="E576" s="58" t="str">
        <x:v>PipelineId+Version+Input/Output映射</x:v>
      </x:c>
      <x:c r="F576" s="58" t="str">
        <x:v>Core</x:v>
      </x:c>
      <x:c r="G576" s="58" t="str">
        <x:v>35_Inspection完整开发蓝图 / 36_Inspection在线调试</x:v>
      </x:c>
      <x:c r="H576" s="58" t="str">
        <x:v>M6</x:v>
      </x:c>
    </x:row>
    <x:row r="577">
      <x:c r="A577" s="66" t="str">
        <x:v>CAP-INS-007</x:v>
      </x:c>
      <x:c r="B577" s="66" t="str">
        <x:v>Inspection</x:v>
      </x:c>
      <x:c r="C577" s="66" t="str">
        <x:v>检测流程编排</x:v>
      </x:c>
      <x:c r="D577" s="66" t="str">
        <x:v>结果合并</x:v>
      </x:c>
      <x:c r="E577" s="66" t="str">
        <x:v>点位/算法/缺陷/测量聚合</x:v>
      </x:c>
      <x:c r="F577" s="66" t="str">
        <x:v>Core</x:v>
      </x:c>
      <x:c r="G577" s="66" t="str">
        <x:v>35_Inspection完整开发蓝图 / 36_Inspection在线调试</x:v>
      </x:c>
      <x:c r="H577" s="66" t="str">
        <x:v>M6</x:v>
      </x:c>
    </x:row>
    <x:row r="578">
      <x:c r="A578" s="58" t="str">
        <x:v>CAP-INS-008</x:v>
      </x:c>
      <x:c r="B578" s="58" t="str">
        <x:v>Inspection</x:v>
      </x:c>
      <x:c r="C578" s="58" t="str">
        <x:v>检测流程编排</x:v>
      </x:c>
      <x:c r="D578" s="58" t="str">
        <x:v>判定</x:v>
      </x:c>
      <x:c r="E578" s="58" t="str">
        <x:v>规则/阈值/质量判定</x:v>
      </x:c>
      <x:c r="F578" s="58" t="str">
        <x:v>Core</x:v>
      </x:c>
      <x:c r="G578" s="58" t="str">
        <x:v>35_Inspection完整开发蓝图 / 36_Inspection在线调试</x:v>
      </x:c>
      <x:c r="H578" s="58" t="str">
        <x:v>M6</x:v>
      </x:c>
    </x:row>
    <x:row r="579">
      <x:c r="A579" s="66" t="str">
        <x:v>CAP-INS-009</x:v>
      </x:c>
      <x:c r="B579" s="66" t="str">
        <x:v>Inspection</x:v>
      </x:c>
      <x:c r="C579" s="66" t="str">
        <x:v>检测流程编排</x:v>
      </x:c>
      <x:c r="D579" s="66" t="str">
        <x:v>复测</x:v>
      </x:c>
      <x:c r="E579" s="66" t="str">
        <x:v>NG→复测SubFlow/次数/条件</x:v>
      </x:c>
      <x:c r="F579" s="66" t="str">
        <x:v>Core</x:v>
      </x:c>
      <x:c r="G579" s="66" t="str">
        <x:v>35_Inspection完整开发蓝图 / 36_Inspection在线调试</x:v>
      </x:c>
      <x:c r="H579" s="66" t="str">
        <x:v>M6</x:v>
      </x:c>
    </x:row>
    <x:row r="580">
      <x:c r="A580" s="58" t="str">
        <x:v>CAP-INS-010</x:v>
      </x:c>
      <x:c r="B580" s="58" t="str">
        <x:v>Inspection</x:v>
      </x:c>
      <x:c r="C580" s="58" t="str">
        <x:v>检测流程编排</x:v>
      </x:c>
      <x:c r="D580" s="58" t="str">
        <x:v>人工复判</x:v>
      </x:c>
      <x:c r="E580" s="58" t="str">
        <x:v>权限/原因/决定/审计</x:v>
      </x:c>
      <x:c r="F580" s="58" t="str">
        <x:v>Extended</x:v>
      </x:c>
      <x:c r="G580" s="58" t="str">
        <x:v>35_Inspection完整开发蓝图 / 36_Inspection在线调试</x:v>
      </x:c>
      <x:c r="H580" s="58" t="str">
        <x:v>M6</x:v>
      </x:c>
    </x:row>
    <x:row r="581">
      <x:c r="A581" s="66" t="str">
        <x:v>CAP-INS-011</x:v>
      </x:c>
      <x:c r="B581" s="66" t="str">
        <x:v>Inspection</x:v>
      </x:c>
      <x:c r="C581" s="66" t="str">
        <x:v>检测流程编排</x:v>
      </x:c>
      <x:c r="D581" s="66" t="str">
        <x:v>MES查询</x:v>
      </x:c>
      <x:c r="E581" s="66" t="str">
        <x:v>加载产品/配方/工单</x:v>
      </x:c>
      <x:c r="F581" s="66" t="str">
        <x:v>Core</x:v>
      </x:c>
      <x:c r="G581" s="66" t="str">
        <x:v>35_Inspection完整开发蓝图 / 36_Inspection在线调试</x:v>
      </x:c>
      <x:c r="H581" s="66" t="str">
        <x:v>M6</x:v>
      </x:c>
    </x:row>
    <x:row r="582">
      <x:c r="A582" s="58" t="str">
        <x:v>CAP-INS-012</x:v>
      </x:c>
      <x:c r="B582" s="58" t="str">
        <x:v>Inspection</x:v>
      </x:c>
      <x:c r="C582" s="58" t="str">
        <x:v>检测流程编排</x:v>
      </x:c>
      <x:c r="D582" s="58" t="str">
        <x:v>MES上报</x:v>
      </x:c>
      <x:c r="E582" s="58" t="str">
        <x:v>幂等/断网队列/回读</x:v>
      </x:c>
      <x:c r="F582" s="58" t="str">
        <x:v>Core</x:v>
      </x:c>
      <x:c r="G582" s="58" t="str">
        <x:v>35_Inspection完整开发蓝图 / 36_Inspection在线调试</x:v>
      </x:c>
      <x:c r="H582" s="58" t="str">
        <x:v>M6</x:v>
      </x:c>
    </x:row>
    <x:row r="583">
      <x:c r="A583" s="66" t="str">
        <x:v>CAP-INS-013</x:v>
      </x:c>
      <x:c r="B583" s="66" t="str">
        <x:v>Inspection</x:v>
      </x:c>
      <x:c r="C583" s="66" t="str">
        <x:v>检测流程编排</x:v>
      </x:c>
      <x:c r="D583" s="66" t="str">
        <x:v>Checkpoint</x:v>
      </x:c>
      <x:c r="E583" s="66" t="str">
        <x:v>关键节点持久化恢复点</x:v>
      </x:c>
      <x:c r="F583" s="66" t="str">
        <x:v>Core</x:v>
      </x:c>
      <x:c r="G583" s="66" t="str">
        <x:v>35_Inspection完整开发蓝图 / 36_Inspection在线调试</x:v>
      </x:c>
      <x:c r="H583" s="66" t="str">
        <x:v>M6</x:v>
      </x:c>
    </x:row>
    <x:row r="584">
      <x:c r="A584" s="58" t="str">
        <x:v>CAP-INS-014</x:v>
      </x:c>
      <x:c r="B584" s="58" t="str">
        <x:v>Inspection</x:v>
      </x:c>
      <x:c r="C584" s="58" t="str">
        <x:v>检测流程编排</x:v>
      </x:c>
      <x:c r="D584" s="58" t="str">
        <x:v>断电恢复</x:v>
      </x:c>
      <x:c r="E584" s="58" t="str">
        <x:v>按Version Manifest恢复/人工确认</x:v>
      </x:c>
      <x:c r="F584" s="58" t="str">
        <x:v>Core</x:v>
      </x:c>
      <x:c r="G584" s="58" t="str">
        <x:v>35_Inspection完整开发蓝图 / 36_Inspection在线调试</x:v>
      </x:c>
      <x:c r="H584" s="58" t="str">
        <x:v>M6</x:v>
      </x:c>
    </x:row>
    <x:row r="585">
      <x:c r="A585" s="66" t="str">
        <x:v>CAP-INS-015</x:v>
      </x:c>
      <x:c r="B585" s="66" t="str">
        <x:v>Inspection</x:v>
      </x:c>
      <x:c r="C585" s="66" t="str">
        <x:v>检测流程编排</x:v>
      </x:c>
      <x:c r="D585" s="66" t="str">
        <x:v>补偿动作</x:v>
      </x:c>
      <x:c r="E585" s="66" t="str">
        <x:v>外部副作用失败后的补偿流程</x:v>
      </x:c>
      <x:c r="F585" s="66" t="str">
        <x:v>Extended</x:v>
      </x:c>
      <x:c r="G585" s="66" t="str">
        <x:v>35_Inspection完整开发蓝图 / 36_Inspection在线调试</x:v>
      </x:c>
      <x:c r="H585" s="66" t="str">
        <x:v>M6</x:v>
      </x:c>
    </x:row>
    <x:row r="586">
      <x:c r="A586" s="58" t="str">
        <x:v>CAP-INS-016</x:v>
      </x:c>
      <x:c r="B586" s="58" t="str">
        <x:v>Inspection</x:v>
      </x:c>
      <x:c r="C586" s="58" t="str">
        <x:v>检测流程编排</x:v>
      </x:c>
      <x:c r="D586" s="58" t="str">
        <x:v>Flow调试</x:v>
      </x:c>
      <x:c r="E586" s="58" t="str">
        <x:v>断点/上下文/Timeline/RunTo</x:v>
      </x:c>
      <x:c r="F586" s="58" t="str">
        <x:v>Core</x:v>
      </x:c>
      <x:c r="G586" s="58" t="str">
        <x:v>35_Inspection完整开发蓝图 / 36_Inspection在线调试</x:v>
      </x:c>
      <x:c r="H586" s="58" t="str">
        <x:v>M6</x:v>
      </x:c>
    </x:row>
    <x:row r="587">
      <x:c r="A587" s="66" t="str">
        <x:v>CAP-GRF-078</x:v>
      </x:c>
      <x:c r="B587" s="66" t="str">
        <x:v>Graph Platform</x:v>
      </x:c>
      <x:c r="C587" s="66" t="str">
        <x:v>设备集成</x:v>
      </x:c>
      <x:c r="D587" s="66" t="str">
        <x:v>Motion Provider插件</x:v>
      </x:c>
      <x:c r="E587" s="66" t="str">
        <x:v>厂商运动控制器Adapter</x:v>
      </x:c>
      <x:c r="F587" s="66" t="str">
        <x:v>Extended</x:v>
      </x:c>
      <x:c r="G587" s="66" t="str">
        <x:v>22_Graph集成与资源管理</x:v>
      </x:c>
      <x:c r="H587" s="66" t="str">
        <x:v>M3</x:v>
      </x:c>
    </x:row>
    <x:row r="588">
      <x:c r="A588" s="58" t="str">
        <x:v>CAP-GRF-079</x:v>
      </x:c>
      <x:c r="B588" s="58" t="str">
        <x:v>Graph Platform</x:v>
      </x:c>
      <x:c r="C588" s="58" t="str">
        <x:v>设备集成</x:v>
      </x:c>
      <x:c r="D588" s="58" t="str">
        <x:v>Camera Provider插件</x:v>
      </x:c>
      <x:c r="E588" s="58" t="str">
        <x:v>厂商相机SDK Adapter</x:v>
      </x:c>
      <x:c r="F588" s="58" t="str">
        <x:v>Extended</x:v>
      </x:c>
      <x:c r="G588" s="58" t="str">
        <x:v>22_Graph集成与资源管理</x:v>
      </x:c>
      <x:c r="H588" s="58" t="str">
        <x:v>M3</x:v>
      </x:c>
    </x:row>
    <x:row r="589">
      <x:c r="A589" s="66" t="str">
        <x:v>CAP-GRF-080</x:v>
      </x:c>
      <x:c r="B589" s="66" t="str">
        <x:v>Graph Platform</x:v>
      </x:c>
      <x:c r="C589" s="66" t="str">
        <x:v>设备集成</x:v>
      </x:c>
      <x:c r="D589" s="66" t="str">
        <x:v>XRay/Detector Provider</x:v>
      </x:c>
      <x:c r="E589" s="66" t="str">
        <x:v>光源/探测器SDK Adapter</x:v>
      </x:c>
      <x:c r="F589" s="66" t="str">
        <x:v>Extended</x:v>
      </x:c>
      <x:c r="G589" s="66" t="str">
        <x:v>22_Graph集成与资源管理</x:v>
      </x:c>
      <x:c r="H589" s="66" t="str">
        <x:v>M3</x:v>
      </x:c>
    </x:row>
    <x:row r="590">
      <x:c r="A590" s="58" t="str">
        <x:v>CAP-GRF-081</x:v>
      </x:c>
      <x:c r="B590" s="58" t="str">
        <x:v>Graph Platform</x:v>
      </x:c>
      <x:c r="C590" s="58" t="str">
        <x:v>资源调度</x:v>
      </x:c>
      <x:c r="D590" s="58" t="str">
        <x:v>Resource Manager</x:v>
      </x:c>
      <x:c r="E590" s="58" t="str">
        <x:v>Axis/Camera/XRay/GPU Lease/Concurrency</x:v>
      </x:c>
      <x:c r="F590" s="58" t="str">
        <x:v>Core</x:v>
      </x:c>
      <x:c r="G590" s="58" t="str">
        <x:v>22_Graph集成与资源管理</x:v>
      </x:c>
      <x:c r="H590" s="58" t="str">
        <x:v>M3</x:v>
      </x:c>
    </x:row>
    <x:row r="591">
      <x:c r="A591" s="66" t="str">
        <x:v>CAP-GRF-082</x:v>
      </x:c>
      <x:c r="B591" s="66" t="str">
        <x:v>Graph Platform</x:v>
      </x:c>
      <x:c r="C591" s="66" t="str">
        <x:v>平台SDK</x:v>
      </x:c>
      <x:c r="D591" s="66" t="str">
        <x:v>Graph Node SDK</x:v>
      </x:c>
      <x:c r="E591" s="66" t="str">
        <x:v>自定义节点Descriptor+Executor</x:v>
      </x:c>
      <x:c r="F591" s="66" t="str">
        <x:v>Extended</x:v>
      </x:c>
      <x:c r="G591" s="66" t="str">
        <x:v>24_GraphSDK与Plugin扩展</x:v>
      </x:c>
      <x:c r="H591" s="66" t="str">
        <x:v>M3</x:v>
      </x:c>
    </x:row>
    <x:row r="592">
      <x:c r="A592" s="58" t="str">
        <x:v>CAP-GRF-083</x:v>
      </x:c>
      <x:c r="B592" s="58" t="str">
        <x:v>Graph Platform</x:v>
      </x:c>
      <x:c r="C592" s="58" t="str">
        <x:v>平台SDK</x:v>
      </x:c>
      <x:c r="D592" s="58" t="str">
        <x:v>Vision Algorithm SDK</x:v>
      </x:c>
      <x:c r="E592" s="58" t="str">
        <x:v>Typed算法插件/Worker协议</x:v>
      </x:c>
      <x:c r="F592" s="58" t="str">
        <x:v>Extended</x:v>
      </x:c>
      <x:c r="G592" s="58" t="str">
        <x:v>24_GraphSDK与Plugin扩展</x:v>
      </x:c>
      <x:c r="H592" s="58" t="str">
        <x:v>M3</x:v>
      </x:c>
    </x:row>
    <x:row r="593">
      <x:c r="A593" s="66" t="str">
        <x:v>CAP-GRF-084</x:v>
      </x:c>
      <x:c r="B593" s="66" t="str">
        <x:v>Graph Platform</x:v>
      </x:c>
      <x:c r="C593" s="66" t="str">
        <x:v>平台SDK</x:v>
      </x:c>
      <x:c r="D593" s="66" t="str">
        <x:v>Device Provider SDK</x:v>
      </x:c>
      <x:c r="E593" s="66" t="str">
        <x:v>Capabilities/Config/Commands/Diagnostics</x:v>
      </x:c>
      <x:c r="F593" s="66" t="str">
        <x:v>Extended</x:v>
      </x:c>
      <x:c r="G593" s="66" t="str">
        <x:v>24_GraphSDK与Plugin扩展</x:v>
      </x:c>
      <x:c r="H593" s="66" t="str">
        <x:v>M3</x:v>
      </x:c>
    </x:row>
    <x:row r="594">
      <x:c r="A594" s="58" t="str">
        <x:v>CAP-GRF-085</x:v>
      </x:c>
      <x:c r="B594" s="58" t="str">
        <x:v>Graph Platform</x:v>
      </x:c>
      <x:c r="C594" s="58" t="str">
        <x:v>平台SDK</x:v>
      </x:c>
      <x:c r="D594" s="58" t="str">
        <x:v>Plugin Manifest</x:v>
      </x:c>
      <x:c r="E594" s="58" t="str">
        <x:v>PluginId/Version/ApiVersion/Deps/Signature</x:v>
      </x:c>
      <x:c r="F594" s="58" t="str">
        <x:v>Core</x:v>
      </x:c>
      <x:c r="G594" s="58" t="str">
        <x:v>24_GraphSDK与Plugin扩展</x:v>
      </x:c>
      <x:c r="H594" s="58" t="str">
        <x:v>M3</x:v>
      </x:c>
    </x:row>
    <x:row r="595">
      <x:c r="A595" s="66" t="str">
        <x:v>CAP-HMI-377</x:v>
      </x:c>
      <x:c r="B595" s="66" t="str">
        <x:v>Visual/HMI</x:v>
      </x:c>
      <x:c r="C595" s="66" t="str">
        <x:v>平台资源库</x:v>
      </x:c>
      <x:c r="D595" s="66" t="str">
        <x:v>Graph/SubFlow Library</x:v>
      </x:c>
      <x:c r="E595" s="66" t="str">
        <x:v>项目/用户/团队复用图资产</x:v>
      </x:c>
      <x:c r="F595" s="66" t="str">
        <x:v>Extended</x:v>
      </x:c>
      <x:c r="G595" s="66" t="str">
        <x:v>15_SVG资源样式主题</x:v>
      </x:c>
      <x:c r="H595" s="66" t="str">
        <x:v>M2</x:v>
      </x:c>
    </x:row>
    <x:row r="596">
      <x:c r="A596" s="58" t="str">
        <x:v>CAP-OPS-001</x:v>
      </x:c>
      <x:c r="B596" s="58" t="str">
        <x:v>Operations</x:v>
      </x:c>
      <x:c r="C596" s="58" t="str">
        <x:v>平台运维</x:v>
      </x:c>
      <x:c r="D596" s="58" t="str">
        <x:v>Runtime Profile</x:v>
      </x:c>
      <x:c r="E596" s="58" t="str">
        <x:v>Lab/Test/Production环境解析</x:v>
      </x:c>
      <x:c r="F596" s="58" t="str">
        <x:v>Core</x:v>
      </x:c>
      <x:c r="G596" s="58" t="str">
        <x:v>38_Operations完整开发蓝图 / 39_RemoteEngineering</x:v>
      </x:c>
      <x:c r="H596" s="58" t="str">
        <x:v>M7</x:v>
      </x:c>
    </x:row>
    <x:row r="597">
      <x:c r="A597" s="66" t="str">
        <x:v>CAP-OPS-002</x:v>
      </x:c>
      <x:c r="B597" s="66" t="str">
        <x:v>Operations</x:v>
      </x:c>
      <x:c r="C597" s="66" t="str">
        <x:v>平台运维</x:v>
      </x:c>
      <x:c r="D597" s="66" t="str">
        <x:v>Runtime Health</x:v>
      </x:c>
      <x:c r="E597" s="66" t="str">
        <x:v>CPU/Memory/Queue/Subscriptions/Devices/Workers</x:v>
      </x:c>
      <x:c r="F597" s="66" t="str">
        <x:v>Extended</x:v>
      </x:c>
      <x:c r="G597" s="66" t="str">
        <x:v>38_Operations完整开发蓝图 / 39_RemoteEngineering</x:v>
      </x:c>
      <x:c r="H597" s="66" t="str">
        <x:v>M7</x:v>
      </x:c>
    </x:row>
    <x:row r="598">
      <x:c r="A598" s="58" t="str">
        <x:v>CAP-OPS-003</x:v>
      </x:c>
      <x:c r="B598" s="58" t="str">
        <x:v>Operations</x:v>
      </x:c>
      <x:c r="C598" s="58" t="str">
        <x:v>平台运维</x:v>
      </x:c>
      <x:c r="D598" s="58" t="str">
        <x:v>Watchdog</x:v>
      </x:c>
      <x:c r="E598" s="58" t="str">
        <x:v>Runtime/Worker heartbeat与恢复</x:v>
      </x:c>
      <x:c r="F598" s="58" t="str">
        <x:v>Extended</x:v>
      </x:c>
      <x:c r="G598" s="58" t="str">
        <x:v>38_Operations完整开发蓝图 / 39_RemoteEngineering</x:v>
      </x:c>
      <x:c r="H598" s="58" t="str">
        <x:v>M7</x:v>
      </x:c>
    </x:row>
    <x:row r="599">
      <x:c r="A599" s="66" t="str">
        <x:v>CAP-OPS-004</x:v>
      </x:c>
      <x:c r="B599" s="66" t="str">
        <x:v>Operations</x:v>
      </x:c>
      <x:c r="C599" s="66" t="str">
        <x:v>平台运维</x:v>
      </x:c>
      <x:c r="D599" s="66" t="str">
        <x:v>Backpressure</x:v>
      </x:c>
      <x:c r="E599" s="66" t="str">
        <x:v>队列上限/降频/丢弃/阻塞策略</x:v>
      </x:c>
      <x:c r="F599" s="66" t="str">
        <x:v>Core</x:v>
      </x:c>
      <x:c r="G599" s="66" t="str">
        <x:v>38_Operations完整开发蓝图 / 39_RemoteEngineering</x:v>
      </x:c>
      <x:c r="H599" s="66" t="str">
        <x:v>M7</x:v>
      </x:c>
    </x:row>
    <x:row r="600">
      <x:c r="A600" s="58" t="str">
        <x:v>CAP-OPS-005</x:v>
      </x:c>
      <x:c r="B600" s="58" t="str">
        <x:v>Operations</x:v>
      </x:c>
      <x:c r="C600" s="58" t="str">
        <x:v>平台运维</x:v>
      </x:c>
      <x:c r="D600" s="58" t="str">
        <x:v>Store-Forward</x:v>
      </x:c>
      <x:c r="E600" s="58" t="str">
        <x:v>MES/History断网本地队列补传</x:v>
      </x:c>
      <x:c r="F600" s="58" t="str">
        <x:v>Core</x:v>
      </x:c>
      <x:c r="G600" s="58" t="str">
        <x:v>38_Operations完整开发蓝图 / 39_RemoteEngineering</x:v>
      </x:c>
      <x:c r="H600" s="58" t="str">
        <x:v>M7</x:v>
      </x:c>
    </x:row>
    <x:row r="601">
      <x:c r="A601" s="66" t="str">
        <x:v>CAP-OPS-006</x:v>
      </x:c>
      <x:c r="B601" s="66" t="str">
        <x:v>Operations</x:v>
      </x:c>
      <x:c r="C601" s="66" t="str">
        <x:v>平台运维</x:v>
      </x:c>
      <x:c r="D601" s="66" t="str">
        <x:v>Release Manifest</x:v>
      </x:c>
      <x:c r="E601" s="66" t="str">
        <x:v>Flow/Motion/Vision/Recipe/Model/Plugin版本固化</x:v>
      </x:c>
      <x:c r="F601" s="66" t="str">
        <x:v>Core</x:v>
      </x:c>
      <x:c r="G601" s="66" t="str">
        <x:v>38_Operations完整开发蓝图 / 39_RemoteEngineering</x:v>
      </x:c>
      <x:c r="H601" s="66" t="str">
        <x:v>M7</x:v>
      </x:c>
    </x:row>
    <x:row r="602">
      <x:c r="A602" s="58" t="str">
        <x:v>CAP-OPS-007</x:v>
      </x:c>
      <x:c r="B602" s="58" t="str">
        <x:v>Operations</x:v>
      </x:c>
      <x:c r="C602" s="58" t="str">
        <x:v>平台运维</x:v>
      </x:c>
      <x:c r="D602" s="58" t="str">
        <x:v>部署回滚演练</x:v>
      </x:c>
      <x:c r="E602" s="58" t="str">
        <x:v>坏包/断电/版本切换回滚</x:v>
      </x:c>
      <x:c r="F602" s="58" t="str">
        <x:v>Core</x:v>
      </x:c>
      <x:c r="G602" s="58" t="str">
        <x:v>38_Operations完整开发蓝图 / 39_RemoteEngineering</x:v>
      </x:c>
      <x:c r="H602" s="58" t="str">
        <x:v>M7</x:v>
      </x:c>
    </x:row>
    <x:row r="603">
      <x:c r="A603" s="66" t="str">
        <x:v>CAP-MOT-016</x:v>
      </x:c>
      <x:c r="B603" s="66" t="str">
        <x:v>Motion</x:v>
      </x:c>
      <x:c r="C603" s="66" t="str">
        <x:v>运控编排深化</x:v>
      </x:c>
      <x:c r="D603" s="66" t="str">
        <x:v>运控点位表</x:v>
      </x:c>
      <x:c r="E603" s="66" t="str">
        <x:v>点位/轴位置/坐标系/速度模板/Teach来源/版本</x:v>
      </x:c>
      <x:c r="F603" s="66" t="str">
        <x:v>Core</x:v>
      </x:c>
      <x:c r="G603" s="66" t="str">
        <x:v>27_Motion完整开发蓝图 / 28_Motion在线调试</x:v>
      </x:c>
      <x:c r="H603" s="66" t="str">
        <x:v>M4</x:v>
      </x:c>
    </x:row>
    <x:row r="604">
      <x:c r="A604" s="58" t="str">
        <x:v>CAP-MOT-017</x:v>
      </x:c>
      <x:c r="B604" s="58" t="str">
        <x:v>Motion</x:v>
      </x:c>
      <x:c r="C604" s="58" t="str">
        <x:v>运控编排深化</x:v>
      </x:c>
      <x:c r="D604" s="58" t="str">
        <x:v>Teach当前位置</x:v>
      </x:c>
      <x:c r="E604" s="58" t="str">
        <x:v>读取实机位置生成ChangeSet，用户确认后写PointTable</x:v>
      </x:c>
      <x:c r="F604" s="58" t="str">
        <x:v>Core</x:v>
      </x:c>
      <x:c r="G604" s="58" t="str">
        <x:v>27_Motion完整开发蓝图 / 28_Motion在线调试</x:v>
      </x:c>
      <x:c r="H604" s="58" t="str">
        <x:v>M4</x:v>
      </x:c>
    </x:row>
    <x:row r="605">
      <x:c r="A605" s="66" t="str">
        <x:v>CAP-MOT-018</x:v>
      </x:c>
      <x:c r="B605" s="66" t="str">
        <x:v>Motion</x:v>
      </x:c>
      <x:c r="C605" s="66" t="str">
        <x:v>运控编排深化</x:v>
      </x:c>
      <x:c r="D605" s="66" t="str">
        <x:v>Jog调试</x:v>
      </x:c>
      <x:c r="E605" s="66" t="str">
        <x:v>Maintenance模式+独占资源+互锁下Jog/步进</x:v>
      </x:c>
      <x:c r="F605" s="66" t="str">
        <x:v>Extended</x:v>
      </x:c>
      <x:c r="G605" s="66" t="str">
        <x:v>27_Motion完整开发蓝图 / 28_Motion在线调试</x:v>
      </x:c>
      <x:c r="H605" s="66" t="str">
        <x:v>M4</x:v>
      </x:c>
    </x:row>
    <x:row r="606">
      <x:c r="A606" s="58" t="str">
        <x:v>CAP-MOT-019</x:v>
      </x:c>
      <x:c r="B606" s="58" t="str">
        <x:v>Motion</x:v>
      </x:c>
      <x:c r="C606" s="58" t="str">
        <x:v>运控编排深化</x:v>
      </x:c>
      <x:c r="D606" s="58" t="str">
        <x:v>坐标系编辑</x:v>
      </x:c>
      <x:c r="E606" s="58" t="str">
        <x:v>机器/产品/相机等父子坐标与Pose变换</x:v>
      </x:c>
      <x:c r="F606" s="58" t="str">
        <x:v>Extended</x:v>
      </x:c>
      <x:c r="G606" s="58" t="str">
        <x:v>27_Motion完整开发蓝图 / 28_Motion在线调试</x:v>
      </x:c>
      <x:c r="H606" s="58" t="str">
        <x:v>M4</x:v>
      </x:c>
    </x:row>
    <x:row r="607">
      <x:c r="A607" s="66" t="str">
        <x:v>CAP-MOT-020</x:v>
      </x:c>
      <x:c r="B607" s="66" t="str">
        <x:v>Motion</x:v>
      </x:c>
      <x:c r="C607" s="66" t="str">
        <x:v>运控编排深化</x:v>
      </x:c>
      <x:c r="D607" s="66" t="str">
        <x:v>MoveGroup/同步移动</x:v>
      </x:c>
      <x:c r="E607" s="66" t="str">
        <x:v>多轴/姿态同步命令编排，实际插补由控制器</x:v>
      </x:c>
      <x:c r="F607" s="66" t="str">
        <x:v>Extended</x:v>
      </x:c>
      <x:c r="G607" s="66" t="str">
        <x:v>27_Motion完整开发蓝图 / 28_Motion在线调试</x:v>
      </x:c>
      <x:c r="H607" s="66" t="str">
        <x:v>M4</x:v>
      </x:c>
    </x:row>
    <x:row r="608">
      <x:c r="A608" s="58" t="str">
        <x:v>CAP-MOT-021</x:v>
      </x:c>
      <x:c r="B608" s="58" t="str">
        <x:v>Motion</x:v>
      </x:c>
      <x:c r="C608" s="58" t="str">
        <x:v>运控编排深化</x:v>
      </x:c>
      <x:c r="D608" s="58" t="str">
        <x:v>连续扫描移动</x:v>
      </x:c>
      <x:c r="E608" s="58" t="str">
        <x:v>扫描起止/速度/触发/结果协调</x:v>
      </x:c>
      <x:c r="F608" s="58" t="str">
        <x:v>Extended</x:v>
      </x:c>
      <x:c r="G608" s="58" t="str">
        <x:v>27_Motion完整开发蓝图 / 28_Motion在线调试</x:v>
      </x:c>
      <x:c r="H608" s="58" t="str">
        <x:v>M4</x:v>
      </x:c>
    </x:row>
    <x:row r="609">
      <x:c r="A609" s="66" t="str">
        <x:v>CAP-MOT-022</x:v>
      </x:c>
      <x:c r="B609" s="66" t="str">
        <x:v>Motion</x:v>
      </x:c>
      <x:c r="C609" s="66" t="str">
        <x:v>运控编排深化</x:v>
      </x:c>
      <x:c r="D609" s="66" t="str">
        <x:v>位置比较触发</x:v>
      </x:c>
      <x:c r="E609" s="66" t="str">
        <x:v>能力支持时下沉控制器高频位置触发</x:v>
      </x:c>
      <x:c r="F609" s="66" t="str">
        <x:v>Extended</x:v>
      </x:c>
      <x:c r="G609" s="66" t="str">
        <x:v>27_Motion完整开发蓝图 / 28_Motion在线调试</x:v>
      </x:c>
      <x:c r="H609" s="66" t="str">
        <x:v>M4</x:v>
      </x:c>
    </x:row>
    <x:row r="610">
      <x:c r="A610" s="58" t="str">
        <x:v>CAP-MOT-023</x:v>
      </x:c>
      <x:c r="B610" s="58" t="str">
        <x:v>Motion</x:v>
      </x:c>
      <x:c r="C610" s="58" t="str">
        <x:v>运控编排深化</x:v>
      </x:c>
      <x:c r="D610" s="58" t="str">
        <x:v>资源占用视图</x:v>
      </x:c>
      <x:c r="E610" s="58" t="str">
        <x:v>Axis/Camera/XRay等Lease owner/waiters/timeout</x:v>
      </x:c>
      <x:c r="F610" s="58" t="str">
        <x:v>Extended</x:v>
      </x:c>
      <x:c r="G610" s="58" t="str">
        <x:v>27_Motion完整开发蓝图 / 28_Motion在线调试</x:v>
      </x:c>
      <x:c r="H610" s="58" t="str">
        <x:v>M4</x:v>
      </x:c>
    </x:row>
    <x:row r="611">
      <x:c r="A611" s="66" t="str">
        <x:v>CAP-MOT-024</x:v>
      </x:c>
      <x:c r="B611" s="66" t="str">
        <x:v>Motion</x:v>
      </x:c>
      <x:c r="C611" s="66" t="str">
        <x:v>运控编排深化</x:v>
      </x:c>
      <x:c r="D611" s="66" t="str">
        <x:v>互锁诊断</x:v>
      </x:c>
      <x:c r="E611" s="66" t="str">
        <x:v>每条互锁当前值/来源/失败原因/受控Bypass</x:v>
      </x:c>
      <x:c r="F611" s="66" t="str">
        <x:v>Core</x:v>
      </x:c>
      <x:c r="G611" s="66" t="str">
        <x:v>27_Motion完整开发蓝图 / 28_Motion在线调试</x:v>
      </x:c>
      <x:c r="H611" s="66" t="str">
        <x:v>M4</x:v>
      </x:c>
    </x:row>
    <x:row r="612">
      <x:c r="A612" s="58" t="str">
        <x:v>CAP-MOT-025</x:v>
      </x:c>
      <x:c r="B612" s="58" t="str">
        <x:v>Motion</x:v>
      </x:c>
      <x:c r="C612" s="58" t="str">
        <x:v>运控编排深化</x:v>
      </x:c>
      <x:c r="D612" s="58" t="str">
        <x:v>Axis在线监控</x:v>
      </x:c>
      <x:c r="E612" s="58" t="str">
        <x:v>Servo/Home/Pos/Vel/Command/Error/Limit/Alarm</x:v>
      </x:c>
      <x:c r="F612" s="58" t="str">
        <x:v>Core</x:v>
      </x:c>
      <x:c r="G612" s="58" t="str">
        <x:v>27_Motion完整开发蓝图 / 28_Motion在线调试</x:v>
      </x:c>
      <x:c r="H612" s="58" t="str">
        <x:v>M4</x:v>
      </x:c>
    </x:row>
    <x:row r="613">
      <x:c r="A613" s="66" t="str">
        <x:v>CAP-MOT-026</x:v>
      </x:c>
      <x:c r="B613" s="66" t="str">
        <x:v>Motion</x:v>
      </x:c>
      <x:c r="C613" s="66" t="str">
        <x:v>运控编排深化</x:v>
      </x:c>
      <x:c r="D613" s="66" t="str">
        <x:v>IO在线监控</x:v>
      </x:c>
      <x:c r="E613" s="66" t="str">
        <x:v>DI/DO/AI/AO/Quality/Force状态</x:v>
      </x:c>
      <x:c r="F613" s="66" t="str">
        <x:v>Core</x:v>
      </x:c>
      <x:c r="G613" s="66" t="str">
        <x:v>27_Motion完整开发蓝图 / 28_Motion在线调试</x:v>
      </x:c>
      <x:c r="H613" s="66" t="str">
        <x:v>M4</x:v>
      </x:c>
    </x:row>
    <x:row r="614">
      <x:c r="A614" s="58" t="str">
        <x:v>CAP-MOT-027</x:v>
      </x:c>
      <x:c r="B614" s="58" t="str">
        <x:v>Motion</x:v>
      </x:c>
      <x:c r="C614" s="58" t="str">
        <x:v>运控编排深化</x:v>
      </x:c>
      <x:c r="D614" s="58" t="str">
        <x:v>设备在线监控</x:v>
      </x:c>
      <x:c r="E614" s="58" t="str">
        <x:v>Camera/XRay/Detector/Robot等状态与最近命令</x:v>
      </x:c>
      <x:c r="F614" s="58" t="str">
        <x:v>Extended</x:v>
      </x:c>
      <x:c r="G614" s="58" t="str">
        <x:v>27_Motion完整开发蓝图 / 28_Motion在线调试</x:v>
      </x:c>
      <x:c r="H614" s="58" t="str">
        <x:v>M4</x:v>
      </x:c>
    </x:row>
    <x:row r="615">
      <x:c r="A615" s="66" t="str">
        <x:v>CAP-MOT-028</x:v>
      </x:c>
      <x:c r="B615" s="66" t="str">
        <x:v>Motion</x:v>
      </x:c>
      <x:c r="C615" s="66" t="str">
        <x:v>运控编排深化</x:v>
      </x:c>
      <x:c r="D615" s="66" t="str">
        <x:v>Pause请求状态</x:v>
      </x:c>
      <x:c r="E615" s="66" t="str">
        <x:v>区分PauseRequested与PausedAtBoundary</x:v>
      </x:c>
      <x:c r="F615" s="66" t="str">
        <x:v>Core</x:v>
      </x:c>
      <x:c r="G615" s="66" t="str">
        <x:v>27_Motion完整开发蓝图 / 28_Motion在线调试</x:v>
      </x:c>
      <x:c r="H615" s="66" t="str">
        <x:v>M4</x:v>
      </x:c>
    </x:row>
    <x:row r="616">
      <x:c r="A616" s="58" t="str">
        <x:v>CAP-MOT-029</x:v>
      </x:c>
      <x:c r="B616" s="58" t="str">
        <x:v>Motion</x:v>
      </x:c>
      <x:c r="C616" s="58" t="str">
        <x:v>运控编排深化</x:v>
      </x:c>
      <x:c r="D616" s="58" t="str">
        <x:v>在线版本比较</x:v>
      </x:c>
      <x:c r="E616" s="58" t="str">
        <x:v>Design与Target Program/Profile/PointTable比较</x:v>
      </x:c>
      <x:c r="F616" s="58" t="str">
        <x:v>Extended</x:v>
      </x:c>
      <x:c r="G616" s="58" t="str">
        <x:v>27_Motion完整开发蓝图 / 28_Motion在线调试</x:v>
      </x:c>
      <x:c r="H616" s="58" t="str">
        <x:v>M4</x:v>
      </x:c>
    </x:row>
    <x:row r="617">
      <x:c r="A617" s="66" t="str">
        <x:v>CAP-MOT-030</x:v>
      </x:c>
      <x:c r="B617" s="66" t="str">
        <x:v>Motion</x:v>
      </x:c>
      <x:c r="C617" s="66" t="str">
        <x:v>运控编排深化</x:v>
      </x:c>
      <x:c r="D617" s="66" t="str">
        <x:v>临时参数覆盖</x:v>
      </x:c>
      <x:c r="E617" s="66" t="str">
        <x:v>速度/目标/Timeout等Session层调试覆盖</x:v>
      </x:c>
      <x:c r="F617" s="66" t="str">
        <x:v>Core</x:v>
      </x:c>
      <x:c r="G617" s="66" t="str">
        <x:v>27_Motion完整开发蓝图 / 28_Motion在线调试</x:v>
      </x:c>
      <x:c r="H617" s="66" t="str">
        <x:v>M4</x:v>
      </x:c>
    </x:row>
    <x:row r="618">
      <x:c r="A618" s="58" t="str">
        <x:v>CAP-MOT-031</x:v>
      </x:c>
      <x:c r="B618" s="58" t="str">
        <x:v>Motion</x:v>
      </x:c>
      <x:c r="C618" s="58" t="str">
        <x:v>运控编排深化</x:v>
      </x:c>
      <x:c r="D618" s="58" t="str">
        <x:v>参数Promote</x:v>
      </x:c>
      <x:c r="E618" s="58" t="str">
        <x:v>Override→ChangeSet→Designer Command正式保存</x:v>
      </x:c>
      <x:c r="F618" s="58" t="str">
        <x:v>Extended</x:v>
      </x:c>
      <x:c r="G618" s="58" t="str">
        <x:v>27_Motion完整开发蓝图 / 28_Motion在线调试</x:v>
      </x:c>
      <x:c r="H618" s="58" t="str">
        <x:v>M4</x:v>
      </x:c>
    </x:row>
    <x:row r="619">
      <x:c r="A619" s="66" t="str">
        <x:v>CAP-MOT-032</x:v>
      </x:c>
      <x:c r="B619" s="66" t="str">
        <x:v>Motion</x:v>
      </x:c>
      <x:c r="C619" s="66" t="str">
        <x:v>运控编排深化</x:v>
      </x:c>
      <x:c r="D619" s="66" t="str">
        <x:v>故障根因快照</x:v>
      </x:c>
      <x:c r="E619" s="66" t="str">
        <x:v>Command/Axis/Interlock/Resource/Device根因链</x:v>
      </x:c>
      <x:c r="F619" s="66" t="str">
        <x:v>Core</x:v>
      </x:c>
      <x:c r="G619" s="66" t="str">
        <x:v>27_Motion完整开发蓝图 / 28_Motion在线调试</x:v>
      </x:c>
      <x:c r="H619" s="66" t="str">
        <x:v>M4</x:v>
      </x:c>
    </x:row>
    <x:row r="620">
      <x:c r="A620" s="58" t="str">
        <x:v>CAP-MOT-033</x:v>
      </x:c>
      <x:c r="B620" s="58" t="str">
        <x:v>Motion</x:v>
      </x:c>
      <x:c r="C620" s="58" t="str">
        <x:v>运控编排深化</x:v>
      </x:c>
      <x:c r="D620" s="58" t="str">
        <x:v>Motion Timeline</x:v>
      </x:c>
      <x:c r="E620" s="58" t="str">
        <x:v>节点/轴/IO/触发/资源等待统一时序</x:v>
      </x:c>
      <x:c r="F620" s="58" t="str">
        <x:v>Extended</x:v>
      </x:c>
      <x:c r="G620" s="58" t="str">
        <x:v>27_Motion完整开发蓝图 / 28_Motion在线调试</x:v>
      </x:c>
      <x:c r="H620" s="58" t="str">
        <x:v>M4</x:v>
      </x:c>
    </x:row>
    <x:row r="621">
      <x:c r="A621" s="66" t="str">
        <x:v>CAP-MOT-034</x:v>
      </x:c>
      <x:c r="B621" s="66" t="str">
        <x:v>Motion</x:v>
      </x:c>
      <x:c r="C621" s="66" t="str">
        <x:v>运控编排深化</x:v>
      </x:c>
      <x:c r="D621" s="66" t="str">
        <x:v>Live Controlled调试</x:v>
      </x:c>
      <x:c r="E621" s="66" t="str">
        <x:v>受控实机Start/Step/RunTo/Cancel</x:v>
      </x:c>
      <x:c r="F621" s="66" t="str">
        <x:v>Core</x:v>
      </x:c>
      <x:c r="G621" s="66" t="str">
        <x:v>27_Motion完整开发蓝图 / 28_Motion在线调试</x:v>
      </x:c>
      <x:c r="H621" s="66" t="str">
        <x:v>M4</x:v>
      </x:c>
    </x:row>
    <x:row r="622">
      <x:c r="A622" s="58" t="str">
        <x:v>CAP-MOT-035</x:v>
      </x:c>
      <x:c r="B622" s="58" t="str">
        <x:v>Motion</x:v>
      </x:c>
      <x:c r="C622" s="58" t="str">
        <x:v>运控编排深化</x:v>
      </x:c>
      <x:c r="D622" s="58" t="str">
        <x:v>Maintenance Teach模式</x:v>
      </x:c>
      <x:c r="E622" s="58" t="str">
        <x:v>Program停止/资源独占下Teach/Jog/设备测试</x:v>
      </x:c>
      <x:c r="F622" s="58" t="str">
        <x:v>Extended</x:v>
      </x:c>
      <x:c r="G622" s="58" t="str">
        <x:v>27_Motion完整开发蓝图 / 28_Motion在线调试</x:v>
      </x:c>
      <x:c r="H622" s="58" t="str">
        <x:v>M4</x:v>
      </x:c>
    </x:row>
    <x:row r="623">
      <x:c r="A623" s="66" t="str">
        <x:v>CAP-VIS-016</x:v>
      </x:c>
      <x:c r="B623" s="66" t="str">
        <x:v>Vision</x:v>
      </x:c>
      <x:c r="C623" s="66" t="str">
        <x:v>视觉编排深化</x:v>
      </x:c>
      <x:c r="D623" s="66" t="str">
        <x:v>ROI编辑器</x:v>
      </x:c>
      <x:c r="E623" s="66" t="str">
        <x:v>矩形/圆/多边形/线/点/相对ROI/坐标系</x:v>
      </x:c>
      <x:c r="F623" s="66" t="str">
        <x:v>Core</x:v>
      </x:c>
      <x:c r="G623" s="66" t="str">
        <x:v>31_Vision完整开发蓝图 / 32_Vision在线调试</x:v>
      </x:c>
      <x:c r="H623" s="66" t="str">
        <x:v>M5</x:v>
      </x:c>
    </x:row>
    <x:row r="624">
      <x:c r="A624" s="58" t="str">
        <x:v>CAP-VIS-017</x:v>
      </x:c>
      <x:c r="B624" s="58" t="str">
        <x:v>Vision</x:v>
      </x:c>
      <x:c r="C624" s="58" t="str">
        <x:v>视觉编排深化</x:v>
      </x:c>
      <x:c r="D624" s="58" t="str">
        <x:v>样本集管理</x:v>
      </x:c>
      <x:c r="E624" s="58" t="str">
        <x:v>样本/产品/点位/标签/缺陷/Golden分类与版本</x:v>
      </x:c>
      <x:c r="F624" s="58" t="str">
        <x:v>Core</x:v>
      </x:c>
      <x:c r="G624" s="58" t="str">
        <x:v>31_Vision完整开发蓝图 / 32_Vision在线调试</x:v>
      </x:c>
      <x:c r="H624" s="58" t="str">
        <x:v>M5</x:v>
      </x:c>
    </x:row>
    <x:row r="625">
      <x:c r="A625" s="66" t="str">
        <x:v>CAP-VIS-018</x:v>
      </x:c>
      <x:c r="B625" s="66" t="str">
        <x:v>Vision</x:v>
      </x:c>
      <x:c r="C625" s="66" t="str">
        <x:v>视觉编排深化</x:v>
      </x:c>
      <x:c r="D625" s="66" t="str">
        <x:v>模型管理</x:v>
      </x:c>
      <x:c r="E625" s="66" t="str">
        <x:v>ONNX/TensorRT模型版本/Hash/Input/ClassMap/预热</x:v>
      </x:c>
      <x:c r="F625" s="66" t="str">
        <x:v>Core</x:v>
      </x:c>
      <x:c r="G625" s="66" t="str">
        <x:v>31_Vision完整开发蓝图 / 32_Vision在线调试</x:v>
      </x:c>
      <x:c r="H625" s="66" t="str">
        <x:v>M5</x:v>
      </x:c>
    </x:row>
    <x:row r="626">
      <x:c r="A626" s="58" t="str">
        <x:v>CAP-VIS-019</x:v>
      </x:c>
      <x:c r="B626" s="58" t="str">
        <x:v>Vision</x:v>
      </x:c>
      <x:c r="C626" s="58" t="str">
        <x:v>视觉编排深化</x:v>
      </x:c>
      <x:c r="D626" s="58" t="str">
        <x:v>标定管理</x:v>
      </x:c>
      <x:c r="E626" s="58" t="str">
        <x:v>Flat/Dark/几何/像素/CAD/坐标标定版本</x:v>
      </x:c>
      <x:c r="F626" s="58" t="str">
        <x:v>Extended</x:v>
      </x:c>
      <x:c r="G626" s="58" t="str">
        <x:v>31_Vision完整开发蓝图 / 32_Vision在线调试</x:v>
      </x:c>
      <x:c r="H626" s="58" t="str">
        <x:v>M5</x:v>
      </x:c>
    </x:row>
    <x:row r="627">
      <x:c r="A627" s="66" t="str">
        <x:v>CAP-VIS-020</x:v>
      </x:c>
      <x:c r="B627" s="66" t="str">
        <x:v>Vision</x:v>
      </x:c>
      <x:c r="C627" s="66" t="str">
        <x:v>视觉编排深化</x:v>
      </x:c>
      <x:c r="D627" s="66" t="str">
        <x:v>批量算法测试</x:v>
      </x:c>
      <x:c r="E627" s="66" t="str">
        <x:v>SampleSet批量运行、质量/耗时统计</x:v>
      </x:c>
      <x:c r="F627" s="66" t="str">
        <x:v>Core</x:v>
      </x:c>
      <x:c r="G627" s="66" t="str">
        <x:v>31_Vision完整开发蓝图 / 32_Vision在线调试</x:v>
      </x:c>
      <x:c r="H627" s="66" t="str">
        <x:v>M5</x:v>
      </x:c>
    </x:row>
    <x:row r="628">
      <x:c r="A628" s="58" t="str">
        <x:v>CAP-VIS-021</x:v>
      </x:c>
      <x:c r="B628" s="58" t="str">
        <x:v>Vision</x:v>
      </x:c>
      <x:c r="C628" s="58" t="str">
        <x:v>视觉编排深化</x:v>
      </x:c>
      <x:c r="D628" s="58" t="str">
        <x:v>Golden回归</x:v>
      </x:c>
      <x:c r="E628" s="58" t="str">
        <x:v>固定样本/期望结果/容差自动回归</x:v>
      </x:c>
      <x:c r="F628" s="58" t="str">
        <x:v>Core</x:v>
      </x:c>
      <x:c r="G628" s="58" t="str">
        <x:v>31_Vision完整开发蓝图 / 32_Vision在线调试</x:v>
      </x:c>
      <x:c r="H628" s="58" t="str">
        <x:v>M5</x:v>
      </x:c>
    </x:row>
    <x:row r="629">
      <x:c r="A629" s="66" t="str">
        <x:v>CAP-VIS-022</x:v>
      </x:c>
      <x:c r="B629" s="66" t="str">
        <x:v>Vision</x:v>
      </x:c>
      <x:c r="C629" s="66" t="str">
        <x:v>视觉编排深化</x:v>
      </x:c>
      <x:c r="D629" s="66" t="str">
        <x:v>Streaming模式</x:v>
      </x:c>
      <x:c r="E629" s="66" t="str">
        <x:v>连续Frame+Backpressure策略运行</x:v>
      </x:c>
      <x:c r="F629" s="66" t="str">
        <x:v>Extended</x:v>
      </x:c>
      <x:c r="G629" s="66" t="str">
        <x:v>31_Vision完整开发蓝图 / 32_Vision在线调试</x:v>
      </x:c>
      <x:c r="H629" s="66" t="str">
        <x:v>M5</x:v>
      </x:c>
    </x:row>
    <x:row r="630">
      <x:c r="A630" s="58" t="str">
        <x:v>CAP-VIS-023</x:v>
      </x:c>
      <x:c r="B630" s="58" t="str">
        <x:v>Vision</x:v>
      </x:c>
      <x:c r="C630" s="58" t="str">
        <x:v>视觉编排深化</x:v>
      </x:c>
      <x:c r="D630" s="58" t="str">
        <x:v>Frame队列策略</x:v>
      </x:c>
      <x:c r="E630" s="58" t="str">
        <x:v>LatestOnly/DropOldest/Block/EveryN/Trigger</x:v>
      </x:c>
      <x:c r="F630" s="58" t="str">
        <x:v>Core</x:v>
      </x:c>
      <x:c r="G630" s="58" t="str">
        <x:v>31_Vision完整开发蓝图 / 32_Vision在线调试</x:v>
      </x:c>
      <x:c r="H630" s="58" t="str">
        <x:v>M5</x:v>
      </x:c>
    </x:row>
    <x:row r="631">
      <x:c r="A631" s="66" t="str">
        <x:v>CAP-VIS-024</x:v>
      </x:c>
      <x:c r="B631" s="66" t="str">
        <x:v>Vision</x:v>
      </x:c>
      <x:c r="C631" s="66" t="str">
        <x:v>视觉编排深化</x:v>
      </x:c>
      <x:c r="D631" s="66" t="str">
        <x:v>Freeze Frame</x:v>
      </x:c>
      <x:c r="E631" s="66" t="str">
        <x:v>冻结Debugger输入引用而非默认停止采集</x:v>
      </x:c>
      <x:c r="F631" s="66" t="str">
        <x:v>Core</x:v>
      </x:c>
      <x:c r="G631" s="66" t="str">
        <x:v>31_Vision完整开发蓝图 / 32_Vision在线调试</x:v>
      </x:c>
      <x:c r="H631" s="66" t="str">
        <x:v>M5</x:v>
      </x:c>
    </x:row>
    <x:row r="632">
      <x:c r="A632" s="58" t="str">
        <x:v>CAP-VIS-025</x:v>
      </x:c>
      <x:c r="B632" s="58" t="str">
        <x:v>Vision</x:v>
      </x:c>
      <x:c r="C632" s="58" t="str">
        <x:v>视觉编排深化</x:v>
      </x:c>
      <x:c r="D632" s="58" t="str">
        <x:v>Run Node</x:v>
      </x:c>
      <x:c r="E632" s="58" t="str">
        <x:v>输入已有时仅执行选定节点</x:v>
      </x:c>
      <x:c r="F632" s="58" t="str">
        <x:v>Core</x:v>
      </x:c>
      <x:c r="G632" s="58" t="str">
        <x:v>31_Vision完整开发蓝图 / 32_Vision在线调试</x:v>
      </x:c>
      <x:c r="H632" s="58" t="str">
        <x:v>M5</x:v>
      </x:c>
    </x:row>
    <x:row r="633">
      <x:c r="A633" s="66" t="str">
        <x:v>CAP-VIS-026</x:v>
      </x:c>
      <x:c r="B633" s="66" t="str">
        <x:v>Vision</x:v>
      </x:c>
      <x:c r="C633" s="66" t="str">
        <x:v>视觉编排深化</x:v>
      </x:c>
      <x:c r="D633" s="66" t="str">
        <x:v>Run From Here</x:v>
      </x:c>
      <x:c r="E633" s="66" t="str">
        <x:v>复用Pin输出执行后继子图</x:v>
      </x:c>
      <x:c r="F633" s="66" t="str">
        <x:v>Extended</x:v>
      </x:c>
      <x:c r="G633" s="66" t="str">
        <x:v>31_Vision完整开发蓝图 / 32_Vision在线调试</x:v>
      </x:c>
      <x:c r="H633" s="66" t="str">
        <x:v>M5</x:v>
      </x:c>
    </x:row>
    <x:row r="634">
      <x:c r="A634" s="58" t="str">
        <x:v>CAP-VIS-027</x:v>
      </x:c>
      <x:c r="B634" s="58" t="str">
        <x:v>Vision</x:v>
      </x:c>
      <x:c r="C634" s="58" t="str">
        <x:v>视觉编排深化</x:v>
      </x:c>
      <x:c r="D634" s="58" t="str">
        <x:v>Bypass Node</x:v>
      </x:c>
      <x:c r="E634" s="58" t="str">
        <x:v>支持节点按契约临时旁路</x:v>
      </x:c>
      <x:c r="F634" s="58" t="str">
        <x:v>Extended</x:v>
      </x:c>
      <x:c r="G634" s="58" t="str">
        <x:v>31_Vision完整开发蓝图 / 32_Vision在线调试</x:v>
      </x:c>
      <x:c r="H634" s="58" t="str">
        <x:v>M5</x:v>
      </x:c>
    </x:row>
    <x:row r="635">
      <x:c r="A635" s="66" t="str">
        <x:v>CAP-VIS-028</x:v>
      </x:c>
      <x:c r="B635" s="66" t="str">
        <x:v>Vision</x:v>
      </x:c>
      <x:c r="C635" s="66" t="str">
        <x:v>视觉编排深化</x:v>
      </x:c>
      <x:c r="D635" s="66" t="str">
        <x:v>中间数据Pin</x:v>
      </x:c>
      <x:c r="E635" s="66" t="str">
        <x:v>按内存上限保留选定节点数据</x:v>
      </x:c>
      <x:c r="F635" s="66" t="str">
        <x:v>Core</x:v>
      </x:c>
      <x:c r="G635" s="66" t="str">
        <x:v>31_Vision完整开发蓝图 / 32_Vision在线调试</x:v>
      </x:c>
      <x:c r="H635" s="66" t="str">
        <x:v>M5</x:v>
      </x:c>
    </x:row>
    <x:row r="636">
      <x:c r="A636" s="58" t="str">
        <x:v>CAP-VIS-029</x:v>
      </x:c>
      <x:c r="B636" s="58" t="str">
        <x:v>Vision</x:v>
      </x:c>
      <x:c r="C636" s="58" t="str">
        <x:v>视觉编排深化</x:v>
      </x:c>
      <x:c r="D636" s="58" t="str">
        <x:v>参数在线调优</x:v>
      </x:c>
      <x:c r="E636" s="58" t="str">
        <x:v>Session Override + ReRun + Compare</x:v>
      </x:c>
      <x:c r="F636" s="58" t="str">
        <x:v>Core</x:v>
      </x:c>
      <x:c r="G636" s="58" t="str">
        <x:v>31_Vision完整开发蓝图 / 32_Vision在线调试</x:v>
      </x:c>
      <x:c r="H636" s="58" t="str">
        <x:v>M5</x:v>
      </x:c>
    </x:row>
    <x:row r="637">
      <x:c r="A637" s="66" t="str">
        <x:v>CAP-VIS-030</x:v>
      </x:c>
      <x:c r="B637" s="66" t="str">
        <x:v>Vision</x:v>
      </x:c>
      <x:c r="C637" s="66" t="str">
        <x:v>视觉编排深化</x:v>
      </x:c>
      <x:c r="D637" s="66" t="str">
        <x:v>A/B运行比较</x:v>
      </x:c>
      <x:c r="E637" s="66" t="str">
        <x:v>结果/缺陷/测量/耗时/版本Diff</x:v>
      </x:c>
      <x:c r="F637" s="66" t="str">
        <x:v>Extended</x:v>
      </x:c>
      <x:c r="G637" s="66" t="str">
        <x:v>31_Vision完整开发蓝图 / 32_Vision在线调试</x:v>
      </x:c>
      <x:c r="H637" s="66" t="str">
        <x:v>M5</x:v>
      </x:c>
    </x:row>
    <x:row r="638">
      <x:c r="A638" s="58" t="str">
        <x:v>CAP-VIS-031</x:v>
      </x:c>
      <x:c r="B638" s="58" t="str">
        <x:v>Vision</x:v>
      </x:c>
      <x:c r="C638" s="58" t="str">
        <x:v>视觉编排深化</x:v>
      </x:c>
      <x:c r="D638" s="58" t="str">
        <x:v>GPU监控</x:v>
      </x:c>
      <x:c r="E638" s="58" t="str">
        <x:v>VRAM/模型缓存/队列/节点GPU时间</x:v>
      </x:c>
      <x:c r="F638" s="58" t="str">
        <x:v>Extended</x:v>
      </x:c>
      <x:c r="G638" s="58" t="str">
        <x:v>31_Vision完整开发蓝图 / 32_Vision在线调试</x:v>
      </x:c>
      <x:c r="H638" s="58" t="str">
        <x:v>M5</x:v>
      </x:c>
    </x:row>
    <x:row r="639">
      <x:c r="A639" s="66" t="str">
        <x:v>CAP-VIS-032</x:v>
      </x:c>
      <x:c r="B639" s="66" t="str">
        <x:v>Vision</x:v>
      </x:c>
      <x:c r="C639" s="66" t="str">
        <x:v>视觉编排深化</x:v>
      </x:c>
      <x:c r="D639" s="66" t="str">
        <x:v>Buffer监控</x:v>
      </x:c>
      <x:c r="E639" s="66" t="str">
        <x:v>Pool/Handle/SharedMemory/Pin/Leak统计</x:v>
      </x:c>
      <x:c r="F639" s="66" t="str">
        <x:v>Core</x:v>
      </x:c>
      <x:c r="G639" s="66" t="str">
        <x:v>31_Vision完整开发蓝图 / 32_Vision在线调试</x:v>
      </x:c>
      <x:c r="H639" s="66" t="str">
        <x:v>M5</x:v>
      </x:c>
    </x:row>
    <x:row r="640">
      <x:c r="A640" s="58" t="str">
        <x:v>CAP-VIS-033</x:v>
      </x:c>
      <x:c r="B640" s="58" t="str">
        <x:v>Vision</x:v>
      </x:c>
      <x:c r="C640" s="58" t="str">
        <x:v>视觉编排深化</x:v>
      </x:c>
      <x:c r="D640" s="58" t="str">
        <x:v>Worker崩溃恢复</x:v>
      </x:c>
      <x:c r="E640" s="58" t="str">
        <x:v>隔离Worker重启、模型重载、受影响Run失败/重试</x:v>
      </x:c>
      <x:c r="F640" s="58" t="str">
        <x:v>Core</x:v>
      </x:c>
      <x:c r="G640" s="58" t="str">
        <x:v>31_Vision完整开发蓝图 / 32_Vision在线调试</x:v>
      </x:c>
      <x:c r="H640" s="58" t="str">
        <x:v>M5</x:v>
      </x:c>
    </x:row>
    <x:row r="641">
      <x:c r="A641" s="66" t="str">
        <x:v>CAP-VIS-034</x:v>
      </x:c>
      <x:c r="B641" s="66" t="str">
        <x:v>Vision</x:v>
      </x:c>
      <x:c r="C641" s="66" t="str">
        <x:v>视觉编排深化</x:v>
      </x:c>
      <x:c r="D641" s="66" t="str">
        <x:v>Artifact按需拉取</x:v>
      </x:c>
      <x:c r="E641" s="66" t="str">
        <x:v>Image/Volume通过独立Data Channel按需查看</x:v>
      </x:c>
      <x:c r="F641" s="66" t="str">
        <x:v>Core</x:v>
      </x:c>
      <x:c r="G641" s="66" t="str">
        <x:v>31_Vision完整开发蓝图 / 32_Vision在线调试</x:v>
      </x:c>
      <x:c r="H641" s="66" t="str">
        <x:v>M5</x:v>
      </x:c>
    </x:row>
    <x:row r="642">
      <x:c r="A642" s="58" t="str">
        <x:v>CAP-VIS-035</x:v>
      </x:c>
      <x:c r="B642" s="58" t="str">
        <x:v>Vision</x:v>
      </x:c>
      <x:c r="C642" s="58" t="str">
        <x:v>视觉编排深化</x:v>
      </x:c>
      <x:c r="D642" s="58" t="str">
        <x:v>Live生产只读观察</x:v>
      </x:c>
      <x:c r="E642" s="58" t="str">
        <x:v>生产Pipeline只观察，不调Active Release</x:v>
      </x:c>
      <x:c r="F642" s="58" t="str">
        <x:v>Core</x:v>
      </x:c>
      <x:c r="G642" s="58" t="str">
        <x:v>31_Vision完整开发蓝图 / 32_Vision在线调试</x:v>
      </x:c>
      <x:c r="H642" s="58" t="str">
        <x:v>M5</x:v>
      </x:c>
    </x:row>
    <x:row r="643">
      <x:c r="A643" s="66" t="str">
        <x:v>CAP-INS-017</x:v>
      </x:c>
      <x:c r="B643" s="66" t="str">
        <x:v>Inspection</x:v>
      </x:c>
      <x:c r="C643" s="66" t="str">
        <x:v>检测流程深化</x:v>
      </x:c>
      <x:c r="D643" s="66" t="str">
        <x:v>产品Context Schema</x:v>
      </x:c>
      <x:c r="E643" s="66" t="str">
        <x:v>Product/Barcode/Model/Batch/Order/Recipe等版本化字段</x:v>
      </x:c>
      <x:c r="F643" s="66" t="str">
        <x:v>Core</x:v>
      </x:c>
      <x:c r="G643" s="66" t="str">
        <x:v>35_Inspection完整开发蓝图 / 36_Inspection在线调试</x:v>
      </x:c>
      <x:c r="H643" s="66" t="str">
        <x:v>M6</x:v>
      </x:c>
    </x:row>
    <x:row r="644">
      <x:c r="A644" s="58" t="str">
        <x:v>CAP-INS-018</x:v>
      </x:c>
      <x:c r="B644" s="58" t="str">
        <x:v>Inspection</x:v>
      </x:c>
      <x:c r="C644" s="58" t="str">
        <x:v>检测流程深化</x:v>
      </x:c>
      <x:c r="D644" s="58" t="str">
        <x:v>Result Schema</x:v>
      </x:c>
      <x:c r="E644" s="58" t="str">
        <x:v>Point/Measurement/Defect/Judgement/Artifact/Review统一结果契约</x:v>
      </x:c>
      <x:c r="F644" s="58" t="str">
        <x:v>Core</x:v>
      </x:c>
      <x:c r="G644" s="58" t="str">
        <x:v>35_Inspection完整开发蓝图 / 36_Inspection在线调试</x:v>
      </x:c>
      <x:c r="H644" s="58" t="str">
        <x:v>M6</x:v>
      </x:c>
    </x:row>
    <x:row r="645">
      <x:c r="A645" s="66" t="str">
        <x:v>CAP-INS-019</x:v>
      </x:c>
      <x:c r="B645" s="66" t="str">
        <x:v>Inspection</x:v>
      </x:c>
      <x:c r="C645" s="66" t="str">
        <x:v>检测流程深化</x:v>
      </x:c>
      <x:c r="D645" s="66" t="str">
        <x:v>工位定义</x:v>
      </x:c>
      <x:c r="E645" s="66" t="str">
        <x:v>Capacity/Resource/Queue/Priority/设备映射</x:v>
      </x:c>
      <x:c r="F645" s="66" t="str">
        <x:v>Core</x:v>
      </x:c>
      <x:c r="G645" s="66" t="str">
        <x:v>35_Inspection完整开发蓝图 / 36_Inspection在线调试</x:v>
      </x:c>
      <x:c r="H645" s="66" t="str">
        <x:v>M6</x:v>
      </x:c>
    </x:row>
    <x:row r="646">
      <x:c r="A646" s="58" t="str">
        <x:v>CAP-INS-020</x:v>
      </x:c>
      <x:c r="B646" s="58" t="str">
        <x:v>Inspection</x:v>
      </x:c>
      <x:c r="C646" s="58" t="str">
        <x:v>检测流程深化</x:v>
      </x:c>
      <x:c r="D646" s="58" t="str">
        <x:v>多Task调度</x:v>
      </x:c>
      <x:c r="E646" s="58" t="str">
        <x:v>多产品并发/工位/资源/优先级调度</x:v>
      </x:c>
      <x:c r="F646" s="58" t="str">
        <x:v>Core</x:v>
      </x:c>
      <x:c r="G646" s="58" t="str">
        <x:v>35_Inspection完整开发蓝图 / 36_Inspection在线调试</x:v>
      </x:c>
      <x:c r="H646" s="58" t="str">
        <x:v>M6</x:v>
      </x:c>
    </x:row>
    <x:row r="647">
      <x:c r="A647" s="66" t="str">
        <x:v>CAP-INS-021</x:v>
      </x:c>
      <x:c r="B647" s="66" t="str">
        <x:v>Inspection</x:v>
      </x:c>
      <x:c r="C647" s="66" t="str">
        <x:v>检测流程深化</x:v>
      </x:c>
      <x:c r="D647" s="66" t="str">
        <x:v>并行Context合并</x:v>
      </x:c>
      <x:c r="E647" s="66" t="str">
        <x:v>Fork/Join作用域与MergePolicy</x:v>
      </x:c>
      <x:c r="F647" s="66" t="str">
        <x:v>Core</x:v>
      </x:c>
      <x:c r="G647" s="66" t="str">
        <x:v>35_Inspection完整开发蓝图 / 36_Inspection在线调试</x:v>
      </x:c>
      <x:c r="H647" s="66" t="str">
        <x:v>M6</x:v>
      </x:c>
    </x:row>
    <x:row r="648">
      <x:c r="A648" s="58" t="str">
        <x:v>CAP-INS-022</x:v>
      </x:c>
      <x:c r="B648" s="58" t="str">
        <x:v>Inspection</x:v>
      </x:c>
      <x:c r="C648" s="58" t="str">
        <x:v>检测流程深化</x:v>
      </x:c>
      <x:c r="D648" s="58" t="str">
        <x:v>错误策略编辑</x:v>
      </x:c>
      <x:c r="E648" s="58" t="str">
        <x:v>错误分类→Retry/Skip/Abort/Review/Compensate/SubFlow</x:v>
      </x:c>
      <x:c r="F648" s="58" t="str">
        <x:v>Core</x:v>
      </x:c>
      <x:c r="G648" s="58" t="str">
        <x:v>35_Inspection完整开发蓝图 / 36_Inspection在线调试</x:v>
      </x:c>
      <x:c r="H648" s="58" t="str">
        <x:v>M6</x:v>
      </x:c>
    </x:row>
    <x:row r="649">
      <x:c r="A649" s="66" t="str">
        <x:v>CAP-INS-023</x:v>
      </x:c>
      <x:c r="B649" s="66" t="str">
        <x:v>Inspection</x:v>
      </x:c>
      <x:c r="C649" s="66" t="str">
        <x:v>检测流程深化</x:v>
      </x:c>
      <x:c r="D649" s="66" t="str">
        <x:v>复测策略编辑</x:v>
      </x:c>
      <x:c r="E649" s="66" t="str">
        <x:v>按缺陷/点位/次数/条件选择复测流程</x:v>
      </x:c>
      <x:c r="F649" s="66" t="str">
        <x:v>Core</x:v>
      </x:c>
      <x:c r="G649" s="66" t="str">
        <x:v>35_Inspection完整开发蓝图 / 36_Inspection在线调试</x:v>
      </x:c>
      <x:c r="H649" s="66" t="str">
        <x:v>M6</x:v>
      </x:c>
    </x:row>
    <x:row r="650">
      <x:c r="A650" s="58" t="str">
        <x:v>CAP-INS-024</x:v>
      </x:c>
      <x:c r="B650" s="58" t="str">
        <x:v>Inspection</x:v>
      </x:c>
      <x:c r="C650" s="58" t="str">
        <x:v>检测流程深化</x:v>
      </x:c>
      <x:c r="D650" s="58" t="str">
        <x:v>MES映射</x:v>
      </x:c>
      <x:c r="E650" s="58" t="str">
        <x:v>Product/Result/Defect/Artifact字段与MES映射</x:v>
      </x:c>
      <x:c r="F650" s="58" t="str">
        <x:v>Core</x:v>
      </x:c>
      <x:c r="G650" s="58" t="str">
        <x:v>35_Inspection完整开发蓝图 / 36_Inspection在线调试</x:v>
      </x:c>
      <x:c r="H650" s="58" t="str">
        <x:v>M6</x:v>
      </x:c>
    </x:row>
    <x:row r="651">
      <x:c r="A651" s="66" t="str">
        <x:v>CAP-INS-025</x:v>
      </x:c>
      <x:c r="B651" s="66" t="str">
        <x:v>Inspection</x:v>
      </x:c>
      <x:c r="C651" s="66" t="str">
        <x:v>检测流程深化</x:v>
      </x:c>
      <x:c r="D651" s="66" t="str">
        <x:v>外部操作幂等</x:v>
      </x:c>
      <x:c r="E651" s="66" t="str">
        <x:v>MES/文件/外部操作IdempotencyKey与对账</x:v>
      </x:c>
      <x:c r="F651" s="66" t="str">
        <x:v>Core</x:v>
      </x:c>
      <x:c r="G651" s="66" t="str">
        <x:v>35_Inspection完整开发蓝图 / 36_Inspection在线调试</x:v>
      </x:c>
      <x:c r="H651" s="66" t="str">
        <x:v>M6</x:v>
      </x:c>
    </x:row>
    <x:row r="652">
      <x:c r="A652" s="58" t="str">
        <x:v>CAP-INS-026</x:v>
      </x:c>
      <x:c r="B652" s="58" t="str">
        <x:v>Inspection</x:v>
      </x:c>
      <x:c r="C652" s="58" t="str">
        <x:v>检测流程深化</x:v>
      </x:c>
      <x:c r="D652" s="58" t="str">
        <x:v>Task Event</x:v>
      </x:c>
      <x:c r="E652" s="58" t="str">
        <x:v>append-only关键执行/人工/外部事件日志</x:v>
      </x:c>
      <x:c r="F652" s="58" t="str">
        <x:v>Core</x:v>
      </x:c>
      <x:c r="G652" s="58" t="str">
        <x:v>35_Inspection完整开发蓝图 / 36_Inspection在线调试</x:v>
      </x:c>
      <x:c r="H652" s="58" t="str">
        <x:v>M6</x:v>
      </x:c>
    </x:row>
    <x:row r="653">
      <x:c r="A653" s="66" t="str">
        <x:v>CAP-INS-027</x:v>
      </x:c>
      <x:c r="B653" s="66" t="str">
        <x:v>Inspection</x:v>
      </x:c>
      <x:c r="C653" s="66" t="str">
        <x:v>检测流程深化</x:v>
      </x:c>
      <x:c r="D653" s="66" t="str">
        <x:v>Checkpoint策略</x:v>
      </x:c>
      <x:c r="E653" s="66" t="str">
        <x:v>恢复点/频率/Context快照/依赖版本/副作用记录</x:v>
      </x:c>
      <x:c r="F653" s="66" t="str">
        <x:v>Core</x:v>
      </x:c>
      <x:c r="G653" s="66" t="str">
        <x:v>35_Inspection完整开发蓝图 / 36_Inspection在线调试</x:v>
      </x:c>
      <x:c r="H653" s="66" t="str">
        <x:v>M6</x:v>
      </x:c>
    </x:row>
    <x:row r="654">
      <x:c r="A654" s="58" t="str">
        <x:v>CAP-INS-028</x:v>
      </x:c>
      <x:c r="B654" s="58" t="str">
        <x:v>Inspection</x:v>
      </x:c>
      <x:c r="C654" s="58" t="str">
        <x:v>检测流程深化</x:v>
      </x:c>
      <x:c r="D654" s="58" t="str">
        <x:v>Scenario Runner</x:v>
      </x:c>
      <x:c r="E654" s="58" t="str">
        <x:v>正常/NG/超时/断网/崩溃/人工超时场景</x:v>
      </x:c>
      <x:c r="F654" s="58" t="str">
        <x:v>Core</x:v>
      </x:c>
      <x:c r="G654" s="58" t="str">
        <x:v>35_Inspection完整开发蓝图 / 36_Inspection在线调试</x:v>
      </x:c>
      <x:c r="H654" s="58" t="str">
        <x:v>M6</x:v>
      </x:c>
    </x:row>
    <x:row r="655">
      <x:c r="A655" s="66" t="str">
        <x:v>CAP-INS-029</x:v>
      </x:c>
      <x:c r="B655" s="66" t="str">
        <x:v>Inspection</x:v>
      </x:c>
      <x:c r="C655" s="66" t="str">
        <x:v>检测流程深化</x:v>
      </x:c>
      <x:c r="D655" s="66" t="str">
        <x:v>在线Task列表</x:v>
      </x:c>
      <x:c r="E655" s="66" t="str">
        <x:v>在制Task/FlowVersion/Node/Station/CycleTime/状态</x:v>
      </x:c>
      <x:c r="F655" s="66" t="str">
        <x:v>Core</x:v>
      </x:c>
      <x:c r="G655" s="66" t="str">
        <x:v>35_Inspection完整开发蓝图 / 36_Inspection在线调试</x:v>
      </x:c>
      <x:c r="H655" s="66" t="str">
        <x:v>M6</x:v>
      </x:c>
    </x:row>
    <x:row r="656">
      <x:c r="A656" s="58" t="str">
        <x:v>CAP-INS-030</x:v>
      </x:c>
      <x:c r="B656" s="58" t="str">
        <x:v>Inspection</x:v>
      </x:c>
      <x:c r="C656" s="58" t="str">
        <x:v>检测流程深化</x:v>
      </x:c>
      <x:c r="D656" s="58" t="str">
        <x:v>Context在线查看</x:v>
      </x:c>
      <x:c r="E656" s="58" t="str">
        <x:v>Product/Point/Result/Recipe/Resolved versions在线查看</x:v>
      </x:c>
      <x:c r="F656" s="58" t="str">
        <x:v>Core</x:v>
      </x:c>
      <x:c r="G656" s="58" t="str">
        <x:v>35_Inspection完整开发蓝图 / 36_Inspection在线调试</x:v>
      </x:c>
      <x:c r="H656" s="58" t="str">
        <x:v>M6</x:v>
      </x:c>
    </x:row>
    <x:row r="657">
      <x:c r="A657" s="66" t="str">
        <x:v>CAP-INS-031</x:v>
      </x:c>
      <x:c r="B657" s="66" t="str">
        <x:v>Inspection</x:v>
      </x:c>
      <x:c r="C657" s="66" t="str">
        <x:v>检测流程深化</x:v>
      </x:c>
      <x:c r="D657" s="66" t="str">
        <x:v>跨域Step Into</x:v>
      </x:c>
      <x:c r="E657" s="66" t="str">
        <x:v>从RunMotion/RunVision进入子域调试并保持Correlation</x:v>
      </x:c>
      <x:c r="F657" s="66" t="str">
        <x:v>Core</x:v>
      </x:c>
      <x:c r="G657" s="66" t="str">
        <x:v>35_Inspection完整开发蓝图 / 36_Inspection在线调试</x:v>
      </x:c>
      <x:c r="H657" s="66" t="str">
        <x:v>M6</x:v>
      </x:c>
    </x:row>
    <x:row r="658">
      <x:c r="A658" s="58" t="str">
        <x:v>CAP-INS-032</x:v>
      </x:c>
      <x:c r="B658" s="58" t="str">
        <x:v>Inspection</x:v>
      </x:c>
      <x:c r="C658" s="58" t="str">
        <x:v>检测流程深化</x:v>
      </x:c>
      <x:c r="D658" s="58" t="str">
        <x:v>生产只读观察</x:v>
      </x:c>
      <x:c r="E658" s="58" t="str">
        <x:v>生产Task默认Attach只读</x:v>
      </x:c>
      <x:c r="F658" s="58" t="str">
        <x:v>Core</x:v>
      </x:c>
      <x:c r="G658" s="58" t="str">
        <x:v>35_Inspection完整开发蓝图 / 36_Inspection在线调试</x:v>
      </x:c>
      <x:c r="H658" s="58" t="str">
        <x:v>M6</x:v>
      </x:c>
    </x:row>
    <x:row r="659">
      <x:c r="A659" s="66" t="str">
        <x:v>CAP-INS-033</x:v>
      </x:c>
      <x:c r="B659" s="66" t="str">
        <x:v>Inspection</x:v>
      </x:c>
      <x:c r="C659" s="66" t="str">
        <x:v>检测流程深化</x:v>
      </x:c>
      <x:c r="D659" s="66" t="str">
        <x:v>测试产品调试</x:v>
      </x:c>
      <x:c r="E659" s="66" t="str">
        <x:v>TEST标记下受控Step/Retry/Context白名单调试</x:v>
      </x:c>
      <x:c r="F659" s="66" t="str">
        <x:v>Extended</x:v>
      </x:c>
      <x:c r="G659" s="66" t="str">
        <x:v>35_Inspection完整开发蓝图 / 36_Inspection在线调试</x:v>
      </x:c>
      <x:c r="H659" s="66" t="str">
        <x:v>M6</x:v>
      </x:c>
    </x:row>
    <x:row r="660">
      <x:c r="A660" s="58" t="str">
        <x:v>CAP-INS-034</x:v>
      </x:c>
      <x:c r="B660" s="58" t="str">
        <x:v>Inspection</x:v>
      </x:c>
      <x:c r="C660" s="58" t="str">
        <x:v>检测流程深化</x:v>
      </x:c>
      <x:c r="D660" s="58" t="str">
        <x:v>Recovery Drill</x:v>
      </x:c>
      <x:c r="E660" s="58" t="str">
        <x:v>加载Checkpoint/对账外部操作/恢复演练</x:v>
      </x:c>
      <x:c r="F660" s="58" t="str">
        <x:v>Core</x:v>
      </x:c>
      <x:c r="G660" s="58" t="str">
        <x:v>35_Inspection完整开发蓝图 / 36_Inspection在线调试</x:v>
      </x:c>
      <x:c r="H660" s="58" t="str">
        <x:v>M6</x:v>
      </x:c>
    </x:row>
    <x:row r="661">
      <x:c r="A661" s="66" t="str">
        <x:v>CAP-INS-035</x:v>
      </x:c>
      <x:c r="B661" s="66" t="str">
        <x:v>Inspection</x:v>
      </x:c>
      <x:c r="C661" s="66" t="str">
        <x:v>检测流程深化</x:v>
      </x:c>
      <x:c r="D661" s="66" t="str">
        <x:v>Active Task版本固定</x:v>
      </x:c>
      <x:c r="E661" s="66" t="str">
        <x:v>新发布不影响在制Task</x:v>
      </x:c>
      <x:c r="F661" s="66" t="str">
        <x:v>Core</x:v>
      </x:c>
      <x:c r="G661" s="66" t="str">
        <x:v>35_Inspection完整开发蓝图 / 36_Inspection在线调试</x:v>
      </x:c>
      <x:c r="H661" s="66" t="str">
        <x:v>M6</x:v>
      </x:c>
    </x:row>
    <x:row r="662">
      <x:c r="A662" s="58" t="str">
        <x:v>CAP-INS-036</x:v>
      </x:c>
      <x:c r="B662" s="58" t="str">
        <x:v>Inspection</x:v>
      </x:c>
      <x:c r="C662" s="58" t="str">
        <x:v>检测流程深化</x:v>
      </x:c>
      <x:c r="D662" s="58" t="str">
        <x:v>多版本共存</x:v>
      </x:c>
      <x:c r="E662" s="58" t="str">
        <x:v>Runtime保留在制Task引用的旧Plan直到结束</x:v>
      </x:c>
      <x:c r="F662" s="58" t="str">
        <x:v>Core</x:v>
      </x:c>
      <x:c r="G662" s="58" t="str">
        <x:v>35_Inspection完整开发蓝图 / 36_Inspection在线调试</x:v>
      </x:c>
      <x:c r="H662" s="58" t="str">
        <x:v>M6</x:v>
      </x:c>
    </x:row>
    <x:row r="663">
      <x:c r="A663" s="66" t="str">
        <x:v>CAP-INS-037</x:v>
      </x:c>
      <x:c r="B663" s="66" t="str">
        <x:v>Inspection</x:v>
      </x:c>
      <x:c r="C663" s="66" t="str">
        <x:v>检测流程深化</x:v>
      </x:c>
      <x:c r="D663" s="66" t="str">
        <x:v>跨域统一Timeline</x:v>
      </x:c>
      <x:c r="E663" s="66" t="str">
        <x:v>Motion/Vision/MES/Resource/Review统一时间线</x:v>
      </x:c>
      <x:c r="F663" s="66" t="str">
        <x:v>Extended</x:v>
      </x:c>
      <x:c r="G663" s="66" t="str">
        <x:v>35_Inspection完整开发蓝图 / 36_Inspection在线调试</x:v>
      </x:c>
      <x:c r="H663" s="66" t="str">
        <x:v>M6</x:v>
      </x:c>
    </x:row>
    <x:row r="664">
      <x:c r="A664" s="58" t="str">
        <x:v>CAP-INS-038</x:v>
      </x:c>
      <x:c r="B664" s="58" t="str">
        <x:v>Inspection</x:v>
      </x:c>
      <x:c r="C664" s="58" t="str">
        <x:v>检测流程深化</x:v>
      </x:c>
      <x:c r="D664" s="58" t="str">
        <x:v>生产调试安全策略</x:v>
      </x:c>
      <x:c r="E664" s="58" t="str">
        <x:v>Skip/Retry/Context edit/Review/Recovery权限矩阵</x:v>
      </x:c>
      <x:c r="F664" s="58" t="str">
        <x:v>Core</x:v>
      </x:c>
      <x:c r="G664" s="58" t="str">
        <x:v>35_Inspection完整开发蓝图 / 36_Inspection在线调试</x:v>
      </x:c>
      <x:c r="H664" s="58" t="str">
        <x:v>M6</x:v>
      </x:c>
    </x:row>
    <x:row r="665">
      <x:c r="A665" s="66" t="str">
        <x:v>CAP-CT-001</x:v>
      </x:c>
      <x:c r="B665" s="66" t="str">
        <x:v>CT/3D</x:v>
      </x:c>
      <x:c r="C665" s="66" t="str">
        <x:v>CT3D视觉编排</x:v>
      </x:c>
      <x:c r="D665" s="66" t="str">
        <x:v>Projection Series定义</x:v>
      </x:c>
      <x:c r="E665" s="66" t="str">
        <x:v>投影帧/角度/曝光/探测器/质量/Series完整性</x:v>
      </x:c>
      <x:c r="F665" s="66" t="str">
        <x:v>Core</x:v>
      </x:c>
      <x:c r="G665" s="66" t="str">
        <x:v>33_CT3D完整开发蓝图 / 34_CT3D在线调试</x:v>
      </x:c>
      <x:c r="H665" s="66" t="str">
        <x:v>M5+</x:v>
      </x:c>
    </x:row>
    <x:row r="666">
      <x:c r="A666" s="58" t="str">
        <x:v>CAP-CT-002</x:v>
      </x:c>
      <x:c r="B666" s="58" t="str">
        <x:v>CT/3D</x:v>
      </x:c>
      <x:c r="C666" s="58" t="str">
        <x:v>CT3D视觉编排</x:v>
      </x:c>
      <x:c r="D666" s="58" t="str">
        <x:v>CT几何编辑器</x:v>
      </x:c>
      <x:c r="E666" s="58" t="str">
        <x:v>SOD/SDD/FOD/FDD/Detector spacing/offset/axis/trajectory</x:v>
      </x:c>
      <x:c r="F666" s="58" t="str">
        <x:v>Core</x:v>
      </x:c>
      <x:c r="G666" s="58" t="str">
        <x:v>33_CT3D完整开发蓝图 / 34_CT3D在线调试</x:v>
      </x:c>
      <x:c r="H666" s="58" t="str">
        <x:v>M5+</x:v>
      </x:c>
    </x:row>
    <x:row r="667">
      <x:c r="A667" s="66" t="str">
        <x:v>CAP-CT-003</x:v>
      </x:c>
      <x:c r="B667" s="66" t="str">
        <x:v>CT/3D</x:v>
      </x:c>
      <x:c r="C667" s="66" t="str">
        <x:v>CT3D视觉编排</x:v>
      </x:c>
      <x:c r="D667" s="66" t="str">
        <x:v>投影预处理</x:v>
      </x:c>
      <x:c r="E667" s="66" t="str">
        <x:v>Dark/Flat/BadPixel/Log/BeamHardening/Ring等节点</x:v>
      </x:c>
      <x:c r="F667" s="66" t="str">
        <x:v>Core</x:v>
      </x:c>
      <x:c r="G667" s="66" t="str">
        <x:v>33_CT3D完整开发蓝图 / 34_CT3D在线调试</x:v>
      </x:c>
      <x:c r="H667" s="66" t="str">
        <x:v>M5+</x:v>
      </x:c>
    </x:row>
    <x:row r="668">
      <x:c r="A668" s="58" t="str">
        <x:v>CAP-CT-004</x:v>
      </x:c>
      <x:c r="B668" s="58" t="str">
        <x:v>CT/3D</x:v>
      </x:c>
      <x:c r="C668" s="58" t="str">
        <x:v>CT3D视觉编排</x:v>
      </x:c>
      <x:c r="D668" s="58" t="str">
        <x:v>FBP/FDK重建</x:v>
      </x:c>
      <x:c r="E668" s="58" t="str">
        <x:v>标准重建算法节点与Worker执行</x:v>
      </x:c>
      <x:c r="F668" s="58" t="str">
        <x:v>Core</x:v>
      </x:c>
      <x:c r="G668" s="58" t="str">
        <x:v>33_CT3D完整开发蓝图 / 34_CT3D在线调试</x:v>
      </x:c>
      <x:c r="H668" s="58" t="str">
        <x:v>M5+</x:v>
      </x:c>
    </x:row>
    <x:row r="669">
      <x:c r="A669" s="66" t="str">
        <x:v>CAP-CT-005</x:v>
      </x:c>
      <x:c r="B669" s="66" t="str">
        <x:v>CT/3D</x:v>
      </x:c>
      <x:c r="C669" s="66" t="str">
        <x:v>CT3D视觉编排</x:v>
      </x:c>
      <x:c r="D669" s="66" t="str">
        <x:v>ART/SART/迭代重建</x:v>
      </x:c>
      <x:c r="E669" s="66" t="str">
        <x:v>迭代重建插件/参数/取消/进度</x:v>
      </x:c>
      <x:c r="F669" s="66" t="str">
        <x:v>Extended</x:v>
      </x:c>
      <x:c r="G669" s="66" t="str">
        <x:v>33_CT3D完整开发蓝图 / 34_CT3D在线调试</x:v>
      </x:c>
      <x:c r="H669" s="66" t="str">
        <x:v>M5+</x:v>
      </x:c>
    </x:row>
    <x:row r="670">
      <x:c r="A670" s="58" t="str">
        <x:v>CAP-CT-006</x:v>
      </x:c>
      <x:c r="B670" s="58" t="str">
        <x:v>CT/3D</x:v>
      </x:c>
      <x:c r="C670" s="58" t="str">
        <x:v>CT3D视觉编排</x:v>
      </x:c>
      <x:c r="D670" s="58" t="str">
        <x:v>重建Job</x:v>
      </x:c>
      <x:c r="E670" s="58" t="str">
        <x:v>GPU/Worker/内存/临时盘/进度/取消/Attempt</x:v>
      </x:c>
      <x:c r="F670" s="58" t="str">
        <x:v>Core</x:v>
      </x:c>
      <x:c r="G670" s="58" t="str">
        <x:v>33_CT3D完整开发蓝图 / 34_CT3D在线调试</x:v>
      </x:c>
      <x:c r="H670" s="58" t="str">
        <x:v>M5+</x:v>
      </x:c>
    </x:row>
    <x:row r="671">
      <x:c r="A671" s="66" t="str">
        <x:v>CAP-CT-007</x:v>
      </x:c>
      <x:c r="B671" s="66" t="str">
        <x:v>CT/3D</x:v>
      </x:c>
      <x:c r="C671" s="66" t="str">
        <x:v>CT3D视觉编排</x:v>
      </x:c>
      <x:c r="D671" s="66" t="str">
        <x:v>Volume3D数据契约</x:v>
      </x:c>
      <x:c r="E671" s="66" t="str">
        <x:v>Dims/Spacing/Origin/Direction/VoxelType/Calibration</x:v>
      </x:c>
      <x:c r="F671" s="66" t="str">
        <x:v>Core</x:v>
      </x:c>
      <x:c r="G671" s="66" t="str">
        <x:v>33_CT3D完整开发蓝图 / 34_CT3D在线调试</x:v>
      </x:c>
      <x:c r="H671" s="66" t="str">
        <x:v>M5+</x:v>
      </x:c>
    </x:row>
    <x:row r="672">
      <x:c r="A672" s="58" t="str">
        <x:v>CAP-CT-008</x:v>
      </x:c>
      <x:c r="B672" s="58" t="str">
        <x:v>CT/3D</x:v>
      </x:c>
      <x:c r="C672" s="58" t="str">
        <x:v>CT3D视觉编排</x:v>
      </x:c>
      <x:c r="D672" s="58" t="str">
        <x:v>Volume大数据句柄</x:v>
      </x:c>
      <x:c r="E672" s="58" t="str">
        <x:v>MemoryMap/SharedMemory/Chunk/Cache/Lifetime</x:v>
      </x:c>
      <x:c r="F672" s="58" t="str">
        <x:v>Core</x:v>
      </x:c>
      <x:c r="G672" s="58" t="str">
        <x:v>33_CT3D完整开发蓝图 / 34_CT3D在线调试</x:v>
      </x:c>
      <x:c r="H672" s="58" t="str">
        <x:v>M5+</x:v>
      </x:c>
    </x:row>
    <x:row r="673">
      <x:c r="A673" s="66" t="str">
        <x:v>CAP-CT-009</x:v>
      </x:c>
      <x:c r="B673" s="66" t="str">
        <x:v>CT/3D</x:v>
      </x:c>
      <x:c r="C673" s="66" t="str">
        <x:v>CT3D视觉编排</x:v>
      </x:c>
      <x:c r="D673" s="66" t="str">
        <x:v>MPR三视图</x:v>
      </x:c>
      <x:c r="E673" s="66" t="str">
        <x:v>Axial/Sagittal/Coronal/Oblique/十字线/测量</x:v>
      </x:c>
      <x:c r="F673" s="66" t="str">
        <x:v>Core</x:v>
      </x:c>
      <x:c r="G673" s="66" t="str">
        <x:v>33_CT3D完整开发蓝图 / 34_CT3D在线调试</x:v>
      </x:c>
      <x:c r="H673" s="66" t="str">
        <x:v>M5+</x:v>
      </x:c>
    </x:row>
    <x:row r="674">
      <x:c r="A674" s="58" t="str">
        <x:v>CAP-CT-010</x:v>
      </x:c>
      <x:c r="B674" s="58" t="str">
        <x:v>CT/3D</x:v>
      </x:c>
      <x:c r="C674" s="58" t="str">
        <x:v>CT3D视觉编排</x:v>
      </x:c>
      <x:c r="D674" s="58" t="str">
        <x:v>3D体绘制</x:v>
      </x:c>
      <x:c r="E674" s="58" t="str">
        <x:v>Volume Rendering/MIP/MinIP/Clipping/TransferFunction</x:v>
      </x:c>
      <x:c r="F674" s="58" t="str">
        <x:v>Extended</x:v>
      </x:c>
      <x:c r="G674" s="58" t="str">
        <x:v>33_CT3D完整开发蓝图 / 34_CT3D在线调试</x:v>
      </x:c>
      <x:c r="H674" s="58" t="str">
        <x:v>M5+</x:v>
      </x:c>
    </x:row>
    <x:row r="675">
      <x:c r="A675" s="66" t="str">
        <x:v>CAP-CT-011</x:v>
      </x:c>
      <x:c r="B675" s="66" t="str">
        <x:v>CT/3D</x:v>
      </x:c>
      <x:c r="C675" s="66" t="str">
        <x:v>CT3D视觉编排</x:v>
      </x:c>
      <x:c r="D675" s="66" t="str">
        <x:v>3D分割</x:v>
      </x:c>
      <x:c r="E675" s="66" t="str">
        <x:v>Threshold/RegionGrow/Connected/AI3D等</x:v>
      </x:c>
      <x:c r="F675" s="66" t="str">
        <x:v>Core</x:v>
      </x:c>
      <x:c r="G675" s="66" t="str">
        <x:v>33_CT3D完整开发蓝图 / 34_CT3D在线调试</x:v>
      </x:c>
      <x:c r="H675" s="66" t="str">
        <x:v>M5+</x:v>
      </x:c>
    </x:row>
    <x:row r="676">
      <x:c r="A676" s="58" t="str">
        <x:v>CAP-CT-012</x:v>
      </x:c>
      <x:c r="B676" s="58" t="str">
        <x:v>CT/3D</x:v>
      </x:c>
      <x:c r="C676" s="58" t="str">
        <x:v>CT3D视觉编排</x:v>
      </x:c>
      <x:c r="D676" s="58" t="str">
        <x:v>Surface/Mesh</x:v>
      </x:c>
      <x:c r="E676" s="58" t="str">
        <x:v>IsoSurface/Smooth/Decimate/STL/PLY等</x:v>
      </x:c>
      <x:c r="F676" s="58" t="str">
        <x:v>Extended</x:v>
      </x:c>
      <x:c r="G676" s="58" t="str">
        <x:v>33_CT3D完整开发蓝图 / 34_CT3D在线调试</x:v>
      </x:c>
      <x:c r="H676" s="58" t="str">
        <x:v>M5+</x:v>
      </x:c>
    </x:row>
    <x:row r="677">
      <x:c r="A677" s="66" t="str">
        <x:v>CAP-CT-013</x:v>
      </x:c>
      <x:c r="B677" s="66" t="str">
        <x:v>CT/3D</x:v>
      </x:c>
      <x:c r="C677" s="66" t="str">
        <x:v>CT3D视觉编排</x:v>
      </x:c>
      <x:c r="D677" s="66" t="str">
        <x:v>3D配准</x:v>
      </x:c>
      <x:c r="E677" s="66" t="str">
        <x:v>Volume/CAD/ICP/Rigid/Affine等</x:v>
      </x:c>
      <x:c r="F677" s="66" t="str">
        <x:v>Extended</x:v>
      </x:c>
      <x:c r="G677" s="66" t="str">
        <x:v>33_CT3D完整开发蓝图 / 34_CT3D在线调试</x:v>
      </x:c>
      <x:c r="H677" s="66" t="str">
        <x:v>M5+</x:v>
      </x:c>
    </x:row>
    <x:row r="678">
      <x:c r="A678" s="58" t="str">
        <x:v>CAP-CT-014</x:v>
      </x:c>
      <x:c r="B678" s="58" t="str">
        <x:v>CT/3D</x:v>
      </x:c>
      <x:c r="C678" s="58" t="str">
        <x:v>CT3D视觉编排</x:v>
      </x:c>
      <x:c r="D678" s="58" t="str">
        <x:v>3D测量</x:v>
      </x:c>
      <x:c r="E678" s="58" t="str">
        <x:v>Distance/Thickness/Volume/Porosity等</x:v>
      </x:c>
      <x:c r="F678" s="58" t="str">
        <x:v>Core</x:v>
      </x:c>
      <x:c r="G678" s="58" t="str">
        <x:v>33_CT3D完整开发蓝图 / 34_CT3D在线调试</x:v>
      </x:c>
      <x:c r="H678" s="58" t="str">
        <x:v>M5+</x:v>
      </x:c>
    </x:row>
    <x:row r="679">
      <x:c r="A679" s="66" t="str">
        <x:v>CAP-CT-015</x:v>
      </x:c>
      <x:c r="B679" s="66" t="str">
        <x:v>CT/3D</x:v>
      </x:c>
      <x:c r="C679" s="66" t="str">
        <x:v>CT3D视觉编排</x:v>
      </x:c>
      <x:c r="D679" s="66" t="str">
        <x:v>3D缺陷</x:v>
      </x:c>
      <x:c r="E679" s="66" t="str">
        <x:v>Void/Crack/ForeignObject/Porosity结构化结果</x:v>
      </x:c>
      <x:c r="F679" s="66" t="str">
        <x:v>Core</x:v>
      </x:c>
      <x:c r="G679" s="66" t="str">
        <x:v>33_CT3D完整开发蓝图 / 34_CT3D在线调试</x:v>
      </x:c>
      <x:c r="H679" s="66" t="str">
        <x:v>M5+</x:v>
      </x:c>
    </x:row>
    <x:row r="680">
      <x:c r="A680" s="58" t="str">
        <x:v>CAP-CT-016</x:v>
      </x:c>
      <x:c r="B680" s="58" t="str">
        <x:v>CT/3D</x:v>
      </x:c>
      <x:c r="C680" s="58" t="str">
        <x:v>CT3D视觉编排</x:v>
      </x:c>
      <x:c r="D680" s="58" t="str">
        <x:v>CT样本集</x:v>
      </x:c>
      <x:c r="E680" s="58" t="str">
        <x:v>Projection/Volume/Expected metrics/Golden版本化</x:v>
      </x:c>
      <x:c r="F680" s="58" t="str">
        <x:v>Core</x:v>
      </x:c>
      <x:c r="G680" s="58" t="str">
        <x:v>33_CT3D完整开发蓝图 / 34_CT3D在线调试</x:v>
      </x:c>
      <x:c r="H680" s="58" t="str">
        <x:v>M5+</x:v>
      </x:c>
    </x:row>
    <x:row r="681">
      <x:c r="A681" s="66" t="str">
        <x:v>CAP-CT-017</x:v>
      </x:c>
      <x:c r="B681" s="66" t="str">
        <x:v>CT/3D</x:v>
      </x:c>
      <x:c r="C681" s="66" t="str">
        <x:v>CT3D在线调试</x:v>
      </x:c>
      <x:c r="D681" s="66" t="str">
        <x:v>Projection Browser</x:v>
      </x:c>
      <x:c r="E681" s="66" t="str">
        <x:v>缺帧/角度/质量/直方图/按需查看</x:v>
      </x:c>
      <x:c r="F681" s="66" t="str">
        <x:v>Core</x:v>
      </x:c>
      <x:c r="G681" s="66" t="str">
        <x:v>33_CT3D完整开发蓝图 / 34_CT3D在线调试</x:v>
      </x:c>
      <x:c r="H681" s="66" t="str">
        <x:v>M5+</x:v>
      </x:c>
    </x:row>
    <x:row r="682">
      <x:c r="A682" s="58" t="str">
        <x:v>CAP-CT-018</x:v>
      </x:c>
      <x:c r="B682" s="58" t="str">
        <x:v>CT/3D</x:v>
      </x:c>
      <x:c r="C682" s="58" t="str">
        <x:v>CT3D在线调试</x:v>
      </x:c>
      <x:c r="D682" s="58" t="str">
        <x:v>重建进度与性能</x:v>
      </x:c>
      <x:c r="E682" s="58" t="str">
        <x:v>Job阶段/GPU/VRAM/内存/IO/临时盘</x:v>
      </x:c>
      <x:c r="F682" s="58" t="str">
        <x:v>Core</x:v>
      </x:c>
      <x:c r="G682" s="58" t="str">
        <x:v>33_CT3D完整开发蓝图 / 34_CT3D在线调试</x:v>
      </x:c>
      <x:c r="H682" s="58" t="str">
        <x:v>M5+</x:v>
      </x:c>
    </x:row>
    <x:row r="683">
      <x:c r="A683" s="66" t="str">
        <x:v>CAP-CT-019</x:v>
      </x:c>
      <x:c r="B683" s="66" t="str">
        <x:v>CT/3D</x:v>
      </x:c>
      <x:c r="C683" s="66" t="str">
        <x:v>CT3D在线调试</x:v>
      </x:c>
      <x:c r="D683" s="66" t="str">
        <x:v>CT Run To</x:v>
      </x:c>
      <x:c r="E683" s="66" t="str">
        <x:v>执行到预处理/重建/3D节点并保留选中数据</x:v>
      </x:c>
      <x:c r="F683" s="66" t="str">
        <x:v>Core</x:v>
      </x:c>
      <x:c r="G683" s="66" t="str">
        <x:v>33_CT3D完整开发蓝图 / 34_CT3D在线调试</x:v>
      </x:c>
      <x:c r="H683" s="66" t="str">
        <x:v>M5+</x:v>
      </x:c>
    </x:row>
    <x:row r="684">
      <x:c r="A684" s="58" t="str">
        <x:v>CAP-CT-020</x:v>
      </x:c>
      <x:c r="B684" s="58" t="str">
        <x:v>CT/3D</x:v>
      </x:c>
      <x:c r="C684" s="58" t="str">
        <x:v>CT3D在线调试</x:v>
      </x:c>
      <x:c r="D684" s="58" t="str">
        <x:v>Geometry Override</x:v>
      </x:c>
      <x:c r="E684" s="58" t="str">
        <x:v>Session层几何/重建参数调优与Promote</x:v>
      </x:c>
      <x:c r="F684" s="58" t="str">
        <x:v>Extended</x:v>
      </x:c>
      <x:c r="G684" s="58" t="str">
        <x:v>33_CT3D完整开发蓝图 / 34_CT3D在线调试</x:v>
      </x:c>
      <x:c r="H684" s="58" t="str">
        <x:v>M5+</x:v>
      </x:c>
    </x:row>
    <x:row r="685">
      <x:c r="A685" s="66" t="str">
        <x:v>CAP-CT-021</x:v>
      </x:c>
      <x:c r="B685" s="66" t="str">
        <x:v>CT/3D</x:v>
      </x:c>
      <x:c r="C685" s="66" t="str">
        <x:v>CT3D在线调试</x:v>
      </x:c>
      <x:c r="D685" s="66" t="str">
        <x:v>CT Run Compare</x:v>
      </x:c>
      <x:c r="E685" s="66" t="str">
        <x:v>质量/测量/切片/耗时/显存A-B对比</x:v>
      </x:c>
      <x:c r="F685" s="66" t="str">
        <x:v>Extended</x:v>
      </x:c>
      <x:c r="G685" s="66" t="str">
        <x:v>33_CT3D完整开发蓝图 / 34_CT3D在线调试</x:v>
      </x:c>
      <x:c r="H685" s="66" t="str">
        <x:v>M5+</x:v>
      </x:c>
    </x:row>
    <x:row r="686">
      <x:c r="A686" s="58" t="str">
        <x:v>CAP-CT-022</x:v>
      </x:c>
      <x:c r="B686" s="58" t="str">
        <x:v>CT/3D</x:v>
      </x:c>
      <x:c r="C686" s="58" t="str">
        <x:v>CT3D在线调试</x:v>
      </x:c>
      <x:c r="D686" s="58" t="str">
        <x:v>大数据按需查看</x:v>
      </x:c>
      <x:c r="E686" s="58" t="str">
        <x:v>Projection/Volume/Mask/Mesh按Chunk/LOD拉取</x:v>
      </x:c>
      <x:c r="F686" s="58" t="str">
        <x:v>Core</x:v>
      </x:c>
      <x:c r="G686" s="58" t="str">
        <x:v>33_CT3D完整开发蓝图 / 34_CT3D在线调试</x:v>
      </x:c>
      <x:c r="H686" s="58" t="str">
        <x:v>M5+</x:v>
      </x:c>
    </x:row>
    <x:row r="687">
      <x:c r="A687" s="66" t="str">
        <x:v>CAP-ROB-001</x:v>
      </x:c>
      <x:c r="B687" s="66" t="str">
        <x:v>Robot</x:v>
      </x:c>
      <x:c r="C687" s="66" t="str">
        <x:v>机器人编排</x:v>
      </x:c>
      <x:c r="D687" s="66" t="str">
        <x:v>Robot资源定义</x:v>
      </x:c>
      <x:c r="E687" s="66" t="str">
        <x:v>机器人控制器/关节/外部轴/能力/IO配置</x:v>
      </x:c>
      <x:c r="F687" s="66" t="str">
        <x:v>Core</x:v>
      </x:c>
      <x:c r="G687" s="66" t="str">
        <x:v>29_Robot完整开发蓝图 / 30_Robot在线调试</x:v>
      </x:c>
      <x:c r="H687" s="66" t="str">
        <x:v>M4+</x:v>
      </x:c>
    </x:row>
    <x:row r="688">
      <x:c r="A688" s="58" t="str">
        <x:v>CAP-ROB-002</x:v>
      </x:c>
      <x:c r="B688" s="58" t="str">
        <x:v>Robot</x:v>
      </x:c>
      <x:c r="C688" s="58" t="str">
        <x:v>机器人编排</x:v>
      </x:c>
      <x:c r="D688" s="58" t="str">
        <x:v>Frame坐标树</x:v>
      </x:c>
      <x:c r="E688" s="58" t="str">
        <x:v>World/Base/Tool/WorkObject/User/Camera frame</x:v>
      </x:c>
      <x:c r="F688" s="58" t="str">
        <x:v>Core</x:v>
      </x:c>
      <x:c r="G688" s="58" t="str">
        <x:v>29_Robot完整开发蓝图 / 30_Robot在线调试</x:v>
      </x:c>
      <x:c r="H688" s="58" t="str">
        <x:v>M4+</x:v>
      </x:c>
    </x:row>
    <x:row r="689">
      <x:c r="A689" s="66" t="str">
        <x:v>CAP-ROB-003</x:v>
      </x:c>
      <x:c r="B689" s="66" t="str">
        <x:v>Robot</x:v>
      </x:c>
      <x:c r="C689" s="66" t="str">
        <x:v>机器人编排</x:v>
      </x:c>
      <x:c r="D689" s="66" t="str">
        <x:v>Tool管理</x:v>
      </x:c>
      <x:c r="E689" s="66" t="str">
        <x:v>TCP/Payload/COG/Inertia/Tool IO/版本</x:v>
      </x:c>
      <x:c r="F689" s="66" t="str">
        <x:v>Core</x:v>
      </x:c>
      <x:c r="G689" s="66" t="str">
        <x:v>29_Robot完整开发蓝图 / 30_Robot在线调试</x:v>
      </x:c>
      <x:c r="H689" s="66" t="str">
        <x:v>M4+</x:v>
      </x:c>
    </x:row>
    <x:row r="690">
      <x:c r="A690" s="58" t="str">
        <x:v>CAP-ROB-004</x:v>
      </x:c>
      <x:c r="B690" s="58" t="str">
        <x:v>Robot</x:v>
      </x:c>
      <x:c r="C690" s="58" t="str">
        <x:v>机器人编排</x:v>
      </x:c>
      <x:c r="D690" s="58" t="str">
        <x:v>WorkObject管理</x:v>
      </x:c>
      <x:c r="E690" s="58" t="str">
        <x:v>工件/夹具坐标与产品绑定</x:v>
      </x:c>
      <x:c r="F690" s="58" t="str">
        <x:v>Core</x:v>
      </x:c>
      <x:c r="G690" s="58" t="str">
        <x:v>29_Robot完整开发蓝图 / 30_Robot在线调试</x:v>
      </x:c>
      <x:c r="H690" s="58" t="str">
        <x:v>M4+</x:v>
      </x:c>
    </x:row>
    <x:row r="691">
      <x:c r="A691" s="66" t="str">
        <x:v>CAP-ROB-005</x:v>
      </x:c>
      <x:c r="B691" s="66" t="str">
        <x:v>Robot</x:v>
      </x:c>
      <x:c r="C691" s="66" t="str">
        <x:v>机器人编排</x:v>
      </x:c>
      <x:c r="D691" s="66" t="str">
        <x:v>机器人点位表</x:v>
      </x:c>
      <x:c r="E691" s="66" t="str">
        <x:v>Joint/Cartesian Pose/Frame/Config/ExternalAxis/版本</x:v>
      </x:c>
      <x:c r="F691" s="66" t="str">
        <x:v>Core</x:v>
      </x:c>
      <x:c r="G691" s="66" t="str">
        <x:v>29_Robot完整开发蓝图 / 30_Robot在线调试</x:v>
      </x:c>
      <x:c r="H691" s="66" t="str">
        <x:v>M4+</x:v>
      </x:c>
    </x:row>
    <x:row r="692">
      <x:c r="A692" s="58" t="str">
        <x:v>CAP-ROB-006</x:v>
      </x:c>
      <x:c r="B692" s="58" t="str">
        <x:v>Robot</x:v>
      </x:c>
      <x:c r="C692" s="58" t="str">
        <x:v>机器人编排</x:v>
      </x:c>
      <x:c r="D692" s="58" t="str">
        <x:v>MoveJ/PTP</x:v>
      </x:c>
      <x:c r="E692" s="58" t="str">
        <x:v>关节/点到点运动节点</x:v>
      </x:c>
      <x:c r="F692" s="58" t="str">
        <x:v>Core</x:v>
      </x:c>
      <x:c r="G692" s="58" t="str">
        <x:v>29_Robot完整开发蓝图 / 30_Robot在线调试</x:v>
      </x:c>
      <x:c r="H692" s="58" t="str">
        <x:v>M4+</x:v>
      </x:c>
    </x:row>
    <x:row r="693">
      <x:c r="A693" s="66" t="str">
        <x:v>CAP-ROB-007</x:v>
      </x:c>
      <x:c r="B693" s="66" t="str">
        <x:v>Robot</x:v>
      </x:c>
      <x:c r="C693" s="66" t="str">
        <x:v>机器人编排</x:v>
      </x:c>
      <x:c r="D693" s="66" t="str">
        <x:v>MoveL/LIN</x:v>
      </x:c>
      <x:c r="E693" s="66" t="str">
        <x:v>直线运动节点</x:v>
      </x:c>
      <x:c r="F693" s="66" t="str">
        <x:v>Core</x:v>
      </x:c>
      <x:c r="G693" s="66" t="str">
        <x:v>29_Robot完整开发蓝图 / 30_Robot在线调试</x:v>
      </x:c>
      <x:c r="H693" s="66" t="str">
        <x:v>M4+</x:v>
      </x:c>
    </x:row>
    <x:row r="694">
      <x:c r="A694" s="58" t="str">
        <x:v>CAP-ROB-008</x:v>
      </x:c>
      <x:c r="B694" s="58" t="str">
        <x:v>Robot</x:v>
      </x:c>
      <x:c r="C694" s="58" t="str">
        <x:v>机器人编排</x:v>
      </x:c>
      <x:c r="D694" s="58" t="str">
        <x:v>MoveC/CIRC/Spline</x:v>
      </x:c>
      <x:c r="E694" s="58" t="str">
        <x:v>圆弧/样条等能力型路径节点</x:v>
      </x:c>
      <x:c r="F694" s="58" t="str">
        <x:v>Extended</x:v>
      </x:c>
      <x:c r="G694" s="58" t="str">
        <x:v>29_Robot完整开发蓝图 / 30_Robot在线调试</x:v>
      </x:c>
      <x:c r="H694" s="58" t="str">
        <x:v>M4+</x:v>
      </x:c>
    </x:row>
    <x:row r="695">
      <x:c r="A695" s="66" t="str">
        <x:v>CAP-ROB-009</x:v>
      </x:c>
      <x:c r="B695" s="66" t="str">
        <x:v>Robot</x:v>
      </x:c>
      <x:c r="C695" s="66" t="str">
        <x:v>机器人编排</x:v>
      </x:c>
      <x:c r="D695" s="66" t="str">
        <x:v>Robot Path</x:v>
      </x:c>
      <x:c r="E695" s="66" t="str">
        <x:v>多Segment路径/速度/Zone/Tool/WorkObject/工艺参数</x:v>
      </x:c>
      <x:c r="F695" s="66" t="str">
        <x:v>Core</x:v>
      </x:c>
      <x:c r="G695" s="66" t="str">
        <x:v>29_Robot完整开发蓝图 / 30_Robot在线调试</x:v>
      </x:c>
      <x:c r="H695" s="66" t="str">
        <x:v>M4+</x:v>
      </x:c>
    </x:row>
    <x:row r="696">
      <x:c r="A696" s="58" t="str">
        <x:v>CAP-ROB-010</x:v>
      </x:c>
      <x:c r="B696" s="58" t="str">
        <x:v>Robot</x:v>
      </x:c>
      <x:c r="C696" s="58" t="str">
        <x:v>机器人编排</x:v>
      </x:c>
      <x:c r="D696" s="58" t="str">
        <x:v>机器人IO/握手</x:v>
      </x:c>
      <x:c r="E696" s="58" t="str">
        <x:v>DI/DO/Register/Wait/Handshake</x:v>
      </x:c>
      <x:c r="F696" s="58" t="str">
        <x:v>Core</x:v>
      </x:c>
      <x:c r="G696" s="58" t="str">
        <x:v>29_Robot完整开发蓝图 / 30_Robot在线调试</x:v>
      </x:c>
      <x:c r="H696" s="58" t="str">
        <x:v>M4+</x:v>
      </x:c>
    </x:row>
    <x:row r="697">
      <x:c r="A697" s="66" t="str">
        <x:v>CAP-ROB-011</x:v>
      </x:c>
      <x:c r="B697" s="66" t="str">
        <x:v>Robot</x:v>
      </x:c>
      <x:c r="C697" s="66" t="str">
        <x:v>机器人编排</x:v>
      </x:c>
      <x:c r="D697" s="66" t="str">
        <x:v>外部轴协调</x:v>
      </x:c>
      <x:c r="E697" s="66" t="str">
        <x:v>机器人+转台/滑台同步能力编排</x:v>
      </x:c>
      <x:c r="F697" s="66" t="str">
        <x:v>Extended</x:v>
      </x:c>
      <x:c r="G697" s="66" t="str">
        <x:v>29_Robot完整开发蓝图 / 30_Robot在线调试</x:v>
      </x:c>
      <x:c r="H697" s="66" t="str">
        <x:v>M4+</x:v>
      </x:c>
    </x:row>
    <x:row r="698">
      <x:c r="A698" s="58" t="str">
        <x:v>CAP-ROB-012</x:v>
      </x:c>
      <x:c r="B698" s="58" t="str">
        <x:v>Robot</x:v>
      </x:c>
      <x:c r="C698" s="58" t="str">
        <x:v>机器人编排</x:v>
      </x:c>
      <x:c r="D698" s="58" t="str">
        <x:v>路径可达性预检</x:v>
      </x:c>
      <x:c r="E698" s="58" t="str">
        <x:v>Controller capability/可选运动学插件/限位/奇异提示</x:v>
      </x:c>
      <x:c r="F698" s="58" t="str">
        <x:v>Extended</x:v>
      </x:c>
      <x:c r="G698" s="58" t="str">
        <x:v>29_Robot完整开发蓝图 / 30_Robot在线调试</x:v>
      </x:c>
      <x:c r="H698" s="58" t="str">
        <x:v>M4+</x:v>
      </x:c>
    </x:row>
    <x:row r="699">
      <x:c r="A699" s="66" t="str">
        <x:v>CAP-ROB-013</x:v>
      </x:c>
      <x:c r="B699" s="66" t="str">
        <x:v>Robot</x:v>
      </x:c>
      <x:c r="C699" s="66" t="str">
        <x:v>机器人编排</x:v>
      </x:c>
      <x:c r="D699" s="66" t="str">
        <x:v>视觉引导</x:v>
      </x:c>
      <x:c r="E699" s="66" t="str">
        <x:v>Vision Pose→Frame transform→Quality/Age验证→目标</x:v>
      </x:c>
      <x:c r="F699" s="66" t="str">
        <x:v>Extended</x:v>
      </x:c>
      <x:c r="G699" s="66" t="str">
        <x:v>29_Robot完整开发蓝图 / 30_Robot在线调试</x:v>
      </x:c>
      <x:c r="H699" s="66" t="str">
        <x:v>M4+</x:v>
      </x:c>
    </x:row>
    <x:row r="700">
      <x:c r="A700" s="58" t="str">
        <x:v>CAP-ROB-014</x:v>
      </x:c>
      <x:c r="B700" s="58" t="str">
        <x:v>Robot</x:v>
      </x:c>
      <x:c r="C700" s="58" t="str">
        <x:v>机器人编排</x:v>
      </x:c>
      <x:c r="D700" s="58" t="str">
        <x:v>手眼标定</x:v>
      </x:c>
      <x:c r="E700" s="58" t="str">
        <x:v>Eye-in-hand/Eye-to-hand采样/求解/质量/版本</x:v>
      </x:c>
      <x:c r="F700" s="58" t="str">
        <x:v>Extended</x:v>
      </x:c>
      <x:c r="G700" s="58" t="str">
        <x:v>29_Robot完整开发蓝图 / 30_Robot在线调试</x:v>
      </x:c>
      <x:c r="H700" s="58" t="str">
        <x:v>M4+</x:v>
      </x:c>
    </x:row>
    <x:row r="701">
      <x:c r="A701" s="66" t="str">
        <x:v>CAP-ROB-015</x:v>
      </x:c>
      <x:c r="B701" s="66" t="str">
        <x:v>Robot</x:v>
      </x:c>
      <x:c r="C701" s="66" t="str">
        <x:v>机器人在线调试</x:v>
      </x:c>
      <x:c r="D701" s="66" t="str">
        <x:v>Robot Status</x:v>
      </x:c>
      <x:c r="E701" s="66" t="str">
        <x:v>Mode/Servo/Program/Alarm/SafetySummary/Active Tool</x:v>
      </x:c>
      <x:c r="F701" s="66" t="str">
        <x:v>Core</x:v>
      </x:c>
      <x:c r="G701" s="66" t="str">
        <x:v>29_Robot完整开发蓝图 / 30_Robot在线调试</x:v>
      </x:c>
      <x:c r="H701" s="66" t="str">
        <x:v>M4+</x:v>
      </x:c>
    </x:row>
    <x:row r="702">
      <x:c r="A702" s="58" t="str">
        <x:v>CAP-ROB-016</x:v>
      </x:c>
      <x:c r="B702" s="58" t="str">
        <x:v>Robot</x:v>
      </x:c>
      <x:c r="C702" s="58" t="str">
        <x:v>机器人在线调试</x:v>
      </x:c>
      <x:c r="D702" s="58" t="str">
        <x:v>Joint/Cartesian Monitor</x:v>
      </x:c>
      <x:c r="E702" s="58" t="str">
        <x:v>关节与笛卡尔Target/Actual/Velocity/Limit</x:v>
      </x:c>
      <x:c r="F702" s="58" t="str">
        <x:v>Core</x:v>
      </x:c>
      <x:c r="G702" s="58" t="str">
        <x:v>29_Robot完整开发蓝图 / 30_Robot在线调试</x:v>
      </x:c>
      <x:c r="H702" s="58" t="str">
        <x:v>M4+</x:v>
      </x:c>
    </x:row>
    <x:row r="703">
      <x:c r="A703" s="66" t="str">
        <x:v>CAP-ROB-017</x:v>
      </x:c>
      <x:c r="B703" s="66" t="str">
        <x:v>Robot</x:v>
      </x:c>
      <x:c r="C703" s="66" t="str">
        <x:v>机器人在线调试</x:v>
      </x:c>
      <x:c r="D703" s="66" t="str">
        <x:v>Jog</x:v>
      </x:c>
      <x:c r="E703" s="66" t="str">
        <x:v>Maintenance模式受控Joint/Cartesian Jog</x:v>
      </x:c>
      <x:c r="F703" s="66" t="str">
        <x:v>Extended</x:v>
      </x:c>
      <x:c r="G703" s="66" t="str">
        <x:v>29_Robot完整开发蓝图 / 30_Robot在线调试</x:v>
      </x:c>
      <x:c r="H703" s="66" t="str">
        <x:v>M4+</x:v>
      </x:c>
    </x:row>
    <x:row r="704">
      <x:c r="A704" s="58" t="str">
        <x:v>CAP-ROB-018</x:v>
      </x:c>
      <x:c r="B704" s="58" t="str">
        <x:v>Robot</x:v>
      </x:c>
      <x:c r="C704" s="58" t="str">
        <x:v>机器人在线调试</x:v>
      </x:c>
      <x:c r="D704" s="58" t="str">
        <x:v>Teach Pose</x:v>
      </x:c>
      <x:c r="E704" s="58" t="str">
        <x:v>读取实机Pose→候选→ChangeSet→PointTable</x:v>
      </x:c>
      <x:c r="F704" s="58" t="str">
        <x:v>Core</x:v>
      </x:c>
      <x:c r="G704" s="58" t="str">
        <x:v>29_Robot完整开发蓝图 / 30_Robot在线调试</x:v>
      </x:c>
      <x:c r="H704" s="58" t="str">
        <x:v>M4+</x:v>
      </x:c>
    </x:row>
    <x:row r="705">
      <x:c r="A705" s="66" t="str">
        <x:v>CAP-ROB-019</x:v>
      </x:c>
      <x:c r="B705" s="66" t="str">
        <x:v>Robot</x:v>
      </x:c>
      <x:c r="C705" s="66" t="str">
        <x:v>机器人在线调试</x:v>
      </x:c>
      <x:c r="D705" s="66" t="str">
        <x:v>Path Step/RunTo</x:v>
      </x:c>
      <x:c r="E705" s="66" t="str">
        <x:v>路径/segment边界单步与RunTo</x:v>
      </x:c>
      <x:c r="F705" s="66" t="str">
        <x:v>Extended</x:v>
      </x:c>
      <x:c r="G705" s="66" t="str">
        <x:v>29_Robot完整开发蓝图 / 30_Robot在线调试</x:v>
      </x:c>
      <x:c r="H705" s="66" t="str">
        <x:v>M4+</x:v>
      </x:c>
    </x:row>
    <x:row r="706">
      <x:c r="A706" s="58" t="str">
        <x:v>CAP-ROB-020</x:v>
      </x:c>
      <x:c r="B706" s="58" t="str">
        <x:v>Robot</x:v>
      </x:c>
      <x:c r="C706" s="58" t="str">
        <x:v>机器人在线调试</x:v>
      </x:c>
      <x:c r="D706" s="58" t="str">
        <x:v>Vision Guidance Preview</x:v>
      </x:c>
      <x:c r="E706" s="58" t="str">
        <x:v>源Run/Frame/Quality/Transform/最终Target可视</x:v>
      </x:c>
      <x:c r="F706" s="58" t="str">
        <x:v>Extended</x:v>
      </x:c>
      <x:c r="G706" s="58" t="str">
        <x:v>29_Robot完整开发蓝图 / 30_Robot在线调试</x:v>
      </x:c>
      <x:c r="H706" s="58" t="str">
        <x:v>M4+</x:v>
      </x:c>
    </x:row>
    <x:row r="707">
      <x:c r="A707" s="66" t="str">
        <x:v>CAP-ROB-021</x:v>
      </x:c>
      <x:c r="B707" s="66" t="str">
        <x:v>Robot</x:v>
      </x:c>
      <x:c r="C707" s="66" t="str">
        <x:v>机器人在线调试</x:v>
      </x:c>
      <x:c r="D707" s="66" t="str">
        <x:v>Robot Online Diff</x:v>
      </x:c>
      <x:c r="E707" s="66" t="str">
        <x:v>Program/Frame/Tool/Point/Controller Profile线上比较</x:v>
      </x:c>
      <x:c r="F707" s="66" t="str">
        <x:v>Extended</x:v>
      </x:c>
      <x:c r="G707" s="66" t="str">
        <x:v>29_Robot完整开发蓝图 / 30_Robot在线调试</x:v>
      </x:c>
      <x:c r="H707" s="66" t="str">
        <x:v>M4+</x:v>
      </x:c>
    </x:row>
    <x:row r="708">
      <x:c r="A708" s="58" t="str">
        <x:v>CAP-ROB-022</x:v>
      </x:c>
      <x:c r="B708" s="58" t="str">
        <x:v>Robot</x:v>
      </x:c>
      <x:c r="C708" s="58" t="str">
        <x:v>机器人在线调试</x:v>
      </x:c>
      <x:c r="D708" s="58" t="str">
        <x:v>Maintenance安全策略</x:v>
      </x:c>
      <x:c r="E708" s="58" t="str">
        <x:v>Mode/Lease/Interlock/权限/审计统一门禁</x:v>
      </x:c>
      <x:c r="F708" s="58" t="str">
        <x:v>Core</x:v>
      </x:c>
      <x:c r="G708" s="58" t="str">
        <x:v>29_Robot完整开发蓝图 / 30_Robot在线调试</x:v>
      </x:c>
      <x:c r="H708" s="58" t="str">
        <x:v>M4+</x:v>
      </x:c>
    </x:row>
    <x:row r="709">
      <x:c r="A709" s="66" t="str">
        <x:v>CAP-OPS-008</x:v>
      </x:c>
      <x:c r="B709" s="66" t="str">
        <x:v>Operations</x:v>
      </x:c>
      <x:c r="C709" s="66" t="str">
        <x:v>集中运维</x:v>
      </x:c>
      <x:c r="D709" s="66" t="str">
        <x:v>Site/Line/Station资产树</x:v>
      </x:c>
      <x:c r="E709" s="66" t="str">
        <x:v>站点/产线/设备/机型/Owner/环境/Tag管理</x:v>
      </x:c>
      <x:c r="F709" s="66" t="str">
        <x:v>Core</x:v>
      </x:c>
      <x:c r="G709" s="66" t="str">
        <x:v>38_Operations完整开发蓝图 / 39_RemoteEngineering</x:v>
      </x:c>
      <x:c r="H709" s="66" t="str">
        <x:v>M7</x:v>
      </x:c>
    </x:row>
    <x:row r="710">
      <x:c r="A710" s="58" t="str">
        <x:v>CAP-OPS-009</x:v>
      </x:c>
      <x:c r="B710" s="58" t="str">
        <x:v>Operations</x:v>
      </x:c>
      <x:c r="C710" s="58" t="str">
        <x:v>集中运维</x:v>
      </x:c>
      <x:c r="D710" s="58" t="str">
        <x:v>Fleet Health</x:v>
      </x:c>
      <x:c r="E710" s="58" t="str">
        <x:v>在线/离线/降级/Runtime/Worker/Device/Queue/Disk/Clock</x:v>
      </x:c>
      <x:c r="F710" s="58" t="str">
        <x:v>Core</x:v>
      </x:c>
      <x:c r="G710" s="58" t="str">
        <x:v>38_Operations完整开发蓝图 / 39_RemoteEngineering</x:v>
      </x:c>
      <x:c r="H710" s="58" t="str">
        <x:v>M7</x:v>
      </x:c>
    </x:row>
    <x:row r="711">
      <x:c r="A711" s="66" t="str">
        <x:v>CAP-OPS-010</x:v>
      </x:c>
      <x:c r="B711" s="66" t="str">
        <x:v>Operations</x:v>
      </x:c>
      <x:c r="C711" s="66" t="str">
        <x:v>集中运维</x:v>
      </x:c>
      <x:c r="D711" s="66" t="str">
        <x:v>版本矩阵</x:v>
      </x:c>
      <x:c r="E711" s="66" t="str">
        <x:v>App/Release/Flow/Motion/Vision/CT/Robot/Model/Plugin/Driver/Profile</x:v>
      </x:c>
      <x:c r="F711" s="66" t="str">
        <x:v>Core</x:v>
      </x:c>
      <x:c r="G711" s="66" t="str">
        <x:v>38_Operations完整开发蓝图 / 39_RemoteEngineering</x:v>
      </x:c>
      <x:c r="H711" s="66" t="str">
        <x:v>M7</x:v>
      </x:c>
    </x:row>
    <x:row r="712">
      <x:c r="A712" s="58" t="str">
        <x:v>CAP-OPS-011</x:v>
      </x:c>
      <x:c r="B712" s="58" t="str">
        <x:v>Operations</x:v>
      </x:c>
      <x:c r="C712" s="58" t="str">
        <x:v>集中运维</x:v>
      </x:c>
      <x:c r="D712" s="58" t="str">
        <x:v>Release仓库</x:v>
      </x:c>
      <x:c r="E712" s="58" t="str">
        <x:v>Package/Plugin/Model/签名/审批/Channel/Retention</x:v>
      </x:c>
      <x:c r="F712" s="58" t="str">
        <x:v>Core</x:v>
      </x:c>
      <x:c r="G712" s="58" t="str">
        <x:v>38_Operations完整开发蓝图 / 39_RemoteEngineering</x:v>
      </x:c>
      <x:c r="H712" s="58" t="str">
        <x:v>M7</x:v>
      </x:c>
    </x:row>
    <x:row r="713">
      <x:c r="A713" s="66" t="str">
        <x:v>CAP-OPS-012</x:v>
      </x:c>
      <x:c r="B713" s="66" t="str">
        <x:v>Operations</x:v>
      </x:c>
      <x:c r="C713" s="66" t="str">
        <x:v>集中运维</x:v>
      </x:c>
      <x:c r="D713" s="66" t="str">
        <x:v>Canary/Ring分批部署</x:v>
      </x:c>
      <x:c r="E713" s="66" t="str">
        <x:v>目标分组/窗口/预检/Stage/Switch/Verify/暂停/继续</x:v>
      </x:c>
      <x:c r="F713" s="66" t="str">
        <x:v>Core</x:v>
      </x:c>
      <x:c r="G713" s="66" t="str">
        <x:v>38_Operations完整开发蓝图 / 39_RemoteEngineering</x:v>
      </x:c>
      <x:c r="H713" s="66" t="str">
        <x:v>M7</x:v>
      </x:c>
    </x:row>
    <x:row r="714">
      <x:c r="A714" s="58" t="str">
        <x:v>CAP-OPS-013</x:v>
      </x:c>
      <x:c r="B714" s="58" t="str">
        <x:v>Operations</x:v>
      </x:c>
      <x:c r="C714" s="58" t="str">
        <x:v>集中运维</x:v>
      </x:c>
      <x:c r="D714" s="58" t="str">
        <x:v>Fleet回滚</x:v>
      </x:c>
      <x:c r="E714" s="58" t="str">
        <x:v>失败阈值/单站回滚/批次回滚/证据</x:v>
      </x:c>
      <x:c r="F714" s="58" t="str">
        <x:v>Core</x:v>
      </x:c>
      <x:c r="G714" s="58" t="str">
        <x:v>38_Operations完整开发蓝图 / 39_RemoteEngineering</x:v>
      </x:c>
      <x:c r="H714" s="58" t="str">
        <x:v>M7</x:v>
      </x:c>
    </x:row>
    <x:row r="715">
      <x:c r="A715" s="66" t="str">
        <x:v>CAP-OPS-014</x:v>
      </x:c>
      <x:c r="B715" s="66" t="str">
        <x:v>Operations</x:v>
      </x:c>
      <x:c r="C715" s="66" t="str">
        <x:v>集中运维</x:v>
      </x:c>
      <x:c r="D715" s="66" t="str">
        <x:v>站点配置备份</x:v>
      </x:c>
      <x:c r="E715" s="66" t="str">
        <x:v>Project/Manifest/Profile/Plugin list/设备映射摘要备份</x:v>
      </x:c>
      <x:c r="F715" s="66" t="str">
        <x:v>Extended</x:v>
      </x:c>
      <x:c r="G715" s="66" t="str">
        <x:v>38_Operations完整开发蓝图 / 39_RemoteEngineering</x:v>
      </x:c>
      <x:c r="H715" s="66" t="str">
        <x:v>M7</x:v>
      </x:c>
    </x:row>
    <x:row r="716">
      <x:c r="A716" s="58" t="str">
        <x:v>CAP-OPS-015</x:v>
      </x:c>
      <x:c r="B716" s="58" t="str">
        <x:v>Operations</x:v>
      </x:c>
      <x:c r="C716" s="58" t="str">
        <x:v>集中运维</x:v>
      </x:c>
      <x:c r="D716" s="58" t="str">
        <x:v>系统事件中心</x:v>
      </x:c>
      <x:c r="E716" s="58" t="str">
        <x:v>Station offline/worker crash/disk low/deploy fail/queue backlog等</x:v>
      </x:c>
      <x:c r="F716" s="58" t="str">
        <x:v>Extended</x:v>
      </x:c>
      <x:c r="G716" s="58" t="str">
        <x:v>38_Operations完整开发蓝图 / 39_RemoteEngineering</x:v>
      </x:c>
      <x:c r="H716" s="58" t="str">
        <x:v>M7</x:v>
      </x:c>
    </x:row>
    <x:row r="717">
      <x:c r="A717" s="66" t="str">
        <x:v>CAP-OPS-016</x:v>
      </x:c>
      <x:c r="B717" s="66" t="str">
        <x:v>Operations</x:v>
      </x:c>
      <x:c r="C717" s="66" t="str">
        <x:v>集中运维</x:v>
      </x:c>
      <x:c r="D717" s="66" t="str">
        <x:v>性能趋势</x:v>
      </x:c>
      <x:c r="E717" s="66" t="str">
        <x:v>CPU/RAM/GPU/VRAM/Disk/UPH/CycleTime/Frame drop等</x:v>
      </x:c>
      <x:c r="F717" s="66" t="str">
        <x:v>Extended</x:v>
      </x:c>
      <x:c r="G717" s="66" t="str">
        <x:v>38_Operations完整开发蓝图 / 39_RemoteEngineering</x:v>
      </x:c>
      <x:c r="H717" s="66" t="str">
        <x:v>M7</x:v>
      </x:c>
    </x:row>
    <x:row r="718">
      <x:c r="A718" s="58" t="str">
        <x:v>CAP-OPS-017</x:v>
      </x:c>
      <x:c r="B718" s="58" t="str">
        <x:v>Operations</x:v>
      </x:c>
      <x:c r="C718" s="58" t="str">
        <x:v>集中运维</x:v>
      </x:c>
      <x:c r="D718" s="58" t="str">
        <x:v>质量摘要</x:v>
      </x:c>
      <x:c r="E718" s="58" t="str">
        <x:v>OK-NG/Defect/Retest/Review backlog/节拍摘要</x:v>
      </x:c>
      <x:c r="F718" s="58" t="str">
        <x:v>Extended</x:v>
      </x:c>
      <x:c r="G718" s="58" t="str">
        <x:v>38_Operations完整开发蓝图 / 39_RemoteEngineering</x:v>
      </x:c>
      <x:c r="H718" s="58" t="str">
        <x:v>M7</x:v>
      </x:c>
    </x:row>
    <x:row r="719">
      <x:c r="A719" s="66" t="str">
        <x:v>CAP-OPS-018</x:v>
      </x:c>
      <x:c r="B719" s="66" t="str">
        <x:v>Operations</x:v>
      </x:c>
      <x:c r="C719" s="66" t="str">
        <x:v>集中运维</x:v>
      </x:c>
      <x:c r="D719" s="66" t="str">
        <x:v>跨站诊断搜索</x:v>
      </x:c>
      <x:c r="E719" s="66" t="str">
        <x:v>Station/Task/Product/Run/Correlation/Error/Version/Time检索</x:v>
      </x:c>
      <x:c r="F719" s="66" t="str">
        <x:v>Core</x:v>
      </x:c>
      <x:c r="G719" s="66" t="str">
        <x:v>38_Operations完整开发蓝图 / 39_RemoteEngineering</x:v>
      </x:c>
      <x:c r="H719" s="66" t="str">
        <x:v>M7</x:v>
      </x:c>
    </x:row>
    <x:row r="720">
      <x:c r="A720" s="58" t="str">
        <x:v>CAP-OPS-019</x:v>
      </x:c>
      <x:c r="B720" s="58" t="str">
        <x:v>Operations</x:v>
      </x:c>
      <x:c r="C720" s="58" t="str">
        <x:v>集中运维</x:v>
      </x:c>
      <x:c r="D720" s="58" t="str">
        <x:v>Diagnostic Case</x:v>
      </x:c>
      <x:c r="E720" s="58" t="str">
        <x:v>证据/版本/Trace/Artifact/动作/结论/责任闭环</x:v>
      </x:c>
      <x:c r="F720" s="58" t="str">
        <x:v>Extended</x:v>
      </x:c>
      <x:c r="G720" s="58" t="str">
        <x:v>38_Operations完整开发蓝图 / 39_RemoteEngineering</x:v>
      </x:c>
      <x:c r="H720" s="58" t="str">
        <x:v>M7</x:v>
      </x:c>
    </x:row>
    <x:row r="721">
      <x:c r="A721" s="66" t="str">
        <x:v>CAP-OPS-020</x:v>
      </x:c>
      <x:c r="B721" s="66" t="str">
        <x:v>Operations</x:v>
      </x:c>
      <x:c r="C721" s="66" t="str">
        <x:v>集中运维</x:v>
      </x:c>
      <x:c r="D721" s="66" t="str">
        <x:v>远程只读查看</x:v>
      </x:c>
      <x:c r="E721" s="66" t="str">
        <x:v>Runtime/Task/Result/Health/Alarm只读Attach</x:v>
      </x:c>
      <x:c r="F721" s="66" t="str">
        <x:v>Core</x:v>
      </x:c>
      <x:c r="G721" s="66" t="str">
        <x:v>38_Operations完整开发蓝图 / 39_RemoteEngineering</x:v>
      </x:c>
      <x:c r="H721" s="66" t="str">
        <x:v>M7</x:v>
      </x:c>
    </x:row>
    <x:row r="722">
      <x:c r="A722" s="58" t="str">
        <x:v>CAP-OPS-021</x:v>
      </x:c>
      <x:c r="B722" s="58" t="str">
        <x:v>Operations</x:v>
      </x:c>
      <x:c r="C722" s="58" t="str">
        <x:v>集中运维</x:v>
      </x:c>
      <x:c r="D722" s="58" t="str">
        <x:v>远程工程申请审批</x:v>
      </x:c>
      <x:c r="E722" s="58" t="str">
        <x:v>Target/Mode/TTL/Reason/审批/SessionLease</x:v>
      </x:c>
      <x:c r="F722" s="58" t="str">
        <x:v>Core</x:v>
      </x:c>
      <x:c r="G722" s="58" t="str">
        <x:v>38_Operations完整开发蓝图 / 39_RemoteEngineering</x:v>
      </x:c>
      <x:c r="H722" s="58" t="str">
        <x:v>M7</x:v>
      </x:c>
    </x:row>
    <x:row r="723">
      <x:c r="A723" s="66" t="str">
        <x:v>CAP-OPS-022</x:v>
      </x:c>
      <x:c r="B723" s="66" t="str">
        <x:v>Operations</x:v>
      </x:c>
      <x:c r="C723" s="66" t="str">
        <x:v>集中运维</x:v>
      </x:c>
      <x:c r="D723" s="66" t="str">
        <x:v>远程受控调试</x:v>
      </x:c>
      <x:c r="E723" s="66" t="str">
        <x:v>Broker→Station Agent→Debug Agent→Domain Adapter</x:v>
      </x:c>
      <x:c r="F723" s="66" t="str">
        <x:v>Core</x:v>
      </x:c>
      <x:c r="G723" s="66" t="str">
        <x:v>38_Operations完整开发蓝图 / 39_RemoteEngineering</x:v>
      </x:c>
      <x:c r="H723" s="66" t="str">
        <x:v>M7</x:v>
      </x:c>
    </x:row>
    <x:row r="724">
      <x:c r="A724" s="58" t="str">
        <x:v>CAP-OPS-023</x:v>
      </x:c>
      <x:c r="B724" s="58" t="str">
        <x:v>Operations</x:v>
      </x:c>
      <x:c r="C724" s="58" t="str">
        <x:v>集中运维</x:v>
      </x:c>
      <x:c r="D724" s="58" t="str">
        <x:v>远程Maintenance</x:v>
      </x:c>
      <x:c r="E724" s="58" t="str">
        <x:v>受控Worker restart/Runtime restart/维护模式/Commissioning</x:v>
      </x:c>
      <x:c r="F724" s="58" t="str">
        <x:v>Extended</x:v>
      </x:c>
      <x:c r="G724" s="58" t="str">
        <x:v>38_Operations完整开发蓝图 / 39_RemoteEngineering</x:v>
      </x:c>
      <x:c r="H724" s="58" t="str">
        <x:v>M7</x:v>
      </x:c>
    </x:row>
    <x:row r="725">
      <x:c r="A725" s="66" t="str">
        <x:v>CAP-OPS-024</x:v>
      </x:c>
      <x:c r="B725" s="66" t="str">
        <x:v>Operations</x:v>
      </x:c>
      <x:c r="C725" s="66" t="str">
        <x:v>集中运维</x:v>
      </x:c>
      <x:c r="D725" s="66" t="str">
        <x:v>大数据远程传输</x:v>
      </x:c>
      <x:c r="E725" s="66" t="str">
        <x:v>Image/Projection/Volume/Log bundle按Chunk/ROI/LOD按需</x:v>
      </x:c>
      <x:c r="F725" s="66" t="str">
        <x:v>Core</x:v>
      </x:c>
      <x:c r="G725" s="66" t="str">
        <x:v>38_Operations完整开发蓝图 / 39_RemoteEngineering</x:v>
      </x:c>
      <x:c r="H725" s="66" t="str">
        <x:v>M7</x:v>
      </x:c>
    </x:row>
    <x:row r="726">
      <x:c r="A726" s="58" t="str">
        <x:v>CAP-OPS-025</x:v>
      </x:c>
      <x:c r="B726" s="58" t="str">
        <x:v>Operations</x:v>
      </x:c>
      <x:c r="C726" s="58" t="str">
        <x:v>集中运维</x:v>
      </x:c>
      <x:c r="D726" s="58" t="str">
        <x:v>Station Agent管理</x:v>
      </x:c>
      <x:c r="E726" s="58" t="str">
        <x:v>Agent能力/版本/证书/Heartbeat/升级/健康</x:v>
      </x:c>
      <x:c r="F726" s="58" t="str">
        <x:v>Core</x:v>
      </x:c>
      <x:c r="G726" s="58" t="str">
        <x:v>38_Operations完整开发蓝图 / 39_RemoteEngineering</x:v>
      </x:c>
      <x:c r="H726" s="58" t="str">
        <x:v>M7</x:v>
      </x:c>
    </x:row>
    <x:row r="727">
      <x:c r="A727" s="66" t="str">
        <x:v>CAP-OPS-026</x:v>
      </x:c>
      <x:c r="B727" s="66" t="str">
        <x:v>Operations</x:v>
      </x:c>
      <x:c r="C727" s="66" t="str">
        <x:v>集中运维</x:v>
      </x:c>
      <x:c r="D727" s="66" t="str">
        <x:v>Ops Policy</x:v>
      </x:c>
      <x:c r="E727" s="66" t="str">
        <x:v>Remote/Retention/Health/ReleaseChannel/MaintenanceWindow策略</x:v>
      </x:c>
      <x:c r="F727" s="66" t="str">
        <x:v>Extended</x:v>
      </x:c>
      <x:c r="G727" s="66" t="str">
        <x:v>38_Operations完整开发蓝图 / 39_RemoteEngineering</x:v>
      </x:c>
      <x:c r="H727" s="66" t="str">
        <x:v>M7</x:v>
      </x:c>
    </x:row>
    <x:row r="728">
      <x:c r="A728" s="58" t="str">
        <x:v>CAP-OPS-027</x:v>
      </x:c>
      <x:c r="B728" s="58" t="str">
        <x:v>Operations</x:v>
      </x:c>
      <x:c r="C728" s="58" t="str">
        <x:v>集中运维</x:v>
      </x:c>
      <x:c r="D728" s="58" t="str">
        <x:v>中心离线自治</x:v>
      </x:c>
      <x:c r="E728" s="58" t="str">
        <x:v>中心/Agent/DB/网络故障不影响本机生产Runtime</x:v>
      </x:c>
      <x:c r="F728" s="58" t="str">
        <x:v>Core</x:v>
      </x:c>
      <x:c r="G728" s="58" t="str">
        <x:v>38_Operations完整开发蓝图 / 39_RemoteEngineering</x:v>
      </x:c>
      <x:c r="H728" s="58" t="str">
        <x:v>M7</x:v>
      </x:c>
    </x:row>
    <x:row r="729">
      <x:c r="A729" t="str">
        <x:v>CAP-STU-001</x:v>
      </x:c>
      <x:c r="B729" t="str">
        <x:v>Platform/Studio</x:v>
      </x:c>
      <x:c r="C729" t="str">
        <x:v>Studio Shell</x:v>
      </x:c>
      <x:c r="D729" t="str">
        <x:v>固定9个一级菜单</x:v>
      </x:c>
      <x:c r="E729" t="str">
        <x:v>文件/编辑/视图/工程/调试/运行/发布/工具/帮助长期稳定，不随Domain增加而膨胀</x:v>
      </x:c>
      <x:c r="F729" t="str">
        <x:v>Core</x:v>
      </x:c>
      <x:c r="G729" t="str">
        <x:v>45_StudioShell与Ribbon基线</x:v>
      </x:c>
      <x:c r="H729" t="str">
        <x:v>M1</x:v>
      </x:c>
    </x:row>
    <x:row r="730">
      <x:c r="A730" t="str">
        <x:v>CAP-STU-002</x:v>
      </x:c>
      <x:c r="B730" t="str">
        <x:v>Platform/Studio</x:v>
      </x:c>
      <x:c r="C730" t="str">
        <x:v>Studio Shell</x:v>
      </x:c>
      <x:c r="D730" t="str">
        <x:v>Contextual Ribbon</x:v>
      </x:c>
      <x:c r="E730" t="str">
        <x:v>专业页签由当前Document/Workspace动态激活，切换后自动隐藏上一Domain页签</x:v>
      </x:c>
      <x:c r="F730" t="str">
        <x:v>Core</x:v>
      </x:c>
      <x:c r="G730" t="str">
        <x:v>07_StudioDesigner架构 / 45_StudioShell与Ribbon基线</x:v>
      </x:c>
      <x:c r="H730" t="str">
        <x:v>M1</x:v>
      </x:c>
    </x:row>
    <x:row r="731">
      <x:c r="A731" t="str">
        <x:v>CAP-STU-003</x:v>
      </x:c>
      <x:c r="B731" t="str">
        <x:v>Platform/Studio</x:v>
      </x:c>
      <x:c r="C731" t="str">
        <x:v>工程模式</x:v>
      </x:c>
      <x:c r="D731" t="str">
        <x:v>Design模式</x:v>
      </x:c>
      <x:c r="E731" t="str">
        <x:v>允许工程结构/属性编辑；真实设备写入关闭</x:v>
      </x:c>
      <x:c r="F731" t="str">
        <x:v>Core</x:v>
      </x:c>
      <x:c r="G731" t="str">
        <x:v>07_StudioDesigner架构 / 45_StudioShell与Ribbon基线</x:v>
      </x:c>
      <x:c r="H731" t="str">
        <x:v>M1</x:v>
      </x:c>
    </x:row>
    <x:row r="732">
      <x:c r="A732" t="str">
        <x:v>CAP-STU-004</x:v>
      </x:c>
      <x:c r="B732" t="str">
        <x:v>Platform/Studio</x:v>
      </x:c>
      <x:c r="C732" t="str">
        <x:v>工程模式</x:v>
      </x:c>
      <x:c r="D732" t="str">
        <x:v>Debug-Simulation模式</x:v>
      </x:c>
      <x:c r="E732" t="str">
        <x:v>结构默认锁定，允许仿真、断点、单步、Watch/Trace</x:v>
      </x:c>
      <x:c r="F732" t="str">
        <x:v>Core</x:v>
      </x:c>
      <x:c r="G732" t="str">
        <x:v>21_Graph统一OnlineDebug架构 / 45_StudioShell与Ribbon基线</x:v>
      </x:c>
      <x:c r="H732" t="str">
        <x:v>M3</x:v>
      </x:c>
    </x:row>
    <x:row r="733">
      <x:c r="A733" t="str">
        <x:v>CAP-STU-005</x:v>
      </x:c>
      <x:c r="B733" t="str">
        <x:v>Platform/Studio</x:v>
      </x:c>
      <x:c r="C733" t="str">
        <x:v>工程模式</x:v>
      </x:c>
      <x:c r="D733" t="str">
        <x:v>Debug-Live模式</x:v>
      </x:c>
      <x:c r="E733" t="str">
        <x:v>默认只读；Real Write需显式授权、互锁、Lease和审计</x:v>
      </x:c>
      <x:c r="F733" t="str">
        <x:v>Core</x:v>
      </x:c>
      <x:c r="G733" t="str">
        <x:v>14_Security写入审计 / 21_Graph统一OnlineDebug架构 / 45_StudioShell与Ribbon基线</x:v>
      </x:c>
      <x:c r="H733" t="str">
        <x:v>M3</x:v>
      </x:c>
    </x:row>
    <x:row r="734">
      <x:c r="A734" t="str">
        <x:v>CAP-STU-006</x:v>
      </x:c>
      <x:c r="B734" t="str">
        <x:v>Platform/Studio</x:v>
      </x:c>
      <x:c r="C734" t="str">
        <x:v>工程模式</x:v>
      </x:c>
      <x:c r="D734" t="str">
        <x:v>Run模式</x:v>
      </x:c>
      <x:c r="E734" t="str">
        <x:v>工程结构锁定，执行发布后的Runtime Plan，UI以运行查看/诊断为主</x:v>
      </x:c>
      <x:c r="F734" t="str">
        <x:v>Core</x:v>
      </x:c>
      <x:c r="G734" t="str">
        <x:v>18_RuntimeHost与Domain宿主 / 45_StudioShell与Ribbon基线</x:v>
      </x:c>
      <x:c r="H734" t="str">
        <x:v>M3</x:v>
      </x:c>
    </x:row>
    <x:row r="735">
      <x:c r="A735" t="str">
        <x:v>CAP-STU-007</x:v>
      </x:c>
      <x:c r="B735" t="str">
        <x:v>Platform/Studio</x:v>
      </x:c>
      <x:c r="C735" t="str">
        <x:v>发布</x:v>
      </x:c>
      <x:c r="D735" t="str">
        <x:v>Publish生命周期</x:v>
      </x:c>
      <x:c r="E735" t="str">
        <x:v>Precheck→Build→Release→签名→部署→验证→回滚→发布记录</x:v>
      </x:c>
      <x:c r="F735" t="str">
        <x:v>Core</x:v>
      </x:c>
      <x:c r="G735" t="str">
        <x:v>45_StudioShell与Ribbon基线 / 40_开发实施路线</x:v>
      </x:c>
      <x:c r="H735" t="str">
        <x:v>M7</x:v>
      </x:c>
    </x:row>
    <x:row r="736">
      <x:c r="A736" t="str">
        <x:v>CAP-STU-008</x:v>
      </x:c>
      <x:c r="B736" t="str">
        <x:v>Platform/Studio</x:v>
      </x:c>
      <x:c r="C736" t="str">
        <x:v>命令路由</x:v>
      </x:c>
      <x:c r="D736" t="str">
        <x:v>统一CommandDescriptor链</x:v>
      </x:c>
      <x:c r="E736" t="str">
        <x:v>Ribbon/Menu→Command→Workspace/ViewModel→Application Service→Domain Contract/Runtime→Adapter</x:v>
      </x:c>
      <x:c r="F736" t="str">
        <x:v>Core</x:v>
      </x:c>
      <x:c r="G736" t="str">
        <x:v>03_架构总纲与领域边界 / 45_StudioShell与Ribbon基线</x:v>
      </x:c>
      <x:c r="H736" t="str">
        <x:v>M1</x:v>
      </x:c>
    </x:row>
    <x:row r="737">
      <x:c r="A737" t="str">
        <x:v>CAP-STU-009</x:v>
      </x:c>
      <x:c r="B737" t="str">
        <x:v>Platform/Studio</x:v>
      </x:c>
      <x:c r="C737" t="str">
        <x:v>命令路由</x:v>
      </x:c>
      <x:c r="D737" t="str">
        <x:v>Capability/Mode/Permission/Selection门禁</x:v>
      </x:c>
      <x:c r="E737" t="str">
        <x:v>所有专业命令统一判定能力、模式、权限、选择上下文，并给出Disabled原因</x:v>
      </x:c>
      <x:c r="F737" t="str">
        <x:v>Core</x:v>
      </x:c>
      <x:c r="G737" t="str">
        <x:v>07_StudioDesigner架构 / 45_StudioShell与Ribbon基线</x:v>
      </x:c>
      <x:c r="H737" t="str">
        <x:v>M1</x:v>
      </x:c>
    </x:row>
    <x:row r="738">
      <x:c r="A738" t="str">
        <x:v>CAP-STU-010</x:v>
      </x:c>
      <x:c r="B738" t="str">
        <x:v>Platform/Studio</x:v>
      </x:c>
      <x:c r="C738" t="str">
        <x:v>共享工作台</x:v>
      </x:c>
      <x:c r="D738" t="str">
        <x:v>统一Project Tree/Inspector/Catalog/Dock</x:v>
      </x:c>
      <x:c r="E738" t="str">
        <x:v>所有Domain共享工程树、属性、目录、Output/Diagnostics/Watch/Trace/Timeline/Build</x:v>
      </x:c>
      <x:c r="F738" t="str">
        <x:v>Core</x:v>
      </x:c>
      <x:c r="G738" t="str">
        <x:v>07_StudioDesigner架构 / 45_StudioShell与Ribbon基线</x:v>
      </x:c>
      <x:c r="H738" t="str">
        <x:v>M1</x:v>
      </x:c>
    </x:row>
    <x:row r="739">
      <x:c r="A739" t="str">
        <x:v>CAP-STU-011</x:v>
      </x:c>
      <x:c r="B739" t="str">
        <x:v>Platform/Studio</x:v>
      </x:c>
      <x:c r="C739" t="str">
        <x:v>扩展机制</x:v>
      </x:c>
      <x:c r="D739" t="str">
        <x:v>Workspace/Document Provider</x:v>
      </x:c>
      <x:c r="E739" t="str">
        <x:v>新增Domain只注册文档/工作区、Contextual Ribbon、CommandDescriptor及Application/Debug/Runtime入口</x:v>
      </x:c>
      <x:c r="F739" t="str">
        <x:v>Core</x:v>
      </x:c>
      <x:c r="G739" t="str">
        <x:v>45_StudioShell与Ribbon基线</x:v>
      </x:c>
      <x:c r="H739" t="str">
        <x:v>M1</x:v>
      </x:c>
    </x:row>
    <x:row r="740">
      <x:c r="A740" t="str">
        <x:v>CAP-STU-012</x:v>
      </x:c>
      <x:c r="B740" t="str">
        <x:v>Platform/Studio</x:v>
      </x:c>
      <x:c r="C740" t="str">
        <x:v>质量门禁</x:v>
      </x:c>
      <x:c r="D740" t="str">
        <x:v>Context切换UI Smoke</x:v>
      </x:c>
      <x:c r="E740" t="str">
        <x:v>切换专业文档时页签、命令启用状态、订阅释放正确，不残留上一Domain状态</x:v>
      </x:c>
      <x:c r="F740" t="str">
        <x:v>Core</x:v>
      </x:c>
      <x:c r="G740" t="str">
        <x:v>26_Graph平台测试与架构门禁 / 45_StudioShell与Ribbon基线</x:v>
      </x:c>
      <x:c r="H740" t="str">
        <x:v>M1</x:v>
      </x:c>
    </x:row>
    <x:row r="741">
      <x:c r="A741" t="str">
        <x:v>CAP-SCA-058</x:v>
      </x:c>
      <x:c r="B741" t="str">
        <x:v>SCADA</x:v>
      </x:c>
      <x:c r="C741" t="str">
        <x:v>DeviceVariable</x:v>
      </x:c>
      <x:c r="D741" t="str">
        <x:v>DeviceVariable设备变量目录</x:v>
      </x:c>
      <x:c r="E741" t="str">
        <x:v>变量管理器真正加载DeviceVariableProvider，按设备分组显示类型、地址、Quality、读写属性</x:v>
      </x:c>
      <x:c r="F741" t="str">
        <x:v>Core</x:v>
      </x:c>
      <x:c r="G741" t="str">
        <x:v>17_SCADA_ICS / 46_DeviceVariable闭环</x:v>
      </x:c>
      <x:c r="H741" t="str">
        <x:v>M2</x:v>
      </x:c>
    </x:row>
    <x:row r="742">
      <x:c r="A742" t="str">
        <x:v>CAP-SCA-059</x:v>
      </x:c>
      <x:c r="B742" t="str">
        <x:v>SCADA</x:v>
      </x:c>
      <x:c r="C742" t="str">
        <x:v>DeviceVariable</x:v>
      </x:c>
      <x:c r="D742" t="str">
        <x:v>同步Project.Variables</x:v>
      </x:c>
      <x:c r="E742" t="str">
        <x:v>DeviceVariable导入/同步为工程VariableDefinition，并维持稳定VariableId</x:v>
      </x:c>
      <x:c r="F742" t="str">
        <x:v>Core</x:v>
      </x:c>
      <x:c r="G742" t="str">
        <x:v>12_ProjectSchemaSerialization / 17_SCADA_ICS / 46_DeviceVariable闭环</x:v>
      </x:c>
      <x:c r="H742" t="str">
        <x:v>M2</x:v>
      </x:c>
    </x:row>
    <x:row r="743">
      <x:c r="A743" t="str">
        <x:v>CAP-SCA-060</x:v>
      </x:c>
      <x:c r="B743" t="str">
        <x:v>SCADA</x:v>
      </x:c>
      <x:c r="C743" t="str">
        <x:v>DeviceVariable</x:v>
      </x:c>
      <x:c r="D743" t="str">
        <x:v>设备改名不破坏绑定</x:v>
      </x:c>
      <x:c r="E743" t="str">
        <x:v>工程引用以稳定VariableId为主，显示名/设备路径变化不使Binding整体失效</x:v>
      </x:c>
      <x:c r="F743" t="str">
        <x:v>Core</x:v>
      </x:c>
      <x:c r="G743" t="str">
        <x:v>12_ProjectSchemaSerialization / 46_DeviceVariable闭环</x:v>
      </x:c>
      <x:c r="H743" t="str">
        <x:v>M2</x:v>
      </x:c>
    </x:row>
    <x:row r="744">
      <x:c r="A744" t="str">
        <x:v>CAP-SCA-061</x:v>
      </x:c>
      <x:c r="B744" t="str">
        <x:v>SCADA</x:v>
      </x:c>
      <x:c r="C744" t="str">
        <x:v>Binding</x:v>
      </x:c>
      <x:c r="D744" t="str">
        <x:v>直接选择/拖放设备变量</x:v>
      </x:c>
      <x:c r="E744" t="str">
        <x:v>图元属性/Binding编辑器可从设备变量树选择或拖入变量并生成VariableReference</x:v>
      </x:c>
      <x:c r="F744" t="str">
        <x:v>Core</x:v>
      </x:c>
      <x:c r="G744" t="str">
        <x:v>10_Property元数据Binding / 46_DeviceVariable闭环</x:v>
      </x:c>
      <x:c r="H744" t="str">
        <x:v>M2</x:v>
      </x:c>
    </x:row>
    <x:row r="745">
      <x:c r="A745" t="str">
        <x:v>CAP-SCA-062</x:v>
      </x:c>
      <x:c r="B745" t="str">
        <x:v>SCADA</x:v>
      </x:c>
      <x:c r="C745" t="str">
        <x:v>Provider生命周期</x:v>
      </x:c>
      <x:c r="D745" t="str">
        <x:v>统一初始化与Dispose</x:v>
      </x:c>
      <x:c r="E745" t="str">
        <x:v>Runtime由Composition Root统一创建、连接、重连和释放Provider；UI/ViewModel不得直访VariableManager</x:v>
      </x:c>
      <x:c r="F745" t="str">
        <x:v>Core</x:v>
      </x:c>
      <x:c r="G745" t="str">
        <x:v>18_RuntimeHost与Domain宿主 / 46_DeviceVariable闭环</x:v>
      </x:c>
      <x:c r="H745" t="str">
        <x:v>M2</x:v>
      </x:c>
    </x:row>
    <x:row r="746">
      <x:c r="A746" t="str">
        <x:v>CAP-SCA-063</x:v>
      </x:c>
      <x:c r="B746" t="str">
        <x:v>SCADA</x:v>
      </x:c>
      <x:c r="C746" t="str">
        <x:v>数据语义</x:v>
      </x:c>
      <x:c r="D746" t="str">
        <x:v>VariableValue完整语义</x:v>
      </x:c>
      <x:c r="E746" t="str">
        <x:v>Value/Quality/TimestampUtc/Sequence/Source端到端贯通Binding、Alarm、Trend、Graph</x:v>
      </x:c>
      <x:c r="F746" t="str">
        <x:v>Core</x:v>
      </x:c>
      <x:c r="G746" t="str">
        <x:v>20_Graph类型系统与数据契约 / 46_DeviceVariable闭环</x:v>
      </x:c>
      <x:c r="H746" t="str">
        <x:v>M2</x:v>
      </x:c>
    </x:row>
    <x:row r="747">
      <x:c r="A747" t="str">
        <x:v>CAP-SCA-064</x:v>
      </x:c>
      <x:c r="B747" t="str">
        <x:v>SCADA</x:v>
      </x:c>
      <x:c r="C747" t="str">
        <x:v>分发</x:v>
      </x:c>
      <x:c r="D747" t="str">
        <x:v>LatestOnly与有界Backpressure</x:v>
      </x:c>
      <x:c r="E747" t="str">
        <x:v>统一ChangeDispatcher支持LatestOnly合并、有界缓存、慢订阅者隔离，不叠加固定100ms延迟</x:v>
      </x:c>
      <x:c r="F747" t="str">
        <x:v>Core</x:v>
      </x:c>
      <x:c r="G747" t="str">
        <x:v>18_RuntimeHost与Domain宿主 / 25_Graph性能诊断可观测性 / 46_DeviceVariable闭环</x:v>
      </x:c>
      <x:c r="H747" t="str">
        <x:v>M2</x:v>
      </x:c>
    </x:row>
    <x:row r="748">
      <x:c r="A748" t="str">
        <x:v>CAP-SCA-065</x:v>
      </x:c>
      <x:c r="B748" t="str">
        <x:v>SCADA</x:v>
      </x:c>
      <x:c r="C748" t="str">
        <x:v>可靠性</x:v>
      </x:c>
      <x:c r="D748" t="str">
        <x:v>Quality/离线/重连</x:v>
      </x:c>
      <x:c r="E748" t="str">
        <x:v>Provider离线不销毁工程引用；恢复连接后按Sequence/Quality重新同步</x:v>
      </x:c>
      <x:c r="F748" t="str">
        <x:v>Core</x:v>
      </x:c>
      <x:c r="G748" t="str">
        <x:v>17_SCADA_ICS / 18_RuntimeHost与Domain宿主 / 46_DeviceVariable闭环</x:v>
      </x:c>
      <x:c r="H748" t="str">
        <x:v>M2</x:v>
      </x:c>
    </x:row>
    <x:row r="749">
      <x:c r="A749" t="str">
        <x:v>CAP-SCA-066</x:v>
      </x:c>
      <x:c r="B749" t="str">
        <x:v>SCADA</x:v>
      </x:c>
      <x:c r="C749" t="str">
        <x:v>统一数据源</x:v>
      </x:c>
      <x:c r="D749" t="str">
        <x:v>Binding/State/Alarm/Trend共用同一变量</x:v>
      </x:c>
      <x:c r="E749" t="str">
        <x:v>DeviceVariable变化驱动图元Binding、State/动画、Alarm、Trend/Chart，不建立第二套变量缓存语义</x:v>
      </x:c>
      <x:c r="F749" t="str">
        <x:v>Core</x:v>
      </x:c>
      <x:c r="G749" t="str">
        <x:v>10_Property元数据Binding / 16_Chart与数据可视化管线 / 17_SCADA_ICS / 46_DeviceVariable闭环</x:v>
      </x:c>
      <x:c r="H749" t="str">
        <x:v>M2</x:v>
      </x:c>
    </x:row>
    <x:row r="750">
      <x:c r="A750" t="str">
        <x:v>CAP-SCA-067</x:v>
      </x:c>
      <x:c r="B750" t="str">
        <x:v>SCADA</x:v>
      </x:c>
      <x:c r="C750" t="str">
        <x:v>Graph集成</x:v>
      </x:c>
      <x:c r="D750" t="str">
        <x:v>VariableChanged节点</x:v>
      </x:c>
      <x:c r="E750" t="str">
        <x:v>SCADA Graph订阅统一IVariableProvider，Quality/Timestamp/Sequence进入Graph</x:v>
      </x:c>
      <x:c r="F750" t="str">
        <x:v>Core</x:v>
      </x:c>
      <x:c r="G750" t="str">
        <x:v>19_Graph编排模型与执行基础 / 22_Graph集成与资源管理 / 46_DeviceVariable闭环</x:v>
      </x:c>
      <x:c r="H750" t="str">
        <x:v>M3</x:v>
      </x:c>
    </x:row>
    <x:row r="751">
      <x:c r="A751" t="str">
        <x:v>CAP-SCA-068</x:v>
      </x:c>
      <x:c r="B751" t="str">
        <x:v>SCADA</x:v>
      </x:c>
      <x:c r="C751" t="str">
        <x:v>Graph集成</x:v>
      </x:c>
      <x:c r="D751" t="str">
        <x:v>ReadVariable节点</x:v>
      </x:c>
      <x:c r="E751" t="str">
        <x:v>Graph通过统一IVariableProvider读取变量，禁止节点直连Legacy VariableManager</x:v>
      </x:c>
      <x:c r="F751" t="str">
        <x:v>Core</x:v>
      </x:c>
      <x:c r="G751" t="str">
        <x:v>19_Graph编排模型与执行基础 / 22_Graph集成与资源管理 / 46_DeviceVariable闭环</x:v>
      </x:c>
      <x:c r="H751" t="str">
        <x:v>M3</x:v>
      </x:c>
    </x:row>
    <x:row r="752">
      <x:c r="A752" t="str">
        <x:v>CAP-SCA-069</x:v>
      </x:c>
      <x:c r="B752" t="str">
        <x:v>SCADA</x:v>
      </x:c>
      <x:c r="C752" t="str">
        <x:v>Graph集成</x:v>
      </x:c>
      <x:c r="D752" t="str">
        <x:v>WriteVariable节点</x:v>
      </x:c>
      <x:c r="E752" t="str">
        <x:v>Graph写变量必须进入统一WritePipeline并得到真实Provider Write/Readback结果</x:v>
      </x:c>
      <x:c r="F752" t="str">
        <x:v>Core</x:v>
      </x:c>
      <x:c r="G752" t="str">
        <x:v>14_Security写入审计 / 22_Graph集成与资源管理 / 46_DeviceVariable闭环</x:v>
      </x:c>
      <x:c r="H752" t="str">
        <x:v>M3</x:v>
      </x:c>
    </x:row>
    <x:row r="753">
      <x:c r="A753" t="str">
        <x:v>CAP-SCA-070</x:v>
      </x:c>
      <x:c r="B753" t="str">
        <x:v>SCADA</x:v>
      </x:c>
      <x:c r="C753" t="str">
        <x:v>工程可靠性</x:v>
      </x:c>
      <x:c r="D753" t="str">
        <x:v>保存/重开引用保持</x:v>
      </x:c>
      <x:c r="E753" t="str">
        <x:v>工程保存重开后VariableReference、Provider Profile、VariableId保持，Provider暂时离线也不丢绑定</x:v>
      </x:c>
      <x:c r="F753" t="str">
        <x:v>Core</x:v>
      </x:c>
      <x:c r="G753" t="str">
        <x:v>12_ProjectSchemaSerialization / 46_DeviceVariable闭环</x:v>
      </x:c>
      <x:c r="H753" t="str">
        <x:v>M2</x:v>
      </x:c>
    </x:row>
    <x:row r="754">
      <x:c r="A754" t="str">
        <x:v>CAP-SCA-071</x:v>
      </x:c>
      <x:c r="B754" t="str">
        <x:v>SCADA</x:v>
      </x:c>
      <x:c r="C754" t="str">
        <x:v>测试</x:v>
      </x:c>
      <x:c r="D754" t="str">
        <x:v>DeviceVariable端到端集成测试</x:v>
      </x:c>
      <x:c r="E754" t="str">
        <x:v>覆盖Project Variables、Binding→Element Runtime、SCADA Graph、Quality/重连、Controlled Write、Save/Reopen</x:v>
      </x:c>
      <x:c r="F754" t="str">
        <x:v>Core</x:v>
      </x:c>
      <x:c r="G754" t="str">
        <x:v>26_Graph平台测试与架构门禁 / 46_DeviceVariable闭环</x:v>
      </x:c>
      <x:c r="H754" t="str">
        <x:v>M3</x:v>
      </x:c>
    </x:row>
    <x:row r="755">
      <x:c r="A755" t="str">
        <x:v>CAP-SEC-023</x:v>
      </x:c>
      <x:c r="B755" t="str">
        <x:v>Security</x:v>
      </x:c>
      <x:c r="C755" t="str">
        <x:v>Controlled Write</x:v>
      </x:c>
      <x:c r="D755" t="str">
        <x:v>统一变量写入链</x:v>
      </x:c>
      <x:c r="E755" t="str">
        <x:v>Action/Graph/UI→WritePipeline→权限/类型/范围/Interlock/Audit→IVariableProvider.Write→Readback</x:v>
      </x:c>
      <x:c r="F755" t="str">
        <x:v>Core</x:v>
      </x:c>
      <x:c r="G755" t="str">
        <x:v>14_Security写入审计 / 46_DeviceVariable闭环</x:v>
      </x:c>
      <x:c r="H755" t="str">
        <x:v>M2</x:v>
      </x:c>
    </x:row>
    <x:row r="756">
      <x:c r="A756" t="str">
        <x:v>CAP-SEC-024</x:v>
      </x:c>
      <x:c r="B756" t="str">
        <x:v>Security</x:v>
      </x:c>
      <x:c r="C756" t="str">
        <x:v>Controlled Write</x:v>
      </x:c>
      <x:c r="D756" t="str">
        <x:v>本地缓存更新不等于设备写成功</x:v>
      </x:c>
      <x:c r="E756" t="str">
        <x:v>VariableTable.UpdateVariable等本地更新仅表示缓存变化，不能作为PLC/Device写成功证据</x:v>
      </x:c>
      <x:c r="F756" t="str">
        <x:v>Core</x:v>
      </x:c>
      <x:c r="G756" t="str">
        <x:v>14_Security写入审计 / 46_DeviceVariable闭环</x:v>
      </x:c>
      <x:c r="H756" t="str">
        <x:v>M2</x:v>
      </x:c>
    </x:row>
    <x:row r="757">
      <x:c r="A757" t="str">
        <x:v>CAP-MOT-036</x:v>
      </x:c>
      <x:c r="B757" t="str">
        <x:v>Motion</x:v>
      </x:c>
      <x:c r="C757" t="str">
        <x:v>硬件抽象</x:v>
      </x:c>
      <x:c r="D757" t="str">
        <x:v>控制核心统一抽象</x:v>
      </x:c>
      <x:c r="E757" t="str">
        <x:v>运动控制器/运动卡通过IMotionController；PLC通过IPlcDevice；厂商SDK只在Adapter</x:v>
      </x:c>
      <x:c r="F757" t="str">
        <x:v>Core</x:v>
      </x:c>
      <x:c r="G757" t="str">
        <x:v>27_Motion完整开发蓝图 / 47_运控硬件抽象体系</x:v>
      </x:c>
      <x:c r="H757" t="str">
        <x:v>M4</x:v>
      </x:c>
    </x:row>
    <x:row r="758">
      <x:c r="A758" t="str">
        <x:v>CAP-MOT-037</x:v>
      </x:c>
      <x:c r="B758" t="str">
        <x:v>Motion</x:v>
      </x:c>
      <x:c r="C758" t="str">
        <x:v>硬件抽象</x:v>
      </x:c>
      <x:c r="D758" t="str">
        <x:v>Fieldbus Master/Slave</x:v>
      </x:c>
      <x:c r="E758" t="str">
        <x:v>EtherCAT Master抽象IFieldbusMaster，从站/IO/驱动/耦合器抽象IFieldbusDevice</x:v>
      </x:c>
      <x:c r="F758" t="str">
        <x:v>Core</x:v>
      </x:c>
      <x:c r="G758" t="str">
        <x:v>22_Graph集成与资源管理 / 27_Motion完整开发蓝图 / 47_运控硬件抽象体系</x:v>
      </x:c>
      <x:c r="H758" t="str">
        <x:v>M4</x:v>
      </x:c>
    </x:row>
    <x:row r="759">
      <x:c r="A759" t="str">
        <x:v>CAP-MOT-038</x:v>
      </x:c>
      <x:c r="B759" t="str">
        <x:v>Motion</x:v>
      </x:c>
      <x:c r="C759" t="str">
        <x:v>执行器</x:v>
      </x:c>
      <x:c r="D759" t="str">
        <x:v>逻辑Axis聚合</x:v>
      </x:c>
      <x:c r="E759" t="str">
        <x:v>伺服驱动器/电机/直线电机/步进/DD马达通常通过IAxis统一控制，组件诊断通过Capability暴露</x:v>
      </x:c>
      <x:c r="F759" t="str">
        <x:v>Core</x:v>
      </x:c>
      <x:c r="G759" t="str">
        <x:v>27_Motion完整开发蓝图 / 47_运控硬件抽象体系</x:v>
      </x:c>
      <x:c r="H759" t="str">
        <x:v>M4</x:v>
      </x:c>
    </x:row>
    <x:row r="760">
      <x:c r="A760" t="str">
        <x:v>CAP-MOT-039</x:v>
      </x:c>
      <x:c r="B760" t="str">
        <x:v>Motion</x:v>
      </x:c>
      <x:c r="C760" t="str">
        <x:v>执行器</x:v>
      </x:c>
      <x:c r="D760" t="str">
        <x:v>电动缸/VFD</x:v>
      </x:c>
      <x:c r="E760" t="str">
        <x:v>电动缸按能力映射IAxis或IActuator；变频器使用IVariableFrequencyDrive</x:v>
      </x:c>
      <x:c r="F760" t="str">
        <x:v>Core</x:v>
      </x:c>
      <x:c r="G760" t="str">
        <x:v>27_Motion完整开发蓝图 / 47_运控硬件抽象体系</x:v>
      </x:c>
      <x:c r="H760" t="str">
        <x:v>M4</x:v>
      </x:c>
    </x:row>
    <x:row r="761">
      <x:c r="A761" t="str">
        <x:v>CAP-MOT-040</x:v>
      </x:c>
      <x:c r="B761" t="str">
        <x:v>Motion</x:v>
      </x:c>
      <x:c r="C761" t="str">
        <x:v>气动</x:v>
      </x:c>
      <x:c r="D761" t="str">
        <x:v>Cylinder/Valve/ValveManifold/Vacuum</x:v>
      </x:c>
      <x:c r="E761" t="str">
        <x:v>气缸、电磁阀、阀岛、真空形成明确能力接口，不以散乱DO脚本代替设备语义</x:v>
      </x:c>
      <x:c r="F761" t="str">
        <x:v>Core</x:v>
      </x:c>
      <x:c r="G761" t="str">
        <x:v>27_Motion完整开发蓝图 / 47_运控硬件抽象体系</x:v>
      </x:c>
      <x:c r="H761" t="str">
        <x:v>M4</x:v>
      </x:c>
    </x:row>
    <x:row r="762">
      <x:c r="A762" t="str">
        <x:v>CAP-MOT-041</x:v>
      </x:c>
      <x:c r="B762" t="str">
        <x:v>Motion</x:v>
      </x:c>
      <x:c r="C762" t="str">
        <x:v>IO</x:v>
      </x:c>
      <x:c r="D762" t="str">
        <x:v>DI/DO/AI/AO统一通道</x:v>
      </x:c>
      <x:c r="E762" t="str">
        <x:v>数字/模拟输入输出具统一地址、Quality、Timestamp、Read/Write能力</x:v>
      </x:c>
      <x:c r="F762" t="str">
        <x:v>Core</x:v>
      </x:c>
      <x:c r="G762" t="str">
        <x:v>27_Motion完整开发蓝图 / 47_运控硬件抽象体系</x:v>
      </x:c>
      <x:c r="H762" t="str">
        <x:v>M4</x:v>
      </x:c>
    </x:row>
    <x:row r="763">
      <x:c r="A763" t="str">
        <x:v>CAP-MOT-042</x:v>
      </x:c>
      <x:c r="B763" t="str">
        <x:v>Motion</x:v>
      </x:c>
      <x:c r="C763" t="str">
        <x:v>反馈/传感</x:v>
      </x:c>
      <x:c r="D763" t="str">
        <x:v>位置/力/扭矩/压力传感</x:v>
      </x:c>
      <x:c r="E763" t="str">
        <x:v>编码器通常归IAxis；光栅尺/激光位移/力/扭矩/压力按能力接口进入平台</x:v>
      </x:c>
      <x:c r="F763" t="str">
        <x:v>Core</x:v>
      </x:c>
      <x:c r="G763" t="str">
        <x:v>27_Motion完整开发蓝图 / 47_运控硬件抽象体系</x:v>
      </x:c>
      <x:c r="H763" t="str">
        <x:v>M4</x:v>
      </x:c>
    </x:row>
    <x:row r="764">
      <x:c r="A764" t="str">
        <x:v>CAP-MOT-043</x:v>
      </x:c>
      <x:c r="B764" t="str">
        <x:v>Motion</x:v>
      </x:c>
      <x:c r="C764" t="str">
        <x:v>触发</x:v>
      </x:c>
      <x:c r="D764" t="str">
        <x:v>高速触发与位置比较</x:v>
      </x:c>
      <x:c r="E764" t="str">
        <x:v>相机触发/X-Ray曝光同步使用ITriggerIO；Position Compare使用IPositionTrigger并尽量下沉硬件</x:v>
      </x:c>
      <x:c r="F764" t="str">
        <x:v>Core</x:v>
      </x:c>
      <x:c r="G764" t="str">
        <x:v>27_Motion完整开发蓝图 / 47_运控硬件抽象体系</x:v>
      </x:c>
      <x:c r="H764" t="str">
        <x:v>M4</x:v>
      </x:c>
    </x:row>
    <x:row r="765">
      <x:c r="A765" t="str">
        <x:v>CAP-MOT-044</x:v>
      </x:c>
      <x:c r="B765" t="str">
        <x:v>Motion</x:v>
      </x:c>
      <x:c r="C765" t="str">
        <x:v>安全</x:v>
      </x:c>
      <x:c r="D765" t="str">
        <x:v>Safety独立能力域</x:v>
      </x:c>
      <x:c r="E765" t="str">
        <x:v>急停/安全门/光栅为ISafetyInput；安全继电器ISafetyDevice；Safety PLC为ISafetyController</x:v>
      </x:c>
      <x:c r="F765" t="str">
        <x:v>Core</x:v>
      </x:c>
      <x:c r="G765" t="str">
        <x:v>14_Security写入审计 / 27_Motion完整开发蓝图 / 47_运控硬件抽象体系</x:v>
      </x:c>
      <x:c r="H765" t="str">
        <x:v>M4</x:v>
      </x:c>
    </x:row>
    <x:row r="766">
      <x:c r="A766" t="str">
        <x:v>CAP-MOT-045</x:v>
      </x:c>
      <x:c r="B766" t="str">
        <x:v>Motion</x:v>
      </x:c>
      <x:c r="C766" t="str">
        <x:v>辅助执行</x:v>
      </x:c>
      <x:c r="D766" t="str">
        <x:v>Lock/SignalTower</x:v>
      </x:c>
      <x:c r="E766" t="str">
        <x:v>电磁锁使用ILock；三色灯/蜂鸣器使用ISignalTower，统一诊断与控制语义</x:v>
      </x:c>
      <x:c r="F766" t="str">
        <x:v>Extended</x:v>
      </x:c>
      <x:c r="G766" t="str">
        <x:v>27_Motion完整开发蓝图 / 47_运控硬件抽象体系</x:v>
      </x:c>
      <x:c r="H766" t="str">
        <x:v>M4</x:v>
      </x:c>
    </x:row>
    <x:row r="767">
      <x:c r="A767" t="str">
        <x:v>CAP-MOT-046</x:v>
      </x:c>
      <x:c r="B767" t="str">
        <x:v>Motion</x:v>
      </x:c>
      <x:c r="C767" t="str">
        <x:v>工艺设备</x:v>
      </x:c>
      <x:c r="D767" t="str">
        <x:v>X-Ray/Detector/Camera</x:v>
      </x:c>
      <x:c r="E767" t="str">
        <x:v>工艺设备通过IXraySource/IDetector/ICamera接入Resource/Interlock/Trigger/Diagnostics</x:v>
      </x:c>
      <x:c r="F767" t="str">
        <x:v>Core</x:v>
      </x:c>
      <x:c r="G767" t="str">
        <x:v>27_Motion完整开发蓝图 / 47_运控硬件抽象体系</x:v>
      </x:c>
      <x:c r="H767" t="str">
        <x:v>M4</x:v>
      </x:c>
    </x:row>
    <x:row r="768">
      <x:c r="A768" t="str">
        <x:v>CAP-MOT-047</x:v>
      </x:c>
      <x:c r="B768" t="str">
        <x:v>Motion</x:v>
      </x:c>
      <x:c r="C768" t="str">
        <x:v>生命周期</x:v>
      </x:c>
      <x:c r="D768" t="str">
        <x:v>设备Ownership与Dispose</x:v>
      </x:c>
      <x:c r="E768" t="str">
        <x:v>父Provider/Controller拥有厂商对象生命周期；叶子Axis/IO Channel不重复Dispose共享SDK句柄</x:v>
      </x:c>
      <x:c r="F768" t="str">
        <x:v>Core</x:v>
      </x:c>
      <x:c r="G768" t="str">
        <x:v>18_RuntimeHost与Domain宿主 / 27_Motion完整开发蓝图 / 47_运控硬件抽象体系</x:v>
      </x:c>
      <x:c r="H768" t="str">
        <x:v>M4</x:v>
      </x:c>
    </x:row>
    <x:row r="769">
      <x:c r="A769" t="str">
        <x:v>CAP-MOT-048</x:v>
      </x:c>
      <x:c r="B769" t="str">
        <x:v>Motion</x:v>
      </x:c>
      <x:c r="C769" t="str">
        <x:v>诊断</x:v>
      </x:c>
      <x:c r="D769" t="str">
        <x:v>统一Hardware Diagnostics</x:v>
      </x:c>
      <x:c r="E769" t="str">
        <x:v>控制器/PLC/总线/轴/IO/传感/安全/工艺设备均提供State/Quality/Fault/Capabilities诊断</x:v>
      </x:c>
      <x:c r="F769" t="str">
        <x:v>Core</x:v>
      </x:c>
      <x:c r="G769" t="str">
        <x:v>28_Motion在线调试 / 47_运控硬件抽象体系</x:v>
      </x:c>
      <x:c r="H769" t="str">
        <x:v>M4</x:v>
      </x:c>
    </x:row>
    <x:row r="770">
      <x:c r="A770" t="str">
        <x:v>CAP-HMI-378</x:v>
      </x:c>
      <x:c r="B770" t="str">
        <x:v>Visual/HMI</x:v>
      </x:c>
      <x:c r="C770" t="str">
        <x:v>Contextual Ribbon</x:v>
      </x:c>
      <x:c r="D770" t="str">
        <x:v>HMI绘图上下文</x:v>
      </x:c>
      <x:c r="E770" t="str">
        <x:v>Screen/Symbol激活绘图/排列/图层/绑定页签；绘图不再是永久一级菜单</x:v>
      </x:c>
      <x:c r="F770" t="str">
        <x:v>Core</x:v>
      </x:c>
      <x:c r="G770" t="str">
        <x:v>07_StudioDesigner架构 / 45_StudioShell与Ribbon基线</x:v>
      </x:c>
      <x:c r="H770" t="str">
        <x:v>M2</x:v>
      </x:c>
    </x:row>
    <x:row r="771">
      <x:c r="A771" t="str">
        <x:v>CAP-SCA-072</x:v>
      </x:c>
      <x:c r="B771" t="str">
        <x:v>SCADA</x:v>
      </x:c>
      <x:c r="C771" t="str">
        <x:v>Contextual Ribbon</x:v>
      </x:c>
      <x:c r="D771" t="str">
        <x:v>SCADA配置上下文</x:v>
      </x:c>
      <x:c r="E771" t="str">
        <x:v>SCADA Config激活设备/变量/报警/历史/配方页签</x:v>
      </x:c>
      <x:c r="F771" t="str">
        <x:v>Core</x:v>
      </x:c>
      <x:c r="G771" t="str">
        <x:v>17_SCADA_ICS / 45_StudioShell与Ribbon基线</x:v>
      </x:c>
      <x:c r="H771" t="str">
        <x:v>M2</x:v>
      </x:c>
    </x:row>
    <x:row r="772">
      <x:c r="A772" t="str">
        <x:v>CAP-GRF-086</x:v>
      </x:c>
      <x:c r="B772" t="str">
        <x:v>Graph Platform</x:v>
      </x:c>
      <x:c r="C772" t="str">
        <x:v>Contextual Ribbon</x:v>
      </x:c>
      <x:c r="D772" t="str">
        <x:v>Graph上下文</x:v>
      </x:c>
      <x:c r="E772" t="str">
        <x:v>Graph文档激活节点/连线/Graph专业页签，并复用统一Debug</x:v>
      </x:c>
      <x:c r="F772" t="str">
        <x:v>Core</x:v>
      </x:c>
      <x:c r="G772" t="str">
        <x:v>19_Graph编排模型与执行基础 / 45_StudioShell与Ribbon基线</x:v>
      </x:c>
      <x:c r="H772" t="str">
        <x:v>M3</x:v>
      </x:c>
    </x:row>
    <x:row r="773">
      <x:c r="A773" t="str">
        <x:v>CAP-MOT-049</x:v>
      </x:c>
      <x:c r="B773" t="str">
        <x:v>Motion</x:v>
      </x:c>
      <x:c r="C773" t="str">
        <x:v>Contextual Ribbon</x:v>
      </x:c>
      <x:c r="D773" t="str">
        <x:v>Motion上下文</x:v>
      </x:c>
      <x:c r="E773" t="str">
        <x:v>Motion文档激活运动/轴-IO/硬件页签</x:v>
      </x:c>
      <x:c r="F773" t="str">
        <x:v>Core</x:v>
      </x:c>
      <x:c r="G773" t="str">
        <x:v>27_Motion完整开发蓝图 / 45_StudioShell与Ribbon基线</x:v>
      </x:c>
      <x:c r="H773" t="str">
        <x:v>M4</x:v>
      </x:c>
    </x:row>
    <x:row r="774">
      <x:c r="A774" t="str">
        <x:v>CAP-ROB-023</x:v>
      </x:c>
      <x:c r="B774" t="str">
        <x:v>Robot</x:v>
      </x:c>
      <x:c r="C774" t="str">
        <x:v>Contextual Ribbon</x:v>
      </x:c>
      <x:c r="D774" t="str">
        <x:v>Robot上下文</x:v>
      </x:c>
      <x:c r="E774" t="str">
        <x:v>Robot文档激活机器人/路径/示教页签，不成为永久主菜单</x:v>
      </x:c>
      <x:c r="F774" t="str">
        <x:v>Core</x:v>
      </x:c>
      <x:c r="G774" t="str">
        <x:v>29_Robot完整开发蓝图 / 45_StudioShell与Ribbon基线</x:v>
      </x:c>
      <x:c r="H774" t="str">
        <x:v>M4+</x:v>
      </x:c>
    </x:row>
    <x:row r="775">
      <x:c r="A775" t="str">
        <x:v>CAP-VIS-036</x:v>
      </x:c>
      <x:c r="B775" t="str">
        <x:v>Vision</x:v>
      </x:c>
      <x:c r="C775" t="str">
        <x:v>Contextual Ribbon</x:v>
      </x:c>
      <x:c r="D775" t="str">
        <x:v>Vision上下文</x:v>
      </x:c>
      <x:c r="E775" t="str">
        <x:v>Vision文档激活视觉/算法/标定/图像页签</x:v>
      </x:c>
      <x:c r="F775" t="str">
        <x:v>Core</x:v>
      </x:c>
      <x:c r="G775" t="str">
        <x:v>31_Vision完整开发蓝图 / 45_StudioShell与Ribbon基线</x:v>
      </x:c>
      <x:c r="H775" t="str">
        <x:v>M5</x:v>
      </x:c>
    </x:row>
    <x:row r="776">
      <x:c r="A776" t="str">
        <x:v>CAP-CT-023</x:v>
      </x:c>
      <x:c r="B776" t="str">
        <x:v>CT/3D</x:v>
      </x:c>
      <x:c r="C776" t="str">
        <x:v>Contextual Ribbon</x:v>
      </x:c>
      <x:c r="D776" t="str">
        <x:v>CT/3D上下文</x:v>
      </x:c>
      <x:c r="E776" t="str">
        <x:v>CT3D文档激活CT/3D/重建/可视化页签</x:v>
      </x:c>
      <x:c r="F776" t="str">
        <x:v>Core</x:v>
      </x:c>
      <x:c r="G776" t="str">
        <x:v>33_CT3D完整开发蓝图 / 45_StudioShell与Ribbon基线</x:v>
      </x:c>
      <x:c r="H776" t="str">
        <x:v>M5+</x:v>
      </x:c>
    </x:row>
    <x:row r="777">
      <x:c r="A777" t="str">
        <x:v>CAP-INS-039</x:v>
      </x:c>
      <x:c r="B777" t="str">
        <x:v>Inspection</x:v>
      </x:c>
      <x:c r="C777" t="str">
        <x:v>Contextual Ribbon</x:v>
      </x:c>
      <x:c r="D777" t="str">
        <x:v>Inspection上下文</x:v>
      </x:c>
      <x:c r="E777" t="str">
        <x:v>Inspection文档激活流程/检测/工位页签</x:v>
      </x:c>
      <x:c r="F777" t="str">
        <x:v>Core</x:v>
      </x:c>
      <x:c r="G777" t="str">
        <x:v>35_Inspection完整开发蓝图 / 45_StudioShell与Ribbon基线</x:v>
      </x:c>
      <x:c r="H777" t="str">
        <x:v>M6</x:v>
      </x:c>
    </x:row>
    <x:row r="778">
      <x:c r="A778" s="117" t="str">
        <x:v>CAP-ARC-101</x:v>
      </x:c>
      <x:c r="B778" s="117" t="str">
        <x:v>Platform</x:v>
      </x:c>
      <x:c r="C778" s="117" t="str">
        <x:v>架构</x:v>
      </x:c>
      <x:c r="D778" s="117" t="str">
        <x:v>1 Platform + 6 Workbenches</x:v>
      </x:c>
      <x:c r="E778" s="117" t="str">
        <x:v>一级产品结构固定；Motion/Robot/SCADA/PLC归Automation，CT3D与Vision平级</x:v>
      </x:c>
      <x:c r="F778" s="117" t="str">
        <x:v>Core</x:v>
      </x:c>
      <x:c r="G778" s="117" t="str">
        <x:v>03/04/49</x:v>
      </x:c>
      <x:c r="H778" s="117" t="str">
        <x:v>V6.0</x:v>
      </x:c>
    </x:row>
    <x:row r="779">
      <x:c r="A779" s="117" t="str">
        <x:v>CAP-ICS-101</x:v>
      </x:c>
      <x:c r="B779" s="117" t="str">
        <x:v>Automation/ICS</x:v>
      </x:c>
      <x:c r="C779" s="117" t="str">
        <x:v>协议</x:v>
      </x:c>
      <x:c r="D779" s="117" t="str">
        <x:v>真实Modbus TCP Provider</x:v>
      </x:c>
      <x:c r="E779" s="117" t="str">
        <x:v>FC01/02/03/04/05/06/15/16、Codec、Polling、Reconnect/Backoff</x:v>
      </x:c>
      <x:c r="F779" s="117" t="str">
        <x:v>Core</x:v>
      </x:c>
      <x:c r="G779" s="117" t="str">
        <x:v>17/49</x:v>
      </x:c>
      <x:c r="H779" s="117" t="str">
        <x:v>V6.4</x:v>
      </x:c>
    </x:row>
    <x:row r="780">
      <x:c r="A780" s="117" t="str">
        <x:v>CAP-ICS-102</x:v>
      </x:c>
      <x:c r="B780" s="117" t="str">
        <x:v>Automation/ICS</x:v>
      </x:c>
      <x:c r="C780" s="117" t="str">
        <x:v>可靠性</x:v>
      </x:c>
      <x:c r="D780" s="117" t="str">
        <x:v>PLC断线恢复</x:v>
      </x:c>
      <x:c r="E780" s="117" t="str">
        <x:v>Quality→Disconnected，重连后同一VariableRef恢复Good，不重建Resource</x:v>
      </x:c>
      <x:c r="F780" s="117" t="str">
        <x:v>Core</x:v>
      </x:c>
      <x:c r="G780" s="117" t="str">
        <x:v>17/37/49</x:v>
      </x:c>
      <x:c r="H780" s="117" t="str">
        <x:v>V6.4</x:v>
      </x:c>
    </x:row>
    <x:row r="781">
      <x:c r="A781" s="117" t="str">
        <x:v>CAP-SCA-101</x:v>
      </x:c>
      <x:c r="B781" s="117" t="str">
        <x:v>Automation/SCADA</x:v>
      </x:c>
      <x:c r="C781" s="117" t="str">
        <x:v>Controlled Write</x:v>
      </x:c>
      <x:c r="D781" s="117" t="str">
        <x:v>写入+回读+审计</x:v>
      </x:c>
      <x:c r="E781" s="117" t="str">
        <x:v>Authorization→Policy→Provider Write→bounded Readback→Audit；Mismatch失败</x:v>
      </x:c>
      <x:c r="F781" s="117" t="str">
        <x:v>Core</x:v>
      </x:c>
      <x:c r="G781" s="117" t="str">
        <x:v>14/17/49</x:v>
      </x:c>
      <x:c r="H781" s="117" t="str">
        <x:v>V6.4</x:v>
      </x:c>
    </x:row>
    <x:row r="782">
      <x:c r="A782" s="117" t="str">
        <x:v>CAP-SCA-102</x:v>
      </x:c>
      <x:c r="B782" s="117" t="str">
        <x:v>Automation/SCADA</x:v>
      </x:c>
      <x:c r="C782" s="117" t="str">
        <x:v>Alarm</x:v>
      </x:c>
      <x:c r="D782" s="117" t="str">
        <x:v>工业报警治理</x:v>
      </x:c>
      <x:c r="E782" s="117" t="str">
        <x:v>Delay/Deadband/Priority/Ack/Suppress/History/Bounded Queue</x:v>
      </x:c>
      <x:c r="F782" s="117" t="str">
        <x:v>Core</x:v>
      </x:c>
      <x:c r="G782" s="117" t="str">
        <x:v>17/49</x:v>
      </x:c>
      <x:c r="H782" s="117" t="str">
        <x:v>V6.2~V6.4</x:v>
      </x:c>
    </x:row>
    <x:row r="783">
      <x:c r="A783" s="117" t="str">
        <x:v>CAP-SCA-103</x:v>
      </x:c>
      <x:c r="B783" s="117" t="str">
        <x:v>Automation/SCADA</x:v>
      </x:c>
      <x:c r="C783" s="117" t="str">
        <x:v>Historian</x:v>
      </x:c>
      <x:c r="D783" s="117" t="str">
        <x:v>StoreForward与Restart</x:v>
      </x:c>
      <x:c r="E783" s="117" t="str">
        <x:v>Batch/Deadband/Queue/Restart/断线补写并保留源时间</x:v>
      </x:c>
      <x:c r="F783" s="117" t="str">
        <x:v>Core</x:v>
      </x:c>
      <x:c r="G783" s="117" t="str">
        <x:v>17/49</x:v>
      </x:c>
      <x:c r="H783" s="117" t="str">
        <x:v>V6.2~V6.4</x:v>
      </x:c>
    </x:row>
    <x:row r="784">
      <x:c r="A784" s="117" t="str">
        <x:v>CAP-MOT-101</x:v>
      </x:c>
      <x:c r="B784" s="117" t="str">
        <x:v>Automation/Motion</x:v>
      </x:c>
      <x:c r="C784" s="117" t="str">
        <x:v>编排</x:v>
      </x:c>
      <x:c r="D784" s="117" t="str">
        <x:v>MotionProgram编译执行</x:v>
      </x:c>
      <x:c r="E784" s="117" t="str">
        <x:v>Definition→Validate→Compile→ExecutionPlan→专业Runtime</x:v>
      </x:c>
      <x:c r="F784" s="117" t="str">
        <x:v>Core</x:v>
      </x:c>
      <x:c r="G784" s="117" t="str">
        <x:v>27/37/49</x:v>
      </x:c>
      <x:c r="H784" s="117" t="str">
        <x:v>V6.4</x:v>
      </x:c>
    </x:row>
    <x:row r="785">
      <x:c r="A785" s="117" t="str">
        <x:v>CAP-MOT-102</x:v>
      </x:c>
      <x:c r="B785" s="117" t="str">
        <x:v>Automation/Motion</x:v>
      </x:c>
      <x:c r="C785" s="117" t="str">
        <x:v>并发/资源</x:v>
      </x:c>
      <x:c r="D785" s="117" t="str">
        <x:v>Sequence/Parallel + ResourceLease</x:v>
      </x:c>
      <x:c r="E785" s="117" t="str">
        <x:v>并行分支受资源/互锁约束，竞争Timeout可诊断</x:v>
      </x:c>
      <x:c r="F785" s="117" t="str">
        <x:v>Core</x:v>
      </x:c>
      <x:c r="G785" s="117" t="str">
        <x:v>27/37/49</x:v>
      </x:c>
      <x:c r="H785" s="117" t="str">
        <x:v>V6.4</x:v>
      </x:c>
    </x:row>
    <x:row r="786">
      <x:c r="A786" s="117" t="str">
        <x:v>CAP-QA-101</x:v>
      </x:c>
      <x:c r="B786" s="117" t="str">
        <x:v>Platform/QA</x:v>
      </x:c>
      <x:c r="C786" s="117" t="str">
        <x:v>Case Regression</x:v>
      </x:c>
      <x:c r="D786" s="117" t="str">
        <x:v>Case驱动工业化</x:v>
      </x:c>
      <x:c r="E786" s="117" t="str">
        <x:v>Case→发现问题→对照文档→补实现→再Case，不用接口数量冒充完成</x:v>
      </x:c>
      <x:c r="F786" s="117" t="str">
        <x:v>Core</x:v>
      </x:c>
      <x:c r="G786" s="117" t="str">
        <x:v>26/40/49</x:v>
      </x:c>
      <x:c r="H786" s="117" t="str">
        <x:v>V6.x</x:v>
      </x:c>
    </x:row>
    <x:row r="787">
      <x:c r="A787" s="117" t="str">
        <x:v>CAP-VAR-101</x:v>
      </x:c>
      <x:c r="B787" s="117" t="str">
        <x:v>Platform</x:v>
      </x:c>
      <x:c r="C787" s="117" t="str">
        <x:v>Variable</x:v>
      </x:c>
      <x:c r="D787" s="117" t="str">
        <x:v>通用Variable Foundation</x:v>
      </x:c>
      <x:c r="E787" s="117" t="str">
        <x:v>VariableSpace/Group/Variable&lt;T&gt;/Snapshot/Binding，DeviceVariable降为兼容</x:v>
      </x:c>
      <x:c r="F787" s="117" t="str">
        <x:v>Core</x:v>
      </x:c>
      <x:c r="G787" s="117" t="str">
        <x:v>46/50</x:v>
      </x:c>
      <x:c r="H787" s="117" t="str">
        <x:v>V6.5候选</x:v>
      </x:c>
    </x:row>
    <x:row r="788">
      <x:c r="A788" s="117" t="str">
        <x:v>CAP-VAR-102</x:v>
      </x:c>
      <x:c r="B788" s="117" t="str">
        <x:v>Platform</x:v>
      </x:c>
      <x:c r="C788" s="117" t="str">
        <x:v>Variable</x:v>
      </x:c>
      <x:c r="D788" s="117" t="str">
        <x:v>稳定VariableId</x:v>
      </x:c>
      <x:c r="E788" s="117" t="str">
        <x:v>改名/移动Group/换Provider/Real-Virtual-Replay切换不破上层引用</x:v>
      </x:c>
      <x:c r="F788" s="117" t="str">
        <x:v>Core</x:v>
      </x:c>
      <x:c r="G788" s="117" t="str">
        <x:v>46/50</x:v>
      </x:c>
      <x:c r="H788" s="117" t="str">
        <x:v>V6.5候选</x:v>
      </x:c>
    </x:row>
    <x:row r="789">
      <x:c r="A789" s="117" t="str">
        <x:v>CAP-VAR-103</x:v>
      </x:c>
      <x:c r="B789" s="117" t="str">
        <x:v>Platform</x:v>
      </x:c>
      <x:c r="C789" s="117" t="str">
        <x:v>Variable</x:v>
      </x:c>
      <x:c r="D789" s="117" t="str">
        <x:v>强类型线程安全Snapshot</x:v>
      </x:c>
      <x:c r="E789" s="117" t="str">
        <x:v>每变量独立一致性单元；Value/OldValue/Quality/Timestamp/Sequence同快照</x:v>
      </x:c>
      <x:c r="F789" s="117" t="str">
        <x:v>Core</x:v>
      </x:c>
      <x:c r="G789" s="117" t="str">
        <x:v>46/50</x:v>
      </x:c>
      <x:c r="H789" s="117" t="str">
        <x:v>V6.5候选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48" hidden="0" customWidth="1"/>
    <x:col min="4" max="4" width="36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</x:cols>
  <x:sheetData>
    <x:row r="1" ht="30" customHeight="1">
      <x:c r="A1" s="137" t="str">
        <x:v>CxVisual V6.4 — 架构总纲与领域边界（1 Platform + 6 Workbenches）</x:v>
      </x:c>
      <x:c r="B1" s="137"/>
      <x:c r="C1" s="137"/>
      <x:c r="D1" s="137"/>
      <x:c r="E1" s="137"/>
      <x:c r="F1" s="137"/>
      <x:c r="G1" s="137"/>
      <x:c r="H1" s="8"/>
    </x:row>
    <x:row r="2" ht="38" customHeight="1">
      <x:c r="A2" s="16" t="str">
        <x:v>平台最高级架构权威页：以《平台灵魂与架构宪法》与01~08详细设计为上位约束，定义1+6、三平面、Resource/Runtime/Provider边界、跨Workbench契约与工业安全红线。</x:v>
      </x:c>
      <x:c r="B2" s="16"/>
      <x:c r="C2" s="16"/>
      <x:c r="D2" s="16"/>
      <x:c r="E2" s="16"/>
      <x:c r="F2" s="16"/>
      <x:c r="G2" s="16"/>
      <x:c r="H2" s="16"/>
    </x:row>
    <x:row r="3">
      <x:c r="A3" s="30" t="str">
        <x:v>本页唯一权威</x:v>
      </x:c>
      <x:c r="B3" s="31" t="str">
        <x:v>平台WHY/BOUNDARY：1 Platform + 6 Workbenches、资源/执行/管理三视角、依赖方向、架构红线；V6.4代码事实见49。</x:v>
      </x:c>
      <x:c r="C3" s="31"/>
      <x:c r="D3" s="31"/>
      <x:c r="E3" s="31"/>
      <x:c r="F3" s="31"/>
      <x:c r="G3" s="31"/>
      <x:c r="H3" s="31"/>
    </x:row>
    <x:row r="4">
      <x:c r="A4" s="30" t="str">
        <x:v>不在本页维护</x:v>
      </x:c>
      <x:c r="B4" s="31" t="str">
        <x:v>Solution物理拆分（见04）、Graph实现细节（见19~26）、Domain内部设计（见27~39）、项目参数（见44）。</x:v>
      </x:c>
      <x:c r="C4" s="31"/>
      <x:c r="D4" s="31"/>
      <x:c r="E4" s="31"/>
      <x:c r="F4" s="31"/>
      <x:c r="G4" s="31"/>
      <x:c r="H4" s="31"/>
    </x:row>
    <x:row r="5">
      <x:c r="A5" s="30" t="str">
        <x:v>关联分页</x:v>
      </x:c>
      <x:c r="B5" s="31" t="str">
        <x:v>04_Solution与模块依赖；05_平台公共接口与核心类；17/18 Automation Runtime；19~26 Graph基础；27~39专业Workbench；49_V6.4同步审计；50_通用变量平台蓝图。</x:v>
      </x:c>
      <x:c r="C5" s="31"/>
      <x:c r="D5" s="31"/>
      <x:c r="E5" s="31"/>
      <x:c r="F5" s="31"/>
      <x:c r="G5" s="31"/>
      <x:c r="H5" s="31"/>
    </x:row>
    <x:row r="6">
      <x:c r="A6"/>
      <x:c r="B6"/>
      <x:c r="C6"/>
      <x:c r="D6"/>
      <x:c r="E6"/>
      <x:c r="F6"/>
      <x:c r="G6"/>
      <x:c r="H6"/>
    </x:row>
    <x:row r="7" ht="24" customHeight="1">
      <x:c r="A7" s="40" t="str">
        <x:v>A. 平台总纲</x:v>
      </x:c>
      <x:c r="B7" s="40"/>
      <x:c r="C7" s="40"/>
      <x:c r="D7" s="40"/>
      <x:c r="E7" s="40"/>
      <x:c r="F7" s="40"/>
      <x:c r="G7" s="40"/>
      <x:c r="H7" s="40"/>
    </x:row>
    <x:row r="8" ht="28" customHeight="1">
      <x:c r="A8" s="50" t="str">
        <x:v>主题</x:v>
      </x:c>
      <x:c r="B8" s="50" t="str">
        <x:v>统一定义</x:v>
      </x:c>
      <x:c r="C8" s="50" t="str">
        <x:v>边界/说明</x:v>
      </x:c>
      <x:c r="D8" s="50"/>
      <x:c r="E8" s="50"/>
      <x:c r="F8" s="50"/>
      <x:c r="G8" s="50"/>
      <x:c r="H8" s="50"/>
    </x:row>
    <x:row r="9">
      <x:c r="A9" s="58" t="str">
        <x:v>产品定位</x:v>
      </x:c>
      <x:c r="B9" s="58" t="str">
        <x:v>CxVisual = Industrial Engineering Studio + Runtime Platform + Operations Management Plane</x:v>
      </x:c>
      <x:c r="C9" s="58" t="str">
        <x:v>一套平台覆盖设计、调试、运行、部署、运维</x:v>
      </x:c>
      <x:c r="D9" s="58"/>
      <x:c r="E9" s="58"/>
      <x:c r="F9" s="58"/>
      <x:c r="G9" s="58"/>
      <x:c r="H9" s="58"/>
    </x:row>
    <x:row r="10">
      <x:c r="A10" s="66" t="str">
        <x:v>两条主轴</x:v>
      </x:c>
      <x:c r="B10" s="66" t="str">
        <x:v>Visual Model + Execution Model</x:v>
      </x:c>
      <x:c r="C10" s="66" t="str">
        <x:v>显示/交互与执行/编排正交</x:v>
      </x:c>
      <x:c r="D10" s="66"/>
      <x:c r="E10" s="66"/>
      <x:c r="F10" s="66"/>
      <x:c r="G10" s="66"/>
      <x:c r="H10" s="66"/>
    </x:row>
    <x:row r="11">
      <x:c r="A11" s="58" t="str">
        <x:v>三种平面</x:v>
      </x:c>
      <x:c r="B11" s="58" t="str">
        <x:v>Engineering / Runtime / Management</x:v>
      </x:c>
      <x:c r="C11" s="58" t="str">
        <x:v>Runtime必须本地自治；中心与Studio都不是生产依赖</x:v>
      </x:c>
      <x:c r="D11" s="58"/>
      <x:c r="E11" s="58"/>
      <x:c r="F11" s="58"/>
      <x:c r="G11" s="58"/>
      <x:c r="H11" s="58"/>
    </x:row>
    <x:row r="12">
      <x:c r="A12" s="66" t="str">
        <x:v>执行语义</x:v>
      </x:c>
      <x:c r="B12" s="66" t="str">
        <x:v>ControlFlow / TypedDataFlow / DurableWorkflow</x:v>
      </x:c>
      <x:c r="C12" s="66" t="str">
        <x:v>Robot归Motion；CT/3D归Vision；Inspection为产品级Workflow</x:v>
      </x:c>
      <x:c r="D12" s="66"/>
      <x:c r="E12" s="66"/>
      <x:c r="F12" s="66"/>
      <x:c r="G12" s="66"/>
      <x:c r="H12" s="66"/>
    </x:row>
    <x:row r="13">
      <x:c r="A13" s="58" t="str">
        <x:v>专业扩展</x:v>
      </x:c>
      <x:c r="B13" s="58" t="str">
        <x:v>Robot、CT/3D、Operations复用平台Project/Type/Version/Debug/Diagnostics</x:v>
      </x:c>
      <x:c r="C13" s="58" t="str">
        <x:v>禁止复制第二套平台基础</x:v>
      </x:c>
      <x:c r="D13" s="58"/>
      <x:c r="E13" s="58"/>
      <x:c r="F13" s="58"/>
      <x:c r="G13" s="58"/>
      <x:c r="H13" s="58"/>
    </x:row>
    <x:row r="14">
      <x:c r="A14"/>
      <x:c r="B14"/>
      <x:c r="C14"/>
      <x:c r="D14"/>
      <x:c r="E14"/>
      <x:c r="F14"/>
      <x:c r="G14"/>
      <x:c r="H14"/>
    </x:row>
    <x:row r="15" ht="24" customHeight="1">
      <x:c r="A15" s="40" t="str">
        <x:v>B. 领域边界</x:v>
      </x:c>
      <x:c r="B15" s="40"/>
      <x:c r="C15" s="40"/>
      <x:c r="D15" s="40"/>
      <x:c r="E15" s="40"/>
      <x:c r="F15" s="40"/>
      <x:c r="G15" s="40"/>
      <x:c r="H15" s="40"/>
    </x:row>
    <x:row r="16" ht="28" customHeight="1">
      <x:c r="A16" s="50" t="str">
        <x:v>Domain</x:v>
      </x:c>
      <x:c r="B16" s="50" t="str">
        <x:v>核心职责</x:v>
      </x:c>
      <x:c r="C16" s="50" t="str">
        <x:v>主Definition</x:v>
      </x:c>
      <x:c r="D16" s="50" t="str">
        <x:v>Runtime</x:v>
      </x:c>
      <x:c r="E16" s="50" t="str">
        <x:v>明确不承担</x:v>
      </x:c>
      <x:c r="F16" s="50"/>
      <x:c r="G16" s="50"/>
      <x:c r="H16" s="50"/>
    </x:row>
    <x:row r="17">
      <x:c r="A17" s="66" t="str">
        <x:v>Visual/HMI</x:v>
      </x:c>
      <x:c r="B17" s="66" t="str">
        <x:v>Page/Element/Symbol/显示/交互</x:v>
      </x:c>
      <x:c r="C17" s="66" t="str">
        <x:v>Page/Symbol</x:v>
      </x:c>
      <x:c r="D17" s="66" t="str">
        <x:v>Visual Runtime</x:v>
      </x:c>
      <x:c r="E17" s="66" t="str">
        <x:v>Motion/Vision/Inspection业务执行</x:v>
      </x:c>
      <x:c r="F17" s="66"/>
      <x:c r="G17" s="66"/>
      <x:c r="H17" s="66"/>
    </x:row>
    <x:row r="18">
      <x:c r="A18" s="58" t="str">
        <x:v>SCADA/ICS</x:v>
      </x:c>
      <x:c r="B18" s="58" t="str">
        <x:v>Tag/Alarm/History/Recipe/设备数据</x:v>
      </x:c>
      <x:c r="C18" s="58" t="str">
        <x:v>Device/Variable/Alarm/Recipe</x:v>
      </x:c>
      <x:c r="D18" s="58" t="str">
        <x:v>SCADA Runtime</x:v>
      </x:c>
      <x:c r="E18" s="58" t="str">
        <x:v>运动硬实时/算法编排</x:v>
      </x:c>
      <x:c r="F18" s="58"/>
      <x:c r="G18" s="58"/>
      <x:c r="H18" s="58"/>
    </x:row>
    <x:row r="19">
      <x:c r="A19" s="66" t="str">
        <x:v>Graph Platform</x:v>
      </x:c>
      <x:c r="B19" s="66" t="str">
        <x:v>Graph/Type/Compiler/Debug/Integration/Resource/Diagnostics</x:v>
      </x:c>
      <x:c r="C19" s="66" t="str">
        <x:v>GraphDefinition/Contracts</x:v>
      </x:c>
      <x:c r="D19" s="66" t="str">
        <x:v>平台执行基础</x:v>
      </x:c>
      <x:c r="E19" s="66" t="str">
        <x:v>具体Domain业务语义</x:v>
      </x:c>
      <x:c r="F19" s="66"/>
      <x:c r="G19" s="66"/>
      <x:c r="H19" s="66"/>
    </x:row>
    <x:row r="20">
      <x:c r="A20" s="58" t="str">
        <x:v>Motion</x:v>
      </x:c>
      <x:c r="B20" s="58" t="str">
        <x:v>轴/IO/设备动作软实时编排</x:v>
      </x:c>
      <x:c r="C20" s="58" t="str">
        <x:v>MotionProgram</x:v>
      </x:c>
      <x:c r="D20" s="58" t="str">
        <x:v>Motion Runtime</x:v>
      </x:c>
      <x:c r="E20" s="58" t="str">
        <x:v>伺服闭环/安全PLC</x:v>
      </x:c>
      <x:c r="F20" s="58"/>
      <x:c r="G20" s="58"/>
      <x:c r="H20" s="58"/>
    </x:row>
    <x:row r="21">
      <x:c r="A21" s="66" t="str">
        <x:v>Robot</x:v>
      </x:c>
      <x:c r="B21" s="66" t="str">
        <x:v>Frame/Tool/Pose/Path/机器人程序</x:v>
      </x:c>
      <x:c r="C21" s="66" t="str">
        <x:v>RobotProgram/RobotPath</x:v>
      </x:c>
      <x:c r="D21" s="66" t="str">
        <x:v>Motion/Robot Runtime</x:v>
      </x:c>
      <x:c r="E21" s="66" t="str">
        <x:v>控制器实时插补/认证示教器</x:v>
      </x:c>
      <x:c r="F21" s="66"/>
      <x:c r="G21" s="66"/>
      <x:c r="H21" s="66"/>
    </x:row>
    <x:row r="22">
      <x:c r="A22" s="58" t="str">
        <x:v>Vision</x:v>
      </x:c>
      <x:c r="B22" s="58" t="str">
        <x:v>2D算法/AI/Typed DataFlow</x:v>
      </x:c>
      <x:c r="C22" s="58" t="str">
        <x:v>VisionPipeline</x:v>
      </x:c>
      <x:c r="D22" s="58" t="str">
        <x:v>Vision Runtime/Worker</x:v>
      </x:c>
      <x:c r="E22" s="58" t="str">
        <x:v>产品业务Workflow</x:v>
      </x:c>
      <x:c r="F22" s="58"/>
      <x:c r="G22" s="58"/>
      <x:c r="H22" s="58"/>
    </x:row>
    <x:row r="23">
      <x:c r="A23" s="66" t="str">
        <x:v>CT/3D</x:v>
      </x:c>
      <x:c r="B23" s="66" t="str">
        <x:v>Projection/重建/Volume/3D算法</x:v>
      </x:c>
      <x:c r="C23" s="66" t="str">
        <x:v>VisionPipeline(ct3d)+CT assets</x:v>
      </x:c>
      <x:c r="D23" s="66" t="str">
        <x:v>Vision/CT Runtime/Worker</x:v>
      </x:c>
      <x:c r="E23" s="66" t="str">
        <x:v>轴扫描控制/产品业务</x:v>
      </x:c>
      <x:c r="F23" s="66"/>
      <x:c r="G23" s="66"/>
      <x:c r="H23" s="66"/>
    </x:row>
    <x:row r="24">
      <x:c r="A24" s="58" t="str">
        <x:v>Inspection</x:v>
      </x:c>
      <x:c r="B24" s="58" t="str">
        <x:v>Product/Point/Result/Retest/MES/Recovery</x:v>
      </x:c>
      <x:c r="C24" s="58" t="str">
        <x:v>InspectionFlow</x:v>
      </x:c>
      <x:c r="D24" s="58" t="str">
        <x:v>Inspection Runtime</x:v>
      </x:c>
      <x:c r="E24" s="58" t="str">
        <x:v>展开Motion/Vision内部执行</x:v>
      </x:c>
      <x:c r="F24" s="58"/>
      <x:c r="G24" s="58"/>
      <x:c r="H24" s="58"/>
    </x:row>
    <x:row r="25">
      <x:c r="A25" s="66" t="str">
        <x:v>Operations</x:v>
      </x:c>
      <x:c r="B25" s="66" t="str">
        <x:v>Fleet/Health/Version/Deploy/Remote/Case</x:v>
      </x:c>
      <x:c r="C25" s="66" t="str">
        <x:v>Site/Station/Rollout/OpsPolicy</x:v>
      </x:c>
      <x:c r="D25" s="66" t="str">
        <x:v>Operations Services + Station Agent</x:v>
      </x:c>
      <x:c r="E25" s="66" t="str">
        <x:v>单机生产执行/绕过Target安全</x:v>
      </x:c>
      <x:c r="F25" s="66"/>
      <x:c r="G25" s="66"/>
      <x:c r="H25" s="66"/>
    </x:row>
    <x:row r="26">
      <x:c r="A26"/>
      <x:c r="B26"/>
      <x:c r="C26"/>
      <x:c r="D26"/>
      <x:c r="E26"/>
      <x:c r="F26"/>
      <x:c r="G26"/>
      <x:c r="H26"/>
    </x:row>
    <x:row r="27" ht="24" customHeight="1">
      <x:c r="A27" s="40" t="str">
        <x:v>C. 跨域调用原则</x:v>
      </x:c>
      <x:c r="B27" s="40"/>
      <x:c r="C27" s="40"/>
      <x:c r="D27" s="40"/>
      <x:c r="E27" s="40"/>
      <x:c r="F27" s="40"/>
      <x:c r="G27" s="40"/>
      <x:c r="H27" s="40"/>
    </x:row>
    <x:row r="28" ht="28" customHeight="1">
      <x:c r="A28" s="50" t="str">
        <x:v>调用源</x:v>
      </x:c>
      <x:c r="B28" s="50" t="str">
        <x:v>目标</x:v>
      </x:c>
      <x:c r="C28" s="50" t="str">
        <x:v>正式调用方式</x:v>
      </x:c>
      <x:c r="D28" s="50" t="str">
        <x:v>禁止</x:v>
      </x:c>
      <x:c r="E28" s="50"/>
      <x:c r="F28" s="50"/>
      <x:c r="G28" s="50"/>
      <x:c r="H28" s="50"/>
    </x:row>
    <x:row r="29">
      <x:c r="A29" s="58" t="str">
        <x:v>Visual Action</x:v>
      </x:c>
      <x:c r="B29" s="58" t="str">
        <x:v>Motion/Robot/Vision/Inspection</x:v>
      </x:c>
      <x:c r="C29" s="58" t="str">
        <x:v>GraphInvocationService + DefinitionId + typed params</x:v>
      </x:c>
      <x:c r="D29" s="58" t="str">
        <x:v>直接持Domain Runtime或Vendor对象</x:v>
      </x:c>
      <x:c r="E29" s="58"/>
      <x:c r="F29" s="58"/>
      <x:c r="G29" s="58"/>
      <x:c r="H29" s="58"/>
    </x:row>
    <x:row r="30">
      <x:c r="A30" s="66" t="str">
        <x:v>Inspection</x:v>
      </x:c>
      <x:c r="B30" s="66" t="str">
        <x:v>Motion/Robot</x:v>
      </x:c>
      <x:c r="C30" s="66" t="str">
        <x:v>公开Domain Invocation Contract</x:v>
      </x:c>
      <x:c r="D30" s="66" t="str">
        <x:v>直接访问Node内部/SDK</x:v>
      </x:c>
      <x:c r="E30" s="66"/>
      <x:c r="F30" s="66"/>
      <x:c r="G30" s="66"/>
      <x:c r="H30" s="66"/>
    </x:row>
    <x:row r="31">
      <x:c r="A31" s="58" t="str">
        <x:v>Inspection</x:v>
      </x:c>
      <x:c r="B31" s="58" t="str">
        <x:v>Vision/CT</x:v>
      </x:c>
      <x:c r="C31" s="58" t="str">
        <x:v>RunVision/CT typed contract + ArtifactRef</x:v>
      </x:c>
      <x:c r="D31" s="58" t="str">
        <x:v>直接操作Executor/GPU/Volume内存</x:v>
      </x:c>
      <x:c r="E31" s="58"/>
      <x:c r="F31" s="58"/>
      <x:c r="G31" s="58"/>
      <x:c r="H31" s="58"/>
    </x:row>
    <x:row r="32">
      <x:c r="A32" s="66" t="str">
        <x:v>Vision</x:v>
      </x:c>
      <x:c r="B32" s="66" t="str">
        <x:v>Robot/Motion Guidance</x:v>
      </x:c>
      <x:c r="C32" s="66" t="str">
        <x:v>VisionGuidanceResult + Quality/Timestamp/Frame/Transform验证</x:v>
      </x:c>
      <x:c r="D32" s="66" t="str">
        <x:v>Vision XYZ直接Move</x:v>
      </x:c>
      <x:c r="E32" s="66"/>
      <x:c r="F32" s="66"/>
      <x:c r="G32" s="66"/>
      <x:c r="H32" s="66"/>
    </x:row>
    <x:row r="33">
      <x:c r="A33" s="58" t="str">
        <x:v>Operations</x:v>
      </x:c>
      <x:c r="B33" s="58" t="str">
        <x:v>Runtime Station</x:v>
      </x:c>
      <x:c r="C33" s="58" t="str">
        <x:v>Station Agent / Debug Agent / Deployment Agent</x:v>
      </x:c>
      <x:c r="D33" s="58" t="str">
        <x:v>中心直接调用Domain内部或默认远程Shell</x:v>
      </x:c>
      <x:c r="E33" s="58"/>
      <x:c r="F33" s="58"/>
      <x:c r="G33" s="58"/>
      <x:c r="H33" s="58"/>
    </x:row>
    <x:row r="34">
      <x:c r="A34"/>
      <x:c r="B34"/>
      <x:c r="C34"/>
      <x:c r="D34"/>
      <x:c r="E34"/>
      <x:c r="F34"/>
      <x:c r="G34"/>
      <x:c r="H34"/>
    </x:row>
    <x:row r="35" ht="24" customHeight="1">
      <x:c r="A35" s="40" t="str">
        <x:v>D. 平台腐化红线</x:v>
      </x:c>
      <x:c r="B35" s="40"/>
      <x:c r="C35" s="40"/>
      <x:c r="D35" s="40"/>
      <x:c r="E35" s="40"/>
      <x:c r="F35" s="40"/>
      <x:c r="G35" s="40"/>
      <x:c r="H35" s="40"/>
    </x:row>
    <x:row r="36" ht="28" customHeight="1">
      <x:c r="A36" s="50" t="str">
        <x:v>红线</x:v>
      </x:c>
      <x:c r="B36" s="50" t="str">
        <x:v>原因</x:v>
      </x:c>
      <x:c r="C36" s="50" t="str">
        <x:v>正确做法</x:v>
      </x:c>
      <x:c r="D36" s="50"/>
      <x:c r="E36" s="50"/>
      <x:c r="F36" s="50"/>
      <x:c r="G36" s="50"/>
      <x:c r="H36" s="50"/>
    </x:row>
    <x:row r="37">
      <x:c r="A37" s="66" t="str">
        <x:v>万能Element/万能Node/万能Runtime</x:v>
      </x:c>
      <x:c r="B37" s="66" t="str">
        <x:v>不同职责被最低公分母吞并</x:v>
      </x:c>
      <x:c r="C37" s="66" t="str">
        <x:v>共享平台基础，分Domain Compiler/Runtime</x:v>
      </x:c>
      <x:c r="D37" s="66"/>
      <x:c r="E37" s="66"/>
      <x:c r="F37" s="66"/>
      <x:c r="G37" s="66"/>
      <x:c r="H37" s="66"/>
    </x:row>
    <x:row r="38">
      <x:c r="A38" s="58" t="str">
        <x:v>Vendor类型进入Core</x:v>
      </x:c>
      <x:c r="B38" s="58" t="str">
        <x:v>导致Schema/测试/部署被SDK绑死</x:v>
      </x:c>
      <x:c r="C38" s="58" t="str">
        <x:v>Adapter/Worker + 平台DTO/Handle</x:v>
      </x:c>
      <x:c r="D38" s="58"/>
      <x:c r="E38" s="58"/>
      <x:c r="F38" s="58"/>
      <x:c r="G38" s="58"/>
      <x:c r="H38" s="58"/>
    </x:row>
    <x:row r="39">
      <x:c r="A39" s="66" t="str">
        <x:v>专业域复制Project/Debug/Version</x:v>
      </x:c>
      <x:c r="B39" s="66" t="str">
        <x:v>平台碎片化</x:v>
      </x:c>
      <x:c r="C39" s="66" t="str">
        <x:v>Robot/CT/Ops只新增专业模型与语义</x:v>
      </x:c>
      <x:c r="D39" s="66"/>
      <x:c r="E39" s="66"/>
      <x:c r="F39" s="66"/>
      <x:c r="G39" s="66"/>
      <x:c r="H39" s="66"/>
    </x:row>
    <x:row r="40">
      <x:c r="A40" s="58" t="str">
        <x:v>Operations成为生产依赖</x:v>
      </x:c>
      <x:c r="B40" s="58" t="str">
        <x:v>中心/网络故障导致停机</x:v>
      </x:c>
      <x:c r="C40" s="58" t="str">
        <x:v>Runtime本地自治 + StoreForward</x:v>
      </x:c>
      <x:c r="D40" s="58"/>
      <x:c r="E40" s="58"/>
      <x:c r="F40" s="58"/>
      <x:c r="G40" s="58"/>
      <x:c r="H40" s="58"/>
    </x:row>
    <x:row r="41">
      <x:c r="A41" s="66" t="str">
        <x:v>远程默认写权限/万能Shell</x:v>
      </x:c>
      <x:c r="B41" s="66" t="str">
        <x:v>工业安全与审计风险</x:v>
      </x:c>
      <x:c r="C41" s="66" t="str">
        <x:v>ReadOnly默认 + 短期Lease + 窄Capability</x:v>
      </x:c>
      <x:c r="D41" s="66"/>
      <x:c r="E41" s="66"/>
      <x:c r="F41" s="66"/>
      <x:c r="G41" s="66"/>
      <x:c r="H41" s="66"/>
    </x:row>
    <x:row r="42">
      <x:c r="A42" s="58" t="str">
        <x:v>调试Override直接改Definition</x:v>
      </x:c>
      <x:c r="B42" s="58" t="str">
        <x:v>版本污染/不可回滚</x:v>
      </x:c>
      <x:c r="C42" s="58" t="str">
        <x:v>Session Override → Promote ChangeSet → Command</x:v>
      </x:c>
      <x:c r="D42" s="58"/>
      <x:c r="E42" s="58"/>
      <x:c r="F42" s="58"/>
      <x:c r="G42" s="58"/>
      <x:c r="H42" s="58"/>
    </x:row>
    <x:row r="43">
      <x:c r="A43"/>
      <x:c r="B43"/>
      <x:c r="C43"/>
      <x:c r="D43"/>
      <x:c r="E43"/>
      <x:c r="F43"/>
      <x:c r="G43"/>
      <x:c r="H43"/>
    </x:row>
    <x:row r="44" ht="24" customHeight="1">
      <x:c r="A44" s="40" t="str">
        <x:v>E. 文档与唯一权威来源</x:v>
      </x:c>
      <x:c r="B44" s="40"/>
      <x:c r="C44" s="40"/>
      <x:c r="D44" s="40"/>
      <x:c r="E44" s="40"/>
      <x:c r="F44" s="40"/>
      <x:c r="G44" s="40"/>
      <x:c r="H44" s="40"/>
    </x:row>
    <x:row r="45" ht="28" customHeight="1">
      <x:c r="A45" s="50" t="str">
        <x:v>内容</x:v>
      </x:c>
      <x:c r="B45" s="50" t="str">
        <x:v>唯一权威</x:v>
      </x:c>
      <x:c r="C45" s="50" t="str">
        <x:v>规则</x:v>
      </x:c>
      <x:c r="D45" s="50"/>
      <x:c r="E45" s="50"/>
      <x:c r="F45" s="50"/>
      <x:c r="G45" s="50"/>
      <x:c r="H45" s="50"/>
    </x:row>
    <x:row r="46">
      <x:c r="A46" s="66" t="str">
        <x:v>能力范围</x:v>
      </x:c>
      <x:c r="B46" s="66" t="str">
        <x:v>02_平台能力功能索引</x:v>
      </x:c>
      <x:c r="C46" s="66" t="str">
        <x:v>只维护WHAT与CapabilityId</x:v>
      </x:c>
      <x:c r="D46" s="66"/>
      <x:c r="E46" s="66"/>
      <x:c r="F46" s="66"/>
      <x:c r="G46" s="66"/>
      <x:c r="H46" s="66"/>
    </x:row>
    <x:row r="47">
      <x:c r="A47" s="58" t="str">
        <x:v>架构边界</x:v>
      </x:c>
      <x:c r="B47" s="58" t="str">
        <x:v>03_架构总纲与领域边界</x:v>
      </x:c>
      <x:c r="C47" s="58" t="str">
        <x:v>所有域必须遵守，不复制成第二套规则</x:v>
      </x:c>
      <x:c r="D47" s="58"/>
      <x:c r="E47" s="58"/>
      <x:c r="F47" s="58"/>
      <x:c r="G47" s="58"/>
      <x:c r="H47" s="58"/>
    </x:row>
    <x:row r="48">
      <x:c r="A48" s="66" t="str">
        <x:v>Graph公共机制</x:v>
      </x:c>
      <x:c r="B48" s="66" t="str">
        <x:v>19~26</x:v>
      </x:c>
      <x:c r="C48" s="66" t="str">
        <x:v>Domain页只写差异</x:v>
      </x:c>
      <x:c r="D48" s="66"/>
      <x:c r="E48" s="66"/>
      <x:c r="F48" s="66"/>
      <x:c r="G48" s="66"/>
      <x:c r="H48" s="66"/>
    </x:row>
    <x:row r="49">
      <x:c r="A49" s="58" t="str">
        <x:v>Domain设计</x:v>
      </x:c>
      <x:c r="B49" s="58" t="str">
        <x:v>27~39</x:v>
      </x:c>
      <x:c r="C49" s="58" t="str">
        <x:v>负责HOW，不维护真实完成状态</x:v>
      </x:c>
      <x:c r="D49" s="58"/>
      <x:c r="E49" s="58"/>
      <x:c r="F49" s="58"/>
      <x:c r="G49" s="58"/>
      <x:c r="H49" s="58"/>
    </x:row>
    <x:row r="50">
      <x:c r="A50" s="66" t="str">
        <x:v>真实状态</x:v>
      </x:c>
      <x:c r="B50" s="66" t="str">
        <x:v>41_开发追踪矩阵</x:v>
      </x:c>
      <x:c r="C50" s="66" t="str">
        <x:v>唯一人工状态源</x:v>
      </x:c>
      <x:c r="D50" s="66"/>
      <x:c r="E50" s="66"/>
      <x:c r="F50" s="66"/>
      <x:c r="G50" s="66"/>
      <x:c r="H50" s="66"/>
    </x:row>
    <x:row r="51">
      <x:c r="A51" s="58" t="str">
        <x:v>测试证据</x:v>
      </x:c>
      <x:c r="B51" s="58" t="str">
        <x:v>26_Graph平台测试与架构门禁</x:v>
      </x:c>
      <x:c r="C51" s="58" t="str">
        <x:v>42只提供开发方法</x:v>
      </x:c>
      <x:c r="D51" s="58"/>
      <x:c r="E51" s="58"/>
      <x:c r="F51" s="58"/>
      <x:c r="G51" s="58"/>
      <x:c r="H51" s="58"/>
    </x:row>
    <x:row r="52">
      <x:c r="A52" s="66" t="str">
        <x:v>项目差异</x:v>
      </x:c>
      <x:c r="B52" s="66" t="str">
        <x:v>44_项目实例规格与ADR治理</x:v>
      </x:c>
      <x:c r="C52" s="66" t="str">
        <x:v>项目参数不得写回平台Core</x:v>
      </x:c>
      <x:c r="D52" s="66"/>
      <x:c r="E52" s="66"/>
      <x:c r="F52" s="66"/>
      <x:c r="G52" s="66"/>
      <x:c r="H52" s="66"/>
    </x:row>
    <x:row r="53">
      <x:c r="A53"/>
      <x:c r="B53"/>
      <x:c r="C53"/>
      <x:c r="D53"/>
      <x:c r="E53"/>
      <x:c r="F53"/>
      <x:c r="G53"/>
      <x:c r="H53"/>
    </x:row>
    <x:row r="54" ht="24" customHeight="1">
      <x:c r="A54" s="40" t="str">
        <x:v>F. 架构硬规则清单（继承旧A01~A91，作为正式约束）</x:v>
      </x:c>
      <x:c r="B54" s="40"/>
      <x:c r="C54" s="40"/>
      <x:c r="D54" s="40"/>
      <x:c r="E54" s="40"/>
      <x:c r="F54" s="40"/>
      <x:c r="G54" s="40"/>
      <x:c r="H54" s="40"/>
    </x:row>
    <x:row r="55" ht="28" customHeight="1">
      <x:c r="A55" s="50" t="str">
        <x:v>编号</x:v>
      </x:c>
      <x:c r="B55" s="50" t="str">
        <x:v>架构决策</x:v>
      </x:c>
      <x:c r="C55" s="50" t="str">
        <x:v>统一基线</x:v>
      </x:c>
      <x:c r="D55" s="50" t="str">
        <x:v>解决的问题</x:v>
      </x:c>
      <x:c r="E55" s="50" t="str">
        <x:v>允许演进</x:v>
      </x:c>
      <x:c r="F55" s="50" t="str">
        <x:v>禁止事项</x:v>
      </x:c>
      <x:c r="G55" s="50" t="str">
        <x:v>验证方式</x:v>
      </x:c>
      <x:c r="H55" s="50"/>
    </x:row>
    <x:row r="56">
      <x:c r="A56" s="58" t="str">
        <x:v>A01</x:v>
      </x:c>
      <x:c r="B56" s="58" t="str">
        <x:v>产品与命名空间</x:v>
      </x:c>
      <x:c r="C56" s="58" t="str">
        <x:v>产品名 CxVisual；程序集/命名空间统一 CxVisual.*</x:v>
      </x:c>
      <x:c r="D56" s="58" t="str">
        <x:v>.NET平台长期品牌和工程统一</x:v>
      </x:c>
      <x:c r="E56" s="58" t="str">
        <x:v>Logo/显示名可变化</x:v>
      </x:c>
      <x:c r="F56" s="58" t="str">
        <x:v>新建XRay.Hmi.*等平行命名空间</x:v>
      </x:c>
      <x:c r="G56" s="58" t="str">
        <x:v>Solution扫描</x:v>
      </x:c>
      <x:c r="H56" s="58"/>
    </x:row>
    <x:row r="57">
      <x:c r="A57" s="66" t="str">
        <x:v>A02</x:v>
      </x:c>
      <x:c r="B57" s="66" t="str">
        <x:v>目标框架</x:v>
      </x:c>
      <x:c r="C57" s="66" t="str">
        <x:v>.NET Framework 4.8 + WPF + VS2022；与现有WinForms 4.8同进程集成</x:v>
      </x:c>
      <x:c r="D57" s="66" t="str">
        <x:v>兼容现有工业软件与部署环境</x:v>
      </x:c>
      <x:c r="E57" s="66" t="str">
        <x:v>未来整体迁移现代.NET</x:v>
      </x:c>
      <x:c r="F57" s="66" t="str">
        <x:v>Core使用仅现代.NET API</x:v>
      </x:c>
      <x:c r="G57" s="66" t="str">
        <x:v>Debug/Release真实Build</x:v>
      </x:c>
      <x:c r="H57" s="66"/>
    </x:row>
    <x:row r="58">
      <x:c r="A58" s="58" t="str">
        <x:v>A03</x:v>
      </x:c>
      <x:c r="B58" s="58" t="str">
        <x:v>平台形态</x:v>
      </x:c>
      <x:c r="C58" s="58" t="str">
        <x:v>CxVisual Studio统一工程IDE + Runtime独立宿主 + WinForms Host；Studio内部包含Screen/Symbol/Motion/Vision/Inspection等文档类型</x:v>
      </x:c>
      <x:c r="D58" s="58" t="str">
        <x:v>一套核心支持工程全生命周期</x:v>
      </x:c>
      <x:c r="E58" s="58" t="str">
        <x:v>UI壳/物理进程可演进</x:v>
      </x:c>
      <x:c r="F58" s="58" t="str">
        <x:v>不得为每个Designer建独立工程格式/Runtime体系</x:v>
      </x:c>
      <x:c r="G58" s="58" t="str">
        <x:v>跨Designer/Host一致性测试</x:v>
      </x:c>
      <x:c r="H58" s="58"/>
    </x:row>
    <x:row r="59">
      <x:c r="A59" s="66" t="str">
        <x:v>A04</x:v>
      </x:c>
      <x:c r="B59" s="66" t="str">
        <x:v>分层边界</x:v>
      </x:c>
      <x:c r="C59" s="66" t="str">
        <x:v>Core纯POCO；Designer.Application编排编辑；Runtime.Core执行运行；Rendering.Wpf只绘制/承载；Integration接外部系统；Serialization/Package负责持久化</x:v>
      </x:c>
      <x:c r="D59" s="66" t="str">
        <x:v>可测试、可替换、可扩展</x:v>
      </x:c>
      <x:c r="E59" s="66" t="str">
        <x:v>外围Adapter/库可替换</x:v>
      </x:c>
      <x:c r="F59" s="66" t="str">
        <x:v>Core引用WPF/PLC/图表库/Roslyn</x:v>
      </x:c>
      <x:c r="G59" s="66" t="str">
        <x:v>程序集依赖测试</x:v>
      </x:c>
      <x:c r="H59" s="66"/>
    </x:row>
    <x:row r="60">
      <x:c r="A60" s="58" t="str">
        <x:v>A05</x:v>
      </x:c>
      <x:c r="B60" s="58" t="str">
        <x:v>一级对象分类</x:v>
      </x:c>
      <x:c r="C60" s="58" t="str">
        <x:v>固定7类：Primitive / Symbol / Display / Control / Chart / Container / Media；分类由ElementDescriptor.CategoryId声明</x:v>
      </x:c>
      <x:c r="D60" s="58" t="str">
        <x:v>从产品概念上统一工具箱/模型</x:v>
      </x:c>
      <x:c r="E60" s="58" t="str">
        <x:v>新增类型在7类内扩展</x:v>
      </x:c>
      <x:c r="F60" s="58" t="str">
        <x:v>Dynamic作为第8类；按typeId前缀猜分类</x:v>
      </x:c>
      <x:c r="G60" s="58" t="str">
        <x:v>Descriptor测试</x:v>
      </x:c>
      <x:c r="H60" s="58"/>
    </x:row>
    <x:row r="61">
      <x:c r="A61" s="66" t="str">
        <x:v>A06</x:v>
      </x:c>
      <x:c r="B61" s="66" t="str">
        <x:v>动态能力</x:v>
      </x:c>
      <x:c r="C61" s="66" t="str">
        <x:v>Binding / State / Animation / Event / Alarm / Permission / Script 是横向Capability，不是Element类型</x:v>
      </x:c>
      <x:c r="D61" s="66" t="str">
        <x:v>避免DynamicXxx类型爆炸</x:v>
      </x:c>
      <x:c r="E61" s="66" t="str">
        <x:v>能力可增加并注册</x:v>
      </x:c>
      <x:c r="F61" s="66" t="str">
        <x:v>为绑定/变色/闪烁创建新类型</x:v>
      </x:c>
      <x:c r="G61" s="66" t="str">
        <x:v>Capability矩阵测试</x:v>
      </x:c>
      <x:c r="H61" s="66"/>
    </x:row>
    <x:row r="62">
      <x:c r="A62" s="58" t="str">
        <x:v>A07</x:v>
      </x:c>
      <x:c r="B62" s="58" t="str">
        <x:v>Element基座</x:v>
      </x:c>
      <x:c r="C62" s="58" t="str">
        <x:v>ElementModel保留Id/Bounds/Transform/Style/Bindings/Events/Animations，并补Alias/Tags/DesignRole/StateRules/ScriptRefs等可选能力</x:v>
      </x:c>
      <x:c r="D62" s="58" t="str">
        <x:v>共同契约稳定且不过度泛化</x:v>
      </x:c>
      <x:c r="E62" s="58" t="str">
        <x:v>少量稳定is-a继承</x:v>
      </x:c>
      <x:c r="F62" s="58" t="str">
        <x:v>万能Dictionary Element；所有对象继承Symbol</x:v>
      </x:c>
      <x:c r="G62" s="58" t="str">
        <x:v>Schema/类层次审查</x:v>
      </x:c>
      <x:c r="H62" s="58"/>
    </x:row>
    <x:row r="63">
      <x:c r="A63" s="66" t="str">
        <x:v>A08</x:v>
      </x:c>
      <x:c r="B63" s="66" t="str">
        <x:v>Group定义</x:v>
      </x:c>
      <x:c r="C63" s="66" t="str">
        <x:v>Group只解决Children局部坐标+整体Transform+编辑组合；没有业务公开接口和版本</x:v>
      </x:c>
      <x:c r="D63" s="66" t="str">
        <x:v>编辑组合和语义对象分离</x:v>
      </x:c>
      <x:c r="E63" s="66" t="str">
        <x:v>可增强轻量容器能力</x:v>
      </x:c>
      <x:c r="F63" s="66" t="str">
        <x:v>给Group加PublicProperties后当Symbol用</x:v>
      </x:c>
      <x:c r="G63" s="66" t="str">
        <x:v>Group/Ungroup回归</x:v>
      </x:c>
      <x:c r="H63" s="66"/>
    </x:row>
    <x:row r="64">
      <x:c r="A64" s="58" t="str">
        <x:v>A09</x:v>
      </x:c>
      <x:c r="B64" s="58" t="str">
        <x:v>Symbol定义</x:v>
      </x:c>
      <x:c r="C64" s="58" t="str">
        <x:v>Symbol=Definition + Instance + PublicProperty + Mapping + Override + Version；页面实例不复制完整定义树</x:v>
      </x:c>
      <x:c r="D64" s="58" t="str">
        <x:v>工业对象和用户自定义对象统一语义复用</x:v>
      </x:c>
      <x:c r="E64" s="58" t="str">
        <x:v>Ports/事件接口/库策略可扩展</x:v>
      </x:c>
      <x:c r="F64" s="58" t="str">
        <x:v>ComponentDefinition/Instance再并行存在</x:v>
      </x:c>
      <x:c r="G64" s="58" t="str">
        <x:v>多实例/版本测试</x:v>
      </x:c>
      <x:c r="H64" s="58"/>
    </x:row>
    <x:row r="65">
      <x:c r="A65" s="66" t="str">
        <x:v>A10</x:v>
      </x:c>
      <x:c r="B65" s="66" t="str">
        <x:v>Group→Symbol流程</x:v>
      </x:c>
      <x:c r="C65" s="66" t="str">
        <x:v>正式交互链：多选→Group→语义/边界检查→局部坐标→创建Definition→替换Instance；全流程一个Command事务</x:v>
      </x:c>
      <x:c r="D65" s="66" t="str">
        <x:v>UI过程与领域模型一致</x:v>
      </x:c>
      <x:c r="E65" s="66" t="str">
        <x:v>向导交互可变化</x:v>
      </x:c>
      <x:c r="F65" s="66" t="str">
        <x:v>View code-behind直接拼Definition</x:v>
      </x:c>
      <x:c r="G65" s="66" t="str">
        <x:v>一步Undo恢复原Group</x:v>
      </x:c>
      <x:c r="H65" s="66"/>
    </x:row>
    <x:row r="66">
      <x:c r="A66" s="58" t="str">
        <x:v>A11</x:v>
      </x:c>
      <x:c r="B66" s="58" t="str">
        <x:v>Role与Layer</x:v>
      </x:c>
      <x:c r="C66" s="58" t="str">
        <x:v>Layer管理Z/Visible/Locked/Selectable；DesignRole/SemanticRole表达Background/Content/SymbolPart/Body/Rotor等语义；二者正交</x:v>
      </x:c>
      <x:c r="D66" s="58" t="str">
        <x:v>背景、内部部件、编辑组织不混淆</x:v>
      </x:c>
      <x:c r="E66" s="58" t="str">
        <x:v>Role词表可扩展</x:v>
      </x:c>
      <x:c r="F66" s="58" t="str">
        <x:v>Role=CLR类型；Role=Layer</x:v>
      </x:c>
      <x:c r="G66" s="58" t="str">
        <x:v>Symbol封装边界测试</x:v>
      </x:c>
      <x:c r="H66" s="58"/>
    </x:row>
    <x:row r="67">
      <x:c r="A67" s="66" t="str">
        <x:v>A12</x:v>
      </x:c>
      <x:c r="B67" s="66" t="str">
        <x:v>稳定身份与检索</x:v>
      </x:c>
      <x:c r="C67" s="66" t="str">
        <x:v>持久化对象稳定Id；Alias用于稳定人工引用；Tags用于检索；Name仅显示；ProjectObjectIndex/SymbolObjectIndex提供快速查询</x:v>
      </x:c>
      <x:c r="D67" s="66" t="str">
        <x:v>脚本/状态/编辑器快速定位对象</x:v>
      </x:c>
      <x:c r="E67" s="66" t="str">
        <x:v>索引实现可优化</x:v>
      </x:c>
      <x:c r="F67" s="66" t="str">
        <x:v>每次递归遍历全工程；改Name破坏引用</x:v>
      </x:c>
      <x:c r="G67" s="66" t="str">
        <x:v>索引一致性测试</x:v>
      </x:c>
      <x:c r="H67" s="66"/>
    </x:row>
    <x:row r="68">
      <x:c r="A68" s="58" t="str">
        <x:v>A13</x:v>
      </x:c>
      <x:c r="B68" s="58" t="str">
        <x:v>Runtime对象地址</x:v>
      </x:c>
      <x:c r="C68" s="58" t="str">
        <x:v>页面对象使用id；Symbol内部对象使用 instanceId::localElementId；RuntimeObjectRegistry统一注册</x:v>
      </x:c>
      <x:c r="D68" s="58" t="str">
        <x:v>同一Definition多实例绝不串状态</x:v>
      </x:c>
      <x:c r="E68" s="58" t="str">
        <x:v>地址编码实现可封装</x:v>
      </x:c>
      <x:c r="F68" s="58" t="str">
        <x:v>只用Definition child id作为运行key</x:v>
      </x:c>
      <x:c r="G68" s="58" t="str">
        <x:v>100实例隔离测试</x:v>
      </x:c>
      <x:c r="H68" s="58"/>
    </x:row>
    <x:row r="69">
      <x:c r="A69" s="66" t="str">
        <x:v>A14</x:v>
      </x:c>
      <x:c r="B69" s="66" t="str">
        <x:v>编辑变更</x:v>
      </x:c>
      <x:c r="C69" s="66" t="str">
        <x:v>所有持久化工程修改必须经IEditorCommand；连续拖动用PreviewEditSession，提交一次Command</x:v>
      </x:c>
      <x:c r="D69" s="66" t="str">
        <x:v>Undo/Redo/Dirty/批处理一致</x:v>
      </x:c>
      <x:c r="E69" s="66" t="str">
        <x:v>纯选择/视口状态不走Command</x:v>
      </x:c>
      <x:c r="F69" s="66" t="str">
        <x:v>UI直接修改持久化Model</x:v>
      </x:c>
      <x:c r="G69" s="66" t="str">
        <x:v>Command等价性测试</x:v>
      </x:c>
      <x:c r="H69" s="66"/>
    </x:row>
    <x:row r="70">
      <x:c r="A70" s="58" t="str">
        <x:v>A15</x:v>
      </x:c>
      <x:c r="B70" s="58" t="str">
        <x:v>运行态隔离</x:v>
      </x:c>
      <x:c r="C70" s="58" t="str">
        <x:v>设计值与运行值分离；Runtime层变化不写回ProjectModel</x:v>
      </x:c>
      <x:c r="D70" s="58" t="str">
        <x:v>保存工程不带PLC瞬时值</x:v>
      </x:c>
      <x:c r="E70" s="58" t="str">
        <x:v>RuntimeStore实现可变化</x:v>
      </x:c>
      <x:c r="F70" s="58" t="str">
        <x:v>绑定/动画把当前值回写DesignModel</x:v>
      </x:c>
      <x:c r="G70" s="58" t="str">
        <x:v>Save/Load污染测试</x:v>
      </x:c>
      <x:c r="H70" s="58"/>
    </x:row>
    <x:row r="71">
      <x:c r="A71" s="66" t="str">
        <x:v>A16</x:v>
      </x:c>
      <x:c r="B71" s="66" t="str">
        <x:v>Runtime属性统一链</x:v>
      </x:c>
      <x:c r="C71" s="66" t="str">
        <x:v>Design &lt; Binding &lt; Symbol &lt; State &lt; Animation &lt; Action &lt; Script &lt; Guard；同层可有Priority；上层Clear后自动回退</x:v>
      </x:c>
      <x:c r="D71" s="66" t="str">
        <x:v>所有动态效果有唯一可解释最终值</x:v>
      </x:c>
      <x:c r="E71" s="66" t="str">
        <x:v>层实现/缓存可调整</x:v>
      </x:c>
      <x:c r="F71" s="66" t="str">
        <x:v>Renderer各自合并规则</x:v>
      </x:c>
      <x:c r="G71" s="66" t="str">
        <x:v>Resolver优先级/回退测试</x:v>
      </x:c>
      <x:c r="H71" s="66"/>
    </x:row>
    <x:row r="72">
      <x:c r="A72" s="58" t="str">
        <x:v>A17</x:v>
      </x:c>
      <x:c r="B72" s="58" t="str">
        <x:v>Renderer职责</x:v>
      </x:c>
      <x:c r="C72" s="58" t="str">
        <x:v>Renderer/Host只读取Resolver最终值并负责绘制/承载；不直接访问VariableProvider、不跑State/Expression/Script</x:v>
      </x:c>
      <x:c r="D72" s="58" t="str">
        <x:v>Rendering与Runtime彻底解耦</x:v>
      </x:c>
      <x:c r="E72" s="58" t="str">
        <x:v>Renderer实现可按性能替换</x:v>
      </x:c>
      <x:c r="F72" s="58" t="str">
        <x:v>在Renderer写PLC/报警色/脚本逻辑</x:v>
      </x:c>
      <x:c r="G72" s="58" t="str">
        <x:v>依赖扫描+单测</x:v>
      </x:c>
      <x:c r="H72" s="58"/>
    </x:row>
    <x:row r="73">
      <x:c r="A73" s="66" t="str">
        <x:v>A18</x:v>
      </x:c>
      <x:c r="B73" s="66" t="str">
        <x:v>变量接入</x:v>
      </x:c>
      <x:c r="C73" s="66" t="str">
        <x:v>统一IVariableProvider适配现有变量池；Simulation/Replay也走同一接口</x:v>
      </x:c>
      <x:c r="D73" s="66" t="str">
        <x:v>不重复造通信层</x:v>
      </x:c>
      <x:c r="E73" s="66" t="str">
        <x:v>Provider可插件化</x:v>
      </x:c>
      <x:c r="F73" s="66" t="str">
        <x:v>Core/Designer直连PLC SDK</x:v>
      </x:c>
      <x:c r="G73" s="66" t="str">
        <x:v>Provider contract测试</x:v>
      </x:c>
      <x:c r="H73" s="66"/>
    </x:row>
    <x:row r="74">
      <x:c r="A74" s="58" t="str">
        <x:v>A19</x:v>
      </x:c>
      <x:c r="B74" s="58" t="str">
        <x:v>Binding</x:v>
      </x:c>
      <x:c r="C74" s="58" t="str">
        <x:v>BindingModel持久化配置；BindingCompiler产生BindingPlan；Tag/Property/Expression Resolver注册扩展</x:v>
      </x:c>
      <x:c r="D74" s="58" t="str">
        <x:v>单属性/多属性/表达式/批量配点统一</x:v>
      </x:c>
      <x:c r="E74" s="58" t="str">
        <x:v>Resolver类型可扩展</x:v>
      </x:c>
      <x:c r="F74" s="58" t="str">
        <x:v>用WPF Binding替代平台Binding模型</x:v>
      </x:c>
      <x:c r="G74" s="58" t="str">
        <x:v>Binding诊断/循环测试</x:v>
      </x:c>
      <x:c r="H74" s="58"/>
    </x:row>
    <x:row r="75">
      <x:c r="A75" s="66" t="str">
        <x:v>A20</x:v>
      </x:c>
      <x:c r="B75" s="66" t="str">
        <x:v>State</x:v>
      </x:c>
      <x:c r="C75" s="66" t="str">
        <x:v>StateRule=Condition(All/Any)+Priority+多Property Override；StateRuntime只写State层</x:v>
      </x:c>
      <x:c r="D75" s="66" t="str">
        <x:v>状态规则与脚本/类型解耦</x:v>
      </x:c>
      <x:c r="E75" s="66" t="str">
        <x:v>条件语言可扩展</x:v>
      </x:c>
      <x:c r="F75" s="66" t="str">
        <x:v>StateRule演变成任意代码</x:v>
      </x:c>
      <x:c r="G75" s="66" t="str">
        <x:v>切换1000次无Model污染</x:v>
      </x:c>
      <x:c r="H75" s="66"/>
    </x:row>
    <x:row r="76">
      <x:c r="A76" s="58" t="str">
        <x:v>A21</x:v>
      </x:c>
      <x:c r="B76" s="58" t="str">
        <x:v>Animation</x:v>
      </x:c>
      <x:c r="C76" s="58" t="str">
        <x:v>AnimationDefinition持久化，AnimationRuntime只写Animation层；Stop/隐藏策略明确</x:v>
      </x:c>
      <x:c r="D76" s="58" t="str">
        <x:v>避免对象Timer和状态污染</x:v>
      </x:c>
      <x:c r="E76" s="58" t="str">
        <x:v>动画类型/Easing扩展</x:v>
      </x:c>
      <x:c r="F76" s="58" t="str">
        <x:v>每Element独立DispatcherTimer</x:v>
      </x:c>
      <x:c r="G76" s="58" t="str">
        <x:v>动画老化/回退测试</x:v>
      </x:c>
      <x:c r="H76" s="58"/>
    </x:row>
    <x:row r="77">
      <x:c r="A77" s="66" t="str">
        <x:v>A22</x:v>
      </x:c>
      <x:c r="B77" s="66" t="str">
        <x:v>Event/Action</x:v>
      </x:c>
      <x:c r="C77" s="66" t="str">
        <x:v>事件只触发标准Action；ActionEngine/Executor统一写变量、导航、Popup、条件、串并行等</x:v>
      </x:c>
      <x:c r="D77" s="66" t="str">
        <x:v>行为可序列化、可测试、可安全拦截</x:v>
      </x:c>
      <x:c r="E77" s="66" t="str">
        <x:v>Action类型注册扩展</x:v>
      </x:c>
      <x:c r="F77" s="66" t="str">
        <x:v>控件code-behind直接执行PLC/业务</x:v>
      </x:c>
      <x:c r="G77" s="66" t="str">
        <x:v>Action集成测试</x:v>
      </x:c>
      <x:c r="H77" s="66"/>
    </x:row>
    <x:row r="78">
      <x:c r="A78" s="58" t="str">
        <x:v>A23</x:v>
      </x:c>
      <x:c r="B78" s="58" t="str">
        <x:v>Alarm</x:v>
      </x:c>
      <x:c r="C78" s="58" t="str">
        <x:v>AlarmEngine负责报警状态/历史；视觉通过State/Resolver联动</x:v>
      </x:c>
      <x:c r="D78" s="58" t="str">
        <x:v>报警与视觉解耦</x:v>
      </x:c>
      <x:c r="E78" s="58" t="str">
        <x:v>报警策略扩展</x:v>
      </x:c>
      <x:c r="F78" s="58" t="str">
        <x:v>Renderer直接判断报警并改色</x:v>
      </x:c>
      <x:c r="G78" s="58" t="str">
        <x:v>报警恢复/确认测试</x:v>
      </x:c>
      <x:c r="H78" s="58"/>
    </x:row>
    <x:row r="79">
      <x:c r="A79" s="66" t="str">
        <x:v>A24</x:v>
      </x:c>
      <x:c r="B79" s="66" t="str">
        <x:v>安全与写入</x:v>
      </x:c>
      <x:c r="C79" s="66" t="str">
        <x:v>生产写入统一 Mode→Authorization→Policy→Provider→Readback→Audit；Guard是最终可见/可用/可写约束</x:v>
      </x:c>
      <x:c r="D79" s="66" t="str">
        <x:v>任何入口无法绕过安全</x:v>
      </x:c>
      <x:c r="E79" s="66" t="str">
        <x:v>策略/确认机制扩展</x:v>
      </x:c>
      <x:c r="F79" s="66" t="str">
        <x:v>UI/Script直接provider.Write</x:v>
      </x:c>
      <x:c r="G79" s="66" t="str">
        <x:v>故障注入/审计测试</x:v>
      </x:c>
      <x:c r="H79" s="66"/>
    </x:row>
    <x:row r="80">
      <x:c r="A80" s="58" t="str">
        <x:v>A25</x:v>
      </x:c>
      <x:c r="B80" s="58" t="str">
        <x:v>Control边界</x:v>
      </x:c>
      <x:c r="C80" s="58" t="str">
        <x:v>有输入/焦点/校验/TwoWay/权限语义的对象使用专用Control模型/Host；视觉模板可复用</x:v>
      </x:c>
      <x:c r="D80" s="58" t="str">
        <x:v>避免Rectangle+Script模拟控件</x:v>
      </x:c>
      <x:c r="E80" s="58" t="str">
        <x:v>复杂控件可专用Model</x:v>
      </x:c>
      <x:c r="F80" s="58" t="str">
        <x:v>把行为控件当普通Shape</x:v>
      </x:c>
      <x:c r="G80" s="58" t="str">
        <x:v>焦点/IME/写回测试</x:v>
      </x:c>
      <x:c r="H80" s="58"/>
    </x:row>
    <x:row r="81">
      <x:c r="A81" s="66" t="str">
        <x:v>A26</x:v>
      </x:c>
      <x:c r="B81" s="66" t="str">
        <x:v>Chart边界</x:v>
      </x:c>
      <x:c r="C81" s="66" t="str">
        <x:v>Chart拥有Series/Axis/DataSource/Cache/Sampling/History模型与独立Runtime</x:v>
      </x:c>
      <x:c r="D81" s="66" t="str">
        <x:v>趋势图不是Polyline动态版</x:v>
      </x:c>
      <x:c r="E81" s="66" t="str">
        <x:v>Chart库可替换</x:v>
      </x:c>
      <x:c r="F81" s="66" t="str">
        <x:v>每采样点Dispatcher绘制</x:v>
      </x:c>
      <x:c r="G81" s="66" t="str">
        <x:v>10k+点性能测试</x:v>
      </x:c>
      <x:c r="H81" s="66"/>
    </x:row>
    <x:row r="82">
      <x:c r="A82" s="58" t="str">
        <x:v>A27</x:v>
      </x:c>
      <x:c r="B82" s="58" t="str">
        <x:v>Container/Media边界</x:v>
      </x:c>
      <x:c r="C82" s="58" t="str">
        <x:v>Group最轻；Panel/Tab/Grid/Repeater有布局/生命周期；Camera/Video/Web/XRayImage有异步资源生命周期</x:v>
      </x:c>
      <x:c r="D82" s="58" t="str">
        <x:v>复杂对象不靠脚本模拟</x:v>
      </x:c>
      <x:c r="E82" s="58" t="str">
        <x:v>实现按阶段增加</x:v>
      </x:c>
      <x:c r="F82" s="58" t="str">
        <x:v>用Group长期冒充Tab/Camera</x:v>
      </x:c>
      <x:c r="G82" s="58" t="str">
        <x:v>生命周期/Dispose测试</x:v>
      </x:c>
      <x:c r="H82" s="58"/>
    </x:row>
    <x:row r="83">
      <x:c r="A83" s="66" t="str">
        <x:v>A28</x:v>
      </x:c>
      <x:c r="B83" s="66" t="str">
        <x:v>元数据与注册</x:v>
      </x:c>
      <x:c r="C83" s="66" t="str">
        <x:v>Descriptor/Factory/Renderer/PropertyMetadata/Editor/Action/Binding Resolver各自Registry，职责不混</x:v>
      </x:c>
      <x:c r="D83" s="66" t="str">
        <x:v>新增类型不改主switch</x:v>
      </x:c>
      <x:c r="E83" s="66" t="str">
        <x:v>插件来源可扩展</x:v>
      </x:c>
      <x:c r="F83" s="66" t="str">
        <x:v>一个Registry包办全部职责</x:v>
      </x:c>
      <x:c r="G83" s="66" t="str">
        <x:v>注册一致性测试</x:v>
      </x:c>
      <x:c r="H83" s="66"/>
    </x:row>
    <x:row r="84">
      <x:c r="A84" s="58" t="str">
        <x:v>A29</x:v>
      </x:c>
      <x:c r="B84" s="58" t="str">
        <x:v>Tool映射</x:v>
      </x:c>
      <x:c r="C84" s="58" t="str">
        <x:v>DesignerToolTypeMap是ToolKind→TypeId唯一来源；Toolbox来自DescriptorCatalog</x:v>
      </x:c>
      <x:c r="D84" s="58" t="str">
        <x:v>避免WPF/EditorTools/Tests多份映射漂移</x:v>
      </x:c>
      <x:c r="E84" s="58" t="str">
        <x:v>Tool UI可变化</x:v>
      </x:c>
      <x:c r="F84" s="58" t="str">
        <x:v>散落switch/硬编码TypeId</x:v>
      </x:c>
      <x:c r="G84" s="58" t="str">
        <x:v>工具注册测试</x:v>
      </x:c>
      <x:c r="H84" s="58"/>
    </x:row>
    <x:row r="85">
      <x:c r="A85" s="66" t="str">
        <x:v>A30</x:v>
      </x:c>
      <x:c r="B85" s="66" t="str">
        <x:v>工程Schema</x:v>
      </x:c>
      <x:c r="C85" s="66" t="str">
        <x:v>Project/Page/Element/Symbol/Binding/Action/Resource等正式Schema有FormatVersion；Core类不等于文件字段</x:v>
      </x:c>
      <x:c r="D85" s="66" t="str">
        <x:v>文件契约稳定</x:v>
      </x:c>
      <x:c r="E85" s="66" t="str">
        <x:v>字段通过Migration演进</x:v>
      </x:c>
      <x:c r="F85" s="66" t="str">
        <x:v>猜结构/直接序列化WPF对象</x:v>
      </x:c>
      <x:c r="G85" s="66" t="str">
        <x:v>Golden/RoundTrip</x:v>
      </x:c>
      <x:c r="H85" s="66"/>
    </x:row>
    <x:row r="86">
      <x:c r="A86" s="58" t="str">
        <x:v>A31</x:v>
      </x:c>
      <x:c r="B86" s="58" t="str">
        <x:v>TypeId兼容</x:v>
      </x:c>
      <x:c r="C86" s="58" t="str">
        <x:v>旧industrial.* / ui.* / chart.*保持；分类变化走CategoryId；必要改名用Alias+Migration</x:v>
      </x:c>
      <x:c r="D86" s="58" t="str">
        <x:v>已有工程继续打开</x:v>
      </x:c>
      <x:c r="E86" s="58" t="str">
        <x:v>新类型使用更合理TypeId</x:v>
      </x:c>
      <x:c r="F86" s="58" t="str">
        <x:v>全局替换旧TypeId</x:v>
      </x:c>
      <x:c r="G86" s="58" t="str">
        <x:v>旧项目兼容测试</x:v>
      </x:c>
      <x:c r="H86" s="58"/>
    </x:row>
    <x:row r="87">
      <x:c r="A87" s="66" t="str">
        <x:v>A32</x:v>
      </x:c>
      <x:c r="B87" s="66" t="str">
        <x:v>Unknown保底</x:v>
      </x:c>
      <x:c r="C87" s="66" t="str">
        <x:v>未知插件/未来类型加载为UnknownElementModel并保留RawJson</x:v>
      </x:c>
      <x:c r="D87" s="66" t="str">
        <x:v>缺插件不丢数据</x:v>
      </x:c>
      <x:c r="E87" s="66" t="str">
        <x:v>可增加Unknown资源类型</x:v>
      </x:c>
      <x:c r="F87" s="66" t="str">
        <x:v>忽略/丢弃未知字段</x:v>
      </x:c>
      <x:c r="G87" s="66" t="str">
        <x:v>RoundTrip保真</x:v>
      </x:c>
      <x:c r="H87" s="66"/>
    </x:row>
    <x:row r="88">
      <x:c r="A88" s="58" t="str">
        <x:v>A33</x:v>
      </x:c>
      <x:c r="B88" s="58" t="str">
        <x:v>Symbol版本</x:v>
      </x:c>
      <x:c r="C88" s="58" t="str">
        <x:v>Definition发布后有Version；Instance记录解析版本/策略；升级需显式报告并迁移Override</x:v>
      </x:c>
      <x:c r="D88" s="58" t="str">
        <x:v>定义升级不静默改变现场画面</x:v>
      </x:c>
      <x:c r="E88" s="58" t="str">
        <x:v>VersionPolicy可扩展</x:v>
      </x:c>
      <x:c r="F88" s="58" t="str">
        <x:v>保存时自动套用最新版</x:v>
      </x:c>
      <x:c r="G88" s="58" t="str">
        <x:v>升级/回滚测试</x:v>
      </x:c>
      <x:c r="H88" s="58"/>
    </x:row>
    <x:row r="89">
      <x:c r="A89" s="66" t="str">
        <x:v>A34</x:v>
      </x:c>
      <x:c r="B89" s="66" t="str">
        <x:v>资源与工程存储</x:v>
      </x:c>
      <x:c r="C89" s="66" t="str">
        <x:v>工作区Project/symbols/resources/manifest分离；大资源内容寻址，不塞Base64；发布包由PackageService生成</x:v>
      </x:c>
      <x:c r="D89" s="66" t="str">
        <x:v>Git友好、资源复用、发布可控</x:v>
      </x:c>
      <x:c r="E89" s="66" t="str">
        <x:v>存储实现可替换</x:v>
      </x:c>
      <x:c r="F89" s="66" t="str">
        <x:v>绝对路径和大Base64进入Core JSON</x:v>
      </x:c>
      <x:c r="G89" s="66" t="str">
        <x:v>损坏/缺资源测试</x:v>
      </x:c>
      <x:c r="H89" s="66"/>
    </x:row>
    <x:row r="90">
      <x:c r="A90" s="58" t="str">
        <x:v>A35</x:v>
      </x:c>
      <x:c r="B90" s="58" t="str">
        <x:v>Designer信息架构</x:v>
      </x:c>
      <x:c r="C90" s="58" t="str">
        <x:v>当前界面正式定位为工程IDE：AppShell / Workspace / DocumentCanvas / Inspector / Diagnostics 五区；所有面板围绕同一DesignerDocument</x:v>
      </x:c>
      <x:c r="D90" s="58" t="str">
        <x:v>界面功能系统化而非面板堆积</x:v>
      </x:c>
      <x:c r="E90" s="58" t="str">
        <x:v>停靠布局可调整</x:v>
      </x:c>
      <x:c r="F90" s="58" t="str">
        <x:v>每Panel自建状态/服务</x:v>
      </x:c>
      <x:c r="G90" s="58" t="str">
        <x:v>UI状态一致性测试</x:v>
      </x:c>
      <x:c r="H90" s="58"/>
    </x:row>
    <x:row r="91">
      <x:c r="A91" s="66" t="str">
        <x:v>A36</x:v>
      </x:c>
      <x:c r="B91" s="66" t="str">
        <x:v>对象查找/定位</x:v>
      </x:c>
      <x:c r="C91" s="66" t="str">
        <x:v>全局搜索支持Name/Alias/Tag/Role/Type/Page；结果可定位、选中、高亮并打开对应编辑器</x:v>
      </x:c>
      <x:c r="D91" s="66" t="str">
        <x:v>大工程可维护</x:v>
      </x:c>
      <x:c r="E91" s="66" t="str">
        <x:v>索引/搜索UI可优化</x:v>
      </x:c>
      <x:c r="F91" s="66" t="str">
        <x:v>只靠ProjectTree肉眼查找</x:v>
      </x:c>
      <x:c r="G91" s="66" t="str">
        <x:v>10000对象搜索性能</x:v>
      </x:c>
      <x:c r="H91" s="66"/>
    </x:row>
    <x:row r="92">
      <x:c r="A92" s="58" t="str">
        <x:v>A37</x:v>
      </x:c>
      <x:c r="B92" s="58" t="str">
        <x:v>Runtime Preview</x:v>
      </x:c>
      <x:c r="C92" s="58" t="str">
        <x:v>Designer预览使用真实Runtime内核+Simulation/Existing Provider；与编辑Model隔离；Stop后清空全部Runtime层</x:v>
      </x:c>
      <x:c r="D92" s="58" t="str">
        <x:v>预览与正式运行不分叉</x:v>
      </x:c>
      <x:c r="E92" s="58" t="str">
        <x:v>可增加HotReload</x:v>
      </x:c>
      <x:c r="F92" s="58" t="str">
        <x:v>预览直接操纵Designer对象</x:v>
      </x:c>
      <x:c r="G92" s="58" t="str">
        <x:v>Preview/Runtime一致性测试</x:v>
      </x:c>
      <x:c r="H92" s="58"/>
    </x:row>
    <x:row r="93">
      <x:c r="A93" s="66" t="str">
        <x:v>A38</x:v>
      </x:c>
      <x:c r="B93" s="66" t="str">
        <x:v>Script边界</x:v>
      </x:c>
      <x:c r="C93" s="66" t="str">
        <x:v>Core只保存ScriptReferenceModel；Roslyn在CxVisual.Runtime.Script独立模块；脚本仅用窄Runtime API/Action</x:v>
      </x:c>
      <x:c r="D93" s="66" t="str">
        <x:v>强能力不污染核心依赖</x:v>
      </x:c>
      <x:c r="E93" s="66" t="str">
        <x:v>未来可换引擎/进程隔离</x:v>
      </x:c>
      <x:c r="F93" s="66" t="str">
        <x:v>Core引用Roslyn；Script直接拿WPF对象</x:v>
      </x:c>
      <x:c r="G93" s="66" t="str">
        <x:v>依赖/超时/缓存测试</x:v>
      </x:c>
      <x:c r="H93" s="66"/>
    </x:row>
    <x:row r="94">
      <x:c r="A94" s="58" t="str">
        <x:v>A39</x:v>
      </x:c>
      <x:c r="B94" s="58" t="str">
        <x:v>诊断一等公民</x:v>
      </x:c>
      <x:c r="C94" s="58" t="str">
        <x:v>DiagnosticRecord带Code/Module/ObjectId/RuntimeAddress/Resolution；失败局部降级且可从UI定位</x:v>
      </x:c>
      <x:c r="D94" s="58" t="str">
        <x:v>现场问题可解释</x:v>
      </x:c>
      <x:c r="E94" s="58" t="str">
        <x:v>Sink/采样策略可替换</x:v>
      </x:c>
      <x:c r="F94" s="58" t="str">
        <x:v>只MessageBox/吞异常</x:v>
      </x:c>
      <x:c r="G94" s="58" t="str">
        <x:v>故障注入</x:v>
      </x:c>
      <x:c r="H94" s="58"/>
    </x:row>
    <x:row r="95">
      <x:c r="A95" s="66" t="str">
        <x:v>A40</x:v>
      </x:c>
      <x:c r="B95" s="66" t="str">
        <x:v>线程与性能</x:v>
      </x:c>
      <x:c r="C95" s="66" t="str">
        <x:v>UI仅视觉提交；通信/解析/历史/大计算后台；订阅共享、批量更新、隐藏页降频、缓存硬上限</x:v>
      </x:c>
      <x:c r="D95" s="66" t="str">
        <x:v>长期运行稳定</x:v>
      </x:c>
      <x:c r="E95" s="66" t="str">
        <x:v>调度策略可调</x:v>
      </x:c>
      <x:c r="F95" s="66" t="str">
        <x:v>Provider回调直接操作DependencyObject</x:v>
      </x:c>
      <x:c r="G95" s="66" t="str">
        <x:v>压力/72h老化</x:v>
      </x:c>
      <x:c r="H95" s="66"/>
    </x:row>
    <x:row r="96">
      <x:c r="A96" s="58" t="str">
        <x:v>A41</x:v>
      </x:c>
      <x:c r="B96" s="58" t="str">
        <x:v>唯一开发阶段</x:v>
      </x:c>
      <x:c r="C96" s="58" t="str">
        <x:v>正式路线只使用 M1平台内核 → M2 Visual+SCADA → M3 Graph+统一Runtime/Debug → M4 Motion/Robot → M5 Vision/CT3D → M6 Inspection → M7平台交付/Operations → RC</x:v>
      </x:c>
      <x:c r="D96" s="58" t="str">
        <x:v>主版本只保留一套正式里程碑</x:v>
      </x:c>
      <x:c r="E96" s="58" t="str">
        <x:v>每阶段内部可拆Task/Story</x:v>
      </x:c>
      <x:c r="F96" s="58" t="str">
        <x:v>文档出现第二套正式M编号/WS/VS阶段</x:v>
      </x:c>
      <x:c r="G96" s="58" t="str">
        <x:v>02/23/24一致性检查</x:v>
      </x:c>
      <x:c r="H96" s="58"/>
    </x:row>
    <x:row r="97">
      <x:c r="A97" s="66" t="str">
        <x:v>A42</x:v>
      </x:c>
      <x:c r="B97" s="66" t="str">
        <x:v>Definition of Done</x:v>
      </x:c>
      <x:c r="C97" s="66" t="str">
        <x:v>每项必须贯通适用的 Model/Designer/Command/Schema/Compiler/Runtime/Diagnostic/Test；Graph类功能还必须覆盖Validator/ExecutionPlan/Debug；不适用项明确N/A</x:v>
      </x:c>
      <x:c r="D97" s="66" t="str">
        <x:v>防止“有类/有节点就算完成”</x:v>
      </x:c>
      <x:c r="E97" s="66" t="str">
        <x:v>跟踪字段可扩展</x:v>
      </x:c>
      <x:c r="F97" s="66" t="str">
        <x:v>仅UI/仅编译即标Done</x:v>
      </x:c>
      <x:c r="G97" s="66" t="str">
        <x:v>24追踪矩阵</x:v>
      </x:c>
      <x:c r="H97" s="66"/>
    </x:row>
    <x:row r="98">
      <x:c r="A98" s="58" t="str">
        <x:v>A43</x:v>
      </x:c>
      <x:c r="B98" s="58" t="str">
        <x:v>最终编译门禁</x:v>
      </x:c>
      <x:c r="C98" s="58" t="str">
        <x:v>Windows VS2022 + .NET Framework 4.8，Debug/Release全量Build，执行Tests+UI Smoke；0 Error后才可RC</x:v>
      </x:c>
      <x:c r="D98" s="58" t="str">
        <x:v>真正保证可运行版本</x:v>
      </x:c>
      <x:c r="E98" s="58" t="str">
        <x:v>CI命令可改</x:v>
      </x:c>
      <x:c r="F98" s="58" t="str">
        <x:v>未实编译声称完成</x:v>
      </x:c>
      <x:c r="G98" s="58" t="str">
        <x:v>build.cmd/run-tests.cmd</x:v>
      </x:c>
      <x:c r="H98" s="58"/>
    </x:row>
    <x:row r="99">
      <x:c r="A99" s="66" t="str">
        <x:v>A44</x:v>
      </x:c>
      <x:c r="B99" s="66" t="str">
        <x:v>Project多设计域</x:v>
      </x:c>
      <x:c r="C99" s="66" t="str">
        <x:v>Project正式包含Pages/Symbols/Devices/Variables/MotionPrograms/VisionPipelines/InspectionFlows/RuntimeProfiles等域对象</x:v>
      </x:c>
      <x:c r="D99" s="66" t="str">
        <x:v>一个工程贯穿设备到检测流程</x:v>
      </x:c>
      <x:c r="E99" s="66" t="str">
        <x:v>域对象可继续增加</x:v>
      </x:c>
      <x:c r="F99" s="66" t="str">
        <x:v>每个编排器自建工程文件格式</x:v>
      </x:c>
      <x:c r="G99" s="66" t="str">
        <x:v>Schema/RoundTrip</x:v>
      </x:c>
      <x:c r="H99" s="66"/>
    </x:row>
    <x:row r="100">
      <x:c r="A100" s="58" t="str">
        <x:v>A45</x:v>
      </x:c>
      <x:c r="B100" s="58" t="str">
        <x:v>Visual/Execution双主轴</x:v>
      </x:c>
      <x:c r="C100" s="58" t="str">
        <x:v>Visual Model负责显示交互；Execution Model负责可执行图/工作流；通过稳定Runtime引用桥接</x:v>
      </x:c>
      <x:c r="D100" s="58" t="str">
        <x:v>防止把流程塞Element或把UI塞Node</x:v>
      </x:c>
      <x:c r="E100" s="58" t="str">
        <x:v>桥接协议可扩展</x:v>
      </x:c>
      <x:c r="F100" s="58" t="str">
        <x:v>Element继承GraphNode/Graph持有WPF对象</x:v>
      </x:c>
      <x:c r="G100" s="58" t="str">
        <x:v>依赖/Schema测试</x:v>
      </x:c>
      <x:c r="H100" s="58"/>
    </x:row>
    <x:row r="101">
      <x:c r="A101" s="66" t="str">
        <x:v>A46</x:v>
      </x:c>
      <x:c r="B101" s="66" t="str">
        <x:v>Graph共享基础边界</x:v>
      </x:c>
      <x:c r="C101" s="66" t="str">
        <x:v>Graph共享Node/Port/Connection/Command/Metadata/Serializer/Validator/Debug协议，不共享万能执行器</x:v>
      </x:c>
      <x:c r="D101" s="66" t="str">
        <x:v>Motion/Vision/Inspection执行语义差异很大</x:v>
      </x:c>
      <x:c r="E101" s="66" t="str">
        <x:v>共享工具可增强</x:v>
      </x:c>
      <x:c r="F101" s="66" t="str">
        <x:v>统一INode.Execute(object)承载所有域</x:v>
      </x:c>
      <x:c r="G101" s="66" t="str">
        <x:v>架构测试</x:v>
      </x:c>
      <x:c r="H101" s="66"/>
    </x:row>
    <x:row r="102">
      <x:c r="A102" s="58" t="str">
        <x:v>A47</x:v>
      </x:c>
      <x:c r="B102" s="58" t="str">
        <x:v>GraphKind/Compiler</x:v>
      </x:c>
      <x:c r="C102" s="58" t="str">
        <x:v>每个GraphDefinition有GraphKind；由CompilerRegistry解析到Domain Compiler并生成不可变ExecutionPlan</x:v>
      </x:c>
      <x:c r="D102" s="58" t="str">
        <x:v>执行前发现错误并隔离域语义</x:v>
      </x:c>
      <x:c r="E102" s="58" t="str">
        <x:v>Compiler可插件化</x:v>
      </x:c>
      <x:c r="F102" s="58" t="str">
        <x:v>Runtime主循环switch所有节点类型</x:v>
      </x:c>
      <x:c r="G102" s="58" t="str">
        <x:v>Compile tests</x:v>
      </x:c>
      <x:c r="H102" s="58"/>
    </x:row>
    <x:row r="103">
      <x:c r="A103" s="66" t="str">
        <x:v>A48</x:v>
      </x:c>
      <x:c r="B103" s="66" t="str">
        <x:v>Typed Port</x:v>
      </x:c>
      <x:c r="C103" s="66" t="str">
        <x:v>Graph Port必须声明平台DataType/Cardinality/Direction；转换由TypeCoercion/Converter显式完成</x:v>
      </x:c>
      <x:c r="D103" s="66" t="str">
        <x:v>设计期发现类型错误，尤其Vision</x:v>
      </x:c>
      <x:c r="E103" s="66" t="str">
        <x:v>类型系统可扩展</x:v>
      </x:c>
      <x:c r="F103" s="66" t="str">
        <x:v>object/Dictionary万能端口</x:v>
      </x:c>
      <x:c r="G103" s="66" t="str">
        <x:v>GraphValidator</x:v>
      </x:c>
      <x:c r="H103" s="66"/>
    </x:row>
    <x:row r="104">
      <x:c r="A104" s="58" t="str">
        <x:v>A49</x:v>
      </x:c>
      <x:c r="B104" s="58" t="str">
        <x:v>统一工业类型系统</x:v>
      </x:c>
      <x:c r="C104" s="58" t="str">
        <x:v>Variable/Property/Port/Action/Script/API使用同一TypeId体系；Core不使用WPF/Vendor数据类型</x:v>
      </x:c>
      <x:c r="D104" s="58" t="str">
        <x:v>跨域契约稳定</x:v>
      </x:c>
      <x:c r="E104" s="58" t="str">
        <x:v>新增Image/Volume/Product等类型</x:v>
      </x:c>
      <x:c r="F104" s="58" t="str">
        <x:v>各模块重复定义Point/Image/Result DTO</x:v>
      </x:c>
      <x:c r="G104" s="58" t="str">
        <x:v>Contract tests</x:v>
      </x:c>
      <x:c r="H104" s="58"/>
    </x:row>
    <x:row r="105">
      <x:c r="A105" s="66" t="str">
        <x:v>A50</x:v>
      </x:c>
      <x:c r="B105" s="66" t="str">
        <x:v>DataValue语义</x:v>
      </x:c>
      <x:c r="C105" s="66" t="str">
        <x:v>动态数据统一携带Value/Quality/Timestamp/Source/Correlation等必要语义；大对象使用Handle/ResourceRef</x:v>
      </x:c>
      <x:c r="D105" s="66" t="str">
        <x:v>SCADA质量与Vision帧可追踪</x:v>
      </x:c>
      <x:c r="E105" s="66" t="str">
        <x:v>字段可按类型裁剪</x:v>
      </x:c>
      <x:c r="F105" s="66" t="str">
        <x:v>null代替BadQuality；大图到处byte[]复制</x:v>
      </x:c>
      <x:c r="G105" s="66" t="str">
        <x:v>Runtime tests</x:v>
      </x:c>
      <x:c r="H105" s="66"/>
    </x:row>
    <x:row r="106">
      <x:c r="A106" s="58" t="str">
        <x:v>A51</x:v>
      </x:c>
      <x:c r="B106" s="58" t="str">
        <x:v>Studio主模式</x:v>
      </x:c>
      <x:c r="C106" s="58" t="str">
        <x:v>产品层固定Design / Debug / Run三主模式；Debug数据源可Simulation/Live/Replay</x:v>
      </x:c>
      <x:c r="D106" s="58" t="str">
        <x:v>统一用户心智和权限模型</x:v>
      </x:c>
      <x:c r="E106" s="58" t="str">
        <x:v>可增加维护子状态</x:v>
      </x:c>
      <x:c r="F106" s="58" t="str">
        <x:v>每个Designer自行命名Preview/Test/Execute并另造状态机</x:v>
      </x:c>
      <x:c r="G106" s="58" t="str">
        <x:v>UI state tests</x:v>
      </x:c>
      <x:c r="H106" s="58"/>
    </x:row>
    <x:row r="107">
      <x:c r="A107" s="66" t="str">
        <x:v>A52</x:v>
      </x:c>
      <x:c r="B107" s="66" t="str">
        <x:v>Unified Debug</x:v>
      </x:c>
      <x:c r="C107" s="66" t="str">
        <x:v>Breakpoint/Watch/Trace/Timeline/ExecutionStack/Data Viewer/Correlation统一由DebugSession协调</x:v>
      </x:c>
      <x:c r="D107" s="66" t="str">
        <x:v>跨域调试体验一致</x:v>
      </x:c>
      <x:c r="E107" s="66" t="str">
        <x:v>域Debugger提供特化能力</x:v>
      </x:c>
      <x:c r="F107" s="66" t="str">
        <x:v>每个Runtime独立Debug协议</x:v>
      </x:c>
      <x:c r="G107" s="66" t="str">
        <x:v>Debug integration</x:v>
      </x:c>
      <x:c r="H107" s="66"/>
    </x:row>
    <x:row r="108">
      <x:c r="A108" s="58" t="str">
        <x:v>A53</x:v>
      </x:c>
      <x:c r="B108" s="58" t="str">
        <x:v>硬实时边界</x:v>
      </x:c>
      <x:c r="C108" s="58" t="str">
        <x:v>CxVisual Motion只做软实时编排、监督与设备命令；伺服闭环/总线周期/安全急停由控制器/PLC/硬件负责</x:v>
      </x:c>
      <x:c r="D108" s="58" t="str">
        <x:v>Windows/.NET不能承担硬实时安全职责</x:v>
      </x:c>
      <x:c r="E108" s="58" t="str">
        <x:v>未来可适配RT控制器</x:v>
      </x:c>
      <x:c r="F108" s="58" t="str">
        <x:v>C#循环实现1ms伺服闭环</x:v>
      </x:c>
      <x:c r="G108" s="58" t="str">
        <x:v>Boundary review</x:v>
      </x:c>
      <x:c r="H108" s="58"/>
    </x:row>
    <x:row r="109">
      <x:c r="A109" s="66" t="str">
        <x:v>A54</x:v>
      </x:c>
      <x:c r="B109" s="66" t="str">
        <x:v>Motion Resource/Interlock</x:v>
      </x:c>
      <x:c r="C109" s="66" t="str">
        <x:v>运动和设备节点必须通过ResourceManager/Interlock/Timeout/Cancellation契约执行</x:v>
      </x:c>
      <x:c r="D109" s="66" t="str">
        <x:v>防资源冲突、死锁和无限等待</x:v>
      </x:c>
      <x:c r="E109" s="66" t="str">
        <x:v>策略可按设备扩展</x:v>
      </x:c>
      <x:c r="F109" s="66" t="str">
        <x:v>节点直接持Vendor SDK并无限等待</x:v>
      </x:c>
      <x:c r="G109" s="66" t="str">
        <x:v>Fault injection</x:v>
      </x:c>
      <x:c r="H109" s="66"/>
    </x:row>
    <x:row r="110">
      <x:c r="A110" s="58" t="str">
        <x:v>A55</x:v>
      </x:c>
      <x:c r="B110" s="58" t="str">
        <x:v>Vision Typed DataFlow</x:v>
      </x:c>
      <x:c r="C110" s="58" t="str">
        <x:v>Vision以DAG/Typed DataFlow运行；Image/Region/Detection/Measurement等端口强类型；大对象生命周期显式</x:v>
      </x:c>
      <x:c r="D110" s="58" t="str">
        <x:v>性能与算法可维护性</x:v>
      </x:c>
      <x:c r="E110" s="58" t="str">
        <x:v>3D/CT类型可扩展</x:v>
      </x:c>
      <x:c r="F110" s="58" t="str">
        <x:v>Vision节点使用object并隐式拷贝大图</x:v>
      </x:c>
      <x:c r="G110" s="58" t="str">
        <x:v>Performance/Golden</x:v>
      </x:c>
      <x:c r="H110" s="58"/>
    </x:row>
    <x:row r="111">
      <x:c r="A111" s="66" t="str">
        <x:v>A56</x:v>
      </x:c>
      <x:c r="B111" s="66" t="str">
        <x:v>Vision执行隔离</x:v>
      </x:c>
      <x:c r="C111" s="66" t="str">
        <x:v>Native/GPU高风险执行器允许通过Vision Worker进程隔离；Core只见Contract/Handle</x:v>
      </x:c>
      <x:c r="D111" s="66" t="str">
        <x:v>防Native崩溃拖垮主Runtime</x:v>
      </x:c>
      <x:c r="E111" s="66" t="str">
        <x:v>初期可同进程</x:v>
      </x:c>
      <x:c r="F111" s="66" t="str">
        <x:v>所有Native插件无边界加载主进程</x:v>
      </x:c>
      <x:c r="G111" s="66" t="str">
        <x:v>Worker crash tests</x:v>
      </x:c>
      <x:c r="H111" s="66"/>
    </x:row>
    <x:row r="112">
      <x:c r="A112" s="58" t="str">
        <x:v>A57</x:v>
      </x:c>
      <x:c r="B112" s="58" t="str">
        <x:v>Inspection Durable Workflow</x:v>
      </x:c>
      <x:c r="C112" s="58" t="str">
        <x:v>Inspection流程是产品/任务级长期工作流，支持Checkpoint/Retry/Idempotency/Compensation/ManualReview/VersionPinning</x:v>
      </x:c>
      <x:c r="D112" s="58" t="str">
        <x:v>现场异常必须可恢复可追溯</x:v>
      </x:c>
      <x:c r="E112" s="58" t="str">
        <x:v>持久化策略可配置</x:v>
      </x:c>
      <x:c r="F112" s="58" t="str">
        <x:v>流程只靠内存状态</x:v>
      </x:c>
      <x:c r="G112" s="58" t="str">
        <x:v>Crash recovery tests</x:v>
      </x:c>
      <x:c r="H112" s="58"/>
    </x:row>
    <x:row r="113">
      <x:c r="A113" s="66" t="str">
        <x:v>A58</x:v>
      </x:c>
      <x:c r="B113" s="66" t="str">
        <x:v>跨域调用</x:v>
      </x:c>
      <x:c r="C113" s="66" t="str">
        <x:v>Inspection调用MotionProgram/VisionPipeline/SCADA/MES只通过稳定DefinitionId+Version+Parameters+Result contract</x:v>
      </x:c>
      <x:c r="D113" s="66" t="str">
        <x:v>域内细节封装</x:v>
      </x:c>
      <x:c r="E113" s="66" t="str">
        <x:v>可支持SubFlow/Remote worker</x:v>
      </x:c>
      <x:c r="F113" s="66" t="str">
        <x:v>Inspection直接展开或修改Motion/Vision内部节点</x:v>
      </x:c>
      <x:c r="G113" s="66" t="str">
        <x:v>Contract tests</x:v>
      </x:c>
      <x:c r="H113" s="66"/>
    </x:row>
    <x:row r="114">
      <x:c r="A114" s="58" t="str">
        <x:v>A59</x:v>
      </x:c>
      <x:c r="B114" s="58" t="str">
        <x:v>版本固定与可重现</x:v>
      </x:c>
      <x:c r="C114" s="58" t="str">
        <x:v>Task/Run启动时解析并固定Flow/Motion/Vision/Recipe/Model/Plugin版本；Trace记录Resolved manifest</x:v>
      </x:c>
      <x:c r="D114" s="58" t="str">
        <x:v>算法和流程结果可复现</x:v>
      </x:c>
      <x:c r="E114" s="58" t="str">
        <x:v>设计期可Latest，发布必须Resolve</x:v>
      </x:c>
      <x:c r="F114" s="58" t="str">
        <x:v>运行中静默漂移到最新定义</x:v>
      </x:c>
      <x:c r="G114" s="58" t="str">
        <x:v>Replay/Golden</x:v>
      </x:c>
      <x:c r="H114" s="58"/>
    </x:row>
    <x:row r="115">
      <x:c r="A115" s="66" t="str">
        <x:v>A60</x:v>
      </x:c>
      <x:c r="B115" s="66" t="str">
        <x:v>设备Adapter边界</x:v>
      </x:c>
      <x:c r="C115" s="66" t="str">
        <x:v>PLC/Motion/Camera/XRay/Detector/MES/AI Worker通过Abstractions/Integration进入平台；Vendor类型不进Core</x:v>
      </x:c>
      <x:c r="D115" s="66" t="str">
        <x:v>抗厂商耦合</x:v>
      </x:c>
      <x:c r="E115" s="66" t="str">
        <x:v>Adapter可进程隔离</x:v>
      </x:c>
      <x:c r="F115" s="66" t="str">
        <x:v>Element/Node直接引用SDK类</x:v>
      </x:c>
      <x:c r="G115" s="66" t="str">
        <x:v>Dependency tests</x:v>
      </x:c>
      <x:c r="H115" s="66"/>
    </x:row>
    <x:row r="116">
      <x:c r="A116" s="58" t="str">
        <x:v>A61</x:v>
      </x:c>
      <x:c r="B116" s="58" t="str">
        <x:v>ResourceManager</x:v>
      </x:c>
      <x:c r="C116" s="58" t="str">
        <x:v>Axis/Camera/XRay/GPU等共享资源以ResourceDefinition/Requirement/Lease统一管理，默认不抢占</x:v>
      </x:c>
      <x:c r="D116" s="58" t="str">
        <x:v>多流程并发可控</x:v>
      </x:c>
      <x:c r="E116" s="58" t="str">
        <x:v>安全策略可支持Preemption</x:v>
      </x:c>
      <x:c r="F116" s="58" t="str">
        <x:v>各Runtime自行lock对象</x:v>
      </x:c>
      <x:c r="G116" s="58" t="str">
        <x:v>Concurrency tests</x:v>
      </x:c>
      <x:c r="H116" s="58"/>
    </x:row>
    <x:row r="117">
      <x:c r="A117" s="66" t="str">
        <x:v>A62</x:v>
      </x:c>
      <x:c r="B117" s="66" t="str">
        <x:v>运行可靠性</x:v>
      </x:c>
      <x:c r="C117" s="66" t="str">
        <x:v>关键队列有界、Backpressure/Watchdog/CircuitBreaker/StoreForward/Health是正式平台能力</x:v>
      </x:c>
      <x:c r="D117" s="66" t="str">
        <x:v>工业长期运行</x:v>
      </x:c>
      <x:c r="E117" s="66" t="str">
        <x:v>模块可按风险启用</x:v>
      </x:c>
      <x:c r="F117" s="66" t="str">
        <x:v>无限队列/无限缓存/无健康状态</x:v>
      </x:c>
      <x:c r="G117" s="66" t="str">
        <x:v>72h soak</x:v>
      </x:c>
      <x:c r="H117" s="66"/>
    </x:row>
    <x:row r="118">
      <x:c r="A118" s="58" t="str">
        <x:v>A63</x:v>
      </x:c>
      <x:c r="B118" s="58" t="str">
        <x:v>部署逻辑与物理解耦</x:v>
      </x:c>
      <x:c r="C118" s="58" t="str">
        <x:v>逻辑模块先模块化单体；Vision Worker/History/Deployment等按崩溃隔离或负载需要再独立进程</x:v>
      </x:c>
      <x:c r="D118" s="58" t="str">
        <x:v>避免过早分布式复杂度</x:v>
      </x:c>
      <x:c r="E118" s="58" t="str">
        <x:v>部署拓扑可扩展</x:v>
      </x:c>
      <x:c r="F118" s="58" t="str">
        <x:v>一开始微服务化所有模块</x:v>
      </x:c>
      <x:c r="G118" s="58" t="str">
        <x:v>Deployment tests</x:v>
      </x:c>
      <x:c r="H118" s="58"/>
    </x:row>
    <x:row r="119">
      <x:c r="A119" s="66" t="str">
        <x:v>A64</x:v>
      </x:c>
      <x:c r="B119" s="66" t="str">
        <x:v>SDK扩展契约</x:v>
      </x:c>
      <x:c r="C119" s="66" t="str">
        <x:v>Element/Node/Algorithm/Provider/Action/Store插件通过Descriptor+Registry+Manifest+ApiVersion注册</x:v>
      </x:c>
      <x:c r="D119" s="66" t="str">
        <x:v>长期生态化</x:v>
      </x:c>
      <x:c r="E119" s="66" t="str">
        <x:v>扩展点可增加</x:v>
      </x:c>
      <x:c r="F119" s="66" t="str">
        <x:v>核心到处switch/plugin反射乱加载</x:v>
      </x:c>
      <x:c r="G119" s="66" t="str">
        <x:v>Plugin sample tests</x:v>
      </x:c>
      <x:c r="H119" s="66"/>
    </x:row>
    <x:row r="120">
      <x:c r="A120" s="58" t="str">
        <x:v>A65</x:v>
      </x:c>
      <x:c r="B120" s="58" t="str">
        <x:v>全生命周期门禁</x:v>
      </x:c>
      <x:c r="C120" s="58" t="str">
        <x:v>设计→调试→验证→发布→部署→运行→诊断→维护均有可追踪产物；Release必须对应Design Snapshot/Resolved Manifest/Validation Report</x:v>
      </x:c>
      <x:c r="D120" s="58" t="str">
        <x:v>文档成为生命周期基线</x:v>
      </x:c>
      <x:c r="E120" s="58" t="str">
        <x:v>组织流程可定制</x:v>
      </x:c>
      <x:c r="F120" s="58" t="str">
        <x:v>只交付代码/DLL没有可追溯工程版本</x:v>
      </x:c>
      <x:c r="G120" s="58" t="str">
        <x:v>Release audit</x:v>
      </x:c>
      <x:c r="H120" s="58"/>
    </x:row>
    <x:row r="121">
      <x:c r="A121" s="66" t="str">
        <x:v>A66</x:v>
      </x:c>
      <x:c r="B121" s="66" t="str">
        <x:v>Online Debug Agent边界</x:v>
      </x:c>
      <x:c r="C121" s="66" t="str">
        <x:v>Studio Online Debug 必须通过 Runtime Debug Agent + Domain Debug Adapter；Studio/Designer不得直接持有生产Domain Session或Vendor Runtime对象</x:v>
      </x:c>
      <x:c r="D121" s="66" t="str">
        <x:v>工程站与生产Runtime解耦，支持远程/本机一致协议</x:v>
      </x:c>
      <x:c r="E121" s="66" t="str">
        <x:v>Transport实现可替换</x:v>
      </x:c>
      <x:c r="F121" s="66" t="str">
        <x:v>Designer code-behind直接调用IMotionController/VisionWorker/InspectionSession</x:v>
      </x:c>
      <x:c r="G121" s="66" t="str">
        <x:v>Debug architecture tests</x:v>
      </x:c>
      <x:c r="H121" s="66"/>
    </x:row>
    <x:row r="122">
      <x:c r="A122" s="58" t="str">
        <x:v>A67</x:v>
      </x:c>
      <x:c r="B122" s="58" t="str">
        <x:v>Control/Telemetry分离</x:v>
      </x:c>
      <x:c r="C122" s="58" t="str">
        <x:v>Debug Control Plane承载可靠有Ack命令；Telemetry Plane承载有界可采样观测；Image/Volume等大对象使用Artifact/Data Channel按需传输</x:v>
      </x:c>
      <x:c r="D122" s="58" t="str">
        <x:v>防调试UI拖慢Runtime、避免命令与高频Trace互相影响</x:v>
      </x:c>
      <x:c r="E122" s="58" t="str">
        <x:v>本机可loopback优化</x:v>
      </x:c>
      <x:c r="F122" s="58" t="str">
        <x:v>Trace/大图与Start/Move共用无界通道</x:v>
      </x:c>
      <x:c r="G122" s="58" t="str">
        <x:v>Backpressure/network tests</x:v>
      </x:c>
      <x:c r="H122" s="58"/>
    </x:row>
    <x:row r="123">
      <x:c r="A123" s="66" t="str">
        <x:v>A68</x:v>
      </x:c>
      <x:c r="B123" s="66" t="str">
        <x:v>Target安全权威</x:v>
      </x:c>
      <x:c r="C123" s="66" t="str">
        <x:v>Target Runtime最终决定DebugCapability、Mode、Permission、Interlock、RealWrite、DangerousOperationPolicy；Client只能请求不能绕过</x:v>
      </x:c>
      <x:c r="D123" s="66" t="str">
        <x:v>ICS安全边界必须在设备侧/Runtime侧成立</x:v>
      </x:c>
      <x:c r="E123" s="66" t="str">
        <x:v>策略可按环境扩展</x:v>
      </x:c>
      <x:c r="F123" s="66" t="str">
        <x:v>客户端按钮隐藏就当安全控制</x:v>
      </x:c>
      <x:c r="G123" s="66" t="str">
        <x:v>Security/fault tests</x:v>
      </x:c>
      <x:c r="H123" s="66"/>
    </x:row>
    <x:row r="124">
      <x:c r="A124" s="58" t="str">
        <x:v>A69</x:v>
      </x:c>
      <x:c r="B124" s="58" t="str">
        <x:v>Online Version Diff</x:v>
      </x:c>
      <x:c r="C124" s="58" t="str">
        <x:v>Attach前必须比较Design Snapshot与Target Active/Attached Release，至少覆盖Definition/Plugin/Model/Calibration/Recipe/Profile依赖；不兼容时阻止或只读降级</x:v>
      </x:c>
      <x:c r="D124" s="58" t="str">
        <x:v>避免在线调试针对错误版本</x:v>
      </x:c>
      <x:c r="E124" s="58" t="str">
        <x:v>Diff UI可扩展</x:v>
      </x:c>
      <x:c r="F124" s="58" t="str">
        <x:v>用户不知道线上到底跑哪个版本</x:v>
      </x:c>
      <x:c r="G124" s="58" t="str">
        <x:v>Version attach tests</x:v>
      </x:c>
      <x:c r="H124" s="58"/>
    </x:row>
    <x:row r="125">
      <x:c r="A125" s="66" t="str">
        <x:v>A70</x:v>
      </x:c>
      <x:c r="B125" s="66" t="str">
        <x:v>Debug Override层</x:v>
      </x:c>
      <x:c r="C125" s="66" t="str">
        <x:v>在线调试参数/模型/Context临时修改属于Debug Session Override，不写Definition；Stop/Detach自动清；正式保存通过Promote→ChangeSet→Designer Command</x:v>
      </x:c>
      <x:c r="D125" s="66" t="str">
        <x:v>调试与工程版本隔离且可撤销</x:v>
      </x:c>
      <x:c r="E125" s="66" t="str">
        <x:v>不同域可定义Tunable白名单</x:v>
      </x:c>
      <x:c r="F125" s="66" t="str">
        <x:v>在线调参数直接改Project/Active Release</x:v>
      </x:c>
      <x:c r="G125" s="66" t="str">
        <x:v>Override/promote tests</x:v>
      </x:c>
      <x:c r="H125" s="66"/>
    </x:row>
    <x:row r="126">
      <x:c r="A126" s="58" t="str">
        <x:v>A71</x:v>
      </x:c>
      <x:c r="B126" s="58" t="str">
        <x:v>Motion暂停/Teach语义</x:v>
      </x:c>
      <x:c r="C126" s="58" t="str">
        <x:v>Motion Pause只在安全Node Boundary成立；已发出的物理动作按Node/Controller策略完成或安全停止；Jog/Teach只能在Maintenance/Debug受控模式并独占资源</x:v>
      </x:c>
      <x:c r="D126" s="58" t="str">
        <x:v>避免把UI暂停误解为硬件冻结</x:v>
      </x:c>
      <x:c r="E126" s="58" t="str">
        <x:v>设备能力可扩展</x:v>
      </x:c>
      <x:c r="F126" s="58" t="str">
        <x:v>断点命中时直接冻结Servo线程；Program占轴时仍Jog</x:v>
      </x:c>
      <x:c r="G126" s="58" t="str">
        <x:v>Motion safety tests</x:v>
      </x:c>
      <x:c r="H126" s="58"/>
    </x:row>
    <x:row r="127">
      <x:c r="A127" s="66" t="str">
        <x:v>A72</x:v>
      </x:c>
      <x:c r="B127" s="66" t="str">
        <x:v>Vision在线调试性能隔离</x:v>
      </x:c>
      <x:c r="C127" s="66" t="str">
        <x:v>Vision Data Viewer/Intermediate Pin/Replay/Telemetry不得无界保留或阻塞生产Pipeline；Live Freeze默认冻结Debugger输入引用，不默认停止生产采集</x:v>
      </x:c>
      <x:c r="D127" s="66" t="str">
        <x:v>保护吞吐与内存/GPU</x:v>
      </x:c>
      <x:c r="E127" s="66" t="str">
        <x:v>Viewer/Retention策略可配置</x:v>
      </x:c>
      <x:c r="F127" s="66" t="str">
        <x:v>在线查看每节点全分辨率图并长期缓存</x:v>
      </x:c>
      <x:c r="G127" s="66" t="str">
        <x:v>Vision stress/soak</x:v>
      </x:c>
      <x:c r="H127" s="66"/>
    </x:row>
    <x:row r="128">
      <x:c r="A128" s="58" t="str">
        <x:v>A73</x:v>
      </x:c>
      <x:c r="B128" s="58" t="str">
        <x:v>Inspection生产调试红线</x:v>
      </x:c>
      <x:c r="C128" s="58" t="str">
        <x:v>生产Inspection Task默认只观察；结构Hot Swap、任意Context改写、不可幂等Node Skip/Retry禁止；恢复操作必须遵循Checkpoint/Idempotency/RecoveryPolicy并审计</x:v>
      </x:c>
      <x:c r="D128" s="58" t="str">
        <x:v>保证生产结果真实性和恢复一致性</x:v>
      </x:c>
      <x:c r="E128" s="58" t="str">
        <x:v>可定义Live Test Product模式</x:v>
      </x:c>
      <x:c r="F128" s="58" t="str">
        <x:v>把生产流程调试当普通脚本逐行改变量</x:v>
      </x:c>
      <x:c r="G128" s="58" t="str">
        <x:v>Recovery/security tests</x:v>
      </x:c>
      <x:c r="H128" s="58"/>
    </x:row>
    <x:row r="129">
      <x:c r="A129" s="66" t="str">
        <x:v>A74</x:v>
      </x:c>
      <x:c r="B129" s="66" t="str">
        <x:v>Active Task版本隔离</x:v>
      </x:c>
      <x:c r="C129" s="66" t="str">
        <x:v>Inspection Task启动后固定Flow/Motion/Vision/Recipe/Model/Plugin/Profile版本；新Release只影响新Task；Runtime必须保留Active Task引用的旧Plan/Definition直到任务结束</x:v>
      </x:c>
      <x:c r="D129" s="66" t="str">
        <x:v>支持滚动发布且不破坏在制品</x:v>
      </x:c>
      <x:c r="E129" s="66" t="str">
        <x:v>缓存策略可优化</x:v>
      </x:c>
      <x:c r="F129" s="66" t="str">
        <x:v>发布新Pipeline后Active Task中途换模型</x:v>
      </x:c>
      <x:c r="G129" s="66" t="str">
        <x:v>Rolling version tests</x:v>
      </x:c>
      <x:c r="H129" s="66"/>
    </x:row>
    <x:row r="130">
      <x:c r="A130" s="58" t="str">
        <x:v>A75</x:v>
      </x:c>
      <x:c r="B130" s="58" t="str">
        <x:v>跨域Correlation与StepInto</x:v>
      </x:c>
      <x:c r="C130" s="58" t="str">
        <x:v>Inspection→Motion/Vision/MES等Invocation必须继承Task Correlation；统一Debug支持从父Flow StepInto子Domain Session并保持调用栈/版本/Trace关联</x:v>
      </x:c>
      <x:c r="D130" s="58" t="str">
        <x:v>现场问题能从产品追到轴命令/算法节点</x:v>
      </x:c>
      <x:c r="E130" s="58" t="str">
        <x:v>UI呈现可变化</x:v>
      </x:c>
      <x:c r="F130" s="58" t="str">
        <x:v>各域日志互不关联、只能人工对时间</x:v>
      </x:c>
      <x:c r="G130" s="58" t="str">
        <x:v>Cross-domain debug E2E</x:v>
      </x:c>
      <x:c r="H130" s="58"/>
    </x:row>
    <x:row r="131">
      <x:c r="A131" s="66" t="str">
        <x:v>A76</x:v>
      </x:c>
      <x:c r="B131" s="66" t="str">
        <x:v>CT3D 与 Vision 为平级 Workbench；复用 Platform 稳定机制与通用数据/诊断契约</x:v>
      </x:c>
      <x:c r="C131" s="66" t="str">
        <x:v>CT/3D不是新的平台主轴，复用Vision TypedDataFlow/DataHandle/GPU/Worker/Debug；新增ProjectionSeries/CTGeometry/Volume3D/Reconstruction专业契约</x:v>
      </x:c>
      <x:c r="D131" s="66" t="str">
        <x:v>避免重复Graph/Debug/版本体系</x:v>
      </x:c>
      <x:c r="E131" s="66" t="str">
        <x:v>可增加Vision3D模块/Worker</x:v>
      </x:c>
      <x:c r="F131" s="66" t="str">
        <x:v>另起CT工程格式/CT Debug协议/CT Runtime平台</x:v>
      </x:c>
      <x:c r="G131" s="66" t="str">
        <x:v>Architecture tests</x:v>
      </x:c>
      <x:c r="H131" s="66"/>
    </x:row>
    <x:row r="132">
      <x:c r="A132" s="58" t="str">
        <x:v>A77</x:v>
      </x:c>
      <x:c r="B132" s="58" t="str">
        <x:v>Robot 为 Automation 内部专业能力；复用 Motion 控制流、Resource、Interlock 与设备契约</x:v>
      </x:c>
      <x:c r="C132" s="58" t="str">
        <x:v>Robot复用Motion ControlFlow/Resource/Interlock/Debug/Device Adapter；新增Frame/Tool/WorkObject/Pose/Path/RobotCapability专业模型</x:v>
      </x:c>
      <x:c r="D132" s="58" t="str">
        <x:v>机器人仍是设备动作编排</x:v>
      </x:c>
      <x:c r="E132" s="58" t="str">
        <x:v>可有Robot专用Designer/Runtime adapter</x:v>
      </x:c>
      <x:c r="F132" s="58" t="str">
        <x:v>另起Robot Graph基础/万能机器人平台</x:v>
      </x:c>
      <x:c r="G132" s="58" t="str">
        <x:v>Architecture tests</x:v>
      </x:c>
      <x:c r="H132" s="58"/>
    </x:row>
    <x:row r="133">
      <x:c r="A133" s="66" t="str">
        <x:v>A78</x:v>
      </x:c>
      <x:c r="B133" s="66" t="str">
        <x:v>Management Plane独立</x:v>
      </x:c>
      <x:c r="C133" s="66" t="str">
        <x:v>Operations Center属于管理面，只管理Fleet/Version/Deploy/Remote/Case；不参与单机产品检测执行</x:v>
      </x:c>
      <x:c r="D133" s="66" t="str">
        <x:v>中心故障不得停产</x:v>
      </x:c>
      <x:c r="E133" s="66" t="str">
        <x:v>中心服务可水平扩展</x:v>
      </x:c>
      <x:c r="F133" s="66" t="str">
        <x:v>Runtime执行依赖中心API实时在线</x:v>
      </x:c>
      <x:c r="G133" s="66" t="str">
        <x:v>Network partition tests</x:v>
      </x:c>
      <x:c r="H133" s="66"/>
    </x:row>
    <x:row r="134">
      <x:c r="A134" s="58" t="str">
        <x:v>A79</x:v>
      </x:c>
      <x:c r="B134" s="58" t="str">
        <x:v>三平面架构</x:v>
      </x:c>
      <x:c r="C134" s="58" t="str">
        <x:v>Engineering Plane、Runtime Plane、Management Plane职责清晰；Studio/中心都通过稳定Agent/API与Runtime交互</x:v>
      </x:c>
      <x:c r="D134" s="58" t="str">
        <x:v>工程/生产/运维解耦</x:v>
      </x:c>
      <x:c r="E134" s="58" t="str">
        <x:v>本机可loopback但契约一致</x:v>
      </x:c>
      <x:c r="F134" s="58" t="str">
        <x:v>Studio/Operations直接拿Runtime内部对象</x:v>
      </x:c>
      <x:c r="G134" s="58" t="str">
        <x:v>Architecture tests</x:v>
      </x:c>
      <x:c r="H134" s="58"/>
    </x:row>
    <x:row r="135">
      <x:c r="A135" s="66" t="str">
        <x:v>A80</x:v>
      </x:c>
      <x:c r="B135" s="66" t="str">
        <x:v>Station Agent边界</x:v>
      </x:c>
      <x:c r="C135" s="66" t="str">
        <x:v>Runtime站管理入口统一由Station Agent提供Inventory/Health/Version/Deployment/Debug/Artifact/Maintenance窄能力；Agent故障尽量不影响业务Runtime</x:v>
      </x:c>
      <x:c r="D135" s="66" t="str">
        <x:v>集中运维可控且隔离</x:v>
      </x:c>
      <x:c r="E135" s="66" t="str">
        <x:v>初期可同进程模块，后期独立进程</x:v>
      </x:c>
      <x:c r="F135" s="66" t="str">
        <x:v>中心直接远程桌面/OS命令作为平台默认能力</x:v>
      </x:c>
      <x:c r="G135" s="66" t="str">
        <x:v>Agent fault tests</x:v>
      </x:c>
      <x:c r="H135" s="66"/>
    </x:row>
    <x:row r="136">
      <x:c r="A136" s="58" t="str">
        <x:v>A81</x:v>
      </x:c>
      <x:c r="B136" s="58" t="str">
        <x:v>大数据三通道原则</x:v>
      </x:c>
      <x:c r="C136" s="58" t="str">
        <x:v>Image/Projection/Volume/Mesh等大对象不走Control/普通Telemetry；使用Artifact/Data Channel按需、分块、LOD/ROI、权限与带宽策略</x:v>
      </x:c>
      <x:c r="D136" s="58" t="str">
        <x:v>防调试/远程查看拖垮生产</x:v>
      </x:c>
      <x:c r="E136" s="58" t="str">
        <x:v>本机可共享内存优化</x:v>
      </x:c>
      <x:c r="F136" s="58" t="str">
        <x:v>高频Telemetry持续推全分辨率大数据</x:v>
      </x:c>
      <x:c r="G136" s="58" t="str">
        <x:v>Network/performance tests</x:v>
      </x:c>
      <x:c r="H136" s="58"/>
    </x:row>
    <x:row r="137">
      <x:c r="A137" s="66" t="str">
        <x:v>A82</x:v>
      </x:c>
      <x:c r="B137" s="66" t="str">
        <x:v>Volume/Projection生命周期</x:v>
      </x:c>
      <x:c r="C137" s="66" t="str">
        <x:v>ProjectionSeries与Volume3D只保存元数据/ArtifactRef；运行数据通过Handle/Lease/MemoryMap/SharedMemory/Chunk Store管理</x:v>
      </x:c>
      <x:c r="D137" s="66" t="str">
        <x:v>GB级数据可控</x:v>
      </x:c>
      <x:c r="E137" s="66" t="str">
        <x:v>存储实现可替换</x:v>
      </x:c>
      <x:c r="F137" s="66" t="str">
        <x:v>Project JSON内嵌体数据/节点随意Clone Volume</x:v>
      </x:c>
      <x:c r="G137" s="66" t="str">
        <x:v>Memory/serialization tests</x:v>
      </x:c>
      <x:c r="H137" s="66"/>
    </x:row>
    <x:row r="138">
      <x:c r="A138" s="58" t="str">
        <x:v>A83</x:v>
      </x:c>
      <x:c r="B138" s="58" t="str">
        <x:v>Robot安全边界</x:v>
      </x:c>
      <x:c r="C138" s="58" t="str">
        <x:v>CxVisual不替代机器人控制器实时插补、安全功能或认证示教器；Jog/Teach/Move必须受控制器Mode+Target Policy+Interlock+Resource约束</x:v>
      </x:c>
      <x:c r="D138" s="58" t="str">
        <x:v>明确安全责任</x:v>
      </x:c>
      <x:c r="E138" s="58" t="str">
        <x:v>可接安全认证控制器</x:v>
      </x:c>
      <x:c r="F138" s="58" t="str">
        <x:v>Windows循环插值控制Robot/绕过安全模式</x:v>
      </x:c>
      <x:c r="G138" s="58" t="str">
        <x:v>Robot safety tests</x:v>
      </x:c>
      <x:c r="H138" s="58"/>
    </x:row>
    <x:row r="139">
      <x:c r="A139" s="66" t="str">
        <x:v>A84</x:v>
      </x:c>
      <x:c r="B139" s="66" t="str">
        <x:v>Vision Guidance安全契约</x:v>
      </x:c>
      <x:c r="C139" s="66" t="str">
        <x:v>Vision驱动Robot/Motion前必须验证SourceRun/Quality/Timestamp/Frame/Transform/Limit；Bad/Stale/FrameMismatch不得发动作</x:v>
      </x:c>
      <x:c r="D139" s="66" t="str">
        <x:v>避免坐标/时效错误造成危险运动</x:v>
      </x:c>
      <x:c r="E139" s="66" t="str">
        <x:v>策略阈值可项目化</x:v>
      </x:c>
      <x:c r="F139" s="66" t="str">
        <x:v>Vision XYZ直接当Robot Target</x:v>
      </x:c>
      <x:c r="G139" s="66" t="str">
        <x:v>Cross-domain E2E</x:v>
      </x:c>
      <x:c r="H139" s="66"/>
    </x:row>
    <x:row r="140">
      <x:c r="A140" s="58" t="str">
        <x:v>A85</x:v>
      </x:c>
      <x:c r="B140" s="58" t="str">
        <x:v>Remote Engineering默认只读</x:v>
      </x:c>
      <x:c r="C140" s="58" t="str">
        <x:v>远程会话默认Fleet ReadOnly/Domain Observe；Live Controlled/Maintenance/Recovery需要短期Lease、Reason、Policy/审批、逐命令Target授权与审计</x:v>
      </x:c>
      <x:c r="D140" s="58" t="str">
        <x:v>远程安全最小权限</x:v>
      </x:c>
      <x:c r="E140" s="58" t="str">
        <x:v>审批强度可按客户配置</x:v>
      </x:c>
      <x:c r="F140" s="58" t="str">
        <x:v>远程工程师默认永久写权限</x:v>
      </x:c>
      <x:c r="G140" s="58" t="str">
        <x:v>Security E2E</x:v>
      </x:c>
      <x:c r="H140" s="58"/>
    </x:row>
    <x:row r="141">
      <x:c r="A141" s="66" t="str">
        <x:v>A86</x:v>
      </x:c>
      <x:c r="B141" s="66" t="str">
        <x:v>无默认远程Shell</x:v>
      </x:c>
      <x:c r="C141" s="66" t="str">
        <x:v>平台Operations不提供任意PowerShell/OS Shell作为默认远程能力；维护动作必须通过窄Capability接口</x:v>
      </x:c>
      <x:c r="D141" s="66" t="str">
        <x:v>可审计/可授权/降低攻击面</x:v>
      </x:c>
      <x:c r="E141" s="66" t="str">
        <x:v>特殊IT运维走独立方案</x:v>
      </x:c>
      <x:c r="F141" s="66" t="str">
        <x:v>Operations内置任意命令执行</x:v>
      </x:c>
      <x:c r="G141" s="66" t="str">
        <x:v>Security review</x:v>
      </x:c>
      <x:c r="H141" s="66"/>
    </x:row>
    <x:row r="142">
      <x:c r="A142" s="58" t="str">
        <x:v>A87</x:v>
      </x:c>
      <x:c r="B142" s="58" t="str">
        <x:v>Fleet Rollout本地原子切换</x:v>
      </x:c>
      <x:c r="C142" s="58" t="str">
        <x:v>中心负责Canary/Ring/批次协调，但每站最终Verify/Switch/Rollback由本地Deployment Agent原子执行；未知状态先Query对账</x:v>
      </x:c>
      <x:c r="D142" s="58" t="str">
        <x:v>部分网络失败可恢复</x:v>
      </x:c>
      <x:c r="E142" s="58" t="str">
        <x:v>Rollout策略可扩展</x:v>
      </x:c>
      <x:c r="F142" s="58" t="str">
        <x:v>中心认为成功即覆盖本地状态</x:v>
      </x:c>
      <x:c r="G142" s="58" t="str">
        <x:v>Deployment fault tests</x:v>
      </x:c>
      <x:c r="H142" s="58"/>
    </x:row>
    <x:row r="143">
      <x:c r="A143" s="66" t="str">
        <x:v>A88</x:v>
      </x:c>
      <x:c r="B143" s="66" t="str">
        <x:v>Active Runtime自治</x:v>
      </x:c>
      <x:c r="C143" s="66" t="str">
        <x:v>中心/Studio/DB/Agent网络异常时，本地Runtime继续按已发布Profile/Policy执行；远程写和新Deployment默认停止</x:v>
      </x:c>
      <x:c r="D143" s="66" t="str">
        <x:v>工业现场抗网络故障</x:v>
      </x:c>
      <x:c r="E143" s="66" t="str">
        <x:v>StoreForward补关键管理数据</x:v>
      </x:c>
      <x:c r="F143" s="66" t="str">
        <x:v>中心断线导致设备停机</x:v>
      </x:c>
      <x:c r="G143" s="66" t="str">
        <x:v>Partition/soak</x:v>
      </x:c>
      <x:c r="H143" s="66"/>
    </x:row>
    <x:row r="144">
      <x:c r="A144" s="58" t="str">
        <x:v>A89</x:v>
      </x:c>
      <x:c r="B144" s="58" t="str">
        <x:v>专业扩展不复制平台基础</x:v>
      </x:c>
      <x:c r="C144" s="58" t="str">
        <x:v>CT/Robot/Ops扩展必须复用Project/Schema/Type/Version/Security/Debug/Diagnostics/Plugin能力；只有专业模型/Runtime语义新增</x:v>
      </x:c>
      <x:c r="D144" s="58" t="str">
        <x:v>防平台碎片化</x:v>
      </x:c>
      <x:c r="E144" s="58" t="str">
        <x:v>专业Viewer/Worker/Adapter可独立</x:v>
      </x:c>
      <x:c r="F144" s="58" t="str">
        <x:v>每个专业域另写一套日志/版本/插件体系</x:v>
      </x:c>
      <x:c r="G144" s="58" t="str">
        <x:v>Architecture tests</x:v>
      </x:c>
      <x:c r="H144" s="58"/>
    </x:row>
    <x:row r="145">
      <x:c r="A145" s="66" t="str">
        <x:v>A90</x:v>
      </x:c>
      <x:c r="B145" s="66" t="str">
        <x:v>文档三级治理</x:v>
      </x:c>
      <x:c r="C145" s="66" t="str">
        <x:v>平台总基线→领域详细设计→项目/设备实例规格三层分工；项目参数不能反向污染Core，平台重大变更必须同步02/03/23/24/58</x:v>
      </x:c>
      <x:c r="D145" s="66" t="str">
        <x:v>让总文档长期可维护</x:v>
      </x:c>
      <x:c r="E145" s="66" t="str">
        <x:v>领域专题页可扩展</x:v>
      </x:c>
      <x:c r="F145" s="66" t="str">
        <x:v>把客户IO/阈值塞进架构基线</x:v>
      </x:c>
      <x:c r="G145" s="66" t="str">
        <x:v>Release review</x:v>
      </x:c>
      <x:c r="H145" s="66"/>
    </x:row>
    <x:row r="146">
      <x:c r="A146" s="58" t="str">
        <x:v>A91</x:v>
      </x:c>
      <x:c r="B146" s="58" t="str">
        <x:v>开发DoR/DoD门禁</x:v>
      </x:c>
      <x:c r="C146" s="58" t="str">
        <x:v>新Feature/Node/Provider/Debug能力必须按42_开发Playbook明确域归属、契约、执行语义、安全、版本、测试，并以Build/Architecture/Integration/Fault/Documentation证据完成</x:v>
      </x:c>
      <x:c r="D146" s="58" t="str">
        <x:v>防止只完成类或能编译就标Done</x:v>
      </x:c>
      <x:c r="E146" s="58" t="str">
        <x:v>团队流程可工具化</x:v>
      </x:c>
      <x:c r="F146" s="58" t="str">
        <x:v>无验收证据直接标已完成</x:v>
      </x:c>
      <x:c r="G146" s="58" t="str">
        <x:v>DoD audit</x:v>
      </x:c>
      <x:c r="H146" s="58"/>
    </x:row>
    <x:row r="148">
      <x:c r="A148" t="str">
        <x:v>G. 历史 V3.3 兼容规则（若与H冲突，以H为准）</x:v>
      </x:c>
      <x:c r="B148" s="76"/>
      <x:c r="C148" s="76"/>
      <x:c r="D148" s="76"/>
      <x:c r="E148" s="76"/>
      <x:c r="F148" s="76"/>
      <x:c r="G148" s="76"/>
    </x:row>
    <x:row r="149">
      <x:c r="A149" t="str">
        <x:v>编号</x:v>
      </x:c>
      <x:c r="B149" s="76" t="str">
        <x:v>架构决策</x:v>
      </x:c>
      <x:c r="C149" s="76" t="str">
        <x:v>统一基线</x:v>
      </x:c>
      <x:c r="D149" s="76" t="str">
        <x:v>解决的问题</x:v>
      </x:c>
      <x:c r="E149" s="76" t="str">
        <x:v>允许演进</x:v>
      </x:c>
      <x:c r="F149" s="76" t="str">
        <x:v>禁止事项</x:v>
      </x:c>
      <x:c r="G149" s="76" t="str">
        <x:v>验证方式</x:v>
      </x:c>
    </x:row>
    <x:row r="150">
      <x:c r="A150" t="str">
        <x:v>A92</x:v>
      </x:c>
      <x:c r="B150" s="76" t="str">
        <x:v>Studio固定一级菜单</x:v>
      </x:c>
      <x:c r="C150" s="76" t="str">
        <x:v>CxVisual Studio永久一级菜单固定为 文件/编辑/视图/工程/调试/运行/发布/工具/帮助；专业能力通过Contextual Ribbon出现</x:v>
      </x:c>
      <x:c r="D150" s="76" t="str">
        <x:v>长期稳定Shell信息架构</x:v>
      </x:c>
      <x:c r="E150" s="76" t="str">
        <x:v>显示名/分组可微调</x:v>
      </x:c>
      <x:c r="F150" s="76" t="str">
        <x:v>把Motion/Robot/Vision/CT3D等继续加成永久一级菜单</x:v>
      </x:c>
      <x:c r="G150" s="76" t="str">
        <x:v>45_Ribbon基线 + UI Smoke</x:v>
      </x:c>
    </x:row>
    <x:row r="151">
      <x:c r="A151" t="str">
        <x:v>A93</x:v>
      </x:c>
      <x:c r="B151" s="76" t="str">
        <x:v>Studio命令链</x:v>
      </x:c>
      <x:c r="C151" s="76" t="str">
        <x:v>所有Ribbon/Menu命令统一走 Command/CommandDescriptor→Workspace/Document VM→Application Service→Domain Contract/Runtime/Debug Client→Integration Adapter/Worker/Vendor SDK</x:v>
      </x:c>
      <x:c r="D151" s="76" t="str">
        <x:v>阻止UI穿透Domain和Vendor</x:v>
      </x:c>
      <x:c r="E151" s="76" t="str">
        <x:v>Command实现可替换</x:v>
      </x:c>
      <x:c r="F151" s="76" t="str">
        <x:v>code-behind直接调用Vendor/Runtime对象</x:v>
      </x:c>
      <x:c r="G151" s="76" t="str">
        <x:v>依赖扫描+命令路由测试</x:v>
      </x:c>
    </x:row>
    <x:row r="152">
      <x:c r="A152" t="str">
        <x:v>A94</x:v>
      </x:c>
      <x:c r="B152" s="76" t="str">
        <x:v>Studio会话状态</x:v>
      </x:c>
      <x:c r="C152" s="76" t="str">
        <x:v>Design/Debug/Run及ActiveWorkspace/Document属于StudioShellSession/Engineering Session状态，不写Project，不由各Domain各自维护</x:v>
      </x:c>
      <x:c r="D152" s="76" t="str">
        <x:v>避免模式漂移和工程污染</x:v>
      </x:c>
      <x:c r="E152" s="76" t="str">
        <x:v>Session实现可演进</x:v>
      </x:c>
      <x:c r="F152" s="76" t="str">
        <x:v>把StudioMode保存到Project；各Domain维护第二套模式</x:v>
      </x:c>
      <x:c r="G152" s="76" t="str">
        <x:v>Mode/context tests</x:v>
      </x:c>
    </x:row>
    <x:row r="153">
      <x:c r="A153" t="str">
        <x:v>A95</x:v>
      </x:c>
      <x:c r="B153" s="76" t="str">
        <x:v>Contextual Ribbon Provider</x:v>
      </x:c>
      <x:c r="C153" s="76" t="str">
        <x:v>Domain只注册Workspace/Document类型、上下文页签/分组/CommandDescriptor及Capability/Mode/Permission/Selection条件；固定菜单由Shell拥有</x:v>
      </x:c>
      <x:c r="D153" s="76" t="str">
        <x:v>新增Domain不改主菜单</x:v>
      </x:c>
      <x:c r="E153" s="76" t="str">
        <x:v>Provider描述格式可演进</x:v>
      </x:c>
      <x:c r="F153" s="76" t="str">
        <x:v>Domain直接修改Shell固定菜单或持有Shell内部对象</x:v>
      </x:c>
      <x:c r="G153" s="76" t="str">
        <x:v>Provider registration/UI Smoke</x:v>
      </x:c>
    </x:row>
    <x:row r="154">
      <x:c r="A154" t="str">
        <x:v>A96</x:v>
      </x:c>
      <x:c r="B154" s="76" t="str">
        <x:v>DeviceVariable唯一变量入口</x:v>
      </x:c>
      <x:c r="C154" s="76" t="str">
        <x:v>现有DeviceVariable通过CxVisual.Integration.DeviceVariables适配到唯一IVariableProvider；Designer/Runtime/Graph/Alarm/Trend不得再建立第二套VariableManager访问路径</x:v>
      </x:c>
      <x:c r="D154" s="76" t="str">
        <x:v>保留现有底层同时统一上层</x:v>
      </x:c>
      <x:c r="E154" s="76" t="str">
        <x:v>底层实现/协议可换</x:v>
      </x:c>
      <x:c r="F154" s="76" t="str">
        <x:v>UI/ViewModel/Core直接访问Legacy VariableManager</x:v>
      </x:c>
      <x:c r="G154" s="76" t="str">
        <x:v>Dependency/Integration tests</x:v>
      </x:c>
    </x:row>
    <x:row r="155">
      <x:c r="A155" t="str">
        <x:v>A97</x:v>
      </x:c>
      <x:c r="B155" s="76" t="str">
        <x:v>稳定VariableId/Reference</x:v>
      </x:c>
      <x:c r="C155" s="76" t="str">
        <x:v>DeviceVariable同步到Project.Variables后以稳定VariableId作为工程引用主键；VariableReference可带ProviderId/Path作诊断与恢复线索，但设备显示名不是唯一身份</x:v>
      </x:c>
      <x:c r="D155" s="76" t="str">
        <x:v>设备改名不破坏工程绑定</x:v>
      </x:c>
      <x:c r="E155" s="76" t="str">
        <x:v>迁移/别名策略可扩展</x:v>
      </x:c>
      <x:c r="F155" s="76" t="str">
        <x:v>Binding只保存设备名/地址字符串</x:v>
      </x:c>
      <x:c r="G155" s="76" t="str">
        <x:v>Rename/RoundTrip tests</x:v>
      </x:c>
    </x:row>
    <x:row r="156">
      <x:c r="A156" t="str">
        <x:v>A98</x:v>
      </x:c>
      <x:c r="B156" s="76" t="str">
        <x:v>VariableValue完整语义</x:v>
      </x:c>
      <x:c r="C156" s="76" t="str">
        <x:v>动态变量值端到端携带Value/Quality/TimestampUtc/Sequence/Source；各引擎不得退化为Value+HasInitialValue</x:v>
      </x:c>
      <x:c r="D156" s="76" t="str">
        <x:v>报警/趋势/Graph可判断数据可信度与时序</x:v>
      </x:c>
      <x:c r="E156" s="76" t="str">
        <x:v>可增加ErrorCode/Correlation</x:v>
      </x:c>
      <x:c r="F156" s="76" t="str">
        <x:v>用null代替BadQuality；丢Timestamp/Sequence</x:v>
      </x:c>
      <x:c r="G156" s="76" t="str">
        <x:v>Runtime/Replay tests</x:v>
      </x:c>
    </x:row>
    <x:row r="157">
      <x:c r="A157" t="str">
        <x:v>A99</x:v>
      </x:c>
      <x:c r="B157" s="76" t="str">
        <x:v>变量分发与Backpressure</x:v>
      </x:c>
      <x:c r="C157" s="76" t="str">
        <x:v>统一VariableChangeDispatcher按订阅策略支持LatestOnly/All/Sampled；队列有界、慢订阅者隔离；不叠加固定100ms人工延迟</x:v>
      </x:c>
      <x:c r="D157" s="76" t="str">
        <x:v>高频变量长期稳定</x:v>
      </x:c>
      <x:c r="E157" s="76" t="str">
        <x:v>批处理窗口可配置</x:v>
      </x:c>
      <x:c r="F157" s="76" t="str">
        <x:v>每层各自Timer/固定100ms延迟；无界队列</x:v>
      </x:c>
      <x:c r="G157" s="76" t="str">
        <x:v>Stress/soak</x:v>
      </x:c>
    </x:row>
    <x:row r="158">
      <x:c r="A158" t="str">
        <x:v>A100</x:v>
      </x:c>
      <x:c r="B158" s="76" t="str">
        <x:v>Provider生命周期与离线</x:v>
      </x:c>
      <x:c r="C158" s="76" t="str">
        <x:v>Provider由Composition Root统一Create/Configure/Connect/Subscribe/Dispose；临时离线只改变Quality/ConnectionState，不删除工程Reference</x:v>
      </x:c>
      <x:c r="D158" s="76" t="str">
        <x:v>运行可恢复、UI不拥有连接</x:v>
      </x:c>
      <x:c r="E158" s="76" t="str">
        <x:v>重连策略可替换</x:v>
      </x:c>
      <x:c r="F158" s="76" t="str">
        <x:v>页面/VM各自new/Dispose Provider；离线即清绑定</x:v>
      </x:c>
      <x:c r="G158" s="76" t="str">
        <x:v>Lifecycle/reconnect tests</x:v>
      </x:c>
    </x:row>
    <x:row r="159">
      <x:c r="A159" t="str">
        <x:v>A101</x:v>
      </x:c>
      <x:c r="B159" s="76" t="str">
        <x:v>统一变量写入链</x:v>
      </x:c>
      <x:c r="C159" s="76" t="str">
        <x:v>Action/Graph/UI写变量必须经WritePipeline→Mode/Auth→类型/范围→Interlock/Policy→Audit→IVariableProvider.Write→Readback；VariableTable.UpdateVariable仅是本地缓存变化</x:v>
      </x:c>
      <x:c r="D159" s="76" t="str">
        <x:v>任何入口不绕过真实设备安全</x:v>
      </x:c>
      <x:c r="E159" s="76" t="str">
        <x:v>审批/双确认可扩展</x:v>
      </x:c>
      <x:c r="F159" s="76" t="str">
        <x:v>把本地Update当PLC写成功；直接provider.Write</x:v>
      </x:c>
      <x:c r="G159" s="76" t="str">
        <x:v>Security/fault tests</x:v>
      </x:c>
    </x:row>
    <x:row r="160">
      <x:c r="A160" t="str">
        <x:v>A102</x:v>
      </x:c>
      <x:c r="B160" s="76" t="str">
        <x:v>SCADA Graph变量节点</x:v>
      </x:c>
      <x:c r="C160" s="76" t="str">
        <x:v>VariableChanged/ReadVariable/WriteVariable必须真正连接统一IVariableProvider/WritePipeline并继承Quality/Timestamp/Sequence/Source</x:v>
      </x:c>
      <x:c r="D160" s="76" t="str">
        <x:v>Graph与SCADA共享同一变量事实源</x:v>
      </x:c>
      <x:c r="E160" s="76" t="str">
        <x:v>Node UI可扩展</x:v>
      </x:c>
      <x:c r="F160" s="76" t="str">
        <x:v>节点只做占位或直连Legacy变量池</x:v>
      </x:c>
      <x:c r="G160" s="76" t="str">
        <x:v>Graph integration tests</x:v>
      </x:c>
    </x:row>
    <x:row r="161">
      <x:c r="A161" t="str">
        <x:v>A103</x:v>
      </x:c>
      <x:c r="B161" s="76" t="str">
        <x:v>DeviceVariable闭环DoD</x:v>
      </x:c>
      <x:c r="C161" s="76" t="str">
        <x:v>完成标准是：设备变量可见→同步Project.Variables→选/拖绑定图元→Runtime刷新→Alarm/Trend/Graph复用同一变量→受控写回设备→保存重开引用保持</x:v>
      </x:c>
      <x:c r="D161" s="76" t="str">
        <x:v>避免“有Provider类就算完成”</x:v>
      </x:c>
      <x:c r="E161" s="76" t="str">
        <x:v>UI路径可变化</x:v>
      </x:c>
      <x:c r="F161" s="76" t="str">
        <x:v>只做Adapter单元测试便标Done</x:v>
      </x:c>
      <x:c r="G161" s="76" t="str">
        <x:v>46闭环验收场景</x:v>
      </x:c>
    </x:row>
    <x:row r="162">
      <x:c r="A162" t="str">
        <x:v>A104</x:v>
      </x:c>
      <x:c r="B162" s="76" t="str">
        <x:v>工业硬件能力抽象</x:v>
      </x:c>
      <x:c r="C162" s="76" t="str">
        <x:v>硬件按Controller/Fieldbus/Axis-Actuator/Pneumatic/IO/Feedback/Trigger/Safety/Aux/Process能力建窄接口；Vendor类型仅在Integration Adapter</x:v>
      </x:c>
      <x:c r="D162" s="76" t="str">
        <x:v>覆盖完整机台而非只轴/IO/气缸</x:v>
      </x:c>
      <x:c r="E162" s="76" t="str">
        <x:v>可新增能力接口</x:v>
      </x:c>
      <x:c r="F162" s="76" t="str">
        <x:v>万能IMotionDevice/Dictionary Command承载所有硬件</x:v>
      </x:c>
      <x:c r="G162" s="76" t="str">
        <x:v>47接口/架构测试</x:v>
      </x:c>
    </x:row>
    <x:row r="163">
      <x:c r="A163" t="str">
        <x:v>A105</x:v>
      </x:c>
      <x:c r="B163" s="76" t="str">
        <x:v>硬件Ownership</x:v>
      </x:c>
      <x:c r="C163" s="76" t="str">
        <x:v>Provider/Controller拥有厂商SDK句柄与连接生命周期；Axis/IO/Sensor等叶子对象通常是受管逻辑资源，不重复Dispose共享底层句柄</x:v>
      </x:c>
      <x:c r="D163" s="76" t="str">
        <x:v>防重复释放和资源泄漏</x:v>
      </x:c>
      <x:c r="E163" s="76" t="str">
        <x:v>特殊独立设备可拥有资源</x:v>
      </x:c>
      <x:c r="F163" s="76" t="str">
        <x:v>每个IAxis/IO点各自连接/Dispose同一Controller</x:v>
      </x:c>
      <x:c r="G163" s="76" t="str">
        <x:v>Lifecycle/soak</x:v>
      </x:c>
    </x:row>
    <x:row r="164">
      <x:c r="A164" t="str">
        <x:v>A106</x:v>
      </x:c>
      <x:c r="B164" s="76" t="str">
        <x:v>Robot 属于 Automation；复用 Motion 能力/契约，不以 Workbench 或 CLR 继承表达</x:v>
      </x:c>
      <x:c r="C164" s="76" t="str">
        <x:v>Robot复用Motion的Resource/Interlock/Device/Debug/Write安全公共Contract，以组合/调用方式新增Frame/Tool/Pose/Path/Teach；Robot类不应通过深继承IMotion内部实现</x:v>
      </x:c>
      <x:c r="D164" s="76" t="str">
        <x:v>复用语义同时保持专业独立</x:v>
      </x:c>
      <x:c r="E164" s="76" t="str">
        <x:v>稳定is-a接口可少量继承</x:v>
      </x:c>
      <x:c r="F164" s="76" t="str">
        <x:v>RobotRuntime : MotionRuntime并覆盖大量行为；复制第二套IAxis</x:v>
      </x:c>
      <x:c r="G164" s="76" t="str">
        <x:v>Architecture tests</x:v>
      </x:c>
    </x:row>
    <x:row r="165">
      <x:c r="A165" t="str">
        <x:v>A107</x:v>
      </x:c>
      <x:c r="B165" s="76" t="str">
        <x:v>CT3D 与 Vision 平级；共享 Platform 机制/能力契约，不直接依赖 Vision 内部 Runtime</x:v>
      </x:c>
      <x:c r="C165" s="76" t="str">
        <x:v>CT3D复用Vision TypedDataFlow/DataHandle/GPU/Worker/Debug契约，以组合/调用新增Projection/Geometry/Reconstruction/Volume/MPR；不要求CTRuntime继承VisionRuntime</x:v>
      </x:c>
      <x:c r="D165" s="76" t="str">
        <x:v>避免脆弱继承和平台重复</x:v>
      </x:c>
      <x:c r="E165" s="76" t="str">
        <x:v>专业Viewer/Worker可独立</x:v>
      </x:c>
      <x:c r="F165" s="76" t="str">
        <x:v>CT另起Graph/Debug/Version体系或深继承Vision实现</x:v>
      </x:c>
      <x:c r="G165" s="76" t="str">
        <x:v>Architecture tests</x:v>
      </x:c>
    </x:row>
    <x:row r="166">
      <x:c r="A166" t="str">
        <x:v>A108</x:v>
      </x:c>
      <x:c r="B166" s="76" t="str">
        <x:v>Context UI不改变Domain边界</x:v>
      </x:c>
      <x:c r="C166" s="76" t="str">
        <x:v>Contextual Ribbon只改变当前可见命令集合；Domain依赖、Runtime、Adapter边界不因UI上下文而变化</x:v>
      </x:c>
      <x:c r="D166" s="76" t="str">
        <x:v>UI可演进而架构稳定</x:v>
      </x:c>
      <x:c r="E166" s="76" t="str">
        <x:v>布局/图标可变化</x:v>
      </x:c>
      <x:c r="F166" s="76" t="str">
        <x:v>用页签存在与否决定安全或资源所有权</x:v>
      </x:c>
      <x:c r="G166" s="76" t="str">
        <x:v>Architecture/UI tests</x:v>
      </x:c>
    </x:row>
    <x:row r="167">
      <x:c r="A167" t="str">
        <x:v>A109</x:v>
      </x:c>
      <x:c r="B167" s="76" t="str">
        <x:v>状态与证据唯一真相</x:v>
      </x:c>
      <x:c r="C167" s="76" t="str">
        <x:v>41_开发追踪矩阵仍是唯一实现状态源；V3.3文档同步只更新设计/任务，不因历史截图、旧版本说明或存在类名自动标已完成</x:v>
      </x:c>
      <x:c r="D167" s="76" t="str">
        <x:v>避免架构文档制造假进度</x:v>
      </x:c>
      <x:c r="E167" s="76" t="str">
        <x:v>可附Evidence链接</x:v>
      </x:c>
      <x:c r="F167" s="76" t="str">
        <x:v>设计页手工写“已完成/全绿”；未Windows真编译宣称通过</x:v>
      </x:c>
      <x:c r="G167" s="76" t="str">
        <x:v>41/RC审计</x:v>
      </x:c>
    </x:row>
    <x:row r="168">
      <x:c r="A168" s="118" t="str">
        <x:v>H. V6.4 最终架构冻结与工业实用硬规则</x:v>
      </x:c>
      <x:c r="B168" s="118"/>
      <x:c r="C168" s="118"/>
      <x:c r="D168" s="118"/>
      <x:c r="E168" s="118"/>
      <x:c r="F168" s="118"/>
      <x:c r="G168" s="118"/>
    </x:row>
    <x:row r="169">
      <x:c r="A169" s="119" t="str">
        <x:v>RuleId</x:v>
      </x:c>
      <x:c r="B169" s="119" t="str">
        <x:v>主题</x:v>
      </x:c>
      <x:c r="C169" s="119" t="str">
        <x:v>V6.4正式规则</x:v>
      </x:c>
      <x:c r="D169" s="119" t="str">
        <x:v>原因/边界</x:v>
      </x:c>
      <x:c r="E169" s="119" t="str">
        <x:v>代码Owner</x:v>
      </x:c>
      <x:c r="F169" s="119" t="str">
        <x:v>Gate/Case</x:v>
      </x:c>
      <x:c r="G169" s="119" t="str">
        <x:v>备注</x:v>
      </x:c>
    </x:row>
    <x:row r="170">
      <x:c r="A170" s="117" t="str">
        <x:v>V64-A01</x:v>
      </x:c>
      <x:c r="B170" s="117" t="str">
        <x:v>一级结构</x:v>
      </x:c>
      <x:c r="C170" s="117" t="str">
        <x:v>CxVisual固定为1 Platform + Automation/Simulation/HMI/Vision/CT3D/Inspection六Workbench</x:v>
      </x:c>
      <x:c r="D170" s="117" t="str">
        <x:v>Workbench是专业工作空间，不等于每个行业名词</x:v>
      </x:c>
      <x:c r="E170" s="117" t="str">
        <x:v>Platform + 6 Workbench</x:v>
      </x:c>
      <x:c r="F170" s="117" t="str">
        <x:v>Architecture Gate</x:v>
      </x:c>
      <x:c r="G170" s="117" t="str">
        <x:v>不新增第7个Workbench除非ADR满足高门槛</x:v>
      </x:c>
    </x:row>
    <x:row r="171">
      <x:c r="A171" s="117" t="str">
        <x:v>V64-A02</x:v>
      </x:c>
      <x:c r="B171" s="117" t="str">
        <x:v>Automation归属</x:v>
      </x:c>
      <x:c r="C171" s="117" t="str">
        <x:v>PLC/ICS/SCADA/IoT/Motion/Robot/IO/Camera/Detector/XRay/DAQ/Test均归Automation能力族</x:v>
      </x:c>
      <x:c r="D171" s="117" t="str">
        <x:v>机器怎么连、怎么动、怎么采、怎么测</x:v>
      </x:c>
      <x:c r="E171" s="117" t="str">
        <x:v>CxVisual.Automation</x:v>
      </x:c>
      <x:c r="F171" s="117" t="str">
        <x:v>Dependency/Case</x:v>
      </x:c>
      <x:c r="G171" s="117" t="str">
        <x:v>不再维护独立Motion/Robot平台</x:v>
      </x:c>
    </x:row>
    <x:row r="172">
      <x:c r="A172" s="117" t="str">
        <x:v>V64-A03</x:v>
      </x:c>
      <x:c r="B172" s="117" t="str">
        <x:v>CT3D边界</x:v>
      </x:c>
      <x:c r="C172" s="117" t="str">
        <x:v>CT3D与Vision平级Workbench；可共享Platform契约/Worker/DataHandle思想，但不得以继承/直接依赖Vision内部实现表达</x:v>
      </x:c>
      <x:c r="D172" s="117" t="str">
        <x:v>CT有独立Projection/Geometry/Recon/Volume语义</x:v>
      </x:c>
      <x:c r="E172" s="117" t="str">
        <x:v>CxVisual.CT3D</x:v>
      </x:c>
      <x:c r="F172" s="117" t="str">
        <x:v>Architecture tests</x:v>
      </x:c>
      <x:c r="G172" s="117" t="str">
        <x:v>历史“Vision家族”仅保留能力复用含义</x:v>
      </x:c>
    </x:row>
    <x:row r="173">
      <x:c r="A173" s="117" t="str">
        <x:v>V64-A04</x:v>
      </x:c>
      <x:c r="B173" s="117" t="str">
        <x:v>Graph边界</x:v>
      </x:c>
      <x:c r="C173" s="117" t="str">
        <x:v>Platform只拥有Graph Definition/Node/Port/Edge/Descriptor/Validation/Compile基础；执行语义归各Workbench Runtime</x:v>
      </x:c>
      <x:c r="D173" s="117" t="str">
        <x:v>禁止万能GraphExecutor</x:v>
      </x:c>
      <x:c r="E173" s="117" t="str">
        <x:v>CxVisual.Platform + Workbench</x:v>
      </x:c>
      <x:c r="F173" s="117" t="str">
        <x:v>Source Gate</x:v>
      </x:c>
      <x:c r="G173" s="117" t="str">
        <x:v>Motion/Inspection/Vision等各自Runtime</x:v>
      </x:c>
    </x:row>
    <x:row r="174">
      <x:c r="A174" s="117" t="str">
        <x:v>V64-A05</x:v>
      </x:c>
      <x:c r="B174" s="117" t="str">
        <x:v>Definition/Runtime</x:v>
      </x:c>
      <x:c r="C174" s="117" t="str">
        <x:v>设计对象不得直接进入生产Runtime；按对象性质走Resolve/Compile/Plan/Session/Provider</x:v>
      </x:c>
      <x:c r="D174" s="117" t="str">
        <x:v>版本、并发、故障边界需要隔离</x:v>
      </x:c>
      <x:c r="E174" s="117" t="str">
        <x:v>Platform + Workbench</x:v>
      </x:c>
      <x:c r="F174" s="117" t="str">
        <x:v>Runtime/Case</x:v>
      </x:c>
      <x:c r="G174" s="117" t="str">
        <x:v>不强制所有对象同一生命周期</x:v>
      </x:c>
    </x:row>
    <x:row r="175">
      <x:c r="A175" s="117" t="str">
        <x:v>V64-A06</x:v>
      </x:c>
      <x:c r="B175" s="117" t="str">
        <x:v>跨Workbench语言</x:v>
      </x:c>
      <x:c r="C175" s="117" t="str">
        <x:v>ResourceRef/Command/State/Event/Stream/DataHandle/Result/Invocation/ArtifactRef为正式跨域语言</x:v>
      </x:c>
      <x:c r="D175" s="117" t="str">
        <x:v>防内部实现耦合</x:v>
      </x:c>
      <x:c r="E175" s="117" t="str">
        <x:v>Platform Contracts</x:v>
      </x:c>
      <x:c r="F175" s="117" t="str">
        <x:v>Dependency tests</x:v>
      </x:c>
      <x:c r="G175" s="117" t="str">
        <x:v>大数据不用普通Variable/EventBus</x:v>
      </x:c>
    </x:row>
    <x:row r="176">
      <x:c r="A176" s="117" t="str">
        <x:v>V64-A07</x:v>
      </x:c>
      <x:c r="B176" s="117" t="str">
        <x:v>Simulation</x:v>
      </x:c>
      <x:c r="C176" s="117" t="str">
        <x:v>同一Resource/Flow通过Real/Virtual/Replay/Hybrid Provider/Binding运行</x:v>
      </x:c>
      <x:c r="D176" s="117" t="str">
        <x:v>禁止RealFlow/SimulationFlow双份逻辑</x:v>
      </x:c>
      <x:c r="E176" s="117" t="str">
        <x:v>CxVisual.Simulation + Platform</x:v>
      </x:c>
      <x:c r="F176" s="117" t="str">
        <x:v>Scenario Case</x:v>
      </x:c>
      <x:c r="G176" s="117" t="str">
        <x:v>Virtual Commissioning属于Simulation</x:v>
      </x:c>
    </x:row>
    <x:row r="177">
      <x:c r="A177" s="117" t="str">
        <x:v>V64-A08</x:v>
      </x:c>
      <x:c r="B177" s="117" t="str">
        <x:v>Security/Safety/Audit</x:v>
      </x:c>
      <x:c r="C177" s="117" t="str">
        <x:v>危险动作必须Identity/Mode/Permission/Resource/Interlock/Provider→Execute→Audit；软件Interlock不替代Safety PLC/E-Stop</x:v>
      </x:c>
      <x:c r="D177" s="117" t="str">
        <x:v>Target最终裁决</x:v>
      </x:c>
      <x:c r="E177" s="117" t="str">
        <x:v>Platform Security + Automation</x:v>
      </x:c>
      <x:c r="F177" s="117" t="str">
        <x:v>Security/Fault tests</x:v>
      </x:c>
      <x:c r="G177" s="117" t="str">
        <x:v>UI隐藏不是安全控制</x:v>
      </x:c>
    </x:row>
    <x:row r="178">
      <x:c r="A178" s="117" t="str">
        <x:v>V64-A09</x:v>
      </x:c>
      <x:c r="B178" s="117" t="str">
        <x:v>Diagnostics</x:v>
      </x:c>
      <x:c r="C178" s="117" t="str">
        <x:v>Runtime必须回答State/Task/Node、等待原因、Resource Owner、Queue/Backpressure、Provider Health、Correlation/Manifest</x:v>
      </x:c>
      <x:c r="D178" s="117" t="str">
        <x:v>诊断是设计的一部分</x:v>
      </x:c>
      <x:c r="E178" s="117" t="str">
        <x:v>Platform Diagnostics + Workbench</x:v>
      </x:c>
      <x:c r="F178" s="117" t="str">
        <x:v>Health/Soak</x:v>
      </x:c>
      <x:c r="G178" s="117" t="str">
        <x:v>观测自身必须有界</x:v>
      </x:c>
    </x:row>
    <x:row r="179">
      <x:c r="A179" s="117" t="str">
        <x:v>V64-A10</x:v>
      </x:c>
      <x:c r="B179" s="117" t="str">
        <x:v>SCADA变量</x:v>
      </x:c>
      <x:c r="C179" s="117" t="str">
        <x:v>V6.4继续使用统一IVariableProvider/StateCache/WritePipeline；下一阶段迁移到通用Variable Platform</x:v>
      </x:c>
      <x:c r="D179" s="117" t="str">
        <x:v>避免第二套变量系统</x:v>
      </x:c>
      <x:c r="E179" s="117" t="str">
        <x:v>Platform Variables + Automation/SCADA</x:v>
      </x:c>
      <x:c r="F179" s="117" t="str">
        <x:v>46/50 Case</x:v>
      </x:c>
      <x:c r="G179" s="117" t="str">
        <x:v>DeviceVariable降为兼容路径</x:v>
      </x:c>
    </x:row>
    <x:row r="180">
      <x:c r="A180" s="117" t="str">
        <x:v>V64-A11</x:v>
      </x:c>
      <x:c r="B180" s="117" t="str">
        <x:v>协议边界</x:v>
      </x:c>
      <x:c r="C180" s="117" t="str">
        <x:v>Modbus/S7/OPC UA/Vendor SDK全部留在Automation.Drivers/Adapter，Platform不出现协议地址语义</x:v>
      </x:c>
      <x:c r="D180" s="117" t="str">
        <x:v>保持平台通用性</x:v>
      </x:c>
      <x:c r="E180" s="117" t="str">
        <x:v>CxVisual.Automation.Drivers</x:v>
      </x:c>
      <x:c r="F180" s="117" t="str">
        <x:v>Dependency Gate</x:v>
      </x:c>
      <x:c r="G180" s="117" t="str">
        <x:v>V6.4已实现Modbus TCP真实Socket路径</x:v>
      </x:c>
    </x:row>
    <x:row r="181">
      <x:c r="A181" s="117" t="str">
        <x:v>V64-A12</x:v>
      </x:c>
      <x:c r="B181" s="117" t="str">
        <x:v>Motion实时边界</x:v>
      </x:c>
      <x:c r="C181" s="117" t="str">
        <x:v>CxVisual做设备级软实时编排；Servo Loop/EtherCAT Cycle/Position Compare/Safety Loop下沉控制器/PLC/FPGA/RTOS</x:v>
      </x:c>
      <x:c r="D181" s="117" t="str">
        <x:v>Windows Runtime不冒充硬实时</x:v>
      </x:c>
      <x:c r="E181" s="117" t="str">
        <x:v>Automation/Motion</x:v>
      </x:c>
      <x:c r="F181" s="117" t="str">
        <x:v>Motion Case</x:v>
      </x:c>
      <x:c r="G181" s="117" t="str">
        <x:v>硬件支持时PositionCompare必须下沉</x:v>
      </x:c>
    </x:row>
    <x:row r="182">
      <x:c r="A182" s="117" t="str">
        <x:v>V64-A13</x:v>
      </x:c>
      <x:c r="B182" s="117" t="str">
        <x:v>管理面自治</x:v>
      </x:c>
      <x:c r="C182" s="117" t="str">
        <x:v>Studio/Operations/Station.Agent均不能成为生产Runtime必要依赖；Target离线仍按已发布Release运行</x:v>
      </x:c>
      <x:c r="D182" s="117" t="str">
        <x:v>现场自治</x:v>
      </x:c>
      <x:c r="E182" s="117" t="str">
        <x:v>Runtime Host/Station</x:v>
      </x:c>
      <x:c r="F182" s="117" t="str">
        <x:v>Partition tests</x:v>
      </x:c>
      <x:c r="G182" s="117" t="str">
        <x:v>Management Plane可故障隔离</x:v>
      </x:c>
    </x:row>
    <x:row r="183">
      <x:c r="A183" s="117" t="str">
        <x:v>V64-A14</x:v>
      </x:c>
      <x:c r="B183" s="117" t="str">
        <x:v>Case驱动</x:v>
      </x:c>
      <x:c r="C183" s="117" t="str">
        <x:v>V6.x后续优先用真实Case攻击架构，发现共性再提升Platform</x:v>
      </x:c>
      <x:c r="D183" s="117" t="str">
        <x:v>避免继续凭空抽象</x:v>
      </x:c>
      <x:c r="E183" s="117" t="str">
        <x:v>全平台</x:v>
      </x:c>
      <x:c r="F183" s="117" t="str">
        <x:v>49/40/41</x:v>
      </x:c>
      <x:c r="G183" s="117" t="str">
        <x:v>X-Ray/CT等在ICS/SCADA/Motion基础后继续</x:v>
      </x:c>
    </x:row>
    <x:row r="184">
      <x:c r="A184" s="117" t="str">
        <x:v>V64-A15</x:v>
      </x:c>
      <x:c r="B184" s="117" t="str">
        <x:v>证据治理</x:v>
      </x:c>
      <x:c r="C184" s="117" t="str">
        <x:v>设计、源码、报告、ZIP必须绑定同一SourceEvidence；Static PASS不能代替Windows Build/Test/UiSmoke/实机认证</x:v>
      </x:c>
      <x:c r="D184" s="117" t="str">
        <x:v>杜绝虚假完成</x:v>
      </x:c>
      <x:c r="E184" s="117" t="str">
        <x:v>Tests/Release</x:v>
      </x:c>
      <x:c r="F184" s="117" t="str">
        <x:v>Source Integrity Gate</x:v>
      </x:c>
      <x:c r="G184" s="117" t="str">
        <x:v>V6.4证据边界见49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14" hidden="0" customWidth="1"/>
    <x:col min="4" max="4" width="16" hidden="0" customWidth="1"/>
    <x:col min="5" max="5" width="42" hidden="0" customWidth="1"/>
    <x:col min="6" max="6" width="34" hidden="0" customWidth="1"/>
    <x:col min="7" max="7" width="34" hidden="0" customWidth="1"/>
    <x:col min="8" max="8" width="28" hidden="0" customWidth="1"/>
    <x:col min="9" max="9" width="20" hidden="0" customWidth="1"/>
    <x:col min="10" max="10" width="38" hidden="0" customWidth="1"/>
    <x:col min="11" max="11" width="22" hidden="0" customWidth="1"/>
  </x:cols>
  <x:sheetData>
    <x:row r="1" ht="30" customHeight="1">
      <x:c r="A1" s="137" t="str">
        <x:v>CxVisual V6.4 — Solution / 模块 / 依赖与物理部署边界</x:v>
      </x:c>
      <x:c r="B1" s="137"/>
      <x:c r="C1" s="137"/>
      <x:c r="D1" s="137"/>
      <x:c r="E1" s="137"/>
      <x:c r="F1" s="137"/>
      <x:c r="G1" s="137"/>
      <x:c r="H1" s="137"/>
      <x:c r="I1" s="137"/>
      <x:c r="J1" s="137"/>
      <x:c r="K1" s="137"/>
    </x:row>
    <x:row r="2" ht="38" customHeight="1">
      <x:c r="A2" s="16" t="str">
        <x:v>把03的逻辑架构落到实际程序集、项目、第三方库与进程边界；决定代码放哪里、允许依赖谁、何时需要Worker/Agent隔离。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</x:row>
    <x:row r="3">
      <x:c r="A3" s="30" t="str">
        <x:v>本页唯一权威</x:v>
      </x:c>
      <x:c r="B3" s="31" t="str">
        <x:v>V6.4真实物理项目清单、ProjectReference、逻辑模块Owner、第三方/Vendor ACL边界与Host/Worker/Agent部署边界。</x:v>
      </x:c>
      <x:c r="C3" s="31"/>
      <x:c r="D3" s="31"/>
      <x:c r="E3" s="31"/>
      <x:c r="F3" s="31"/>
      <x:c r="G3" s="31"/>
      <x:c r="H3" s="31"/>
      <x:c r="I3" s="31"/>
      <x:c r="J3" s="31"/>
      <x:c r="K3" s="31"/>
    </x:row>
    <x:row r="4">
      <x:c r="A4" s="30" t="str">
        <x:v>不在本页维护</x:v>
      </x:c>
      <x:c r="B4" s="31" t="str">
        <x:v>业务功能定义、Domain内部对象细节、真实开发状态。</x:v>
      </x:c>
      <x:c r="C4" s="31"/>
      <x:c r="D4" s="31"/>
      <x:c r="E4" s="31"/>
      <x:c r="F4" s="31"/>
      <x:c r="G4" s="31"/>
      <x:c r="H4" s="31"/>
      <x:c r="I4" s="31"/>
      <x:c r="J4" s="31"/>
      <x:c r="K4" s="31"/>
    </x:row>
    <x:row r="5">
      <x:c r="A5" s="30" t="str">
        <x:v>关联分页</x:v>
      </x:c>
      <x:c r="B5" s="31" t="str">
        <x:v>03_架构总纲与领域边界；05_平台公共接口与核心类；18_RuntimeHost；22_Graph集成与资源管理；49_V6.4同步审计。</x:v>
      </x:c>
      <x:c r="C5" s="31"/>
      <x:c r="D5" s="31"/>
      <x:c r="E5" s="31"/>
      <x:c r="F5" s="31"/>
      <x:c r="G5" s="31"/>
      <x:c r="H5" s="31"/>
      <x:c r="I5" s="31"/>
      <x:c r="J5" s="31"/>
      <x:c r="K5" s="31"/>
    </x:row>
    <x:row r="6">
      <x:c r="A6"/>
      <x:c r="B6"/>
      <x:c r="C6"/>
      <x:c r="D6"/>
      <x:c r="E6"/>
      <x:c r="F6"/>
      <x:c r="G6"/>
      <x:c r="H6"/>
      <x:c r="I6"/>
      <x:c r="J6"/>
      <x:c r="K6"/>
    </x:row>
    <x:row r="7" ht="24" customHeight="1">
      <x:c r="A7" s="40" t="str">
        <x:v>A. Solution / 物理项目清单</x:v>
      </x:c>
      <x:c r="B7" s="40"/>
      <x:c r="C7" s="40"/>
      <x:c r="D7" s="40"/>
      <x:c r="E7" s="40"/>
      <x:c r="F7" s="40"/>
      <x:c r="G7" s="40"/>
      <x:c r="H7" s="40"/>
      <x:c r="I7" s="40"/>
      <x:c r="J7" s="40"/>
      <x:c r="K7" s="40"/>
    </x:row>
    <x:row r="8" ht="28" customHeight="1">
      <x:c r="A8" s="50" t="str">
        <x:v>层级</x:v>
      </x:c>
      <x:c r="B8" s="50" t="str">
        <x:v>程序集/目录</x:v>
      </x:c>
      <x:c r="C8" s="50" t="str">
        <x:v>目标框架</x:v>
      </x:c>
      <x:c r="D8" s="50" t="str">
        <x:v>阶段</x:v>
      </x:c>
      <x:c r="E8" s="50" t="str">
        <x:v>职责</x:v>
      </x:c>
      <x:c r="F8" s="50" t="str">
        <x:v>关键文件/目录</x:v>
      </x:c>
      <x:c r="G8" s="50" t="str">
        <x:v>允许依赖</x:v>
      </x:c>
      <x:c r="H8" s="50" t="str">
        <x:v>模式/原则</x:v>
      </x:c>
      <x:c r="I8" s="50"/>
      <x:c r="J8" s="50"/>
      <x:c r="K8" s="50"/>
    </x:row>
    <x:row r="9">
      <x:c r="A9" s="58" t="str">
        <x:v>00_Common</x:v>
      </x:c>
      <x:c r="B9" s="58" t="str">
        <x:v>CxVisual.Common</x:v>
      </x:c>
      <x:c r="C9" s="58" t="str">
        <x:v>net48</x:v>
      </x:c>
      <x:c r="D9" s="58" t="str">
        <x:v>M1</x:v>
      </x:c>
      <x:c r="E9" s="58" t="str">
        <x:v>跨层纯值对象/Guard/纯函数/常量；不得承载业务状态</x:v>
      </x:c>
      <x:c r="F9" s="58" t="str">
        <x:v>Guard.cs; HashUtil.cs; CollectionUtil.cs; FileNameUtil.cs</x:v>
      </x:c>
      <x:c r="G9" s="58" t="str">
        <x:v>BCL</x:v>
      </x:c>
      <x:c r="H9" s="58" t="str">
        <x:v>Static utility / Pure Function</x:v>
      </x:c>
      <x:c r="I9" s="58"/>
      <x:c r="J9" s="58"/>
      <x:c r="K9" s="58"/>
    </x:row>
    <x:row r="10">
      <x:c r="A10" s="66" t="str">
        <x:v>01_Abstractions</x:v>
      </x:c>
      <x:c r="B10" s="66" t="str">
        <x:v>CxVisual.Abstractions</x:v>
      </x:c>
      <x:c r="C10" s="66" t="str">
        <x:v>net48</x:v>
      </x:c>
      <x:c r="D10" s="66" t="str">
        <x:v>M1</x:v>
      </x:c>
      <x:c r="E10" s="66" t="str">
        <x:v>跨边界稳定接口与DTO：变量、历史、报警、宿主、插件基础契约</x:v>
      </x:c>
      <x:c r="F10" s="66" t="str">
        <x:v>Variables/IVariableProvider.cs; Runtime/IHostContext.cs</x:v>
      </x:c>
      <x:c r="G10" s="66" t="str">
        <x:v>Common</x:v>
      </x:c>
      <x:c r="H10" s="66" t="str">
        <x:v>Dependency Inversion</x:v>
      </x:c>
      <x:c r="I10" s="66"/>
      <x:c r="J10" s="66"/>
      <x:c r="K10" s="66"/>
    </x:row>
    <x:row r="11">
      <x:c r="A11" s="58" t="str">
        <x:v>02_Core</x:v>
      </x:c>
      <x:c r="B11" s="58" t="str">
        <x:v>CxVisual.Core</x:v>
      </x:c>
      <x:c r="C11" s="58" t="str">
        <x:v>net48</x:v>
      </x:c>
      <x:c r="D11" s="58" t="str">
        <x:v>M1</x:v>
      </x:c>
      <x:c r="E11" s="58" t="str">
        <x:v>Project/Page/Element/Symbol/Geometry/Binding/Behavior/Resource领域模型</x:v>
      </x:c>
      <x:c r="F11" s="58" t="str">
        <x:v>Projects/; Elements/; Geometry/; Bindings/; Symbols/</x:v>
      </x:c>
      <x:c r="G11" s="58" t="str">
        <x:v>Common, Abstractions</x:v>
      </x:c>
      <x:c r="H11" s="58" t="str">
        <x:v>Composite + Composition</x:v>
      </x:c>
      <x:c r="I11" s="58"/>
      <x:c r="J11" s="58"/>
      <x:c r="K11" s="58"/>
    </x:row>
    <x:row r="12">
      <x:c r="A12" s="66" t="str">
        <x:v>03_Commands</x:v>
      </x:c>
      <x:c r="B12" s="66" t="str">
        <x:v>CxVisual.Commands</x:v>
      </x:c>
      <x:c r="C12" s="66" t="str">
        <x:v>net48</x:v>
      </x:c>
      <x:c r="D12" s="66" t="str">
        <x:v>M1</x:v>
      </x:c>
      <x:c r="E12" s="66" t="str">
        <x:v>编辑Command、事务、Undo/Redo、Memento快照</x:v>
      </x:c>
      <x:c r="F12" s="66" t="str">
        <x:v>IEditorCommand.cs; CommandHistory.cs; CompositeCommand.cs</x:v>
      </x:c>
      <x:c r="G12" s="66" t="str">
        <x:v>Core</x:v>
      </x:c>
      <x:c r="H12" s="66" t="str">
        <x:v>Command + Memento</x:v>
      </x:c>
      <x:c r="I12" s="66"/>
      <x:c r="J12" s="66"/>
      <x:c r="K12" s="66"/>
    </x:row>
    <x:row r="13">
      <x:c r="A13" s="58" t="str">
        <x:v>04_Serialization</x:v>
      </x:c>
      <x:c r="B13" s="58" t="str">
        <x:v>CxVisual.Serialization</x:v>
      </x:c>
      <x:c r="C13" s="58" t="str">
        <x:v>net48</x:v>
      </x:c>
      <x:c r="D13" s="58" t="str">
        <x:v>M1</x:v>
      </x:c>
      <x:c r="E13" s="58" t="str">
        <x:v>Newtonsoft.Json Converter、Schema、Migration、Validation DTO</x:v>
      </x:c>
      <x:c r="F13" s="58" t="str">
        <x:v>Json/; Converters/; Migrations/; Validators/</x:v>
      </x:c>
      <x:c r="G13" s="58" t="str">
        <x:v>Core, Newtonsoft.Json</x:v>
      </x:c>
      <x:c r="H13" s="58" t="str">
        <x:v>Factory + Chain</x:v>
      </x:c>
      <x:c r="I13" s="58"/>
      <x:c r="J13" s="58"/>
      <x:c r="K13" s="58"/>
    </x:row>
    <x:row r="14">
      <x:c r="A14" s="66" t="str">
        <x:v>05_Resources</x:v>
      </x:c>
      <x:c r="B14" s="66" t="str">
        <x:v>CxVisual.Resources</x:v>
      </x:c>
      <x:c r="C14" s="66" t="str">
        <x:v>net48</x:v>
      </x:c>
      <x:c r="D14" s="66" t="str">
        <x:v>M1</x:v>
      </x:c>
      <x:c r="E14" s="66" t="str">
        <x:v>资源索引、Hash、包内路径、图片/SVG文件仓储</x:v>
      </x:c>
      <x:c r="F14" s="66" t="str">
        <x:v>ResourceStore.cs; ResourceCacheKey.cs</x:v>
      </x:c>
      <x:c r="G14" s="66" t="str">
        <x:v>Core, Common</x:v>
      </x:c>
      <x:c r="H14" s="66" t="str">
        <x:v>Repository/Gateway + Flyweight</x:v>
      </x:c>
      <x:c r="I14" s="66"/>
      <x:c r="J14" s="66"/>
      <x:c r="K14" s="66"/>
    </x:row>
    <x:row r="15">
      <x:c r="A15" s="58" t="str">
        <x:v>06_PackageStore</x:v>
      </x:c>
      <x:c r="B15" s="58" t="str">
        <x:v>CxVisual.PackageStore</x:v>
      </x:c>
      <x:c r="C15" s="58" t="str">
        <x:v>net48</x:v>
      </x:c>
      <x:c r="D15" s="58" t="str">
        <x:v>M1</x:v>
      </x:c>
      <x:c r="E15" s="58" t="str">
        <x:v>目录工程/.cxv包、tmp/bak/Recovery、原子保存</x:v>
      </x:c>
      <x:c r="F15" s="58" t="str">
        <x:v>ProjectPackageStore.cs; RecoveryStore.cs</x:v>
      </x:c>
      <x:c r="G15" s="58" t="str">
        <x:v>Serialization, Resources</x:v>
      </x:c>
      <x:c r="H15" s="58" t="str">
        <x:v>Facade + Builder</x:v>
      </x:c>
      <x:c r="I15" s="58"/>
      <x:c r="J15" s="58"/>
      <x:c r="K15" s="58"/>
    </x:row>
    <x:row r="16">
      <x:c r="A16" s="66" t="str">
        <x:v>07_Rendering</x:v>
      </x:c>
      <x:c r="B16" s="66" t="str">
        <x:v>CxVisual.Rendering.Wpf</x:v>
      </x:c>
      <x:c r="C16" s="66" t="str">
        <x:v>net48</x:v>
      </x:c>
      <x:c r="D16" s="66" t="str">
        <x:v>M2</x:v>
      </x:c>
      <x:c r="E16" s="66" t="str">
        <x:v>WPF矢量渲染、ControlHost、Viewport、HitTest、Overlay</x:v>
      </x:c>
      <x:c r="F16" s="66" t="str">
        <x:v>Scene/; Renderers/; Adorners/; Viewport/</x:v>
      </x:c>
      <x:c r="G16" s="66" t="str">
        <x:v>Core, WPF</x:v>
      </x:c>
      <x:c r="H16" s="66" t="str">
        <x:v>Bridge + Strategy + Factory</x:v>
      </x:c>
      <x:c r="I16" s="66"/>
      <x:c r="J16" s="66"/>
      <x:c r="K16" s="66"/>
    </x:row>
    <x:row r="17">
      <x:c r="A17" s="58" t="str">
        <x:v>08_Svg</x:v>
      </x:c>
      <x:c r="B17" s="58" t="str">
        <x:v>CxVisual.Svg.Wpf</x:v>
      </x:c>
      <x:c r="C17" s="58" t="str">
        <x:v>net48</x:v>
      </x:c>
      <x:c r="D17" s="58" t="str">
        <x:v>M2</x:v>
      </x:c>
      <x:c r="E17" s="58" t="str">
        <x:v>SharpVectors适配、SVG安全扫描/ImportPlan/Convert/Export</x:v>
      </x:c>
      <x:c r="F17" s="58" t="str">
        <x:v>SvgImporter.cs; SvgExportService.cs; SvgSecurityScanner.cs</x:v>
      </x:c>
      <x:c r="G17" s="58" t="str">
        <x:v>Core, Rendering, SharpVectors</x:v>
      </x:c>
      <x:c r="H17" s="58" t="str">
        <x:v>Adapter + Builder + Visitor</x:v>
      </x:c>
      <x:c r="I17" s="58"/>
      <x:c r="J17" s="58"/>
      <x:c r="K17" s="58"/>
    </x:row>
    <x:row r="18">
      <x:c r="A18" s="66" t="str">
        <x:v>09_DesignerApp</x:v>
      </x:c>
      <x:c r="B18" s="66" t="str">
        <x:v>CxVisual.Designer.Application</x:v>
      </x:c>
      <x:c r="C18" s="66" t="str">
        <x:v>net48</x:v>
      </x:c>
      <x:c r="D18" s="66" t="str">
        <x:v>M2</x:v>
      </x:c>
      <x:c r="E18" s="66" t="str">
        <x:v>选择、工具状态、剪贴板、对齐吸附、编辑用例编排</x:v>
      </x:c>
      <x:c r="F18" s="66" t="str">
        <x:v>Selection/; Tools/; Clipboard/; Services/</x:v>
      </x:c>
      <x:c r="G18" s="66" t="str">
        <x:v>Core, Commands</x:v>
      </x:c>
      <x:c r="H18" s="66" t="str">
        <x:v>State + Strategy + Mediator</x:v>
      </x:c>
      <x:c r="I18" s="66"/>
      <x:c r="J18" s="66"/>
      <x:c r="K18" s="66"/>
    </x:row>
    <x:row r="19">
      <x:c r="A19" s="58" t="str">
        <x:v>10_DesignerWpf</x:v>
      </x:c>
      <x:c r="B19" s="58" t="str">
        <x:v>CxVisual.Designer.Wpf</x:v>
      </x:c>
      <x:c r="C19" s="58" t="str">
        <x:v>net48</x:v>
      </x:c>
      <x:c r="D19" s="58" t="str">
        <x:v>M2</x:v>
      </x:c>
      <x:c r="E19" s="58" t="str">
        <x:v>Designer UI：画布、ProjectBrowser、Property、Toolbox、TagBrowser</x:v>
      </x:c>
      <x:c r="F19" s="58" t="str">
        <x:v>Views/; ViewModels/; Panels/; Editors/</x:v>
      </x:c>
      <x:c r="G19" s="58" t="str">
        <x:v>Designer.Application, Rendering</x:v>
      </x:c>
      <x:c r="H19" s="58" t="str">
        <x:v>MVVM + Metadata-driven</x:v>
      </x:c>
      <x:c r="I19" s="58"/>
      <x:c r="J19" s="58"/>
      <x:c r="K19" s="58"/>
    </x:row>
    <x:row r="20">
      <x:c r="A20" s="66" t="str">
        <x:v>11_RuntimeCore</x:v>
      </x:c>
      <x:c r="B20" s="66" t="str">
        <x:v>CxVisual.Runtime.Core</x:v>
      </x:c>
      <x:c r="C20" s="66" t="str">
        <x:v>net48</x:v>
      </x:c>
      <x:c r="D20" s="66" t="str">
        <x:v>M1</x:v>
      </x:c>
      <x:c r="E20" s="66" t="str">
        <x:v>VariableEngine、BindingEngine、ActionEngine、RuntimePlan、导航、动画调度</x:v>
      </x:c>
      <x:c r="F20" s="66" t="str">
        <x:v>Variables/; Binding/; Actions/; Navigation/</x:v>
      </x:c>
      <x:c r="G20" s="66" t="str">
        <x:v>Core, Abstractions</x:v>
      </x:c>
      <x:c r="H20" s="66" t="str">
        <x:v>Facade + Observer + State</x:v>
      </x:c>
      <x:c r="I20" s="66"/>
      <x:c r="J20" s="66"/>
      <x:c r="K20" s="66"/>
    </x:row>
    <x:row r="21">
      <x:c r="A21" s="58" t="str">
        <x:v>12_RuntimeWpf</x:v>
      </x:c>
      <x:c r="B21" s="58" t="str">
        <x:v>CxVisual.Runtime.Wpf</x:v>
      </x:c>
      <x:c r="C21" s="58" t="str">
        <x:v>net48</x:v>
      </x:c>
      <x:c r="D21" s="58" t="str">
        <x:v>M1</x:v>
      </x:c>
      <x:c r="E21" s="58" t="str">
        <x:v>CxVisualRuntimeView、PageHost、Popup/Overlay、WPF运行态</x:v>
      </x:c>
      <x:c r="F21" s="58" t="str">
        <x:v>Views/; Hosts/</x:v>
      </x:c>
      <x:c r="G21" s="58" t="str">
        <x:v>Runtime.Core, Rendering</x:v>
      </x:c>
      <x:c r="H21" s="58" t="str">
        <x:v>Facade/Host</x:v>
      </x:c>
      <x:c r="I21" s="58"/>
      <x:c r="J21" s="58"/>
      <x:c r="K21" s="58"/>
    </x:row>
    <x:row r="22">
      <x:c r="A22" s="66" t="str">
        <x:v>13_WinFormsHost</x:v>
      </x:c>
      <x:c r="B22" s="66" t="str">
        <x:v>CxVisual.WinFormsHost</x:v>
      </x:c>
      <x:c r="C22" s="66" t="str">
        <x:v>net48</x:v>
      </x:c>
      <x:c r="D22" s="66" t="str">
        <x:v>M2</x:v>
      </x:c>
      <x:c r="E22" s="66" t="str">
        <x:v>ElementHost封装、焦点/DPI/快捷键/生命周期桥接</x:v>
      </x:c>
      <x:c r="F22" s="66" t="str">
        <x:v>CxVisualRuntimeHostControl.cs; ElementHostAdapter.cs</x:v>
      </x:c>
      <x:c r="G22" s="66" t="str">
        <x:v>Runtime.Wpf</x:v>
      </x:c>
      <x:c r="H22" s="66" t="str">
        <x:v>Adapter + Facade</x:v>
      </x:c>
      <x:c r="I22" s="66"/>
      <x:c r="J22" s="66"/>
      <x:c r="K22" s="66"/>
    </x:row>
    <x:row r="23">
      <x:c r="A23" s="58" t="str">
        <x:v>14_Components</x:v>
      </x:c>
      <x:c r="B23" s="58" t="str">
        <x:v>CxVisual.Symbols.Basic</x:v>
      </x:c>
      <x:c r="C23" s="58" t="str">
        <x:v>net48</x:v>
      </x:c>
      <x:c r="D23" s="58" t="str">
        <x:v>M2</x:v>
      </x:c>
      <x:c r="E23" s="58" t="str">
        <x:v>BuiltIn Symbol/Display预置：Tank/Pump/Valve/Pipe/Lamp/Gauge等</x:v>
      </x:c>
      <x:c r="F23" s="58" t="str">
        <x:v>Symbols/; Displays/</x:v>
      </x:c>
      <x:c r="G23" s="58" t="str">
        <x:v>Core, Runtime.Core</x:v>
      </x:c>
      <x:c r="H23" s="58" t="str">
        <x:v>Symbol Definition/Instance</x:v>
      </x:c>
      <x:c r="I23" s="58"/>
      <x:c r="J23" s="58"/>
      <x:c r="K23" s="58"/>
    </x:row>
    <x:row r="24">
      <x:c r="A24" s="66" t="str">
        <x:v>15_Charts</x:v>
      </x:c>
      <x:c r="B24" s="66" t="str">
        <x:v>CxVisual.Charts</x:v>
      </x:c>
      <x:c r="C24" s="66" t="str">
        <x:v>net48</x:v>
      </x:c>
      <x:c r="D24" s="66" t="str">
        <x:v>M2</x:v>
      </x:c>
      <x:c r="E24" s="66" t="str">
        <x:v>ScottPlot适配和Trend/XY/Bar/Pie ChartElement</x:v>
      </x:c>
      <x:c r="F24" s="66" t="str">
        <x:v>ChartAdapter.cs; TrendRenderer.cs</x:v>
      </x:c>
      <x:c r="G24" s="66" t="str">
        <x:v>Core, ScottPlot.WPF</x:v>
      </x:c>
      <x:c r="H24" s="66" t="str">
        <x:v>Adapter</x:v>
      </x:c>
      <x:c r="I24" s="66"/>
      <x:c r="J24" s="66"/>
      <x:c r="K24" s="66"/>
    </x:row>
    <x:row r="25">
      <x:c r="A25" s="58" t="str">
        <x:v>16_Integration</x:v>
      </x:c>
      <x:c r="B25" s="58" t="str">
        <x:v>CxVisual.Integration</x:v>
      </x:c>
      <x:c r="C25" s="58" t="str">
        <x:v>net48</x:v>
      </x:c>
      <x:c r="D25" s="58" t="str">
        <x:v>M2</x:v>
      </x:c>
      <x:c r="E25" s="58" t="str">
        <x:v>现有DeviceVariable/变量池/PLC/宿主业务接口Adapter；作为统一IVariableProvider入口，不让UI/Runtime直连Legacy Manager</x:v>
      </x:c>
      <x:c r="F25" s="58" t="str">
        <x:v>DeviceVariables/DeviceVariableProvider.cs; LegacyVariableManagerBridge.cs; MetadataAdapter.cs; ChangeDispatcher.cs; Catalog.cs; Factory.cs; HostActionAdapter.cs</x:v>
      </x:c>
      <x:c r="G25" s="58" t="str">
        <x:v>Abstractions, existing SDK</x:v>
      </x:c>
      <x:c r="H25" s="58" t="str">
        <x:v>Adapter / Anti-corruption Layer</x:v>
      </x:c>
      <x:c r="I25" s="58"/>
      <x:c r="J25" s="58"/>
      <x:c r="K25" s="58"/>
    </x:row>
    <x:row r="26">
      <x:c r="A26" s="66" t="str">
        <x:v>17_Security</x:v>
      </x:c>
      <x:c r="B26" s="66" t="str">
        <x:v>CxVisual.Security</x:v>
      </x:c>
      <x:c r="C26" s="66" t="str">
        <x:v>net48</x:v>
      </x:c>
      <x:c r="D26" s="66" t="str">
        <x:v>M2</x:v>
      </x:c>
      <x:c r="E26" s="66" t="str">
        <x:v>权限、危险写策略、当前用户Context、授权挑战</x:v>
      </x:c>
      <x:c r="F26" s="66" t="str">
        <x:v>Policies/; Authorization/</x:v>
      </x:c>
      <x:c r="G26" s="66" t="str">
        <x:v>Core, Abstractions</x:v>
      </x:c>
      <x:c r="H26" s="66" t="str">
        <x:v>Specification + Chain</x:v>
      </x:c>
      <x:c r="I26" s="66"/>
      <x:c r="J26" s="66"/>
      <x:c r="K26" s="66"/>
    </x:row>
    <x:row r="27">
      <x:c r="A27" s="58" t="str">
        <x:v>18_Audit</x:v>
      </x:c>
      <x:c r="B27" s="58" t="str">
        <x:v>CxVisual.Audit</x:v>
      </x:c>
      <x:c r="C27" s="58" t="str">
        <x:v>net48</x:v>
      </x:c>
      <x:c r="D27" s="58" t="str">
        <x:v>M2</x:v>
      </x:c>
      <x:c r="E27" s="58" t="str">
        <x:v>操作/写入/发布审计</x:v>
      </x:c>
      <x:c r="F27" s="58" t="str">
        <x:v>AuditService.cs; AuditEvent.cs</x:v>
      </x:c>
      <x:c r="G27" s="58" t="str">
        <x:v>Security</x:v>
      </x:c>
      <x:c r="H27" s="58" t="str">
        <x:v>Append-only Service</x:v>
      </x:c>
      <x:c r="I27" s="58"/>
      <x:c r="J27" s="58"/>
      <x:c r="K27" s="58"/>
    </x:row>
    <x:row r="28">
      <x:c r="A28" s="66" t="str">
        <x:v>19_Alarm</x:v>
      </x:c>
      <x:c r="B28" s="66" t="str">
        <x:v>CxVisual.Alarm</x:v>
      </x:c>
      <x:c r="C28" s="66" t="str">
        <x:v>net48</x:v>
      </x:c>
      <x:c r="D28" s="66" t="str">
        <x:v>M2</x:v>
      </x:c>
      <x:c r="E28" s="66" t="str">
        <x:v>报警定义、计算、确认、抑制、历史事件接口</x:v>
      </x:c>
      <x:c r="F28" s="66" t="str">
        <x:v>Engine/; Definitions/</x:v>
      </x:c>
      <x:c r="G28" s="66" t="str">
        <x:v>Runtime.Core, Security</x:v>
      </x:c>
      <x:c r="H28" s="66" t="str">
        <x:v>State + Specification</x:v>
      </x:c>
      <x:c r="I28" s="66"/>
      <x:c r="J28" s="66"/>
      <x:c r="K28" s="66"/>
    </x:row>
    <x:row r="29">
      <x:c r="A29" s="58" t="str">
        <x:v>20_History</x:v>
      </x:c>
      <x:c r="B29" s="58" t="str">
        <x:v>CxVisual.History</x:v>
      </x:c>
      <x:c r="C29" s="58" t="str">
        <x:v>net48</x:v>
      </x:c>
      <x:c r="D29" s="58" t="str">
        <x:v>M2</x:v>
      </x:c>
      <x:c r="E29" s="58" t="str">
        <x:v>历史采集、StoreForward、查询、聚合、Retention</x:v>
      </x:c>
      <x:c r="F29" s="58" t="str">
        <x:v>Writer/; Query/; Storage/</x:v>
      </x:c>
      <x:c r="G29" s="58" t="str">
        <x:v>Runtime.Core</x:v>
      </x:c>
      <x:c r="H29" s="58" t="str">
        <x:v>Strategy + Repository</x:v>
      </x:c>
      <x:c r="I29" s="58"/>
      <x:c r="J29" s="58"/>
      <x:c r="K29" s="58"/>
    </x:row>
    <x:row r="30">
      <x:c r="A30" s="66" t="str">
        <x:v>21_Reports</x:v>
      </x:c>
      <x:c r="B30" s="66" t="str">
        <x:v>CxVisual.Reports</x:v>
      </x:c>
      <x:c r="C30" s="66" t="str">
        <x:v>net48</x:v>
      </x:c>
      <x:c r="D30" s="66" t="str">
        <x:v>M7</x:v>
      </x:c>
      <x:c r="E30" s="66" t="str">
        <x:v>报表模板、任务、导出</x:v>
      </x:c>
      <x:c r="F30" s="66" t="str">
        <x:v>Templates/; Jobs/; Export/</x:v>
      </x:c>
      <x:c r="G30" s="66" t="str">
        <x:v>History, Alarm, Audit</x:v>
      </x:c>
      <x:c r="H30" s="66" t="str">
        <x:v>Builder + Strategy</x:v>
      </x:c>
      <x:c r="I30" s="66"/>
      <x:c r="J30" s="66"/>
      <x:c r="K30" s="66"/>
    </x:row>
    <x:row r="31">
      <x:c r="A31" s="58" t="str">
        <x:v>22_Recipes</x:v>
      </x:c>
      <x:c r="B31" s="58" t="str">
        <x:v>CxVisual.Recipes</x:v>
      </x:c>
      <x:c r="C31" s="58" t="str">
        <x:v>net48</x:v>
      </x:c>
      <x:c r="D31" s="58" t="str">
        <x:v>M7</x:v>
      </x:c>
      <x:c r="E31" s="58" t="str">
        <x:v>配方版本、比较、下发、回读、审批</x:v>
      </x:c>
      <x:c r="F31" s="58" t="str">
        <x:v>Models/; Services/</x:v>
      </x:c>
      <x:c r="G31" s="58" t="str">
        <x:v>Runtime.Core, Security, Audit</x:v>
      </x:c>
      <x:c r="H31" s="58" t="str">
        <x:v>Workflow/State + Command</x:v>
      </x:c>
      <x:c r="I31" s="58"/>
      <x:c r="J31" s="58"/>
      <x:c r="K31" s="58"/>
    </x:row>
    <x:row r="32">
      <x:c r="A32" s="66" t="str">
        <x:v>23_PluginSdk</x:v>
      </x:c>
      <x:c r="B32" s="66" t="str">
        <x:v>CxVisual.PluginSdk</x:v>
      </x:c>
      <x:c r="C32" s="66" t="str">
        <x:v>net48</x:v>
      </x:c>
      <x:c r="D32" s="66" t="str">
        <x:v>M7</x:v>
      </x:c>
      <x:c r="E32" s="66" t="str">
        <x:v>控件/Provider/Action插件稳定接口和Metadata</x:v>
      </x:c>
      <x:c r="F32" s="66" t="str">
        <x:v>Symbols/; Providers/; Actions/</x:v>
      </x:c>
      <x:c r="G32" s="66" t="str">
        <x:v>Abstractions, Core contracts</x:v>
      </x:c>
      <x:c r="H32" s="66" t="str">
        <x:v>Plugin + Registry</x:v>
      </x:c>
      <x:c r="I32" s="66"/>
      <x:c r="J32" s="66"/>
      <x:c r="K32" s="66"/>
    </x:row>
    <x:row r="33">
      <x:c r="A33" s="58" t="str">
        <x:v>24_PluginHost</x:v>
      </x:c>
      <x:c r="B33" s="58" t="str">
        <x:v>CxVisual.PluginHost</x:v>
      </x:c>
      <x:c r="C33" s="58" t="str">
        <x:v>net48</x:v>
      </x:c>
      <x:c r="D33" s="58" t="str">
        <x:v>M7</x:v>
      </x:c>
      <x:c r="E33" s="58" t="str">
        <x:v>插件发现、依赖、签名、加载、隔离、版本校验</x:v>
      </x:c>
      <x:c r="F33" s="58" t="str">
        <x:v>PluginCatalog.cs; PluginLoader.cs</x:v>
      </x:c>
      <x:c r="G33" s="58" t="str">
        <x:v>PluginSdk, Security</x:v>
      </x:c>
      <x:c r="H33" s="58" t="str">
        <x:v>Registry + Factory</x:v>
      </x:c>
      <x:c r="I33" s="58"/>
      <x:c r="J33" s="58"/>
      <x:c r="K33" s="58"/>
    </x:row>
    <x:row r="34">
      <x:c r="A34" s="66" t="str">
        <x:v>25_Versioning</x:v>
      </x:c>
      <x:c r="B34" s="66" t="str">
        <x:v>CxVisual.Versioning</x:v>
      </x:c>
      <x:c r="C34" s="66" t="str">
        <x:v>net48</x:v>
      </x:c>
      <x:c r="D34" s="66" t="str">
        <x:v>M7</x:v>
      </x:c>
      <x:c r="E34" s="66" t="str">
        <x:v>Project Diff/Merge/Normalized serialization/Git友好</x:v>
      </x:c>
      <x:c r="F34" s="66" t="str">
        <x:v>Diff/; Merge/</x:v>
      </x:c>
      <x:c r="G34" s="66" t="str">
        <x:v>Serialization</x:v>
      </x:c>
      <x:c r="H34" s="66" t="str">
        <x:v>Visitor + Strategy</x:v>
      </x:c>
      <x:c r="I34" s="66"/>
      <x:c r="J34" s="66"/>
      <x:c r="K34" s="66"/>
    </x:row>
    <x:row r="35">
      <x:c r="A35" s="58" t="str">
        <x:v>26_Publish</x:v>
      </x:c>
      <x:c r="B35" s="58" t="str">
        <x:v>CxVisual.Publish</x:v>
      </x:c>
      <x:c r="C35" s="58" t="str">
        <x:v>net48</x:v>
      </x:c>
      <x:c r="D35" s="58" t="str">
        <x:v>M7</x:v>
      </x:c>
      <x:c r="E35" s="58" t="str">
        <x:v>校验、完整/增量/签名/加密/发布清单</x:v>
      </x:c>
      <x:c r="F35" s="58" t="str">
        <x:v>PublishService.cs; PublishManifest.cs</x:v>
      </x:c>
      <x:c r="G35" s="58" t="str">
        <x:v>PackageStore, Security</x:v>
      </x:c>
      <x:c r="H35" s="58" t="str">
        <x:v>Builder + Pipeline</x:v>
      </x:c>
      <x:c r="I35" s="58"/>
      <x:c r="J35" s="58"/>
      <x:c r="K35" s="58"/>
    </x:row>
    <x:row r="36">
      <x:c r="A36" s="66" t="str">
        <x:v>27_Deployment</x:v>
      </x:c>
      <x:c r="B36" s="66" t="str">
        <x:v>CxVisual.Deployment</x:v>
      </x:c>
      <x:c r="C36" s="66" t="str">
        <x:v>net48</x:v>
      </x:c>
      <x:c r="D36" s="66" t="str">
        <x:v>M7</x:v>
      </x:c>
      <x:c r="E36" s="66" t="str">
        <x:v>远程部署、设备状态、断点续传、切换、回滚</x:v>
      </x:c>
      <x:c r="F36" s="66" t="str">
        <x:v>Jobs/; Client/</x:v>
      </x:c>
      <x:c r="G36" s="66" t="str">
        <x:v>Publish</x:v>
      </x:c>
      <x:c r="H36" s="66" t="str">
        <x:v>State + Saga-like workflow</x:v>
      </x:c>
      <x:c r="I36" s="66"/>
      <x:c r="J36" s="66"/>
      <x:c r="K36" s="66"/>
    </x:row>
    <x:row r="37">
      <x:c r="A37" s="58" t="str">
        <x:v>Host</x:v>
      </x:c>
      <x:c r="B37" s="58" t="str">
        <x:v>CxVisual.Designer.Host</x:v>
      </x:c>
      <x:c r="C37" s="58" t="str">
        <x:v>net48 exe</x:v>
      </x:c>
      <x:c r="D37" s="58" t="str">
        <x:v>M2</x:v>
      </x:c>
      <x:c r="E37" s="58" t="str">
        <x:v>独立Designer Composition Root</x:v>
      </x:c>
      <x:c r="F37" s="58" t="str">
        <x:v>App.xaml; Bootstrapper.cs</x:v>
      </x:c>
      <x:c r="G37" s="58" t="str">
        <x:v>Designer.Wpf + modules</x:v>
      </x:c>
      <x:c r="H37" s="58" t="str">
        <x:v>Composition Root</x:v>
      </x:c>
      <x:c r="I37" s="58"/>
      <x:c r="J37" s="58"/>
      <x:c r="K37" s="58"/>
    </x:row>
    <x:row r="38">
      <x:c r="A38" s="66" t="str">
        <x:v>Host</x:v>
      </x:c>
      <x:c r="B38" s="66" t="str">
        <x:v>CxVisual.Runtime.Host</x:v>
      </x:c>
      <x:c r="C38" s="66" t="str">
        <x:v>net48 exe</x:v>
      </x:c>
      <x:c r="D38" s="66" t="str">
        <x:v>M2</x:v>
      </x:c>
      <x:c r="E38" s="66" t="str">
        <x:v>独立Runtime Composition Root</x:v>
      </x:c>
      <x:c r="F38" s="66" t="str">
        <x:v>App.xaml; RuntimeBootstrapper.cs</x:v>
      </x:c>
      <x:c r="G38" s="66" t="str">
        <x:v>Runtime.Wpf + modules</x:v>
      </x:c>
      <x:c r="H38" s="66" t="str">
        <x:v>Composition Root</x:v>
      </x:c>
      <x:c r="I38" s="66"/>
      <x:c r="J38" s="66"/>
      <x:c r="K38" s="66"/>
    </x:row>
    <x:row r="39">
      <x:c r="A39" s="58" t="str">
        <x:v>Tests</x:v>
      </x:c>
      <x:c r="B39" s="58" t="str">
        <x:v>CxVisual.Core.Tests 等</x:v>
      </x:c>
      <x:c r="C39" s="58" t="str">
        <x:v>net48</x:v>
      </x:c>
      <x:c r="D39" s="58" t="str">
        <x:v>是</x:v>
      </x:c>
      <x:c r="E39" s="58" t="str">
        <x:v>Core/Command/Serialization/Runtime/UI/Integration测试</x:v>
      </x:c>
      <x:c r="F39" s="58" t="str">
        <x:v>Tests/</x:v>
      </x:c>
      <x:c r="G39" s="58" t="str">
        <x:v>对应模块</x:v>
      </x:c>
      <x:c r="H39" s="58" t="str">
        <x:v>Fake/Null Object/Test Builder</x:v>
      </x:c>
      <x:c r="I39" s="58"/>
      <x:c r="J39" s="58"/>
      <x:c r="K39" s="58"/>
    </x:row>
    <x:row r="40">
      <x:c r="A40" s="66" t="str">
        <x:v>Benchmarks</x:v>
      </x:c>
      <x:c r="B40" s="66" t="str">
        <x:v>CxVisual.Benchmarks</x:v>
      </x:c>
      <x:c r="C40" s="66" t="str">
        <x:v>net48</x:v>
      </x:c>
      <x:c r="D40" s="66" t="str">
        <x:v>M2</x:v>
      </x:c>
      <x:c r="E40" s="66" t="str">
        <x:v>500图元、Binding、Serialization、Chart基准</x:v>
      </x:c>
      <x:c r="F40" s="66" t="str">
        <x:v>Scenarios/</x:v>
      </x:c>
      <x:c r="G40" s="66" t="str">
        <x:v>Core/Runtime</x:v>
      </x:c>
      <x:c r="H40" s="66" t="str">
        <x:v>Benchmark Harness</x:v>
      </x:c>
      <x:c r="I40" s="66"/>
      <x:c r="J40" s="66"/>
      <x:c r="K40" s="66"/>
    </x:row>
    <x:row r="41">
      <x:c r="A41"/>
      <x:c r="B41"/>
      <x:c r="C41"/>
      <x:c r="D41"/>
      <x:c r="E41"/>
      <x:c r="F41"/>
      <x:c r="G41"/>
      <x:c r="H41"/>
      <x:c r="I41"/>
      <x:c r="J41"/>
      <x:c r="K41"/>
    </x:row>
    <x:row r="42">
      <x:c r="A42"/>
      <x:c r="B42"/>
      <x:c r="C42"/>
      <x:c r="D42"/>
      <x:c r="E42"/>
      <x:c r="F42"/>
      <x:c r="G42"/>
      <x:c r="H42"/>
      <x:c r="I42"/>
      <x:c r="J42"/>
      <x:c r="K42"/>
    </x:row>
    <x:row r="43" ht="24" customHeight="1">
      <x:c r="A43" s="40" t="str">
        <x:v>B. 第三方库与自研边界</x:v>
      </x:c>
      <x:c r="B43" s="40"/>
      <x:c r="C43" s="40"/>
      <x:c r="D43" s="40"/>
      <x:c r="E43" s="40"/>
      <x:c r="F43" s="40"/>
      <x:c r="G43" s="40"/>
      <x:c r="H43" s="40"/>
      <x:c r="I43" s="40"/>
      <x:c r="J43" s="40"/>
      <x:c r="K43" s="40"/>
    </x:row>
    <x:row r="44" ht="28" customHeight="1">
      <x:c r="A44" s="50" t="str">
        <x:v>能力</x:v>
      </x:c>
      <x:c r="B44" s="50" t="str">
        <x:v>候选/选型</x:v>
      </x:c>
      <x:c r="C44" s="50" t="str">
        <x:v>使用程序集</x:v>
      </x:c>
      <x:c r="D44" s="50" t="str">
        <x:v>是否进入Core</x:v>
      </x:c>
      <x:c r="E44" s="50" t="str">
        <x:v>版本策略</x:v>
      </x:c>
      <x:c r="F44" s="50" t="str">
        <x:v>替换策略</x:v>
      </x:c>
      <x:c r="G44" s="50" t="str">
        <x:v>主要风险</x:v>
      </x:c>
      <x:c r="H44" s="50" t="str">
        <x:v>NET48要求</x:v>
      </x:c>
      <x:c r="I44" s="50" t="str">
        <x:v>License/发布</x:v>
      </x:c>
      <x:c r="J44" s="50" t="str">
        <x:v>测试</x:v>
      </x:c>
      <x:c r="K44" s="50" t="str">
        <x:v>备注</x:v>
      </x:c>
    </x:row>
    <x:row r="45">
      <x:c r="A45" s="58" t="str">
        <x:v>MVVM</x:v>
      </x:c>
      <x:c r="B45" s="58" t="str">
        <x:v>CommunityToolkit.Mvvm</x:v>
      </x:c>
      <x:c r="C45" s="58" t="str">
        <x:v>8.4.2</x:v>
      </x:c>
      <x:c r="D45" s="58" t="str">
        <x:v>推荐/Designer引入</x:v>
      </x:c>
      <x:c r="E45" s="58" t="str">
        <x:v>ObservableObject、RelayCommand、Messenger</x:v>
      </x:c>
      <x:c r="F45" s="58" t="str">
        <x:v>Microsoft/.NET Foundation；开源</x:v>
      </x:c>
      <x:c r="G45" s="58" t="str">
        <x:v>兼容</x:v>
      </x:c>
      <x:c r="H45" s="58" t="str">
        <x:v>—</x:v>
      </x:c>
      <x:c r="I45" s="58" t="str">
        <x:v>包面向.NET Standard 2.0，net48可用；可减少ViewModel样板代码</x:v>
      </x:c>
      <x:c r="J45" s="58" t="str">
        <x:v>仅UI/Application层；Core实体不继承ViewModel</x:v>
      </x:c>
      <x:c r="K45" s="58" t="str">
        <x:v>https://www.nuget.org/packages/CommunityToolkit.Mvvm/</x:v>
      </x:c>
    </x:row>
    <x:row r="46">
      <x:c r="A46" s="66" t="str">
        <x:v>JSON</x:v>
      </x:c>
      <x:c r="B46" s="66" t="str">
        <x:v>Newtonsoft.Json</x:v>
      </x:c>
      <x:c r="C46" s="66" t="str">
        <x:v>13.0.4</x:v>
      </x:c>
      <x:c r="D46" s="66" t="str">
        <x:v>必须</x:v>
      </x:c>
      <x:c r="E46" s="66" t="str">
        <x:v>工程JSON、Manifest、Migration、复杂多态</x:v>
      </x:c>
      <x:c r="F46" s="66" t="str">
        <x:v>MIT</x:v>
      </x:c>
      <x:c r="G46" s="66" t="str">
        <x:v>兼容</x:v>
      </x:c>
      <x:c r="H46" s="66" t="str">
        <x:v>—</x:v>
      </x:c>
      <x:c r="I46" s="66" t="str">
        <x:v>长期用于.NET Framework，成熟稳定，Converter和JToken工具完善</x:v>
      </x:c>
      <x:c r="J46" s="66" t="str">
        <x:v>TypeNameHandling=None；自定义稳定type鉴别器；禁止反序列化任意CLR类型</x:v>
      </x:c>
      <x:c r="K46" s="66" t="str">
        <x:v>https://www.nuget.org/packages/Newtonsoft.Json/</x:v>
      </x:c>
    </x:row>
    <x:row r="47">
      <x:c r="A47" s="58" t="str">
        <x:v>SVG</x:v>
      </x:c>
      <x:c r="B47" s="58" t="str">
        <x:v>SharpVectors.Wpf</x:v>
      </x:c>
      <x:c r="C47" s="58" t="str">
        <x:v>1.8.5（生产基线）</x:v>
      </x:c>
      <x:c r="D47" s="58" t="str">
        <x:v>推荐/M2引入</x:v>
      </x:c>
      <x:c r="E47" s="58" t="str">
        <x:v>SVG解析、DOM、WPF Drawing/Geometry</x:v>
      </x:c>
      <x:c r="F47" s="58" t="str">
        <x:v>BSD-3-Clause</x:v>
      </x:c>
      <x:c r="G47" s="58" t="str">
        <x:v>兼容</x:v>
      </x:c>
      <x:c r="H47" s="58" t="str">
        <x:v>—</x:v>
      </x:c>
      <x:c r="I47" s="58" t="str">
        <x:v>1.8.5已有较长验证时间；1.8.6刚发布，先做回归再升级</x:v>
      </x:c>
      <x:c r="J47" s="58" t="str">
        <x:v>只作为SvgAdapter；SharpVectors对象不得写入ProjectModel</x:v>
      </x:c>
      <x:c r="K47" s="58" t="str">
        <x:v>https://www.nuget.org/packages/SharpVectors.Wpf/1.8.5</x:v>
      </x:c>
    </x:row>
    <x:row r="48">
      <x:c r="A48" s="66" t="str">
        <x:v>SVG候选升级</x:v>
      </x:c>
      <x:c r="B48" s="66" t="str">
        <x:v>SharpVectors.Wpf</x:v>
      </x:c>
      <x:c r="C48" s="66" t="str">
        <x:v>1.8.6</x:v>
      </x:c>
      <x:c r="D48" s="66" t="str">
        <x:v>暂不直接上生产</x:v>
      </x:c>
      <x:c r="E48" s="66" t="str">
        <x:v>改进HitTest、Viewport、Mask/Clip等</x:v>
      </x:c>
      <x:c r="F48" s="66" t="str">
        <x:v>BSD-3-Clause</x:v>
      </x:c>
      <x:c r="G48" s="66" t="str">
        <x:v>兼容</x:v>
      </x:c>
      <x:c r="H48" s="66" t="str">
        <x:v>—</x:v>
      </x:c>
      <x:c r="I48" s="66" t="str">
        <x:v>2026-09-08刚发布，功能更强但工业项目应先跑回归/老化</x:v>
      </x:c>
      <x:c r="J48" s="66" t="str">
        <x:v>通过兼容测试集后再替换1.8.5</x:v>
      </x:c>
      <x:c r="K48" s="66" t="str">
        <x:v>https://www.nuget.org/packages/SharpVectors.Wpf/</x:v>
      </x:c>
    </x:row>
    <x:row r="49">
      <x:c r="A49" s="58" t="str">
        <x:v>实时图表</x:v>
      </x:c>
      <x:c r="B49" s="58" t="str">
        <x:v>ScottPlot.WPF</x:v>
      </x:c>
      <x:c r="C49" s="58" t="str">
        <x:v>5.1.59</x:v>
      </x:c>
      <x:c r="D49" s="58" t="str">
        <x:v>推荐/M5引入</x:v>
      </x:c>
      <x:c r="E49" s="58" t="str">
        <x:v>Trend、TimeSeries、XY、Bar、Pie</x:v>
      </x:c>
      <x:c r="F49" s="58" t="str">
        <x:v>MIT</x:v>
      </x:c>
      <x:c r="G49" s="58" t="str">
        <x:v>兼容</x:v>
      </x:c>
      <x:c r="H49" s="58" t="str">
        <x:v>—</x:v>
      </x:c>
      <x:c r="I49" s="58" t="str">
        <x:v>官方WPF包包含.NET Framework 4.6.2目标，net48可直接使用</x:v>
      </x:c>
      <x:c r="J49" s="58" t="str">
        <x:v>封装ChartElementAdapter；Gauge/Indicator不依赖它</x:v>
      </x:c>
      <x:c r="K49" s="58" t="str">
        <x:v>https://www.nuget.org/packages/ScottPlot.WPF/</x:v>
      </x:c>
    </x:row>
    <x:row r="50">
      <x:c r="A50" s="66" t="str">
        <x:v>Dock布局</x:v>
      </x:c>
      <x:c r="B50" s="66" t="str">
        <x:v>Dirkster.AvalonDock</x:v>
      </x:c>
      <x:c r="C50" s="66" t="str">
        <x:v>4.74.1稳定版</x:v>
      </x:c>
      <x:c r="D50" s="66" t="str">
        <x:v>推荐/M3引入</x:v>
      </x:c>
      <x:c r="E50" s="66" t="str">
        <x:v>Designer工具窗、文档窗Dock/Float/AutoHide</x:v>
      </x:c>
      <x:c r="F50" s="66" t="str">
        <x:v>按项目许可证文件核验</x:v>
      </x:c>
      <x:c r="G50" s="66" t="str">
        <x:v>兼容</x:v>
      </x:c>
      <x:c r="H50" s="66" t="str">
        <x:v>—</x:v>
      </x:c>
      <x:c r="I50" s="66" t="str">
        <x:v>4.74.1为稳定线；5.x目前存在preview版本，生产先不跟进</x:v>
      </x:c>
      <x:c r="J50" s="66" t="str">
        <x:v>只影响Designer Shell；布局可单独保存，不进入工程业务模型</x:v>
      </x:c>
      <x:c r="K50" s="66" t="str">
        <x:v>https://www.nuget.org/packages/Dirkster.AvalonDock/</x:v>
      </x:c>
    </x:row>
    <x:row r="51">
      <x:c r="A51" s="58" t="str">
        <x:v>依赖注入</x:v>
      </x:c>
      <x:c r="B51" s="58" t="str">
        <x:v>Microsoft.Extensions.DependencyInjection</x:v>
      </x:c>
      <x:c r="C51" s="58" t="str">
        <x:v>10.0.x（按发布时锁定补丁版）</x:v>
      </x:c>
      <x:c r="D51" s="58" t="str">
        <x:v>可选</x:v>
      </x:c>
      <x:c r="E51" s="58" t="str">
        <x:v>Service/Provider/RuntimeEngine组装</x:v>
      </x:c>
      <x:c r="F51" s="58" t="str">
        <x:v>Microsoft开源</x:v>
      </x:c>
      <x:c r="G51" s="58" t="str">
        <x:v>兼容</x:v>
      </x:c>
      <x:c r="H51" s="58" t="str">
        <x:v>—</x:v>
      </x:c>
      <x:c r="I51" s="58" t="str">
        <x:v>NuGet包含.NET Framework 4.6.2目标，因此net48可用</x:v>
      </x:c>
      <x:c r="J51" s="58" t="str">
        <x:v>仅应用启动/服务层；Core实体不依赖容器</x:v>
      </x:c>
      <x:c r="K51" s="58" t="str">
        <x:v>https://www.nuget.org/packages/Microsoft.Extensions.DependencyInjection/</x:v>
      </x:c>
    </x:row>
    <x:row r="52">
      <x:c r="A52" s="66" t="str">
        <x:v>日志抽象</x:v>
      </x:c>
      <x:c r="B52" s="66" t="str">
        <x:v>Microsoft.Extensions.Logging.Abstractions</x:v>
      </x:c>
      <x:c r="C52" s="66" t="str">
        <x:v>10.0.x（按发布时锁定补丁版）</x:v>
      </x:c>
      <x:c r="D52" s="66" t="str">
        <x:v>可选</x:v>
      </x:c>
      <x:c r="E52" s="66" t="str">
        <x:v>统一ILogger接口</x:v>
      </x:c>
      <x:c r="F52" s="66" t="str">
        <x:v>Microsoft开源</x:v>
      </x:c>
      <x:c r="G52" s="66" t="str">
        <x:v>兼容</x:v>
      </x:c>
      <x:c r="H52" s="66" t="str">
        <x:v>—</x:v>
      </x:c>
      <x:c r="I52" s="66" t="str">
        <x:v>NuGet包含.NET Framework 4.6.2目标，便于替换具体日志实现</x:v>
      </x:c>
      <x:c r="J52" s="66" t="str">
        <x:v>业务代码依赖抽象，不直接依赖Serilog/NLog</x:v>
      </x:c>
      <x:c r="K52" s="66" t="str">
        <x:v>https://www.nuget.org/packages/Microsoft.Extensions.Logging.Abstractions/</x:v>
      </x:c>
    </x:row>
    <x:row r="53">
      <x:c r="A53" s="58" t="str">
        <x:v>日志实现</x:v>
      </x:c>
      <x:c r="B53" s="58" t="str">
        <x:v>Serilog</x:v>
      </x:c>
      <x:c r="C53" s="58" t="str">
        <x:v>4.x（按公司基线锁定）</x:v>
      </x:c>
      <x:c r="D53" s="58" t="str">
        <x:v>可选</x:v>
      </x:c>
      <x:c r="E53" s="58" t="str">
        <x:v>滚动文件、结构化日志</x:v>
      </x:c>
      <x:c r="F53" s="58" t="str">
        <x:v>Apache-2.0</x:v>
      </x:c>
      <x:c r="G53" s="58" t="str">
        <x:v>兼容性需按具体Sink验证</x:v>
      </x:c>
      <x:c r="H53" s="58" t="str">
        <x:v>—</x:v>
      </x:c>
      <x:c r="I53" s="58" t="str">
        <x:v>生态成熟，现场日志检索方便</x:v>
      </x:c>
      <x:c r="J53" s="58" t="str">
        <x:v>若现有平台已有日志体系则直接复用，不重复引入</x:v>
      </x:c>
      <x:c r="K53" s="58" t="str">
        <x:v>https://serilog.net/</x:v>
      </x:c>
    </x:row>
    <x:row r="54">
      <x:c r="A54" s="66" t="str">
        <x:v>单元测试</x:v>
      </x:c>
      <x:c r="B54" s="66" t="str">
        <x:v>NUnit 或 xUnit</x:v>
      </x:c>
      <x:c r="C54" s="66" t="str">
        <x:v>团队统一</x:v>
      </x:c>
      <x:c r="D54" s="66" t="str">
        <x:v>推荐</x:v>
      </x:c>
      <x:c r="E54" s="66" t="str">
        <x:v>Core/Serialization/Command/Binding测试</x:v>
      </x:c>
      <x:c r="F54" s="66" t="str">
        <x:v>开源</x:v>
      </x:c>
      <x:c r="G54" s="66" t="str">
        <x:v>兼容</x:v>
      </x:c>
      <x:c r="H54" s="66" t="str">
        <x:v>—</x:v>
      </x:c>
      <x:c r="I54" s="66" t="str">
        <x:v>不影响生产代码</x:v>
      </x:c>
      <x:c r="J54" s="66" t="str">
        <x:v>只选一种主测试框架，避免混用</x:v>
      </x:c>
      <x:c r="K54" s="66" t="str">
        <x:v>https://nunit.org/</x:v>
      </x:c>
    </x:row>
    <x:row r="55">
      <x:c r="A55" s="58" t="str">
        <x:v>Mock</x:v>
      </x:c>
      <x:c r="B55" s="58" t="str">
        <x:v>NSubstitute</x:v>
      </x:c>
      <x:c r="C55" s="58" t="str">
        <x:v>稳定版</x:v>
      </x:c>
      <x:c r="D55" s="58" t="str">
        <x:v>可选/Tests</x:v>
      </x:c>
      <x:c r="E55" s="58" t="str">
        <x:v>Provider/Service替身</x:v>
      </x:c>
      <x:c r="F55" s="58" t="str">
        <x:v>BSD-3-Clause</x:v>
      </x:c>
      <x:c r="G55" s="58" t="str">
        <x:v>兼容</x:v>
      </x:c>
      <x:c r="H55" s="58" t="str">
        <x:v>—</x:v>
      </x:c>
      <x:c r="I55" s="58" t="str">
        <x:v>API简单</x:v>
      </x:c>
      <x:c r="J55" s="58" t="str">
        <x:v>仅Tests</x:v>
      </x:c>
      <x:c r="K55" s="58" t="str">
        <x:v>https://nsubstitute.github.io/</x:v>
      </x:c>
    </x:row>
    <x:row r="56">
      <x:c r="A56" s="66" t="str">
        <x:v>性能基准</x:v>
      </x:c>
      <x:c r="B56" s="66" t="str">
        <x:v>BenchmarkDotNet</x:v>
      </x:c>
      <x:c r="C56" s="66" t="str">
        <x:v>选择支持net48的稳定版</x:v>
      </x:c>
      <x:c r="D56" s="66" t="str">
        <x:v>可选/Benchmarks</x:v>
      </x:c>
      <x:c r="E56" s="66" t="str">
        <x:v>序列化/Binding/算法基准</x:v>
      </x:c>
      <x:c r="F56" s="66" t="str">
        <x:v>MIT</x:v>
      </x:c>
      <x:c r="G56" s="66" t="str">
        <x:v>按版本核验</x:v>
      </x:c>
      <x:c r="H56" s="66" t="str">
        <x:v>—</x:v>
      </x:c>
      <x:c r="I56" s="66" t="str">
        <x:v>用于可重复性能对比</x:v>
      </x:c>
      <x:c r="J56" s="66" t="str">
        <x:v>若目标版本不适配net48，可用自研Stopwatch基准项目替代</x:v>
      </x:c>
      <x:c r="K56" s="66" t="str">
        <x:v>https://benchmarkdotnet.org/</x:v>
      </x:c>
    </x:row>
    <x:row r="57">
      <x:c r="A57" s="58" t="str">
        <x:v>条码/二维码</x:v>
      </x:c>
      <x:c r="B57" s="58" t="str">
        <x:v>ZXing.Net</x:v>
      </x:c>
      <x:c r="C57" s="58" t="str">
        <x:v>稳定版</x:v>
      </x:c>
      <x:c r="D57" s="58" t="str">
        <x:v>后期按需</x:v>
      </x:c>
      <x:c r="E57" s="58" t="str">
        <x:v>Barcode/QRCode</x:v>
      </x:c>
      <x:c r="F57" s="58" t="str">
        <x:v>Apache-2.0</x:v>
      </x:c>
      <x:c r="G57" s="58" t="str">
        <x:v>兼容</x:v>
      </x:c>
      <x:c r="H57" s="58" t="str">
        <x:v>—</x:v>
      </x:c>
      <x:c r="I57" s="58" t="str">
        <x:v>成熟通用</x:v>
      </x:c>
      <x:c r="J57" s="58" t="str">
        <x:v>封装Display/Media扩展，不建立DataElement总基类</x:v>
      </x:c>
      <x:c r="K57" s="58" t="str">
        <x:v>https://github.com/micjahn/ZXing.Net</x:v>
      </x:c>
    </x:row>
    <x:row r="58">
      <x:c r="A58" s="66" t="str">
        <x:v>表达式引擎</x:v>
      </x:c>
      <x:c r="B58" s="66" t="str">
        <x:v>不直接选第三方</x:v>
      </x:c>
      <x:c r="C58" s="66" t="str">
        <x:v>自研受限DSL</x:v>
      </x:c>
      <x:c r="D58" s="66" t="str">
        <x:v>第一阶段不引入</x:v>
      </x:c>
      <x:c r="E58" s="66" t="str">
        <x:v>ExpressionBinding</x:v>
      </x:c>
      <x:c r="F58" s="66" t="str">
        <x:v>自研</x:v>
      </x:c>
      <x:c r="G58" s="66" t="str">
        <x:v>是</x:v>
      </x:c>
      <x:c r="H58" s="66" t="str">
        <x:v>—</x:v>
      </x:c>
      <x:c r="I58" s="66" t="str">
        <x:v>工业组态要求可控、安全、可诊断</x:v>
      </x:c>
      <x:c r="J58" s="66" t="str">
        <x:v>禁止直接执行任意C#；以后引库必须安全审查</x:v>
      </x:c>
      <x:c r="K58" s="66"/>
    </x:row>
    <x:row r="59">
      <x:c r="A59" s="58" t="str">
        <x:v>PropertyGrid</x:v>
      </x:c>
      <x:c r="B59" s="58" t="str">
        <x:v>不选第三方</x:v>
      </x:c>
      <x:c r="C59" s="58" t="str">
        <x:v>自研元数据面板</x:v>
      </x:c>
      <x:c r="D59" s="58" t="str">
        <x:v>不引入</x:v>
      </x:c>
      <x:c r="E59" s="58" t="str">
        <x:v>属性分类/编辑/绑定入口</x:v>
      </x:c>
      <x:c r="F59" s="58" t="str">
        <x:v>自研</x:v>
      </x:c>
      <x:c r="G59" s="58" t="str">
        <x:v>是</x:v>
      </x:c>
      <x:c r="H59" s="58" t="str">
        <x:v>—</x:v>
      </x:c>
      <x:c r="I59" s="58" t="str">
        <x:v>普通PropertyGrid难满足fx绑定、Tag、动态属性、Component参数</x:v>
      </x:c>
      <x:c r="J59" s="58" t="str">
        <x:v>普通PropertyGrid难满足fx绑定、Tag、动态属性、Symbol公开属性</x:v>
      </x:c>
      <x:c r="K59" s="58"/>
    </x:row>
    <x:row r="60">
      <x:c r="A60" s="66" t="str">
        <x:v>绘图/Diagram库</x:v>
      </x:c>
      <x:c r="B60" s="66" t="str">
        <x:v>不选第三方</x:v>
      </x:c>
      <x:c r="C60" s="66" t="str">
        <x:v>自研</x:v>
      </x:c>
      <x:c r="D60" s="66" t="str">
        <x:v>不引入</x:v>
      </x:c>
      <x:c r="E60" s="66" t="str">
        <x:v>Shape/Selection/Undo/Scene</x:v>
      </x:c>
      <x:c r="F60" s="66" t="str">
        <x:v>自研</x:v>
      </x:c>
      <x:c r="G60" s="66" t="str">
        <x:v>是</x:v>
      </x:c>
      <x:c r="H60" s="66" t="str">
        <x:v>—</x:v>
      </x:c>
      <x:c r="I60" s="66" t="str">
        <x:v>核心差异化能力，第三方容易限制SVG/PLC/工程格式</x:v>
      </x:c>
      <x:c r="J60" s="66" t="str">
        <x:v>禁止让Diagram库成为项目模型</x:v>
      </x:c>
      <x:c r="K60" s="66"/>
    </x:row>
    <x:row r="61">
      <x:c r="A61"/>
      <x:c r="B61"/>
      <x:c r="C61"/>
      <x:c r="D61"/>
      <x:c r="E61"/>
      <x:c r="F61"/>
      <x:c r="G61"/>
      <x:c r="H61"/>
      <x:c r="I61"/>
      <x:c r="J61"/>
      <x:c r="K61"/>
    </x:row>
    <x:row r="62">
      <x:c r="A62"/>
      <x:c r="B62"/>
      <x:c r="C62"/>
      <x:c r="D62"/>
      <x:c r="E62"/>
      <x:c r="F62"/>
      <x:c r="G62"/>
      <x:c r="H62"/>
      <x:c r="I62"/>
      <x:c r="J62"/>
      <x:c r="K62"/>
    </x:row>
    <x:row r="63" ht="24" customHeight="1">
      <x:c r="A63" s="40" t="str">
        <x:v>C. 模块依赖规则</x:v>
      </x:c>
      <x:c r="B63" s="40"/>
      <x:c r="C63" s="40"/>
      <x:c r="D63" s="40"/>
      <x:c r="E63" s="40"/>
      <x:c r="F63" s="40"/>
      <x:c r="G63" s="40"/>
      <x:c r="H63" s="40"/>
      <x:c r="I63" s="40"/>
      <x:c r="J63" s="40"/>
      <x:c r="K63" s="40"/>
    </x:row>
    <x:row r="64" ht="28" customHeight="1">
      <x:c r="A64" s="50" t="str">
        <x:v>上层/模块</x:v>
      </x:c>
      <x:c r="B64" s="50" t="str">
        <x:v>允许引用</x:v>
      </x:c>
      <x:c r="C64" s="50" t="str">
        <x:v>禁止引用</x:v>
      </x:c>
      <x:c r="D64" s="50" t="str">
        <x:v>为什么</x:v>
      </x:c>
      <x:c r="E64" s="50" t="str">
        <x:v>验证方式</x:v>
      </x:c>
      <x:c r="F64" s="50" t="str">
        <x:v>例外处理</x:v>
      </x:c>
      <x:c r="G64" s="50" t="str">
        <x:v>备注</x:v>
      </x:c>
      <x:c r="H64" s="50"/>
      <x:c r="I64" s="50"/>
      <x:c r="J64" s="50"/>
      <x:c r="K64" s="50"/>
    </x:row>
    <x:row r="65">
      <x:c r="A65" s="58" t="str">
        <x:v>D01</x:v>
      </x:c>
      <x:c r="B65" s="58" t="str">
        <x:v>CxVisual.Common</x:v>
      </x:c>
      <x:c r="C65" s="58" t="str">
        <x:v>BCL</x:v>
      </x:c>
      <x:c r="D65" s="58" t="str">
        <x:v>所有业务/视觉/通信模块</x:v>
      </x:c>
      <x:c r="E65" s="58" t="str">
        <x:v>保证真正公共、纯函数</x:v>
      </x:c>
      <x:c r="F65" s="58" t="str">
        <x:v>项目引用白名单</x:v>
      </x:c>
      <x:c r="G65" s="58" t="str">
        <x:v>Common 引用 WPF</x:v>
      </x:c>
      <x:c r="H65" s="58"/>
      <x:c r="I65" s="58"/>
      <x:c r="J65" s="58"/>
      <x:c r="K65" s="58"/>
    </x:row>
    <x:row r="66">
      <x:c r="A66" s="66" t="str">
        <x:v>D02</x:v>
      </x:c>
      <x:c r="B66" s="66" t="str">
        <x:v>CxVisual.Abstractions</x:v>
      </x:c>
      <x:c r="C66" s="66" t="str">
        <x:v>Common/BCL</x:v>
      </x:c>
      <x:c r="D66" s="66" t="str">
        <x:v>WPF、具体PLC SDK、具体数据库</x:v>
      </x:c>
      <x:c r="E66" s="66" t="str">
        <x:v>跨边界契约稳定</x:v>
      </x:c>
      <x:c r="F66" s="66" t="str">
        <x:v>Reference test</x:v>
      </x:c>
      <x:c r="G66" s="66" t="str">
        <x:v>IVariableProvider返回DependencyObject</x:v>
      </x:c>
      <x:c r="H66" s="66"/>
      <x:c r="I66" s="66"/>
      <x:c r="J66" s="66"/>
      <x:c r="K66" s="66"/>
    </x:row>
    <x:row r="67">
      <x:c r="A67" s="58" t="str">
        <x:v>D03</x:v>
      </x:c>
      <x:c r="B67" s="58" t="str">
        <x:v>CxVisual.Core</x:v>
      </x:c>
      <x:c r="C67" s="58" t="str">
        <x:v>Common, Abstractions</x:v>
      </x:c>
      <x:c r="D67" s="58" t="str">
        <x:v>WPF、WinForms、SharpVectors、ScottPlot、AvalonDock、具体PLC</x:v>
      </x:c>
      <x:c r="E67" s="58" t="str">
        <x:v>领域模型纯净</x:v>
      </x:c>
      <x:c r="F67" s="58" t="str">
        <x:v>单元测试加载程序集检查</x:v>
      </x:c>
      <x:c r="G67" s="58" t="str">
        <x:v>ElementModel含Brush类型</x:v>
      </x:c>
      <x:c r="H67" s="58"/>
      <x:c r="I67" s="58"/>
      <x:c r="J67" s="58"/>
      <x:c r="K67" s="58"/>
    </x:row>
    <x:row r="68">
      <x:c r="A68" s="66" t="str">
        <x:v>D04</x:v>
      </x:c>
      <x:c r="B68" s="66" t="str">
        <x:v>Commands</x:v>
      </x:c>
      <x:c r="C68" s="66" t="str">
        <x:v>Core</x:v>
      </x:c>
      <x:c r="D68" s="66" t="str">
        <x:v>Designer.Wpf</x:v>
      </x:c>
      <x:c r="E68" s="66" t="str">
        <x:v>Command可脱离UI测试</x:v>
      </x:c>
      <x:c r="F68" s="66" t="str">
        <x:v>依赖测试</x:v>
      </x:c>
      <x:c r="G68" s="66" t="str">
        <x:v>MoveCommand引用Canvas</x:v>
      </x:c>
      <x:c r="H68" s="66"/>
      <x:c r="I68" s="66"/>
      <x:c r="J68" s="66"/>
      <x:c r="K68" s="66"/>
    </x:row>
    <x:row r="69">
      <x:c r="A69" s="58" t="str">
        <x:v>D05</x:v>
      </x:c>
      <x:c r="B69" s="58" t="str">
        <x:v>Serialization</x:v>
      </x:c>
      <x:c r="C69" s="58" t="str">
        <x:v>Core, Newtonsoft.Json</x:v>
      </x:c>
      <x:c r="D69" s="58" t="str">
        <x:v>WPF视觉类型、具体Provider</x:v>
      </x:c>
      <x:c r="E69" s="58" t="str">
        <x:v>格式与UI无关</x:v>
      </x:c>
      <x:c r="F69" s="58" t="str">
        <x:v>RoundTrip测试</x:v>
      </x:c>
      <x:c r="G69" s="58" t="str">
        <x:v>JsonConverter直接new Button</x:v>
      </x:c>
      <x:c r="H69" s="58"/>
      <x:c r="I69" s="58"/>
      <x:c r="J69" s="58"/>
      <x:c r="K69" s="58"/>
    </x:row>
    <x:row r="70">
      <x:c r="A70" s="66" t="str">
        <x:v>D06</x:v>
      </x:c>
      <x:c r="B70" s="66" t="str">
        <x:v>Rendering.Wpf</x:v>
      </x:c>
      <x:c r="C70" s="66" t="str">
        <x:v>Core</x:v>
      </x:c>
      <x:c r="D70" s="66" t="str">
        <x:v>Designer业务状态、PLC</x:v>
      </x:c>
      <x:c r="E70" s="66" t="str">
        <x:v>渲染只关心模型/RenderContext</x:v>
      </x:c>
      <x:c r="F70" s="66" t="str">
        <x:v>接口审查</x:v>
      </x:c>
      <x:c r="G70" s="66" t="str">
        <x:v>Renderer读取PLC</x:v>
      </x:c>
      <x:c r="H70" s="66"/>
      <x:c r="I70" s="66"/>
      <x:c r="J70" s="66"/>
      <x:c r="K70" s="66"/>
    </x:row>
    <x:row r="71">
      <x:c r="A71" s="58" t="str">
        <x:v>D07</x:v>
      </x:c>
      <x:c r="B71" s="58" t="str">
        <x:v>Designer.Application</x:v>
      </x:c>
      <x:c r="C71" s="58" t="str">
        <x:v>Core, Commands, Abstractions</x:v>
      </x:c>
      <x:c r="D71" s="58" t="str">
        <x:v>具体WPF控件、具体PLC</x:v>
      </x:c>
      <x:c r="E71" s="58" t="str">
        <x:v>用例可测试</x:v>
      </x:c>
      <x:c r="F71" s="58" t="str">
        <x:v>Presenter/ViewModel边界</x:v>
      </x:c>
      <x:c r="G71" s="58" t="str">
        <x:v>SelectionService持有Canvas</x:v>
      </x:c>
      <x:c r="H71" s="58"/>
      <x:c r="I71" s="58"/>
      <x:c r="J71" s="58"/>
      <x:c r="K71" s="58"/>
    </x:row>
    <x:row r="72">
      <x:c r="A72" s="66" t="str">
        <x:v>D08</x:v>
      </x:c>
      <x:c r="B72" s="66" t="str">
        <x:v>Designer.Wpf</x:v>
      </x:c>
      <x:c r="C72" s="66" t="str">
        <x:v>Designer.Application, Rendering.Wpf, UI外围库</x:v>
      </x:c>
      <x:c r="D72" s="66" t="str">
        <x:v>具体PLC SDK</x:v>
      </x:c>
      <x:c r="E72" s="66" t="str">
        <x:v>UI通过Provider/Service接入</x:v>
      </x:c>
      <x:c r="F72" s="66" t="str">
        <x:v>Code review</x:v>
      </x:c>
      <x:c r="G72" s="66" t="str">
        <x:v>TagBrowser直接调用PLC对象</x:v>
      </x:c>
      <x:c r="H72" s="66"/>
      <x:c r="I72" s="66"/>
      <x:c r="J72" s="66"/>
      <x:c r="K72" s="66"/>
    </x:row>
    <x:row r="73">
      <x:c r="A73" s="58" t="str">
        <x:v>D09</x:v>
      </x:c>
      <x:c r="B73" s="58" t="str">
        <x:v>Runtime.Core</x:v>
      </x:c>
      <x:c r="C73" s="58" t="str">
        <x:v>Core, Abstractions</x:v>
      </x:c>
      <x:c r="D73" s="58" t="str">
        <x:v>WPF、Designer</x:v>
      </x:c>
      <x:c r="E73" s="58" t="str">
        <x:v>一套运行语义可被不同Host复用</x:v>
      </x:c>
      <x:c r="F73" s="58" t="str">
        <x:v>Runtime headless tests</x:v>
      </x:c>
      <x:c r="G73" s="58" t="str">
        <x:v>BindingEngine持有DispatcherObject</x:v>
      </x:c>
      <x:c r="H73" s="58"/>
      <x:c r="I73" s="58"/>
      <x:c r="J73" s="58"/>
      <x:c r="K73" s="58"/>
    </x:row>
    <x:row r="74">
      <x:c r="A74" s="66" t="str">
        <x:v>D10</x:v>
      </x:c>
      <x:c r="B74" s="66" t="str">
        <x:v>Runtime.Wpf</x:v>
      </x:c>
      <x:c r="C74" s="66" t="str">
        <x:v>Runtime.Core, Rendering.Wpf</x:v>
      </x:c>
      <x:c r="D74" s="66" t="str">
        <x:v>Designer</x:v>
      </x:c>
      <x:c r="E74" s="66" t="str">
        <x:v>运行与编辑隔离</x:v>
      </x:c>
      <x:c r="F74" s="66" t="str">
        <x:v>引用检查</x:v>
      </x:c>
      <x:c r="G74" s="66" t="str">
        <x:v>RuntimeView引用SelectionManager</x:v>
      </x:c>
      <x:c r="H74" s="66"/>
      <x:c r="I74" s="66"/>
      <x:c r="J74" s="66"/>
      <x:c r="K74" s="66"/>
    </x:row>
    <x:row r="75">
      <x:c r="A75" s="58" t="str">
        <x:v>D11</x:v>
      </x:c>
      <x:c r="B75" s="58" t="str">
        <x:v>WinFormsHost</x:v>
      </x:c>
      <x:c r="C75" s="58" t="str">
        <x:v>Runtime.Wpf/Designer.Wpf的公开Host控件</x:v>
      </x:c>
      <x:c r="D75" s="58" t="str">
        <x:v>Core内部实现/第三方Adapter细节</x:v>
      </x:c>
      <x:c r="E75" s="58" t="str">
        <x:v>现有主程序只面对稳定Facade</x:v>
      </x:c>
      <x:c r="F75" s="58" t="str">
        <x:v>Public API review</x:v>
      </x:c>
      <x:c r="G75" s="58" t="str">
        <x:v>MainForm直接new BindingEngine</x:v>
      </x:c>
      <x:c r="H75" s="58"/>
      <x:c r="I75" s="58"/>
      <x:c r="J75" s="58"/>
      <x:c r="K75" s="58"/>
    </x:row>
    <x:row r="76">
      <x:c r="A76" s="66" t="str">
        <x:v>D12</x:v>
      </x:c>
      <x:c r="B76" s="66" t="str">
        <x:v>Integration</x:v>
      </x:c>
      <x:c r="C76" s="66" t="str">
        <x:v>Abstractions + 现有SDK</x:v>
      </x:c>
      <x:c r="D76" s="66" t="str">
        <x:v>Designer/Renderer</x:v>
      </x:c>
      <x:c r="E76" s="66" t="str">
        <x:v>反腐层保护平台</x:v>
      </x:c>
      <x:c r="F76" s="66" t="str">
        <x:v>Adapter contract tests</x:v>
      </x:c>
      <x:c r="G76" s="66" t="str">
        <x:v>Core引用现有PLC SDK</x:v>
      </x:c>
      <x:c r="H76" s="66"/>
      <x:c r="I76" s="66"/>
      <x:c r="J76" s="66"/>
      <x:c r="K76" s="66"/>
    </x:row>
    <x:row r="77">
      <x:c r="A77" s="58" t="str">
        <x:v>D13</x:v>
      </x:c>
      <x:c r="B77" s="58" t="str">
        <x:v>Plugins</x:v>
      </x:c>
      <x:c r="C77" s="58" t="str">
        <x:v>PluginSdk稳定契约</x:v>
      </x:c>
      <x:c r="D77" s="58" t="str">
        <x:v>内部非公开程序集</x:v>
      </x:c>
      <x:c r="E77" s="58" t="str">
        <x:v>防插件耦合内部实现</x:v>
      </x:c>
      <x:c r="F77" s="58" t="str">
        <x:v>API version analyzer</x:v>
      </x:c>
      <x:c r="G77" s="58" t="str">
        <x:v>插件引用Designer私有类</x:v>
      </x:c>
      <x:c r="H77" s="58"/>
      <x:c r="I77" s="58"/>
      <x:c r="J77" s="58"/>
      <x:c r="K77" s="58"/>
    </x:row>
    <x:row r="78">
      <x:c r="A78" s="66" t="str">
        <x:v>D14</x:v>
      </x:c>
      <x:c r="B78" s="66" t="str">
        <x:v>Security/Audit</x:v>
      </x:c>
      <x:c r="C78" s="66" t="str">
        <x:v>Core contracts/Abstractions</x:v>
      </x:c>
      <x:c r="D78" s="66" t="str">
        <x:v>具体View</x:v>
      </x:c>
      <x:c r="E78" s="66" t="str">
        <x:v>安全规则对所有入口一致</x:v>
      </x:c>
      <x:c r="F78" s="66" t="str">
        <x:v>安全测试</x:v>
      </x:c>
      <x:c r="G78" s="66" t="str">
        <x:v>Button自行判断管理员字符串</x:v>
      </x:c>
      <x:c r="H78" s="66"/>
      <x:c r="I78" s="66"/>
      <x:c r="J78" s="66"/>
      <x:c r="K78" s="66"/>
    </x:row>
    <x:row r="79">
      <x:c r="A79" s="58" t="str">
        <x:v>D15</x:v>
      </x:c>
      <x:c r="B79" s="58" t="str">
        <x:v>Publish/Deployment</x:v>
      </x:c>
      <x:c r="C79" s="58" t="str">
        <x:v>Serialization/Package/Security</x:v>
      </x:c>
      <x:c r="D79" s="58" t="str">
        <x:v>Designer UI状态</x:v>
      </x:c>
      <x:c r="E79" s="58" t="str">
        <x:v>发布基于工程快照而非打开窗口</x:v>
      </x:c>
      <x:c r="F79" s="58" t="str">
        <x:v>Snapshot tests</x:v>
      </x:c>
      <x:c r="G79" s="58" t="str">
        <x:v>发布读取SelectionState</x:v>
      </x:c>
      <x:c r="H79" s="58"/>
      <x:c r="I79" s="58"/>
      <x:c r="J79" s="58"/>
      <x:c r="K79" s="58"/>
    </x:row>
    <x:row r="80">
      <x:c r="A80" s="66" t="str">
        <x:v>D16</x:v>
      </x:c>
      <x:c r="B80" s="66" t="str">
        <x:v>静态类</x:v>
      </x:c>
      <x:c r="C80" s="66" t="str">
        <x:v>仅纯计算/常量/无外部可变状态</x:v>
      </x:c>
      <x:c r="D80" s="66" t="str">
        <x:v>项目Current/Provider/Cache/Dispatcher</x:v>
      </x:c>
      <x:c r="E80" s="66" t="str">
        <x:v>避免全局状态和测试污染</x:v>
      </x:c>
      <x:c r="F80" s="66" t="str">
        <x:v>静态清单审查</x:v>
      </x:c>
      <x:c r="G80" s="66" t="str">
        <x:v>Static CurrentProject</x:v>
      </x:c>
      <x:c r="H80" s="66"/>
      <x:c r="I80" s="66"/>
      <x:c r="J80" s="66"/>
      <x:c r="K80" s="66"/>
    </x:row>
    <x:row r="81">
      <x:c r="A81" s="58" t="str">
        <x:v>D17</x:v>
      </x:c>
      <x:c r="B81" s="58" t="str">
        <x:v>实例服务</x:v>
      </x:c>
      <x:c r="C81" s="58" t="str">
        <x:v>允许持有明确生命周期状态</x:v>
      </x:c>
      <x:c r="D81" s="58" t="str">
        <x:v>无边界全局Singleton</x:v>
      </x:c>
      <x:c r="E81" s="58" t="str">
        <x:v>便于释放订阅/资源</x:v>
      </x:c>
      <x:c r="F81" s="58" t="str">
        <x:v>IDisposable检查</x:v>
      </x:c>
      <x:c r="G81" s="58" t="str">
        <x:v>Static VariableEngine</x:v>
      </x:c>
      <x:c r="H81" s="58"/>
      <x:c r="I81" s="58"/>
      <x:c r="J81" s="58"/>
      <x:c r="K81" s="58"/>
    </x:row>
    <x:row r="82">
      <x:c r="A82" s="66" t="str">
        <x:v>D18</x:v>
      </x:c>
      <x:c r="B82" s="66" t="str">
        <x:v>UI线程</x:v>
      </x:c>
      <x:c r="C82" s="66" t="str">
        <x:v>仅Render/Control更新</x:v>
      </x:c>
      <x:c r="D82" s="66" t="str">
        <x:v>通信/历史/SVG大解析/大量Expression计算</x:v>
      </x:c>
      <x:c r="E82" s="66" t="str">
        <x:v>保证响应性</x:v>
      </x:c>
      <x:c r="F82" s="66" t="str">
        <x:v>线程断言/性能测试</x:v>
      </x:c>
      <x:c r="G82" s="66" t="str">
        <x:v>Provider callback直接SetValue</x:v>
      </x:c>
      <x:c r="H82" s="66"/>
      <x:c r="I82" s="66"/>
      <x:c r="J82" s="66"/>
      <x:c r="K82" s="66"/>
    </x:row>
    <x:row r="83">
      <x:c r="A83" s="58" t="str">
        <x:v>D19</x:v>
      </x:c>
      <x:c r="B83" s="58" t="str">
        <x:v>程序集发布</x:v>
      </x:c>
      <x:c r="C83" s="58" t="str">
        <x:v>内部库版本由Host统一锁定</x:v>
      </x:c>
      <x:c r="D83" s="58" t="str">
        <x:v>不同目录多版本同名DLL</x:v>
      </x:c>
      <x:c r="E83" s="58" t="str">
        <x:v>避免net48绑定冲突</x:v>
      </x:c>
      <x:c r="F83" s="58" t="str">
        <x:v>发布清单+bindingRedirect审查</x:v>
      </x:c>
      <x:c r="G83" s="58" t="str">
        <x:v>Plugin各带Newtonsoft不同版本</x:v>
      </x:c>
      <x:c r="H83" s="58"/>
      <x:c r="I83" s="58"/>
      <x:c r="J83" s="58"/>
      <x:c r="K83" s="58"/>
    </x:row>
    <x:row r="84">
      <x:c r="A84"/>
      <x:c r="B84"/>
      <x:c r="C84"/>
      <x:c r="D84"/>
      <x:c r="E84"/>
      <x:c r="F84"/>
      <x:c r="G84"/>
      <x:c r="H84"/>
      <x:c r="I84"/>
      <x:c r="J84"/>
      <x:c r="K84"/>
    </x:row>
    <x:row r="85">
      <x:c r="A85"/>
      <x:c r="B85"/>
      <x:c r="C85"/>
      <x:c r="D85"/>
      <x:c r="E85"/>
      <x:c r="F85"/>
      <x:c r="G85"/>
      <x:c r="H85"/>
      <x:c r="I85"/>
      <x:c r="J85"/>
      <x:c r="K85"/>
    </x:row>
    <x:row r="86" ht="24" customHeight="1">
      <x:c r="A86" s="40" t="str">
        <x:v>D. 外部系统反腐层（ACL / Adapter）</x:v>
      </x:c>
      <x:c r="B86" s="40"/>
      <x:c r="C86" s="40"/>
      <x:c r="D86" s="40"/>
      <x:c r="E86" s="40"/>
      <x:c r="F86" s="40"/>
      <x:c r="G86" s="40"/>
      <x:c r="H86" s="40"/>
      <x:c r="I86" s="40"/>
      <x:c r="J86" s="40"/>
      <x:c r="K86" s="40"/>
    </x:row>
    <x:row r="87" ht="28" customHeight="1">
      <x:c r="A87" s="50" t="str">
        <x:v>外部系统</x:v>
      </x:c>
      <x:c r="B87" s="50" t="str">
        <x:v>所在项目</x:v>
      </x:c>
      <x:c r="C87" s="50" t="str">
        <x:v>对内契约</x:v>
      </x:c>
      <x:c r="D87" s="50" t="str">
        <x:v>边界规则</x:v>
      </x:c>
      <x:c r="E87" s="50" t="str">
        <x:v>主要职责</x:v>
      </x:c>
      <x:c r="F87" s="50" t="str">
        <x:v>禁止事项</x:v>
      </x:c>
      <x:c r="G87" s="50"/>
      <x:c r="H87" s="50"/>
      <x:c r="I87" s="50"/>
      <x:c r="J87" s="50"/>
      <x:c r="K87" s="50"/>
    </x:row>
    <x:row r="88">
      <x:c r="A88" s="66" t="str">
        <x:v>现有变量池/PLC/点表</x:v>
      </x:c>
      <x:c r="B88" s="66" t="str">
        <x:v>CxVisual.Integration</x:v>
      </x:c>
      <x:c r="C88" s="66" t="str">
        <x:v>IVariableProvider / IVariableSubscription</x:v>
      </x:c>
      <x:c r="D88" s="66" t="str">
        <x:v>Runtime.Core只看抽象</x:v>
      </x:c>
      <x:c r="E88" s="66" t="str">
        <x:v>连接、订阅、重连、质量、写入</x:v>
      </x:c>
      <x:c r="F88" s="66" t="str">
        <x:v>禁止Designer/Core直接引用PLC SDK</x:v>
      </x:c>
      <x:c r="G88" s="66"/>
      <x:c r="H88" s="66"/>
      <x:c r="I88" s="66"/>
      <x:c r="J88" s="66"/>
      <x:c r="K88" s="66"/>
    </x:row>
    <x:row r="89">
      <x:c r="A89" s="58" t="str">
        <x:v>现有WinForms主程序</x:v>
      </x:c>
      <x:c r="B89" s="58" t="str">
        <x:v>CxVisual.WinFormsHost + Integration</x:v>
      </x:c>
      <x:c r="C89" s="58" t="str">
        <x:v>IHostContext / IHostActionGateway</x:v>
      </x:c>
      <x:c r="D89" s="58" t="str">
        <x:v>同进程ElementHost</x:v>
      </x:c>
      <x:c r="E89" s="58" t="str">
        <x:v>用户、业务动作、窗口生命周期</x:v>
      </x:c>
      <x:c r="F89" s="58" t="str">
        <x:v>禁止把MainForm传进Core</x:v>
      </x:c>
      <x:c r="G89" s="58"/>
      <x:c r="H89" s="58"/>
      <x:c r="I89" s="58"/>
      <x:c r="J89" s="58"/>
      <x:c r="K89" s="58"/>
    </x:row>
    <x:row r="90">
      <x:c r="A90" s="66" t="str">
        <x:v>公司日志系统</x:v>
      </x:c>
      <x:c r="B90" s="66" t="str">
        <x:v>Logging Adapter</x:v>
      </x:c>
      <x:c r="C90" s="66" t="str">
        <x:v>ILoggerEx</x:v>
      </x:c>
      <x:c r="D90" s="66" t="str">
        <x:v>Core只依赖ILoggerEx</x:v>
      </x:c>
      <x:c r="E90" s="66" t="str">
        <x:v>结构化日志/EventId</x:v>
      </x:c>
      <x:c r="F90" s="66" t="str">
        <x:v>边界可用静态Facade，Core不依赖</x:v>
      </x:c>
      <x:c r="G90" s="66"/>
      <x:c r="H90" s="66"/>
      <x:c r="I90" s="66"/>
      <x:c r="J90" s="66"/>
      <x:c r="K90" s="66"/>
    </x:row>
    <x:row r="91">
      <x:c r="A91" s="58" t="str">
        <x:v>用户/权限系统</x:v>
      </x:c>
      <x:c r="B91" s="58" t="str">
        <x:v>Security Adapter</x:v>
      </x:c>
      <x:c r="C91" s="58" t="str">
        <x:v>IUserContext / IAuthorizationService</x:v>
      </x:c>
      <x:c r="D91" s="58" t="str">
        <x:v>宿主身份映射</x:v>
      </x:c>
      <x:c r="E91" s="58" t="str">
        <x:v>权限、会话、确认</x:v>
      </x:c>
      <x:c r="F91" s="58" t="str">
        <x:v>CurrentUser不得static</x:v>
      </x:c>
      <x:c r="G91" s="58"/>
      <x:c r="H91" s="58"/>
      <x:c r="I91" s="58"/>
      <x:c r="J91" s="58"/>
      <x:c r="K91" s="58"/>
    </x:row>
    <x:row r="92">
      <x:c r="A92" s="66" t="str">
        <x:v>历史数据库/时序库</x:v>
      </x:c>
      <x:c r="B92" s="66" t="str">
        <x:v>History Adapter</x:v>
      </x:c>
      <x:c r="C92" s="66" t="str">
        <x:v>IHistoryStore</x:v>
      </x:c>
      <x:c r="D92" s="66" t="str">
        <x:v>Chart/Runtime不直连DB</x:v>
      </x:c>
      <x:c r="E92" s="66" t="str">
        <x:v>写入/查询/聚合</x:v>
      </x:c>
      <x:c r="F92" s="66" t="str">
        <x:v>存储可替换</x:v>
      </x:c>
      <x:c r="G92" s="66"/>
      <x:c r="H92" s="66"/>
      <x:c r="I92" s="66"/>
      <x:c r="J92" s="66"/>
      <x:c r="K92" s="66"/>
    </x:row>
    <x:row r="93">
      <x:c r="A93" s="58" t="str">
        <x:v>报表/PDF/Excel库</x:v>
      </x:c>
      <x:c r="B93" s="58" t="str">
        <x:v>Reports Adapter</x:v>
      </x:c>
      <x:c r="C93" s="58" t="str">
        <x:v>IReportExporter</x:v>
      </x:c>
      <x:c r="D93" s="58" t="str">
        <x:v>模板/任务与库隔离</x:v>
      </x:c>
      <x:c r="E93" s="58" t="str">
        <x:v>后台导出</x:v>
      </x:c>
      <x:c r="F93" s="58" t="str">
        <x:v>库对象不得进入Project Schema</x:v>
      </x:c>
      <x:c r="G93" s="58"/>
      <x:c r="H93" s="58"/>
      <x:c r="I93" s="58"/>
      <x:c r="J93" s="58"/>
      <x:c r="K93" s="58"/>
    </x:row>
    <x:row r="94">
      <x:c r="A94"/>
      <x:c r="B94"/>
      <x:c r="C94"/>
      <x:c r="D94"/>
      <x:c r="E94"/>
      <x:c r="F94"/>
      <x:c r="G94"/>
      <x:c r="H94"/>
      <x:c r="I94"/>
      <x:c r="J94"/>
      <x:c r="K94"/>
    </x:row>
    <x:row r="95">
      <x:c r="A95"/>
      <x:c r="B95"/>
      <x:c r="C95"/>
      <x:c r="D95"/>
      <x:c r="E95"/>
      <x:c r="F95"/>
      <x:c r="G95"/>
      <x:c r="H95"/>
      <x:c r="I95"/>
      <x:c r="J95"/>
      <x:c r="K95"/>
    </x:row>
    <x:row r="96" ht="24" customHeight="1">
      <x:c r="A96" s="40" t="str">
        <x:v>D. 平台执行域逻辑模块 / 物理项目建议</x:v>
      </x:c>
      <x:c r="B96" s="40"/>
      <x:c r="C96" s="40"/>
      <x:c r="D96" s="40"/>
      <x:c r="E96" s="40"/>
      <x:c r="F96" s="40"/>
      <x:c r="G96" s="40"/>
      <x:c r="H96" s="40"/>
      <x:c r="I96" s="40"/>
      <x:c r="J96" s="40"/>
      <x:c r="K96" s="40"/>
    </x:row>
    <x:row r="97" ht="28" customHeight="1">
      <x:c r="A97" s="50" t="str">
        <x:v>层级</x:v>
      </x:c>
      <x:c r="B97" s="50" t="str">
        <x:v>建议程序集</x:v>
      </x:c>
      <x:c r="C97" s="50" t="str">
        <x:v>目标框架</x:v>
      </x:c>
      <x:c r="D97" s="50" t="str">
        <x:v>阶段</x:v>
      </x:c>
      <x:c r="E97" s="50" t="str">
        <x:v>职责</x:v>
      </x:c>
      <x:c r="F97" s="50" t="str">
        <x:v>关键目录/对象</x:v>
      </x:c>
      <x:c r="G97" s="50" t="str">
        <x:v>允许依赖</x:v>
      </x:c>
      <x:c r="H97" s="50" t="str">
        <x:v>物理拆分建议</x:v>
      </x:c>
      <x:c r="I97" s="50" t="str">
        <x:v>运行位置</x:v>
      </x:c>
      <x:c r="J97" s="50" t="str">
        <x:v>风险/说明</x:v>
      </x:c>
      <x:c r="K97" s="50" t="str">
        <x:v>门禁</x:v>
      </x:c>
    </x:row>
    <x:row r="98">
      <x:c r="A98" s="66" t="str">
        <x:v>Graph</x:v>
      </x:c>
      <x:c r="B98" s="66" t="str">
        <x:v>CxVisual.Platform / Graph</x:v>
      </x:c>
      <x:c r="C98" s="66" t="str">
        <x:v>net48</x:v>
      </x:c>
      <x:c r="D98" s="66" t="str">
        <x:v>M3</x:v>
      </x:c>
      <x:c r="E98" s="66" t="str">
        <x:v>GraphDefinition/Node/Port/Connection/Descriptors/Validation contracts</x:v>
      </x:c>
      <x:c r="F98" s="66" t="str">
        <x:v>Models/; Metadata/; Validation/</x:v>
      </x:c>
      <x:c r="G98" s="66" t="str">
        <x:v>Common, Abstractions, Core</x:v>
      </x:c>
      <x:c r="H98" s="66" t="str">
        <x:v>建议独立，长期稳定</x:v>
      </x:c>
      <x:c r="I98" s="66" t="str">
        <x:v>Studio+Runtime</x:v>
      </x:c>
      <x:c r="J98" s="66" t="str">
        <x:v>不得包含Domain执行语义</x:v>
      </x:c>
      <x:c r="K98" s="66" t="str">
        <x:v>Core purity</x:v>
      </x:c>
    </x:row>
    <x:row r="99">
      <x:c r="A99" s="58" t="str">
        <x:v>Graph</x:v>
      </x:c>
      <x:c r="B99" s="58" t="str">
        <x:v>CxVisual.Platform / Graph</x:v>
      </x:c>
      <x:c r="C99" s="58" t="str">
        <x:v>net48</x:v>
      </x:c>
      <x:c r="D99" s="58" t="str">
        <x:v>M3</x:v>
      </x:c>
      <x:c r="E99" s="58" t="str">
        <x:v>Graph Designer用例：选择、连线、索引、Command编排</x:v>
      </x:c>
      <x:c r="F99" s="58" t="str">
        <x:v>Commands/; Services/; Index/</x:v>
      </x:c>
      <x:c r="G99" s="58" t="str">
        <x:v>Graph.Core, Commands</x:v>
      </x:c>
      <x:c r="H99" s="58" t="str">
        <x:v>可独立</x:v>
      </x:c>
      <x:c r="I99" s="58" t="str">
        <x:v>Studio</x:v>
      </x:c>
      <x:c r="J99" s="58" t="str">
        <x:v>不引用Motion/Vision内部</x:v>
      </x:c>
      <x:c r="K99" s="58" t="str">
        <x:v>Dependency test</x:v>
      </x:c>
    </x:row>
    <x:row r="100">
      <x:c r="A100" s="66" t="str">
        <x:v>Graph</x:v>
      </x:c>
      <x:c r="B100" s="66" t="str">
        <x:v>各 Workbench 专业 Runtime（Platform Graph 仅提供基础机制）</x:v>
      </x:c>
      <x:c r="C100" s="66" t="str">
        <x:v>net48</x:v>
      </x:c>
      <x:c r="D100" s="66" t="str">
        <x:v>M3</x:v>
      </x:c>
      <x:c r="E100" s="66" t="str">
        <x:v>CompilerRegistry/ExecutionPlan/GraphSession基础契约</x:v>
      </x:c>
      <x:c r="F100" s="66" t="str">
        <x:v>Compiler/; Plans/; Sessions/</x:v>
      </x:c>
      <x:c r="G100" s="66" t="str">
        <x:v>Graph.Core, Runtime.Core</x:v>
      </x:c>
      <x:c r="H100" s="66" t="str">
        <x:v>建议独立</x:v>
      </x:c>
      <x:c r="I100" s="66" t="str">
        <x:v>Runtime</x:v>
      </x:c>
      <x:c r="J100" s="66" t="str">
        <x:v>不做万能Node执行器</x:v>
      </x:c>
      <x:c r="K100" s="66" t="str">
        <x:v>Architecture test</x:v>
      </x:c>
    </x:row>
    <x:row r="101">
      <x:c r="A101" s="58" t="str">
        <x:v>Debug</x:v>
      </x:c>
      <x:c r="B101" s="58" t="str">
        <x:v>CxVisual.Debugging</x:v>
      </x:c>
      <x:c r="C101" s="58" t="str">
        <x:v>net48</x:v>
      </x:c>
      <x:c r="D101" s="58" t="str">
        <x:v>M3</x:v>
      </x:c>
      <x:c r="E101" s="58" t="str">
        <x:v>DebugSession/Breakpoint/Watch/Trace/Timeline/Replay contracts</x:v>
      </x:c>
      <x:c r="F101" s="58" t="str">
        <x:v>Sessions/; Trace/; Replay/</x:v>
      </x:c>
      <x:c r="G101" s="58" t="str">
        <x:v>Abstractions, Core, Graph.Core</x:v>
      </x:c>
      <x:c r="H101" s="58" t="str">
        <x:v>可先与Runtime同程序集后拆</x:v>
      </x:c>
      <x:c r="I101" s="58" t="str">
        <x:v>Studio+Runtime</x:v>
      </x:c>
      <x:c r="J101" s="58" t="str">
        <x:v>UI在Designer.Wpf</x:v>
      </x:c>
      <x:c r="K101" s="58" t="str">
        <x:v>Debug tests</x:v>
      </x:c>
    </x:row>
    <x:row r="102">
      <x:c r="A102" s="66" t="str">
        <x:v>Motion</x:v>
      </x:c>
      <x:c r="B102" s="66" t="str">
        <x:v>CxVisual.Automation / Motion</x:v>
      </x:c>
      <x:c r="C102" s="66" t="str">
        <x:v>net48</x:v>
      </x:c>
      <x:c r="D102" s="66" t="str">
        <x:v>M4</x:v>
      </x:c>
      <x:c r="E102" s="66" t="str">
        <x:v>MotionProgram/Axis/Coordinate/Node configs</x:v>
      </x:c>
      <x:c r="F102" s="66" t="str">
        <x:v>Models/; Nodes/; Metadata/</x:v>
      </x:c>
      <x:c r="G102" s="66" t="str">
        <x:v>Core, Graph.Core</x:v>
      </x:c>
      <x:c r="H102" s="66" t="str">
        <x:v>建议独立</x:v>
      </x:c>
      <x:c r="I102" s="66" t="str">
        <x:v>Studio+Runtime</x:v>
      </x:c>
      <x:c r="J102" s="66" t="str">
        <x:v>无Vendor SDK</x:v>
      </x:c>
      <x:c r="K102" s="66" t="str">
        <x:v>Dependency test</x:v>
      </x:c>
    </x:row>
    <x:row r="103">
      <x:c r="A103" s="58" t="str">
        <x:v>Motion</x:v>
      </x:c>
      <x:c r="B103" s="58" t="str">
        <x:v>CxVisual.Automation / Motion</x:v>
      </x:c>
      <x:c r="C103" s="58" t="str">
        <x:v>net48</x:v>
      </x:c>
      <x:c r="D103" s="58" t="str">
        <x:v>M4</x:v>
      </x:c>
      <x:c r="E103" s="58" t="str">
        <x:v>MotionCompiler/Runtime/Interlock/Resource policies</x:v>
      </x:c>
      <x:c r="F103" s="58" t="str">
        <x:v>Compiler/; Engine/; Debug/</x:v>
      </x:c>
      <x:c r="G103" s="58" t="str">
        <x:v>Motion.Core, Graph.Runtime, Runtime.Core</x:v>
      </x:c>
      <x:c r="H103" s="58" t="str">
        <x:v>建议独立</x:v>
      </x:c>
      <x:c r="I103" s="58" t="str">
        <x:v>Runtime</x:v>
      </x:c>
      <x:c r="J103" s="58" t="str">
        <x:v>软实时编排</x:v>
      </x:c>
      <x:c r="K103" s="58" t="str">
        <x:v>Integration tests</x:v>
      </x:c>
    </x:row>
    <x:row r="104">
      <x:c r="A104" s="66" t="str">
        <x:v>Motion</x:v>
      </x:c>
      <x:c r="B104" s="66" t="str">
        <x:v>CxVisual.Automation.Drivers / Motion</x:v>
      </x:c>
      <x:c r="C104" s="66" t="str">
        <x:v>net48</x:v>
      </x:c>
      <x:c r="D104" s="66" t="str">
        <x:v>M4</x:v>
      </x:c>
      <x:c r="E104" s="66" t="str">
        <x:v>运动控制器/IO/机器人设备Adapter</x:v>
      </x:c>
      <x:c r="F104" s="66" t="str">
        <x:v>Providers/; VendorAdapters/</x:v>
      </x:c>
      <x:c r="G104" s="66" t="str">
        <x:v>Motion.Core, Abstractions, Vendor SDK</x:v>
      </x:c>
      <x:c r="H104" s="66" t="str">
        <x:v>必须隔离Vendor依赖</x:v>
      </x:c>
      <x:c r="I104" s="66" t="str">
        <x:v>Runtime</x:v>
      </x:c>
      <x:c r="J104" s="66" t="str">
        <x:v>Vendor崩溃风险按需Worker化</x:v>
      </x:c>
      <x:c r="K104" s="66" t="str">
        <x:v>Contract tests</x:v>
      </x:c>
    </x:row>
    <x:row r="105">
      <x:c r="A105" s="58" t="str">
        <x:v>Vision</x:v>
      </x:c>
      <x:c r="B105" s="58" t="str">
        <x:v>CxVisual.Vision.Core</x:v>
      </x:c>
      <x:c r="C105" s="58" t="str">
        <x:v>net48</x:v>
      </x:c>
      <x:c r="D105" s="58" t="str">
        <x:v>M5</x:v>
      </x:c>
      <x:c r="E105" s="58" t="str">
        <x:v>VisionPipeline/Typed Ports/Data contracts/Algorithm descriptors</x:v>
      </x:c>
      <x:c r="F105" s="58" t="str">
        <x:v>Models/; DataTypes/; Metadata/</x:v>
      </x:c>
      <x:c r="G105" s="58" t="str">
        <x:v>Core, Graph.Core</x:v>
      </x:c>
      <x:c r="H105" s="58" t="str">
        <x:v>建议独立</x:v>
      </x:c>
      <x:c r="I105" s="58" t="str">
        <x:v>Studio+Runtime</x:v>
      </x:c>
      <x:c r="J105" s="58" t="str">
        <x:v>不引用OpenCV/Halcon/TensorRT</x:v>
      </x:c>
      <x:c r="K105" s="58" t="str">
        <x:v>Dependency test</x:v>
      </x:c>
    </x:row>
    <x:row r="106">
      <x:c r="A106" s="66" t="str">
        <x:v>Vision</x:v>
      </x:c>
      <x:c r="B106" s="66" t="str">
        <x:v>CxVisual.Vision.Runtime</x:v>
      </x:c>
      <x:c r="C106" s="66" t="str">
        <x:v>net48</x:v>
      </x:c>
      <x:c r="D106" s="66" t="str">
        <x:v>M5</x:v>
      </x:c>
      <x:c r="E106" s="66" t="str">
        <x:v>VisionCompiler/Scheduler/DataHandle/Buffer/GPU resources</x:v>
      </x:c>
      <x:c r="F106" s="66" t="str">
        <x:v>Compiler/; Engine/; Memory/; GPU/</x:v>
      </x:c>
      <x:c r="G106" s="66" t="str">
        <x:v>Vision.Core, Graph.Runtime, Runtime.Core</x:v>
      </x:c>
      <x:c r="H106" s="66" t="str">
        <x:v>建议独立</x:v>
      </x:c>
      <x:c r="I106" s="66" t="str">
        <x:v>Runtime/Worker</x:v>
      </x:c>
      <x:c r="J106" s="66" t="str">
        <x:v>高性能敏感</x:v>
      </x:c>
      <x:c r="K106" s="66" t="str">
        <x:v>Golden/Perf</x:v>
      </x:c>
    </x:row>
    <x:row r="107">
      <x:c r="A107" s="58" t="str">
        <x:v>Vision</x:v>
      </x:c>
      <x:c r="B107" s="58" t="str">
        <x:v>CxVisual.Vision.Worker</x:v>
      </x:c>
      <x:c r="C107" s="58" t="str">
        <x:v>net48 exe</x:v>
      </x:c>
      <x:c r="D107" s="58" t="str">
        <x:v>M5</x:v>
      </x:c>
      <x:c r="E107" s="58" t="str">
        <x:v>高风险Native/GPU算法进程隔离</x:v>
      </x:c>
      <x:c r="F107" s="58" t="str">
        <x:v>Host/; Ipc/; PluginLoad/</x:v>
      </x:c>
      <x:c r="G107" s="58" t="str">
        <x:v>Vision.Runtime, PluginSdk</x:v>
      </x:c>
      <x:c r="H107" s="58" t="str">
        <x:v>按风险强烈建议</x:v>
      </x:c>
      <x:c r="I107" s="58" t="str">
        <x:v>Runtime站</x:v>
      </x:c>
      <x:c r="J107" s="58" t="str">
        <x:v>主Runtime存活优先</x:v>
      </x:c>
      <x:c r="K107" s="58" t="str">
        <x:v>Crash tests</x:v>
      </x:c>
    </x:row>
    <x:row r="108">
      <x:c r="A108" s="66" t="str">
        <x:v>Vision</x:v>
      </x:c>
      <x:c r="B108" s="66" t="str">
        <x:v>CxVisual.Vision.Adapters</x:v>
      </x:c>
      <x:c r="C108" s="66" t="str">
        <x:v>net48</x:v>
      </x:c>
      <x:c r="D108" s="66" t="str">
        <x:v>M5</x:v>
      </x:c>
      <x:c r="E108" s="66" t="str">
        <x:v>OpenCV/Halcon/ONNX/TensorRT/自研算法Adapter</x:v>
      </x:c>
      <x:c r="F108" s="66" t="str">
        <x:v>OpenCv/; Halcon/; Onnx/; TensorRt/</x:v>
      </x:c>
      <x:c r="G108" s="66" t="str">
        <x:v>Vision.Core, Vendor/Native libs</x:v>
      </x:c>
      <x:c r="H108" s="66" t="str">
        <x:v>按第三方分子目录，不一定分程序集</x:v>
      </x:c>
      <x:c r="I108" s="66" t="str">
        <x:v>Worker/Runtime</x:v>
      </x:c>
      <x:c r="J108" s="66" t="str">
        <x:v>版本/ABI复杂</x:v>
      </x:c>
      <x:c r="K108" s="66" t="str">
        <x:v>Adapter tests</x:v>
      </x:c>
    </x:row>
    <x:row r="109">
      <x:c r="A109" s="58" t="str">
        <x:v>Inspection</x:v>
      </x:c>
      <x:c r="B109" s="58" t="str">
        <x:v>CxVisual.Inspection.Core</x:v>
      </x:c>
      <x:c r="C109" s="58" t="str">
        <x:v>net48</x:v>
      </x:c>
      <x:c r="D109" s="58" t="str">
        <x:v>M6</x:v>
      </x:c>
      <x:c r="E109" s="58" t="str">
        <x:v>InspectionFlow/Product/Point/Result/Checkpoint contracts</x:v>
      </x:c>
      <x:c r="F109" s="58" t="str">
        <x:v>Models/; Nodes/; Context/</x:v>
      </x:c>
      <x:c r="G109" s="58" t="str">
        <x:v>Core, Graph.Core</x:v>
      </x:c>
      <x:c r="H109" s="58" t="str">
        <x:v>建议独立</x:v>
      </x:c>
      <x:c r="I109" s="58" t="str">
        <x:v>Studio+Runtime</x:v>
      </x:c>
      <x:c r="J109" s="58" t="str">
        <x:v>不展开Motion/Vision内部</x:v>
      </x:c>
      <x:c r="K109" s="58" t="str">
        <x:v>Contract tests</x:v>
      </x:c>
    </x:row>
    <x:row r="110">
      <x:c r="A110" s="66" t="str">
        <x:v>Inspection</x:v>
      </x:c>
      <x:c r="B110" s="66" t="str">
        <x:v>CxVisual.Inspection.Runtime</x:v>
      </x:c>
      <x:c r="C110" s="66" t="str">
        <x:v>net48</x:v>
      </x:c>
      <x:c r="D110" s="66" t="str">
        <x:v>M6</x:v>
      </x:c>
      <x:c r="E110" s="66" t="str">
        <x:v>Workflow compiler/runtime/checkpoint/idempotency/cross-domain invocation</x:v>
      </x:c>
      <x:c r="F110" s="66" t="str">
        <x:v>Engine/; Persistence/; Invocation/</x:v>
      </x:c>
      <x:c r="G110" s="66" t="str">
        <x:v>Inspection.Core, Graph.Runtime, Runtime.Core, Motion/Vision public contracts</x:v>
      </x:c>
      <x:c r="H110" s="66" t="str">
        <x:v>建议独立</x:v>
      </x:c>
      <x:c r="I110" s="66" t="str">
        <x:v>Runtime</x:v>
      </x:c>
      <x:c r="J110" s="66" t="str">
        <x:v>Durable workflow</x:v>
      </x:c>
      <x:c r="K110" s="66" t="str">
        <x:v>Recovery tests</x:v>
      </x:c>
    </x:row>
    <x:row r="111">
      <x:c r="A111" s="58" t="str">
        <x:v>Operations</x:v>
      </x:c>
      <x:c r="B111" s="58" t="str">
        <x:v>CxVisual.Operations</x:v>
      </x:c>
      <x:c r="C111" s="58" t="str">
        <x:v>net48</x:v>
      </x:c>
      <x:c r="D111" s="58" t="str">
        <x:v>M7</x:v>
      </x:c>
      <x:c r="E111" s="58" t="str">
        <x:v>Health/Watchdog/Backpressure/WorkerSupervisor/Runtime metrics</x:v>
      </x:c>
      <x:c r="F111" s="58" t="str">
        <x:v>Health/; Supervision/; Metrics/</x:v>
      </x:c>
      <x:c r="G111" s="58" t="str">
        <x:v>Abstractions, Runtime public contracts</x:v>
      </x:c>
      <x:c r="H111" s="58" t="str">
        <x:v>可独立或先合Runtime</x:v>
      </x:c>
      <x:c r="I111" s="58" t="str">
        <x:v>Runtime/运维</x:v>
      </x:c>
      <x:c r="J111" s="58" t="str">
        <x:v>不能反向依赖Designer</x:v>
      </x:c>
      <x:c r="K111" s="58" t="str">
        <x:v>Soak tests</x:v>
      </x:c>
    </x:row>
    <x:row r="112">
      <x:c r="A112" s="66" t="str">
        <x:v>SDK</x:v>
      </x:c>
      <x:c r="B112" s="66" t="str">
        <x:v>CxVisual.PluginSdk</x:v>
      </x:c>
      <x:c r="C112" s="66" t="str">
        <x:v>net48</x:v>
      </x:c>
      <x:c r="D112" s="66" t="str">
        <x:v>M7</x:v>
      </x:c>
      <x:c r="E112" s="66" t="str">
        <x:v>Element/Node/Algorithm/Provider/Store稳定扩展契约</x:v>
      </x:c>
      <x:c r="F112" s="66" t="str">
        <x:v>Elements/; Graph/; Vision/; Providers/; Manifest/</x:v>
      </x:c>
      <x:c r="G112" s="66" t="str">
        <x:v>Common, Abstractions, stable Core contracts</x:v>
      </x:c>
      <x:c r="H112" s="66" t="str">
        <x:v>已有项目扩展</x:v>
      </x:c>
      <x:c r="I112" s="66" t="str">
        <x:v>插件开发</x:v>
      </x:c>
      <x:c r="J112" s="66" t="str">
        <x:v>API版本治理</x:v>
      </x:c>
      <x:c r="K112" s="66" t="str">
        <x:v>Sample build</x:v>
      </x:c>
    </x:row>
    <x:row r="113">
      <x:c r="A113"/>
      <x:c r="B113"/>
      <x:c r="C113"/>
      <x:c r="D113"/>
      <x:c r="E113"/>
      <x:c r="F113"/>
      <x:c r="G113"/>
      <x:c r="H113"/>
      <x:c r="I113"/>
      <x:c r="J113"/>
      <x:c r="K113"/>
    </x:row>
    <x:row r="114" ht="24" customHeight="1">
      <x:c r="A114" s="40" t="str">
        <x:v>E. 物理拆分原则</x:v>
      </x:c>
      <x:c r="B114" s="40"/>
      <x:c r="C114" s="40"/>
      <x:c r="D114" s="40"/>
      <x:c r="E114" s="40"/>
      <x:c r="F114" s="40"/>
      <x:c r="G114" s="40"/>
      <x:c r="H114" s="40"/>
      <x:c r="I114" s="40"/>
      <x:c r="J114" s="40"/>
      <x:c r="K114" s="40"/>
    </x:row>
    <x:row r="115" ht="28" customHeight="1">
      <x:c r="A115" s="50" t="str">
        <x:v>判断维度</x:v>
      </x:c>
      <x:c r="B115" s="50" t="str">
        <x:v>保持同进程/同程序集</x:v>
      </x:c>
      <x:c r="C115" s="50" t="str">
        <x:v>建议拆程序集</x:v>
      </x:c>
      <x:c r="D115" s="50" t="str">
        <x:v>建议拆进程</x:v>
      </x:c>
      <x:c r="E115" s="50" t="str">
        <x:v>原因</x:v>
      </x:c>
      <x:c r="F115" s="50" t="str">
        <x:v>示例</x:v>
      </x:c>
      <x:c r="G115" s="50" t="str">
        <x:v>不得做</x:v>
      </x:c>
      <x:c r="H115" s="50" t="str">
        <x:v>阶段</x:v>
      </x:c>
      <x:c r="I115" s="50" t="str">
        <x:v>测试</x:v>
      </x:c>
      <x:c r="J115" s="50" t="str">
        <x:v>Owner</x:v>
      </x:c>
      <x:c r="K115" s="50" t="str">
        <x:v>备注</x:v>
      </x:c>
    </x:row>
    <x:row r="116">
      <x:c r="A116" s="58" t="str">
        <x:v>依赖稳定性</x:v>
      </x:c>
      <x:c r="B116" s="58" t="str">
        <x:v>内部实现共同演进</x:v>
      </x:c>
      <x:c r="C116" s="58" t="str">
        <x:v>对外Contract稳定且依赖方向不同</x:v>
      </x:c>
      <x:c r="D116" s="58" t="str">
        <x:v>N/A</x:v>
      </x:c>
      <x:c r="E116" s="58" t="str">
        <x:v>防止架构腐化</x:v>
      </x:c>
      <x:c r="F116" s="58" t="str">
        <x:v>Graph.Core vs Motion.Core</x:v>
      </x:c>
      <x:c r="G116" s="58" t="str">
        <x:v>按功能名碎片化100个项目</x:v>
      </x:c>
      <x:c r="H116" s="58" t="str">
        <x:v>M3+</x:v>
      </x:c>
      <x:c r="I116" s="58" t="str">
        <x:v>Architecture</x:v>
      </x:c>
      <x:c r="J116" s="58" t="str">
        <x:v>平台</x:v>
      </x:c>
      <x:c r="K116" s="58"/>
    </x:row>
    <x:row r="117">
      <x:c r="A117" s="66" t="str">
        <x:v>第三方侵入</x:v>
      </x:c>
      <x:c r="B117" s="66" t="str">
        <x:v>纯BCL/Core</x:v>
      </x:c>
      <x:c r="C117" s="66" t="str">
        <x:v>Vendor/Native/重量库Adapter</x:v>
      </x:c>
      <x:c r="D117" s="66" t="str">
        <x:v>Native崩溃/GPU泄漏风险高</x:v>
      </x:c>
      <x:c r="E117" s="66" t="str">
        <x:v>保护Core与Runtime</x:v>
      </x:c>
      <x:c r="F117" s="66" t="str">
        <x:v>Vision Worker</x:v>
      </x:c>
      <x:c r="G117" s="66" t="str">
        <x:v>Core引用Halcon/TensorRT</x:v>
      </x:c>
      <x:c r="H117" s="66" t="str">
        <x:v>M5</x:v>
      </x:c>
      <x:c r="I117" s="66" t="str">
        <x:v>Dependency/Crash</x:v>
      </x:c>
      <x:c r="J117" s="66" t="str">
        <x:v>算法</x:v>
      </x:c>
      <x:c r="K117" s="66"/>
    </x:row>
    <x:row r="118">
      <x:c r="A118" s="58" t="str">
        <x:v>资源/负载</x:v>
      </x:c>
      <x:c r="B118" s="58" t="str">
        <x:v>轻量同生命周期</x:v>
      </x:c>
      <x:c r="C118" s="58" t="str">
        <x:v>独立缓存/线程/存储</x:v>
      </x:c>
      <x:c r="D118" s="58" t="str">
        <x:v>GPU/历史/远程服务高负载</x:v>
      </x:c>
      <x:c r="E118" s="58" t="str">
        <x:v>隔离资源与故障</x:v>
      </x:c>
      <x:c r="F118" s="58" t="str">
        <x:v>Vision Worker/History</x:v>
      </x:c>
      <x:c r="G118" s="58" t="str">
        <x:v>所有模块微服务化</x:v>
      </x:c>
      <x:c r="H118" s="58" t="str">
        <x:v>M5~M7</x:v>
      </x:c>
      <x:c r="I118" s="58" t="str">
        <x:v>Perf/Soak</x:v>
      </x:c>
      <x:c r="J118" s="58" t="str">
        <x:v>平台</x:v>
      </x:c>
      <x:c r="K118" s="58"/>
    </x:row>
    <x:row r="119">
      <x:c r="A119" s="66" t="str">
        <x:v>发布节奏</x:v>
      </x:c>
      <x:c r="B119" s="66" t="str">
        <x:v>同一Release</x:v>
      </x:c>
      <x:c r="C119" s="66" t="str">
        <x:v>SDK/Plugin独立版本</x:v>
      </x:c>
      <x:c r="D119" s="66" t="str">
        <x:v>Worker可独立热升级(后期)</x:v>
      </x:c>
      <x:c r="E119" s="66" t="str">
        <x:v>减少全量重启</x:v>
      </x:c>
      <x:c r="F119" s="66" t="str">
        <x:v>Plugin/Worker</x:v>
      </x:c>
      <x:c r="G119" s="66" t="str">
        <x:v>未有契约先拆服务</x:v>
      </x:c>
      <x:c r="H119" s="66" t="str">
        <x:v>M7</x:v>
      </x:c>
      <x:c r="I119" s="66" t="str">
        <x:v>Compatibility</x:v>
      </x:c>
      <x:c r="J119" s="66" t="str">
        <x:v>平台</x:v>
      </x:c>
      <x:c r="K119" s="66"/>
    </x:row>
    <x:row r="120">
      <x:c r="A120"/>
      <x:c r="B120"/>
      <x:c r="C120"/>
      <x:c r="D120"/>
      <x:c r="E120"/>
      <x:c r="F120"/>
      <x:c r="G120"/>
      <x:c r="H120"/>
      <x:c r="I120"/>
      <x:c r="J120"/>
      <x:c r="K120"/>
    </x:row>
    <x:row r="121">
      <x:c r="A121"/>
      <x:c r="B121"/>
      <x:c r="C121"/>
      <x:c r="D121"/>
      <x:c r="E121"/>
      <x:c r="F121"/>
      <x:c r="G121"/>
      <x:c r="H121"/>
      <x:c r="I121"/>
      <x:c r="J121"/>
      <x:c r="K121"/>
    </x:row>
    <x:row r="122" ht="24" customHeight="1">
      <x:c r="A122" s="40" t="str">
        <x:v>F. Online Debug / Commissioning 项目建议</x:v>
      </x:c>
      <x:c r="B122" s="40"/>
      <x:c r="C122" s="40"/>
      <x:c r="D122" s="40"/>
      <x:c r="E122" s="40"/>
      <x:c r="F122" s="40"/>
      <x:c r="G122" s="40"/>
      <x:c r="H122" s="40"/>
      <x:c r="I122" s="40"/>
      <x:c r="J122" s="40"/>
      <x:c r="K122" s="40"/>
    </x:row>
    <x:row r="123" ht="28" customHeight="1">
      <x:c r="A123" s="50" t="str">
        <x:v>层级</x:v>
      </x:c>
      <x:c r="B123" s="50" t="str">
        <x:v>建议程序集</x:v>
      </x:c>
      <x:c r="C123" s="50" t="str">
        <x:v>目标框架</x:v>
      </x:c>
      <x:c r="D123" s="50" t="str">
        <x:v>阶段</x:v>
      </x:c>
      <x:c r="E123" s="50" t="str">
        <x:v>职责</x:v>
      </x:c>
      <x:c r="F123" s="50" t="str">
        <x:v>关键目录/对象</x:v>
      </x:c>
      <x:c r="G123" s="50" t="str">
        <x:v>允许依赖</x:v>
      </x:c>
      <x:c r="H123" s="50" t="str">
        <x:v>物理拆分建议</x:v>
      </x:c>
      <x:c r="I123" s="50" t="str">
        <x:v>运行位置</x:v>
      </x:c>
      <x:c r="J123" s="50" t="str">
        <x:v>风险/说明</x:v>
      </x:c>
      <x:c r="K123" s="50" t="str">
        <x:v>门禁</x:v>
      </x:c>
    </x:row>
    <x:row r="124">
      <x:c r="A124" s="58" t="str">
        <x:v>Debug</x:v>
      </x:c>
      <x:c r="B124" s="58" t="str">
        <x:v>CxVisual.Debug.Contracts</x:v>
      </x:c>
      <x:c r="C124" s="58" t="str">
        <x:v>net48</x:v>
      </x:c>
      <x:c r="D124" s="58" t="str">
        <x:v>M3</x:v>
      </x:c>
      <x:c r="E124" s="58" t="str">
        <x:v>DebugSession/Command/Telemetry/Capability/Snapshot/ArtifactRef等稳定协议</x:v>
      </x:c>
      <x:c r="F124" s="58" t="str">
        <x:v>Contracts/; Messages/; Capabilities/</x:v>
      </x:c>
      <x:c r="G124" s="58" t="str">
        <x:v>Common, Abstractions, Core contracts</x:v>
      </x:c>
      <x:c r="H124" s="58" t="str">
        <x:v>必须保持轻量稳定</x:v>
      </x:c>
      <x:c r="I124" s="58" t="str">
        <x:v>Studio+Runtime</x:v>
      </x:c>
      <x:c r="J124" s="58" t="str">
        <x:v>不得引用WPF/Vendor/Domain内部类</x:v>
      </x:c>
      <x:c r="K124" s="58" t="str">
        <x:v>Contract tests</x:v>
      </x:c>
    </x:row>
    <x:row r="125">
      <x:c r="A125" s="66" t="str">
        <x:v>Debug</x:v>
      </x:c>
      <x:c r="B125" s="66" t="str">
        <x:v>CxVisual.Debug.Client</x:v>
      </x:c>
      <x:c r="C125" s="66" t="str">
        <x:v>net48</x:v>
      </x:c>
      <x:c r="D125" s="66" t="str">
        <x:v>M3</x:v>
      </x:c>
      <x:c r="E125" s="66" t="str">
        <x:v>Studio侧DebugClient/ControlChannel/TelemetryChannel/重连/Command reconcile</x:v>
      </x:c>
      <x:c r="F125" s="66" t="str">
        <x:v>Client/; Transport/; Reconnect/</x:v>
      </x:c>
      <x:c r="G125" s="66" t="str">
        <x:v>Debug.Contracts</x:v>
      </x:c>
      <x:c r="H125" s="66" t="str">
        <x:v>可与Studio同进程</x:v>
      </x:c>
      <x:c r="I125" s="66" t="str">
        <x:v>Engineering Station</x:v>
      </x:c>
      <x:c r="J125" s="66" t="str">
        <x:v>副作用命令不能自动重发</x:v>
      </x:c>
      <x:c r="K125" s="66" t="str">
        <x:v>Network tests</x:v>
      </x:c>
    </x:row>
    <x:row r="126">
      <x:c r="A126" s="58" t="str">
        <x:v>Debug</x:v>
      </x:c>
      <x:c r="B126" s="58" t="str">
        <x:v>CxVisual.Debug.Agent</x:v>
      </x:c>
      <x:c r="C126" s="58" t="str">
        <x:v>net48</x:v>
      </x:c>
      <x:c r="D126" s="58" t="str">
        <x:v>M3</x:v>
      </x:c>
      <x:c r="E126" s="58" t="str">
        <x:v>Runtime Target Agent、DomainDebugAdapter Registry、Target capabilities、Security gate</x:v>
      </x:c>
      <x:c r="F126" s="58" t="str">
        <x:v>Agent/; Sessions/; Telemetry/</x:v>
      </x:c>
      <x:c r="G126" s="58" t="str">
        <x:v>Debug.Contracts, Runtime public APIs, Security</x:v>
      </x:c>
      <x:c r="H126" s="58" t="str">
        <x:v>建议独立模块；进程可先同Runtime</x:v>
      </x:c>
      <x:c r="I126" s="58" t="str">
        <x:v>Runtime Station</x:v>
      </x:c>
      <x:c r="J126" s="58" t="str">
        <x:v>Agent故障尽量不影响业务Runtime</x:v>
      </x:c>
      <x:c r="K126" s="58" t="str">
        <x:v>Fault tests</x:v>
      </x:c>
    </x:row>
    <x:row r="127">
      <x:c r="A127" s="66" t="str">
        <x:v>Debug</x:v>
      </x:c>
      <x:c r="B127" s="66" t="str">
        <x:v>CxVisual.Debug.Transport</x:v>
      </x:c>
      <x:c r="C127" s="66" t="str">
        <x:v>net48</x:v>
      </x:c>
      <x:c r="D127" s="66" t="str">
        <x:v>M3/M7</x:v>
      </x:c>
      <x:c r="E127" s="66" t="str">
        <x:v>本机Loopback与远程Transport Adapter</x:v>
      </x:c>
      <x:c r="F127" s="66" t="str">
        <x:v>Loopback/; Remote/; Serialization/</x:v>
      </x:c>
      <x:c r="G127" s="66" t="str">
        <x:v>Debug.Contracts</x:v>
      </x:c>
      <x:c r="H127" s="66" t="str">
        <x:v>Transport可插拔</x:v>
      </x:c>
      <x:c r="I127" s="66" t="str">
        <x:v>两端</x:v>
      </x:c>
      <x:c r="J127" s="66" t="str">
        <x:v>不把Transport协议细节塞Domain Runtime</x:v>
      </x:c>
      <x:c r="K127" s="66" t="str">
        <x:v>Protocol tests</x:v>
      </x:c>
    </x:row>
    <x:row r="128">
      <x:c r="A128" s="58" t="str">
        <x:v>Motion</x:v>
      </x:c>
      <x:c r="B128" s="58" t="str">
        <x:v>CxVisual.Automation / Motion Debug</x:v>
      </x:c>
      <x:c r="C128" s="58" t="str">
        <x:v>net48</x:v>
      </x:c>
      <x:c r="D128" s="58" t="str">
        <x:v>M4</x:v>
      </x:c>
      <x:c r="E128" s="58" t="str">
        <x:v>MotionDebugAdapter、Axis/IO/Interlock/Resource snapshots、Teach/Jog受控命令</x:v>
      </x:c>
      <x:c r="F128" s="58" t="str">
        <x:v>Adapter/; Snapshots/; Commissioning/</x:v>
      </x:c>
      <x:c r="G128" s="58" t="str">
        <x:v>Motion.Runtime public API, Debug.Contracts</x:v>
      </x:c>
      <x:c r="H128" s="58" t="str">
        <x:v>建议独立</x:v>
      </x:c>
      <x:c r="I128" s="58" t="str">
        <x:v>Studio+Runtime</x:v>
      </x:c>
      <x:c r="J128" s="58" t="str">
        <x:v>安全策略最终在Target</x:v>
      </x:c>
      <x:c r="K128" s="58" t="str">
        <x:v>Motion debug tests</x:v>
      </x:c>
    </x:row>
    <x:row r="129">
      <x:c r="A129" s="66" t="str">
        <x:v>Vision</x:v>
      </x:c>
      <x:c r="B129" s="66" t="str">
        <x:v>CxVisual.Vision.Debug</x:v>
      </x:c>
      <x:c r="C129" s="66" t="str">
        <x:v>net48</x:v>
      </x:c>
      <x:c r="D129" s="66" t="str">
        <x:v>M5</x:v>
      </x:c>
      <x:c r="E129" s="66" t="str">
        <x:v>VisionDebugAdapter、DataSnapshot、RunTo、Override、RunCompare、Artifact pull</x:v>
      </x:c>
      <x:c r="F129" s="66" t="str">
        <x:v>Adapter/; DataViewer contracts/; Compare/</x:v>
      </x:c>
      <x:c r="G129" s="66" t="str">
        <x:v>Vision.Runtime public API, Debug.Contracts</x:v>
      </x:c>
      <x:c r="H129" s="66" t="str">
        <x:v>建议独立</x:v>
      </x:c>
      <x:c r="I129" s="66" t="str">
        <x:v>Studio+Runtime/Worker</x:v>
      </x:c>
      <x:c r="J129" s="66" t="str">
        <x:v>大对象只传Ref/按需读取</x:v>
      </x:c>
      <x:c r="K129" s="66" t="str">
        <x:v>Vision debug tests</x:v>
      </x:c>
    </x:row>
    <x:row r="130">
      <x:c r="A130" s="58" t="str">
        <x:v>Inspection</x:v>
      </x:c>
      <x:c r="B130" s="58" t="str">
        <x:v>CxVisual.Inspection.Debug</x:v>
      </x:c>
      <x:c r="C130" s="58" t="str">
        <x:v>net48</x:v>
      </x:c>
      <x:c r="D130" s="58" t="str">
        <x:v>M6</x:v>
      </x:c>
      <x:c r="E130" s="58" t="str">
        <x:v>InspectionDebugAdapter、Task/Context/Recovery snapshots、跨域StepInto</x:v>
      </x:c>
      <x:c r="F130" s="58" t="str">
        <x:v>Adapter/; TaskDebug/; Recovery/</x:v>
      </x:c>
      <x:c r="G130" s="58" t="str">
        <x:v>Inspection.Runtime public API, Debug.Contracts</x:v>
      </x:c>
      <x:c r="H130" s="58" t="str">
        <x:v>建议独立</x:v>
      </x:c>
      <x:c r="I130" s="58" t="str">
        <x:v>Studio+Runtime</x:v>
      </x:c>
      <x:c r="J130" s="58" t="str">
        <x:v>生产Task受控策略</x:v>
      </x:c>
      <x:c r="K130" s="58" t="str">
        <x:v>Inspection debug tests</x:v>
      </x:c>
    </x:row>
    <x:row r="131">
      <x:c r="A131"/>
      <x:c r="B131"/>
      <x:c r="C131"/>
      <x:c r="D131"/>
      <x:c r="E131"/>
      <x:c r="F131"/>
      <x:c r="G131"/>
      <x:c r="H131"/>
      <x:c r="I131"/>
      <x:c r="J131"/>
      <x:c r="K131"/>
    </x:row>
    <x:row r="132" ht="24" customHeight="1">
      <x:c r="A132" s="40" t="str">
        <x:v>G. CT/3D / Robot / Operations 模块建议</x:v>
      </x:c>
      <x:c r="B132" s="40"/>
      <x:c r="C132" s="40"/>
      <x:c r="D132" s="40"/>
      <x:c r="E132" s="40"/>
      <x:c r="F132" s="40"/>
      <x:c r="G132" s="40"/>
      <x:c r="H132" s="40"/>
      <x:c r="I132" s="40"/>
      <x:c r="J132" s="40"/>
      <x:c r="K132" s="40"/>
    </x:row>
    <x:row r="133" ht="28" customHeight="1">
      <x:c r="A133" s="50" t="str">
        <x:v>层级</x:v>
      </x:c>
      <x:c r="B133" s="50" t="str">
        <x:v>建议程序集</x:v>
      </x:c>
      <x:c r="C133" s="50" t="str">
        <x:v>目标框架</x:v>
      </x:c>
      <x:c r="D133" s="50" t="str">
        <x:v>阶段</x:v>
      </x:c>
      <x:c r="E133" s="50" t="str">
        <x:v>职责</x:v>
      </x:c>
      <x:c r="F133" s="50" t="str">
        <x:v>关键目录/对象</x:v>
      </x:c>
      <x:c r="G133" s="50" t="str">
        <x:v>允许依赖</x:v>
      </x:c>
      <x:c r="H133" s="50" t="str">
        <x:v>物理拆分建议</x:v>
      </x:c>
      <x:c r="I133" s="50" t="str">
        <x:v>运行位置</x:v>
      </x:c>
      <x:c r="J133" s="50" t="str">
        <x:v>风险/说明</x:v>
      </x:c>
      <x:c r="K133" s="50" t="str">
        <x:v>门禁</x:v>
      </x:c>
    </x:row>
    <x:row r="134">
      <x:c r="A134" s="66" t="str">
        <x:v>CT3D</x:v>
      </x:c>
      <x:c r="B134" s="66" t="str">
        <x:v>CxVisual.Vision3D.Core</x:v>
      </x:c>
      <x:c r="C134" s="66" t="str">
        <x:v>net48</x:v>
      </x:c>
      <x:c r="D134" s="66" t="str">
        <x:v>M5</x:v>
      </x:c>
      <x:c r="E134" s="66" t="str">
        <x:v>ProjectionSeries/CTGeometry/Volume3D/3D contracts/CT node metadata</x:v>
      </x:c>
      <x:c r="F134" s="66" t="str">
        <x:v>Models/; Types/; Metadata/; Validation/</x:v>
      </x:c>
      <x:c r="G134" s="66" t="str">
        <x:v>Core, Graph.Core, Vision.Core</x:v>
      </x:c>
      <x:c r="H134" s="66" t="str">
        <x:v>建议独立</x:v>
      </x:c>
      <x:c r="I134" s="66" t="str">
        <x:v>Studio+Runtime</x:v>
      </x:c>
      <x:c r="J134" s="66" t="str">
        <x:v>无VTK/ASTRA/RTK具体对象</x:v>
      </x:c>
      <x:c r="K134" s="66" t="str">
        <x:v>Dependency/Schema</x:v>
      </x:c>
    </x:row>
    <x:row r="135">
      <x:c r="A135" s="58" t="str">
        <x:v>CT3D</x:v>
      </x:c>
      <x:c r="B135" s="58" t="str">
        <x:v>CxVisual.Vision3D.Application</x:v>
      </x:c>
      <x:c r="C135" s="58" t="str">
        <x:v>net48</x:v>
      </x:c>
      <x:c r="D135" s="58" t="str">
        <x:v>M5</x:v>
      </x:c>
      <x:c r="E135" s="58" t="str">
        <x:v>Geometry/Sample/ReconJob/Artifact/CT authoring use cases</x:v>
      </x:c>
      <x:c r="F135" s="58" t="str">
        <x:v>Services/; Commands/; Samples/</x:v>
      </x:c>
      <x:c r="G135" s="58" t="str">
        <x:v>Vision3D.Core, Commands</x:v>
      </x:c>
      <x:c r="H135" s="58" t="str">
        <x:v>可独立</x:v>
      </x:c>
      <x:c r="I135" s="58" t="str">
        <x:v>Studio</x:v>
      </x:c>
      <x:c r="J135" s="58" t="str">
        <x:v>不持GPU/Worker生命周期</x:v>
      </x:c>
      <x:c r="K135" s="58" t="str">
        <x:v>Unit tests</x:v>
      </x:c>
    </x:row>
    <x:row r="136">
      <x:c r="A136" s="66" t="str">
        <x:v>CT3D</x:v>
      </x:c>
      <x:c r="B136" s="66" t="str">
        <x:v>CxVisual.Vision3D.Runtime</x:v>
      </x:c>
      <x:c r="C136" s="66" t="str">
        <x:v>net48</x:v>
      </x:c>
      <x:c r="D136" s="66" t="str">
        <x:v>M5</x:v>
      </x:c>
      <x:c r="E136" s="66" t="str">
        <x:v>CTCompiler/Recon job coordinator/Volume handles/3D node runtime</x:v>
      </x:c>
      <x:c r="F136" s="66" t="str">
        <x:v>Compiler/; Engine/; Data/</x:v>
      </x:c>
      <x:c r="G136" s="66" t="str">
        <x:v>Vision3D.Core, Vision.Runtime, Runtime.Core</x:v>
      </x:c>
      <x:c r="H136" s="66" t="str">
        <x:v>建议独立</x:v>
      </x:c>
      <x:c r="I136" s="66" t="str">
        <x:v>Runtime/Worker client</x:v>
      </x:c>
      <x:c r="J136" s="66" t="str">
        <x:v>GB级内存/磁盘敏感</x:v>
      </x:c>
      <x:c r="K136" s="66" t="str">
        <x:v>Golden/Perf</x:v>
      </x:c>
    </x:row>
    <x:row r="137">
      <x:c r="A137" s="58" t="str">
        <x:v>CT3D</x:v>
      </x:c>
      <x:c r="B137" s="58" t="str">
        <x:v>CxVisual.CT.Worker</x:v>
      </x:c>
      <x:c r="C137" s="58" t="str">
        <x:v>net48 exe</x:v>
      </x:c>
      <x:c r="D137" s="58" t="str">
        <x:v>M5</x:v>
      </x:c>
      <x:c r="E137" s="58" t="str">
        <x:v>RTK/ASTRA/CUDA/ITK/自研重建与3D Native执行隔离</x:v>
      </x:c>
      <x:c r="F137" s="58" t="str">
        <x:v>Host/; Recon/; Algorithms/; Ipc/</x:v>
      </x:c>
      <x:c r="G137" s="58" t="str">
        <x:v>Vision3D contracts, PluginSdk</x:v>
      </x:c>
      <x:c r="H137" s="58" t="str">
        <x:v>强烈建议独立进程</x:v>
      </x:c>
      <x:c r="I137" s="58" t="str">
        <x:v>Runtime站GPU节点</x:v>
      </x:c>
      <x:c r="J137" s="58" t="str">
        <x:v>Native/GPU崩溃域</x:v>
      </x:c>
      <x:c r="K137" s="58" t="str">
        <x:v>Crash/Golden</x:v>
      </x:c>
    </x:row>
    <x:row r="138">
      <x:c r="A138" s="66" t="str">
        <x:v>CT3D</x:v>
      </x:c>
      <x:c r="B138" s="66" t="str">
        <x:v>CxVisual.Vision3D.Viewer</x:v>
      </x:c>
      <x:c r="C138" s="66" t="str">
        <x:v>net48</x:v>
      </x:c>
      <x:c r="D138" s="66" t="str">
        <x:v>M5</x:v>
      </x:c>
      <x:c r="E138" s="66" t="str">
        <x:v>Projection/MPR/Volume/Surface/3D Overlay Viewer adapters</x:v>
      </x:c>
      <x:c r="F138" s="66" t="str">
        <x:v>Projection/; Mpr/; Volume/; Mesh/</x:v>
      </x:c>
      <x:c r="G138" s="66" t="str">
        <x:v>Vision3D contracts</x:v>
      </x:c>
      <x:c r="H138" s="66" t="str">
        <x:v>Viewer可独立库</x:v>
      </x:c>
      <x:c r="I138" s="66" t="str">
        <x:v>Studio/Review client</x:v>
      </x:c>
      <x:c r="J138" s="66" t="str">
        <x:v>可用VTK/OpenGL，但类型不进Core</x:v>
      </x:c>
      <x:c r="K138" s="66" t="str">
        <x:v>Viewer perf</x:v>
      </x:c>
    </x:row>
    <x:row r="139">
      <x:c r="A139" s="58" t="str">
        <x:v>CT3D</x:v>
      </x:c>
      <x:c r="B139" s="58" t="str">
        <x:v>CxVisual.Vision3D.Debug</x:v>
      </x:c>
      <x:c r="C139" s="58" t="str">
        <x:v>net48</x:v>
      </x:c>
      <x:c r="D139" s="58" t="str">
        <x:v>M5</x:v>
      </x:c>
      <x:c r="E139" s="58" t="str">
        <x:v>CTDebugAdapter/DataSnapshot/ReconstructionCompare/Artifact pull</x:v>
      </x:c>
      <x:c r="F139" s="58" t="str">
        <x:v>Adapter/; Snapshot/; Compare/</x:v>
      </x:c>
      <x:c r="G139" s="58" t="str">
        <x:v>Debug.Contracts, Vision3D.Runtime public API</x:v>
      </x:c>
      <x:c r="H139" s="58" t="str">
        <x:v>建议独立</x:v>
      </x:c>
      <x:c r="I139" s="58" t="str">
        <x:v>Studio+Runtime</x:v>
      </x:c>
      <x:c r="J139" s="58" t="str">
        <x:v>大数据只用Ref/Channel</x:v>
      </x:c>
      <x:c r="K139" s="58" t="str">
        <x:v>Debug E2E</x:v>
      </x:c>
    </x:row>
    <x:row r="140">
      <x:c r="A140" s="66" t="str">
        <x:v>Robot</x:v>
      </x:c>
      <x:c r="B140" s="66" t="str">
        <x:v>CxVisual.Automation / Robot</x:v>
      </x:c>
      <x:c r="C140" s="66" t="str">
        <x:v>net48</x:v>
      </x:c>
      <x:c r="D140" s="66" t="str">
        <x:v>M4</x:v>
      </x:c>
      <x:c r="E140" s="66" t="str">
        <x:v>Robot/Pose/Frame/Tool/WorkObject/Path/Robot Node contracts</x:v>
      </x:c>
      <x:c r="F140" s="66" t="str">
        <x:v>Models/; Path/; Metadata/; Validation/</x:v>
      </x:c>
      <x:c r="G140" s="66" t="str">
        <x:v>Core, Motion.Core, Graph.Core</x:v>
      </x:c>
      <x:c r="H140" s="66" t="str">
        <x:v>建议独立</x:v>
      </x:c>
      <x:c r="I140" s="66" t="str">
        <x:v>Studio+Runtime</x:v>
      </x:c>
      <x:c r="J140" s="66" t="str">
        <x:v>无厂商Robot对象</x:v>
      </x:c>
      <x:c r="K140" s="66" t="str">
        <x:v>Dependency/Schema</x:v>
      </x:c>
    </x:row>
    <x:row r="141">
      <x:c r="A141" s="58" t="str">
        <x:v>Robot</x:v>
      </x:c>
      <x:c r="B141" s="58" t="str">
        <x:v>CxVisual.Automation / Robot</x:v>
      </x:c>
      <x:c r="C141" s="58" t="str">
        <x:v>net48</x:v>
      </x:c>
      <x:c r="D141" s="58" t="str">
        <x:v>M4</x:v>
      </x:c>
      <x:c r="E141" s="58" t="str">
        <x:v>Point/Path/Tool/Frame/Teach/Calibration authoring use cases</x:v>
      </x:c>
      <x:c r="F141" s="58" t="str">
        <x:v>Services/; Commands/</x:v>
      </x:c>
      <x:c r="G141" s="58" t="str">
        <x:v>Robot.Core, Commands</x:v>
      </x:c>
      <x:c r="H141" s="58" t="str">
        <x:v>可独立</x:v>
      </x:c>
      <x:c r="I141" s="58" t="str">
        <x:v>Studio</x:v>
      </x:c>
      <x:c r="J141" s="58" t="str">
        <x:v>Teach只生成ChangeSet</x:v>
      </x:c>
      <x:c r="K141" s="58" t="str">
        <x:v>Unit/Command</x:v>
      </x:c>
    </x:row>
    <x:row r="142">
      <x:c r="A142" s="66" t="str">
        <x:v>Robot</x:v>
      </x:c>
      <x:c r="B142" s="66" t="str">
        <x:v>CxVisual.Automation / Robot</x:v>
      </x:c>
      <x:c r="C142" s="66" t="str">
        <x:v>net48</x:v>
      </x:c>
      <x:c r="D142" s="66" t="str">
        <x:v>M4</x:v>
      </x:c>
      <x:c r="E142" s="66" t="str">
        <x:v>RobotCompiler/RobotPlan/Robot node runners</x:v>
      </x:c>
      <x:c r="F142" s="66" t="str">
        <x:v>Compiler/; Engine/</x:v>
      </x:c>
      <x:c r="G142" s="66" t="str">
        <x:v>Robot.Core, Motion.Runtime, Runtime.Core</x:v>
      </x:c>
      <x:c r="H142" s="66" t="str">
        <x:v>可与Motion.Runtime协同但边界独立</x:v>
      </x:c>
      <x:c r="I142" s="66" t="str">
        <x:v>Runtime</x:v>
      </x:c>
      <x:c r="J142" s="66" t="str">
        <x:v>不做实时插补</x:v>
      </x:c>
      <x:c r="K142" s="66" t="str">
        <x:v>Integration</x:v>
      </x:c>
    </x:row>
    <x:row r="143">
      <x:c r="A143" s="58" t="str">
        <x:v>Robot</x:v>
      </x:c>
      <x:c r="B143" s="58" t="str">
        <x:v>CxVisual.Automation.Drivers / Robot</x:v>
      </x:c>
      <x:c r="C143" s="58" t="str">
        <x:v>net48</x:v>
      </x:c>
      <x:c r="D143" s="58" t="str">
        <x:v>M4</x:v>
      </x:c>
      <x:c r="E143" s="58" t="str">
        <x:v>IRobotController厂商Adapter/Capabilities/State mapping</x:v>
      </x:c>
      <x:c r="F143" s="58" t="str">
        <x:v>Providers/; VendorAdapters/</x:v>
      </x:c>
      <x:c r="G143" s="58" t="str">
        <x:v>Robot.Core, Abstractions, Vendor SDK</x:v>
      </x:c>
      <x:c r="H143" s="58" t="str">
        <x:v>必须隔离Vendor</x:v>
      </x:c>
      <x:c r="I143" s="58" t="str">
        <x:v>Runtime</x:v>
      </x:c>
      <x:c r="J143" s="58" t="str">
        <x:v>多品牌版本复杂</x:v>
      </x:c>
      <x:c r="K143" s="58" t="str">
        <x:v>Contract tests</x:v>
      </x:c>
    </x:row>
    <x:row r="144">
      <x:c r="A144" s="66" t="str">
        <x:v>Robot</x:v>
      </x:c>
      <x:c r="B144" s="66" t="str">
        <x:v>CxVisual.Automation / Robot Debug</x:v>
      </x:c>
      <x:c r="C144" s="66" t="str">
        <x:v>net48</x:v>
      </x:c>
      <x:c r="D144" s="66" t="str">
        <x:v>M4</x:v>
      </x:c>
      <x:c r="E144" s="66" t="str">
        <x:v>RobotDebugAdapter/Joint/Pose/Frame/Path snapshots/Jog/Teach</x:v>
      </x:c>
      <x:c r="F144" s="66" t="str">
        <x:v>Adapter/; Snapshots/; Commissioning/</x:v>
      </x:c>
      <x:c r="G144" s="66" t="str">
        <x:v>Robot.Runtime public API, Debug.Contracts</x:v>
      </x:c>
      <x:c r="H144" s="66" t="str">
        <x:v>建议独立</x:v>
      </x:c>
      <x:c r="I144" s="66" t="str">
        <x:v>Studio+Runtime</x:v>
      </x:c>
      <x:c r="J144" s="66" t="str">
        <x:v>不是认证Teach Pendant</x:v>
      </x:c>
      <x:c r="K144" s="66" t="str">
        <x:v>Safety/Debug tests</x:v>
      </x:c>
    </x:row>
    <x:row r="145">
      <x:c r="A145" s="58" t="str">
        <x:v>Robot</x:v>
      </x:c>
      <x:c r="B145" s="58" t="str">
        <x:v>CxVisual.Simulation / Robot</x:v>
      </x:c>
      <x:c r="C145" s="58" t="str">
        <x:v>net48</x:v>
      </x:c>
      <x:c r="D145" s="58" t="str">
        <x:v>M4+</x:v>
      </x:c>
      <x:c r="E145" s="58" t="str">
        <x:v>可选离线路径/可达性/节拍仿真插件</x:v>
      </x:c>
      <x:c r="F145" s="58" t="str">
        <x:v>Simulation/; Kinematics/</x:v>
      </x:c>
      <x:c r="G145" s="58" t="str">
        <x:v>Robot.Core</x:v>
      </x:c>
      <x:c r="H145" s="58" t="str">
        <x:v>按需要独立</x:v>
      </x:c>
      <x:c r="I145" s="58" t="str">
        <x:v>Studio</x:v>
      </x:c>
      <x:c r="J145" s="58" t="str">
        <x:v>结果非安全认证</x:v>
      </x:c>
      <x:c r="K145" s="58" t="str">
        <x:v>Simulation tests</x:v>
      </x:c>
    </x:row>
    <x:row r="146">
      <x:c r="A146" s="66" t="str">
        <x:v>Ops</x:v>
      </x:c>
      <x:c r="B146" s="66" t="str">
        <x:v>CxVisual.Station.Agent</x:v>
      </x:c>
      <x:c r="C146" s="66" t="str">
        <x:v>net48/exe</x:v>
      </x:c>
      <x:c r="D146" s="66" t="str">
        <x:v>M7</x:v>
      </x:c>
      <x:c r="E146" s="66" t="str">
        <x:v>Runtime站Inventory/Health/Version/Deployment/Debug/Artifact/Maintenance入口</x:v>
      </x:c>
      <x:c r="F146" s="66" t="str">
        <x:v>Inventory/; Health/; Deployment/; Remote/</x:v>
      </x:c>
      <x:c r="G146" s="66" t="str">
        <x:v>Runtime public contracts, Debug.Agent, Security</x:v>
      </x:c>
      <x:c r="H146" s="66" t="str">
        <x:v>生产建议独立进程；初期可同Runtime模块</x:v>
      </x:c>
      <x:c r="I146" s="66" t="str">
        <x:v>Runtime Station</x:v>
      </x:c>
      <x:c r="J146" s="66" t="str">
        <x:v>Agent故障不应拖Runtime</x:v>
      </x:c>
      <x:c r="K146" s="66" t="str">
        <x:v>Agent fault tests</x:v>
      </x:c>
    </x:row>
    <x:row r="147">
      <x:c r="A147" s="58" t="str">
        <x:v>Ops</x:v>
      </x:c>
      <x:c r="B147" s="58" t="str">
        <x:v>CxVisual.Operations.Core</x:v>
      </x:c>
      <x:c r="C147" s="58" t="str">
        <x:v>net48</x:v>
      </x:c>
      <x:c r="D147" s="58" t="str">
        <x:v>M7</x:v>
      </x:c>
      <x:c r="E147" s="58" t="str">
        <x:v>Site/Station/Fleet/Rollout/Case/OpsPolicy领域模型</x:v>
      </x:c>
      <x:c r="F147" s="58" t="str">
        <x:v>Fleet/; Deployment/; Cases/; Policies/</x:v>
      </x:c>
      <x:c r="G147" s="58" t="str">
        <x:v>Common, stable contracts</x:v>
      </x:c>
      <x:c r="H147" s="58" t="str">
        <x:v>建议独立</x:v>
      </x:c>
      <x:c r="I147" s="58" t="str">
        <x:v>Center</x:v>
      </x:c>
      <x:c r="J147" s="58" t="str">
        <x:v>不依赖Domain Runtime内部</x:v>
      </x:c>
      <x:c r="K147" s="58" t="str">
        <x:v>Schema tests</x:v>
      </x:c>
    </x:row>
    <x:row r="148">
      <x:c r="A148" s="66" t="str">
        <x:v>Ops</x:v>
      </x:c>
      <x:c r="B148" s="66" t="str">
        <x:v>CxVisual.Operations.Application</x:v>
      </x:c>
      <x:c r="C148" s="66" t="str">
        <x:v>net48</x:v>
      </x:c>
      <x:c r="D148" s="66" t="str">
        <x:v>M7</x:v>
      </x:c>
      <x:c r="E148" s="66" t="str">
        <x:v>Fleet/Rollout/Case/RemoteSession用例</x:v>
      </x:c>
      <x:c r="F148" s="66" t="str">
        <x:v>Services/; Jobs/</x:v>
      </x:c>
      <x:c r="G148" s="66" t="str">
        <x:v>Operations.Core, Agent contracts</x:v>
      </x:c>
      <x:c r="H148" s="66" t="str">
        <x:v>建议独立</x:v>
      </x:c>
      <x:c r="I148" s="66" t="str">
        <x:v>Center</x:v>
      </x:c>
      <x:c r="J148" s="66" t="str">
        <x:v>不直接连设备</x:v>
      </x:c>
      <x:c r="K148" s="66" t="str">
        <x:v>Unit tests</x:v>
      </x:c>
    </x:row>
    <x:row r="149">
      <x:c r="A149" s="58" t="str">
        <x:v>Ops</x:v>
      </x:c>
      <x:c r="B149" s="58" t="str">
        <x:v>CxVisual.Operations.Telemetry</x:v>
      </x:c>
      <x:c r="C149" s="58" t="str">
        <x:v>net48</x:v>
      </x:c>
      <x:c r="D149" s="58" t="str">
        <x:v>M7</x:v>
      </x:c>
      <x:c r="E149" s="58" t="str">
        <x:v>Metric/Event/Trace ingestion/index/retention</x:v>
      </x:c>
      <x:c r="F149" s="58" t="str">
        <x:v>Ingestion/; Metrics/; Index/</x:v>
      </x:c>
      <x:c r="G149" s="58" t="str">
        <x:v>Operations.Core, Diagnostics contracts</x:v>
      </x:c>
      <x:c r="H149" s="58" t="str">
        <x:v>可独立服务</x:v>
      </x:c>
      <x:c r="I149" s="58" t="str">
        <x:v>Center</x:v>
      </x:c>
      <x:c r="J149" s="58" t="str">
        <x:v>高数据量/Retention</x:v>
      </x:c>
      <x:c r="K149" s="58" t="str">
        <x:v>Load/soak</x:v>
      </x:c>
    </x:row>
    <x:row r="150">
      <x:c r="A150" s="66" t="str">
        <x:v>Ops</x:v>
      </x:c>
      <x:c r="B150" s="66" t="str">
        <x:v>CxVisual.Operations.Deployment</x:v>
      </x:c>
      <x:c r="C150" s="66" t="str">
        <x:v>net48</x:v>
      </x:c>
      <x:c r="D150" s="66" t="str">
        <x:v>M7</x:v>
      </x:c>
      <x:c r="E150" s="66" t="str">
        <x:v>Release Repository/Rollout/Canary/Rollback协调</x:v>
      </x:c>
      <x:c r="F150" s="66" t="str">
        <x:v>Repository/; Rollout/; Targets/</x:v>
      </x:c>
      <x:c r="G150" s="66" t="str">
        <x:v>Operations.Core, Package/Deployment contracts</x:v>
      </x:c>
      <x:c r="H150" s="66" t="str">
        <x:v>建议独立服务</x:v>
      </x:c>
      <x:c r="I150" s="66" t="str">
        <x:v>Center</x:v>
      </x:c>
      <x:c r="J150" s="66" t="str">
        <x:v>本地Agent最终Atomic switch</x:v>
      </x:c>
      <x:c r="K150" s="66" t="str">
        <x:v>Fault tests</x:v>
      </x:c>
    </x:row>
    <x:row r="151">
      <x:c r="A151" s="58" t="str">
        <x:v>Ops</x:v>
      </x:c>
      <x:c r="B151" s="58" t="str">
        <x:v>CxVisual.Operations.Remote</x:v>
      </x:c>
      <x:c r="C151" s="58" t="str">
        <x:v>net48</x:v>
      </x:c>
      <x:c r="D151" s="58" t="str">
        <x:v>M7</x:v>
      </x:c>
      <x:c r="E151" s="58" t="str">
        <x:v>Remote session broker/approval/lease/artifact transfer</x:v>
      </x:c>
      <x:c r="F151" s="58" t="str">
        <x:v>Broker/; Sessions/; Transfer/</x:v>
      </x:c>
      <x:c r="G151" s="58" t="str">
        <x:v>Operations.Core, Debug.Contracts, Security</x:v>
      </x:c>
      <x:c r="H151" s="58" t="str">
        <x:v>建议独立服务</x:v>
      </x:c>
      <x:c r="I151" s="58" t="str">
        <x:v>Center</x:v>
      </x:c>
      <x:c r="J151" s="58" t="str">
        <x:v>默认只读/带宽/安全</x:v>
      </x:c>
      <x:c r="K151" s="58" t="str">
        <x:v>Security/network</x:v>
      </x:c>
    </x:row>
    <x:row r="152">
      <x:c r="A152" s="66" t="str">
        <x:v>Ops</x:v>
      </x:c>
      <x:c r="B152" s="66" t="str">
        <x:v>CxVisual.Operations.UI</x:v>
      </x:c>
      <x:c r="C152" s="66" t="str">
        <x:v>net48 WPF/Web可选</x:v>
      </x:c>
      <x:c r="D152" s="66" t="str">
        <x:v>M7</x:v>
      </x:c>
      <x:c r="E152" s="66" t="str">
        <x:v>Fleet Dashboard/Version Matrix/Deployment/Case/Remote Engineering UI</x:v>
      </x:c>
      <x:c r="F152" s="66" t="str">
        <x:v>Views/; ViewModels/</x:v>
      </x:c>
      <x:c r="G152" s="66" t="str">
        <x:v>Operations.Application APIs</x:v>
      </x:c>
      <x:c r="H152" s="66" t="str">
        <x:v>客户端独立</x:v>
      </x:c>
      <x:c r="I152" s="66" t="str">
        <x:v>Ops client</x:v>
      </x:c>
      <x:c r="J152" s="66" t="str">
        <x:v>不要直连PLC/Runtime内部</x:v>
      </x:c>
      <x:c r="K152" s="66" t="str">
        <x:v>UI smoke</x:v>
      </x:c>
    </x:row>
    <x:row r="154">
      <x:c r="A154" t="str">
        <x:v>H. 历史 V3.3 Studio / Variable / Hardware 模块落位（以V6.4真实Solution基线为准）</x:v>
      </x:c>
      <x:c r="B154"/>
      <x:c r="C154"/>
      <x:c r="D154"/>
      <x:c r="E154"/>
      <x:c r="F154"/>
      <x:c r="G154"/>
      <x:c r="H154"/>
    </x:row>
    <x:row r="155">
      <x:c r="A155" t="str">
        <x:v>逻辑域</x:v>
      </x:c>
      <x:c r="B155" t="str">
        <x:v>建议物理位置</x:v>
      </x:c>
      <x:c r="C155" t="str">
        <x:v>目标框架</x:v>
      </x:c>
      <x:c r="D155" t="str">
        <x:v>阶段</x:v>
      </x:c>
      <x:c r="E155" t="str">
        <x:v>职责</x:v>
      </x:c>
      <x:c r="F155" t="str">
        <x:v>关键目录/对象</x:v>
      </x:c>
      <x:c r="G155" t="str">
        <x:v>允许依赖</x:v>
      </x:c>
      <x:c r="H155" t="str">
        <x:v>物理/依赖原则</x:v>
      </x:c>
    </x:row>
    <x:row r="156">
      <x:c r="A156" t="str">
        <x:v>Studio Shell</x:v>
      </x:c>
      <x:c r="B156" t="str">
        <x:v>CxVisual.Designer.Application</x:v>
      </x:c>
      <x:c r="C156" t="str">
        <x:v>net48</x:v>
      </x:c>
      <x:c r="D156" t="str">
        <x:v>M1~M2</x:v>
      </x:c>
      <x:c r="E156" t="str">
        <x:v>StudioShellSession/WorkspaceRegistry/CommandRouter/ContextualRibbon descriptors</x:v>
      </x:c>
      <x:c r="F156" t="str">
        <x:v>StudioShell/; Workspaces/; Commands/</x:v>
      </x:c>
      <x:c r="G156" t="str">
        <x:v>Core, Commands, Domain public contracts</x:v>
      </x:c>
      <x:c r="H156" t="str">
        <x:v>逻辑模块；UI实现仍在统一Studio，不按Domain拆第二套Shell</x:v>
      </x:c>
    </x:row>
    <x:row r="157">
      <x:c r="A157" t="str">
        <x:v>Studio UI</x:v>
      </x:c>
      <x:c r="B157" t="str">
        <x:v>CxVisual.Designer.Wpf</x:v>
      </x:c>
      <x:c r="C157" t="str">
        <x:v>net48</x:v>
      </x:c>
      <x:c r="D157" t="str">
        <x:v>M1~M7</x:v>
      </x:c>
      <x:c r="E157" t="str">
        <x:v>固定9一级菜单、共享Project Tree/Inspector/Catalog/Dock、Contextual Ribbon渲染</x:v>
      </x:c>
      <x:c r="F157" t="str">
        <x:v>Shell/; Ribbon/; Panels/; Workspaces/</x:v>
      </x:c>
      <x:c r="G157" t="str">
        <x:v>Designer.Application, Rendering</x:v>
      </x:c>
      <x:c r="H157" t="str">
        <x:v>Shell只消费Descriptor，不持Vendor SDK/Domain内部Runtime</x:v>
      </x:c>
    </x:row>
    <x:row r="158">
      <x:c r="A158" t="str">
        <x:v>Variables</x:v>
      </x:c>
      <x:c r="B158" t="str">
        <x:v>CxVisual.Integration</x:v>
      </x:c>
      <x:c r="C158" t="str">
        <x:v>net48</x:v>
      </x:c>
      <x:c r="D158" t="str">
        <x:v>M2</x:v>
      </x:c>
      <x:c r="E158" t="str">
        <x:v>DeviceVariable→DeviceVariableProvider→IVariableProvider适配；Catalog/Metadata/ChangeDispatcher</x:v>
      </x:c>
      <x:c r="F158" t="str">
        <x:v>DeviceVariables/Provider/; Catalog/; Metadata/; ChangeDispatcher/</x:v>
      </x:c>
      <x:c r="G158" t="str">
        <x:v>Abstractions, existing VariableManager/SDK</x:v>
      </x:c>
      <x:c r="H158" t="str">
        <x:v>现有底层保留；上层只见IVariableProvider</x:v>
      </x:c>
    </x:row>
    <x:row r="159">
      <x:c r="A159" t="str">
        <x:v>Variables</x:v>
      </x:c>
      <x:c r="B159" t="str">
        <x:v>CxVisual.Core / Project</x:v>
      </x:c>
      <x:c r="C159" t="str">
        <x:v>net48</x:v>
      </x:c>
      <x:c r="D159" t="str">
        <x:v>M1~M2</x:v>
      </x:c>
      <x:c r="E159" t="str">
        <x:v>VariableDefinition/VariableReference作为工程持久化模型；稳定VariableId</x:v>
      </x:c>
      <x:c r="F159" t="str">
        <x:v>Variables/Definitions/; References/</x:v>
      </x:c>
      <x:c r="G159" t="str">
        <x:v>Common, Abstractions</x:v>
      </x:c>
      <x:c r="H159" t="str">
        <x:v>不得持连接对象/瞬时Value</x:v>
      </x:c>
    </x:row>
    <x:row r="160">
      <x:c r="A160" t="str">
        <x:v>Variables</x:v>
      </x:c>
      <x:c r="B160" t="str">
        <x:v>CxVisual.Runtime.Core</x:v>
      </x:c>
      <x:c r="C160" t="str">
        <x:v>net48</x:v>
      </x:c>
      <x:c r="D160" t="str">
        <x:v>M2~M3</x:v>
      </x:c>
      <x:c r="E160" t="str">
        <x:v>VariableEngine订阅聚合/缓存/Quality/Sequence；Provider生命周期由Host统一管理</x:v>
      </x:c>
      <x:c r="F160" t="str">
        <x:v>Variables/Engine/; Subscriptions/; Store/</x:v>
      </x:c>
      <x:c r="G160" t="str">
        <x:v>Abstractions, Core</x:v>
      </x:c>
      <x:c r="H160" t="str">
        <x:v>UI不直接访问Legacy VariableManager</x:v>
      </x:c>
    </x:row>
    <x:row r="161">
      <x:c r="A161" t="str">
        <x:v>SCADA Graph</x:v>
      </x:c>
      <x:c r="B161" t="str">
        <x:v>CxVisual.Platform Graph + Automation/SCADA adapter</x:v>
      </x:c>
      <x:c r="C161" t="str">
        <x:v>net48</x:v>
      </x:c>
      <x:c r="D161" t="str">
        <x:v>M3</x:v>
      </x:c>
      <x:c r="E161" t="str">
        <x:v>VariableChanged/ReadVariable/WriteVariable节点通过统一Provider/WritePipeline</x:v>
      </x:c>
      <x:c r="F161" t="str">
        <x:v>Nodes/Scada/; VariableNodeAdapter/</x:v>
      </x:c>
      <x:c r="G161" t="str">
        <x:v>Graph.Core/Runtime, Abstractions, Security</x:v>
      </x:c>
      <x:c r="H161" t="str">
        <x:v>节点不能绕过WritePipeline</x:v>
      </x:c>
    </x:row>
    <x:row r="162">
      <x:c r="A162" t="str">
        <x:v>Write</x:v>
      </x:c>
      <x:c r="B162" t="str">
        <x:v>CxVisual.Security / Runtime</x:v>
      </x:c>
      <x:c r="C162" t="str">
        <x:v>net48</x:v>
      </x:c>
      <x:c r="D162" t="str">
        <x:v>M2~M3</x:v>
      </x:c>
      <x:c r="E162" t="str">
        <x:v>WritePipeline执行Mode/Auth/Type/Range/Interlock/Audit/Provider.Write/Readback</x:v>
      </x:c>
      <x:c r="F162" t="str">
        <x:v>Write/; Policies/; Audit/</x:v>
      </x:c>
      <x:c r="G162" t="str">
        <x:v>Abstractions, Security, Audit</x:v>
      </x:c>
      <x:c r="H162" t="str">
        <x:v>VariableTable.UpdateVariable不是设备写成功</x:v>
      </x:c>
    </x:row>
    <x:row r="163">
      <x:c r="A163" t="str">
        <x:v>Motion HW</x:v>
      </x:c>
      <x:c r="B163" t="str">
        <x:v>CxVisual.Automation public contracts</x:v>
      </x:c>
      <x:c r="C163" t="str">
        <x:v>net48</x:v>
      </x:c>
      <x:c r="D163" t="str">
        <x:v>M4</x:v>
      </x:c>
      <x:c r="E163" t="str">
        <x:v>Controller/PLC/Fieldbus/Axis/Actuator/IO/Sensor/Trigger/Safety/Process设备窄接口</x:v>
      </x:c>
      <x:c r="F163" t="str">
        <x:v>Contracts/Hardware/</x:v>
      </x:c>
      <x:c r="G163" t="str">
        <x:v>Abstractions, Graph contracts</x:v>
      </x:c>
      <x:c r="H163" t="str">
        <x:v>按Capability组合，不建万能Device接口</x:v>
      </x:c>
    </x:row>
    <x:row r="164">
      <x:c r="A164" t="str">
        <x:v>Motion HW</x:v>
      </x:c>
      <x:c r="B164" t="str">
        <x:v>CxVisual.Automation.Drivers / Motion</x:v>
      </x:c>
      <x:c r="C164" t="str">
        <x:v>net48</x:v>
      </x:c>
      <x:c r="D164" t="str">
        <x:v>M4</x:v>
      </x:c>
      <x:c r="E164" t="str">
        <x:v>厂商运动卡/PLC/EtherCAT/驱动器/安全/工艺设备Adapter与Provider</x:v>
      </x:c>
      <x:c r="F164" t="str">
        <x:v>Providers/; VendorAdapters/</x:v>
      </x:c>
      <x:c r="G164" t="str">
        <x:v>Motion contracts, Vendor SDK</x:v>
      </x:c>
      <x:c r="H164" t="str">
        <x:v>Vendor类型不得进入Core/Graph/Studio</x:v>
      </x:c>
    </x:row>
    <x:row r="165">
      <x:c r="A165" t="str">
        <x:v>Lifecycle</x:v>
      </x:c>
      <x:c r="B165" t="str">
        <x:v>Runtime Composition Root</x:v>
      </x:c>
      <x:c r="C165" t="str">
        <x:v>net48</x:v>
      </x:c>
      <x:c r="D165" t="str">
        <x:v>M1~M4</x:v>
      </x:c>
      <x:c r="E165" t="str">
        <x:v>Provider/Controller统一Create→Configure→Connect/Activate→Register→Dispose；失败回滚</x:v>
      </x:c>
      <x:c r="F165" t="str">
        <x:v>Bootstrap/; DeviceRegistry/</x:v>
      </x:c>
      <x:c r="G165" t="str">
        <x:v>Runtime/Core + Integration</x:v>
      </x:c>
      <x:c r="H165" t="str">
        <x:v>叶子Axis/IO不重复拥有共享SDK句柄</x:v>
      </x:c>
    </x:row>
    <x:row r="166">
      <x:c r="A166" s="118" t="str">
        <x:v>H. V6.4 真实物理 Solution 基线（当前代码事实）</x:v>
      </x:c>
      <x:c r="B166" s="118"/>
      <x:c r="C166" s="118"/>
      <x:c r="D166" s="118"/>
      <x:c r="E166" s="118"/>
      <x:c r="F166" s="118"/>
      <x:c r="G166" s="118"/>
      <x:c r="H166" s="118"/>
      <x:c r="I166" s="118"/>
      <x:c r="J166" s="118"/>
      <x:c r="K166" s="118"/>
    </x:row>
    <x:row r="167">
      <x:c r="A167" s="119" t="str">
        <x:v>层级</x:v>
      </x:c>
      <x:c r="B167" s="119" t="str">
        <x:v>项目</x:v>
      </x:c>
      <x:c r="C167" s="119" t="str">
        <x:v>物理路径/归属</x:v>
      </x:c>
      <x:c r="D167" s="119" t="str">
        <x:v>直接ProjectReference</x:v>
      </x:c>
      <x:c r="E167" s="119" t="str">
        <x:v>正式职责</x:v>
      </x:c>
      <x:c r="F167" s="119" t="str">
        <x:v>禁止拥有</x:v>
      </x:c>
      <x:c r="G167" s="119" t="str">
        <x:v>部署/故障边界</x:v>
      </x:c>
      <x:c r="H167" s="119" t="str">
        <x:v>状态</x:v>
      </x:c>
      <x:c r="I167" s="119" t="str">
        <x:v>证据</x:v>
      </x:c>
      <x:c r="J167" s="119" t="str">
        <x:v>备注</x:v>
      </x:c>
      <x:c r="K167" s="119"/>
    </x:row>
    <x:row r="168">
      <x:c r="A168" s="117" t="str">
        <x:v>00.Platform</x:v>
      </x:c>
      <x:c r="B168" s="117" t="str">
        <x:v>CxVisual.Platform</x:v>
      </x:c>
      <x:c r="C168" s="117" t="str">
        <x:v>00.Platform/CxVisual.Platform</x:v>
      </x:c>
      <x:c r="D168" s="117" t="str">
        <x:v>—</x:v>
      </x:c>
      <x:c r="E168" s="117" t="str">
        <x:v>Resource/Ref、Graph基础、Variable/Command/State/Event/Stream、Security/Diagnostics/Version等平台机制</x:v>
      </x:c>
      <x:c r="F168" s="117" t="str">
        <x:v>Axis/Robot/Modbus/FDK/Judge等专业语义</x:v>
      </x:c>
      <x:c r="G168" s="117" t="str">
        <x:v>共享库</x:v>
      </x:c>
      <x:c r="H168" s="117" t="str">
        <x:v>V6.4</x:v>
      </x:c>
      <x:c r="I168" s="117" t="str">
        <x:v>csproj/Source Gate</x:v>
      </x:c>
      <x:c r="J168" s="117" t="str">
        <x:v>核心不得反向依赖Workbench</x:v>
      </x:c>
      <x:c r="K168" s="117"/>
    </x:row>
    <x:row r="169">
      <x:c r="A169" s="117" t="str">
        <x:v>00.Platform</x:v>
      </x:c>
      <x:c r="B169" s="117" t="str">
        <x:v>CxVisual.Platform.Presentation.Wpf</x:v>
      </x:c>
      <x:c r="C169" s="117" t="str">
        <x:v>00.Platform/...Presentation.Wpf</x:v>
      </x:c>
      <x:c r="D169" s="117" t="str">
        <x:v>Platform</x:v>
      </x:c>
      <x:c r="E169" s="117" t="str">
        <x:v>平台级WPF呈现基础</x:v>
      </x:c>
      <x:c r="F169" s="117" t="str">
        <x:v>专业Workbench编辑语义</x:v>
      </x:c>
      <x:c r="G169" s="117" t="str">
        <x:v>WPF库</x:v>
      </x:c>
      <x:c r="H169" s="117" t="str">
        <x:v>V6.4</x:v>
      </x:c>
      <x:c r="I169" s="117" t="str">
        <x:v>csproj</x:v>
      </x:c>
      <x:c r="J169" s="117" t="str"/>
      <x:c r="K169" s="117"/>
    </x:row>
    <x:row r="170">
      <x:c r="A170" s="117" t="str">
        <x:v>00.Platform/兼容</x:v>
      </x:c>
      <x:c r="B170" s="117" t="str">
        <x:v>CxVisual.WinFormsHost</x:v>
      </x:c>
      <x:c r="C170" s="117" t="str">
        <x:v>00.Platform/CxVisual.WinFormsHost</x:v>
      </x:c>
      <x:c r="D170" s="117" t="str">
        <x:v>Platform; Workbenches.Presentation; Runtime.Host</x:v>
      </x:c>
      <x:c r="E170" s="117" t="str">
        <x:v>历史WinForms宿主兼容</x:v>
      </x:c>
      <x:c r="F170" s="117" t="str">
        <x:v>平台核心业务</x:v>
      </x:c>
      <x:c r="G170" s="117" t="str">
        <x:v>兼容Host</x:v>
      </x:c>
      <x:c r="H170" s="117" t="str">
        <x:v>V6.4</x:v>
      </x:c>
      <x:c r="I170" s="117" t="str">
        <x:v>csproj</x:v>
      </x:c>
      <x:c r="J170" s="117" t="str">
        <x:v>后续可按ADR迁Compatibility目录</x:v>
      </x:c>
      <x:c r="K170" s="117"/>
    </x:row>
    <x:row r="171">
      <x:c r="A171" s="117" t="str">
        <x:v>01.Workbenches</x:v>
      </x:c>
      <x:c r="B171" s="117" t="str">
        <x:v>CxVisual.Automation</x:v>
      </x:c>
      <x:c r="C171" s="117" t="str">
        <x:v>01.Automation</x:v>
      </x:c>
      <x:c r="D171" s="117" t="str">
        <x:v>Platform</x:v>
      </x:c>
      <x:c r="E171" s="117" t="str">
        <x:v>ICS/SCADA/Motion/Robot/IO/Acquisition/XRay/DAQ/Test等Automation核心</x:v>
      </x:c>
      <x:c r="F171" s="117" t="str">
        <x:v>Vision/CT/Inspection内部算法</x:v>
      </x:c>
      <x:c r="G171" s="117" t="str">
        <x:v>专业Core</x:v>
      </x:c>
      <x:c r="H171" s="117" t="str">
        <x:v>V6.4</x:v>
      </x:c>
      <x:c r="I171" s="117" t="str">
        <x:v>csproj</x:v>
      </x:c>
      <x:c r="J171" s="117" t="str">
        <x:v>Motion/Robot为内部能力族</x:v>
      </x:c>
      <x:c r="K171" s="117"/>
    </x:row>
    <x:row r="172">
      <x:c r="A172" s="117" t="str">
        <x:v>01.Workbenches</x:v>
      </x:c>
      <x:c r="B172" s="117" t="str">
        <x:v>CxVisual.Automation.Drivers</x:v>
      </x:c>
      <x:c r="C172" s="117" t="str">
        <x:v>01.Automation</x:v>
      </x:c>
      <x:c r="D172" s="117" t="str">
        <x:v>Platform; Automation</x:v>
      </x:c>
      <x:c r="E172" s="117" t="str">
        <x:v>Modbus/Vendor Driver/Provider/协议Binding</x:v>
      </x:c>
      <x:c r="F172" s="117" t="str">
        <x:v>Platform机制/HMI业务</x:v>
      </x:c>
      <x:c r="G172" s="117" t="str">
        <x:v>Driver边缘</x:v>
      </x:c>
      <x:c r="H172" s="117" t="str">
        <x:v>V6.4</x:v>
      </x:c>
      <x:c r="I172" s="117" t="str">
        <x:v>Modbus TCP Case</x:v>
      </x:c>
      <x:c r="J172" s="117" t="str">
        <x:v>Vendor依赖只在此</x:v>
      </x:c>
      <x:c r="K172" s="117"/>
    </x:row>
    <x:row r="173">
      <x:c r="A173" s="117" t="str">
        <x:v>01.Workbenches</x:v>
      </x:c>
      <x:c r="B173" s="117" t="str">
        <x:v>CxVisual.Simulation</x:v>
      </x:c>
      <x:c r="C173" s="117" t="str">
        <x:v>02.Simulation</x:v>
      </x:c>
      <x:c r="D173" s="117" t="str">
        <x:v>Platform; Automation(当前V6.4)</x:v>
      </x:c>
      <x:c r="E173" s="117" t="str">
        <x:v>Virtual/Replay/Fault/Scenario/Hybrid</x:v>
      </x:c>
      <x:c r="F173" s="117" t="str">
        <x:v>复制Real工程</x:v>
      </x:c>
      <x:c r="G173" s="117" t="str">
        <x:v>专业Core</x:v>
      </x:c>
      <x:c r="H173" s="117" t="str">
        <x:v>V6.4</x:v>
      </x:c>
      <x:c r="I173" s="117" t="str">
        <x:v>csproj</x:v>
      </x:c>
      <x:c r="J173" s="117" t="str">
        <x:v>后续审查是否进一步契约化解耦</x:v>
      </x:c>
      <x:c r="K173" s="117"/>
    </x:row>
    <x:row r="174">
      <x:c r="A174" s="117" t="str">
        <x:v>01.Workbenches</x:v>
      </x:c>
      <x:c r="B174" s="117" t="str">
        <x:v>CxVisual.HMI</x:v>
      </x:c>
      <x:c r="C174" s="117" t="str">
        <x:v>03.HMI</x:v>
      </x:c>
      <x:c r="D174" s="117" t="str">
        <x:v>Platform</x:v>
      </x:c>
      <x:c r="E174" s="117" t="str">
        <x:v>Page/Symbol/Binding/State/Action/Trend/Viewer</x:v>
      </x:c>
      <x:c r="F174" s="117" t="str">
        <x:v>设备控制/算法/检测业务</x:v>
      </x:c>
      <x:c r="G174" s="117" t="str">
        <x:v>专业Core</x:v>
      </x:c>
      <x:c r="H174" s="117" t="str">
        <x:v>V6.4</x:v>
      </x:c>
      <x:c r="I174" s="117" t="str">
        <x:v>csproj</x:v>
      </x:c>
      <x:c r="J174" s="117" t="str"/>
      <x:c r="K174" s="117"/>
    </x:row>
    <x:row r="175">
      <x:c r="A175" s="117" t="str">
        <x:v>01.Workbenches</x:v>
      </x:c>
      <x:c r="B175" s="117" t="str">
        <x:v>CxVisual.Vision</x:v>
      </x:c>
      <x:c r="C175" s="117" t="str">
        <x:v>04.Vision</x:v>
      </x:c>
      <x:c r="D175" s="117" t="str">
        <x:v>Platform</x:v>
      </x:c>
      <x:c r="E175" s="117" t="str">
        <x:v>2D Image/ROI/Calibration/Traditional/AI/Pipeline</x:v>
      </x:c>
      <x:c r="F175" s="117" t="str">
        <x:v>相机硬件控制/最终产品判定</x:v>
      </x:c>
      <x:c r="G175" s="117" t="str">
        <x:v>专业Core/Worker可扩展</x:v>
      </x:c>
      <x:c r="H175" s="117" t="str">
        <x:v>V6.4</x:v>
      </x:c>
      <x:c r="I175" s="117" t="str">
        <x:v>csproj</x:v>
      </x:c>
      <x:c r="J175" s="117" t="str"/>
      <x:c r="K175" s="117"/>
    </x:row>
    <x:row r="176">
      <x:c r="A176" s="117" t="str">
        <x:v>01.Workbenches</x:v>
      </x:c>
      <x:c r="B176" s="117" t="str">
        <x:v>CxVisual.CT3D</x:v>
      </x:c>
      <x:c r="C176" s="117" t="str">
        <x:v>05.CT3D</x:v>
      </x:c>
      <x:c r="D176" s="117" t="str">
        <x:v>Platform</x:v>
      </x:c>
      <x:c r="E176" s="117" t="str">
        <x:v>Projection/Geometry/Calibration/Recon/Volume/3D Analysis</x:v>
      </x:c>
      <x:c r="F176" s="117" t="str">
        <x:v>XRay/Axis控制/最终产品判定</x:v>
      </x:c>
      <x:c r="G176" s="117" t="str">
        <x:v>专业Core/Heavy Worker</x:v>
      </x:c>
      <x:c r="H176" s="117" t="str">
        <x:v>V6.4</x:v>
      </x:c>
      <x:c r="I176" s="117" t="str">
        <x:v>csproj</x:v>
      </x:c>
      <x:c r="J176" s="117" t="str">
        <x:v>与Vision平级</x:v>
      </x:c>
      <x:c r="K176" s="117"/>
    </x:row>
    <x:row r="177">
      <x:c r="A177" s="117" t="str">
        <x:v>01.Workbenches</x:v>
      </x:c>
      <x:c r="B177" s="117" t="str">
        <x:v>CxVisual.Inspection</x:v>
      </x:c>
      <x:c r="C177" s="117" t="str">
        <x:v>06.Inspection</x:v>
      </x:c>
      <x:c r="D177" s="117" t="str">
        <x:v>Platform</x:v>
      </x:c>
      <x:c r="E177" s="117" t="str">
        <x:v>Product/Plan/Point/Judge/Recheck/Review/Result/Recovery/MES</x:v>
      </x:c>
      <x:c r="F177" s="117" t="str">
        <x:v>Vendor SDK/专业算法内部</x:v>
      </x:c>
      <x:c r="G177" s="117" t="str">
        <x:v>专业Core/Durable Runtime</x:v>
      </x:c>
      <x:c r="H177" s="117" t="str">
        <x:v>V6.4</x:v>
      </x:c>
      <x:c r="I177" s="117" t="str">
        <x:v>csproj</x:v>
      </x:c>
      <x:c r="J177" s="117" t="str"/>
      <x:c r="K177" s="117"/>
    </x:row>
    <x:row r="178">
      <x:c r="A178" s="117" t="str">
        <x:v>01.Workbenches</x:v>
      </x:c>
      <x:c r="B178" s="117" t="str">
        <x:v>CxVisual.Workbenches.Presentation.Wpf</x:v>
      </x:c>
      <x:c r="C178" s="117" t="str">
        <x:v>01.Workbenches root</x:v>
      </x:c>
      <x:c r="D178" s="117" t="str">
        <x:v>Platform; Platform.Presentation; 6 Workbenches</x:v>
      </x:c>
      <x:c r="E178" s="117" t="str">
        <x:v>六Workbench统一WPF专业编辑/Viewer贡献</x:v>
      </x:c>
      <x:c r="F178" s="117" t="str">
        <x:v>专业Runtime内部执行</x:v>
      </x:c>
      <x:c r="G178" s="117" t="str">
        <x:v>Presentation</x:v>
      </x:c>
      <x:c r="H178" s="117" t="str">
        <x:v>V6.4</x:v>
      </x:c>
      <x:c r="I178" s="117" t="str">
        <x:v>csproj</x:v>
      </x:c>
      <x:c r="J178" s="117" t="str">
        <x:v>Core不得反向依赖</x:v>
      </x:c>
      <x:c r="K178" s="117"/>
    </x:row>
    <x:row r="179">
      <x:c r="A179" s="117" t="str">
        <x:v>02.Host</x:v>
      </x:c>
      <x:c r="B179" s="117" t="str">
        <x:v>CxVisual.Studio</x:v>
      </x:c>
      <x:c r="C179" s="117" t="str">
        <x:v>02.Host/CxVisual.Studio</x:v>
      </x:c>
      <x:c r="D179" s="117" t="str">
        <x:v>Platform+Presentation+6 Workbenches</x:v>
      </x:c>
      <x:c r="E179" s="117" t="str">
        <x:v>Engineering Plane Composition Root</x:v>
      </x:c>
      <x:c r="F179" s="117" t="str">
        <x:v>Vendor SDK/专业执行算法</x:v>
      </x:c>
      <x:c r="G179" s="117" t="str">
        <x:v>工程Host</x:v>
      </x:c>
      <x:c r="H179" s="117" t="str">
        <x:v>V6.4</x:v>
      </x:c>
      <x:c r="I179" s="117" t="str">
        <x:v>csproj</x:v>
      </x:c>
      <x:c r="J179" s="117" t="str">
        <x:v>Studio关闭不应影响Target Runtime</x:v>
      </x:c>
      <x:c r="K179" s="117"/>
    </x:row>
    <x:row r="180">
      <x:c r="A180" s="117" t="str">
        <x:v>02.Host</x:v>
      </x:c>
      <x:c r="B180" s="117" t="str">
        <x:v>CxVisual.Runtime.Host</x:v>
      </x:c>
      <x:c r="C180" s="117" t="str">
        <x:v>02.Host/CxVisual.Runtime.Host</x:v>
      </x:c>
      <x:c r="D180" s="117" t="str">
        <x:v>Platform+Presentation+6 Workbenches</x:v>
      </x:c>
      <x:c r="E180" s="117" t="str">
        <x:v>Production Runtime Composition Root</x:v>
      </x:c>
      <x:c r="F180" s="117" t="str">
        <x:v>Studio工程编辑状态</x:v>
      </x:c>
      <x:c r="G180" s="117" t="str">
        <x:v>生产Host</x:v>
      </x:c>
      <x:c r="H180" s="117" t="str">
        <x:v>V6.4</x:v>
      </x:c>
      <x:c r="I180" s="117" t="str">
        <x:v>csproj</x:v>
      </x:c>
      <x:c r="J180" s="117" t="str">
        <x:v>本地自治</x:v>
      </x:c>
      <x:c r="K180" s="117"/>
    </x:row>
    <x:row r="181">
      <x:c r="A181" s="117" t="str">
        <x:v>02.Host</x:v>
      </x:c>
      <x:c r="B181" s="117" t="str">
        <x:v>CxVisual.Operations</x:v>
      </x:c>
      <x:c r="C181" s="117" t="str">
        <x:v>02.Host/CxVisual.Operations</x:v>
      </x:c>
      <x:c r="D181" s="117" t="str">
        <x:v>Platform; Station.Agent(当前V6.4)</x:v>
      </x:c>
      <x:c r="E181" s="117" t="str">
        <x:v>Fleet/Version/Deploy/Remote/Case管理面</x:v>
      </x:c>
      <x:c r="F181" s="117" t="str">
        <x:v>产品Task执行</x:v>
      </x:c>
      <x:c r="G181" s="117" t="str">
        <x:v>Management Host</x:v>
      </x:c>
      <x:c r="H181" s="117" t="str">
        <x:v>V6.4</x:v>
      </x:c>
      <x:c r="I181" s="117" t="str">
        <x:v>csproj</x:v>
      </x:c>
      <x:c r="J181" s="117" t="str">
        <x:v>中心故障不得停产</x:v>
      </x:c>
      <x:c r="K181" s="117"/>
    </x:row>
    <x:row r="182">
      <x:c r="A182" s="117" t="str">
        <x:v>02.Host</x:v>
      </x:c>
      <x:c r="B182" s="117" t="str">
        <x:v>CxVisual.Station.Agent</x:v>
      </x:c>
      <x:c r="C182" s="117" t="str">
        <x:v>02.Host/CxVisual.Station.Agent</x:v>
      </x:c>
      <x:c r="D182" s="117" t="str">
        <x:v>Platform</x:v>
      </x:c>
      <x:c r="E182" s="117" t="str">
        <x:v>站端Inventory/Health/Version/Deploy/Debug窄管理能力</x:v>
      </x:c>
      <x:c r="F182" s="117" t="str">
        <x:v>生产主循环</x:v>
      </x:c>
      <x:c r="G182" s="117" t="str">
        <x:v>Agent可故障隔离</x:v>
      </x:c>
      <x:c r="H182" s="117" t="str">
        <x:v>V6.4</x:v>
      </x:c>
      <x:c r="I182" s="117" t="str">
        <x:v>csproj</x:v>
      </x:c>
      <x:c r="J182" s="117" t="str"/>
      <x:c r="K182" s="117"/>
    </x:row>
    <x:row r="183">
      <x:c r="A183" s="117" t="str">
        <x:v>99.Tests</x:v>
      </x:c>
      <x:c r="B183" s="117" t="str">
        <x:v>CxVisual.Tests</x:v>
      </x:c>
      <x:c r="C183" s="117" t="str">
        <x:v>99.Tests</x:v>
      </x:c>
      <x:c r="D183" s="117" t="str">
        <x:v>生产项目</x:v>
      </x:c>
      <x:c r="E183" s="117" t="str">
        <x:v>Unit/Contract/Integration/Architecture/Case</x:v>
      </x:c>
      <x:c r="F183" s="117" t="str">
        <x:v>生产代码</x:v>
      </x:c>
      <x:c r="G183" s="117" t="str">
        <x:v>测试</x:v>
      </x:c>
      <x:c r="H183" s="117" t="str">
        <x:v>V6.4</x:v>
      </x:c>
      <x:c r="I183" s="117" t="str">
        <x:v>71 PASS静态/Case + 5 PASS源码Gate</x:v>
      </x:c>
      <x:c r="J183" s="117" t="str">
        <x:v>Windows执行仍待</x:v>
      </x:c>
      <x:c r="K183" s="117"/>
    </x:row>
    <x:row r="184">
      <x:c r="A184" s="117" t="str">
        <x:v>99.Tests</x:v>
      </x:c>
      <x:c r="B184" s="117" t="str">
        <x:v>CxVisual.UiSmoke</x:v>
      </x:c>
      <x:c r="C184" s="117" t="str">
        <x:v>99.Tests</x:v>
      </x:c>
      <x:c r="D184" s="117" t="str">
        <x:v>Platform/Studio/Runtime.Host</x:v>
      </x:c>
      <x:c r="E184" s="117" t="str">
        <x:v>WPF/STA/UI Smoke</x:v>
      </x:c>
      <x:c r="F184" s="117" t="str">
        <x:v>生产逻辑</x:v>
      </x:c>
      <x:c r="G184" s="117" t="str">
        <x:v>测试</x:v>
      </x:c>
      <x:c r="H184" s="117" t="str">
        <x:v>V6.4</x:v>
      </x:c>
      <x:c r="I184" s="117" t="str">
        <x:v>脚本已准备</x:v>
      </x:c>
      <x:c r="J184" s="117" t="str">
        <x:v>Windows执行仍待</x:v>
      </x:c>
      <x:c r="K184" s="117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24" hidden="0" customWidth="1"/>
    <x:col min="4" max="4" width="22" hidden="0" customWidth="1"/>
    <x:col min="5" max="5" width="44" hidden="0" customWidth="1"/>
    <x:col min="6" max="6" width="34" hidden="0" customWidth="1"/>
    <x:col min="7" max="7" width="24" hidden="0" customWidth="1"/>
    <x:col min="8" max="8" width="36" hidden="0" customWidth="1"/>
  </x:cols>
  <x:sheetData>
    <x:row r="1" ht="30" customHeight="1">
      <x:c r="A1" s="137" t="str">
        <x:v>CxVisual V6.4 — Platform 公共接口、核心类与能力边界</x:v>
      </x:c>
      <x:c r="B1" s="137"/>
      <x:c r="C1" s="137"/>
      <x:c r="D1" s="137"/>
      <x:c r="E1" s="137"/>
      <x:c r="F1" s="137"/>
      <x:c r="G1" s="137"/>
      <x:c r="H1" s="137"/>
    </x:row>
    <x:row r="2" ht="38" customHeight="1">
      <x:c r="A2" s="16" t="str">
        <x:v>只保留跨Domain长期稳定的公共Contract、核心Visual类、Runtime/Graph/Debug公共接口与Static边界；Domain专业类回到各自蓝图。</x:v>
      </x:c>
      <x:c r="B2" s="16" t="str">
        <x:v>只保留跨Workbench长期稳定的机制与Contract；Motion/Robot/PLC/协议等专业语义全部归Automation；CT3D与Vision平级；V6.5候选新增Universal Variable Foundation。</x:v>
      </x:c>
      <x:c r="C2" s="16"/>
      <x:c r="D2" s="16"/>
      <x:c r="E2" s="16"/>
      <x:c r="F2" s="16"/>
      <x:c r="G2" s="16"/>
      <x:c r="H2" s="16"/>
    </x:row>
    <x:row r="3">
      <x:c r="A3" s="30" t="str">
        <x:v>本页唯一权威</x:v>
      </x:c>
      <x:c r="B3" s="31" t="str">
        <x:v>IEditorCommand、Metadata/Binding/Project/Runtime/Graph/Debug/Version/Resource、IVariableProvider/VariableValue/WritePipeline、Industrial Hardware Capability等公共契约。</x:v>
      </x:c>
      <x:c r="C3" s="31"/>
      <x:c r="D3" s="31"/>
      <x:c r="E3" s="31"/>
      <x:c r="F3" s="31"/>
      <x:c r="G3" s="31"/>
      <x:c r="H3" s="31"/>
    </x:row>
    <x:row r="4">
      <x:c r="A4" s="30" t="str">
        <x:v>不在本页维护</x:v>
      </x:c>
      <x:c r="B4" s="31" t="str">
        <x:v>Motion/Robot/Vision/CT/Inspection/Operations专业类；分别见27~39。</x:v>
      </x:c>
      <x:c r="C4" s="31"/>
      <x:c r="D4" s="31"/>
      <x:c r="E4" s="31"/>
      <x:c r="F4" s="31"/>
      <x:c r="G4" s="31"/>
      <x:c r="H4" s="31"/>
    </x:row>
    <x:row r="5">
      <x:c r="A5" s="30" t="str">
        <x:v>关联分页</x:v>
      </x:c>
      <x:c r="B5" s="31" t="str">
        <x:v>03/04；17/18 Automation/Runtime；19~26 Graph；27~39 Workbenches；46/50通用变量；49_V6.4同步审计。</x:v>
      </x:c>
      <x:c r="C5" s="31"/>
      <x:c r="D5" s="31"/>
      <x:c r="E5" s="31"/>
      <x:c r="F5" s="31"/>
      <x:c r="G5" s="31"/>
      <x:c r="H5" s="31"/>
    </x:row>
    <x:row r="6">
      <x:c r="A6"/>
      <x:c r="B6"/>
      <x:c r="C6"/>
      <x:c r="D6"/>
      <x:c r="E6"/>
      <x:c r="F6"/>
      <x:c r="G6"/>
      <x:c r="H6"/>
    </x:row>
    <x:row r="7" ht="24" customHeight="1">
      <x:c r="A7" s="40" t="str">
        <x:v>A. 核心接口契约</x:v>
      </x:c>
      <x:c r="B7" s="40"/>
      <x:c r="C7" s="40"/>
      <x:c r="D7" s="40"/>
      <x:c r="E7" s="40"/>
      <x:c r="F7" s="40"/>
      <x:c r="G7" s="40"/>
      <x:c r="H7" s="40"/>
    </x:row>
    <x:row r="8" ht="28" customHeight="1">
      <x:c r="A8" s="50" t="str">
        <x:v>接口</x:v>
      </x:c>
      <x:c r="B8" s="50" t="str">
        <x:v>程序集</x:v>
      </x:c>
      <x:c r="C8" s="50" t="str">
        <x:v>职责</x:v>
      </x:c>
      <x:c r="D8" s="50" t="str">
        <x:v>关键成员</x:v>
      </x:c>
      <x:c r="E8" s="50" t="str">
        <x:v>生命周期</x:v>
      </x:c>
      <x:c r="F8" s="50" t="str">
        <x:v>实现/扩展方</x:v>
      </x:c>
      <x:c r="G8" s="50" t="str">
        <x:v>模式</x:v>
      </x:c>
      <x:c r="H8" s="50" t="str">
        <x:v>备注</x:v>
      </x:c>
    </x:row>
    <x:row r="9">
      <x:c r="A9" s="58" t="str">
        <x:v>IElementFactory</x:v>
      </x:c>
      <x:c r="B9" s="58" t="str">
        <x:v>CxVisual.Core</x:v>
      </x:c>
      <x:c r="C9" s="58" t="str">
        <x:v>按稳定typeId创建ElementModel并应用默认元数据</x:v>
      </x:c>
      <x:c r="D9" s="58" t="str">
        <x:v>string TypeId {get;} ; ElementModel Create(ElementCreateContext ctx)</x:v>
      </x:c>
      <x:c r="E9" s="58" t="str">
        <x:v>Application/Registry</x:v>
      </x:c>
      <x:c r="F9" s="58" t="str">
        <x:v>内置类型、插件</x:v>
      </x:c>
      <x:c r="G9" s="58" t="str">
        <x:v>Factory</x:v>
      </x:c>
      <x:c r="H9" s="58" t="str">
        <x:v>Toolbox、Paste、Deserialize可复用</x:v>
      </x:c>
    </x:row>
    <x:row r="10">
      <x:c r="A10" s="66" t="str">
        <x:v>IElementRenderer</x:v>
      </x:c>
      <x:c r="B10" s="66" t="str">
        <x:v>CxVisual.Rendering.Wpf</x:v>
      </x:c>
      <x:c r="C10" s="66" t="str">
        <x:v>把ElementModel解析为WPF视觉并支持增量更新/命中边界</x:v>
      </x:c>
      <x:c r="D10" s="66" t="str">
        <x:v>string TypeId; VisualHandle Create(ElementModel, RenderContext); void Update(...); Rect GetBounds(...)</x:v>
      </x:c>
      <x:c r="E10" s="66" t="str">
        <x:v>Scene</x:v>
      </x:c>
      <x:c r="F10" s="66" t="str">
        <x:v>内置/插件renderer</x:v>
      </x:c>
      <x:c r="G10" s="66" t="str">
        <x:v>Strategy/Bridge</x:v>
      </x:c>
      <x:c r="H10" s="66" t="str">
        <x:v>不要把Renderer实例保存进Model</x:v>
      </x:c>
    </x:row>
    <x:row r="11">
      <x:c r="A11" s="58" t="str">
        <x:v>IRendererRegistry</x:v>
      </x:c>
      <x:c r="B11" s="58" t="str">
        <x:v>CxVisual.Rendering.Wpf</x:v>
      </x:c>
      <x:c r="C11" s="58" t="str">
        <x:v>typeId→renderer查找/注册</x:v>
      </x:c>
      <x:c r="D11" s="58" t="str">
        <x:v>void Register(IElementRenderer); IElementRenderer Get(string typeId); bool TryGet(...)</x:v>
      </x:c>
      <x:c r="E11" s="58" t="str">
        <x:v>Host/Application</x:v>
      </x:c>
      <x:c r="F11" s="58" t="str">
        <x:v>Composition Root/PluginHost</x:v>
      </x:c>
      <x:c r="G11" s="58" t="str">
        <x:v>Registry</x:v>
      </x:c>
      <x:c r="H11" s="58" t="str">
        <x:v>实例化，不做全局static</x:v>
      </x:c>
    </x:row>
    <x:row r="12">
      <x:c r="A12" s="66" t="str">
        <x:v>IEditorCommand</x:v>
      </x:c>
      <x:c r="B12" s="66" t="str">
        <x:v>CxVisual.Commands</x:v>
      </x:c>
      <x:c r="C12" s="66" t="str">
        <x:v>表示一次可撤销工程修改</x:v>
      </x:c>
      <x:c r="D12" s="66" t="str">
        <x:v>string Description; void Execute(); void Undo(); bool TryMerge(IEditorCommand next)</x:v>
      </x:c>
      <x:c r="E12" s="66" t="str">
        <x:v>Document History</x:v>
      </x:c>
      <x:c r="F12" s="66" t="str">
        <x:v>所有编辑操作</x:v>
      </x:c>
      <x:c r="G12" s="66" t="str">
        <x:v>Command</x:v>
      </x:c>
      <x:c r="H12" s="66" t="str">
        <x:v>Redo通常再次Execute或单独Redo</x:v>
      </x:c>
    </x:row>
    <x:row r="13">
      <x:c r="A13" s="58" t="str">
        <x:v>ICommandHistory</x:v>
      </x:c>
      <x:c r="B13" s="58" t="str">
        <x:v>CxVisual.Commands</x:v>
      </x:c>
      <x:c r="C13" s="58" t="str">
        <x:v>管理Undo/Redo与事务</x:v>
      </x:c>
      <x:c r="D13" s="58" t="str">
        <x:v>void Execute(IEditorCommand); bool CanUndo; void Undo(); void Redo(); IDisposable BeginTransaction(string name)</x:v>
      </x:c>
      <x:c r="E13" s="58" t="str">
        <x:v>DesignerDocument</x:v>
      </x:c>
      <x:c r="F13" s="58" t="str">
        <x:v>CommandHistory</x:v>
      </x:c>
      <x:c r="G13" s="58" t="str">
        <x:v>Command/Memento</x:v>
      </x:c>
      <x:c r="H13" s="58" t="str">
        <x:v>Document级实例</x:v>
      </x:c>
    </x:row>
    <x:row r="14">
      <x:c r="A14" s="66" t="str">
        <x:v>IEditorTool</x:v>
      </x:c>
      <x:c r="B14" s="66" t="str">
        <x:v>CxVisual.Designer.Application</x:v>
      </x:c>
      <x:c r="C14" s="66" t="str">
        <x:v>封装设计器鼠标/键盘交互状态</x:v>
      </x:c>
      <x:c r="D14" s="66" t="str">
        <x:v>string ToolId; void Activate(ToolContext); void Deactivate(); ToolResult PointerDown/Move/Up(...); void Cancel()</x:v>
      </x:c>
      <x:c r="E14" s="66" t="str">
        <x:v>Active Tool</x:v>
      </x:c>
      <x:c r="F14" s="66" t="str">
        <x:v>Pointer/Line/Rect/Polyline/Path/Pan等</x:v>
      </x:c>
      <x:c r="G14" s="66" t="str">
        <x:v>State/Strategy</x:v>
      </x:c>
      <x:c r="H14" s="66" t="str">
        <x:v>工具不直接保存工程，提交Command</x:v>
      </x:c>
    </x:row>
    <x:row r="15">
      <x:c r="A15" s="58" t="str">
        <x:v>ISelectionService</x:v>
      </x:c>
      <x:c r="B15" s="58" t="str">
        <x:v>CxVisual.Designer.Application</x:v>
      </x:c>
      <x:c r="C15" s="58" t="str">
        <x:v>管理单选/多选/主选中、选择变化通知</x:v>
      </x:c>
      <x:c r="D15" s="58" t="str">
        <x:v>IReadOnlyList&lt;string&gt; SelectedIds; string PrimaryId; void Set(...); void Toggle(...); event EventHandler Changed</x:v>
      </x:c>
      <x:c r="E15" s="58" t="str">
        <x:v>DesignerDocument</x:v>
      </x:c>
      <x:c r="F15" s="58" t="str">
        <x:v>SelectionService</x:v>
      </x:c>
      <x:c r="G15" s="58" t="str">
        <x:v>Mediator participant</x:v>
      </x:c>
      <x:c r="H15" s="58" t="str">
        <x:v>不持久化到Project</x:v>
      </x:c>
    </x:row>
    <x:row r="16">
      <x:c r="A16" s="66" t="str">
        <x:v>IDesignerEventBus</x:v>
      </x:c>
      <x:c r="B16" s="66" t="str">
        <x:v>CxVisual.Designer.Application</x:v>
      </x:c>
      <x:c r="C16" s="66" t="str">
        <x:v>Document作用域面板事件协调</x:v>
      </x:c>
      <x:c r="D16" s="66" t="str">
        <x:v>IDisposable Subscribe&lt;T&gt;(Action&lt;T&gt;); void Publish&lt;T&gt;(T evt)</x:v>
      </x:c>
      <x:c r="E16" s="66" t="str">
        <x:v>DesignerDocument</x:v>
      </x:c>
      <x:c r="F16" s="66" t="str">
        <x:v>DesignerEventBus</x:v>
      </x:c>
      <x:c r="G16" s="66" t="str">
        <x:v>Mediator/Event Aggregator</x:v>
      </x:c>
      <x:c r="H16" s="66" t="str">
        <x:v>避免static全局bus</x:v>
      </x:c>
    </x:row>
    <x:row r="17">
      <x:c r="A17" s="58" t="str">
        <x:v>IPropertyMetadataRegistry</x:v>
      </x:c>
      <x:c r="B17" s="58" t="str">
        <x:v>CxVisual.Core/Designer</x:v>
      </x:c>
      <x:c r="C17" s="58" t="str">
        <x:v>按Element type和property key提供属性描述</x:v>
      </x:c>
      <x:c r="D17" s="58" t="str">
        <x:v>PropertyDescriptor Get(string typeId,string key); IEnumerable&lt;PropertyDescriptor&gt; GetAll(string typeId)</x:v>
      </x:c>
      <x:c r="E17" s="58" t="str">
        <x:v>Application</x:v>
      </x:c>
      <x:c r="F17" s="58" t="str">
        <x:v>内置/插件</x:v>
      </x:c>
      <x:c r="G17" s="58" t="str">
        <x:v>Registry/Metadata</x:v>
      </x:c>
      <x:c r="H17" s="58" t="str">
        <x:v>Property UI数据驱动</x:v>
      </x:c>
    </x:row>
    <x:row r="18">
      <x:c r="A18" s="66" t="str">
        <x:v>IPropertyEditorFactory</x:v>
      </x:c>
      <x:c r="B18" s="66" t="str">
        <x:v>CxVisual.Designer.Wpf</x:v>
      </x:c>
      <x:c r="C18" s="66" t="str">
        <x:v>为PropertyDescriptor选择WPF编辑器</x:v>
      </x:c>
      <x:c r="D18" s="66" t="str">
        <x:v>FrameworkElement CreateEditor(PropertyEditorContext ctx)</x:v>
      </x:c>
      <x:c r="E18" s="66" t="str">
        <x:v>Designer</x:v>
      </x:c>
      <x:c r="F18" s="66" t="str">
        <x:v>内置/插件</x:v>
      </x:c>
      <x:c r="G18" s="66" t="str">
        <x:v>Factory/Strategy</x:v>
      </x:c>
      <x:c r="H18" s="66" t="str">
        <x:v>Color/Enum/Binding/Resource等编辑器</x:v>
      </x:c>
    </x:row>
    <x:row r="19">
      <x:c r="A19" s="58" t="str">
        <x:v>IVariableProvider</x:v>
      </x:c>
      <x:c r="B19" s="58" t="str">
        <x:v>CxVisual.Abstractions</x:v>
      </x:c>
      <x:c r="C19" s="58" t="str">
        <x:v>统一变量元数据/读/写/订阅/诊断</x:v>
      </x:c>
      <x:c r="D19" s="58" t="str">
        <x:v>string ProviderId; VariableMetadata GetMetadata(string id); VariableValue Read(string id); WriteResult Write(string id, object value); IVariableSubscription Subscribe(IEnumerable&lt;string&gt; ids, Action&lt;VariableChangeBatch&gt; cb); ProviderDiagnostics GetDiagnostics()</x:v>
      </x:c>
      <x:c r="E19" s="58" t="str">
        <x:v>Runtime/Debug session</x:v>
      </x:c>
      <x:c r="F19" s="58" t="str">
        <x:v>Existing/Simulation/Replay/Plugin</x:v>
      </x:c>
      <x:c r="G19" s="58" t="str">
        <x:v>Adapter/Observer</x:v>
      </x:c>
      <x:c r="H19" s="58" t="str">
        <x:v>现有变量系统只需实现此接口</x:v>
      </x:c>
    </x:row>
    <x:row r="20">
      <x:c r="A20" s="66" t="str">
        <x:v>IVariableSubscription</x:v>
      </x:c>
      <x:c r="B20" s="66" t="str">
        <x:v>CxVisual.Abstractions</x:v>
      </x:c>
      <x:c r="C20" s="66" t="str">
        <x:v>变量订阅生命周期句柄</x:v>
      </x:c>
      <x:c r="D20" s="66" t="str">
        <x:v>IReadOnlyCollection&lt;string&gt; VariableIds; void Dispose()</x:v>
      </x:c>
      <x:c r="E20" s="66" t="str">
        <x:v>Subscription</x:v>
      </x:c>
      <x:c r="F20" s="66" t="str">
        <x:v>Provider</x:v>
      </x:c>
      <x:c r="G20" s="66" t="str">
        <x:v>Observer</x:v>
      </x:c>
      <x:c r="H20" s="66" t="str">
        <x:v>必须可释放</x:v>
      </x:c>
    </x:row>
    <x:row r="21">
      <x:c r="A21" s="58" t="str">
        <x:v>IBindingResolver</x:v>
      </x:c>
      <x:c r="B21" s="58" t="str">
        <x:v>CxVisual.Runtime.Core</x:v>
      </x:c>
      <x:c r="C21" s="58" t="str">
        <x:v>解析某种BindingModel并产生值/依赖变量</x:v>
      </x:c>
      <x:c r="D21" s="58" t="str">
        <x:v>string BindingTypeId; BindingPlan Compile(BindingModel model, BindingCompileContext ctx); ResolvedValue Evaluate(BindingPlan plan, RuntimeEvaluationContext ctx)</x:v>
      </x:c>
      <x:c r="E21" s="58" t="str">
        <x:v>Runtime</x:v>
      </x:c>
      <x:c r="F21" s="58" t="str">
        <x:v>Tag/Property/Expression/StateMap等</x:v>
      </x:c>
      <x:c r="G21" s="58" t="str">
        <x:v>Strategy</x:v>
      </x:c>
      <x:c r="H21" s="58" t="str">
        <x:v>Compile与Evaluate分离便于缓存</x:v>
      </x:c>
    </x:row>
    <x:row r="22">
      <x:c r="A22" s="66" t="str">
        <x:v>IValueConverterEx</x:v>
      </x:c>
      <x:c r="B22" s="66" t="str">
        <x:v>CxVisual.Runtime.Core</x:v>
      </x:c>
      <x:c r="C22" s="66" t="str">
        <x:v>纯/可诊断值转换</x:v>
      </x:c>
      <x:c r="D22" s="66" t="str">
        <x:v>string ConverterTypeId; ConversionResult Convert(object value, ConverterContext ctx)</x:v>
      </x:c>
      <x:c r="E22" s="66" t="str">
        <x:v>Application/Runtime</x:v>
      </x:c>
      <x:c r="F22" s="66" t="str">
        <x:v>内置/插件</x:v>
      </x:c>
      <x:c r="G22" s="66" t="str">
        <x:v>Strategy</x:v>
      </x:c>
      <x:c r="H22" s="66" t="str">
        <x:v>多数实现应无状态，可单例实例但registry持有</x:v>
      </x:c>
    </x:row>
    <x:row r="23">
      <x:c r="A23" s="58" t="str">
        <x:v>IActionExecutor</x:v>
      </x:c>
      <x:c r="B23" s="58" t="str">
        <x:v>CxVisual.Runtime.Core</x:v>
      </x:c>
      <x:c r="C23" s="58" t="str">
        <x:v>执行某种ActionModel</x:v>
      </x:c>
      <x:c r="D23" s="58" t="str">
        <x:v>string ActionTypeId; ActionResult Execute(ActionModel action, ActionContext ctx)</x:v>
      </x:c>
      <x:c r="E23" s="58" t="str">
        <x:v>Runtime</x:v>
      </x:c>
      <x:c r="F23" s="58" t="str">
        <x:v>Write/Navigate/Popup/Custom</x:v>
      </x:c>
      <x:c r="G23" s="58" t="str">
        <x:v>Command-like Strategy</x:v>
      </x:c>
      <x:c r="H23" s="58" t="str">
        <x:v>真实写入必须委托WritePipeline</x:v>
      </x:c>
    </x:row>
    <x:row r="24">
      <x:c r="A24" s="66" t="str">
        <x:v>IAuthorizationService</x:v>
      </x:c>
      <x:c r="B24" s="66" t="str">
        <x:v>CxVisual.Security</x:v>
      </x:c>
      <x:c r="C24" s="66" t="str">
        <x:v>判断当前用户对资源/动作是否有权限</x:v>
      </x:c>
      <x:c r="D24" s="66" t="str">
        <x:v>AuthorizationResult Authorize(UserContext user, PermissionRequest request)</x:v>
      </x:c>
      <x:c r="E24" s="66" t="str">
        <x:v>Runtime session</x:v>
      </x:c>
      <x:c r="F24" s="66" t="str">
        <x:v>Host adapter / internal</x:v>
      </x:c>
      <x:c r="G24" s="66" t="str">
        <x:v>Specification/Strategy</x:v>
      </x:c>
      <x:c r="H24" s="66" t="str">
        <x:v>当前用户不static</x:v>
      </x:c>
    </x:row>
    <x:row r="25">
      <x:c r="A25" s="58" t="str">
        <x:v>IWritePolicy</x:v>
      </x:c>
      <x:c r="B25" s="58" t="str">
        <x:v>CxVisual.Security</x:v>
      </x:c>
      <x:c r="C25" s="58" t="str">
        <x:v>真实写入前统一安全校验/确认策略</x:v>
      </x:c>
      <x:c r="D25" s="58" t="str">
        <x:v>WritePolicyResult Validate(WriteRequest request, RuntimeSecurityContext ctx)</x:v>
      </x:c>
      <x:c r="E25" s="58" t="str">
        <x:v>Runtime</x:v>
      </x:c>
      <x:c r="F25" s="58" t="str">
        <x:v>Default/Project-specific</x:v>
      </x:c>
      <x:c r="G25" s="58" t="str">
        <x:v>Chain/Policy</x:v>
      </x:c>
      <x:c r="H25" s="58" t="str">
        <x:v>Write pipeline统一调用</x:v>
      </x:c>
    </x:row>
    <x:row r="26">
      <x:c r="A26" s="66" t="str">
        <x:v>IAuditService</x:v>
      </x:c>
      <x:c r="B26" s="66" t="str">
        <x:v>CxVisual.Audit</x:v>
      </x:c>
      <x:c r="C26" s="66" t="str">
        <x:v>异步写入安全审计</x:v>
      </x:c>
      <x:c r="D26" s="66" t="str">
        <x:v>void Append(AuditEvent evt); void Flush();</x:v>
      </x:c>
      <x:c r="E26" s="66" t="str">
        <x:v>Application/Runtime</x:v>
      </x:c>
      <x:c r="F26" s="66" t="str">
        <x:v>File/DB/custom</x:v>
      </x:c>
      <x:c r="G26" s="66" t="str">
        <x:v>Gateway</x:v>
      </x:c>
      <x:c r="H26" s="66" t="str">
        <x:v>失败策略必须明确</x:v>
      </x:c>
    </x:row>
    <x:row r="27">
      <x:c r="A27" s="58" t="str">
        <x:v>IProjectStore</x:v>
      </x:c>
      <x:c r="B27" s="58" t="str">
        <x:v>CxVisual.PackageStore</x:v>
      </x:c>
      <x:c r="C27" s="58" t="str">
        <x:v>Open/Save/Recovery的统一外观</x:v>
      </x:c>
      <x:c r="D27" s="58" t="str">
        <x:v>ProjectLoadResult Load(string path); ProjectSaveResult Save(ProjectSnapshot snapshot,string path); RecoveryInfo FindRecovery(...)</x:v>
      </x:c>
      <x:c r="E27" s="58" t="str">
        <x:v>Application</x:v>
      </x:c>
      <x:c r="F27" s="58" t="str">
        <x:v>Directory/Package</x:v>
      </x:c>
      <x:c r="G27" s="58" t="str">
        <x:v>Facade/Gateway</x:v>
      </x:c>
      <x:c r="H27" s="58" t="str">
        <x:v>保存内部tmp/bak原子替换</x:v>
      </x:c>
    </x:row>
    <x:row r="28">
      <x:c r="A28" s="66" t="str">
        <x:v>IProjectMigration</x:v>
      </x:c>
      <x:c r="B28" s="66" t="str">
        <x:v>CxVisual.Serialization</x:v>
      </x:c>
      <x:c r="C28" s="66" t="str">
        <x:v>单步工程Schema升级</x:v>
      </x:c>
      <x:c r="D28" s="66" t="str">
        <x:v>int FromVersion; int ToVersion; JObject Migrate(JObject root, MigrationContext ctx)</x:v>
      </x:c>
      <x:c r="E28" s="66" t="str">
        <x:v>Application</x:v>
      </x:c>
      <x:c r="F28" s="66" t="str">
        <x:v>每版本新增</x:v>
      </x:c>
      <x:c r="G28" s="66" t="str">
        <x:v>Chain</x:v>
      </x:c>
      <x:c r="H28" s="66" t="str">
        <x:v>迁移对原文件只读，先备份</x:v>
      </x:c>
    </x:row>
    <x:row r="29">
      <x:c r="A29" s="58" t="str">
        <x:v>IProjectValidator</x:v>
      </x:c>
      <x:c r="B29" s="58" t="str">
        <x:v>CxVisual.Serialization</x:v>
      </x:c>
      <x:c r="C29" s="58" t="str">
        <x:v>工程级校验并聚合Diagnostic</x:v>
      </x:c>
      <x:c r="D29" s="58" t="str">
        <x:v>ValidationReport Validate(ProjectModel project, ValidationContext ctx)</x:v>
      </x:c>
      <x:c r="E29" s="58" t="str">
        <x:v>Stateless service</x:v>
      </x:c>
      <x:c r="F29" s="58" t="str">
        <x:v>ValidationPipeline</x:v>
      </x:c>
      <x:c r="G29" s="58" t="str">
        <x:v>Chain</x:v>
      </x:c>
      <x:c r="H29" s="58" t="str">
        <x:v>发布使用Strict模式</x:v>
      </x:c>
    </x:row>
    <x:row r="30">
      <x:c r="A30" s="66" t="str">
        <x:v>IResourceStore</x:v>
      </x:c>
      <x:c r="B30" s="66" t="str">
        <x:v>CxVisual.Resources</x:v>
      </x:c>
      <x:c r="C30" s="66" t="str">
        <x:v>ResourceId到二进制/元数据的IO边界</x:v>
      </x:c>
      <x:c r="D30" s="66" t="str">
        <x:v>ResourceEntry Import(string file); Stream OpenRead(string id); bool Exists(string id); void RemoveUnused(...)</x:v>
      </x:c>
      <x:c r="E30" s="66" t="str">
        <x:v>Project session</x:v>
      </x:c>
      <x:c r="F30" s="66" t="str">
        <x:v>Directory/Package</x:v>
      </x:c>
      <x:c r="G30" s="66" t="str">
        <x:v>Repository/Gateway</x:v>
      </x:c>
      <x:c r="H30" s="66" t="str">
        <x:v>资源缓存另设实例</x:v>
      </x:c>
    </x:row>
    <x:row r="31">
      <x:c r="A31" s="58" t="str">
        <x:v>ISvgImporter</x:v>
      </x:c>
      <x:c r="B31" s="58" t="str">
        <x:v>CxVisual.Svg.Wpf</x:v>
      </x:c>
      <x:c r="C31" s="58" t="str">
        <x:v>SVG安全扫描、分析、Plan、执行导入</x:v>
      </x:c>
      <x:c r="D31" s="58" t="str">
        <x:v>SvgAnalysis Analyze(Stream); SvgImportPlan BuildPlan(...); SvgImportResult Import(SvgImportPlan plan)</x:v>
      </x:c>
      <x:c r="E31" s="58" t="str">
        <x:v>Designer</x:v>
      </x:c>
      <x:c r="F31" s="58" t="str">
        <x:v>SharpVectors adapter</x:v>
      </x:c>
      <x:c r="G31" s="58" t="str">
        <x:v>Adapter/Builder</x:v>
      </x:c>
      <x:c r="H31" s="58" t="str">
        <x:v>复杂SVG可整体模式</x:v>
      </x:c>
    </x:row>
    <x:row r="32">
      <x:c r="A32" s="66" t="str">
        <x:v>ISvgExporter</x:v>
      </x:c>
      <x:c r="B32" s="66" t="str">
        <x:v>CxVisual.Svg.Wpf</x:v>
      </x:c>
      <x:c r="C32" s="66" t="str">
        <x:v>标准SVG/工程SVG导出</x:v>
      </x:c>
      <x:c r="D32" s="66" t="str">
        <x:v>SvgExportResult Export(ElementSelection selection, SvgExportOptions options, Stream output)</x:v>
      </x:c>
      <x:c r="E32" s="66" t="str">
        <x:v>Designer</x:v>
      </x:c>
      <x:c r="F32" s="66" t="str">
        <x:v>WPF/Core exporter</x:v>
      </x:c>
      <x:c r="G32" s="66" t="str">
        <x:v>Visitor/Strategy</x:v>
      </x:c>
      <x:c r="H32" s="66" t="str">
        <x:v>不直接暴露SharpVectors类型</x:v>
      </x:c>
    </x:row>
    <x:row r="33">
      <x:c r="A33" s="58" t="str">
        <x:v>ISymbolDefinitionCatalog</x:v>
      </x:c>
      <x:c r="B33" s="58" t="str">
        <x:v>CxVisual.Core/Components</x:v>
      </x:c>
      <x:c r="C33" s="58" t="str">
        <x:v>SymbolDefinition/内置模板/metadata注册</x:v>
      </x:c>
      <x:c r="D33" s="58" t="str">
        <x:v>void Register(ComponentDescriptor); ComponentDescriptor Get(string id/version);</x:v>
      </x:c>
      <x:c r="E33" s="58" t="str">
        <x:v>Application</x:v>
      </x:c>
      <x:c r="F33" s="58" t="str">
        <x:v>内置/PluginHost</x:v>
      </x:c>
      <x:c r="G33" s="58" t="str">
        <x:v>Registry</x:v>
      </x:c>
      <x:c r="H33" s="58" t="str">
        <x:v>Definition本体来自工程/库</x:v>
      </x:c>
    </x:row>
    <x:row r="34">
      <x:c r="A34" s="66" t="str">
        <x:v>IUiDispatcher</x:v>
      </x:c>
      <x:c r="B34" s="66" t="str">
        <x:v>CxVisual.Abstractions</x:v>
      </x:c>
      <x:c r="C34" s="66" t="str">
        <x:v>Runtime.Core到UI提交的窄接口</x:v>
      </x:c>
      <x:c r="D34" s="66" t="str">
        <x:v>bool CheckAccess(); void Post(Action action); void Invoke(Action action)</x:v>
      </x:c>
      <x:c r="E34" s="66" t="str">
        <x:v>Host</x:v>
      </x:c>
      <x:c r="F34" s="66" t="str">
        <x:v>WpfUiDispatcher/Fake</x:v>
      </x:c>
      <x:c r="G34" s="66" t="str">
        <x:v>Adapter</x:v>
      </x:c>
      <x:c r="H34" s="66" t="str">
        <x:v>Core不引用Dispatcher</x:v>
      </x:c>
    </x:row>
    <x:row r="35">
      <x:c r="A35" s="58" t="str">
        <x:v>IClock</x:v>
      </x:c>
      <x:c r="B35" s="58" t="str">
        <x:v>CxVisual.Abstractions</x:v>
      </x:c>
      <x:c r="C35" s="58" t="str">
        <x:v>可测试当前时间</x:v>
      </x:c>
      <x:c r="D35" s="58" t="str">
        <x:v>DateTime UtcNow {get;}</x:v>
      </x:c>
      <x:c r="E35" s="58" t="str">
        <x:v>Application</x:v>
      </x:c>
      <x:c r="F35" s="58" t="str">
        <x:v>SystemClock/FakeClock</x:v>
      </x:c>
      <x:c r="G35" s="58" t="str">
        <x:v>Strategy</x:v>
      </x:c>
      <x:c r="H35" s="58" t="str">
        <x:v>避免核心到处DateTime.Now</x:v>
      </x:c>
    </x:row>
    <x:row r="36">
      <x:c r="A36" s="66" t="str">
        <x:v>IRuntimeHost</x:v>
      </x:c>
      <x:c r="B36" s="66" t="str">
        <x:v>CxVisual.Runtime.Core</x:v>
      </x:c>
      <x:c r="C36" s="66" t="str">
        <x:v>对Host暴露稳定运行API</x:v>
      </x:c>
      <x:c r="D36" s="66" t="str">
        <x:v>Load(path); Start(); Stop(); Reload(); NavigatePage(id); OpenPopup(id,args); SetVariableProvider(...); SetCurrentUser(...); RuntimeStatus Status {get;}</x:v>
      </x:c>
      <x:c r="E36" s="66" t="str">
        <x:v>Host control</x:v>
      </x:c>
      <x:c r="F36" s="66" t="str">
        <x:v>CxVisualRuntime</x:v>
      </x:c>
      <x:c r="G36" s="66" t="str">
        <x:v>Facade</x:v>
      </x:c>
      <x:c r="H36" s="66" t="str">
        <x:v>WinForms/独立Runtime都用</x:v>
      </x:c>
    </x:row>
    <x:row r="37">
      <x:c r="A37" s="58" t="str">
        <x:v>IHostActionGateway</x:v>
      </x:c>
      <x:c r="B37" s="58" t="str">
        <x:v>CxVisual.Abstractions</x:v>
      </x:c>
      <x:c r="C37" s="58" t="str">
        <x:v>WPF Runtime调用现有主程序预定义业务动作</x:v>
      </x:c>
      <x:c r="D37" s="58" t="str">
        <x:v>HostActionResult Execute(string actionId, IReadOnlyDictionary&lt;string,object&gt; args)</x:v>
      </x:c>
      <x:c r="E37" s="58" t="str">
        <x:v>Host session</x:v>
      </x:c>
      <x:c r="F37" s="58" t="str">
        <x:v>ExistingWinForms adapter</x:v>
      </x:c>
      <x:c r="G37" s="58" t="str">
        <x:v>Adapter</x:v>
      </x:c>
      <x:c r="H37" s="58" t="str">
        <x:v>禁止脚本任意调用主程序对象</x:v>
      </x:c>
    </x:row>
    <x:row r="38">
      <x:c r="A38" s="66" t="str">
        <x:v>ILoggerEx</x:v>
      </x:c>
      <x:c r="B38" s="66" t="str">
        <x:v>CxVisual.Abstractions</x:v>
      </x:c>
      <x:c r="C38" s="66" t="str">
        <x:v>平台内部结构化日志最小抽象</x:v>
      </x:c>
      <x:c r="D38" s="66" t="str">
        <x:v>void Debug/Info/Warn/Error(LogEvent evt, Exception ex=null)</x:v>
      </x:c>
      <x:c r="E38" s="66" t="str">
        <x:v>Host/Application</x:v>
      </x:c>
      <x:c r="F38" s="66" t="str">
        <x:v>接公司日志/MEL/Serilog adapter</x:v>
      </x:c>
      <x:c r="G38" s="66" t="str">
        <x:v>Adapter</x:v>
      </x:c>
      <x:c r="H38" s="66" t="str">
        <x:v>可提供静态CxVisualLog给边界代码，但Core依赖接口</x:v>
      </x:c>
    </x:row>
    <x:row r="39">
      <x:c r="A39"/>
      <x:c r="B39"/>
      <x:c r="C39"/>
      <x:c r="D39"/>
      <x:c r="E39"/>
      <x:c r="F39"/>
      <x:c r="G39"/>
      <x:c r="H39"/>
    </x:row>
    <x:row r="40">
      <x:c r="A40"/>
      <x:c r="B40"/>
      <x:c r="C40"/>
      <x:c r="D40"/>
      <x:c r="E40"/>
      <x:c r="F40"/>
      <x:c r="G40"/>
      <x:c r="H40"/>
    </x:row>
    <x:row r="41" ht="24" customHeight="1">
      <x:c r="A41" s="40" t="str">
        <x:v>B. 平台补充关键接口</x:v>
      </x:c>
      <x:c r="B41" s="40"/>
      <x:c r="C41" s="40"/>
      <x:c r="D41" s="40"/>
      <x:c r="E41" s="40"/>
      <x:c r="F41" s="40"/>
      <x:c r="G41" s="40"/>
      <x:c r="H41" s="40"/>
    </x:row>
    <x:row r="42" ht="28" customHeight="1">
      <x:c r="A42" s="50" t="str">
        <x:v>接口</x:v>
      </x:c>
      <x:c r="B42" s="50" t="str">
        <x:v>程序集</x:v>
      </x:c>
      <x:c r="C42" s="50" t="str">
        <x:v>职责</x:v>
      </x:c>
      <x:c r="D42" s="50" t="str">
        <x:v>关键成员</x:v>
      </x:c>
      <x:c r="E42" s="50" t="str">
        <x:v>生命周期</x:v>
      </x:c>
      <x:c r="F42" s="50" t="str">
        <x:v>实现/扩展方</x:v>
      </x:c>
      <x:c r="G42" s="50" t="str">
        <x:v>模式</x:v>
      </x:c>
      <x:c r="H42" s="50" t="str">
        <x:v>备注</x:v>
      </x:c>
    </x:row>
    <x:row r="43">
      <x:c r="A43" s="58" t="str">
        <x:v>IActionExecutor</x:v>
      </x:c>
      <x:c r="B43" s="58" t="str">
        <x:v>CxVisual.Runtime.Core</x:v>
      </x:c>
      <x:c r="C43" s="58" t="str">
        <x:v>执行一种ActionModel</x:v>
      </x:c>
      <x:c r="D43" s="58" t="str">
        <x:v>string ActionTypeId; Task&lt;ActionResult&gt; ExecuteAsync(...)</x:v>
      </x:c>
      <x:c r="E43" s="58" t="str">
        <x:v>Runtime/Application</x:v>
      </x:c>
      <x:c r="F43" s="58" t="str">
        <x:v>内置/插件Action</x:v>
      </x:c>
      <x:c r="G43" s="58" t="str">
        <x:v>Strategy/Registry</x:v>
      </x:c>
      <x:c r="H43" s="58" t="str">
        <x:v>执行前仍经Security/WritePipeline</x:v>
      </x:c>
    </x:row>
    <x:row r="44">
      <x:c r="A44" s="66" t="str">
        <x:v>IAuthorizationService</x:v>
      </x:c>
      <x:c r="B44" s="66" t="str">
        <x:v>CxVisual.Security</x:v>
      </x:c>
      <x:c r="C44" s="66" t="str">
        <x:v>用户/资源/动作权限判断</x:v>
      </x:c>
      <x:c r="D44" s="66" t="str">
        <x:v>AuthorizationResult Authorize(UserContext, PermissionRequest)</x:v>
      </x:c>
      <x:c r="E44" s="66" t="str">
        <x:v>Runtime session</x:v>
      </x:c>
      <x:c r="F44" s="66" t="str">
        <x:v>宿主/内置</x:v>
      </x:c>
      <x:c r="G44" s="66" t="str">
        <x:v>Specification</x:v>
      </x:c>
      <x:c r="H44" s="66" t="str">
        <x:v>不得读取static CurrentUser</x:v>
      </x:c>
    </x:row>
    <x:row r="45">
      <x:c r="A45" s="58" t="str">
        <x:v>IAuditService</x:v>
      </x:c>
      <x:c r="B45" s="58" t="str">
        <x:v>CxVisual.Audit</x:v>
      </x:c>
      <x:c r="C45" s="58" t="str">
        <x:v>可靠追加安全审计</x:v>
      </x:c>
      <x:c r="D45" s="58" t="str">
        <x:v>AppendAsync(AuditEvent); FlushAsync()</x:v>
      </x:c>
      <x:c r="E45" s="58" t="str">
        <x:v>Runtime/Application</x:v>
      </x:c>
      <x:c r="F45" s="58" t="str">
        <x:v>文件/DB/公司审计</x:v>
      </x:c>
      <x:c r="G45" s="58" t="str">
        <x:v>Gateway</x:v>
      </x:c>
      <x:c r="H45" s="58" t="str">
        <x:v>与ILogger分离</x:v>
      </x:c>
    </x:row>
    <x:row r="46">
      <x:c r="A46" s="66" t="str">
        <x:v>IChartAdapter</x:v>
      </x:c>
      <x:c r="B46" s="66" t="str">
        <x:v>CxVisual.Charts.Wpf</x:v>
      </x:c>
      <x:c r="C46" s="66" t="str">
        <x:v>平台ChartConfig/SeriesBuffer→具体图库</x:v>
      </x:c>
      <x:c r="D46" s="66" t="str">
        <x:v>Attach/Update/Detach</x:v>
      </x:c>
      <x:c r="E46" s="66" t="str">
        <x:v>Visual handle</x:v>
      </x:c>
      <x:c r="F46" s="66" t="str">
        <x:v>ScottPlot/未来实现</x:v>
      </x:c>
      <x:c r="G46" s="66" t="str">
        <x:v>Adapter</x:v>
      </x:c>
      <x:c r="H46" s="66" t="str">
        <x:v>图库对象不进Core</x:v>
      </x:c>
    </x:row>
    <x:row r="47">
      <x:c r="A47" s="58" t="str">
        <x:v>IResourceCache</x:v>
      </x:c>
      <x:c r="B47" s="58" t="str">
        <x:v>CxVisual.Resources</x:v>
      </x:c>
      <x:c r="C47" s="58" t="str">
        <x:v>按ResourceId/Hash缓存派生视觉对象</x:v>
      </x:c>
      <x:c r="D47" s="58" t="str">
        <x:v>Get/Put/Evict/Clear</x:v>
      </x:c>
      <x:c r="E47" s="58" t="str">
        <x:v>Project/Runtime</x:v>
      </x:c>
      <x:c r="F47" s="58" t="str">
        <x:v>WPF资源缓存</x:v>
      </x:c>
      <x:c r="G47" s="58" t="str">
        <x:v>Repository/Flyweight</x:v>
      </x:c>
      <x:c r="H47" s="58" t="str">
        <x:v>容量上限+Dispose</x:v>
      </x:c>
    </x:row>
    <x:row r="48">
      <x:c r="A48" s="66" t="str">
        <x:v>IAnimationScheduler</x:v>
      </x:c>
      <x:c r="B48" s="66" t="str">
        <x:v>CxVisual.Runtime.Core</x:v>
      </x:c>
      <x:c r="C48" s="66" t="str">
        <x:v>统一运行时动画tick</x:v>
      </x:c>
      <x:c r="D48" s="66" t="str">
        <x:v>Register/Unregister/PausePage/ResumePage</x:v>
      </x:c>
      <x:c r="E48" s="66" t="str">
        <x:v>Runtime session</x:v>
      </x:c>
      <x:c r="F48" s="66" t="str">
        <x:v>Runtime实现</x:v>
      </x:c>
      <x:c r="G48" s="66" t="str">
        <x:v>Scheduler</x:v>
      </x:c>
      <x:c r="H48" s="66" t="str">
        <x:v>禁止每对象Timer</x:v>
      </x:c>
    </x:row>
    <x:row r="49">
      <x:c r="A49"/>
      <x:c r="B49"/>
      <x:c r="C49"/>
      <x:c r="D49"/>
      <x:c r="E49"/>
      <x:c r="F49"/>
      <x:c r="G49"/>
      <x:c r="H49"/>
    </x:row>
    <x:row r="50">
      <x:c r="A50"/>
      <x:c r="B50"/>
      <x:c r="C50"/>
      <x:c r="D50"/>
      <x:c r="E50"/>
      <x:c r="F50"/>
      <x:c r="G50"/>
      <x:c r="H50"/>
    </x:row>
    <x:row r="51" ht="24" customHeight="1">
      <x:c r="A51" s="40" t="str">
        <x:v>C. 核心类总表</x:v>
      </x:c>
      <x:c r="B51" s="40"/>
      <x:c r="C51" s="40"/>
      <x:c r="D51" s="40"/>
      <x:c r="E51" s="40"/>
      <x:c r="F51" s="40"/>
      <x:c r="G51" s="40"/>
      <x:c r="H51" s="40"/>
    </x:row>
    <x:row r="52" ht="28" customHeight="1">
      <x:c r="A52" s="50" t="str">
        <x:v>类</x:v>
      </x:c>
      <x:c r="B52" s="50" t="str">
        <x:v>程序集</x:v>
      </x:c>
      <x:c r="C52" s="50" t="str">
        <x:v>类型/继承</x:v>
      </x:c>
      <x:c r="D52" s="50" t="str">
        <x:v>是否static</x:v>
      </x:c>
      <x:c r="E52" s="50" t="str">
        <x:v>核心字段/职责</x:v>
      </x:c>
      <x:c r="F52" s="50" t="str">
        <x:v>主要依赖</x:v>
      </x:c>
      <x:c r="G52" s="50" t="str">
        <x:v>模式</x:v>
      </x:c>
      <x:c r="H52" s="50" t="str">
        <x:v>生命周期/持久化</x:v>
      </x:c>
    </x:row>
    <x:row r="53">
      <x:c r="A53" s="58" t="str">
        <x:v>ProjectModel</x:v>
      </x:c>
      <x:c r="B53" s="58" t="str">
        <x:v>CxVisual.Core</x:v>
      </x:c>
      <x:c r="C53" s="58" t="str">
        <x:v>sealed root aggregate</x:v>
      </x:c>
      <x:c r="D53" s="58" t="str">
        <x:v>否</x:v>
      </x:c>
      <x:c r="E53" s="58" t="str">
        <x:v>Id/Name/FormatVersion/Settings/PageRefs/SymbolDefinitionRefs/VariableRefs/Resources</x:v>
      </x:c>
      <x:c r="F53" s="58" t="str">
        <x:v>PageModel, SymbolDefinition</x:v>
      </x:c>
      <x:c r="G53" s="58" t="str">
        <x:v>Aggregate</x:v>
      </x:c>
      <x:c r="H53" s="58" t="str">
        <x:v>Project session / UI无关</x:v>
      </x:c>
    </x:row>
    <x:row r="54">
      <x:c r="A54" s="66" t="str">
        <x:v>PageModel</x:v>
      </x:c>
      <x:c r="B54" s="66" t="str">
        <x:v>CxVisual.Core</x:v>
      </x:c>
      <x:c r="C54" s="66" t="str">
        <x:v>sealed entity</x:v>
      </x:c>
      <x:c r="D54" s="66" t="str">
        <x:v>否</x:v>
      </x:c>
      <x:c r="E54" s="66" t="str">
        <x:v>Id/Name/Size/Background/RootContainer/Layers/Parameters/TabConfig/StateRetention</x:v>
      </x:c>
      <x:c r="F54" s="66" t="str">
        <x:v>ContainerElementModel</x:v>
      </x:c>
      <x:c r="G54" s="66" t="str">
        <x:v>Composite root</x:v>
      </x:c>
      <x:c r="H54" s="66" t="str">
        <x:v>持久化</x:v>
      </x:c>
    </x:row>
    <x:row r="55">
      <x:c r="A55" s="58" t="str">
        <x:v>PopupModel</x:v>
      </x:c>
      <x:c r="B55" s="58" t="str">
        <x:v>CxVisual.Core</x:v>
      </x:c>
      <x:c r="C55" s="58" t="str">
        <x:v>sealed entity</x:v>
      </x:c>
      <x:c r="D55" s="58" t="str">
        <x:v>否</x:v>
      </x:c>
      <x:c r="E55" s="58" t="str">
        <x:v>Id/Title/RootContainer/Modal/Placement/Parameters/RuntimePolicy</x:v>
      </x:c>
      <x:c r="F55" s="58" t="str">
        <x:v>ContainerElementModel</x:v>
      </x:c>
      <x:c r="G55" s="58" t="str">
        <x:v>Composite root</x:v>
      </x:c>
      <x:c r="H55" s="58" t="str">
        <x:v>持久化</x:v>
      </x:c>
    </x:row>
    <x:row r="56">
      <x:c r="A56" s="66" t="str">
        <x:v>LayerModel</x:v>
      </x:c>
      <x:c r="B56" s="66" t="str">
        <x:v>CxVisual.Core</x:v>
      </x:c>
      <x:c r="C56" s="66" t="str">
        <x:v>sealed entity</x:v>
      </x:c>
      <x:c r="D56" s="66" t="str">
        <x:v>否</x:v>
      </x:c>
      <x:c r="E56" s="66" t="str">
        <x:v>Id/Name/Order/DesignVisible/Locked/Selectable/RuntimeVisibleBinding</x:v>
      </x:c>
      <x:c r="F56" s="66" t="str">
        <x:v>Element refs</x:v>
      </x:c>
      <x:c r="G56" s="66" t="str">
        <x:v>Value-ish entity</x:v>
      </x:c>
      <x:c r="H56" s="66" t="str">
        <x:v>持久化</x:v>
      </x:c>
    </x:row>
    <x:row r="57">
      <x:c r="A57" s="58" t="str">
        <x:v>ElementModel</x:v>
      </x:c>
      <x:c r="B57" s="58" t="str">
        <x:v>CxVisual.Core</x:v>
      </x:c>
      <x:c r="C57" s="58" t="str">
        <x:v>abstract</x:v>
      </x:c>
      <x:c r="D57" s="58" t="str">
        <x:v>否</x:v>
      </x:c>
      <x:c r="E57" s="58" t="str">
        <x:v>Id/TypeId/Name/ParentId/LayerId/Bounds/Transform/ZIndex/Visible/Locked/Style/Bindings/Events/Capabilities</x:v>
      </x:c>
      <x:c r="F57" s="58" t="str">
        <x:v>Geometry/Binding/Event</x:v>
      </x:c>
      <x:c r="G57" s="58" t="str">
        <x:v>Template data model</x:v>
      </x:c>
      <x:c r="H57" s="58" t="str">
        <x:v>持久化；无WPF</x:v>
      </x:c>
    </x:row>
    <x:row r="58">
      <x:c r="A58" s="66" t="str">
        <x:v>ShapeElementModel</x:v>
      </x:c>
      <x:c r="B58" s="66" t="str">
        <x:v>CxVisual.Core</x:v>
      </x:c>
      <x:c r="C58" s="66" t="str">
        <x:v>abstract : ElementModel</x:v>
      </x:c>
      <x:c r="D58" s="66" t="str">
        <x:v>否</x:v>
      </x:c>
      <x:c r="E58" s="66" t="str">
        <x:v>Geometry</x:v>
      </x:c>
      <x:c r="F58" s="66" t="str">
        <x:v>GeometryModel</x:v>
      </x:c>
      <x:c r="G58" s="66" t="str">
        <x:v>Inheritance only for stable is-a</x:v>
      </x:c>
      <x:c r="H58" s="66" t="str">
        <x:v>持久化</x:v>
      </x:c>
    </x:row>
    <x:row r="59">
      <x:c r="A59" s="58" t="str">
        <x:v>ControlElementModel</x:v>
      </x:c>
      <x:c r="B59" s="58" t="str">
        <x:v>CxVisual.Core</x:v>
      </x:c>
      <x:c r="C59" s="58" t="str">
        <x:v>sealed/typed model</x:v>
      </x:c>
      <x:c r="D59" s="58" t="str">
        <x:v>否</x:v>
      </x:c>
      <x:c r="E59" s="58" t="str">
        <x:v>ControlTypeId + typed PropertyBag/known props</x:v>
      </x:c>
      <x:c r="F59" s="58" t="str">
        <x:v>PropertyMetadata</x:v>
      </x:c>
      <x:c r="G59" s="58" t="str">
        <x:v>Composition</x:v>
      </x:c>
      <x:c r="H59" s="58" t="str">
        <x:v>持久化</x:v>
      </x:c>
    </x:row>
    <x:row r="60">
      <x:c r="A60" s="66" t="str">
        <x:v>ContainerElementModel</x:v>
      </x:c>
      <x:c r="B60" s="66" t="str">
        <x:v>CxVisual.Core</x:v>
      </x:c>
      <x:c r="C60" s="66" t="str">
        <x:v>abstract : ElementModel</x:v>
      </x:c>
      <x:c r="D60" s="66" t="str">
        <x:v>否</x:v>
      </x:c>
      <x:c r="E60" s="66" t="str">
        <x:v>Children + LayoutSpec</x:v>
      </x:c>
      <x:c r="F60" s="66" t="str">
        <x:v>ElementModel, ILayoutStrategy(runtime side)</x:v>
      </x:c>
      <x:c r="G60" s="66" t="str">
        <x:v>Composite</x:v>
      </x:c>
      <x:c r="H60" s="66" t="str">
        <x:v>持久化</x:v>
      </x:c>
    </x:row>
    <x:row r="61">
      <x:c r="A61" s="58" t="str">
        <x:v>GroupElementModel</x:v>
      </x:c>
      <x:c r="B61" s="58" t="str">
        <x:v>CxVisual.Core</x:v>
      </x:c>
      <x:c r="C61" s="58" t="str">
        <x:v>sealed : ContainerElementModel</x:v>
      </x:c>
      <x:c r="D61" s="58" t="str">
        <x:v>否</x:v>
      </x:c>
      <x:c r="E61" s="58" t="str">
        <x:v>Children/GroupTransform</x:v>
      </x:c>
      <x:c r="F61" s="58" t="str">
        <x:v>Element</x:v>
      </x:c>
      <x:c r="G61" s="58" t="str">
        <x:v>Composite</x:v>
      </x:c>
      <x:c r="H61" s="58" t="str">
        <x:v>持久化</x:v>
      </x:c>
    </x:row>
    <x:row r="62">
      <x:c r="A62" s="66" t="str">
        <x:v>DisplayElementModel</x:v>
      </x:c>
      <x:c r="B62" s="66" t="str">
        <x:v>CxVisual.Core</x:v>
      </x:c>
      <x:c r="C62" s="66" t="str">
        <x:v>abstract : ElementModel</x:v>
      </x:c>
      <x:c r="D62" s="66" t="str">
        <x:v>否</x:v>
      </x:c>
      <x:c r="E62" s="66" t="str">
        <x:v>Value/Format/Range/Unit/DisplayConfig；Chart使用独立ChartElementModel</x:v>
      </x:c>
      <x:c r="F62" s="66" t="str">
        <x:v>BindingModel</x:v>
      </x:c>
      <x:c r="G62" s="66" t="str">
        <x:v>Strategy metadata</x:v>
      </x:c>
      <x:c r="H62" s="66" t="str">
        <x:v>持久化</x:v>
      </x:c>
    </x:row>
    <x:row r="63">
      <x:c r="A63" s="58" t="str">
        <x:v>ImageElementModel</x:v>
      </x:c>
      <x:c r="B63" s="58" t="str">
        <x:v>CxVisual.Core</x:v>
      </x:c>
      <x:c r="C63" s="58" t="str">
        <x:v>sealed : ElementModel</x:v>
      </x:c>
      <x:c r="D63" s="58" t="str">
        <x:v>否</x:v>
      </x:c>
      <x:c r="E63" s="58" t="str">
        <x:v>ResourceId/Stretch/Crop</x:v>
      </x:c>
      <x:c r="F63" s="58" t="str">
        <x:v>ResourceEntry</x:v>
      </x:c>
      <x:c r="G63" s="58" t="str">
        <x:v>Composition</x:v>
      </x:c>
      <x:c r="H63" s="58" t="str">
        <x:v>持久化</x:v>
      </x:c>
    </x:row>
    <x:row r="64">
      <x:c r="A64" s="66" t="str">
        <x:v>TextElementModel</x:v>
      </x:c>
      <x:c r="B64" s="66" t="str">
        <x:v>CxVisual.Core</x:v>
      </x:c>
      <x:c r="C64" s="66" t="str">
        <x:v>sealed : ElementModel</x:v>
      </x:c>
      <x:c r="D64" s="66" t="str">
        <x:v>否</x:v>
      </x:c>
      <x:c r="E64" s="66" t="str">
        <x:v>Text/Font/Alignment/TextLayout</x:v>
      </x:c>
      <x:c r="F64" s="66" t="str">
        <x:v>StyleModel</x:v>
      </x:c>
      <x:c r="G64" s="66" t="str">
        <x:v>Composition</x:v>
      </x:c>
      <x:c r="H64" s="66" t="str">
        <x:v>持久化</x:v>
      </x:c>
    </x:row>
    <x:row r="65">
      <x:c r="A65" s="58" t="str">
        <x:v>SymbolDefinition</x:v>
      </x:c>
      <x:c r="B65" s="58" t="str">
        <x:v>CxVisual.Core</x:v>
      </x:c>
      <x:c r="C65" s="58" t="str">
        <x:v>sealed aggregate</x:v>
      </x:c>
      <x:c r="D65" s="58" t="str">
        <x:v>否</x:v>
      </x:c>
      <x:c r="E65" s="58" t="str">
        <x:v>Id/Name/Version/Children/PublicProperties/PropertyMappings/Ports/Events/States/Animations/Scripts/Metadata</x:v>
      </x:c>
      <x:c r="F65" s="58" t="str">
        <x:v>Element tree + Symbol contracts</x:v>
      </x:c>
      <x:c r="G65" s="58" t="str">
        <x:v>Definition/Instance</x:v>
      </x:c>
      <x:c r="H65" s="58" t="str">
        <x:v>持久化/共享；Definition不占页面</x:v>
      </x:c>
    </x:row>
    <x:row r="66">
      <x:c r="A66" s="66" t="str">
        <x:v>SymbolInstanceElementModel</x:v>
      </x:c>
      <x:c r="B66" s="66" t="str">
        <x:v>CxVisual.Core</x:v>
      </x:c>
      <x:c r="C66" s="66" t="str">
        <x:v>sealed : ElementModel</x:v>
      </x:c>
      <x:c r="D66" s="66" t="str">
        <x:v>否</x:v>
      </x:c>
      <x:c r="E66" s="66" t="str">
        <x:v>DefinitionId/ResolvedVersion/VersionPolicy/InstanceName/PublicPropertyOverrides/ParameterMappings/Bindings</x:v>
      </x:c>
      <x:c r="F66" s="66" t="str">
        <x:v>SymbolDefinition</x:v>
      </x:c>
      <x:c r="G66" s="66" t="str">
        <x:v>Flyweight-like instance</x:v>
      </x:c>
      <x:c r="H66" s="66" t="str">
        <x:v>持久化；运行地址隔离</x:v>
      </x:c>
    </x:row>
    <x:row r="67">
      <x:c r="A67" s="58" t="str">
        <x:v>SymbolPropertyDefinition</x:v>
      </x:c>
      <x:c r="B67" s="58" t="str">
        <x:v>CxVisual.Core</x:v>
      </x:c>
      <x:c r="C67" s="58" t="str">
        <x:v>sealed value object</x:v>
      </x:c>
      <x:c r="D67" s="58" t="str">
        <x:v>否</x:v>
      </x:c>
      <x:c r="E67" s="58" t="str">
        <x:v>Key/Type/Default/Unit/Description/Bindable/Direction/DeprecatedAlias</x:v>
      </x:c>
      <x:c r="F67" s="58" t="str">
        <x:v>SymbolDefinition</x:v>
      </x:c>
      <x:c r="G67" s="58" t="str">
        <x:v>Value object</x:v>
      </x:c>
      <x:c r="H67" s="58" t="str">
        <x:v>持久化；公开接口Key稳定</x:v>
      </x:c>
    </x:row>
    <x:row r="68">
      <x:c r="A68" s="66" t="str">
        <x:v>SymbolPropertyMapping</x:v>
      </x:c>
      <x:c r="B68" s="66" t="str">
        <x:v>CxVisual.Core</x:v>
      </x:c>
      <x:c r="C68" s="66" t="str">
        <x:v>sealed value object</x:v>
      </x:c>
      <x:c r="D68" s="66" t="str">
        <x:v>否</x:v>
      </x:c>
      <x:c r="E68" s="66" t="str">
        <x:v>SourceKey/TargetElementId|Alias|Role/TargetProperty/Converter</x:v>
      </x:c>
      <x:c r="F68" s="66" t="str">
        <x:v>SymbolObjectIndex</x:v>
      </x:c>
      <x:c r="G68" s="66" t="str">
        <x:v>Mapping config</x:v>
      </x:c>
      <x:c r="H68" s="66" t="str">
        <x:v>持久化；ID→Alias→Role解析</x:v>
      </x:c>
    </x:row>
    <x:row r="69">
      <x:c r="A69" s="58" t="str">
        <x:v>GeometryModel</x:v>
      </x:c>
      <x:c r="B69" s="58" t="str">
        <x:v>CxVisual.Core</x:v>
      </x:c>
      <x:c r="C69" s="58" t="str">
        <x:v>abstract value hierarchy</x:v>
      </x:c>
      <x:c r="D69" s="58" t="str">
        <x:v>否</x:v>
      </x:c>
      <x:c r="E69" s="58" t="str">
        <x:v>TypeId</x:v>
      </x:c>
      <x:c r="F69" s="58" t="str">
        <x:v>segments/value objects</x:v>
      </x:c>
      <x:c r="G69" s="58" t="str">
        <x:v>Polymorphism</x:v>
      </x:c>
      <x:c r="H69" s="58" t="str">
        <x:v>持久化/immutable优先</x:v>
      </x:c>
    </x:row>
    <x:row r="70">
      <x:c r="A70" s="66" t="str">
        <x:v>PathGeometryModel</x:v>
      </x:c>
      <x:c r="B70" s="66" t="str">
        <x:v>CxVisual.Core</x:v>
      </x:c>
      <x:c r="C70" s="66" t="str">
        <x:v>sealed : GeometryModel</x:v>
      </x:c>
      <x:c r="D70" s="66" t="str">
        <x:v>否</x:v>
      </x:c>
      <x:c r="E70" s="66" t="str">
        <x:v>Figures/FillRule</x:v>
      </x:c>
      <x:c r="F70" s="66" t="str">
        <x:v>PathFigureModel</x:v>
      </x:c>
      <x:c r="G70" s="66" t="str">
        <x:v>Composite-ish</x:v>
      </x:c>
      <x:c r="H70" s="66" t="str">
        <x:v>持久化</x:v>
      </x:c>
    </x:row>
    <x:row r="71">
      <x:c r="A71" s="58" t="str">
        <x:v>StyleModel</x:v>
      </x:c>
      <x:c r="B71" s="58" t="str">
        <x:v>CxVisual.Core</x:v>
      </x:c>
      <x:c r="C71" s="58" t="str">
        <x:v>sealed value object</x:v>
      </x:c>
      <x:c r="D71" s="58" t="str">
        <x:v>否</x:v>
      </x:c>
      <x:c r="E71" s="58" t="str">
        <x:v>Fill/Stroke/StrokeWidth/Dash/Opacity/Text style</x:v>
      </x:c>
      <x:c r="F71" s="58" t="str">
        <x:v>BrushModel</x:v>
      </x:c>
      <x:c r="G71" s="58" t="str">
        <x:v>Composition</x:v>
      </x:c>
      <x:c r="H71" s="58" t="str">
        <x:v>持久化；可clone</x:v>
      </x:c>
    </x:row>
    <x:row r="72">
      <x:c r="A72" s="66" t="str">
        <x:v>TransformModel</x:v>
      </x:c>
      <x:c r="B72" s="66" t="str">
        <x:v>CxVisual.Core</x:v>
      </x:c>
      <x:c r="C72" s="66" t="str">
        <x:v>sealed value object</x:v>
      </x:c>
      <x:c r="D72" s="66" t="str">
        <x:v>否</x:v>
      </x:c>
      <x:c r="E72" s="66" t="str">
        <x:v>Translate/Rotate/Scale/Skew/Origin</x:v>
      </x:c>
      <x:c r="F72" s="66" t="str">
        <x:v>TransformMath</x:v>
      </x:c>
      <x:c r="G72" s="66" t="str">
        <x:v>Value Object</x:v>
      </x:c>
      <x:c r="H72" s="66" t="str">
        <x:v>持久化</x:v>
      </x:c>
    </x:row>
    <x:row r="73">
      <x:c r="A73" s="58" t="str">
        <x:v>BindingModel</x:v>
      </x:c>
      <x:c r="B73" s="58" t="str">
        <x:v>CxVisual.Core</x:v>
      </x:c>
      <x:c r="C73" s="58" t="str">
        <x:v>abstract</x:v>
      </x:c>
      <x:c r="D73" s="58" t="str">
        <x:v>否</x:v>
      </x:c>
      <x:c r="E73" s="58" t="str">
        <x:v>TargetProperty/BindingTypeId/Fallback/QualityPolicy/Converters</x:v>
      </x:c>
      <x:c r="F73" s="58" t="str">
        <x:v>ConverterModel</x:v>
      </x:c>
      <x:c r="G73" s="58" t="str">
        <x:v>Strategy config</x:v>
      </x:c>
      <x:c r="H73" s="58" t="str">
        <x:v>持久化</x:v>
      </x:c>
    </x:row>
    <x:row r="74">
      <x:c r="A74" s="66" t="str">
        <x:v>TagBindingModel</x:v>
      </x:c>
      <x:c r="B74" s="66" t="str">
        <x:v>CxVisual.Core</x:v>
      </x:c>
      <x:c r="C74" s="66" t="str">
        <x:v>sealed : BindingModel</x:v>
      </x:c>
      <x:c r="D74" s="66" t="str">
        <x:v>否</x:v>
      </x:c>
      <x:c r="E74" s="66" t="str">
        <x:v>VariableId/PathFallback/UpdateRate/Mode</x:v>
      </x:c>
      <x:c r="F74" s="66" t="str">
        <x:v>VariableReference</x:v>
      </x:c>
      <x:c r="G74" s="66" t="str">
        <x:v>Strategy config</x:v>
      </x:c>
      <x:c r="H74" s="66" t="str">
        <x:v>持久化</x:v>
      </x:c>
    </x:row>
    <x:row r="75">
      <x:c r="A75" s="58" t="str">
        <x:v>ExpressionBindingModel</x:v>
      </x:c>
      <x:c r="B75" s="58" t="str">
        <x:v>CxVisual.Core</x:v>
      </x:c>
      <x:c r="C75" s="58" t="str">
        <x:v>sealed : BindingModel</x:v>
      </x:c>
      <x:c r="D75" s="58" t="str">
        <x:v>否</x:v>
      </x:c>
      <x:c r="E75" s="58" t="str">
        <x:v>Expression/Inputs</x:v>
      </x:c>
      <x:c r="F75" s="58" t="str">
        <x:v>Expression AST compiled runtime only</x:v>
      </x:c>
      <x:c r="G75" s="58" t="str">
        <x:v>Interpreter config</x:v>
      </x:c>
      <x:c r="H75" s="58" t="str">
        <x:v>持久化</x:v>
      </x:c>
    </x:row>
    <x:row r="76">
      <x:c r="A76" s="66" t="str">
        <x:v>EventBindingModel</x:v>
      </x:c>
      <x:c r="B76" s="66" t="str">
        <x:v>CxVisual.Core</x:v>
      </x:c>
      <x:c r="C76" s="66" t="str">
        <x:v>sealed</x:v>
      </x:c>
      <x:c r="D76" s="66" t="str">
        <x:v>否</x:v>
      </x:c>
      <x:c r="E76" s="66" t="str">
        <x:v>EventName/Actions</x:v>
      </x:c>
      <x:c r="F76" s="66" t="str">
        <x:v>ActionModel[]</x:v>
      </x:c>
      <x:c r="G76" s="66" t="str">
        <x:v>Composition</x:v>
      </x:c>
      <x:c r="H76" s="66" t="str">
        <x:v>持久化</x:v>
      </x:c>
    </x:row>
    <x:row r="77">
      <x:c r="A77" s="58" t="str">
        <x:v>ActionModel</x:v>
      </x:c>
      <x:c r="B77" s="58" t="str">
        <x:v>CxVisual.Core</x:v>
      </x:c>
      <x:c r="C77" s="58" t="str">
        <x:v>abstract</x:v>
      </x:c>
      <x:c r="D77" s="58" t="str">
        <x:v>否</x:v>
      </x:c>
      <x:c r="E77" s="58" t="str">
        <x:v>ActionTypeId/Condition/Permission</x:v>
      </x:c>
      <x:c r="F77" s="58" t="str">
        <x:v>executors</x:v>
      </x:c>
      <x:c r="G77" s="58" t="str">
        <x:v>Polymorphic config</x:v>
      </x:c>
      <x:c r="H77" s="58" t="str">
        <x:v>持久化</x:v>
      </x:c>
    </x:row>
    <x:row r="78">
      <x:c r="A78" s="66" t="str">
        <x:v>ResourceEntry</x:v>
      </x:c>
      <x:c r="B78" s="66" t="str">
        <x:v>CxVisual.Core</x:v>
      </x:c>
      <x:c r="C78" s="66" t="str">
        <x:v>sealed entity</x:v>
      </x:c>
      <x:c r="D78" s="66" t="str">
        <x:v>否</x:v>
      </x:c>
      <x:c r="E78" s="66" t="str">
        <x:v>Id/Kind/Hash/RelativePath/OriginalName/Metadata</x:v>
      </x:c>
      <x:c r="F78" s="66" t="str">
        <x:v>IResourceStore</x:v>
      </x:c>
      <x:c r="G78" s="66" t="str">
        <x:v>Entity data only</x:v>
      </x:c>
      <x:c r="H78" s="66" t="str">
        <x:v>持久化，不做IO</x:v>
      </x:c>
    </x:row>
    <x:row r="79">
      <x:c r="A79" s="58" t="str">
        <x:v>VariableReference</x:v>
      </x:c>
      <x:c r="B79" s="58" t="str">
        <x:v>CxVisual.Core</x:v>
      </x:c>
      <x:c r="C79" s="58" t="str">
        <x:v>sealed entity</x:v>
      </x:c>
      <x:c r="D79" s="58" t="str">
        <x:v>否</x:v>
      </x:c>
      <x:c r="E79" s="58" t="str">
        <x:v>Id/ProviderId/Path/Name/Type/Access/Unit/Description</x:v>
      </x:c>
      <x:c r="F79" s="58" t="str">
        <x:v>IVariableProvider runtime</x:v>
      </x:c>
      <x:c r="G79" s="58" t="str">
        <x:v>Stable identity</x:v>
      </x:c>
      <x:c r="H79" s="58" t="str">
        <x:v>持久化</x:v>
      </x:c>
    </x:row>
    <x:row r="80">
      <x:c r="A80" s="66" t="str">
        <x:v>DesignerDocument</x:v>
      </x:c>
      <x:c r="B80" s="66" t="str">
        <x:v>CxVisual.Designer.Application</x:v>
      </x:c>
      <x:c r="C80" s="66" t="str">
        <x:v>sealed coordinator</x:v>
      </x:c>
      <x:c r="D80" s="66" t="str">
        <x:v>否</x:v>
      </x:c>
      <x:c r="E80" s="66" t="str">
        <x:v>Project/Page document、Workspace、History、Selection、Tools</x:v>
      </x:c>
      <x:c r="F80" s="66" t="str">
        <x:v>services</x:v>
      </x:c>
      <x:c r="G80" s="66" t="str">
        <x:v>Facade/coordinator</x:v>
      </x:c>
      <x:c r="H80" s="66" t="str">
        <x:v>每打开文档1实例</x:v>
      </x:c>
    </x:row>
    <x:row r="81">
      <x:c r="A81" s="58" t="str">
        <x:v>DesignerWorkspace</x:v>
      </x:c>
      <x:c r="B81" s="58" t="str">
        <x:v>CxVisual.Designer.Application</x:v>
      </x:c>
      <x:c r="C81" s="58" t="str">
        <x:v>sealed state</x:v>
      </x:c>
      <x:c r="D81" s="58" t="str">
        <x:v>否</x:v>
      </x:c>
      <x:c r="E81" s="58" t="str">
        <x:v>Zoom/Pan/ActivePage/ActiveTool/Guide visibility等</x:v>
      </x:c>
      <x:c r="F81" s="58" t="str">
        <x:v>Viewport/ToolController</x:v>
      </x:c>
      <x:c r="G81" s="58" t="str">
        <x:v>Editor state</x:v>
      </x:c>
      <x:c r="H81" s="58" t="str">
        <x:v>不进业务工程</x:v>
      </x:c>
    </x:row>
    <x:row r="82">
      <x:c r="A82" s="66" t="str">
        <x:v>RuntimePlan</x:v>
      </x:c>
      <x:c r="B82" s="66" t="str">
        <x:v>CxVisual.Runtime.Core</x:v>
      </x:c>
      <x:c r="C82" s="66" t="str">
        <x:v>compiled immutable-ish</x:v>
      </x:c>
      <x:c r="D82" s="66" t="str">
        <x:v>否</x:v>
      </x:c>
      <x:c r="E82" s="66" t="str">
        <x:v>Pages/CompiledBindings/ActionPlans/VariableDependencyGraph/Component expansion</x:v>
      </x:c>
      <x:c r="F82" s="66" t="str">
        <x:v>BindingCompiler</x:v>
      </x:c>
      <x:c r="G82" s="66" t="str">
        <x:v>Compiled model</x:v>
      </x:c>
      <x:c r="H82" s="66" t="str">
        <x:v>每次Load/Reload产生</x:v>
      </x:c>
    </x:row>
    <x:row r="83">
      <x:c r="A83" s="58" t="str">
        <x:v>RuntimePropertyStore</x:v>
      </x:c>
      <x:c r="B83" s="58" t="str">
        <x:v>CxVisual.Runtime.Core</x:v>
      </x:c>
      <x:c r="C83" s="58" t="str">
        <x:v>sealed state store</x:v>
      </x:c>
      <x:c r="D83" s="58" t="str">
        <x:v>否</x:v>
      </x:c>
      <x:c r="E83" s="58" t="str">
        <x:v>elementId+property→ResolvedValue/Quality/Timestamp/Source</x:v>
      </x:c>
      <x:c r="F83" s="58" t="str">
        <x:v>BindingEngine</x:v>
      </x:c>
      <x:c r="G83" s="58" t="str">
        <x:v>Runtime state</x:v>
      </x:c>
      <x:c r="H83" s="58" t="str">
        <x:v>Runtime session；线程同步</x:v>
      </x:c>
    </x:row>
    <x:row r="84">
      <x:c r="A84" s="66" t="str">
        <x:v>CxVisualRuntime</x:v>
      </x:c>
      <x:c r="B84" s="66" t="str">
        <x:v>CxVisual.Runtime.Core</x:v>
      </x:c>
      <x:c r="C84" s="66" t="str">
        <x:v>sealed : IRuntimeHost</x:v>
      </x:c>
      <x:c r="D84" s="66" t="str">
        <x:v>否</x:v>
      </x:c>
      <x:c r="E84" s="66" t="str">
        <x:v>RuntimeStatus/Plan/VariableEngine/BindingEngine/Navigation/Security</x:v>
      </x:c>
      <x:c r="F84" s="66" t="str">
        <x:v>engines</x:v>
      </x:c>
      <x:c r="G84" s="66" t="str">
        <x:v>Facade/State</x:v>
      </x:c>
      <x:c r="H84" s="66" t="str">
        <x:v>Host级；IDisposable</x:v>
      </x:c>
    </x:row>
    <x:row r="85">
      <x:c r="A85" s="58" t="str">
        <x:v>CxVisualRuntimeView</x:v>
      </x:c>
      <x:c r="B85" s="58" t="str">
        <x:v>CxVisual.Runtime.Wpf</x:v>
      </x:c>
      <x:c r="C85" s="58" t="str">
        <x:v>UserControl</x:v>
      </x:c>
      <x:c r="D85" s="58" t="str">
        <x:v>否</x:v>
      </x:c>
      <x:c r="E85" s="58" t="str">
        <x:v>承载Runtime视觉、Popup、Host attach/detach</x:v>
      </x:c>
      <x:c r="F85" s="58" t="str">
        <x:v>IRuntimeHost, Rendering</x:v>
      </x:c>
      <x:c r="G85" s="58" t="str">
        <x:v>Host View</x:v>
      </x:c>
      <x:c r="H85" s="58" t="str">
        <x:v>UI线程</x:v>
      </x:c>
    </x:row>
    <x:row r="86">
      <x:c r="A86" s="66" t="str">
        <x:v>CxVisualDesignerView</x:v>
      </x:c>
      <x:c r="B86" s="66" t="str">
        <x:v>CxVisual.Designer.Wpf</x:v>
      </x:c>
      <x:c r="C86" s="66" t="str">
        <x:v>UserControl</x:v>
      </x:c>
      <x:c r="D86" s="66" t="str">
        <x:v>否</x:v>
      </x:c>
      <x:c r="E86" s="66" t="str">
        <x:v>可嵌入/独立的Designer主体</x:v>
      </x:c>
      <x:c r="F86" s="66" t="str">
        <x:v>DesignerDocument</x:v>
      </x:c>
      <x:c r="G86" s="66" t="str">
        <x:v>MVVM/View</x:v>
      </x:c>
      <x:c r="H86" s="66" t="str">
        <x:v>UI线程</x:v>
      </x:c>
    </x:row>
    <x:row r="87">
      <x:c r="A87"/>
      <x:c r="B87"/>
      <x:c r="C87"/>
      <x:c r="D87"/>
      <x:c r="E87"/>
      <x:c r="F87"/>
      <x:c r="G87"/>
      <x:c r="H87"/>
    </x:row>
    <x:row r="88">
      <x:c r="A88"/>
      <x:c r="B88"/>
      <x:c r="C88"/>
      <x:c r="D88"/>
      <x:c r="E88"/>
      <x:c r="F88"/>
      <x:c r="G88"/>
      <x:c r="H88"/>
    </x:row>
    <x:row r="89" ht="24" customHeight="1">
      <x:c r="A89" s="40" t="str">
        <x:v>D. 平台补充关键类</x:v>
      </x:c>
      <x:c r="B89" s="40"/>
      <x:c r="C89" s="40"/>
      <x:c r="D89" s="40"/>
      <x:c r="E89" s="40"/>
      <x:c r="F89" s="40"/>
      <x:c r="G89" s="40"/>
      <x:c r="H89" s="40"/>
    </x:row>
    <x:row r="90" ht="28" customHeight="1">
      <x:c r="A90" s="50" t="str">
        <x:v>类</x:v>
      </x:c>
      <x:c r="B90" s="50" t="str">
        <x:v>程序集</x:v>
      </x:c>
      <x:c r="C90" s="50" t="str">
        <x:v>类型/继承</x:v>
      </x:c>
      <x:c r="D90" s="50" t="str">
        <x:v>是否static</x:v>
      </x:c>
      <x:c r="E90" s="50" t="str">
        <x:v>核心字段/职责</x:v>
      </x:c>
      <x:c r="F90" s="50" t="str">
        <x:v>主要依赖</x:v>
      </x:c>
      <x:c r="G90" s="50" t="str">
        <x:v>模式</x:v>
      </x:c>
      <x:c r="H90" s="50" t="str">
        <x:v>生命周期/持久化</x:v>
      </x:c>
    </x:row>
    <x:row r="91">
      <x:c r="A91" s="58" t="str">
        <x:v>EventRouter</x:v>
      </x:c>
      <x:c r="B91" s="58" t="str">
        <x:v>CxVisual.Runtime.Core</x:v>
      </x:c>
      <x:c r="C91" s="58" t="str">
        <x:v>sealed service</x:v>
      </x:c>
      <x:c r="D91" s="58" t="str">
        <x:v>否</x:v>
      </x:c>
      <x:c r="E91" s="58" t="str">
        <x:v>Pointer/Lifecycle/Variable/Alarm/Timer事件→EventBinding</x:v>
      </x:c>
      <x:c r="F91" s="58" t="str">
        <x:v>RuntimePlan/ActionEngine</x:v>
      </x:c>
      <x:c r="G91" s="58" t="str">
        <x:v>Router/Mediator</x:v>
      </x:c>
      <x:c r="H91" s="58" t="str">
        <x:v>Runtime session</x:v>
      </x:c>
    </x:row>
    <x:row r="92">
      <x:c r="A92" s="66" t="str">
        <x:v>ActionCompiler</x:v>
      </x:c>
      <x:c r="B92" s="66" t="str">
        <x:v>CxVisual.Runtime.Core</x:v>
      </x:c>
      <x:c r="C92" s="66" t="str">
        <x:v>sealed compiler</x:v>
      </x:c>
      <x:c r="D92" s="66" t="str">
        <x:v>否</x:v>
      </x:c>
      <x:c r="E92" s="66" t="str">
        <x:v>ActionModel→ActionPlan，预解析条件/Executor/权限</x:v>
      </x:c>
      <x:c r="F92" s="66" t="str">
        <x:v>Registry/Security</x:v>
      </x:c>
      <x:c r="G92" s="66" t="str">
        <x:v>Compiler</x:v>
      </x:c>
      <x:c r="H92" s="66" t="str">
        <x:v>Load/Reload</x:v>
      </x:c>
    </x:row>
    <x:row r="93">
      <x:c r="A93" s="58" t="str">
        <x:v>ActionExecutionContext</x:v>
      </x:c>
      <x:c r="B93" s="58" t="str">
        <x:v>CxVisual.Runtime.Core</x:v>
      </x:c>
      <x:c r="C93" s="58" t="str">
        <x:v>sealed context</x:v>
      </x:c>
      <x:c r="D93" s="58" t="str">
        <x:v>否</x:v>
      </x:c>
      <x:c r="E93" s="58" t="str">
        <x:v>Runtime/Page/Element/User/Input/Variables/CorrelationId</x:v>
      </x:c>
      <x:c r="F93" s="58" t="str">
        <x:v>Runtime services</x:v>
      </x:c>
      <x:c r="G93" s="58" t="str">
        <x:v>Context Object</x:v>
      </x:c>
      <x:c r="H93" s="58" t="str">
        <x:v>每次动作链</x:v>
      </x:c>
    </x:row>
    <x:row r="94">
      <x:c r="A94" s="66" t="str">
        <x:v>AnimationDefinition</x:v>
      </x:c>
      <x:c r="B94" s="66" t="str">
        <x:v>CxVisual.Core</x:v>
      </x:c>
      <x:c r="C94" s="66" t="str">
        <x:v>sealed config</x:v>
      </x:c>
      <x:c r="D94" s="66" t="str">
        <x:v>否</x:v>
      </x:c>
      <x:c r="E94" s="66" t="str">
        <x:v>Trigger/TargetProperty/From/To/Duration/Repeat/Easing</x:v>
      </x:c>
      <x:c r="F94" s="66" t="str">
        <x:v>Element/Event/Binding</x:v>
      </x:c>
      <x:c r="G94" s="66" t="str">
        <x:v>Config Model</x:v>
      </x:c>
      <x:c r="H94" s="66" t="str">
        <x:v>持久化</x:v>
      </x:c>
    </x:row>
    <x:row r="95">
      <x:c r="A95" s="58" t="str">
        <x:v>AnimationScheduler</x:v>
      </x:c>
      <x:c r="B95" s="58" t="str">
        <x:v>CxVisual.Runtime.Core</x:v>
      </x:c>
      <x:c r="C95" s="58" t="str">
        <x:v>sealed service</x:v>
      </x:c>
      <x:c r="D95" s="58" t="str">
        <x:v>否</x:v>
      </x:c>
      <x:c r="E95" s="58" t="str">
        <x:v>active handles/page visibility/tick cadence</x:v>
      </x:c>
      <x:c r="F95" s="58" t="str">
        <x:v>IUiDispatcher</x:v>
      </x:c>
      <x:c r="G95" s="58" t="str">
        <x:v>Scheduler</x:v>
      </x:c>
      <x:c r="H95" s="58" t="str">
        <x:v>Runtime session/Dispose</x:v>
      </x:c>
    </x:row>
    <x:row r="96">
      <x:c r="A96" s="66" t="str">
        <x:v>ThemeModel</x:v>
      </x:c>
      <x:c r="B96" s="66" t="str">
        <x:v>CxVisual.Core</x:v>
      </x:c>
      <x:c r="C96" s="66" t="str">
        <x:v>sealed config</x:v>
      </x:c>
      <x:c r="D96" s="66" t="str">
        <x:v>否</x:v>
      </x:c>
      <x:c r="E96" s="66" t="str">
        <x:v>Id/Name/Tokens/StyleClasses/StateStyles</x:v>
      </x:c>
      <x:c r="F96" s="66" t="str">
        <x:v>StyleModel</x:v>
      </x:c>
      <x:c r="G96" s="66" t="str">
        <x:v>Composition</x:v>
      </x:c>
      <x:c r="H96" s="66" t="str">
        <x:v>持久化</x:v>
      </x:c>
    </x:row>
    <x:row r="97">
      <x:c r="A97" s="58" t="str">
        <x:v>SeriesBuffer</x:v>
      </x:c>
      <x:c r="B97" s="58" t="str">
        <x:v>CxVisual.Runtime.Core</x:v>
      </x:c>
      <x:c r="C97" s="58" t="str">
        <x:v>sealed state</x:v>
      </x:c>
      <x:c r="D97" s="58" t="str">
        <x:v>否</x:v>
      </x:c>
      <x:c r="E97" s="58" t="str">
        <x:v>ring buffer/timestamps/values/quality/capacity</x:v>
      </x:c>
      <x:c r="F97" s="58" t="str">
        <x:v>ChartDataPipeline</x:v>
      </x:c>
      <x:c r="G97" s="58" t="str">
        <x:v>Ring Buffer</x:v>
      </x:c>
      <x:c r="H97" s="58" t="str">
        <x:v>Runtime series</x:v>
      </x:c>
    </x:row>
    <x:row r="98">
      <x:c r="A98" s="66" t="str">
        <x:v>ChartDataPipeline</x:v>
      </x:c>
      <x:c r="B98" s="66" t="str">
        <x:v>CxVisual.Runtime.Core</x:v>
      </x:c>
      <x:c r="C98" s="66" t="str">
        <x:v>sealed service</x:v>
      </x:c>
      <x:c r="D98" s="66" t="str">
        <x:v>否</x:v>
      </x:c>
      <x:c r="E98" s="66" t="str">
        <x:v>Sample→Buffer→Aggregate/Downsample→Dirty</x:v>
      </x:c>
      <x:c r="F98" s="66" t="str">
        <x:v>VariableEngine/History</x:v>
      </x:c>
      <x:c r="G98" s="66" t="str">
        <x:v>Pipeline</x:v>
      </x:c>
      <x:c r="H98" s="66" t="str">
        <x:v>Runtime session</x:v>
      </x:c>
    </x:row>
    <x:row r="99">
      <x:c r="A99" s="58" t="str">
        <x:v>WriteRequest</x:v>
      </x:c>
      <x:c r="B99" s="58" t="str">
        <x:v>CxVisual.Security</x:v>
      </x:c>
      <x:c r="C99" s="58" t="str">
        <x:v>immutable value</x:v>
      </x:c>
      <x:c r="D99" s="58" t="str">
        <x:v>否</x:v>
      </x:c>
      <x:c r="E99" s="58" t="str">
        <x:v>User/Mode/Variable/Value/Reason/Risk/CorrelationId</x:v>
      </x:c>
      <x:c r="F99" s="58" t="str">
        <x:v>WritePipeline</x:v>
      </x:c>
      <x:c r="G99" s="58" t="str">
        <x:v>Value Object</x:v>
      </x:c>
      <x:c r="H99" s="58" t="str">
        <x:v>单次写入</x:v>
      </x:c>
    </x:row>
    <x:row r="100">
      <x:c r="A100"/>
      <x:c r="B100"/>
      <x:c r="C100"/>
      <x:c r="D100"/>
      <x:c r="E100"/>
      <x:c r="F100"/>
      <x:c r="G100"/>
      <x:c r="H100"/>
    </x:row>
    <x:row r="101">
      <x:c r="A101"/>
      <x:c r="B101"/>
      <x:c r="C101"/>
      <x:c r="D101"/>
      <x:c r="E101"/>
      <x:c r="F101"/>
      <x:c r="G101"/>
      <x:c r="H101"/>
    </x:row>
    <x:row r="102" ht="24" customHeight="1">
      <x:c r="A102" s="40" t="str">
        <x:v>E. 建议 Static Class</x:v>
      </x:c>
      <x:c r="B102" s="40"/>
      <x:c r="C102" s="40"/>
      <x:c r="D102" s="40"/>
      <x:c r="E102" s="40"/>
      <x:c r="F102" s="40"/>
      <x:c r="G102" s="40"/>
      <x:c r="H102" s="40"/>
    </x:row>
    <x:row r="103" ht="28" customHeight="1">
      <x:c r="A103" s="50" t="str">
        <x:v>静态类</x:v>
      </x:c>
      <x:c r="B103" s="50" t="str">
        <x:v>命名空间</x:v>
      </x:c>
      <x:c r="C103" s="50" t="str">
        <x:v>建议</x:v>
      </x:c>
      <x:c r="D103" s="50" t="str">
        <x:v>职责/典型方法</x:v>
      </x:c>
      <x:c r="E103" s="50" t="str">
        <x:v>为什么适合static</x:v>
      </x:c>
      <x:c r="F103" s="50" t="str">
        <x:v>线程安全要求</x:v>
      </x:c>
      <x:c r="G103" s="50" t="str">
        <x:v>不要放进去</x:v>
      </x:c>
      <x:c r="H103" s="50"/>
    </x:row>
    <x:row r="104">
      <x:c r="A104" s="66" t="str">
        <x:v>Guard</x:v>
      </x:c>
      <x:c r="B104" s="66" t="str">
        <x:v>CxVisual.Common</x:v>
      </x:c>
      <x:c r="C104" s="66" t="str">
        <x:v>强烈推荐</x:v>
      </x:c>
      <x:c r="D104" s="66" t="str">
        <x:v>NotNull; NotEmpty; InRange; IsTrue; ValidId</x:v>
      </x:c>
      <x:c r="E104" s="66" t="str">
        <x:v>纯参数校验，无状态，高频复用</x:v>
      </x:c>
      <x:c r="F104" s="66" t="str">
        <x:v>无可变静态字段</x:v>
      </x:c>
      <x:c r="G104" s="66" t="str">
        <x:v>业务规则/权限判断</x:v>
      </x:c>
      <x:c r="H104" s="66"/>
    </x:row>
    <x:row r="105">
      <x:c r="A105" s="58" t="str">
        <x:v>ThrowHelper</x:v>
      </x:c>
      <x:c r="B105" s="58" t="str">
        <x:v>CxVisual.Common</x:v>
      </x:c>
      <x:c r="C105" s="58" t="str">
        <x:v>推荐</x:v>
      </x:c>
      <x:c r="D105" s="58" t="str">
        <x:v>ThrowArgument; ThrowInvalidOperation; ThrowDisposed</x:v>
      </x:c>
      <x:c r="E105" s="58" t="str">
        <x:v>集中异常构造、减少重复</x:v>
      </x:c>
      <x:c r="F105" s="58" t="str">
        <x:v>纯方法</x:v>
      </x:c>
      <x:c r="G105" s="58" t="str">
        <x:v>日志和吞异常</x:v>
      </x:c>
      <x:c r="H105" s="58"/>
    </x:row>
    <x:row r="106">
      <x:c r="A106" s="66" t="str">
        <x:v>StringUtil</x:v>
      </x:c>
      <x:c r="B106" s="66" t="str">
        <x:v>CxVisual.Common</x:v>
      </x:c>
      <x:c r="C106" s="66" t="str">
        <x:v>推荐</x:v>
      </x:c>
      <x:c r="D106" s="66" t="str">
        <x:v>NullIfWhiteSpace; NormalizeName; NaturalCompare; Truncate</x:v>
      </x:c>
      <x:c r="E106" s="66" t="str">
        <x:v>纯字符串处理</x:v>
      </x:c>
      <x:c r="F106" s="66" t="str">
        <x:v>Culture参数明确</x:v>
      </x:c>
      <x:c r="G106" s="66" t="str">
        <x:v>业务命名规则配置</x:v>
      </x:c>
      <x:c r="H106" s="66"/>
    </x:row>
    <x:row r="107">
      <x:c r="A107" s="58" t="str">
        <x:v>CollectionUtil</x:v>
      </x:c>
      <x:c r="B107" s="58" t="str">
        <x:v>CxVisual.Common</x:v>
      </x:c>
      <x:c r="C107" s="58" t="str">
        <x:v>推荐</x:v>
      </x:c>
      <x:c r="D107" s="58" t="str">
        <x:v>SafeAddRange; SequenceEqualBy; Move; DistinctBy兼容net48</x:v>
      </x:c>
      <x:c r="E107" s="58" t="str">
        <x:v>补net48常用集合算法</x:v>
      </x:c>
      <x:c r="F107" s="58" t="str">
        <x:v>不得缓存调用者集合</x:v>
      </x:c>
      <x:c r="G107" s="58" t="str">
        <x:v>全局集合</x:v>
      </x:c>
      <x:c r="H107" s="58"/>
    </x:row>
    <x:row r="108">
      <x:c r="A108" s="66" t="str">
        <x:v>HashUtil</x:v>
      </x:c>
      <x:c r="B108" s="66" t="str">
        <x:v>CxVisual.Common</x:v>
      </x:c>
      <x:c r="C108" s="66" t="str">
        <x:v>强烈推荐</x:v>
      </x:c>
      <x:c r="D108" s="66" t="str">
        <x:v>Sha256File; Sha256Bytes; CombineHash</x:v>
      </x:c>
      <x:c r="E108" s="66" t="str">
        <x:v>无状态内容Hash</x:v>
      </x:c>
      <x:c r="F108" s="66" t="str">
        <x:v>使用局部算法实例</x:v>
      </x:c>
      <x:c r="G108" s="66" t="str">
        <x:v>缓存Hash表</x:v>
      </x:c>
      <x:c r="H108" s="66"/>
    </x:row>
    <x:row r="109">
      <x:c r="A109" s="58" t="str">
        <x:v>FileNameUtil</x:v>
      </x:c>
      <x:c r="B109" s="58" t="str">
        <x:v>CxVisual.Common</x:v>
      </x:c>
      <x:c r="C109" s="58" t="str">
        <x:v>推荐</x:v>
      </x:c>
      <x:c r="D109" s="58" t="str">
        <x:v>Sanitize; EnsureExtension; IsSafeRelativePath</x:v>
      </x:c>
      <x:c r="E109" s="58" t="str">
        <x:v>纯路径/文件名规则</x:v>
      </x:c>
      <x:c r="F109" s="58" t="str">
        <x:v>不访问当前目录全局状态</x:v>
      </x:c>
      <x:c r="G109" s="58" t="str">
        <x:v>真正文件IO</x:v>
      </x:c>
      <x:c r="H109" s="58"/>
    </x:row>
    <x:row r="110">
      <x:c r="A110" s="66" t="str">
        <x:v>IdUtil</x:v>
      </x:c>
      <x:c r="B110" s="66" t="str">
        <x:v>CxVisual.Common</x:v>
      </x:c>
      <x:c r="C110" s="66" t="str">
        <x:v>可用</x:v>
      </x:c>
      <x:c r="D110" s="66" t="str">
        <x:v>NewId; IsValidId; ShortId</x:v>
      </x:c>
      <x:c r="E110" s="66" t="str">
        <x:v>简单Guid/稳定格式</x:v>
      </x:c>
      <x:c r="F110" s="66" t="str">
        <x:v>无可变状态</x:v>
      </x:c>
      <x:c r="G110" s="66" t="str">
        <x:v>可预测测试ID；复杂测试用IIdGenerator</x:v>
      </x:c>
      <x:c r="H110" s="66"/>
    </x:row>
    <x:row r="111">
      <x:c r="A111" s="58" t="str">
        <x:v>DateTimeUtil</x:v>
      </x:c>
      <x:c r="B111" s="58" t="str">
        <x:v>CxVisual.Common</x:v>
      </x:c>
      <x:c r="C111" s="58" t="str">
        <x:v>谨慎使用</x:v>
      </x:c>
      <x:c r="D111" s="58" t="str">
        <x:v>ISO8601格式化/解析；UTC转换</x:v>
      </x:c>
      <x:c r="E111" s="58" t="str">
        <x:v>纯转换可以static</x:v>
      </x:c>
      <x:c r="F111" s="58" t="str">
        <x:v>不要依赖DateTime.Now隐式全局时间</x:v>
      </x:c>
      <x:c r="G111" s="58" t="str">
        <x:v>当前时间；需IClock</x:v>
      </x:c>
      <x:c r="H111" s="58"/>
    </x:row>
    <x:row r="112">
      <x:c r="A112" s="66" t="str">
        <x:v>NumericUtil</x:v>
      </x:c>
      <x:c r="B112" s="66" t="str">
        <x:v>CxVisual.Common</x:v>
      </x:c>
      <x:c r="C112" s="66" t="str">
        <x:v>推荐</x:v>
      </x:c>
      <x:c r="D112" s="66" t="str">
        <x:v>Clamp; AlmostEqual; Lerp; MapRange</x:v>
      </x:c>
      <x:c r="E112" s="66" t="str">
        <x:v>纯数学</x:v>
      </x:c>
      <x:c r="F112" s="66" t="str">
        <x:v>无状态</x:v>
      </x:c>
      <x:c r="G112" s="66" t="str">
        <x:v>单位/业务阈值</x:v>
      </x:c>
      <x:c r="H112" s="66"/>
    </x:row>
    <x:row r="113">
      <x:c r="A113" s="58" t="str">
        <x:v>ColorUtil</x:v>
      </x:c>
      <x:c r="B113" s="58" t="str">
        <x:v>CxVisual.Common</x:v>
      </x:c>
      <x:c r="C113" s="58" t="str">
        <x:v>推荐</x:v>
      </x:c>
      <x:c r="D113" s="58" t="str">
        <x:v>ParseHex; ToHex; Blend; WithAlpha</x:v>
      </x:c>
      <x:c r="E113" s="58" t="str">
        <x:v>纯颜色值转换，Core可用自定义ColorValue</x:v>
      </x:c>
      <x:c r="F113" s="58" t="str">
        <x:v>无WPF Brush静态缓存</x:v>
      </x:c>
      <x:c r="G113" s="58" t="str">
        <x:v>WPF Brush对象</x:v>
      </x:c>
      <x:c r="H113" s="58"/>
    </x:row>
    <x:row r="114">
      <x:c r="A114" s="66" t="str">
        <x:v>GeometryMath</x:v>
      </x:c>
      <x:c r="B114" s="66" t="str">
        <x:v>CxVisual.Core.Geometry</x:v>
      </x:c>
      <x:c r="C114" s="66" t="str">
        <x:v>强烈推荐</x:v>
      </x:c>
      <x:c r="D114" s="66" t="str">
        <x:v>Distance; Angle; RotatePoint; Project; Intersect</x:v>
      </x:c>
      <x:c r="E114" s="66" t="str">
        <x:v>纯几何算法，参数→结果</x:v>
      </x:c>
      <x:c r="F114" s="66" t="str">
        <x:v>无共享临时Buffer</x:v>
      </x:c>
      <x:c r="G114" s="66" t="str">
        <x:v>HitTest服务状态/Visual</x:v>
      </x:c>
      <x:c r="H114" s="66"/>
    </x:row>
    <x:row r="115">
      <x:c r="A115" s="58" t="str">
        <x:v>BoundsMath</x:v>
      </x:c>
      <x:c r="B115" s="58" t="str">
        <x:v>CxVisual.Core.Geometry</x:v>
      </x:c>
      <x:c r="C115" s="58" t="str">
        <x:v>强烈推荐</x:v>
      </x:c>
      <x:c r="D115" s="58" t="str">
        <x:v>Union; Intersects; Inflate; FromPoints</x:v>
      </x:c>
      <x:c r="E115" s="58" t="str">
        <x:v>纯Bounds计算</x:v>
      </x:c>
      <x:c r="F115" s="58" t="str">
        <x:v>无状态</x:v>
      </x:c>
      <x:c r="G115" s="58" t="str">
        <x:v>空间索引缓存</x:v>
      </x:c>
      <x:c r="H115" s="58"/>
    </x:row>
    <x:row r="116">
      <x:c r="A116" s="66" t="str">
        <x:v>TransformMath</x:v>
      </x:c>
      <x:c r="B116" s="66" t="str">
        <x:v>CxVisual.Core.Geometry</x:v>
      </x:c>
      <x:c r="C116" s="66" t="str">
        <x:v>强烈推荐</x:v>
      </x:c>
      <x:c r="D116" s="66" t="str">
        <x:v>Compose; Invert; TransformPoint; GetWorldTransform</x:v>
      </x:c>
      <x:c r="E116" s="66" t="str">
        <x:v>纯矩阵/TransformModel计算</x:v>
      </x:c>
      <x:c r="F116" s="66" t="str">
        <x:v>不可使用全局当前Viewport</x:v>
      </x:c>
      <x:c r="G116" s="66" t="str">
        <x:v>Viewport状态</x:v>
      </x:c>
      <x:c r="H116" s="66"/>
    </x:row>
    <x:row r="117">
      <x:c r="A117" s="58" t="str">
        <x:v>PathMath</x:v>
      </x:c>
      <x:c r="B117" s="58" t="str">
        <x:v>CxVisual.Core.Geometry</x:v>
      </x:c>
      <x:c r="C117" s="58" t="str">
        <x:v>推荐</x:v>
      </x:c>
      <x:c r="D117" s="58" t="str">
        <x:v>BezierPoint; Bounds; Flatten; Reverse; ApproxLength</x:v>
      </x:c>
      <x:c r="E117" s="58" t="str">
        <x:v>通用Path纯算法</x:v>
      </x:c>
      <x:c r="F117" s="58" t="str">
        <x:v>大型临时集合局部化</x:v>
      </x:c>
      <x:c r="G117" s="58" t="str">
        <x:v>Path编辑会话状态</x:v>
      </x:c>
      <x:c r="H117" s="58"/>
    </x:row>
    <x:row r="118">
      <x:c r="A118" s="66" t="str">
        <x:v>SnapMath</x:v>
      </x:c>
      <x:c r="B118" s="66" t="str">
        <x:v>CxVisual.Designer.Application</x:v>
      </x:c>
      <x:c r="C118" s="66" t="str">
        <x:v>推荐</x:v>
      </x:c>
      <x:c r="D118" s="66" t="str">
        <x:v>NearestGrid; DeltaToGuide; AngleSnap</x:v>
      </x:c>
      <x:c r="E118" s="66" t="str">
        <x:v>纯吸附计算</x:v>
      </x:c>
      <x:c r="F118" s="66" t="str">
        <x:v>所有阈值作为参数</x:v>
      </x:c>
      <x:c r="G118" s="66" t="str">
        <x:v>当前页面Guide列表</x:v>
      </x:c>
      <x:c r="H118" s="66"/>
    </x:row>
    <x:row r="119">
      <x:c r="A119" s="58" t="str">
        <x:v>AlignmentMath</x:v>
      </x:c>
      <x:c r="B119" s="58" t="str">
        <x:v>CxVisual.Designer.Application</x:v>
      </x:c>
      <x:c r="C119" s="58" t="str">
        <x:v>强烈推荐</x:v>
      </x:c>
      <x:c r="D119" s="58" t="str">
        <x:v>AlignLeft/Center/Distribute目标位置计算</x:v>
      </x:c>
      <x:c r="E119" s="58" t="str">
        <x:v>输入Bounds列表→变更计划</x:v>
      </x:c>
      <x:c r="F119" s="58" t="str">
        <x:v>不直接修改Model</x:v>
      </x:c>
      <x:c r="G119" s="58" t="str">
        <x:v>SelectionService</x:v>
      </x:c>
      <x:c r="H119" s="58"/>
    </x:row>
    <x:row r="120">
      <x:c r="A120" s="66" t="str">
        <x:v>SelectionMath</x:v>
      </x:c>
      <x:c r="B120" s="66" t="str">
        <x:v>CxVisual.Designer.Application</x:v>
      </x:c>
      <x:c r="C120" s="66" t="str">
        <x:v>推荐</x:v>
      </x:c>
      <x:c r="D120" s="66" t="str">
        <x:v>MarqueeContains; CommonBounds; Pivot</x:v>
      </x:c>
      <x:c r="E120" s="66" t="str">
        <x:v>纯选择几何</x:v>
      </x:c>
      <x:c r="F120" s="66" t="str">
        <x:v>无状态</x:v>
      </x:c>
      <x:c r="G120" s="66" t="str">
        <x:v>SelectedIds</x:v>
      </x:c>
      <x:c r="H120" s="66"/>
    </x:row>
    <x:row r="121">
      <x:c r="A121" s="58" t="str">
        <x:v>NaturalSort</x:v>
      </x:c>
      <x:c r="B121" s="58" t="str">
        <x:v>CxVisual.Designer.Application</x:v>
      </x:c>
      <x:c r="C121" s="58" t="str">
        <x:v>推荐</x:v>
      </x:c>
      <x:c r="D121" s="58" t="str">
        <x:v>Compare(string,string)</x:v>
      </x:c>
      <x:c r="E121" s="58" t="str">
        <x:v>批量配点/树排序重复使用</x:v>
      </x:c>
      <x:c r="F121" s="58" t="str">
        <x:v>Culture策略明确</x:v>
      </x:c>
      <x:c r="G121" s="58" t="str">
        <x:v>当前排序配置</x:v>
      </x:c>
      <x:c r="H121" s="58"/>
    </x:row>
    <x:row r="122">
      <x:c r="A122" s="66" t="str">
        <x:v>BindingValueCoercion</x:v>
      </x:c>
      <x:c r="B122" s="66" t="str">
        <x:v>CxVisual.Runtime.Core</x:v>
      </x:c>
      <x:c r="C122" s="66" t="str">
        <x:v>强烈推荐</x:v>
      </x:c>
      <x:c r="D122" s="66" t="str">
        <x:v>TryToBool/Double/String/Enum; CoerceToPropertyType</x:v>
      </x:c>
      <x:c r="E122" s="66" t="str">
        <x:v>绑定层通用纯转换</x:v>
      </x:c>
      <x:c r="F122" s="66" t="str">
        <x:v>禁止共享可变FormatProvider</x:v>
      </x:c>
      <x:c r="G122" s="66" t="str">
        <x:v>VariableProvider</x:v>
      </x:c>
      <x:c r="H122" s="66"/>
    </x:row>
    <x:row r="123">
      <x:c r="A123" s="58" t="str">
        <x:v>QualityRules</x:v>
      </x:c>
      <x:c r="B123" s="58" t="str">
        <x:v>CxVisual.Runtime.Core</x:v>
      </x:c>
      <x:c r="C123" s="58" t="str">
        <x:v>推荐</x:v>
      </x:c>
      <x:c r="D123" s="58" t="str">
        <x:v>IsGood; IsUsable; Worst; ShouldFallback</x:v>
      </x:c>
      <x:c r="E123" s="58" t="str">
        <x:v>Quality值判断是确定性规则</x:v>
      </x:c>
      <x:c r="F123" s="58" t="str">
        <x:v>若策略项目可配则策略值作为参数</x:v>
      </x:c>
      <x:c r="G123" s="58" t="str">
        <x:v>当前连接状态</x:v>
      </x:c>
      <x:c r="H123" s="58"/>
    </x:row>
    <x:row r="124">
      <x:c r="A124" s="66" t="str">
        <x:v>ExpressionFunctions</x:v>
      </x:c>
      <x:c r="B124" s="66" t="str">
        <x:v>CxVisual.Runtime.Core.Expressions</x:v>
      </x:c>
      <x:c r="C124" s="66" t="str">
        <x:v>推荐</x:v>
      </x:c>
      <x:c r="D124" s="66" t="str">
        <x:v>Abs; Min; Max; Round; Clamp等白名单函数</x:v>
      </x:c>
      <x:c r="E124" s="66" t="str">
        <x:v>受限DSL函数表可由静态无状态实现</x:v>
      </x:c>
      <x:c r="F124" s="66" t="str">
        <x:v>不得允许文件/反射/网络</x:v>
      </x:c>
      <x:c r="G124" s="66" t="str">
        <x:v>用户自定义函数注册表</x:v>
      </x:c>
      <x:c r="H124" s="66"/>
    </x:row>
    <x:row r="125">
      <x:c r="A125" s="58" t="str">
        <x:v>PropertyKeys</x:v>
      </x:c>
      <x:c r="B125" s="58" t="str">
        <x:v>CxVisual.Core.Metadata</x:v>
      </x:c>
      <x:c r="C125" s="58" t="str">
        <x:v>强烈推荐</x:v>
      </x:c>
      <x:c r="D125" s="58" t="str">
        <x:v>const string X/Y/Width/Fill/Visible/Value等</x:v>
      </x:c>
      <x:c r="E125" s="58" t="str">
        <x:v>稳定键常量防止magic string</x:v>
      </x:c>
      <x:c r="F125" s="58" t="str">
        <x:v>const/readonly不可变</x:v>
      </x:c>
      <x:c r="G125" s="58" t="str">
        <x:v>动态Property值</x:v>
      </x:c>
      <x:c r="H125" s="58"/>
    </x:row>
    <x:row r="126">
      <x:c r="A126" s="66" t="str">
        <x:v>ElementTypeIds</x:v>
      </x:c>
      <x:c r="B126" s="66" t="str">
        <x:v>CxVisual.Core.Metadata</x:v>
      </x:c>
      <x:c r="C126" s="66" t="str">
        <x:v>强烈推荐</x:v>
      </x:c>
      <x:c r="D126" s="66" t="str">
        <x:v>const string rectangle/path/button/tank...</x:v>
      </x:c>
      <x:c r="E126" s="66" t="str">
        <x:v>稳定typeId</x:v>
      </x:c>
      <x:c r="F126" s="66" t="str">
        <x:v>const</x:v>
      </x:c>
      <x:c r="G126" s="66" t="str">
        <x:v>Factory实例</x:v>
      </x:c>
      <x:c r="H126" s="66"/>
    </x:row>
    <x:row r="127">
      <x:c r="A127" s="58" t="str">
        <x:v>ActionTypeIds</x:v>
      </x:c>
      <x:c r="B127" s="58" t="str">
        <x:v>CxVisual.Core.Metadata</x:v>
      </x:c>
      <x:c r="C127" s="58" t="str">
        <x:v>强烈推荐</x:v>
      </x:c>
      <x:c r="D127" s="58" t="str">
        <x:v>writeTag/navigate/openPopup/...</x:v>
      </x:c>
      <x:c r="E127" s="58" t="str">
        <x:v>稳定序列化鉴别器</x:v>
      </x:c>
      <x:c r="F127" s="58" t="str">
        <x:v>const</x:v>
      </x:c>
      <x:c r="G127" s="58" t="str">
        <x:v>Action执行状态</x:v>
      </x:c>
      <x:c r="H127" s="58"/>
    </x:row>
    <x:row r="128">
      <x:c r="A128" s="66" t="str">
        <x:v>BindingTypeIds</x:v>
      </x:c>
      <x:c r="B128" s="66" t="str">
        <x:v>CxVisual.Core.Metadata</x:v>
      </x:c>
      <x:c r="C128" s="66" t="str">
        <x:v>强烈推荐</x:v>
      </x:c>
      <x:c r="D128" s="66" t="str">
        <x:v>tag/property/expression/stateMap/...</x:v>
      </x:c>
      <x:c r="E128" s="66" t="str">
        <x:v>稳定序列化鉴别器</x:v>
      </x:c>
      <x:c r="F128" s="66" t="str">
        <x:v>const</x:v>
      </x:c>
      <x:c r="G128" s="66" t="str">
        <x:v>Resolver实例</x:v>
      </x:c>
      <x:c r="H128" s="66"/>
    </x:row>
    <x:row r="129">
      <x:c r="A129" s="58" t="str">
        <x:v>SchemaConstants</x:v>
      </x:c>
      <x:c r="B129" s="58" t="str">
        <x:v>CxVisual.Serialization</x:v>
      </x:c>
      <x:c r="C129" s="58" t="str">
        <x:v>强烈推荐</x:v>
      </x:c>
      <x:c r="D129" s="58" t="str">
        <x:v>CurrentFormatVersion; ManifestName; directories</x:v>
      </x:c>
      <x:c r="E129" s="58" t="str">
        <x:v>工程格式常量</x:v>
      </x:c>
      <x:c r="F129" s="58" t="str">
        <x:v>readonly不可变</x:v>
      </x:c>
      <x:c r="G129" s="58" t="str">
        <x:v>MigrationRunner/IO状态</x:v>
      </x:c>
      <x:c r="H129" s="58"/>
    </x:row>
    <x:row r="130">
      <x:c r="A130" s="66" t="str">
        <x:v>JsonDefaults</x:v>
      </x:c>
      <x:c r="B130" s="66" t="str">
        <x:v>CxVisual.Serialization</x:v>
      </x:c>
      <x:c r="C130" s="66" t="str">
        <x:v>推荐</x:v>
      </x:c>
      <x:c r="D130" s="66" t="str">
        <x:v>CreateSerializerSettings(); CreateSerializer()</x:v>
      </x:c>
      <x:c r="E130" s="66" t="str">
        <x:v>统一安全设置 TypeNameHandling=None 等</x:v>
      </x:c>
      <x:c r="F130" s="66" t="str">
        <x:v>每次返回新/只读配置，避免运行中修改全局settings</x:v>
      </x:c>
      <x:c r="G130" s="66" t="str">
        <x:v>保存中的serializer实例共享状态</x:v>
      </x:c>
      <x:c r="H130" s="66"/>
    </x:row>
    <x:row r="131">
      <x:c r="A131" s="58" t="str">
        <x:v>ProjectPathUtil</x:v>
      </x:c>
      <x:c r="B131" s="58" t="str">
        <x:v>CxVisual.PackageStore</x:v>
      </x:c>
      <x:c r="C131" s="58" t="str">
        <x:v>强烈推荐</x:v>
      </x:c>
      <x:c r="D131" s="58" t="str">
        <x:v>GetPageEntry; GetResourceEntry; ValidatePackagePath</x:v>
      </x:c>
      <x:c r="E131" s="58" t="str">
        <x:v>包内相对路径纯规则</x:v>
      </x:c>
      <x:c r="F131" s="58" t="str">
        <x:v>必须防目录穿越</x:v>
      </x:c>
      <x:c r="G131" s="58" t="str">
        <x:v>ZipArchive实例</x:v>
      </x:c>
      <x:c r="H131" s="58"/>
    </x:row>
    <x:row r="132">
      <x:c r="A132" s="66" t="str">
        <x:v>ResourceHash</x:v>
      </x:c>
      <x:c r="B132" s="66" t="str">
        <x:v>CxVisual.Resources</x:v>
      </x:c>
      <x:c r="C132" s="66" t="str">
        <x:v>推荐</x:v>
      </x:c>
      <x:c r="D132" s="66" t="str">
        <x:v>ComputeResourceId/hash</x:v>
      </x:c>
      <x:c r="E132" s="66" t="str">
        <x:v>内容寻址纯算法</x:v>
      </x:c>
      <x:c r="F132" s="66" t="str">
        <x:v>无全局Cache</x:v>
      </x:c>
      <x:c r="G132" s="66" t="str">
        <x:v>ResourceStore缓存</x:v>
      </x:c>
      <x:c r="H132" s="66"/>
    </x:row>
    <x:row r="133">
      <x:c r="A133" s="58" t="str">
        <x:v>SvgNumberParser</x:v>
      </x:c>
      <x:c r="B133" s="58" t="str">
        <x:v>CxVisual.Svg.Wpf</x:v>
      </x:c>
      <x:c r="C133" s="58" t="str">
        <x:v>推荐</x:v>
      </x:c>
      <x:c r="D133" s="58" t="str">
        <x:v>ParseLength; ParseNumberList; ParseTransformNumbers</x:v>
      </x:c>
      <x:c r="E133" s="58" t="str">
        <x:v>SVG重复基础解析纯函数</x:v>
      </x:c>
      <x:c r="F133" s="58" t="str">
        <x:v>CultureInvariant</x:v>
      </x:c>
      <x:c r="G133" s="58" t="str">
        <x:v>SVG Document/SharpVectors对象生命周期</x:v>
      </x:c>
      <x:c r="H133" s="58"/>
    </x:row>
    <x:row r="134">
      <x:c r="A134" s="66" t="str">
        <x:v>SvgAttributeNames</x:v>
      </x:c>
      <x:c r="B134" s="66" t="str">
        <x:v>CxVisual.Svg.Wpf</x:v>
      </x:c>
      <x:c r="C134" s="66" t="str">
        <x:v>推荐</x:v>
      </x:c>
      <x:c r="D134" s="66" t="str">
        <x:v>常见属性/id/class/viewBox/path等常量</x:v>
      </x:c>
      <x:c r="E134" s="66" t="str">
        <x:v>减少字符串散落</x:v>
      </x:c>
      <x:c r="F134" s="66" t="str">
        <x:v>const</x:v>
      </x:c>
      <x:c r="G134" s="66" t="str">
        <x:v>Import context</x:v>
      </x:c>
      <x:c r="H134" s="66"/>
    </x:row>
    <x:row r="135">
      <x:c r="A135" s="58" t="str">
        <x:v>ShortcutDefaults</x:v>
      </x:c>
      <x:c r="B135" s="58" t="str">
        <x:v>CxVisual.Designer.Wpf</x:v>
      </x:c>
      <x:c r="C135" s="58" t="str">
        <x:v>推荐</x:v>
      </x:c>
      <x:c r="D135" s="58" t="str">
        <x:v>默认快捷键Gesture定义/查询</x:v>
      </x:c>
      <x:c r="E135" s="58" t="str">
        <x:v>默认配置无状态</x:v>
      </x:c>
      <x:c r="F135" s="58" t="str">
        <x:v>返回不可变/新集合</x:v>
      </x:c>
      <x:c r="G135" s="58" t="str">
        <x:v>当前用户自定义shortcut状态</x:v>
      </x:c>
      <x:c r="H135" s="58"/>
    </x:row>
    <x:row r="136">
      <x:c r="A136" s="66" t="str">
        <x:v>DragDropFormats</x:v>
      </x:c>
      <x:c r="B136" s="66" t="str">
        <x:v>CxVisual.Designer.Wpf</x:v>
      </x:c>
      <x:c r="C136" s="66" t="str">
        <x:v>强烈推荐</x:v>
      </x:c>
      <x:c r="D136" s="66" t="str">
        <x:v>const 内部DataObject格式名</x:v>
      </x:c>
      <x:c r="E136" s="66" t="str">
        <x:v>协议常量</x:v>
      </x:c>
      <x:c r="F136" s="66" t="str">
        <x:v>const</x:v>
      </x:c>
      <x:c r="G136" s="66" t="str">
        <x:v>当前拖拽对象</x:v>
      </x:c>
      <x:c r="H136" s="66"/>
    </x:row>
    <x:row r="137">
      <x:c r="A137" s="58" t="str">
        <x:v>DpiUtil</x:v>
      </x:c>
      <x:c r="B137" s="58" t="str">
        <x:v>CxVisual.WinFormsHost</x:v>
      </x:c>
      <x:c r="C137" s="58" t="str">
        <x:v>谨慎使用</x:v>
      </x:c>
      <x:c r="D137" s="58" t="str">
        <x:v>WPF/WinForms DPI换算的纯函数</x:v>
      </x:c>
      <x:c r="E137" s="58" t="str">
        <x:v>换算本身可static</x:v>
      </x:c>
      <x:c r="F137" s="58" t="str">
        <x:v>不得缓存当前Monitor DPI</x:v>
      </x:c>
      <x:c r="G137" s="58" t="str">
        <x:v>窗口/Monitor Handle生命周期</x:v>
      </x:c>
      <x:c r="H137" s="58"/>
    </x:row>
    <x:row r="138">
      <x:c r="A138" s="66" t="str">
        <x:v>PermissionKeys</x:v>
      </x:c>
      <x:c r="B138" s="66" t="str">
        <x:v>CxVisual.Security</x:v>
      </x:c>
      <x:c r="C138" s="66" t="str">
        <x:v>推荐</x:v>
      </x:c>
      <x:c r="D138" s="66" t="str">
        <x:v>资源/动作权限key常量</x:v>
      </x:c>
      <x:c r="E138" s="66" t="str">
        <x:v>稳定权限标识</x:v>
      </x:c>
      <x:c r="F138" s="66" t="str">
        <x:v>const</x:v>
      </x:c>
      <x:c r="G138" s="66" t="str">
        <x:v>CurrentUser</x:v>
      </x:c>
      <x:c r="H138" s="66"/>
    </x:row>
    <x:row r="139">
      <x:c r="A139" s="58" t="str">
        <x:v>RiskLevelRules</x:v>
      </x:c>
      <x:c r="B139" s="58" t="str">
        <x:v>CxVisual.Security</x:v>
      </x:c>
      <x:c r="C139" s="58" t="str">
        <x:v>谨慎使用</x:v>
      </x:c>
      <x:c r="D139" s="58" t="str">
        <x:v>默认风险等级映射纯规则</x:v>
      </x:c>
      <x:c r="E139" s="58" t="str">
        <x:v>默认规则可static</x:v>
      </x:c>
      <x:c r="F139" s="58" t="str">
        <x:v>项目可配置时必须由Policy实例覆盖</x:v>
      </x:c>
      <x:c r="G139" s="58" t="str">
        <x:v>当前授权状态</x:v>
      </x:c>
      <x:c r="H139" s="58"/>
    </x:row>
    <x:row r="140">
      <x:c r="A140" s="66" t="str">
        <x:v>LogEventIds</x:v>
      </x:c>
      <x:c r="B140" s="66" t="str">
        <x:v>CxVisual.Abstractions/Logging</x:v>
      </x:c>
      <x:c r="C140" s="66" t="str">
        <x:v>推荐</x:v>
      </x:c>
      <x:c r="D140" s="66" t="str">
        <x:v>const 事件Id分类</x:v>
      </x:c>
      <x:c r="E140" s="66" t="str">
        <x:v>结构化日志键稳定</x:v>
      </x:c>
      <x:c r="F140" s="66" t="str">
        <x:v>const</x:v>
      </x:c>
      <x:c r="G140" s="66" t="str">
        <x:v>ILogger实例</x:v>
      </x:c>
      <x:c r="H140" s="66"/>
    </x:row>
    <x:row r="141">
      <x:c r="A141" s="58" t="str">
        <x:v>DiagnosticCodes</x:v>
      </x:c>
      <x:c r="B141" s="58" t="str">
        <x:v>CxVisual.Abstractions</x:v>
      </x:c>
      <x:c r="C141" s="58" t="str">
        <x:v>强烈推荐</x:v>
      </x:c>
      <x:c r="D141" s="58" t="str">
        <x:v>CXV-SVG-001等诊断码常量</x:v>
      </x:c>
      <x:c r="E141" s="58" t="str">
        <x:v>定位/测试/文档稳定</x:v>
      </x:c>
      <x:c r="F141" s="58" t="str">
        <x:v>const</x:v>
      </x:c>
      <x:c r="G141" s="58" t="str">
        <x:v>Diagnostic sink</x:v>
      </x:c>
      <x:c r="H141" s="58"/>
    </x:row>
    <x:row r="142">
      <x:c r="A142" s="66" t="str">
        <x:v>UnitConversion</x:v>
      </x:c>
      <x:c r="B142" s="66" t="str">
        <x:v>CxVisual.Common</x:v>
      </x:c>
      <x:c r="C142" s="66" t="str">
        <x:v>可选</x:v>
      </x:c>
      <x:c r="D142" s="66" t="str">
        <x:v>mm/inch/degree/radian等纯换算</x:v>
      </x:c>
      <x:c r="E142" s="66" t="str">
        <x:v>纯函数</x:v>
      </x:c>
      <x:c r="F142" s="66" t="str">
        <x:v>单位必须显式</x:v>
      </x:c>
      <x:c r="G142" s="66" t="str">
        <x:v>现场校准业务配置</x:v>
      </x:c>
      <x:c r="H142" s="66"/>
    </x:row>
    <x:row r="143">
      <x:c r="A143"/>
      <x:c r="B143"/>
      <x:c r="C143"/>
      <x:c r="D143"/>
      <x:c r="E143"/>
      <x:c r="F143"/>
      <x:c r="G143"/>
      <x:c r="H143"/>
    </x:row>
    <x:row r="144">
      <x:c r="A144"/>
      <x:c r="B144"/>
      <x:c r="C144"/>
      <x:c r="D144"/>
      <x:c r="E144"/>
      <x:c r="F144"/>
      <x:c r="G144"/>
      <x:c r="H144"/>
    </x:row>
    <x:row r="145" ht="24" customHeight="1">
      <x:c r="A145" s="40" t="str">
        <x:v>F. Static 禁区（必须实例化）</x:v>
      </x:c>
      <x:c r="B145" s="40"/>
      <x:c r="C145" s="40"/>
      <x:c r="D145" s="40"/>
      <x:c r="E145" s="40"/>
      <x:c r="F145" s="40"/>
      <x:c r="G145" s="40"/>
      <x:c r="H145" s="40"/>
    </x:row>
    <x:row r="146" ht="28" customHeight="1">
      <x:c r="A146" s="50" t="str">
        <x:v>对象/服务</x:v>
      </x:c>
      <x:c r="B146" s="50" t="str">
        <x:v>是否允许static</x:v>
      </x:c>
      <x:c r="C146" s="50" t="str">
        <x:v>原因</x:v>
      </x:c>
      <x:c r="D146" s="50" t="str">
        <x:v>正确设计</x:v>
      </x:c>
      <x:c r="E146" s="50" t="str">
        <x:v>可接受static替代</x:v>
      </x:c>
      <x:c r="F146" s="50" t="str">
        <x:v>典型风险</x:v>
      </x:c>
      <x:c r="G146" s="50"/>
      <x:c r="H146" s="50"/>
    </x:row>
    <x:row r="147">
      <x:c r="A147" s="58" t="str">
        <x:v>CurrentProject / ProjectManager</x:v>
      </x:c>
      <x:c r="B147" s="58" t="str">
        <x:v>禁止</x:v>
      </x:c>
      <x:c r="C147" s="58" t="str">
        <x:v>工程有明确打开/关闭/Dirty/保存生命周期，测试需要多个工程</x:v>
      </x:c>
      <x:c r="D147" s="58" t="str">
        <x:v>ProjectSession实例，Host持有</x:v>
      </x:c>
      <x:c r="E147" s="58" t="str">
        <x:v>ProjectSchema常量可static</x:v>
      </x:c>
      <x:c r="F147" s="58" t="str">
        <x:v>多窗口/测试互相污染</x:v>
      </x:c>
      <x:c r="G147" s="58"/>
      <x:c r="H147" s="58"/>
    </x:row>
    <x:row r="148">
      <x:c r="A148" s="66" t="str">
        <x:v>SelectionService</x:v>
      </x:c>
      <x:c r="B148" s="66" t="str">
        <x:v>禁止</x:v>
      </x:c>
      <x:c r="C148" s="66" t="str">
        <x:v>每个Designer文档/页面选择状态不同</x:v>
      </x:c>
      <x:c r="D148" s="66" t="str">
        <x:v>DesignerDocumentContext内实例</x:v>
      </x:c>
      <x:c r="E148" s="66" t="str">
        <x:v>SelectionMath可static</x:v>
      </x:c>
      <x:c r="F148" s="66" t="str">
        <x:v>多个页面选择串台</x:v>
      </x:c>
      <x:c r="G148" s="66"/>
      <x:c r="H148" s="66"/>
    </x:row>
    <x:row r="149">
      <x:c r="A149" s="58" t="str">
        <x:v>CommandHistory</x:v>
      </x:c>
      <x:c r="B149" s="58" t="str">
        <x:v>禁止</x:v>
      </x:c>
      <x:c r="C149" s="58" t="str">
        <x:v>每个打开文档独立Undo栈</x:v>
      </x:c>
      <x:c r="D149" s="58" t="str">
        <x:v>Document级实例</x:v>
      </x:c>
      <x:c r="E149" s="58" t="str">
        <x:v>CommandHelper纯算法可static</x:v>
      </x:c>
      <x:c r="F149" s="58" t="str">
        <x:v>Undo到另一个工程</x:v>
      </x:c>
      <x:c r="G149" s="58"/>
      <x:c r="H149" s="58"/>
    </x:row>
    <x:row r="150">
      <x:c r="A150" s="66" t="str">
        <x:v>DesignerWorkspace</x:v>
      </x:c>
      <x:c r="B150" s="66" t="str">
        <x:v>禁止</x:v>
      </x:c>
      <x:c r="C150" s="66" t="str">
        <x:v>Zoom/Pan/Tool/Dock/ActivePage都是会话状态</x:v>
      </x:c>
      <x:c r="D150" s="66" t="str">
        <x:v>DesignerWorkspace实例</x:v>
      </x:c>
      <x:c r="E150" s="66" t="str">
        <x:v>ViewportMath可static</x:v>
      </x:c>
      <x:c r="F150" s="66" t="str">
        <x:v>状态泄漏/无法多开</x:v>
      </x:c>
      <x:c r="G150" s="66"/>
      <x:c r="H150" s="66"/>
    </x:row>
    <x:row r="151">
      <x:c r="A151" s="58" t="str">
        <x:v>ClipboardService</x:v>
      </x:c>
      <x:c r="B151" s="58" t="str">
        <x:v>不建议</x:v>
      </x:c>
      <x:c r="C151" s="58" t="str">
        <x:v>内部剪贴板/系统剪贴板可替换、需测试</x:v>
      </x:c>
      <x:c r="D151" s="58" t="str">
        <x:v>IClipboardService实例</x:v>
      </x:c>
      <x:c r="E151" s="58" t="str">
        <x:v>ClipboardFormat常量static</x:v>
      </x:c>
      <x:c r="F151" s="58" t="str">
        <x:v>测试访问真实系统剪贴板</x:v>
      </x:c>
      <x:c r="G151" s="58"/>
      <x:c r="H151" s="58"/>
    </x:row>
    <x:row r="152">
      <x:c r="A152" s="66" t="str">
        <x:v>RendererRegistry</x:v>
      </x:c>
      <x:c r="B152" s="66" t="str">
        <x:v>禁止全局static</x:v>
      </x:c>
      <x:c r="C152" s="66" t="str">
        <x:v>插件注册/卸载、测试隔离、Host配置不同</x:v>
      </x:c>
      <x:c r="D152" s="66" t="str">
        <x:v>IRendererRegistry实例，Composition Root组装</x:v>
      </x:c>
      <x:c r="E152" s="66" t="str">
        <x:v>BuiltInRendererRegistration.Register(registry) 可static扩展方法</x:v>
      </x:c>
      <x:c r="F152" s="66" t="str">
        <x:v>测试顺序依赖</x:v>
      </x:c>
      <x:c r="G152" s="66"/>
      <x:c r="H152" s="66"/>
    </x:row>
    <x:row r="153">
      <x:c r="A153" s="58" t="str">
        <x:v>ResourceCache</x:v>
      </x:c>
      <x:c r="B153" s="58" t="str">
        <x:v>禁止</x:v>
      </x:c>
      <x:c r="C153" s="58" t="str">
        <x:v>缓存大小/释放/工程作用域/内存压力都有状态</x:v>
      </x:c>
      <x:c r="D153" s="58" t="str">
        <x:v>IResourceCache实例/IDisposable</x:v>
      </x:c>
      <x:c r="E153" s="58" t="str">
        <x:v>ResourceHash可static</x:v>
      </x:c>
      <x:c r="F153" s="58" t="str">
        <x:v>永不释放导致内存涨</x:v>
      </x:c>
      <x:c r="G153" s="58"/>
      <x:c r="H153" s="58"/>
    </x:row>
    <x:row r="154">
      <x:c r="A154" s="66" t="str">
        <x:v>ProjectStore</x:v>
      </x:c>
      <x:c r="B154" s="66" t="str">
        <x:v>禁止</x:v>
      </x:c>
      <x:c r="C154" s="66" t="str">
        <x:v>IO、Recovery、路径、并发保存、异常都需替换/测试</x:v>
      </x:c>
      <x:c r="D154" s="66" t="str">
        <x:v>IProjectStore实例</x:v>
      </x:c>
      <x:c r="E154" s="66" t="str">
        <x:v>ProjectPathUtil static</x:v>
      </x:c>
      <x:c r="F154" s="66" t="str">
        <x:v>无法模拟IO、并发冲突</x:v>
      </x:c>
      <x:c r="G154" s="66"/>
      <x:c r="H154" s="66"/>
    </x:row>
    <x:row r="155">
      <x:c r="A155" s="58" t="str">
        <x:v>VariableProvider</x:v>
      </x:c>
      <x:c r="B155" s="58" t="str">
        <x:v>绝对禁止</x:v>
      </x:c>
      <x:c r="C155" s="58" t="str">
        <x:v>连接/订阅/重连/Dispose/当前值都是状态</x:v>
      </x:c>
      <x:c r="D155" s="58" t="str">
        <x:v>IVariableProvider实例</x:v>
      </x:c>
      <x:c r="E155" s="58" t="str">
        <x:v>QualityRules static</x:v>
      </x:c>
      <x:c r="F155" s="58" t="str">
        <x:v>静态订阅无法释放、多个设备串线</x:v>
      </x:c>
      <x:c r="G155" s="58"/>
      <x:c r="H155" s="58"/>
    </x:row>
    <x:row r="156">
      <x:c r="A156" s="66" t="str">
        <x:v>VariableEngine</x:v>
      </x:c>
      <x:c r="B156" s="66" t="str">
        <x:v>禁止</x:v>
      </x:c>
      <x:c r="C156" s="66" t="str">
        <x:v>订阅引用计数、缓存、Provider生命周期</x:v>
      </x:c>
      <x:c r="D156" s="66" t="str">
        <x:v>RuntimeEngine拥有实例</x:v>
      </x:c>
      <x:c r="E156" s="66" t="str">
        <x:v>BindingValueCoercion static</x:v>
      </x:c>
      <x:c r="F156" s="66" t="str">
        <x:v>重复订阅/跨项目污染</x:v>
      </x:c>
      <x:c r="G156" s="66"/>
      <x:c r="H156" s="66"/>
    </x:row>
    <x:row r="157">
      <x:c r="A157" s="58" t="str">
        <x:v>BindingEngine</x:v>
      </x:c>
      <x:c r="B157" s="58" t="str">
        <x:v>禁止</x:v>
      </x:c>
      <x:c r="C157" s="58" t="str">
        <x:v>RuntimePlan、dirty queue、订阅、resolved values有状态</x:v>
      </x:c>
      <x:c r="D157" s="58" t="str">
        <x:v>RuntimeEngine内实例</x:v>
      </x:c>
      <x:c r="E157" s="58" t="str">
        <x:v>Binding helpers static</x:v>
      </x:c>
      <x:c r="F157" s="58" t="str">
        <x:v>无法多个Runtime同时运行</x:v>
      </x:c>
      <x:c r="G157" s="58"/>
      <x:c r="H157" s="58"/>
    </x:row>
    <x:row r="158">
      <x:c r="A158" s="66" t="str">
        <x:v>RuntimeEngine</x:v>
      </x:c>
      <x:c r="B158" s="66" t="str">
        <x:v>绝对禁止</x:v>
      </x:c>
      <x:c r="C158" s="66" t="str">
        <x:v>Load/Start/Stop/状态/资源生命周期</x:v>
      </x:c>
      <x:c r="D158" s="66" t="str">
        <x:v>CxVisualRuntime实例/Facade</x:v>
      </x:c>
      <x:c r="E158" s="66" t="str">
        <x:v>RuntimePropertyKeys static</x:v>
      </x:c>
      <x:c r="F158" s="66" t="str">
        <x:v>嵌入和独立Runtime冲突</x:v>
      </x:c>
      <x:c r="G158" s="66"/>
      <x:c r="H158" s="66"/>
    </x:row>
    <x:row r="159">
      <x:c r="A159" s="58" t="str">
        <x:v>NavigationService</x:v>
      </x:c>
      <x:c r="B159" s="58" t="str">
        <x:v>禁止</x:v>
      </x:c>
      <x:c r="C159" s="58" t="str">
        <x:v>每个Runtime会话页面栈不同</x:v>
      </x:c>
      <x:c r="D159" s="58" t="str">
        <x:v>RuntimeSession实例</x:v>
      </x:c>
      <x:c r="E159" s="58" t="str">
        <x:v>NavigationRules纯函数可static</x:v>
      </x:c>
      <x:c r="F159" s="58" t="str">
        <x:v>返回/前进跨会话</x:v>
      </x:c>
      <x:c r="G159" s="58"/>
      <x:c r="H159" s="58"/>
    </x:row>
    <x:row r="160">
      <x:c r="A160" s="66" t="str">
        <x:v>PopupService</x:v>
      </x:c>
      <x:c r="B160" s="66" t="str">
        <x:v>禁止</x:v>
      </x:c>
      <x:c r="C160" s="66" t="str">
        <x:v>打开实例、参数、Owner、关闭生命周期</x:v>
      </x:c>
      <x:c r="D160" s="66" t="str">
        <x:v>RuntimeSession实例</x:v>
      </x:c>
      <x:c r="E160" s="66" t="str">
        <x:v>PlacementMath可static</x:v>
      </x:c>
      <x:c r="F160" s="66" t="str">
        <x:v>Popup无法回收</x:v>
      </x:c>
      <x:c r="G160" s="66"/>
      <x:c r="H160" s="66"/>
    </x:row>
    <x:row r="161">
      <x:c r="A161" s="58" t="str">
        <x:v>AnimationScheduler</x:v>
      </x:c>
      <x:c r="B161" s="58" t="str">
        <x:v>禁止</x:v>
      </x:c>
      <x:c r="C161" s="58" t="str">
        <x:v>Ticker/可见对象/帧率/Dispose</x:v>
      </x:c>
      <x:c r="D161" s="58" t="str">
        <x:v>Runtime级实例</x:v>
      </x:c>
      <x:c r="E161" s="58" t="str">
        <x:v>Easing函数可static</x:v>
      </x:c>
      <x:c r="F161" s="58" t="str">
        <x:v>后台Timer泄漏</x:v>
      </x:c>
      <x:c r="G161" s="58"/>
      <x:c r="H161" s="58"/>
    </x:row>
    <x:row r="162">
      <x:c r="A162" s="66" t="str">
        <x:v>CurrentUser / SecurityContext</x:v>
      </x:c>
      <x:c r="B162" s="66" t="str">
        <x:v>绝对禁止</x:v>
      </x:c>
      <x:c r="C162" s="66" t="str">
        <x:v>宿主可能切换用户，多Runtime会话权限不同</x:v>
      </x:c>
      <x:c r="D162" s="66" t="str">
        <x:v>IUserContext/AuthorizationContext实例</x:v>
      </x:c>
      <x:c r="E162" s="66" t="str">
        <x:v>PermissionKeys static</x:v>
      </x:c>
      <x:c r="F162" s="66" t="str">
        <x:v>严重越权风险</x:v>
      </x:c>
      <x:c r="G162" s="66"/>
      <x:c r="H162" s="66"/>
    </x:row>
    <x:row r="163">
      <x:c r="A163" s="58" t="str">
        <x:v>AuditService</x:v>
      </x:c>
      <x:c r="B163" s="58" t="str">
        <x:v>禁止</x:v>
      </x:c>
      <x:c r="C163" s="58" t="str">
        <x:v>持久化/队列/失败重试/Flush生命周期</x:v>
      </x:c>
      <x:c r="D163" s="58" t="str">
        <x:v>IAuditService实例</x:v>
      </x:c>
      <x:c r="E163" s="58" t="str">
        <x:v>AuditCodes static</x:v>
      </x:c>
      <x:c r="F163" s="58" t="str">
        <x:v>丢审计/无法测试</x:v>
      </x:c>
      <x:c r="G163" s="58"/>
      <x:c r="H163" s="58"/>
    </x:row>
    <x:row r="164">
      <x:c r="A164" s="66" t="str">
        <x:v>Logger</x:v>
      </x:c>
      <x:c r="B164" s="66" t="str">
        <x:v>底层禁止static依赖</x:v>
      </x:c>
      <x:c r="C164" s="66" t="str">
        <x:v>需不同sink/测试/结构化上下文</x:v>
      </x:c>
      <x:c r="D164" s="66" t="str">
        <x:v>ILogger接口注入</x:v>
      </x:c>
      <x:c r="E164" s="66" t="str">
        <x:v>可提供 CxVisualLog 静态Facade 仅给遗留/边界代码，底层可配置且Core不依赖它</x:v>
      </x:c>
      <x:c r="F164" s="66" t="str">
        <x:v>全局Logger隐藏依赖</x:v>
      </x:c>
      <x:c r="G164" s="66"/>
      <x:c r="H164" s="66"/>
    </x:row>
    <x:row r="165">
      <x:c r="A165" s="58" t="str">
        <x:v>EventBus</x:v>
      </x:c>
      <x:c r="B165" s="58" t="str">
        <x:v>禁止global static</x:v>
      </x:c>
      <x:c r="C165" s="58" t="str">
        <x:v>订阅生命周期和文档作用域非常关键</x:v>
      </x:c>
      <x:c r="D165" s="58" t="str">
        <x:v>IDesignerEventBus实例/弱订阅</x:v>
      </x:c>
      <x:c r="E165" s="58" t="str">
        <x:v>EventNames常量static</x:v>
      </x:c>
      <x:c r="F165" s="58" t="str">
        <x:v>内存泄漏/跨窗口事件</x:v>
      </x:c>
      <x:c r="G165" s="58"/>
      <x:c r="H165" s="58"/>
    </x:row>
    <x:row r="166">
      <x:c r="A166" s="66" t="str">
        <x:v>Dispatcher</x:v>
      </x:c>
      <x:c r="B166" s="66" t="str">
        <x:v>禁止static CurrentDispatcher包装</x:v>
      </x:c>
      <x:c r="C166" s="66" t="str">
        <x:v>不同UI线程/测试环境不同</x:v>
      </x:c>
      <x:c r="D166" s="66" t="str">
        <x:v>IUiDispatcher实例适配WPF Dispatcher</x:v>
      </x:c>
      <x:c r="E166" s="66" t="str">
        <x:v>DispatcherGuard纯断言可static</x:v>
      </x:c>
      <x:c r="F166" s="66" t="str">
        <x:v>跨线程错误</x:v>
      </x:c>
      <x:c r="G166" s="66"/>
      <x:c r="H166" s="66"/>
    </x:row>
    <x:row r="167">
      <x:c r="A167" s="58" t="str">
        <x:v>PluginManager</x:v>
      </x:c>
      <x:c r="B167" s="58" t="str">
        <x:v>禁止</x:v>
      </x:c>
      <x:c r="C167" s="58" t="str">
        <x:v>加载/卸载/依赖/签名/隔离均有生命周期</x:v>
      </x:c>
      <x:c r="D167" s="58" t="str">
        <x:v>PluginHost实例</x:v>
      </x:c>
      <x:c r="E167" s="58" t="str">
        <x:v>PluginIdUtil static</x:v>
      </x:c>
      <x:c r="F167" s="58" t="str">
        <x:v>全局程序集状态不可测试</x:v>
      </x:c>
      <x:c r="G167" s="58"/>
      <x:c r="H167" s="58"/>
    </x:row>
    <x:row r="168">
      <x:c r="A168" s="66" t="str">
        <x:v>HistoryStore</x:v>
      </x:c>
      <x:c r="B168" s="66" t="str">
        <x:v>禁止</x:v>
      </x:c>
      <x:c r="C168" s="66" t="str">
        <x:v>DB连接/查询/缓存/事务有状态</x:v>
      </x:c>
      <x:c r="D168" s="66" t="str">
        <x:v>IHistoryStore实例</x:v>
      </x:c>
      <x:c r="E168" s="66" t="str">
        <x:v>AggregationMath可static</x:v>
      </x:c>
      <x:c r="F168" s="66" t="str">
        <x:v>连接泄漏</x:v>
      </x:c>
      <x:c r="G168" s="66"/>
      <x:c r="H168" s="66"/>
    </x:row>
    <x:row r="169">
      <x:c r="A169" s="58" t="str">
        <x:v>AlarmEngine</x:v>
      </x:c>
      <x:c r="B169" s="58" t="str">
        <x:v>禁止</x:v>
      </x:c>
      <x:c r="C169" s="58" t="str">
        <x:v>报警状态机、确认/恢复/抑制有状态</x:v>
      </x:c>
      <x:c r="D169" s="58" t="str">
        <x:v>AlarmEngine实例</x:v>
      </x:c>
      <x:c r="E169" s="58" t="str">
        <x:v>AlarmRuleMath可static</x:v>
      </x:c>
      <x:c r="F169" s="58" t="str">
        <x:v>不同设备报警串状态</x:v>
      </x:c>
      <x:c r="G169" s="58"/>
      <x:c r="H169" s="58"/>
    </x:row>
    <x:row r="170">
      <x:c r="A170" s="66" t="str">
        <x:v>ReportService</x:v>
      </x:c>
      <x:c r="B170" s="66" t="str">
        <x:v>禁止</x:v>
      </x:c>
      <x:c r="C170" s="66" t="str">
        <x:v>任务队列/IO/取消/进度</x:v>
      </x:c>
      <x:c r="D170" s="66" t="str">
        <x:v>IReportService实例</x:v>
      </x:c>
      <x:c r="E170" s="66" t="str">
        <x:v>ReportNameUtil static</x:v>
      </x:c>
      <x:c r="F170" s="66" t="str">
        <x:v>任务无法取消/隔离</x:v>
      </x:c>
      <x:c r="G170" s="66"/>
      <x:c r="H170" s="66"/>
    </x:row>
    <x:row r="171">
      <x:c r="A171" s="58" t="str">
        <x:v>RecipeService</x:v>
      </x:c>
      <x:c r="B171" s="58" t="str">
        <x:v>禁止</x:v>
      </x:c>
      <x:c r="C171" s="58" t="str">
        <x:v>设备写入、安全、审批、事务状态</x:v>
      </x:c>
      <x:c r="D171" s="58" t="str">
        <x:v>IRecipeService实例</x:v>
      </x:c>
      <x:c r="E171" s="58" t="str">
        <x:v>RecipeCompare纯函数可static</x:v>
      </x:c>
      <x:c r="F171" s="58" t="str">
        <x:v>错误写设备</x:v>
      </x:c>
      <x:c r="G171" s="58"/>
      <x:c r="H171" s="58"/>
    </x:row>
    <x:row r="172">
      <x:c r="A172" s="66" t="str">
        <x:v>ServiceLocator</x:v>
      </x:c>
      <x:c r="B172" s="66" t="str">
        <x:v>禁止</x:v>
      </x:c>
      <x:c r="C172" s="66" t="str">
        <x:v>隐藏依赖、静态全局对象造成不可测试</x:v>
      </x:c>
      <x:c r="D172" s="66" t="str">
        <x:v>构造注入/Composition Root</x:v>
      </x:c>
      <x:c r="E172" s="66" t="str">
        <x:v>无</x:v>
      </x:c>
      <x:c r="F172" s="66" t="str">
        <x:v>架构边界逐渐消失</x:v>
      </x:c>
      <x:c r="G172" s="66"/>
      <x:c r="H172" s="66"/>
    </x:row>
    <x:row r="173">
      <x:c r="A173" s="58" t="str">
        <x:v>Singleton&lt;T&gt;通用基类</x:v>
      </x:c>
      <x:c r="B173" s="58" t="str">
        <x:v>禁止默认使用</x:v>
      </x:c>
      <x:c r="C173" s="58" t="str">
        <x:v>“方便”会把所有服务做全局单例</x:v>
      </x:c>
      <x:c r="D173" s="58" t="str">
        <x:v>显式生命周期：Document/Runtime/Application</x:v>
      </x:c>
      <x:c r="E173" s="58" t="str">
        <x:v>真正无状态用static即可</x:v>
      </x:c>
      <x:c r="F173" s="58" t="str">
        <x:v>多工程、多Runtime不可行</x:v>
      </x:c>
      <x:c r="G173" s="58"/>
      <x:c r="H173" s="58"/>
    </x:row>
    <x:row r="174">
      <x:c r="A174" s="66" t="str">
        <x:v>Config全局mutable static</x:v>
      </x:c>
      <x:c r="B174" s="66" t="str">
        <x:v>禁止</x:v>
      </x:c>
      <x:c r="C174" s="66" t="str">
        <x:v>运行中修改导致线程和测试不确定</x:v>
      </x:c>
      <x:c r="D174" s="66" t="str">
        <x:v>Options对象/只读ProjectSettings实例</x:v>
      </x:c>
      <x:c r="E174" s="66" t="str">
        <x:v>DefaultConstants static</x:v>
      </x:c>
      <x:c r="F174" s="66" t="str">
        <x:v>配置相互污染</x:v>
      </x:c>
      <x:c r="G174" s="66"/>
      <x:c r="H174" s="66"/>
    </x:row>
    <x:row r="175">
      <x:c r="A175"/>
      <x:c r="B175"/>
      <x:c r="C175"/>
      <x:c r="D175"/>
      <x:c r="E175"/>
      <x:c r="F175"/>
      <x:c r="G175"/>
      <x:c r="H175"/>
    </x:row>
    <x:row r="176">
      <x:c r="A176"/>
      <x:c r="B176"/>
      <x:c r="C176"/>
      <x:c r="D176"/>
      <x:c r="E176"/>
      <x:c r="F176"/>
      <x:c r="G176"/>
      <x:c r="H176"/>
    </x:row>
    <x:row r="177">
      <x:c r="A177"/>
      <x:c r="B177"/>
      <x:c r="C177"/>
      <x:c r="D177"/>
      <x:c r="E177"/>
      <x:c r="F177"/>
      <x:c r="G177"/>
      <x:c r="H177"/>
    </x:row>
    <x:row r="178" ht="24" customHeight="1">
      <x:c r="A178" s="40" t="str">
        <x:v>G. Graph公共执行契约</x:v>
      </x:c>
      <x:c r="B178" s="40"/>
      <x:c r="C178" s="40"/>
      <x:c r="D178" s="40"/>
      <x:c r="E178" s="40"/>
      <x:c r="F178" s="40"/>
      <x:c r="G178" s="40"/>
      <x:c r="H178" s="40"/>
    </x:row>
    <x:row r="179" ht="24" customHeight="1">
      <x:c r="A179" s="40" t="str">
        <x:v>E. Graph / Debug 核心接口与类</x:v>
      </x:c>
      <x:c r="B179" s="40"/>
      <x:c r="C179" s="40"/>
      <x:c r="D179" s="40"/>
      <x:c r="E179" s="40"/>
      <x:c r="F179" s="40"/>
      <x:c r="G179" s="40"/>
      <x:c r="H179" s="40"/>
    </x:row>
    <x:row r="180" ht="28" customHeight="1">
      <x:c r="A180" s="50" t="str">
        <x:v>类/接口</x:v>
      </x:c>
      <x:c r="B180" s="50" t="str">
        <x:v>程序集</x:v>
      </x:c>
      <x:c r="C180" s="50" t="str">
        <x:v>类型</x:v>
      </x:c>
      <x:c r="D180" s="50" t="str">
        <x:v>是否持久化</x:v>
      </x:c>
      <x:c r="E180" s="50" t="str">
        <x:v>关键字段/方法</x:v>
      </x:c>
      <x:c r="F180" s="50" t="str">
        <x:v>职责</x:v>
      </x:c>
      <x:c r="G180" s="50" t="str">
        <x:v>模式/边界</x:v>
      </x:c>
      <x:c r="H180" s="50" t="str">
        <x:v>阶段</x:v>
      </x:c>
    </x:row>
    <x:row r="181">
      <x:c r="A181" s="58" t="str">
        <x:v>GraphDefinition</x:v>
      </x:c>
      <x:c r="B181" s="58" t="str">
        <x:v>CxVisual.Platform / Graph</x:v>
      </x:c>
      <x:c r="C181" s="58" t="str">
        <x:v>sealed aggregate</x:v>
      </x:c>
      <x:c r="D181" s="58" t="str">
        <x:v>是</x:v>
      </x:c>
      <x:c r="E181" s="58" t="str">
        <x:v>Id/Name/GraphKind/Version/Nodes/Connections/Parameters/Metadata</x:v>
      </x:c>
      <x:c r="F181" s="58" t="str">
        <x:v>Execution Model根定义</x:v>
      </x:c>
      <x:c r="G181" s="58" t="str">
        <x:v>Aggregate；无运行状态</x:v>
      </x:c>
      <x:c r="H181" s="58" t="str">
        <x:v>M3</x:v>
      </x:c>
    </x:row>
    <x:row r="182">
      <x:c r="A182" s="66" t="str">
        <x:v>GraphNodeModel</x:v>
      </x:c>
      <x:c r="B182" s="66" t="str">
        <x:v>CxVisual.Platform / Graph</x:v>
      </x:c>
      <x:c r="C182" s="66" t="str">
        <x:v>sealed entity</x:v>
      </x:c>
      <x:c r="D182" s="66" t="str">
        <x:v>是</x:v>
      </x:c>
      <x:c r="E182" s="66" t="str">
        <x:v>Id/NodeTypeId/Position/Parameters/Ports/Tags/Disabled</x:v>
      </x:c>
      <x:c r="F182" s="66" t="str">
        <x:v>节点实例</x:v>
      </x:c>
      <x:c r="G182" s="66" t="str">
        <x:v>不持Executor/Vendor对象</x:v>
      </x:c>
      <x:c r="H182" s="66" t="str">
        <x:v>M3</x:v>
      </x:c>
    </x:row>
    <x:row r="183">
      <x:c r="A183" s="58" t="str">
        <x:v>GraphPortModel</x:v>
      </x:c>
      <x:c r="B183" s="58" t="str">
        <x:v>CxVisual.Platform / Graph</x:v>
      </x:c>
      <x:c r="C183" s="58" t="str">
        <x:v>value/entity</x:v>
      </x:c>
      <x:c r="D183" s="58" t="str">
        <x:v>是/Descriptor生成</x:v>
      </x:c>
      <x:c r="E183" s="58" t="str">
        <x:v>Key/Direction/DataType/Cardinality/Optional</x:v>
      </x:c>
      <x:c r="F183" s="58" t="str">
        <x:v>Typed Port契约</x:v>
      </x:c>
      <x:c r="G183" s="58" t="str">
        <x:v>Port类型稳定</x:v>
      </x:c>
      <x:c r="H183" s="58" t="str">
        <x:v>M3</x:v>
      </x:c>
    </x:row>
    <x:row r="184">
      <x:c r="A184" s="66" t="str">
        <x:v>GraphConnectionModel</x:v>
      </x:c>
      <x:c r="B184" s="66" t="str">
        <x:v>CxVisual.Platform / Graph</x:v>
      </x:c>
      <x:c r="C184" s="66" t="str">
        <x:v>sealed entity</x:v>
      </x:c>
      <x:c r="D184" s="66" t="str">
        <x:v>是</x:v>
      </x:c>
      <x:c r="E184" s="66" t="str">
        <x:v>FromNode/Port→ToNode/Port</x:v>
      </x:c>
      <x:c r="F184" s="66" t="str">
        <x:v>连接关系</x:v>
      </x:c>
      <x:c r="G184" s="66" t="str">
        <x:v>只引用稳定Id</x:v>
      </x:c>
      <x:c r="H184" s="66" t="str">
        <x:v>M3</x:v>
      </x:c>
    </x:row>
    <x:row r="185">
      <x:c r="A185" s="58" t="str">
        <x:v>NodeDescriptor</x:v>
      </x:c>
      <x:c r="B185" s="58" t="str">
        <x:v>CxVisual.Platform / Graph</x:v>
      </x:c>
      <x:c r="C185" s="58" t="str">
        <x:v>metadata</x:v>
      </x:c>
      <x:c r="D185" s="58" t="str">
        <x:v>否</x:v>
      </x:c>
      <x:c r="E185" s="58" t="str">
        <x:v>NodeTypeId/DisplayName/Category/Ports/Parameters/Capabilities/ExecutorKey</x:v>
      </x:c>
      <x:c r="F185" s="58" t="str">
        <x:v>节点Catalog元数据</x:v>
      </x:c>
      <x:c r="G185" s="58" t="str">
        <x:v>Registry注册</x:v>
      </x:c>
      <x:c r="H185" s="58" t="str">
        <x:v>M3</x:v>
      </x:c>
    </x:row>
    <x:row r="186">
      <x:c r="A186" s="66" t="str">
        <x:v>IGraphValidator</x:v>
      </x:c>
      <x:c r="B186" s="66" t="str">
        <x:v>CxVisual.Platform / Graph</x:v>
      </x:c>
      <x:c r="C186" s="66" t="str">
        <x:v>interface</x:v>
      </x:c>
      <x:c r="D186" s="66" t="str">
        <x:v>否</x:v>
      </x:c>
      <x:c r="E186" s="66" t="str">
        <x:v>Validate(GraphDefinition, context)</x:v>
      </x:c>
      <x:c r="F186" s="66" t="str">
        <x:v>通用/Domain规则校验</x:v>
      </x:c>
      <x:c r="G186" s="66" t="str">
        <x:v>规则可组合</x:v>
      </x:c>
      <x:c r="H186" s="66" t="str">
        <x:v>M3</x:v>
      </x:c>
    </x:row>
    <x:row r="187">
      <x:c r="A187" s="58" t="str">
        <x:v>IGraphCompiler</x:v>
      </x:c>
      <x:c r="B187" s="58" t="str">
        <x:v>CxVisual.Platform / Graph</x:v>
      </x:c>
      <x:c r="C187" s="58" t="str">
        <x:v>interface</x:v>
      </x:c>
      <x:c r="D187" s="58" t="str">
        <x:v>否</x:v>
      </x:c>
      <x:c r="E187" s="58" t="str">
        <x:v>Compile(ResolvedGraph, context)→ExecutionPlan</x:v>
      </x:c>
      <x:c r="F187" s="58" t="str">
        <x:v>GraphKind专用编译器</x:v>
      </x:c>
      <x:c r="G187" s="58" t="str">
        <x:v>Motion/Vision/Inspection分别实现</x:v>
      </x:c>
      <x:c r="H187" s="58" t="str">
        <x:v>M3</x:v>
      </x:c>
    </x:row>
    <x:row r="188">
      <x:c r="A188" s="66" t="str">
        <x:v>GraphExecutionPlan</x:v>
      </x:c>
      <x:c r="B188" s="66" t="str">
        <x:v>CxVisual.Platform / Graph</x:v>
      </x:c>
      <x:c r="C188" s="66" t="str">
        <x:v>immutable runtime plan</x:v>
      </x:c>
      <x:c r="D188" s="66" t="str">
        <x:v>否</x:v>
      </x:c>
      <x:c r="E188" s="66" t="str">
        <x:v>ResolvedNodes/Edges/Resources/VersionManifest</x:v>
      </x:c>
      <x:c r="F188" s="66" t="str">
        <x:v>不可变执行计划</x:v>
      </x:c>
      <x:c r="G188" s="66" t="str">
        <x:v>编译产物</x:v>
      </x:c>
      <x:c r="H188" s="66" t="str">
        <x:v>M3</x:v>
      </x:c>
    </x:row>
    <x:row r="189">
      <x:c r="A189" s="58" t="str">
        <x:v>IGraphRuntimeSession</x:v>
      </x:c>
      <x:c r="B189" s="58" t="str">
        <x:v>CxVisual.Platform / Graph</x:v>
      </x:c>
      <x:c r="C189" s="58" t="str">
        <x:v>interface</x:v>
      </x:c>
      <x:c r="D189" s="58" t="str">
        <x:v>否</x:v>
      </x:c>
      <x:c r="E189" s="58" t="str">
        <x:v>Start/Pause/Resume/Cancel/Stop/Status</x:v>
      </x:c>
      <x:c r="F189" s="58" t="str">
        <x:v>运行会话契约</x:v>
      </x:c>
      <x:c r="G189" s="58" t="str">
        <x:v>Domain session特化</x:v>
      </x:c>
      <x:c r="H189" s="58" t="str">
        <x:v>M3</x:v>
      </x:c>
    </x:row>
    <x:row r="190">
      <x:c r="A190" s="66" t="str">
        <x:v>IndustrialTypeSystem</x:v>
      </x:c>
      <x:c r="B190" s="66" t="str">
        <x:v>CxVisual.Core/Graph.Core</x:v>
      </x:c>
      <x:c r="C190" s="66" t="str">
        <x:v>service/registry</x:v>
      </x:c>
      <x:c r="D190" s="66" t="str">
        <x:v>否</x:v>
      </x:c>
      <x:c r="E190" s="66" t="str">
        <x:v>Register/Get/IsCompatible/Coerce</x:v>
      </x:c>
      <x:c r="F190" s="66" t="str">
        <x:v>统一工业类型</x:v>
      </x:c>
      <x:c r="G190" s="66" t="str">
        <x:v>Core无WPF/Vendor类型</x:v>
      </x:c>
      <x:c r="H190" s="66" t="str">
        <x:v>M3</x:v>
      </x:c>
    </x:row>
    <x:row r="191">
      <x:c r="A191" s="58" t="str">
        <x:v>DataValue&lt;T&gt;</x:v>
      </x:c>
      <x:c r="B191" s="58" t="str">
        <x:v>CxVisual.Abstractions</x:v>
      </x:c>
      <x:c r="C191" s="58" t="str">
        <x:v>value object</x:v>
      </x:c>
      <x:c r="D191" s="58" t="str">
        <x:v>否</x:v>
      </x:c>
      <x:c r="E191" s="58" t="str">
        <x:v>Value/Quality/Timestamp/Source/Correlation</x:v>
      </x:c>
      <x:c r="F191" s="58" t="str">
        <x:v>统一动态值语义</x:v>
      </x:c>
      <x:c r="G191" s="58" t="str">
        <x:v>大对象可用Handle替代T</x:v>
      </x:c>
      <x:c r="H191" s="58" t="str">
        <x:v>M3</x:v>
      </x:c>
    </x:row>
    <x:row r="192">
      <x:c r="A192" s="66" t="str">
        <x:v>DebugSession</x:v>
      </x:c>
      <x:c r="B192" s="66" t="str">
        <x:v>CxVisual.Debugging</x:v>
      </x:c>
      <x:c r="C192" s="66" t="str">
        <x:v>session</x:v>
      </x:c>
      <x:c r="D192" s="66" t="str">
        <x:v>否</x:v>
      </x:c>
      <x:c r="E192" s="66" t="str">
        <x:v>Mode/Targets/Breakpoints/Watches/Status</x:v>
      </x:c>
      <x:c r="F192" s="66" t="str">
        <x:v>统一调试会话</x:v>
      </x:c>
      <x:c r="G192" s="66" t="str">
        <x:v>Designer与Runtime桥</x:v>
      </x:c>
      <x:c r="H192" s="66" t="str">
        <x:v>M3</x:v>
      </x:c>
    </x:row>
    <x:row r="193">
      <x:c r="A193" s="58" t="str">
        <x:v>ExecutionTraceRecord</x:v>
      </x:c>
      <x:c r="B193" s="58" t="str">
        <x:v>CxVisual.Debugging</x:v>
      </x:c>
      <x:c r="C193" s="58" t="str">
        <x:v>record</x:v>
      </x:c>
      <x:c r="D193" s="58" t="str">
        <x:v>可按策略记录</x:v>
      </x:c>
      <x:c r="E193" s="58" t="str">
        <x:v>Time/Target/State/Duration/Correlation/Summary</x:v>
      </x:c>
      <x:c r="F193" s="58" t="str">
        <x:v>跨域Trace</x:v>
      </x:c>
      <x:c r="G193" s="58" t="str">
        <x:v>有界/可采样</x:v>
      </x:c>
      <x:c r="H193" s="58" t="str">
        <x:v>M3</x:v>
      </x:c>
    </x:row>
    <x:row r="194">
      <x:c r="A194" s="66" t="str">
        <x:v>ResourceManager</x:v>
      </x:c>
      <x:c r="B194" s="66" t="str">
        <x:v>CxVisual.Runtime.Core</x:v>
      </x:c>
      <x:c r="C194" s="66" t="str">
        <x:v>service</x:v>
      </x:c>
      <x:c r="D194" s="66" t="str">
        <x:v>否</x:v>
      </x:c>
      <x:c r="E194" s="66" t="str">
        <x:v>Acquire/Release/GetSnapshot</x:v>
      </x:c>
      <x:c r="F194" s="66" t="str">
        <x:v>运行资源Lease</x:v>
      </x:c>
      <x:c r="G194" s="66" t="str">
        <x:v>无Vendor对象</x:v>
      </x:c>
      <x:c r="H194" s="66" t="str">
        <x:v>M3</x:v>
      </x:c>
    </x:row>
    <x:row r="195">
      <x:c r="A195" s="58" t="str">
        <x:v>ResourceLease</x:v>
      </x:c>
      <x:c r="B195" s="58" t="str">
        <x:v>CxVisual.Runtime.Core</x:v>
      </x:c>
      <x:c r="C195" s="58" t="str">
        <x:v>runtime handle</x:v>
      </x:c>
      <x:c r="D195" s="58" t="str">
        <x:v>否</x:v>
      </x:c>
      <x:c r="E195" s="58" t="str">
        <x:v>LeaseId/Owner/Resource/Mode</x:v>
      </x:c>
      <x:c r="F195" s="58" t="str">
        <x:v>资源持有句柄</x:v>
      </x:c>
      <x:c r="G195" s="58" t="str">
        <x:v>Dispose释放</x:v>
      </x:c>
      <x:c r="H195" s="58" t="str">
        <x:v>M3</x:v>
      </x:c>
    </x:row>
    <x:row r="196">
      <x:c r="A196"/>
      <x:c r="B196"/>
      <x:c r="C196"/>
      <x:c r="D196"/>
      <x:c r="E196"/>
      <x:c r="F196"/>
      <x:c r="G196"/>
      <x:c r="H196"/>
    </x:row>
    <x:row r="197">
      <x:c r="A197"/>
      <x:c r="B197"/>
      <x:c r="C197"/>
      <x:c r="D197"/>
      <x:c r="E197"/>
      <x:c r="F197"/>
      <x:c r="G197"/>
      <x:c r="H197"/>
    </x:row>
    <x:row r="198" ht="24" customHeight="1">
      <x:c r="A198" s="40" t="str">
        <x:v>H. Online Debug公共契约</x:v>
      </x:c>
      <x:c r="B198" s="40"/>
      <x:c r="C198" s="40"/>
      <x:c r="D198" s="40"/>
      <x:c r="E198" s="40"/>
      <x:c r="F198" s="40"/>
      <x:c r="G198" s="40"/>
      <x:c r="H198" s="40"/>
    </x:row>
    <x:row r="199" ht="24" customHeight="1">
      <x:c r="A199" s="40" t="str">
        <x:v>I. Online Debug / Target Agent 核心接口与类</x:v>
      </x:c>
      <x:c r="B199" s="40"/>
      <x:c r="C199" s="40"/>
      <x:c r="D199" s="40"/>
      <x:c r="E199" s="40"/>
      <x:c r="F199" s="40"/>
      <x:c r="G199" s="40"/>
      <x:c r="H199" s="40"/>
    </x:row>
    <x:row r="200" ht="28" customHeight="1">
      <x:c r="A200" s="50" t="str">
        <x:v>类/接口</x:v>
      </x:c>
      <x:c r="B200" s="50" t="str">
        <x:v>程序集</x:v>
      </x:c>
      <x:c r="C200" s="50" t="str">
        <x:v>类型</x:v>
      </x:c>
      <x:c r="D200" s="50" t="str">
        <x:v>是否持久化</x:v>
      </x:c>
      <x:c r="E200" s="50" t="str">
        <x:v>关键字段/方法</x:v>
      </x:c>
      <x:c r="F200" s="50" t="str">
        <x:v>职责</x:v>
      </x:c>
      <x:c r="G200" s="50" t="str">
        <x:v>边界</x:v>
      </x:c>
      <x:c r="H200" s="50" t="str">
        <x:v>阶段</x:v>
      </x:c>
    </x:row>
    <x:row r="201">
      <x:c r="A201" s="66" t="str">
        <x:v>IDebugControlChannel</x:v>
      </x:c>
      <x:c r="B201" s="66" t="str">
        <x:v>CxVisual.Debug.Contracts</x:v>
      </x:c>
      <x:c r="C201" s="66" t="str">
        <x:v>interface</x:v>
      </x:c>
      <x:c r="D201" s="66" t="str">
        <x:v>否</x:v>
      </x:c>
      <x:c r="E201" s="66" t="str">
        <x:v>SendCommandAsync(command, expectedState)/QueryCommand(commandId)</x:v>
      </x:c>
      <x:c r="F201" s="66" t="str">
        <x:v>可靠控制面</x:v>
      </x:c>
      <x:c r="G201" s="66" t="str">
        <x:v>副作用命令要求CommandId/状态对账</x:v>
      </x:c>
      <x:c r="H201" s="66" t="str">
        <x:v>M3</x:v>
      </x:c>
    </x:row>
    <x:row r="202">
      <x:c r="A202" s="58" t="str">
        <x:v>IDebugTelemetryChannel</x:v>
      </x:c>
      <x:c r="B202" s="58" t="str">
        <x:v>CxVisual.Debug.Contracts</x:v>
      </x:c>
      <x:c r="C202" s="58" t="str">
        <x:v>interface</x:v>
      </x:c>
      <x:c r="D202" s="58" t="str">
        <x:v>否</x:v>
      </x:c>
      <x:c r="E202" s="58" t="str">
        <x:v>Subscribe(filter)/GetSnapshot(target)/Sequence</x:v>
      </x:c>
      <x:c r="F202" s="58" t="str">
        <x:v>有界Telemetry面</x:v>
      </x:c>
      <x:c r="G202" s="58" t="str">
        <x:v>允许采样/Gap；不得阻塞Runtime</x:v>
      </x:c>
      <x:c r="H202" s="58" t="str">
        <x:v>M3</x:v>
      </x:c>
    </x:row>
    <x:row r="203">
      <x:c r="A203" s="66" t="str">
        <x:v>IDebugArtifactChannel</x:v>
      </x:c>
      <x:c r="B203" s="66" t="str">
        <x:v>CxVisual.Debug.Contracts</x:v>
      </x:c>
      <x:c r="C203" s="66" t="str">
        <x:v>interface</x:v>
      </x:c>
      <x:c r="D203" s="66" t="str">
        <x:v>否</x:v>
      </x:c>
      <x:c r="E203" s="66" t="str">
        <x:v>GetArtifact(artifactId, range)/Release</x:v>
      </x:c>
      <x:c r="F203" s="66" t="str">
        <x:v>大数据按需通道</x:v>
      </x:c>
      <x:c r="G203" s="66" t="str">
        <x:v>Image/Volume不塞Telemetry</x:v>
      </x:c>
      <x:c r="H203" s="66" t="str">
        <x:v>M3</x:v>
      </x:c>
    </x:row>
    <x:row r="204">
      <x:c r="A204" s="58" t="str">
        <x:v>DebugTargetInfo</x:v>
      </x:c>
      <x:c r="B204" s="58" t="str">
        <x:v>CxVisual.Debug.Contracts</x:v>
      </x:c>
      <x:c r="C204" s="58" t="str">
        <x:v>record</x:v>
      </x:c>
      <x:c r="D204" s="58" t="str">
        <x:v>否</x:v>
      </x:c>
      <x:c r="E204" s="58" t="str">
        <x:v>StationId/AppVersion/ApiVersion/Capabilities/ActiveRelease</x:v>
      </x:c>
      <x:c r="F204" s="58" t="str">
        <x:v>Target发现/握手信息</x:v>
      </x:c>
      <x:c r="G204" s="58" t="str">
        <x:v>最小必要暴露</x:v>
      </x:c>
      <x:c r="H204" s="58" t="str">
        <x:v>M3</x:v>
      </x:c>
    </x:row>
    <x:row r="205">
      <x:c r="A205" s="66" t="str">
        <x:v>DebugCapabilitySet</x:v>
      </x:c>
      <x:c r="B205" s="66" t="str">
        <x:v>CxVisual.Debug.Contracts</x:v>
      </x:c>
      <x:c r="C205" s="66" t="str">
        <x:v>record</x:v>
      </x:c>
      <x:c r="D205" s="66" t="str">
        <x:v>否</x:v>
      </x:c>
      <x:c r="E205" s="66" t="str">
        <x:v>Domains/Modes/Commands/Limits/DataViewers</x:v>
      </x:c>
      <x:c r="F205" s="66" t="str">
        <x:v>客户端命令可用性</x:v>
      </x:c>
      <x:c r="G205" s="66" t="str">
        <x:v>Target最终权威</x:v>
      </x:c>
      <x:c r="H205" s="66" t="str">
        <x:v>M3</x:v>
      </x:c>
    </x:row>
    <x:row r="206">
      <x:c r="A206" s="58" t="str">
        <x:v>DebugCommand</x:v>
      </x:c>
      <x:c r="B206" s="58" t="str">
        <x:v>CxVisual.Debug.Contracts</x:v>
      </x:c>
      <x:c r="C206" s="58" t="str">
        <x:v>record hierarchy</x:v>
      </x:c>
      <x:c r="D206" s="58" t="str">
        <x:v>否</x:v>
      </x:c>
      <x:c r="E206" s="58" t="str">
        <x:v>CommandId/SessionId/ExpectedState/Correlation/Payload</x:v>
      </x:c>
      <x:c r="F206" s="58" t="str">
        <x:v>控制命令基座</x:v>
      </x:c>
      <x:c r="G206" s="58" t="str">
        <x:v>稳定协议，不引用Domain内部Model</x:v>
      </x:c>
      <x:c r="H206" s="58" t="str">
        <x:v>M3</x:v>
      </x:c>
    </x:row>
    <x:row r="207">
      <x:c r="A207" s="66" t="str">
        <x:v>DebugCommandResult</x:v>
      </x:c>
      <x:c r="B207" s="66" t="str">
        <x:v>CxVisual.Debug.Contracts</x:v>
      </x:c>
      <x:c r="C207" s="66" t="str">
        <x:v>record</x:v>
      </x:c>
      <x:c r="D207" s="66" t="str">
        <x:v>否</x:v>
      </x:c>
      <x:c r="E207" s="66" t="str">
        <x:v>CommandId/Accepted/State/Error/ResultSummary</x:v>
      </x:c>
      <x:c r="F207" s="66" t="str">
        <x:v>命令Ack与状态对账</x:v>
      </x:c>
      <x:c r="G207" s="66" t="str">
        <x:v>Unknown必须可Query</x:v>
      </x:c>
      <x:c r="H207" s="66" t="str">
        <x:v>M3</x:v>
      </x:c>
    </x:row>
    <x:row r="208">
      <x:c r="A208" s="58" t="str">
        <x:v>RuntimeDebugAgent</x:v>
      </x:c>
      <x:c r="B208" s="58" t="str">
        <x:v>CxVisual.Debug.Agent</x:v>
      </x:c>
      <x:c r="C208" s="58" t="str">
        <x:v>service</x:v>
      </x:c>
      <x:c r="D208" s="58" t="str">
        <x:v>否</x:v>
      </x:c>
      <x:c r="E208" s="58" t="str">
        <x:v>Handshake/Attach/Execute/Subscribe/Detach</x:v>
      </x:c>
      <x:c r="F208" s="58" t="str">
        <x:v>Target调试Facade</x:v>
      </x:c>
      <x:c r="G208" s="58" t="str">
        <x:v>不能拥有Domain业务逻辑</x:v>
      </x:c>
      <x:c r="H208" s="58" t="str">
        <x:v>M3</x:v>
      </x:c>
    </x:row>
    <x:row r="209">
      <x:c r="A209" s="66" t="str">
        <x:v>IDomainDebugAdapter</x:v>
      </x:c>
      <x:c r="B209" s="66" t="str">
        <x:v>CxVisual.Debug.Contracts</x:v>
      </x:c>
      <x:c r="C209" s="66" t="str">
        <x:v>interface</x:v>
      </x:c>
      <x:c r="D209" s="66" t="str">
        <x:v>否</x:v>
      </x:c>
      <x:c r="E209" s="66" t="str">
        <x:v>CanAttach/GetCapabilities/Execute/GetSnapshot/GetTrace</x:v>
      </x:c>
      <x:c r="F209" s="66" t="str">
        <x:v>统一Debug到Domain语义桥</x:v>
      </x:c>
      <x:c r="G209" s="66" t="str">
        <x:v>各Domain实现，不做万能执行器</x:v>
      </x:c>
      <x:c r="H209" s="66" t="str">
        <x:v>M3</x:v>
      </x:c>
    </x:row>
    <x:row r="210">
      <x:c r="A210" s="58" t="str">
        <x:v>DebugSessionStateMachine</x:v>
      </x:c>
      <x:c r="B210" s="58" t="str">
        <x:v>CxVisual.Debug.Agent/Client</x:v>
      </x:c>
      <x:c r="C210" s="58" t="str">
        <x:v>state machine</x:v>
      </x:c>
      <x:c r="D210" s="58" t="str">
        <x:v>否</x:v>
      </x:c>
      <x:c r="E210" s="58" t="str">
        <x:v>Disconnected/Connected/Attached/Running/Paused/Faulted/DetachedUnknown</x:v>
      </x:c>
      <x:c r="F210" s="58" t="str">
        <x:v>两端一致状态机</x:v>
      </x:c>
      <x:c r="G210" s="58" t="str">
        <x:v>命令需ExpectedState</x:v>
      </x:c>
      <x:c r="H210" s="58" t="str">
        <x:v>M3</x:v>
      </x:c>
    </x:row>
    <x:row r="211">
      <x:c r="A211" s="66" t="str">
        <x:v>DebugOverrideStore</x:v>
      </x:c>
      <x:c r="B211" s="66" t="str">
        <x:v>CxVisual.Debug.Agent</x:v>
      </x:c>
      <x:c r="C211" s="66" t="str">
        <x:v>runtime store</x:v>
      </x:c>
      <x:c r="D211" s="66" t="str">
        <x:v>否</x:v>
      </x:c>
      <x:c r="E211" s="66" t="str">
        <x:v>Set/Clear/Get/ExportChangeSet</x:v>
      </x:c>
      <x:c r="F211" s="66" t="str">
        <x:v>Session层临时Override</x:v>
      </x:c>
      <x:c r="G211" s="66" t="str">
        <x:v>Stop/Detach清空；不写Definition</x:v>
      </x:c>
      <x:c r="H211" s="66" t="str">
        <x:v>M3</x:v>
      </x:c>
    </x:row>
    <x:row r="212">
      <x:c r="A212" s="58" t="str">
        <x:v>DebugChangeSet</x:v>
      </x:c>
      <x:c r="B212" s="58" t="str">
        <x:v>CxVisual.Debug.Contracts</x:v>
      </x:c>
      <x:c r="C212" s="58" t="str">
        <x:v>value object</x:v>
      </x:c>
      <x:c r="D212" s="58" t="str">
        <x:v>可导出</x:v>
      </x:c>
      <x:c r="E212" s="58" t="str">
        <x:v>Target/Property/Before/After/SourceRun/User</x:v>
      </x:c>
      <x:c r="F212" s="58" t="str">
        <x:v>Promote回Designer的差异</x:v>
      </x:c>
      <x:c r="G212" s="58" t="str">
        <x:v>必须经正式Command应用</x:v>
      </x:c>
      <x:c r="H212" s="58" t="str">
        <x:v>M3+</x:v>
      </x:c>
    </x:row>
    <x:row r="213">
      <x:c r="A213" s="66" t="str">
        <x:v>OnlineVersionDiffService</x:v>
      </x:c>
      <x:c r="B213" s="66" t="str">
        <x:v>CxVisual.Versioning/Debug</x:v>
      </x:c>
      <x:c r="C213" s="66" t="str">
        <x:v>service</x:v>
      </x:c>
      <x:c r="D213" s="66" t="str">
        <x:v>否</x:v>
      </x:c>
      <x:c r="E213" s="66" t="str">
        <x:v>Compare(designSnapshot, activeManifest)</x:v>
      </x:c>
      <x:c r="F213" s="66" t="str">
        <x:v>线上/离线版本比较</x:v>
      </x:c>
      <x:c r="G213" s="66" t="str">
        <x:v>覆盖Definition/Plugin/Model/Recipe/Profile</x:v>
      </x:c>
      <x:c r="H213" s="66" t="str">
        <x:v>M3/M7</x:v>
      </x:c>
    </x:row>
    <x:row r="214">
      <x:c r="B214"/>
    </x:row>
    <x:row r="215">
      <x:c r="A215" s="76" t="str">
        <x:v>J. 历史 V3.3 Variable / Controlled Write 契约（已纳入V6.4）</x:v>
      </x:c>
      <x:c r="B215" s="76"/>
      <x:c r="C215" s="76"/>
      <x:c r="D215" s="76"/>
      <x:c r="E215" s="76"/>
      <x:c r="F215" s="76"/>
      <x:c r="G215" s="76"/>
      <x:c r="H215" s="76"/>
    </x:row>
    <x:row r="216">
      <x:c r="A216" s="76" t="str">
        <x:v>接口/类</x:v>
      </x:c>
      <x:c r="B216" s="76" t="str">
        <x:v>程序集</x:v>
      </x:c>
      <x:c r="C216" s="76" t="str">
        <x:v>职责</x:v>
      </x:c>
      <x:c r="D216" s="76" t="str">
        <x:v>关键成员</x:v>
      </x:c>
      <x:c r="E216" s="76" t="str">
        <x:v>生命周期</x:v>
      </x:c>
      <x:c r="F216" s="76" t="str">
        <x:v>实现/扩展方</x:v>
      </x:c>
      <x:c r="G216" s="76" t="str">
        <x:v>模式</x:v>
      </x:c>
      <x:c r="H216" s="76" t="str">
        <x:v>备注</x:v>
      </x:c>
    </x:row>
    <x:row r="217">
      <x:c r="A217" s="76" t="str">
        <x:v>IVariableProvider</x:v>
      </x:c>
      <x:c r="B217" s="76" t="str">
        <x:v>CxVisual.Abstractions</x:v>
      </x:c>
      <x:c r="C217" s="76" t="str">
        <x:v>统一变量Provider入口</x:v>
      </x:c>
      <x:c r="D217" s="76" t="str">
        <x:v>ProviderId; GetCatalog/GetMetadata; Read; Subscribe; Write; GetDiagnostics</x:v>
      </x:c>
      <x:c r="E217" s="76" t="str">
        <x:v>Runtime/Project Session</x:v>
      </x:c>
      <x:c r="F217" s="76" t="str">
        <x:v>DeviceVariable/OPC/Modbus/Simulation/Replay adapters</x:v>
      </x:c>
      <x:c r="G217" s="76" t="str">
        <x:v>Adapter/Facade</x:v>
      </x:c>
      <x:c r="H217" s="76" t="str">
        <x:v>UI/Graph不直接访问Legacy Manager</x:v>
      </x:c>
    </x:row>
    <x:row r="218">
      <x:c r="A218" s="76" t="str">
        <x:v>IVariableCatalog</x:v>
      </x:c>
      <x:c r="B218" s="76" t="str">
        <x:v>CxVisual.Abstractions</x:v>
      </x:c>
      <x:c r="C218" s="76" t="str">
        <x:v>设备/变量元数据目录</x:v>
      </x:c>
      <x:c r="D218" s="76" t="str">
        <x:v>EnumerateDevices/Variables; Search; TryGetMetadata</x:v>
      </x:c>
      <x:c r="E218" s="76" t="str">
        <x:v>Provider Session</x:v>
      </x:c>
      <x:c r="F218" s="76" t="str">
        <x:v>各Provider</x:v>
      </x:c>
      <x:c r="G218" s="76" t="str">
        <x:v>Catalog</x:v>
      </x:c>
      <x:c r="H218" s="76" t="str">
        <x:v>设计器变量树入口</x:v>
      </x:c>
    </x:row>
    <x:row r="219">
      <x:c r="A219" s="76" t="str">
        <x:v>IVariableSubscription</x:v>
      </x:c>
      <x:c r="B219" s="76" t="str">
        <x:v>CxVisual.Abstractions</x:v>
      </x:c>
      <x:c r="C219" s="76" t="str">
        <x:v>变量订阅生命周期</x:v>
      </x:c>
      <x:c r="D219" s="76" t="str">
        <x:v>Ids; Policy; Dispose/Cancel</x:v>
      </x:c>
      <x:c r="E219" s="76" t="str">
        <x:v>Subscription</x:v>
      </x:c>
      <x:c r="F219" s="76" t="str">
        <x:v>Provider/VariableEngine</x:v>
      </x:c>
      <x:c r="G219" s="76" t="str">
        <x:v>Observer</x:v>
      </x:c>
      <x:c r="H219" s="76" t="str">
        <x:v>必须可取消/Dispose</x:v>
      </x:c>
    </x:row>
    <x:row r="220">
      <x:c r="A220" s="76" t="str">
        <x:v>IVariableChangeDispatcher</x:v>
      </x:c>
      <x:c r="B220" s="76" t="str">
        <x:v>CxVisual.Runtime.Core</x:v>
      </x:c>
      <x:c r="C220" s="76" t="str">
        <x:v>高频变量批量分发/背压</x:v>
      </x:c>
      <x:c r="D220" s="76" t="str">
        <x:v>Dispatch(batch); Subscribe(policy,consumer); Metrics</x:v>
      </x:c>
      <x:c r="E220" s="76" t="str">
        <x:v>Runtime</x:v>
      </x:c>
      <x:c r="F220" s="76" t="str">
        <x:v>VariableEngine</x:v>
      </x:c>
      <x:c r="G220" s="76" t="str">
        <x:v>Observer/Backpressure</x:v>
      </x:c>
      <x:c r="H220" s="76" t="str">
        <x:v>LatestOnly/All/Sampled，有界队列</x:v>
      </x:c>
    </x:row>
    <x:row r="221">
      <x:c r="A221" s="76" t="str">
        <x:v>VariableMetadata</x:v>
      </x:c>
      <x:c r="B221" s="76" t="str">
        <x:v>CxVisual.Abstractions</x:v>
      </x:c>
      <x:c r="C221" s="76" t="str">
        <x:v>变量设计/运行元数据DTO</x:v>
      </x:c>
      <x:c r="D221" s="76" t="str">
        <x:v>VariableId/ProviderId/SourceKey/Name/DataTypeId/Address/Access/Unit</x:v>
      </x:c>
      <x:c r="E221" s="76" t="str">
        <x:v>Value Object</x:v>
      </x:c>
      <x:c r="F221" s="76" t="str">
        <x:v>Provider/Project adapter</x:v>
      </x:c>
      <x:c r="G221" s="76" t="str">
        <x:v>DTO</x:v>
      </x:c>
      <x:c r="H221" s="76" t="str">
        <x:v>不含连接对象</x:v>
      </x:c>
    </x:row>
    <x:row r="222">
      <x:c r="A222" s="76" t="str">
        <x:v>VariableValue</x:v>
      </x:c>
      <x:c r="B222" s="76" t="str">
        <x:v>CxVisual.Abstractions</x:v>
      </x:c>
      <x:c r="C222" s="76" t="str">
        <x:v>变量运行值标准包</x:v>
      </x:c>
      <x:c r="D222" s="76" t="str">
        <x:v>Value/Quality/TimestampUtc/Sequence/Source</x:v>
      </x:c>
      <x:c r="E222" s="76" t="str">
        <x:v>Per update</x:v>
      </x:c>
      <x:c r="F222" s="76" t="str">
        <x:v>Providers/Runtime</x:v>
      </x:c>
      <x:c r="G222" s="76" t="str">
        <x:v>Value Object</x:v>
      </x:c>
      <x:c r="H222" s="76" t="str">
        <x:v>不得退化Value+HasInitialValue</x:v>
      </x:c>
    </x:row>
    <x:row r="223">
      <x:c r="A223" s="76" t="str">
        <x:v>VariableDefinition</x:v>
      </x:c>
      <x:c r="B223" s="76" t="str">
        <x:v>CxVisual.Core</x:v>
      </x:c>
      <x:c r="C223" s="76" t="str">
        <x:v>工程持久化变量定义</x:v>
      </x:c>
      <x:c r="D223" s="76" t="str">
        <x:v>VariableId/DisplayName/ProviderId/SourceKey/DataTypeId/Access/Unit/Metadata</x:v>
      </x:c>
      <x:c r="E223" s="76" t="str">
        <x:v>Project</x:v>
      </x:c>
      <x:c r="F223" s="76" t="str">
        <x:v>Project sync</x:v>
      </x:c>
      <x:c r="G223" s="76" t="str">
        <x:v>Entity</x:v>
      </x:c>
      <x:c r="H223" s="76" t="str">
        <x:v>稳定VariableId</x:v>
      </x:c>
    </x:row>
    <x:row r="224">
      <x:c r="A224" s="76" t="str">
        <x:v>VariableReference</x:v>
      </x:c>
      <x:c r="B224" s="76" t="str">
        <x:v>CxVisual.Core</x:v>
      </x:c>
      <x:c r="C224" s="76" t="str">
        <x:v>跨模块稳定变量引用</x:v>
      </x:c>
      <x:c r="D224" s="76" t="str">
        <x:v>VariableId + optional ProviderId/PathHint/DataTypeId</x:v>
      </x:c>
      <x:c r="E224" s="76" t="str">
        <x:v>Project/RuntimePlan</x:v>
      </x:c>
      <x:c r="F224" s="76" t="str">
        <x:v>Binding/Alarm/Trend/Graph</x:v>
      </x:c>
      <x:c r="G224" s="76" t="str">
        <x:v>Value Object</x:v>
      </x:c>
      <x:c r="H224" s="76" t="str">
        <x:v>设备改名不破坏</x:v>
      </x:c>
    </x:row>
    <x:row r="225">
      <x:c r="A225" s="76" t="str">
        <x:v>VariableChangeBatch</x:v>
      </x:c>
      <x:c r="B225" s="76" t="str">
        <x:v>CxVisual.Abstractions</x:v>
      </x:c>
      <x:c r="C225" s="76" t="str">
        <x:v>变量变化批次</x:v>
      </x:c>
      <x:c r="D225" s="76" t="str">
        <x:v>ProviderId/Changes/BatchTimestamp/SequenceRange</x:v>
      </x:c>
      <x:c r="E225" s="76" t="str">
        <x:v>Transient</x:v>
      </x:c>
      <x:c r="F225" s="76" t="str">
        <x:v>Providers/Dispatcher</x:v>
      </x:c>
      <x:c r="G225" s="76" t="str">
        <x:v>DTO</x:v>
      </x:c>
      <x:c r="H225" s="76" t="str">
        <x:v>支持批量和顺序</x:v>
      </x:c>
    </x:row>
    <x:row r="226">
      <x:c r="A226" s="76" t="str">
        <x:v>WriteRequest</x:v>
      </x:c>
      <x:c r="B226" s="76" t="str">
        <x:v>CxVisual.Abstractions/Security</x:v>
      </x:c>
      <x:c r="C226" s="76" t="str">
        <x:v>统一写请求</x:v>
      </x:c>
      <x:c r="D226" s="76" t="str">
        <x:v>VariableReference/Value/ExpectedType/Reason/Correlation/UserContext</x:v>
      </x:c>
      <x:c r="E226" s="76" t="str">
        <x:v>Per command</x:v>
      </x:c>
      <x:c r="F226" s="76" t="str">
        <x:v>Action/Graph/UI</x:v>
      </x:c>
      <x:c r="G226" s="76" t="str">
        <x:v>Command DTO</x:v>
      </x:c>
      <x:c r="H226" s="76" t="str">
        <x:v>不直接暴露Vendor对象</x:v>
      </x:c>
    </x:row>
    <x:row r="227">
      <x:c r="A227" s="76" t="str">
        <x:v>WriteResult</x:v>
      </x:c>
      <x:c r="B227" s="76" t="str">
        <x:v>CxVisual.Abstractions/Security</x:v>
      </x:c>
      <x:c r="C227" s="76" t="str">
        <x:v>统一写结果</x:v>
      </x:c>
      <x:c r="D227" s="76" t="str">
        <x:v>Accepted/Success/Verified/ActualValue/Quality/Diagnostic/AuditId</x:v>
      </x:c>
      <x:c r="E227" s="76" t="str">
        <x:v>Per command</x:v>
      </x:c>
      <x:c r="F227" s="76" t="str">
        <x:v>WritePipeline/Provider</x:v>
      </x:c>
      <x:c r="G227" s="76" t="str">
        <x:v>Result</x:v>
      </x:c>
      <x:c r="H227" s="76" t="str">
        <x:v>区分接受/执行/回读</x:v>
      </x:c>
    </x:row>
    <x:row r="228">
      <x:c r="A228" s="76" t="str">
        <x:v>IWritePipeline</x:v>
      </x:c>
      <x:c r="B228" s="76" t="str">
        <x:v>CxVisual.Security/Runtime</x:v>
      </x:c>
      <x:c r="C228" s="76" t="str">
        <x:v>真实变量写入安全链</x:v>
      </x:c>
      <x:c r="D228" s="76" t="str">
        <x:v>Task&lt;WriteResult&gt; WriteAsync(WriteRequest, ctx)</x:v>
      </x:c>
      <x:c r="E228" s="76" t="str">
        <x:v>Runtime</x:v>
      </x:c>
      <x:c r="F228" s="76" t="str">
        <x:v>Security policies + Provider</x:v>
      </x:c>
      <x:c r="G228" s="76" t="str">
        <x:v>Chain of Responsibility</x:v>
      </x:c>
      <x:c r="H228" s="76" t="str">
        <x:v>Mode/Auth/Range/Interlock/Audit/Readback</x:v>
      </x:c>
    </x:row>
    <x:row r="229">
      <x:c r="A229" s="76"/>
      <x:c r="B229" s="76"/>
      <x:c r="C229" s="76"/>
      <x:c r="D229" s="76"/>
      <x:c r="E229" s="76"/>
      <x:c r="F229" s="76"/>
      <x:c r="G229" s="76"/>
      <x:c r="H229" s="76"/>
    </x:row>
    <x:row r="230">
      <x:c r="A230" s="76" t="str">
        <x:v>K. 历史 V3.3 Industrial Hardware Capability（已归Automation）</x:v>
      </x:c>
      <x:c r="B230" s="76"/>
      <x:c r="C230" s="76"/>
      <x:c r="D230" s="76"/>
      <x:c r="E230" s="76"/>
      <x:c r="F230" s="76"/>
      <x:c r="G230" s="76"/>
      <x:c r="H230" s="76"/>
    </x:row>
    <x:row r="231">
      <x:c r="A231" s="76" t="str">
        <x:v>接口/类</x:v>
      </x:c>
      <x:c r="B231" s="76" t="str">
        <x:v>程序集</x:v>
      </x:c>
      <x:c r="C231" s="76" t="str">
        <x:v>职责</x:v>
      </x:c>
      <x:c r="D231" s="76" t="str">
        <x:v>关键成员</x:v>
      </x:c>
      <x:c r="E231" s="76" t="str">
        <x:v>生命周期</x:v>
      </x:c>
      <x:c r="F231" s="76" t="str">
        <x:v>实现/扩展方</x:v>
      </x:c>
      <x:c r="G231" s="76" t="str">
        <x:v>模式</x:v>
      </x:c>
      <x:c r="H231" s="76" t="str">
        <x:v>备注</x:v>
      </x:c>
    </x:row>
    <x:row r="232">
      <x:c r="A232" s="76" t="str">
        <x:v>IIndustrialDevice</x:v>
      </x:c>
      <x:c r="B232" s="76" t="str">
        <x:v>CxVisual.Abstractions/Motion</x:v>
      </x:c>
      <x:c r="C232" s="76" t="str">
        <x:v>具有生命周期/状态/诊断的设备根能力</x:v>
      </x:c>
      <x:c r="D232" s="76" t="str">
        <x:v>DeviceId; State; Capabilities; GetDiagnostics</x:v>
      </x:c>
      <x:c r="E232" s="76" t="str">
        <x:v>Provider-owned</x:v>
      </x:c>
      <x:c r="F232" s="76" t="str">
        <x:v>Controller/PLC/Master/Process devices</x:v>
      </x:c>
      <x:c r="G232" s="76" t="str">
        <x:v>Capability root</x:v>
      </x:c>
      <x:c r="H232" s="76" t="str">
        <x:v>不承载万能Command字典</x:v>
      </x:c>
    </x:row>
    <x:row r="233">
      <x:c r="A233" s="76" t="str">
        <x:v>IMotionController</x:v>
      </x:c>
      <x:c r="B233" s="76" t="str">
        <x:v>CxVisual.Automation / Motion</x:v>
      </x:c>
      <x:c r="C233" s="76" t="str">
        <x:v>运动控制核心/运动卡抽象</x:v>
      </x:c>
      <x:c r="D233" s="76" t="str">
        <x:v>ControllerId; Axes; State; Capabilities; ResetFault</x:v>
      </x:c>
      <x:c r="E233" s="76" t="str">
        <x:v>Provider-owned</x:v>
      </x:c>
      <x:c r="F233" s="76" t="str">
        <x:v>固高/雷赛/Zerolib/ACS/PMAC Adapter</x:v>
      </x:c>
      <x:c r="G233" s="76" t="str">
        <x:v>Adapter</x:v>
      </x:c>
      <x:c r="H233" s="76" t="str">
        <x:v>不做安全PLC替代</x:v>
      </x:c>
    </x:row>
    <x:row r="234">
      <x:c r="A234" s="76" t="str">
        <x:v>IPlcDevice</x:v>
      </x:c>
      <x:c r="B234" s="76" t="str">
        <x:v>CxVisual.Automation / Motion</x:v>
      </x:c>
      <x:c r="C234" s="76" t="str">
        <x:v>结构化PLC设备能力</x:v>
      </x:c>
      <x:c r="D234" s="76" t="str">
        <x:v>Read/Write structured vars; State; Diagnostics</x:v>
      </x:c>
      <x:c r="E234" s="76" t="str">
        <x:v>Provider-owned</x:v>
      </x:c>
      <x:c r="F234" s="76" t="str">
        <x:v>汇川/西门子/倍福/三菱</x:v>
      </x:c>
      <x:c r="G234" s="76" t="str">
        <x:v>Adapter</x:v>
      </x:c>
      <x:c r="H234" s="76" t="str">
        <x:v>SCADA变量仍走IVariableProvider</x:v>
      </x:c>
    </x:row>
    <x:row r="235">
      <x:c r="A235" s="76" t="str">
        <x:v>IFieldbusMaster</x:v>
      </x:c>
      <x:c r="B235" s="76" t="str">
        <x:v>CxVisual.Automation / Motion</x:v>
      </x:c>
      <x:c r="C235" s="76" t="str">
        <x:v>现场总线主站</x:v>
      </x:c>
      <x:c r="D235" s="76" t="str">
        <x:v>Topology; Scan; State; Diagnostics; CycleCapabilities</x:v>
      </x:c>
      <x:c r="E235" s="76" t="str">
        <x:v>Provider-owned</x:v>
      </x:c>
      <x:c r="F235" s="76" t="str">
        <x:v>EtherCAT Master等</x:v>
      </x:c>
      <x:c r="G235" s="76" t="str">
        <x:v>Adapter</x:v>
      </x:c>
      <x:c r="H235" s="76" t="str">
        <x:v>协议中立</x:v>
      </x:c>
    </x:row>
    <x:row r="236">
      <x:c r="A236" s="76" t="str">
        <x:v>IFieldbusDevice</x:v>
      </x:c>
      <x:c r="B236" s="76" t="str">
        <x:v>CxVisual.Automation / Motion</x:v>
      </x:c>
      <x:c r="C236" s="76" t="str">
        <x:v>总线从站/IO/驱动/耦合器</x:v>
      </x:c>
      <x:c r="D236" s="76" t="str">
        <x:v>DeviceIdentity; State; Capabilities; Diagnostics</x:v>
      </x:c>
      <x:c r="E236" s="76" t="str">
        <x:v>Master-owned</x:v>
      </x:c>
      <x:c r="F236" s="76" t="str">
        <x:v>EtherCAT Slave等</x:v>
      </x:c>
      <x:c r="G236" s="76" t="str">
        <x:v>Capability</x:v>
      </x:c>
      <x:c r="H236" s="76" t="str">
        <x:v>通常由Master拥有生命周期</x:v>
      </x:c>
    </x:row>
    <x:row r="237">
      <x:c r="A237" s="76" t="str">
        <x:v>IAxis</x:v>
      </x:c>
      <x:c r="B237" s="76" t="str">
        <x:v>CxVisual.Automation / Motion</x:v>
      </x:c>
      <x:c r="C237" s="76" t="str">
        <x:v>逻辑运动轴资源</x:v>
      </x:c>
      <x:c r="D237" s="76" t="str">
        <x:v>Position/Velocity/Status; Home/Move/Stop; Limits</x:v>
      </x:c>
      <x:c r="E237" s="76" t="str">
        <x:v>Controller-owned resource</x:v>
      </x:c>
      <x:c r="F237" s="76" t="str">
        <x:v>Servo/Linear/Stepper/DD轴</x:v>
      </x:c>
      <x:c r="G237" s="76" t="str">
        <x:v>Resource/Facade</x:v>
      </x:c>
      <x:c r="H237" s="76" t="str">
        <x:v>Drive/Motor通常聚合在Axis内部</x:v>
      </x:c>
    </x:row>
    <x:row r="238">
      <x:c r="A238" s="76" t="str">
        <x:v>IActuator</x:v>
      </x:c>
      <x:c r="B238" s="76" t="str">
        <x:v>CxVisual.Automation / Motion</x:v>
      </x:c>
      <x:c r="C238" s="76" t="str">
        <x:v>非标准定位执行器</x:v>
      </x:c>
      <x:c r="D238" s="76" t="str">
        <x:v>State; Command/Stop; Position?</x:v>
      </x:c>
      <x:c r="E238" s="76" t="str">
        <x:v>Device-owned/resource</x:v>
      </x:c>
      <x:c r="F238" s="76" t="str">
        <x:v>电动缸等</x:v>
      </x:c>
      <x:c r="G238" s="76" t="str">
        <x:v>Capability</x:v>
      </x:c>
      <x:c r="H238" s="76" t="str">
        <x:v>有完整轴语义时优先IAxis</x:v>
      </x:c>
    </x:row>
    <x:row r="239">
      <x:c r="A239" s="76" t="str">
        <x:v>IVariableFrequencyDrive</x:v>
      </x:c>
      <x:c r="B239" s="76" t="str">
        <x:v>CxVisual.Automation / Motion</x:v>
      </x:c>
      <x:c r="C239" s="76" t="str">
        <x:v>变频器能力</x:v>
      </x:c>
      <x:c r="D239" s="76" t="str">
        <x:v>Frequency/Run/Stop/Direction/Fault</x:v>
      </x:c>
      <x:c r="E239" s="76" t="str">
        <x:v>Device-owned</x:v>
      </x:c>
      <x:c r="F239" s="76" t="str">
        <x:v>输送带/风机</x:v>
      </x:c>
      <x:c r="G239" s="76" t="str">
        <x:v>Capability</x:v>
      </x:c>
      <x:c r="H239" s="76" t="str">
        <x:v>不映射成普通DO</x:v>
      </x:c>
    </x:row>
    <x:row r="240">
      <x:c r="A240" s="76" t="str">
        <x:v>ICylinder</x:v>
      </x:c>
      <x:c r="B240" s="76" t="str">
        <x:v>CxVisual.Automation / Motion</x:v>
      </x:c>
      <x:c r="C240" s="76" t="str">
        <x:v>气缸语义</x:v>
      </x:c>
      <x:c r="D240" s="76" t="str">
        <x:v>Extend/Retract/Stop; Extended/Retracted sensors</x:v>
      </x:c>
      <x:c r="E240" s="76" t="str">
        <x:v>Manifold/IO-owned</x:v>
      </x:c>
      <x:c r="F240" s="76" t="str">
        <x:v>夹紧/顶升气缸</x:v>
      </x:c>
      <x:c r="G240" s="76" t="str">
        <x:v>Capability</x:v>
      </x:c>
      <x:c r="H240" s="76" t="str">
        <x:v>命令与到位反馈成对</x:v>
      </x:c>
    </x:row>
    <x:row r="241">
      <x:c r="A241" s="76" t="str">
        <x:v>IValve</x:v>
      </x:c>
      <x:c r="B241" s="76" t="str">
        <x:v>CxVisual.Automation / Motion</x:v>
      </x:c>
      <x:c r="C241" s="76" t="str">
        <x:v>阀语义</x:v>
      </x:c>
      <x:c r="D241" s="76" t="str">
        <x:v>Open/Close/State/Fault</x:v>
      </x:c>
      <x:c r="E241" s="76" t="str">
        <x:v>Device/channel</x:v>
      </x:c>
      <x:c r="F241" s="76" t="str">
        <x:v>二位五通等</x:v>
      </x:c>
      <x:c r="G241" s="76" t="str">
        <x:v>Capability</x:v>
      </x:c>
      <x:c r="H241" s="76" t="str">
        <x:v>简单阀可由DO Adapter实现</x:v>
      </x:c>
    </x:row>
    <x:row r="242">
      <x:c r="A242" s="76" t="str">
        <x:v>IValveManifold</x:v>
      </x:c>
      <x:c r="B242" s="76" t="str">
        <x:v>CxVisual.Automation / Motion</x:v>
      </x:c>
      <x:c r="C242" s="76" t="str">
        <x:v>阀岛/气动岛</x:v>
      </x:c>
      <x:c r="D242" s="76" t="str">
        <x:v>Valves; Pressure/State/Diagnostics</x:v>
      </x:c>
      <x:c r="E242" s="76" t="str">
        <x:v>Provider-owned</x:v>
      </x:c>
      <x:c r="F242" s="76" t="str">
        <x:v>SMC/Festo</x:v>
      </x:c>
      <x:c r="G242" s="76" t="str">
        <x:v>Composite</x:v>
      </x:c>
      <x:c r="H242" s="76" t="str">
        <x:v>管理多个阀与诊断</x:v>
      </x:c>
    </x:row>
    <x:row r="243">
      <x:c r="A243" s="76" t="str">
        <x:v>IVacuum</x:v>
      </x:c>
      <x:c r="B243" s="76" t="str">
        <x:v>CxVisual.Automation / Motion</x:v>
      </x:c>
      <x:c r="C243" s="76" t="str">
        <x:v>真空吸附能力</x:v>
      </x:c>
      <x:c r="D243" s="76" t="str">
        <x:v>Enable/Release; Pressure; VacuumOk</x:v>
      </x:c>
      <x:c r="E243" s="76" t="str">
        <x:v>Device/channel</x:v>
      </x:c>
      <x:c r="F243" s="76" t="str">
        <x:v>真空发生器/吸盘组</x:v>
      </x:c>
      <x:c r="G243" s="76" t="str">
        <x:v>Capability</x:v>
      </x:c>
      <x:c r="H243" s="76" t="str">
        <x:v>含真空反馈/超时</x:v>
      </x:c>
    </x:row>
    <x:row r="244">
      <x:c r="A244" s="76" t="str">
        <x:v>IDigitalInput</x:v>
      </x:c>
      <x:c r="B244" s="76" t="str">
        <x:v>CxVisual.Automation / Motion</x:v>
      </x:c>
      <x:c r="C244" s="76" t="str">
        <x:v>数字输入通道</x:v>
      </x:c>
      <x:c r="D244" s="76" t="str">
        <x:v>Value/Quality/Timestamp/Address</x:v>
      </x:c>
      <x:c r="E244" s="76" t="str">
        <x:v>Parent-owned channel</x:v>
      </x:c>
      <x:c r="F244" s="76" t="str">
        <x:v>光电/接近/按钮</x:v>
      </x:c>
      <x:c r="G244" s="76" t="str">
        <x:v>Channel</x:v>
      </x:c>
      <x:c r="H244" s="76" t="str">
        <x:v>只读</x:v>
      </x:c>
    </x:row>
    <x:row r="245">
      <x:c r="A245" s="76" t="str">
        <x:v>IDigitalOutput</x:v>
      </x:c>
      <x:c r="B245" s="76" t="str">
        <x:v>CxVisual.Automation / Motion</x:v>
      </x:c>
      <x:c r="C245" s="76" t="str">
        <x:v>数字输出通道</x:v>
      </x:c>
      <x:c r="D245" s="76" t="str">
        <x:v>Value/Quality; Write via policy</x:v>
      </x:c>
      <x:c r="E245" s="76" t="str">
        <x:v>Parent-owned channel</x:v>
      </x:c>
      <x:c r="F245" s="76" t="str">
        <x:v>灯/继电器/简单阀</x:v>
      </x:c>
      <x:c r="G245" s="76" t="str">
        <x:v>Channel</x:v>
      </x:c>
      <x:c r="H245" s="76" t="str">
        <x:v>写入受Policy</x:v>
      </x:c>
    </x:row>
    <x:row r="246">
      <x:c r="A246" s="76" t="str">
        <x:v>IAnalogInput</x:v>
      </x:c>
      <x:c r="B246" s="76" t="str">
        <x:v>CxVisual.Automation / Motion</x:v>
      </x:c>
      <x:c r="C246" s="76" t="str">
        <x:v>模拟输入通道</x:v>
      </x:c>
      <x:c r="D246" s="76" t="str">
        <x:v>Raw/EngineeringValue/Unit/Quality</x:v>
      </x:c>
      <x:c r="E246" s="76" t="str">
        <x:v>Parent-owned channel</x:v>
      </x:c>
      <x:c r="F246" s="76" t="str">
        <x:v>压力/温度/位移</x:v>
      </x:c>
      <x:c r="G246" s="76" t="str">
        <x:v>Channel</x:v>
      </x:c>
      <x:c r="H246" s="76" t="str">
        <x:v>标定/缩放显式</x:v>
      </x:c>
    </x:row>
    <x:row r="247">
      <x:c r="A247" s="76" t="str">
        <x:v>IAnalogOutput</x:v>
      </x:c>
      <x:c r="B247" s="76" t="str">
        <x:v>CxVisual.Automation / Motion</x:v>
      </x:c>
      <x:c r="C247" s="76" t="str">
        <x:v>模拟输出通道</x:v>
      </x:c>
      <x:c r="D247" s="76" t="str">
        <x:v>Value/Unit/Range; Write via policy</x:v>
      </x:c>
      <x:c r="E247" s="76" t="str">
        <x:v>Parent-owned channel</x:v>
      </x:c>
      <x:c r="F247" s="76" t="str">
        <x:v>电压/电流设定</x:v>
      </x:c>
      <x:c r="G247" s="76" t="str">
        <x:v>Channel</x:v>
      </x:c>
      <x:c r="H247" s="76" t="str">
        <x:v>范围校验</x:v>
      </x:c>
    </x:row>
    <x:row r="248">
      <x:c r="A248" s="76" t="str">
        <x:v>IPositionFeedback</x:v>
      </x:c>
      <x:c r="B248" s="76" t="str">
        <x:v>CxVisual.Automation / Motion</x:v>
      </x:c>
      <x:c r="C248" s="76" t="str">
        <x:v>独立位置反馈</x:v>
      </x:c>
      <x:c r="D248" s="76" t="str">
        <x:v>Position/Unit/Quality/Timestamp</x:v>
      </x:c>
      <x:c r="E248" s="76" t="str">
        <x:v>Device/resource</x:v>
      </x:c>
      <x:c r="F248" s="76" t="str">
        <x:v>光栅尺</x:v>
      </x:c>
      <x:c r="G248" s="76" t="str">
        <x:v>Sensor capability</x:v>
      </x:c>
      <x:c r="H248" s="76" t="str">
        <x:v>与IAxis反馈可比较</x:v>
      </x:c>
    </x:row>
    <x:row r="249">
      <x:c r="A249" s="76" t="str">
        <x:v>ISensor</x:v>
      </x:c>
      <x:c r="B249" s="76" t="str">
        <x:v>CxVisual.Automation / Motion</x:v>
      </x:c>
      <x:c r="C249" s="76" t="str">
        <x:v>通用传感器能力</x:v>
      </x:c>
      <x:c r="D249" s="76" t="str">
        <x:v>Value/DataTypeId/Unit/Quality/Timestamp</x:v>
      </x:c>
      <x:c r="E249" s="76" t="str">
        <x:v>Device/resource</x:v>
      </x:c>
      <x:c r="F249" s="76" t="str">
        <x:v>激光位移等</x:v>
      </x:c>
      <x:c r="G249" s="76" t="str">
        <x:v>Capability</x:v>
      </x:c>
      <x:c r="H249" s="76" t="str">
        <x:v>具体传感器可有专用接口</x:v>
      </x:c>
    </x:row>
    <x:row r="250">
      <x:c r="A250" s="76" t="str">
        <x:v>IForceSensor</x:v>
      </x:c>
      <x:c r="B250" s="76" t="str">
        <x:v>CxVisual.Automation / Motion</x:v>
      </x:c>
      <x:c r="C250" s="76" t="str">
        <x:v>力传感器</x:v>
      </x:c>
      <x:c r="D250" s="76" t="str">
        <x:v>Force/Unit/Quality/Calibration</x:v>
      </x:c>
      <x:c r="E250" s="76" t="str">
        <x:v>Device/resource</x:v>
      </x:c>
      <x:c r="F250" s="76" t="str">
        <x:v>压装力</x:v>
      </x:c>
      <x:c r="G250" s="76" t="str">
        <x:v>Capability</x:v>
      </x:c>
      <x:c r="H250" s="76" t="str">
        <x:v>高频数据可独立采样通道</x:v>
      </x:c>
    </x:row>
    <x:row r="251">
      <x:c r="A251" s="76" t="str">
        <x:v>ITorqueSensor</x:v>
      </x:c>
      <x:c r="B251" s="76" t="str">
        <x:v>CxVisual.Automation / Motion</x:v>
      </x:c>
      <x:c r="C251" s="76" t="str">
        <x:v>扭矩传感器</x:v>
      </x:c>
      <x:c r="D251" s="76" t="str">
        <x:v>Torque/Unit/Quality/Calibration</x:v>
      </x:c>
      <x:c r="E251" s="76" t="str">
        <x:v>Device/resource</x:v>
      </x:c>
      <x:c r="F251" s="76" t="str">
        <x:v>拧紧/旋转</x:v>
      </x:c>
      <x:c r="G251" s="76" t="str">
        <x:v>Capability</x:v>
      </x:c>
      <x:c r="H251" s="76" t="str">
        <x:v>—</x:v>
      </x:c>
    </x:row>
    <x:row r="252">
      <x:c r="A252" s="76" t="str">
        <x:v>IPressureSensor</x:v>
      </x:c>
      <x:c r="B252" s="76" t="str">
        <x:v>CxVisual.Automation / Motion</x:v>
      </x:c>
      <x:c r="C252" s="76" t="str">
        <x:v>压力传感器</x:v>
      </x:c>
      <x:c r="D252" s="76" t="str">
        <x:v>Pressure/Unit/Quality/Calibration</x:v>
      </x:c>
      <x:c r="E252" s="76" t="str">
        <x:v>Device/resource</x:v>
      </x:c>
      <x:c r="F252" s="76" t="str">
        <x:v>气压检测</x:v>
      </x:c>
      <x:c r="G252" s="76" t="str">
        <x:v>Capability</x:v>
      </x:c>
      <x:c r="H252" s="76" t="str">
        <x:v>—</x:v>
      </x:c>
    </x:row>
    <x:row r="253">
      <x:c r="A253" s="76" t="str">
        <x:v>ITriggerIO</x:v>
      </x:c>
      <x:c r="B253" s="76" t="str">
        <x:v>CxVisual.Automation / Motion</x:v>
      </x:c>
      <x:c r="C253" s="76" t="str">
        <x:v>高速触发IO</x:v>
      </x:c>
      <x:c r="D253" s="76" t="str">
        <x:v>Arm/Disarm/Count/Timing capability</x:v>
      </x:c>
      <x:c r="E253" s="76" t="str">
        <x:v>Controller/Device-owned</x:v>
      </x:c>
      <x:c r="F253" s="76" t="str">
        <x:v>相机/X-Ray曝光同步</x:v>
      </x:c>
      <x:c r="G253" s="76" t="str">
        <x:v>Capability</x:v>
      </x:c>
      <x:c r="H253" s="76" t="str">
        <x:v>高速脉冲下沉硬件</x:v>
      </x:c>
    </x:row>
    <x:row r="254">
      <x:c r="A254" s="76" t="str">
        <x:v>IPositionTrigger</x:v>
      </x:c>
      <x:c r="B254" s="76" t="str">
        <x:v>CxVisual.Automation / Motion</x:v>
      </x:c>
      <x:c r="C254" s="76" t="str">
        <x:v>位置比较触发</x:v>
      </x:c>
      <x:c r="D254" s="76" t="str">
        <x:v>CompareTable/Arm/Status</x:v>
      </x:c>
      <x:c r="E254" s="76" t="str">
        <x:v>Controller/Axis-owned</x:v>
      </x:c>
      <x:c r="F254" s="76" t="str">
        <x:v>Position Compare</x:v>
      </x:c>
      <x:c r="G254" s="76" t="str">
        <x:v>Capability</x:v>
      </x:c>
      <x:c r="H254" s="76" t="str">
        <x:v>禁止Windows逐点软触发替代</x:v>
      </x:c>
    </x:row>
    <x:row r="255">
      <x:c r="A255" s="76" t="str">
        <x:v>ISafetyInput</x:v>
      </x:c>
      <x:c r="B255" s="76" t="str">
        <x:v>CxVisual.Automation / Motion</x:v>
      </x:c>
      <x:c r="C255" s="76" t="str">
        <x:v>安全输入状态</x:v>
      </x:c>
      <x:c r="D255" s="76" t="str">
        <x:v>SafeState/ChannelState/Diagnostics</x:v>
      </x:c>
      <x:c r="E255" s="76" t="str">
        <x:v>Safety system-owned</x:v>
      </x:c>
      <x:c r="F255" s="76" t="str">
        <x:v>EStop/Door/Curtain</x:v>
      </x:c>
      <x:c r="G255" s="76" t="str">
        <x:v>Read-only safety capability</x:v>
      </x:c>
      <x:c r="H255" s="76" t="str">
        <x:v>不能由普通DO覆盖</x:v>
      </x:c>
    </x:row>
    <x:row r="256">
      <x:c r="A256" s="76" t="str">
        <x:v>ISafetyDevice</x:v>
      </x:c>
      <x:c r="B256" s="76" t="str">
        <x:v>CxVisual.Automation / Motion</x:v>
      </x:c>
      <x:c r="C256" s="76" t="str">
        <x:v>安全设备</x:v>
      </x:c>
      <x:c r="D256" s="76" t="str">
        <x:v>State/Diagnostics/Test capability</x:v>
      </x:c>
      <x:c r="E256" s="76" t="str">
        <x:v>Provider-owned</x:v>
      </x:c>
      <x:c r="F256" s="76" t="str">
        <x:v>Pilz安全继电器等</x:v>
      </x:c>
      <x:c r="G256" s="76" t="str">
        <x:v>Safety capability</x:v>
      </x:c>
      <x:c r="H256" s="76" t="str">
        <x:v>平台不替代认证安全逻辑</x:v>
      </x:c>
    </x:row>
    <x:row r="257">
      <x:c r="A257" s="76" t="str">
        <x:v>ISafetyController</x:v>
      </x:c>
      <x:c r="B257" s="76" t="str">
        <x:v>CxVisual.Automation / Motion</x:v>
      </x:c>
      <x:c r="C257" s="76" t="str">
        <x:v>安全控制器/Safety PLC</x:v>
      </x:c>
      <x:c r="D257" s="76" t="str">
        <x:v>SafetyState/Diagnostics/ProgramVersion</x:v>
      </x:c>
      <x:c r="E257" s="76" t="str">
        <x:v>Provider-owned</x:v>
      </x:c>
      <x:c r="F257" s="76" t="str">
        <x:v>TwinSAFE/Siemens Safety</x:v>
      </x:c>
      <x:c r="G257" s="76" t="str">
        <x:v>Safety capability</x:v>
      </x:c>
      <x:c r="H257" s="76" t="str">
        <x:v>Target最终权威</x:v>
      </x:c>
    </x:row>
    <x:row r="258">
      <x:c r="A258" s="76" t="str">
        <x:v>ILock</x:v>
      </x:c>
      <x:c r="B258" s="76" t="str">
        <x:v>CxVisual.Automation / Motion</x:v>
      </x:c>
      <x:c r="C258" s="76" t="str">
        <x:v>电磁锁/门锁</x:v>
      </x:c>
      <x:c r="D258" s="76" t="str">
        <x:v>Lock/Unlock/State/Interlock</x:v>
      </x:c>
      <x:c r="E258" s="76" t="str">
        <x:v>Device/resource</x:v>
      </x:c>
      <x:c r="F258" s="76" t="str">
        <x:v>门锁</x:v>
      </x:c>
      <x:c r="G258" s="76" t="str">
        <x:v>Capability</x:v>
      </x:c>
      <x:c r="H258" s="76" t="str">
        <x:v>解锁需安全条件</x:v>
      </x:c>
    </x:row>
    <x:row r="259">
      <x:c r="A259" s="76" t="str">
        <x:v>ISignalTower</x:v>
      </x:c>
      <x:c r="B259" s="76" t="str">
        <x:v>CxVisual.Automation / Motion</x:v>
      </x:c>
      <x:c r="C259" s="76" t="str">
        <x:v>三色灯/蜂鸣器</x:v>
      </x:c>
      <x:c r="D259" s="76" t="str">
        <x:v>SetPattern/State</x:v>
      </x:c>
      <x:c r="E259" s="76" t="str">
        <x:v>Device/resource</x:v>
      </x:c>
      <x:c r="F259" s="76" t="str">
        <x:v>设备状态灯</x:v>
      </x:c>
      <x:c r="G259" s="76" t="str">
        <x:v>Capability</x:v>
      </x:c>
      <x:c r="H259" s="76" t="str">
        <x:v>模式化控制避免散乱DO</x:v>
      </x:c>
    </x:row>
    <x:row r="260">
      <x:c r="A260" s="76" t="str">
        <x:v>IXraySource</x:v>
      </x:c>
      <x:c r="B260" s="76" t="str">
        <x:v>CxVisual.Automation / Motion</x:v>
      </x:c>
      <x:c r="C260" s="76" t="str">
        <x:v>X-Ray源工艺设备</x:v>
      </x:c>
      <x:c r="D260" s="76" t="str">
        <x:v>Ready/Fault/kV/uA/Exposure/Enable</x:v>
      </x:c>
      <x:c r="E260" s="76" t="str">
        <x:v>Provider-owned</x:v>
      </x:c>
      <x:c r="F260" s="76" t="str">
        <x:v>高压源</x:v>
      </x:c>
      <x:c r="G260" s="76" t="str">
        <x:v>Process device</x:v>
      </x:c>
      <x:c r="H260" s="76" t="str">
        <x:v>危险能量命令需Policy/Interlock</x:v>
      </x:c>
    </x:row>
    <x:row r="261">
      <x:c r="A261" s="76" t="str">
        <x:v>IDetector</x:v>
      </x:c>
      <x:c r="B261" s="76" t="str">
        <x:v>CxVisual.Automation / Motion</x:v>
      </x:c>
      <x:c r="C261" s="76" t="str">
        <x:v>X-Ray探测器</x:v>
      </x:c>
      <x:c r="D261" s="76" t="str">
        <x:v>Ready/Acquire/Trigger/Frame/Diagnostics</x:v>
      </x:c>
      <x:c r="E261" s="76" t="str">
        <x:v>Provider-owned</x:v>
      </x:c>
      <x:c r="F261" s="76" t="str">
        <x:v>平板探测器</x:v>
      </x:c>
      <x:c r="G261" s="76" t="str">
        <x:v>Process device</x:v>
      </x:c>
      <x:c r="H261" s="76" t="str">
        <x:v>图像数据通过Handle/Buffer</x:v>
      </x:c>
    </x:row>
    <x:row r="262">
      <x:c r="A262" s="76" t="str">
        <x:v>ICamera</x:v>
      </x:c>
      <x:c r="B262" s="76" t="str">
        <x:v>CxVisual.Automation / Motion</x:v>
      </x:c>
      <x:c r="C262" s="76" t="str">
        <x:v>相机设备</x:v>
      </x:c>
      <x:c r="D262" s="76" t="str">
        <x:v>Ready/Acquire/Trigger/Frame/Exposure/Gain</x:v>
      </x:c>
      <x:c r="E262" s="76" t="str">
        <x:v>Provider-owned</x:v>
      </x:c>
      <x:c r="F262" s="76" t="str">
        <x:v>Area/Line scan camera</x:v>
      </x:c>
      <x:c r="G262" s="76" t="str">
        <x:v>Process device</x:v>
      </x:c>
      <x:c r="H262" s="76" t="str">
        <x:v>大图不走普通Telemetry</x:v>
      </x:c>
    </x:row>
    <x:row r="263">
      <x:c r="A263" s="118" t="str">
        <x:v>H. V6.4→V6.5 Platform Variables 正式Contract候选</x:v>
      </x:c>
      <x:c r="B263" s="118"/>
      <x:c r="C263" s="118"/>
      <x:c r="D263" s="118"/>
      <x:c r="E263" s="118"/>
      <x:c r="F263" s="118"/>
      <x:c r="G263" s="118"/>
      <x:c r="H263" s="118"/>
    </x:row>
    <x:row r="264">
      <x:c r="A264" s="119" t="str">
        <x:v>接口/类型</x:v>
      </x:c>
      <x:c r="B264" s="119" t="str">
        <x:v>程序集Owner</x:v>
      </x:c>
      <x:c r="C264" s="119" t="str">
        <x:v>职责</x:v>
      </x:c>
      <x:c r="D264" s="119" t="str">
        <x:v>关键成员/语义</x:v>
      </x:c>
      <x:c r="E264" s="119" t="str">
        <x:v>生命周期</x:v>
      </x:c>
      <x:c r="F264" s="119" t="str">
        <x:v>被谁消费</x:v>
      </x:c>
      <x:c r="G264" s="119" t="str">
        <x:v>稳定性</x:v>
      </x:c>
      <x:c r="H264" s="119" t="str">
        <x:v>备注</x:v>
      </x:c>
    </x:row>
    <x:row r="265">
      <x:c r="A265" s="117" t="str">
        <x:v>VariableSpace</x:v>
      </x:c>
      <x:c r="B265" s="117" t="str">
        <x:v>CxVisual.Platform</x:v>
      </x:c>
      <x:c r="C265" s="117" t="str">
        <x:v>变量命名/运行空间</x:v>
      </x:c>
      <x:c r="D265" s="117" t="str">
        <x:v>SpaceId/Name/RootGroup</x:v>
      </x:c>
      <x:c r="E265" s="117" t="str">
        <x:v>Project/Session</x:v>
      </x:c>
      <x:c r="F265" s="117" t="str">
        <x:v>HMI/Automation/Simulation</x:v>
      </x:c>
      <x:c r="G265" s="117" t="str">
        <x:v>Target</x:v>
      </x:c>
      <x:c r="H265" s="117" t="str">
        <x:v>支持多工程/多Runtime</x:v>
      </x:c>
    </x:row>
    <x:row r="266">
      <x:c r="A266" s="117" t="str">
        <x:v>VariableNodeBase</x:v>
      </x:c>
      <x:c r="B266" s="117" t="str">
        <x:v>CxVisual.Platform</x:v>
      </x:c>
      <x:c r="C266" s="117" t="str">
        <x:v>变量树共同节点</x:v>
      </x:c>
      <x:c r="D266" s="117" t="str">
        <x:v>Id/Name/ParentId/Path/Tags</x:v>
      </x:c>
      <x:c r="E266" s="117" t="str">
        <x:v>Definition</x:v>
      </x:c>
      <x:c r="F266" s="117" t="str">
        <x:v>Catalog/Designer</x:v>
      </x:c>
      <x:c r="G266" s="117" t="str">
        <x:v>Target</x:v>
      </x:c>
      <x:c r="H266" s="117" t="str">
        <x:v>Group/Variable共用</x:v>
      </x:c>
    </x:row>
    <x:row r="267">
      <x:c r="A267" s="117" t="str">
        <x:v>VariableGroup</x:v>
      </x:c>
      <x:c r="B267" s="117" t="str">
        <x:v>CxVisual.Platform</x:v>
      </x:c>
      <x:c r="C267" s="117" t="str">
        <x:v>组织变量节点</x:v>
      </x:c>
      <x:c r="D267" s="117" t="str">
        <x:v>Children/GroupType</x:v>
      </x:c>
      <x:c r="E267" s="117" t="str">
        <x:v>Definition</x:v>
      </x:c>
      <x:c r="F267" s="117" t="str">
        <x:v>Designer/Runtime</x:v>
      </x:c>
      <x:c r="G267" s="117" t="str">
        <x:v>Target</x:v>
      </x:c>
      <x:c r="H267" s="117" t="str">
        <x:v>Device可作为特殊Group</x:v>
      </x:c>
    </x:row>
    <x:row r="268">
      <x:c r="A268" s="117" t="str">
        <x:v>VariableBase / Variable&lt;T&gt;</x:v>
      </x:c>
      <x:c r="B268" s="117" t="str">
        <x:v>CxVisual.Platform</x:v>
      </x:c>
      <x:c r="C268" s="117" t="str">
        <x:v>强类型线程安全变量</x:v>
      </x:c>
      <x:c r="D268" s="117" t="str">
        <x:v>VariableId/DataTypeId/Access/ValueStore/Snapshot</x:v>
      </x:c>
      <x:c r="E268" s="117" t="str">
        <x:v>Runtime</x:v>
      </x:c>
      <x:c r="F268" s="117" t="str">
        <x:v>全平台</x:v>
      </x:c>
      <x:c r="G268" s="117" t="str">
        <x:v>Target</x:v>
      </x:c>
      <x:c r="H268" s="117" t="str">
        <x:v>替代MeasureDouble/Integer等</x:v>
      </x:c>
    </x:row>
    <x:row r="269">
      <x:c r="A269" s="117" t="str">
        <x:v>VariableSnapshot&lt;T&gt;</x:v>
      </x:c>
      <x:c r="B269" s="117" t="str">
        <x:v>CxVisual.Platform</x:v>
      </x:c>
      <x:c r="C269" s="117" t="str">
        <x:v>一次一致读的当前状态</x:v>
      </x:c>
      <x:c r="D269" s="117" t="str">
        <x:v>Value/OldValue/Quality/Timestamp/Sequence/Source/Correlation</x:v>
      </x:c>
      <x:c r="E269" s="117" t="str">
        <x:v>Value</x:v>
      </x:c>
      <x:c r="F269" s="117" t="str">
        <x:v>Binding/Alarm/History/Graph</x:v>
      </x:c>
      <x:c r="G269" s="117" t="str">
        <x:v>Target</x:v>
      </x:c>
      <x:c r="H269" s="117" t="str">
        <x:v>不可拆开分别读造成竞态</x:v>
      </x:c>
    </x:row>
    <x:row r="270">
      <x:c r="A270" s="117" t="str">
        <x:v>VariableDefinition</x:v>
      </x:c>
      <x:c r="B270" s="117" t="str">
        <x:v>CxVisual.Platform</x:v>
      </x:c>
      <x:c r="C270" s="117" t="str">
        <x:v>变量工程定义</x:v>
      </x:c>
      <x:c r="D270" s="117" t="str">
        <x:v>Id/Name/DataTypeId/Access/Unit/Range/Default</x:v>
      </x:c>
      <x:c r="E270" s="117" t="str">
        <x:v>Definition</x:v>
      </x:c>
      <x:c r="F270" s="117" t="str">
        <x:v>Project/Compile</x:v>
      </x:c>
      <x:c r="G270" s="117" t="str">
        <x:v>Target</x:v>
      </x:c>
      <x:c r="H270" s="117" t="str">
        <x:v>不含PLC地址</x:v>
      </x:c>
    </x:row>
    <x:row r="271">
      <x:c r="A271" s="117" t="str">
        <x:v>VariableRef</x:v>
      </x:c>
      <x:c r="B271" s="117" t="str">
        <x:v>CxVisual.Platform</x:v>
      </x:c>
      <x:c r="C271" s="117" t="str">
        <x:v>稳定引用</x:v>
      </x:c>
      <x:c r="D271" s="117" t="str">
        <x:v>SpaceId?/VariableId</x:v>
      </x:c>
      <x:c r="E271" s="117" t="str">
        <x:v>Definition/Runtime</x:v>
      </x:c>
      <x:c r="F271" s="117" t="str">
        <x:v>HMI/Alarm/Graph/Recipe</x:v>
      </x:c>
      <x:c r="G271" s="117" t="str">
        <x:v>Target</x:v>
      </x:c>
      <x:c r="H271" s="117" t="str">
        <x:v>Path仅用于显示/诊断</x:v>
      </x:c>
    </x:row>
    <x:row r="272">
      <x:c r="A272" s="117" t="str">
        <x:v>VariableBinding</x:v>
      </x:c>
      <x:c r="B272" s="117" t="str">
        <x:v>CxVisual.Platform</x:v>
      </x:c>
      <x:c r="C272" s="117" t="str">
        <x:v>变量到Provider的来源绑定</x:v>
      </x:c>
      <x:c r="D272" s="117" t="str">
        <x:v>VariableId/ProviderId/BindingId</x:v>
      </x:c>
      <x:c r="E272" s="117" t="str">
        <x:v>Resolved</x:v>
      </x:c>
      <x:c r="F272" s="117" t="str">
        <x:v>Automation/Simulation</x:v>
      </x:c>
      <x:c r="G272" s="117" t="str">
        <x:v>Target</x:v>
      </x:c>
      <x:c r="H272" s="117" t="str">
        <x:v>协议扩展字段留Driver</x:v>
      </x:c>
    </x:row>
    <x:row r="273">
      <x:c r="A273" s="117" t="str">
        <x:v>IVariableProvider</x:v>
      </x:c>
      <x:c r="B273" s="117" t="str">
        <x:v>CxVisual.Platform</x:v>
      </x:c>
      <x:c r="C273" s="117" t="str">
        <x:v>变量读/写/订阅/Metadata契约</x:v>
      </x:c>
      <x:c r="D273" s="117" t="str">
        <x:v>Read/Write/Subscribe/Diagnostics</x:v>
      </x:c>
      <x:c r="E273" s="117" t="str">
        <x:v>Provider</x:v>
      </x:c>
      <x:c r="F273" s="117" t="str">
        <x:v>Automation/Simulation/Local</x:v>
      </x:c>
      <x:c r="G273" s="117" t="str">
        <x:v>Existing→Formalize</x:v>
      </x:c>
      <x:c r="H273" s="117" t="str">
        <x:v>Capability化Batch/Write等</x:v>
      </x:c>
    </x:row>
    <x:row r="274">
      <x:c r="A274" s="117" t="str">
        <x:v>VariableRuntime</x:v>
      </x:c>
      <x:c r="B274" s="117" t="str">
        <x:v>CxVisual.Platform</x:v>
      </x:c>
      <x:c r="C274" s="117" t="str">
        <x:v>统一变量运行Facade</x:v>
      </x:c>
      <x:c r="D274" s="117" t="str">
        <x:v>Catalog/StateCache/Router/Subscription/Write</x:v>
      </x:c>
      <x:c r="E274" s="117" t="str">
        <x:v>Runtime</x:v>
      </x:c>
      <x:c r="F274" s="117" t="str">
        <x:v>RuntimeHost</x:v>
      </x:c>
      <x:c r="G274" s="117" t="str">
        <x:v>Target</x:v>
      </x:c>
      <x:c r="H274" s="117" t="str">
        <x:v>禁止static VariableManager</x:v>
      </x:c>
    </x:row>
    <x:row r="275">
      <x:c r="A275" s="117" t="str">
        <x:v>VariableStateCache</x:v>
      </x:c>
      <x:c r="B275" s="117" t="str">
        <x:v>CxVisual.Platform</x:v>
      </x:c>
      <x:c r="C275" s="117" t="str">
        <x:v>VariableId→Snapshot事实源</x:v>
      </x:c>
      <x:c r="D275" s="117" t="str">
        <x:v>Read/Update/Quality/Sequence</x:v>
      </x:c>
      <x:c r="E275" s="117" t="str">
        <x:v>Runtime</x:v>
      </x:c>
      <x:c r="F275" s="117" t="str">
        <x:v>所有消费者</x:v>
      </x:c>
      <x:c r="G275" s="117" t="str">
        <x:v>Target</x:v>
      </x:c>
      <x:c r="H275" s="117" t="str">
        <x:v>旧VariableTable演化</x:v>
      </x:c>
    </x:row>
    <x:row r="276">
      <x:c r="A276" s="117" t="str">
        <x:v>VariableWritePipeline</x:v>
      </x:c>
      <x:c r="B276" s="117" t="str">
        <x:v>CxVisual.Platform + Security</x:v>
      </x:c>
      <x:c r="C276" s="117" t="str">
        <x:v>受控写</x:v>
      </x:c>
      <x:c r="D276" s="117" t="str">
        <x:v>Mode/Auth/Policy/Provider/Readback/Audit</x:v>
      </x:c>
      <x:c r="E276" s="117" t="str">
        <x:v>Runtime</x:v>
      </x:c>
      <x:c r="F276" s="117" t="str">
        <x:v>HMI/Graph/Automation</x:v>
      </x:c>
      <x:c r="G276" s="117" t="str">
        <x:v>V6.4已实现</x:v>
      </x:c>
      <x:c r="H276" s="117" t="str">
        <x:v>动作命令仍走Command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30" hidden="0" customWidth="1"/>
    <x:col min="4" max="4" width="38" hidden="0" customWidth="1"/>
    <x:col min="5" max="5" width="34" hidden="0" customWidth="1"/>
    <x:col min="6" max="6" width="30" hidden="0" customWidth="1"/>
    <x:col min="7" max="7" width="26" hidden="0" customWidth="1"/>
    <x:col min="8" max="8" width="28" hidden="0" customWidth="1"/>
  </x:cols>
  <x:sheetData>
    <x:row r="1" ht="30" customHeight="1">
      <x:c r="A1" s="8" t="str">
        <x:v>CxVisual 设计原则与编码规范</x:v>
      </x:c>
      <x:c r="B1" s="8"/>
      <x:c r="C1" s="8"/>
      <x:c r="D1" s="8"/>
      <x:c r="E1" s="8"/>
      <x:c r="F1" s="8"/>
      <x:c r="G1" s="8"/>
      <x:c r="H1" s="8"/>
    </x:row>
    <x:row r="2" ht="38" customHeight="1">
      <x:c r="A2" s="16" t="str">
        <x:v>统一面向对象、组合/继承、Static边界、依赖、异常、命名、线程/Dispose等工程规范，作为所有模块共同开发约束。</x:v>
      </x:c>
      <x:c r="B2" s="16"/>
      <x:c r="C2" s="16"/>
      <x:c r="D2" s="16"/>
      <x:c r="E2" s="16"/>
      <x:c r="F2" s="16"/>
      <x:c r="G2" s="16"/>
      <x:c r="H2" s="16"/>
    </x:row>
    <x:row r="3">
      <x:c r="A3" s="30" t="str">
        <x:v>本页唯一权威</x:v>
      </x:c>
      <x:c r="B3" s="31" t="str">
        <x:v>设计原则、模式使用、Static允许/禁止、代码风格与实现约束。</x:v>
      </x:c>
      <x:c r="C3" s="31"/>
      <x:c r="D3" s="31"/>
      <x:c r="E3" s="31"/>
      <x:c r="F3" s="31"/>
      <x:c r="G3" s="31"/>
      <x:c r="H3" s="31"/>
    </x:row>
    <x:row r="4">
      <x:c r="A4" s="30" t="str">
        <x:v>不在本页维护</x:v>
      </x:c>
      <x:c r="B4" s="31" t="str">
        <x:v>具体Domain架构、测试状态、项目级业务规则。</x:v>
      </x:c>
      <x:c r="C4" s="31"/>
      <x:c r="D4" s="31"/>
      <x:c r="E4" s="31"/>
      <x:c r="F4" s="31"/>
      <x:c r="G4" s="31"/>
      <x:c r="H4" s="31"/>
    </x:row>
    <x:row r="5">
      <x:c r="A5" s="30" t="str">
        <x:v>关联分页</x:v>
      </x:c>
      <x:c r="B5" s="31" t="str">
        <x:v>03_架构总纲与领域边界；05_平台公共接口与核心类；42_开发Playbook；45~50 V6.4专项基线/历史审计/通用变量。</x:v>
      </x:c>
      <x:c r="C5" s="31"/>
      <x:c r="D5" s="31"/>
      <x:c r="E5" s="31"/>
      <x:c r="F5" s="31"/>
      <x:c r="G5" s="31"/>
      <x:c r="H5" s="31"/>
    </x:row>
    <x:row r="6">
      <x:c r="A6"/>
      <x:c r="B6"/>
      <x:c r="C6"/>
      <x:c r="D6"/>
      <x:c r="E6"/>
      <x:c r="F6"/>
      <x:c r="G6"/>
      <x:c r="H6"/>
    </x:row>
    <x:row r="7" ht="24" customHeight="1">
      <x:c r="A7" s="40" t="str">
        <x:v>A. 架构/OOP/Static策略</x:v>
      </x:c>
      <x:c r="B7" s="40"/>
      <x:c r="C7" s="40"/>
      <x:c r="D7" s="40"/>
      <x:c r="E7" s="40"/>
      <x:c r="F7" s="40"/>
      <x:c r="G7" s="40"/>
      <x:c r="H7" s="40"/>
    </x:row>
    <x:row r="8" ht="24" customHeight="1">
      <x:c r="A8" s="40" t="str">
        <x:v>A. 十二条对象设计硬规则</x:v>
      </x:c>
      <x:c r="B8" s="40"/>
      <x:c r="C8" s="40"/>
      <x:c r="D8" s="40"/>
      <x:c r="E8" s="40"/>
      <x:c r="F8" s="40"/>
      <x:c r="G8" s="40"/>
      <x:c r="H8" s="40"/>
    </x:row>
    <x:row r="9" ht="28" customHeight="1">
      <x:c r="A9" s="50" t="str">
        <x:v>主题</x:v>
      </x:c>
      <x:c r="B9" s="50" t="str">
        <x:v>规则</x:v>
      </x:c>
      <x:c r="C9" s="50" t="str">
        <x:v>CxVisual落点</x:v>
      </x:c>
      <x:c r="D9" s="50" t="str">
        <x:v>解决问题</x:v>
      </x:c>
      <x:c r="E9" s="50" t="str">
        <x:v>禁止做法</x:v>
      </x:c>
      <x:c r="F9" s="50"/>
      <x:c r="G9" s="50"/>
      <x:c r="H9" s="50"/>
    </x:row>
    <x:row r="10">
      <x:c r="A10" s="58" t="str">
        <x:v>继承</x:v>
      </x:c>
      <x:c r="B10" s="58" t="str">
        <x:v>只有稳定is-a关系才继承</x:v>
      </x:c>
      <x:c r="C10" s="58" t="str">
        <x:v>ShapeElement/ContainerElement等少量稳定抽象</x:v>
      </x:c>
      <x:c r="D10" s="58" t="str">
        <x:v>减少脆弱基类</x:v>
      </x:c>
      <x:c r="E10" s="58" t="str">
        <x:v>为每个控件建立深继承树</x:v>
      </x:c>
      <x:c r="F10" s="58"/>
      <x:c r="G10" s="58"/>
      <x:c r="H10" s="58"/>
    </x:row>
    <x:row r="11">
      <x:c r="A11" s="66" t="str">
        <x:v>组合</x:v>
      </x:c>
      <x:c r="B11" s="66" t="str">
        <x:v>横切能力优先组合</x:v>
      </x:c>
      <x:c r="C11" s="66" t="str">
        <x:v>Style/Transform/Bindings/Events/Capabilities</x:v>
      </x:c>
      <x:c r="D11" s="66" t="str">
        <x:v>新增能力不改继承树</x:v>
      </x:c>
      <x:c r="E11" s="66" t="str">
        <x:v>基类塞几十个属性</x:v>
      </x:c>
      <x:c r="F11" s="66"/>
      <x:c r="G11" s="66"/>
      <x:c r="H11" s="66"/>
    </x:row>
    <x:row r="12">
      <x:c r="A12" s="58" t="str">
        <x:v>状态分离</x:v>
      </x:c>
      <x:c r="B12" s="58" t="str">
        <x:v>Project / Designer / Runtime三类状态严格分离</x:v>
      </x:c>
      <x:c r="C12" s="58" t="str">
        <x:v>SelectedIds/Zoom不保存；PLC实时值不保存</x:v>
      </x:c>
      <x:c r="D12" s="58" t="str">
        <x:v>保存可靠、运行可重建</x:v>
      </x:c>
      <x:c r="E12" s="58" t="str">
        <x:v>CurrentValue写回Project</x:v>
      </x:c>
      <x:c r="F12" s="58"/>
      <x:c r="G12" s="58"/>
      <x:c r="H12" s="58"/>
    </x:row>
    <x:row r="13">
      <x:c r="A13" s="66" t="str">
        <x:v>注册扩展</x:v>
      </x:c>
      <x:c r="B13" s="66" t="str">
        <x:v>Registry+Factory+Metadata</x:v>
      </x:c>
      <x:c r="C13" s="66" t="str">
        <x:v>Element/Renderer/Action/Binding/PropertyEditor</x:v>
      </x:c>
      <x:c r="D13" s="66" t="str">
        <x:v>插件和内置统一</x:v>
      </x:c>
      <x:c r="E13" s="66" t="str">
        <x:v>核心到处switch(typeName)</x:v>
      </x:c>
      <x:c r="F13" s="66"/>
      <x:c r="G13" s="66"/>
      <x:c r="H13" s="66"/>
    </x:row>
    <x:row r="14">
      <x:c r="A14" s="58" t="str">
        <x:v>Command</x:v>
      </x:c>
      <x:c r="B14" s="58" t="str">
        <x:v>永久工程修改统一Command</x:v>
      </x:c>
      <x:c r="C14" s="58" t="str">
        <x:v>Add/Delete/Move/Resize/Property/Binding/批量配点</x:v>
      </x:c>
      <x:c r="D14" s="58" t="str">
        <x:v>Undo/Redo/Dirty/事务统一</x:v>
      </x:c>
      <x:c r="E14" s="58" t="str">
        <x:v>UI直接set Model</x:v>
      </x:c>
      <x:c r="F14" s="58"/>
      <x:c r="G14" s="58"/>
      <x:c r="H14" s="58"/>
    </x:row>
    <x:row r="15">
      <x:c r="A15" s="66" t="str">
        <x:v>Preview</x:v>
      </x:c>
      <x:c r="B15" s="66" t="str">
        <x:v>连续交互只Preview，结束提交一次Command</x:v>
      </x:c>
      <x:c r="C15" s="66" t="str">
        <x:v>拖动/缩放/旋转/Path节点</x:v>
      </x:c>
      <x:c r="D15" s="66" t="str">
        <x:v>避免Undo爆炸</x:v>
      </x:c>
      <x:c r="E15" s="66" t="str">
        <x:v>MouseMove每次入History</x:v>
      </x:c>
      <x:c r="F15" s="66"/>
      <x:c r="G15" s="66"/>
      <x:c r="H15" s="66"/>
    </x:row>
    <x:row r="16">
      <x:c r="A16" s="58" t="str">
        <x:v>编译计划</x:v>
      </x:c>
      <x:c r="B16" s="58" t="str">
        <x:v>配置模型与运行计划分开</x:v>
      </x:c>
      <x:c r="C16" s="58" t="str">
        <x:v>BindingPlan/ActionPlan/RuntimePlan</x:v>
      </x:c>
      <x:c r="D16" s="58" t="str">
        <x:v>运行快且可诊断</x:v>
      </x:c>
      <x:c r="E16" s="58" t="str">
        <x:v>运行时反复解释JSON</x:v>
      </x:c>
      <x:c r="F16" s="58"/>
      <x:c r="G16" s="58"/>
      <x:c r="H16" s="58"/>
    </x:row>
    <x:row r="17">
      <x:c r="A17" s="66" t="str">
        <x:v>Adapter</x:v>
      </x:c>
      <x:c r="B17" s="66" t="str">
        <x:v>第三方/现有系统全部Adapter</x:v>
      </x:c>
      <x:c r="C17" s="66" t="str">
        <x:v>SharpVectors/ScottPlot/PLC/WinForms Host</x:v>
      </x:c>
      <x:c r="D17" s="66" t="str">
        <x:v>核心可替换、可测试</x:v>
      </x:c>
      <x:c r="E17" s="66" t="str">
        <x:v>第三方对象进入Core</x:v>
      </x:c>
      <x:c r="F17" s="66"/>
      <x:c r="G17" s="66"/>
      <x:c r="H17" s="66"/>
    </x:row>
    <x:row r="18">
      <x:c r="A18" s="58" t="str">
        <x:v>生命周期</x:v>
      </x:c>
      <x:c r="B18" s="58" t="str">
        <x:v>有订阅/IO/缓存/Timer必须Dispose</x:v>
      </x:c>
      <x:c r="C18" s="58" t="str">
        <x:v>Runtime/Variable/Cache/Host/Plugin</x:v>
      </x:c>
      <x:c r="D18" s="58" t="str">
        <x:v>长期稳定</x:v>
      </x:c>
      <x:c r="E18" s="58" t="str">
        <x:v>static service永不释放</x:v>
      </x:c>
      <x:c r="F18" s="58"/>
      <x:c r="G18" s="58"/>
      <x:c r="H18" s="58"/>
    </x:row>
    <x:row r="19">
      <x:c r="A19" s="66" t="str">
        <x:v>Static</x:v>
      </x:c>
      <x:c r="B19" s="66" t="str">
        <x:v>仅纯函数/常量/无生命周期</x:v>
      </x:c>
      <x:c r="C19" s="66" t="str">
        <x:v>GeometryMath/Guard/Hash/TypeIds</x:v>
      </x:c>
      <x:c r="D19" s="66" t="str">
        <x:v>安全共用</x:v>
      </x:c>
      <x:c r="E19" s="66" t="str">
        <x:v>CurrentProject/Provider/CurrentUser static</x:v>
      </x:c>
      <x:c r="F19" s="66"/>
      <x:c r="G19" s="66"/>
      <x:c r="H19" s="66"/>
    </x:row>
    <x:row r="20">
      <x:c r="A20" s="58" t="str">
        <x:v>错误模型</x:v>
      </x:c>
      <x:c r="B20" s="58" t="str">
        <x:v>业务失败Result/Diagnostic，程序错误Exception</x:v>
      </x:c>
      <x:c r="C20" s="58" t="str">
        <x:v>Import/Write/Validate/Binding</x:v>
      </x:c>
      <x:c r="D20" s="58" t="str">
        <x:v>局部降级可定位</x:v>
      </x:c>
      <x:c r="E20" s="58" t="str">
        <x:v>空catch/只MessageBox</x:v>
      </x:c>
      <x:c r="F20" s="58"/>
      <x:c r="G20" s="58"/>
      <x:c r="H20" s="58"/>
    </x:row>
    <x:row r="21">
      <x:c r="A21" s="66" t="str">
        <x:v>性能</x:v>
      </x:c>
      <x:c r="B21" s="66" t="str">
        <x:v>批处理优先</x:v>
      </x:c>
      <x:c r="C21" s="66" t="str">
        <x:v>Renderer dirty batch/Variable batch/Chart batch</x:v>
      </x:c>
      <x:c r="D21" s="66" t="str">
        <x:v>降低UI和线程开销</x:v>
      </x:c>
      <x:c r="E21" s="66" t="str">
        <x:v>每Tag一个Task/Dispatcher</x:v>
      </x:c>
      <x:c r="F21" s="66"/>
      <x:c r="G21" s="66"/>
      <x:c r="H21" s="66"/>
    </x:row>
    <x:row r="22">
      <x:c r="A22"/>
      <x:c r="B22"/>
      <x:c r="C22"/>
      <x:c r="D22"/>
      <x:c r="E22"/>
      <x:c r="F22"/>
      <x:c r="G22"/>
      <x:c r="H22"/>
    </x:row>
    <x:row r="23">
      <x:c r="A23"/>
      <x:c r="B23"/>
      <x:c r="C23"/>
      <x:c r="D23"/>
      <x:c r="E23"/>
      <x:c r="F23"/>
      <x:c r="G23"/>
      <x:c r="H23"/>
    </x:row>
    <x:row r="24" ht="24" customHeight="1">
      <x:c r="A24" s="40" t="str">
        <x:v>B. 各模块模式 / 封装矩阵</x:v>
      </x:c>
      <x:c r="B24" s="40"/>
      <x:c r="C24" s="40"/>
      <x:c r="D24" s="40"/>
      <x:c r="E24" s="40"/>
      <x:c r="F24" s="40"/>
      <x:c r="G24" s="40"/>
      <x:c r="H24" s="40"/>
    </x:row>
    <x:row r="25" ht="28" customHeight="1">
      <x:c r="A25" s="50" t="str">
        <x:v>模块</x:v>
      </x:c>
      <x:c r="B25" s="50" t="str">
        <x:v>主要对象模型</x:v>
      </x:c>
      <x:c r="C25" s="50" t="str">
        <x:v>主要模式</x:v>
      </x:c>
      <x:c r="D25" s="50" t="str">
        <x:v>优先封装点</x:v>
      </x:c>
      <x:c r="E25" s="50" t="str">
        <x:v>适合static</x:v>
      </x:c>
      <x:c r="F25" s="50" t="str">
        <x:v>必须实例化</x:v>
      </x:c>
      <x:c r="G25" s="50" t="str">
        <x:v>扩展入口</x:v>
      </x:c>
      <x:c r="H25" s="50" t="str">
        <x:v>反模式/禁止</x:v>
      </x:c>
    </x:row>
    <x:row r="26">
      <x:c r="A26" s="58" t="str">
        <x:v>Common</x:v>
      </x:c>
      <x:c r="B26" s="58" t="str">
        <x:v>值对象/纯函数</x:v>
      </x:c>
      <x:c r="C26" s="58" t="str">
        <x:v>Pure Function</x:v>
      </x:c>
      <x:c r="D26" s="58" t="str">
        <x:v>Guard/Hash/Name/Collection/Math</x:v>
      </x:c>
      <x:c r="E26" s="58" t="str">
        <x:v>Guard/HashUtil/StringUtil/CollectionUtil</x:v>
      </x:c>
      <x:c r="F26" s="58" t="str">
        <x:v>无业务服务</x:v>
      </x:c>
      <x:c r="G26" s="58" t="str">
        <x:v>静态方法扩充</x:v>
      </x:c>
      <x:c r="H26" s="58" t="str">
        <x:v>万能Utils.cs吞所有逻辑</x:v>
      </x:c>
    </x:row>
    <x:row r="27">
      <x:c r="A27" s="66" t="str">
        <x:v>Core.Element</x:v>
      </x:c>
      <x:c r="B27" s="66" t="str">
        <x:v>Element/Container/Geometry/Style</x:v>
      </x:c>
      <x:c r="C27" s="66" t="str">
        <x:v>Composite + Composition + Polymorphism</x:v>
      </x:c>
      <x:c r="D27" s="66" t="str">
        <x:v>树遍历、Capabilities、稳定TypeId</x:v>
      </x:c>
      <x:c r="E27" s="66" t="str">
        <x:v>ElementTypeIds/PropertyKeys/Tree纯遍历helpers</x:v>
      </x:c>
      <x:c r="F27" s="66" t="str">
        <x:v>Model对象本身</x:v>
      </x:c>
      <x:c r="G27" s="66" t="str">
        <x:v>ElementFactory/Metadata</x:v>
      </x:c>
      <x:c r="H27" s="66" t="str">
        <x:v>Model继承WPF Control</x:v>
      </x:c>
    </x:row>
    <x:row r="28">
      <x:c r="A28" s="58" t="str">
        <x:v>Geometry</x:v>
      </x:c>
      <x:c r="B28" s="58" t="str">
        <x:v>GeometryModel/Path segments</x:v>
      </x:c>
      <x:c r="C28" s="58" t="str">
        <x:v>Value Object + Strategy(renderer side)</x:v>
      </x:c>
      <x:c r="D28" s="58" t="str">
        <x:v>几何计算与WPF转换分离</x:v>
      </x:c>
      <x:c r="E28" s="58" t="str">
        <x:v>GeometryMath/BoundsMath/PathMath/TransformMath</x:v>
      </x:c>
      <x:c r="F28" s="58" t="str">
        <x:v>Geometry对象为实例值</x:v>
      </x:c>
      <x:c r="G28" s="58" t="str">
        <x:v>新增Geometry type</x:v>
      </x:c>
      <x:c r="H28" s="58" t="str">
        <x:v>每个Shape复制坐标算法</x:v>
      </x:c>
    </x:row>
    <x:row r="29">
      <x:c r="A29" s="66" t="str">
        <x:v>Designer</x:v>
      </x:c>
      <x:c r="B29" s="66" t="str">
        <x:v>Document/Selection/Tool/Workspace</x:v>
      </x:c>
      <x:c r="C29" s="66" t="str">
        <x:v>State + Strategy + Mediator + MVVM</x:v>
      </x:c>
      <x:c r="D29" s="66" t="str">
        <x:v>Document级状态与UI解耦</x:v>
      </x:c>
      <x:c r="E29" s="66" t="str">
        <x:v>SelectionMath/SnapMath/AlignmentMath</x:v>
      </x:c>
      <x:c r="F29" s="66" t="str">
        <x:v>Selection/History/ToolController/EventBus</x:v>
      </x:c>
      <x:c r="G29" s="66" t="str">
        <x:v>Tool/Panel/PropertyEditor registry</x:v>
      </x:c>
      <x:c r="H29" s="66" t="str">
        <x:v>MainWindow code-behind巨型事件</x:v>
      </x:c>
    </x:row>
    <x:row r="30">
      <x:c r="A30" s="58" t="str">
        <x:v>Commands</x:v>
      </x:c>
      <x:c r="B30" s="58" t="str">
        <x:v>Command/Transaction/Snapshot</x:v>
      </x:c>
      <x:c r="C30" s="58" t="str">
        <x:v>Command + Composite + Memento</x:v>
      </x:c>
      <x:c r="D30" s="58" t="str">
        <x:v>所有永久修改/批量事务</x:v>
      </x:c>
      <x:c r="E30" s="58" t="str">
        <x:v>少量clone/value helpers</x:v>
      </x:c>
      <x:c r="F30" s="58" t="str">
        <x:v>CommandHistory/PreviewSession</x:v>
      </x:c>
      <x:c r="G30" s="58" t="str">
        <x:v>新增Command</x:v>
      </x:c>
      <x:c r="H30" s="58" t="str">
        <x:v>UI直接set Model</x:v>
      </x:c>
    </x:row>
    <x:row r="31">
      <x:c r="A31" s="66" t="str">
        <x:v>Rendering</x:v>
      </x:c>
      <x:c r="B31" s="66" t="str">
        <x:v>RenderTree/Renderer/VisualHandle</x:v>
      </x:c>
      <x:c r="C31" s="66" t="str">
        <x:v>Bridge + Strategy + Registry + Decorator</x:v>
      </x:c>
      <x:c r="D31" s="66" t="str">
        <x:v>Model→Visual、dirty update、overlay</x:v>
      </x:c>
      <x:c r="E31" s="66" t="str">
        <x:v>Geometry转换纯函数</x:v>
      </x:c>
      <x:c r="F31" s="66" t="str">
        <x:v>SceneHost/Registry/Cache/Scheduler</x:v>
      </x:c>
      <x:c r="G31" s="66" t="str">
        <x:v>Renderer plugin</x:v>
      </x:c>
      <x:c r="H31" s="66" t="str">
        <x:v>每元素一个UserControl</x:v>
      </x:c>
    </x:row>
    <x:row r="32">
      <x:c r="A32" s="58" t="str">
        <x:v>SVG</x:v>
      </x:c>
      <x:c r="B32" s="58" t="str">
        <x:v>Analysis/ImportPlan/CompatibilityReport</x:v>
      </x:c>
      <x:c r="C32" s="58" t="str">
        <x:v>Adapter + Builder + Visitor/Pipeline</x:v>
      </x:c>
      <x:c r="D32" s="58" t="str">
        <x:v>第三方格式隔离、安全/降级</x:v>
      </x:c>
      <x:c r="E32" s="58" t="str">
        <x:v>SVG数值/属性解析</x:v>
      </x:c>
      <x:c r="F32" s="58" t="str">
        <x:v>Importer/SharpVectors context</x:v>
      </x:c>
      <x:c r="G32" s="58" t="str">
        <x:v>Import rule/element converter</x:v>
      </x:c>
      <x:c r="H32" s="58" t="str">
        <x:v>SVG DOM进Core</x:v>
      </x:c>
    </x:row>
    <x:row r="33">
      <x:c r="A33" s="66" t="str">
        <x:v>Variables</x:v>
      </x:c>
      <x:c r="B33" s="66" t="str">
        <x:v>Metadata/Value/Subscription</x:v>
      </x:c>
      <x:c r="C33" s="66" t="str">
        <x:v>Adapter + Observer + Facade</x:v>
      </x:c>
      <x:c r="D33" s="66" t="str">
        <x:v>现有变量系统反腐、订阅共享</x:v>
      </x:c>
      <x:c r="E33" s="66" t="str">
        <x:v>QualityRules/Type map</x:v>
      </x:c>
      <x:c r="F33" s="66" t="str">
        <x:v>Provider/VariableEngine/Subscription</x:v>
      </x:c>
      <x:c r="G33" s="66" t="str">
        <x:v>IVariableProvider plugin</x:v>
      </x:c>
      <x:c r="H33" s="66" t="str">
        <x:v>每控件自己连接PLC</x:v>
      </x:c>
    </x:row>
    <x:row r="34">
      <x:c r="A34" s="58" t="str">
        <x:v>Binding</x:v>
      </x:c>
      <x:c r="B34" s="58" t="str">
        <x:v>BindingModel/Plan/ResolvedValue</x:v>
      </x:c>
      <x:c r="C34" s="58" t="str">
        <x:v>Strategy + Interpreter + Pipeline</x:v>
      </x:c>
      <x:c r="D34" s="58" t="str">
        <x:v>配置与执行分离、编译缓存</x:v>
      </x:c>
      <x:c r="E34" s="58" t="str">
        <x:v>Coercion/ExpressionFunctions</x:v>
      </x:c>
      <x:c r="F34" s="58" t="str">
        <x:v>BindingEngine/RuntimeStore/Registry</x:v>
      </x:c>
      <x:c r="G34" s="58" t="str">
        <x:v>Resolver/Converter</x:v>
      </x:c>
      <x:c r="H34" s="58" t="str">
        <x:v>用WPF Binding直接绑定PLC</x:v>
      </x:c>
    </x:row>
    <x:row r="35">
      <x:c r="A35" s="66" t="str">
        <x:v>Batch Binding</x:v>
      </x:c>
      <x:c r="B35" s="66" t="str">
        <x:v>MatchRule/Plan/Report</x:v>
      </x:c>
      <x:c r="C35" s="66" t="str">
        <x:v>Strategy + Specification + Transaction</x:v>
      </x:c>
      <x:c r="D35" s="66" t="str">
        <x:v>自然排序、名称匹配、预览、原子执行</x:v>
      </x:c>
      <x:c r="E35" s="66" t="str">
        <x:v>NaturalSort/Normalization/Regex helpers</x:v>
      </x:c>
      <x:c r="F35" s="66" t="str">
        <x:v>Matcher service/transaction command</x:v>
      </x:c>
      <x:c r="G35" s="66" t="str">
        <x:v>Match strategies</x:v>
      </x:c>
      <x:c r="H35" s="66" t="str">
        <x:v>直接批量写不预览</x:v>
      </x:c>
    </x:row>
    <x:row r="36">
      <x:c r="A36" s="58" t="str">
        <x:v>Component</x:v>
      </x:c>
      <x:c r="B36" s="58" t="str">
        <x:v>Definition/Instance/Parameter/Port</x:v>
      </x:c>
      <x:c r="C36" s="58" t="str">
        <x:v>Flyweight + Prototype + Builder</x:v>
      </x:c>
      <x:c r="D36" s="58" t="str">
        <x:v>定义共享、实例轻量、参数化</x:v>
      </x:c>
      <x:c r="E36" s="58" t="str">
        <x:v>Parameter merge/Port geometry</x:v>
      </x:c>
      <x:c r="F36" s="58" t="str">
        <x:v>Registry/Resolver/Compiler</x:v>
      </x:c>
      <x:c r="G36" s="58" t="str">
        <x:v>Component plugin</x:v>
      </x:c>
      <x:c r="H36" s="58" t="str">
        <x:v>把组件等同SVG</x:v>
      </x:c>
    </x:row>
    <x:row r="37">
      <x:c r="A37" s="66" t="str">
        <x:v>Property Metadata</x:v>
      </x:c>
      <x:c r="B37" s="66" t="str">
        <x:v>Descriptor/Capabilities/Editor</x:v>
      </x:c>
      <x:c r="C37" s="66" t="str">
        <x:v>Metadata + Registry + Factory</x:v>
      </x:c>
      <x:c r="D37" s="66" t="str">
        <x:v>属性面板/控件扩展去重复</x:v>
      </x:c>
      <x:c r="E37" s="66" t="str">
        <x:v>PropertyKeys/value format</x:v>
      </x:c>
      <x:c r="F37" s="66" t="str">
        <x:v>MetadataRegistry/EditorRegistry</x:v>
      </x:c>
      <x:c r="G37" s="66" t="str">
        <x:v>Plugin metadata</x:v>
      </x:c>
      <x:c r="H37" s="66" t="str">
        <x:v>按控件手写Property UI</x:v>
      </x:c>
    </x:row>
    <x:row r="38">
      <x:c r="A38" s="58" t="str">
        <x:v>Runtime</x:v>
      </x:c>
      <x:c r="B38" s="58" t="str">
        <x:v>RuntimePlan/Store/Session/Status</x:v>
      </x:c>
      <x:c r="C38" s="58" t="str">
        <x:v>Facade + State + Pipeline</x:v>
      </x:c>
      <x:c r="D38" s="58" t="str">
        <x:v>编译计划、生命周期、动态状态</x:v>
      </x:c>
      <x:c r="E38" s="58" t="str">
        <x:v>状态规则/dirty分类</x:v>
      </x:c>
      <x:c r="F38" s="58" t="str">
        <x:v>CxVisualRuntime/engines/services</x:v>
      </x:c>
      <x:c r="G38" s="58" t="str">
        <x:v>Provider/Action/Binding registries</x:v>
      </x:c>
      <x:c r="H38" s="58" t="str">
        <x:v>Static RuntimeEngine</x:v>
      </x:c>
    </x:row>
    <x:row r="39">
      <x:c r="A39" s="66" t="str">
        <x:v>Actions</x:v>
      </x:c>
      <x:c r="B39" s="66" t="str">
        <x:v>ActionModel/Executor/Context</x:v>
      </x:c>
      <x:c r="C39" s="66" t="str">
        <x:v>Command-like + Strategy + Chain</x:v>
      </x:c>
      <x:c r="D39" s="66" t="str">
        <x:v>统一事件动作、安全/诊断</x:v>
      </x:c>
      <x:c r="E39" s="66" t="str">
        <x:v>ActionTypeIds/参数校验</x:v>
      </x:c>
      <x:c r="F39" s="66" t="str">
        <x:v>ActionEngine/Executor registry</x:v>
      </x:c>
      <x:c r="G39" s="66" t="str">
        <x:v>Action plugin</x:v>
      </x:c>
      <x:c r="H39" s="66" t="str">
        <x:v>Button code-behind直接业务</x:v>
      </x:c>
    </x:row>
    <x:row r="40">
      <x:c r="A40" s="58" t="str">
        <x:v>Write Safety</x:v>
      </x:c>
      <x:c r="B40" s="58" t="str">
        <x:v>WriteRequest/Policy/Audit</x:v>
      </x:c>
      <x:c r="C40" s="58" t="str">
        <x:v>Chain + Specification</x:v>
      </x:c>
      <x:c r="D40" s="58" t="str">
        <x:v>任何真实写入同一路径</x:v>
      </x:c>
      <x:c r="E40" s="58" t="str">
        <x:v>类型/范围纯检查</x:v>
      </x:c>
      <x:c r="F40" s="58" t="str">
        <x:v>Authorization/WritePolicy/Audit/Provider</x:v>
      </x:c>
      <x:c r="G40" s="58" t="str">
        <x:v>Policy rules</x:v>
      </x:c>
      <x:c r="H40" s="58" t="str">
        <x:v>脚本绕开安全直接写PLC</x:v>
      </x:c>
    </x:row>
    <x:row r="41">
      <x:c r="A41" s="66" t="str">
        <x:v>Project I/O</x:v>
      </x:c>
      <x:c r="B41" s="66" t="str">
        <x:v>Snapshot/Manifest/Migration</x:v>
      </x:c>
      <x:c r="C41" s="66" t="str">
        <x:v>Facade + Builder + Chain + Gateway</x:v>
      </x:c>
      <x:c r="D41" s="66" t="str">
        <x:v>保存/恢复/迁移/校验</x:v>
      </x:c>
      <x:c r="E41" s="66" t="str">
        <x:v>SchemaConstants/PathUtil/HashUtil</x:v>
      </x:c>
      <x:c r="F41" s="66" t="str">
        <x:v>ProjectStore/RecoveryStore</x:v>
      </x:c>
      <x:c r="G41" s="66" t="str">
        <x:v>Store implementation</x:v>
      </x:c>
      <x:c r="H41" s="66" t="str">
        <x:v>直接File.Write正式工程</x:v>
      </x:c>
    </x:row>
    <x:row r="42">
      <x:c r="A42" s="58" t="str">
        <x:v>Resources</x:v>
      </x:c>
      <x:c r="B42" s="58" t="str">
        <x:v>ResourceEntry/Store/Cache</x:v>
      </x:c>
      <x:c r="C42" s="58" t="str">
        <x:v>Flyweight + Repository</x:v>
      </x:c>
      <x:c r="D42" s="58" t="str">
        <x:v>内容寻址、缓存、相对路径</x:v>
      </x:c>
      <x:c r="E42" s="58" t="str">
        <x:v>Hash/FileName/Path pure</x:v>
      </x:c>
      <x:c r="F42" s="58" t="str">
        <x:v>ResourceStore/Cache</x:v>
      </x:c>
      <x:c r="G42" s="58" t="str">
        <x:v>Resource provider</x:v>
      </x:c>
      <x:c r="H42" s="58" t="str">
        <x:v>绝对路径保存</x:v>
      </x:c>
    </x:row>
    <x:row r="43">
      <x:c r="A43" s="66" t="str">
        <x:v>WinForms Host</x:v>
      </x:c>
      <x:c r="B43" s="66" t="str">
        <x:v>HostControl/FocusBridge/HostContext</x:v>
      </x:c>
      <x:c r="C43" s="66" t="str">
        <x:v>Adapter + Facade + ACL</x:v>
      </x:c>
      <x:c r="D43" s="66" t="str">
        <x:v>ElementHost/DPI/焦点/旧系统接口</x:v>
      </x:c>
      <x:c r="E43" s="66" t="str">
        <x:v>Dpi换算/Key mapping</x:v>
      </x:c>
      <x:c r="F43" s="66" t="str">
        <x:v>HostControl/Runtime instance</x:v>
      </x:c>
      <x:c r="G43" s="66" t="str">
        <x:v>Host gateway</x:v>
      </x:c>
      <x:c r="H43" s="66" t="str">
        <x:v>主程序直接操作BindingEngine</x:v>
      </x:c>
    </x:row>
    <x:row r="44">
      <x:c r="A44" s="58" t="str">
        <x:v>Security</x:v>
      </x:c>
      <x:c r="B44" s="58" t="str">
        <x:v>User/Permission/Policy</x:v>
      </x:c>
      <x:c r="C44" s="58" t="str">
        <x:v>Specification + Strategy + Chain</x:v>
      </x:c>
      <x:c r="D44" s="58" t="str">
        <x:v>多入口权限一致</x:v>
      </x:c>
      <x:c r="E44" s="58" t="str">
        <x:v>PermissionKeys</x:v>
      </x:c>
      <x:c r="F44" s="58" t="str">
        <x:v>AuthorizationContext/Service</x:v>
      </x:c>
      <x:c r="G44" s="58" t="str">
        <x:v>Host permission adapter</x:v>
      </x:c>
      <x:c r="H44" s="58" t="str">
        <x:v>Static CurrentUser</x:v>
      </x:c>
    </x:row>
    <x:row r="45">
      <x:c r="A45" s="66" t="str">
        <x:v>Audit</x:v>
      </x:c>
      <x:c r="B45" s="66" t="str">
        <x:v>AuditEvent/Writer</x:v>
      </x:c>
      <x:c r="C45" s="66" t="str">
        <x:v>Gateway + Append-only</x:v>
      </x:c>
      <x:c r="D45" s="66" t="str">
        <x:v>安全事件结构化不可篡改</x:v>
      </x:c>
      <x:c r="E45" s="66" t="str">
        <x:v>AuditCodes/format</x:v>
      </x:c>
      <x:c r="F45" s="66" t="str">
        <x:v>AuditService/queue</x:v>
      </x:c>
      <x:c r="G45" s="66" t="str">
        <x:v>Storage sink</x:v>
      </x:c>
      <x:c r="H45" s="66" t="str">
        <x:v>普通日志代替审计</x:v>
      </x:c>
    </x:row>
    <x:row r="46">
      <x:c r="A46" s="58" t="str">
        <x:v>Alarm</x:v>
      </x:c>
      <x:c r="B46" s="58" t="str">
        <x:v>Definition/State/Event</x:v>
      </x:c>
      <x:c r="C46" s="58" t="str">
        <x:v>State + Specification + Observer</x:v>
      </x:c>
      <x:c r="D46" s="58" t="str">
        <x:v>触发/恢复/确认/抑制状态机</x:v>
      </x:c>
      <x:c r="E46" s="58" t="str">
        <x:v>阈值/规则纯计算</x:v>
      </x:c>
      <x:c r="F46" s="58" t="str">
        <x:v>AlarmEngine/StateStore</x:v>
      </x:c>
      <x:c r="G46" s="58" t="str">
        <x:v>alarm types/storage</x:v>
      </x:c>
      <x:c r="H46" s="58" t="str">
        <x:v>UI控件自己判断报警</x:v>
      </x:c>
    </x:row>
    <x:row r="47">
      <x:c r="A47" s="66" t="str">
        <x:v>History</x:v>
      </x:c>
      <x:c r="B47" s="66" t="str">
        <x:v>HistorianTag/Sample/Query</x:v>
      </x:c>
      <x:c r="C47" s="66" t="str">
        <x:v>Strategy + Repository + Pipeline</x:v>
      </x:c>
      <x:c r="D47" s="66" t="str">
        <x:v>采集/StoreForward/聚合/查询</x:v>
      </x:c>
      <x:c r="E47" s="66" t="str">
        <x:v>AggregationMath/ResampleMath</x:v>
      </x:c>
      <x:c r="F47" s="66" t="str">
        <x:v>HistoryService/Store/Queue</x:v>
      </x:c>
      <x:c r="G47" s="66" t="str">
        <x:v>storage provider</x:v>
      </x:c>
      <x:c r="H47" s="66" t="str">
        <x:v>Chart直接写DB</x:v>
      </x:c>
    </x:row>
    <x:row r="48">
      <x:c r="A48" s="58" t="str">
        <x:v>Charts</x:v>
      </x:c>
      <x:c r="B48" s="58" t="str">
        <x:v>Chart config/Series config</x:v>
      </x:c>
      <x:c r="C48" s="58" t="str">
        <x:v>Adapter + Strategy</x:v>
      </x:c>
      <x:c r="D48" s="58" t="str">
        <x:v>ScottPlot与平台配置隔离</x:v>
      </x:c>
      <x:c r="E48" s="58" t="str">
        <x:v>downsample/statistics math</x:v>
      </x:c>
      <x:c r="F48" s="58" t="str">
        <x:v>ChartAdapter/cache</x:v>
      </x:c>
      <x:c r="G48" s="58" t="str">
        <x:v>chart renderer</x:v>
      </x:c>
      <x:c r="H48" s="58" t="str">
        <x:v>ScottPlot对象序列化</x:v>
      </x:c>
    </x:row>
    <x:row r="49">
      <x:c r="A49" s="66" t="str">
        <x:v>Reports</x:v>
      </x:c>
      <x:c r="B49" s="66" t="str">
        <x:v>Template/Job/Export</x:v>
      </x:c>
      <x:c r="C49" s="66" t="str">
        <x:v>Builder + Strategy + Queue</x:v>
      </x:c>
      <x:c r="D49" s="66" t="str">
        <x:v>模板、数据源、导出格式</x:v>
      </x:c>
      <x:c r="E49" s="66" t="str">
        <x:v>file name/format helpers</x:v>
      </x:c>
      <x:c r="F49" s="66" t="str">
        <x:v>ReportService/job queue</x:v>
      </x:c>
      <x:c r="G49" s="66" t="str">
        <x:v>exporter/data source</x:v>
      </x:c>
      <x:c r="H49" s="66" t="str">
        <x:v>UI线程同步生成大报表</x:v>
      </x:c>
    </x:row>
    <x:row r="50">
      <x:c r="A50" s="58" t="str">
        <x:v>Recipes</x:v>
      </x:c>
      <x:c r="B50" s="58" t="str">
        <x:v>Definition/Version/Operation</x:v>
      </x:c>
      <x:c r="C50" s="58" t="str">
        <x:v>State/Workflow + Command + Strategy</x:v>
      </x:c>
      <x:c r="D50" s="58" t="str">
        <x:v>版本/审批/写入/回读/回滚</x:v>
      </x:c>
      <x:c r="E50" s="58" t="str">
        <x:v>compare pure function</x:v>
      </x:c>
      <x:c r="F50" s="58" t="str">
        <x:v>RecipeService/security transaction</x:v>
      </x:c>
      <x:c r="G50" s="58" t="str">
        <x:v>approval/storage</x:v>
      </x:c>
      <x:c r="H50" s="58" t="str">
        <x:v>配方直接循环provider.Write</x:v>
      </x:c>
    </x:row>
    <x:row r="51">
      <x:c r="A51" s="66" t="str">
        <x:v>Plugins</x:v>
      </x:c>
      <x:c r="B51" s="66" t="str">
        <x:v>Manifest/Descriptor/Module</x:v>
      </x:c>
      <x:c r="C51" s="66" t="str">
        <x:v>Registry + Factory + Plugin</x:v>
      </x:c>
      <x:c r="D51" s="66" t="str">
        <x:v>扩展点、版本、签名/依赖</x:v>
      </x:c>
      <x:c r="E51" s="66" t="str">
        <x:v>version/hash helpers</x:v>
      </x:c>
      <x:c r="F51" s="66" t="str">
        <x:v>PluginHost/Catalog</x:v>
      </x:c>
      <x:c r="G51" s="66" t="str">
        <x:v>SDK contracts</x:v>
      </x:c>
      <x:c r="H51" s="66" t="str">
        <x:v>全局反射+任意程序集访问</x:v>
      </x:c>
    </x:row>
    <x:row r="52">
      <x:c r="A52" s="58" t="str">
        <x:v>Versioning</x:v>
      </x:c>
      <x:c r="B52" s="58" t="str">
        <x:v>DiffNode/MergePlan</x:v>
      </x:c>
      <x:c r="C52" s="58" t="str">
        <x:v>Visitor/Strategy + Builder</x:v>
      </x:c>
      <x:c r="D52" s="58" t="str">
        <x:v>可读Diff/选择性合并</x:v>
      </x:c>
      <x:c r="E52" s="58" t="str">
        <x:v>deep value compare</x:v>
      </x:c>
      <x:c r="F52" s="58" t="str">
        <x:v>Diff/Merge service</x:v>
      </x:c>
      <x:c r="G52" s="58" t="str">
        <x:v>comparison strategy</x:v>
      </x:c>
      <x:c r="H52" s="58" t="str">
        <x:v>字符串比较JSON文本</x:v>
      </x:c>
    </x:row>
    <x:row r="53">
      <x:c r="A53" s="66" t="str">
        <x:v>Publish</x:v>
      </x:c>
      <x:c r="B53" s="66" t="str">
        <x:v>Snapshot/Manifest/Package</x:v>
      </x:c>
      <x:c r="C53" s="66" t="str">
        <x:v>Builder + Pipeline</x:v>
      </x:c>
      <x:c r="D53" s="66" t="str">
        <x:v>校验→收集→Hash→签名→Package</x:v>
      </x:c>
      <x:c r="E53" s="66" t="str">
        <x:v>hash/path helpers</x:v>
      </x:c>
      <x:c r="F53" s="66" t="str">
        <x:v>PublishService</x:v>
      </x:c>
      <x:c r="G53" s="66" t="str">
        <x:v>sign/encryption providers</x:v>
      </x:c>
      <x:c r="H53" s="66" t="str">
        <x:v>从打开UI直接复制文件</x:v>
      </x:c>
    </x:row>
    <x:row r="54">
      <x:c r="A54" s="58" t="str">
        <x:v>Deployment</x:v>
      </x:c>
      <x:c r="B54" s="58" t="str">
        <x:v>DeviceStatus/Job/Rollback</x:v>
      </x:c>
      <x:c r="C54" s="58" t="str">
        <x:v>State + Saga-like workflow</x:v>
      </x:c>
      <x:c r="D54" s="58" t="str">
        <x:v>上传/验证/切换/失败回退</x:v>
      </x:c>
      <x:c r="E54" s="58" t="str">
        <x:v>version compare</x:v>
      </x:c>
      <x:c r="F54" s="58" t="str">
        <x:v>DeploymentService/job state</x:v>
      </x:c>
      <x:c r="G54" s="58" t="str">
        <x:v>transport adapter</x:v>
      </x:c>
      <x:c r="H54" s="58" t="str">
        <x:v>覆盖当前版本无回滚</x:v>
      </x:c>
    </x:row>
    <x:row r="55">
      <x:c r="A55"/>
      <x:c r="B55"/>
      <x:c r="C55"/>
      <x:c r="D55"/>
      <x:c r="E55"/>
      <x:c r="F55"/>
      <x:c r="G55"/>
      <x:c r="H55"/>
    </x:row>
    <x:row r="56" ht="24" customHeight="1">
      <x:c r="A56" s="40" t="str">
        <x:v>B. 编码设计规范</x:v>
      </x:c>
      <x:c r="B56" s="40"/>
      <x:c r="C56" s="40"/>
      <x:c r="D56" s="40"/>
      <x:c r="E56" s="40"/>
      <x:c r="F56" s="40"/>
      <x:c r="G56" s="40"/>
      <x:c r="H56" s="40"/>
    </x:row>
    <x:row r="57" ht="28" customHeight="1">
      <x:c r="A57" s="50" t="str">
        <x:v>类别</x:v>
      </x:c>
      <x:c r="B57" s="50" t="str">
        <x:v>规范</x:v>
      </x:c>
      <x:c r="C57" s="50" t="str">
        <x:v>CxVisual约定</x:v>
      </x:c>
      <x:c r="D57" s="50" t="str">
        <x:v>原因</x:v>
      </x:c>
      <x:c r="E57" s="50" t="str">
        <x:v>示例</x:v>
      </x:c>
      <x:c r="F57" s="50" t="str">
        <x:v>检查方式</x:v>
      </x:c>
      <x:c r="G57" s="50"/>
      <x:c r="H57" s="50"/>
    </x:row>
    <x:row r="58">
      <x:c r="A58" s="66" t="str">
        <x:v>命名空间</x:v>
      </x:c>
      <x:c r="B58" s="66" t="str">
        <x:v>前缀</x:v>
      </x:c>
      <x:c r="C58" s="66" t="str">
        <x:v>统一 CxVisual.*</x:v>
      </x:c>
      <x:c r="D58" s="66" t="str">
        <x:v>产品名稳定，避免Hmi/XRay过窄</x:v>
      </x:c>
      <x:c r="E58" s="66" t="str">
        <x:v>CxVisual.Runtime.Core</x:v>
      </x:c>
      <x:c r="F58" s="66" t="str">
        <x:v>Solution审查</x:v>
      </x:c>
      <x:c r="G58" s="66"/>
      <x:c r="H58" s="66"/>
    </x:row>
    <x:row r="59">
      <x:c r="A59" s="58" t="str">
        <x:v>程序集</x:v>
      </x:c>
      <x:c r="B59" s="58" t="str">
        <x:v>颗粒度</x:v>
      </x:c>
      <x:c r="C59" s="58" t="str">
        <x:v>按稳定边界拆，不按每个功能建项目；首阶段控制项目数</x:v>
      </x:c>
      <x:c r="D59" s="58" t="str">
        <x:v>降低net48 DLL/引用/构建复杂度</x:v>
      </x:c>
      <x:c r="E59" s="58" t="str">
        <x:v>Rendering.Wpf而不是20个renderer项目</x:v>
      </x:c>
      <x:c r="F59" s="58" t="str">
        <x:v>架构评审</x:v>
      </x:c>
      <x:c r="G59" s="58"/>
      <x:c r="H59" s="58"/>
    </x:row>
    <x:row r="60">
      <x:c r="A60" s="66" t="str">
        <x:v>类命名</x:v>
      </x:c>
      <x:c r="B60" s="66" t="str">
        <x:v>Model</x:v>
      </x:c>
      <x:c r="C60" s="66" t="str">
        <x:v>持久化领域对象以Model结尾仅在有助区分时使用</x:v>
      </x:c>
      <x:c r="D60" s="66" t="str">
        <x:v>避免和WPF控件同名混淆</x:v>
      </x:c>
      <x:c r="E60" s="66" t="str">
        <x:v>RectangleElementModel</x:v>
      </x:c>
      <x:c r="F60" s="66" t="str">
        <x:v>Code Review</x:v>
      </x:c>
      <x:c r="G60" s="66"/>
      <x:c r="H60" s="66"/>
    </x:row>
    <x:row r="61" ht="28" customHeight="1">
      <x:c r="A61" s="50" t="str">
        <x:v>接口</x:v>
      </x:c>
      <x:c r="B61" s="50" t="str">
        <x:v>I前缀</x:v>
      </x:c>
      <x:c r="C61" s="50" t="str">
        <x:v>只给边界/替换点建立接口</x:v>
      </x:c>
      <x:c r="D61" s="50" t="str">
        <x:v>避免接口泛滥</x:v>
      </x:c>
      <x:c r="E61" s="50" t="str">
        <x:v>IVariableProvider</x:v>
      </x:c>
      <x:c r="F61" s="50" t="str">
        <x:v>接口数评审</x:v>
      </x:c>
      <x:c r="G61" s="50"/>
      <x:c r="H61" s="50"/>
    </x:row>
    <x:row r="62">
      <x:c r="A62" s="58" t="str">
        <x:v>Service</x:v>
      </x:c>
      <x:c r="B62" s="58" t="str">
        <x:v>Service命名</x:v>
      </x:c>
      <x:c r="C62" s="58" t="str">
        <x:v>仅应用/领域服务；不要出现万能XXXManager</x:v>
      </x:c>
      <x:c r="D62" s="58" t="str">
        <x:v>职责可解释</x:v>
      </x:c>
      <x:c r="E62" s="58" t="str">
        <x:v>PopupService / ComponentUpgradeService</x:v>
      </x:c>
      <x:c r="F62" s="58" t="str">
        <x:v>类职责检查</x:v>
      </x:c>
      <x:c r="G62" s="58"/>
      <x:c r="H62" s="58"/>
    </x:row>
    <x:row r="63">
      <x:c r="A63" s="66" t="str">
        <x:v>Manager</x:v>
      </x:c>
      <x:c r="B63" s="66" t="str">
        <x:v>限制</x:v>
      </x:c>
      <x:c r="C63" s="66" t="str">
        <x:v>除PluginManager等真正管理生命周期集合外尽量不用</x:v>
      </x:c>
      <x:c r="D63" s="66" t="str">
        <x:v>Manager容易吸收杂项</x:v>
      </x:c>
      <x:c r="E63" s="66" t="str">
        <x:v>CommandHistory而非CommandManager</x:v>
      </x:c>
      <x:c r="F63" s="66" t="str">
        <x:v>Code Review</x:v>
      </x:c>
      <x:c r="G63" s="66"/>
      <x:c r="H63" s="66"/>
    </x:row>
    <x:row r="64">
      <x:c r="A64" s="58" t="str">
        <x:v>Util</x:v>
      </x:c>
      <x:c r="B64" s="58" t="str">
        <x:v>限制</x:v>
      </x:c>
      <x:c r="C64" s="58" t="str">
        <x:v>允许明确领域Util，如HashUtil/FileNameUtil；禁止God Utils</x:v>
      </x:c>
      <x:c r="D64" s="58" t="str">
        <x:v>static共用要有边界</x:v>
      </x:c>
      <x:c r="E64" s="58" t="str">
        <x:v>GeometryMath优于MathUtils2</x:v>
      </x:c>
      <x:c r="F64" s="58" t="str">
        <x:v>静态清单</x:v>
      </x:c>
      <x:c r="G64" s="58"/>
      <x:c r="H64" s="58"/>
    </x:row>
    <x:row r="65">
      <x:c r="A65" s="66" t="str">
        <x:v>static class</x:v>
      </x:c>
      <x:c r="B65" s="66" t="str">
        <x:v>允许</x:v>
      </x:c>
      <x:c r="C65" s="66" t="str">
        <x:v>纯函数/常量/无生命周期/无外部可变状态</x:v>
      </x:c>
      <x:c r="D65" s="66" t="str">
        <x:v>方便复用且可测试</x:v>
      </x:c>
      <x:c r="E65" s="66" t="str">
        <x:v>Guard, GeometryMath</x:v>
      </x:c>
      <x:c r="F65" s="66" t="str">
        <x:v>Static audit</x:v>
      </x:c>
      <x:c r="G65" s="66"/>
      <x:c r="H65" s="66"/>
    </x:row>
    <x:row r="66">
      <x:c r="A66" s="58" t="str">
        <x:v>static field</x:v>
      </x:c>
      <x:c r="B66" s="58" t="str">
        <x:v>规则</x:v>
      </x:c>
      <x:c r="C66" s="58" t="str">
        <x:v>只能const或真正不可变readonly；禁止持有Project/Provider/Cache/Event订阅</x:v>
      </x:c>
      <x:c r="D66" s="58" t="str">
        <x:v>防全局状态</x:v>
      </x:c>
      <x:c r="E66" s="58" t="str">
        <x:v>PropertyKeys.Fill</x:v>
      </x:c>
      <x:c r="F66" s="58" t="str">
        <x:v>反射测试</x:v>
      </x:c>
      <x:c r="G66" s="58"/>
      <x:c r="H66" s="58"/>
    </x:row>
    <x:row r="67">
      <x:c r="A67" s="66" t="str">
        <x:v>单例</x:v>
      </x:c>
      <x:c r="B67" s="66" t="str">
        <x:v>规则</x:v>
      </x:c>
      <x:c r="C67" s="66" t="str">
        <x:v>默认不用Singleton&lt;T&gt;；应用级单例由DI Composition Root决定生命周期</x:v>
      </x:c>
      <x:c r="D67" s="66" t="str">
        <x:v>实例仍可替换/Dispose</x:v>
      </x:c>
      <x:c r="E67" s="66" t="str">
        <x:v>registry可application-scoped但不是static</x:v>
      </x:c>
      <x:c r="F67" s="66" t="str">
        <x:v>依赖注入检查</x:v>
      </x:c>
      <x:c r="G67" s="66"/>
      <x:c r="H67" s="66"/>
    </x:row>
    <x:row r="68">
      <x:c r="A68" s="58" t="str">
        <x:v>构造函数</x:v>
      </x:c>
      <x:c r="B68" s="58" t="str">
        <x:v>依赖</x:v>
      </x:c>
      <x:c r="C68" s="58" t="str">
        <x:v>明确构造注入；可选配置用Options/Context</x:v>
      </x:c>
      <x:c r="D68" s="58" t="str">
        <x:v>依赖可见</x:v>
      </x:c>
      <x:c r="E68" s="58" t="str">
        <x:v>BindingEngine(IVariableEngine,... )</x:v>
      </x:c>
      <x:c r="F68" s="58" t="str">
        <x:v>Code Review</x:v>
      </x:c>
      <x:c r="G68" s="58"/>
      <x:c r="H68" s="58"/>
    </x:row>
    <x:row r="69">
      <x:c r="A69" s="66" t="str">
        <x:v>方法长度</x:v>
      </x:c>
      <x:c r="B69" s="66" t="str">
        <x:v>复杂流程</x:v>
      </x:c>
      <x:c r="C69" s="66" t="str">
        <x:v>流程分成Pipeline/Rule/Command，不以1000行方法实现</x:v>
      </x:c>
      <x:c r="D69" s="66" t="str">
        <x:v>可测试/诊断</x:v>
      </x:c>
      <x:c r="E69" s="66" t="str">
        <x:v>WritePipeline stages</x:v>
      </x:c>
      <x:c r="F69" s="66" t="str">
        <x:v>复杂度检查</x:v>
      </x:c>
      <x:c r="G69" s="66"/>
      <x:c r="H69" s="66"/>
    </x:row>
    <x:row r="70">
      <x:c r="A70" s="58" t="str">
        <x:v>属性修改</x:v>
      </x:c>
      <x:c r="B70" s="58" t="str">
        <x:v>Model</x:v>
      </x:c>
      <x:c r="C70" s="58" t="str">
        <x:v>业务编辑禁止public set到处乱改；由Command/明确方法或internal setter控制</x:v>
      </x:c>
      <x:c r="D70" s="58" t="str">
        <x:v>保护Undo/校验</x:v>
      </x:c>
      <x:c r="E70" s="58" t="str">
        <x:v>ChangePropertyCommand</x:v>
      </x:c>
      <x:c r="F70" s="58" t="str">
        <x:v>编译可见性</x:v>
      </x:c>
      <x:c r="G70" s="58"/>
      <x:c r="H70" s="58"/>
    </x:row>
    <x:row r="71">
      <x:c r="A71" s="66" t="str">
        <x:v>值对象</x:v>
      </x:c>
      <x:c r="B71" s="66" t="str">
        <x:v>不可变优先</x:v>
      </x:c>
      <x:c r="C71" s="66" t="str">
        <x:v>Point2D/Bounds2D/Transform snapshot/VariableValue尽量immutable</x:v>
      </x:c>
      <x:c r="D71" s="66" t="str">
        <x:v>线程/比较简单</x:v>
      </x:c>
      <x:c r="E71" s="66" t="str">
        <x:v>readonly-ish class/struct</x:v>
      </x:c>
      <x:c r="F71" s="66" t="str">
        <x:v>Unit tests</x:v>
      </x:c>
      <x:c r="G71" s="66"/>
      <x:c r="H71" s="66"/>
    </x:row>
    <x:row r="72">
      <x:c r="A72" s="58" t="str">
        <x:v>集合</x:v>
      </x:c>
      <x:c r="B72" s="58" t="str">
        <x:v>暴露</x:v>
      </x:c>
      <x:c r="C72" s="58" t="str">
        <x:v>对外 IReadOnlyList/IReadOnlyDictionary；修改由Aggregate方法</x:v>
      </x:c>
      <x:c r="D72" s="58" t="str">
        <x:v>防外部绕过规则</x:v>
      </x:c>
      <x:c r="E72" s="58" t="str">
        <x:v>Page.Elements read-only</x:v>
      </x:c>
      <x:c r="F72" s="58" t="str">
        <x:v>API审查</x:v>
      </x:c>
      <x:c r="G72" s="58"/>
      <x:c r="H72" s="58"/>
    </x:row>
    <x:row r="73">
      <x:c r="A73" s="66" t="str">
        <x:v>事件</x:v>
      </x:c>
      <x:c r="B73" s="66" t="str">
        <x:v>生命周期</x:v>
      </x:c>
      <x:c r="C73" s="66" t="str">
        <x:v>订阅返回IDisposable或明确Unsubscribe；禁止static event bus</x:v>
      </x:c>
      <x:c r="D73" s="66" t="str">
        <x:v>防内存泄漏</x:v>
      </x:c>
      <x:c r="E73" s="66" t="str">
        <x:v>event subscription handle</x:v>
      </x:c>
      <x:c r="F73" s="66" t="str">
        <x:v>Soak test</x:v>
      </x:c>
      <x:c r="G73" s="66"/>
      <x:c r="H73" s="66"/>
    </x:row>
    <x:row r="74">
      <x:c r="A74" s="58" t="str">
        <x:v>异常</x:v>
      </x:c>
      <x:c r="B74" s="58" t="str">
        <x:v>策略</x:v>
      </x:c>
      <x:c r="C74" s="58" t="str">
        <x:v>参数错误throw；可预期业务失败Result/Diagnostic；不可预期Exception边界捕获</x:v>
      </x:c>
      <x:c r="D74" s="58" t="str">
        <x:v>错误语义清晰</x:v>
      </x:c>
      <x:c r="E74" s="58" t="str">
        <x:v>SvgImportResult</x:v>
      </x:c>
      <x:c r="F74" s="58" t="str">
        <x:v>异常审查</x:v>
      </x:c>
      <x:c r="G74" s="58"/>
      <x:c r="H74" s="58"/>
    </x:row>
    <x:row r="75">
      <x:c r="A75" s="66" t="str">
        <x:v>日志</x:v>
      </x:c>
      <x:c r="B75" s="66" t="str">
        <x:v>结构化</x:v>
      </x:c>
      <x:c r="C75" s="66" t="str">
        <x:v>Code/EventId/对象Id/变量Id分字段，不拼接所有上下文</x:v>
      </x:c>
      <x:c r="D75" s="66" t="str">
        <x:v>可过滤/追踪</x:v>
      </x:c>
      <x:c r="E75" s="66" t="str">
        <x:v>LogEvent</x:v>
      </x:c>
      <x:c r="F75" s="66" t="str">
        <x:v>日志样本</x:v>
      </x:c>
      <x:c r="G75" s="66"/>
      <x:c r="H75" s="66"/>
    </x:row>
    <x:row r="76" ht="28" customHeight="1">
      <x:c r="A76" s="50" t="str">
        <x:v>JSON</x:v>
      </x:c>
      <x:c r="B76" s="50" t="str">
        <x:v>类型</x:v>
      </x:c>
      <x:c r="C76" s="50" t="str">
        <x:v>稳定typeId；TypeNameHandling=None；未知类型保留原始metadata</x:v>
      </x:c>
      <x:c r="D76" s="50" t="str">
        <x:v>安全/兼容</x:v>
      </x:c>
      <x:c r="E76" s="50" t="str">
        <x:v>type:'rectangle'</x:v>
      </x:c>
      <x:c r="F76" s="50" t="str">
        <x:v>Serialization tests</x:v>
      </x:c>
      <x:c r="G76" s="50"/>
      <x:c r="H76" s="50"/>
    </x:row>
    <x:row r="77">
      <x:c r="A77" s="58" t="str">
        <x:v>异步/线程</x:v>
      </x:c>
      <x:c r="B77" s="58" t="str">
        <x:v>net48</x:v>
      </x:c>
      <x:c r="C77" s="58" t="str">
        <x:v>使用Task/CancellationToken但不滥用Task.Run；I/O/CPU大任务后台，UI批提交</x:v>
      </x:c>
      <x:c r="D77" s="58" t="str">
        <x:v>避免线程爆炸</x:v>
      </x:c>
      <x:c r="E77" s="58" t="str">
        <x:v>History query cancel</x:v>
      </x:c>
      <x:c r="F77" s="58" t="str">
        <x:v>压力测试</x:v>
      </x:c>
      <x:c r="G77" s="58"/>
      <x:c r="H77" s="58"/>
    </x:row>
    <x:row r="78">
      <x:c r="A78" s="66" t="str">
        <x:v>IDisposable</x:v>
      </x:c>
      <x:c r="B78" s="66" t="str">
        <x:v>资源类</x:v>
      </x:c>
      <x:c r="C78" s="66" t="str">
        <x:v>Subscription/Runtime/Cache/Plugin/Host/Timer必须明确Dispose</x:v>
      </x:c>
      <x:c r="D78" s="66" t="str">
        <x:v>工业长期稳定</x:v>
      </x:c>
      <x:c r="E78" s="66" t="str">
        <x:v>CxVisualRuntime.Dispose</x:v>
      </x:c>
      <x:c r="F78" s="66" t="str">
        <x:v>leak test</x:v>
      </x:c>
      <x:c r="G78" s="66"/>
      <x:c r="H78" s="66"/>
    </x:row>
    <x:row r="79">
      <x:c r="A79" s="58" t="str">
        <x:v>配置</x:v>
      </x:c>
      <x:c r="B79" s="58" t="str">
        <x:v>默认值</x:v>
      </x:c>
      <x:c r="C79" s="58" t="str">
        <x:v>static Defaults只提供默认；实际Project/Runtime配置为实例快照</x:v>
      </x:c>
      <x:c r="D79" s="58" t="str">
        <x:v>避免全局mutable config</x:v>
      </x:c>
      <x:c r="E79" s="58" t="str">
        <x:v>RuntimeOptions</x:v>
      </x:c>
      <x:c r="F79" s="58" t="str">
        <x:v>Static audit</x:v>
      </x:c>
      <x:c r="G79" s="58"/>
      <x:c r="H79" s="58"/>
    </x:row>
    <x:row r="80">
      <x:c r="A80" s="66" t="str">
        <x:v>扩展注册</x:v>
      </x:c>
      <x:c r="B80" s="66" t="str">
        <x:v>方式</x:v>
      </x:c>
      <x:c r="C80" s="66" t="str">
        <x:v>BuiltInXxxRegistration.RegisterAll(registry)可static；registry本体实例化</x:v>
      </x:c>
      <x:c r="D80" s="66" t="str">
        <x:v>兼顾static习惯与可测试</x:v>
      </x:c>
      <x:c r="E80" s="66" t="str">
        <x:v>BuiltInRenderers.RegisterAll(registry)</x:v>
      </x:c>
      <x:c r="F80" s="66" t="str">
        <x:v>Unit tests</x:v>
      </x:c>
      <x:c r="G80" s="66"/>
      <x:c r="H80" s="66"/>
    </x:row>
    <x:row r="81">
      <x:c r="A81" s="58" t="str">
        <x:v>文件名</x:v>
      </x:c>
      <x:c r="B81" s="58" t="str">
        <x:v>源工程</x:v>
      </x:c>
      <x:c r="C81" s="58" t="str">
        <x:v>建议 .cxvproj 目录/描述文件；发布单包建议 .cxv</x:v>
      </x:c>
      <x:c r="D81" s="58" t="str">
        <x:v>品牌统一；具体扩展最终实施前冻结</x:v>
      </x:c>
      <x:c r="E81" s="58" t="str">
        <x:v>Machine01.cxv</x:v>
      </x:c>
      <x:c r="F81" s="58" t="str">
        <x:v>格式ADR</x:v>
      </x:c>
      <x:c r="G81" s="58"/>
      <x:c r="H81" s="58"/>
    </x:row>
    <x:row r="82">
      <x:c r="A82" s="66" t="str">
        <x:v>注释</x:v>
      </x:c>
      <x:c r="B82" s="66" t="str">
        <x:v>重点</x:v>
      </x:c>
      <x:c r="C82" s="66" t="str">
        <x:v>说明Why/边界/线程/生命周期，不给显而易见代码写废话注释</x:v>
      </x:c>
      <x:c r="D82" s="66" t="str">
        <x:v>维护长期平台</x:v>
      </x:c>
      <x:c r="E82" s="66" t="str">
        <x:v>// UI thread only</x:v>
      </x:c>
      <x:c r="F82" s="66" t="str">
        <x:v>Review</x:v>
      </x:c>
      <x:c r="G82" s="66"/>
      <x:c r="H82" s="66"/>
    </x:row>
    <x:row r="84">
      <x:c r="A84" t="str">
        <x:v>C. 历史 V3.3 新增设计硬规则（已纳入V6.4）</x:v>
      </x:c>
      <x:c r="B84"/>
      <x:c r="C84"/>
      <x:c r="D84"/>
      <x:c r="E84"/>
      <x:c r="F84"/>
      <x:c r="G84"/>
      <x:c r="H84"/>
    </x:row>
    <x:row r="85">
      <x:c r="A85" t="str">
        <x:v>主题</x:v>
      </x:c>
      <x:c r="B85" t="str">
        <x:v>规则</x:v>
      </x:c>
      <x:c r="C85" t="str">
        <x:v>CxVisual落点</x:v>
      </x:c>
      <x:c r="D85" t="str">
        <x:v>解决问题</x:v>
      </x:c>
      <x:c r="E85" t="str">
        <x:v>禁止做法</x:v>
      </x:c>
      <x:c r="F85"/>
      <x:c r="G85"/>
      <x:c r="H85"/>
    </x:row>
    <x:row r="86">
      <x:c r="A86" t="str">
        <x:v>UI依赖</x:v>
      </x:c>
      <x:c r="B86" t="str">
        <x:v>Studio/Ribbon只走CommandDescriptor/Application Service</x:v>
      </x:c>
      <x:c r="C86" t="str">
        <x:v>07/45</x:v>
      </x:c>
      <x:c r="D86" t="str">
        <x:v>Shell与Domain解耦</x:v>
      </x:c>
      <x:c r="E86" t="str">
        <x:v>code-behind直接调用Domain Runtime/Vendor SDK</x:v>
      </x:c>
      <x:c r="F86"/>
      <x:c r="G86"/>
      <x:c r="H86"/>
    </x:row>
    <x:row r="87">
      <x:c r="A87" t="str">
        <x:v>变量唯一入口</x:v>
      </x:c>
      <x:c r="B87" t="str">
        <x:v>UI/Runtime/Graph/Alarm/Trend只通过IVariableProvider/VariableEngine</x:v>
      </x:c>
      <x:c r="C87" t="str">
        <x:v>10/17/18/46</x:v>
      </x:c>
      <x:c r="D87" t="str">
        <x:v>防第二套变量系统</x:v>
      </x:c>
      <x:c r="E87" t="str">
        <x:v>ViewModel直接访问VariableManager</x:v>
      </x:c>
      <x:c r="F87"/>
      <x:c r="G87"/>
      <x:c r="H87"/>
    </x:row>
    <x:row r="88">
      <x:c r="A88" t="str">
        <x:v>变量身份</x:v>
      </x:c>
      <x:c r="B88" t="str">
        <x:v>持久化引用使用稳定VariableId + VariableReference</x:v>
      </x:c>
      <x:c r="C88" t="str">
        <x:v>12/46</x:v>
      </x:c>
      <x:c r="D88" t="str">
        <x:v>设备改名/路径变化不破坏绑定</x:v>
      </x:c>
      <x:c r="E88" t="str">
        <x:v>以Name/Address字符串作为唯一引用</x:v>
      </x:c>
      <x:c r="F88"/>
      <x:c r="G88"/>
      <x:c r="H88"/>
    </x:row>
    <x:row r="89">
      <x:c r="A89" t="str">
        <x:v>变量语义</x:v>
      </x:c>
      <x:c r="B89" t="str">
        <x:v>VariableValue携带Quality/TimestampUtc/Sequence/Source</x:v>
      </x:c>
      <x:c r="C89" t="str">
        <x:v>20/46</x:v>
      </x:c>
      <x:c r="D89" t="str">
        <x:v>时序/质量可追踪</x:v>
      </x:c>
      <x:c r="E89" t="str">
        <x:v>退化为Value+HasInitialValue</x:v>
      </x:c>
      <x:c r="F89"/>
      <x:c r="G89"/>
      <x:c r="H89"/>
    </x:row>
    <x:row r="90">
      <x:c r="A90" t="str">
        <x:v>变量分发</x:v>
      </x:c>
      <x:c r="B90" t="str">
        <x:v>LatestOnly/All/Sampled可选；队列有界；慢订阅隔离</x:v>
      </x:c>
      <x:c r="C90" t="str">
        <x:v>18/25/46</x:v>
      </x:c>
      <x:c r="D90" t="str">
        <x:v>长期运行稳定</x:v>
      </x:c>
      <x:c r="E90" t="str">
        <x:v>叠加固定100ms Timer或无界Queue</x:v>
      </x:c>
      <x:c r="F90"/>
      <x:c r="G90"/>
      <x:c r="H90"/>
    </x:row>
    <x:row r="91">
      <x:c r="A91" t="str">
        <x:v>写入</x:v>
      </x:c>
      <x:c r="B91" t="str">
        <x:v>任何变量/硬件写入走WritePipeline和Target最终裁决</x:v>
      </x:c>
      <x:c r="C91" t="str">
        <x:v>14/46/47</x:v>
      </x:c>
      <x:c r="D91" t="str">
        <x:v>不可绕过安全</x:v>
      </x:c>
      <x:c r="E91" t="str">
        <x:v>UI/Graph/Script直写Provider/Vendor</x:v>
      </x:c>
      <x:c r="F91"/>
      <x:c r="G91"/>
      <x:c r="H91"/>
    </x:row>
    <x:row r="92">
      <x:c r="A92" t="str">
        <x:v>设备抽象</x:v>
      </x:c>
      <x:c r="B92" t="str">
        <x:v>按窄Capability接口组合；Device/Channel/Resource分层</x:v>
      </x:c>
      <x:c r="C92" t="str">
        <x:v>05/27/47</x:v>
      </x:c>
      <x:c r="D92" t="str">
        <x:v>覆盖完整机台且可扩展</x:v>
      </x:c>
      <x:c r="E92" t="str">
        <x:v>万能IMotionDevice+Dictionary command</x:v>
      </x:c>
      <x:c r="F92"/>
      <x:c r="G92"/>
      <x:c r="H92"/>
    </x:row>
    <x:row r="93">
      <x:c r="A93" t="str">
        <x:v>Ownership</x:v>
      </x:c>
      <x:c r="B93" t="str">
        <x:v>Provider/Controller拥有连接与SDK句柄，叶子对象借用生命周期</x:v>
      </x:c>
      <x:c r="C93" t="str">
        <x:v>18/27/47</x:v>
      </x:c>
      <x:c r="D93" t="str">
        <x:v>防重复释放/泄漏</x:v>
      </x:c>
      <x:c r="E93" t="str">
        <x:v>每Axis/IO自行Dispose共享Controller</x:v>
      </x:c>
      <x:c r="F93"/>
      <x:c r="G93"/>
      <x:c r="H93"/>
    </x:row>
    <x:row r="94">
      <x:c r="A94" t="str">
        <x:v>家族复用</x:v>
      </x:c>
      <x:c r="B94" t="str">
        <x:v>Robot复用Motion公共Contract；CT3D复用Vision公共Contract，优先组合而非深CLR继承</x:v>
      </x:c>
      <x:c r="C94" t="str">
        <x:v>03/29/33</x:v>
      </x:c>
      <x:c r="D94" t="str">
        <x:v>稳定演进</x:v>
      </x:c>
      <x:c r="E94" t="str">
        <x:v>RobotRuntime继承MotionRuntime并重写大量行为</x:v>
      </x:c>
      <x:c r="F94"/>
      <x:c r="G94"/>
      <x:c r="H94"/>
    </x:row>
    <x:row r="95">
      <x:c r="A95" t="str">
        <x:v>模式状态</x:v>
      </x:c>
      <x:c r="B95" t="str">
        <x:v>Design/Debug/Run是Session状态，不持久化到Project</x:v>
      </x:c>
      <x:c r="C95" t="str">
        <x:v>07/45</x:v>
      </x:c>
      <x:c r="D95" t="str">
        <x:v>工程文件稳定</x:v>
      </x:c>
      <x:c r="E95" t="str">
        <x:v>保存当前Debug/Run状态到工程</x:v>
      </x:c>
      <x:c r="F95"/>
      <x:c r="G95"/>
      <x:c r="H95"/>
    </x:row>
    <x:row r="96">
      <x:c r="A96" t="str">
        <x:v>Context UI</x:v>
      </x:c>
      <x:c r="B96" t="str">
        <x:v>Contextual Ribbon只影响可见命令，不改变Domain边界/权限</x:v>
      </x:c>
      <x:c r="C96" t="str">
        <x:v>03/45</x:v>
      </x:c>
      <x:c r="D96" t="str">
        <x:v>UI与架构分离</x:v>
      </x:c>
      <x:c r="E96" t="str">
        <x:v>以页签隐藏当作安全控制</x:v>
      </x:c>
      <x:c r="F96"/>
      <x:c r="G96"/>
      <x:c r="H96"/>
    </x:row>
    <x:row r="97">
      <x:c r="A97" t="str">
        <x:v>状态真实性</x:v>
      </x:c>
      <x:c r="B97" t="str">
        <x:v>实现状态只在41维护；设计文档和历史截图不得自动标Done</x:v>
      </x:c>
      <x:c r="C97" t="str">
        <x:v>41/48</x:v>
      </x:c>
      <x:c r="D97" t="str">
        <x:v>避免假进度</x:v>
      </x:c>
      <x:c r="E97" t="str">
        <x:v>未实编译/无证据宣称全绿</x:v>
      </x:c>
      <x:c r="F97"/>
      <x:c r="G97"/>
      <x:c r="H97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36" hidden="0" customWidth="1"/>
    <x:col min="4" max="4" width="34" hidden="0" customWidth="1"/>
    <x:col min="5" max="5" width="34" hidden="0" customWidth="1"/>
    <x:col min="6" max="6" width="34" hidden="0" customWidth="1"/>
    <x:col min="7" max="7" width="30" hidden="0" customWidth="1"/>
    <x:col min="8" max="8" width="30" hidden="0" customWidth="1"/>
  </x:cols>
  <x:sheetData>
    <x:row r="1" ht="30" customHeight="1">
      <x:c r="A1" s="8" t="str">
        <x:v>CxVisual Studio / Designer 统一架构</x:v>
      </x:c>
      <x:c r="B1" s="8"/>
      <x:c r="C1" s="8"/>
      <x:c r="D1" s="8"/>
      <x:c r="E1" s="8"/>
      <x:c r="F1" s="8"/>
      <x:c r="G1" s="8"/>
      <x:c r="H1" s="8"/>
    </x:row>
    <x:row r="2" ht="38" customHeight="1">
      <x:c r="A2" s="16" t="str">
        <x:v>统一Studio壳、Designer Application、文档工作区、工具窗、三种模式与工程生命周期；所有专业Designer都复用同一Studio骨架。</x:v>
      </x:c>
      <x:c r="B2" s="16"/>
      <x:c r="C2" s="16"/>
      <x:c r="D2" s="16"/>
      <x:c r="E2" s="16"/>
      <x:c r="F2" s="16"/>
      <x:c r="G2" s="16"/>
      <x:c r="H2" s="16"/>
    </x:row>
    <x:row r="3">
      <x:c r="A3" s="30" t="str">
        <x:v>本页唯一权威</x:v>
      </x:c>
      <x:c r="B3" s="31" t="str">
        <x:v>Studio信息架构、Designer服务、用户闭环、Workspace/文档生命周期与专业工作台挂接方式。</x:v>
      </x:c>
      <x:c r="C3" s="31"/>
      <x:c r="D3" s="31"/>
      <x:c r="E3" s="31"/>
      <x:c r="F3" s="31"/>
      <x:c r="G3" s="31"/>
      <x:c r="H3" s="31"/>
    </x:row>
    <x:row r="4">
      <x:c r="A4" s="30" t="str">
        <x:v>不在本页维护</x:v>
      </x:c>
      <x:c r="B4" s="31" t="str">
        <x:v>Renderer内部几何（见08）、Domain专业工作台细节（见27~39）、Operations Center内部实现（见38）。</x:v>
      </x:c>
      <x:c r="C4" s="31"/>
      <x:c r="D4" s="31"/>
      <x:c r="E4" s="31"/>
      <x:c r="F4" s="31"/>
      <x:c r="G4" s="31"/>
      <x:c r="H4" s="31"/>
    </x:row>
    <x:row r="5">
      <x:c r="A5" s="30" t="str">
        <x:v>关联分页</x:v>
      </x:c>
      <x:c r="B5" s="31" t="str">
        <x:v>08_Renderer与几何系统；09_CommandUndoTransaction；21_Graph统一OnlineDebug架构；27~39 Domain Platforms；45_StudioShell与Ribbon基线。</x:v>
      </x:c>
      <x:c r="C5" s="31"/>
      <x:c r="D5" s="31"/>
      <x:c r="E5" s="31"/>
      <x:c r="F5" s="31"/>
      <x:c r="G5" s="31"/>
      <x:c r="H5" s="31"/>
    </x:row>
    <x:row r="6">
      <x:c r="A6"/>
      <x:c r="B6"/>
      <x:c r="C6"/>
      <x:c r="D6"/>
      <x:c r="E6"/>
      <x:c r="F6"/>
      <x:c r="G6"/>
      <x:c r="H6"/>
    </x:row>
    <x:row r="7" ht="24" customHeight="1">
      <x:c r="A7" s="40" t="str">
        <x:v>A. Designer内部架构与界面信息结构</x:v>
      </x:c>
      <x:c r="B7" s="40"/>
      <x:c r="C7" s="40"/>
      <x:c r="D7" s="40"/>
      <x:c r="E7" s="40"/>
      <x:c r="F7" s="40"/>
      <x:c r="G7" s="40"/>
      <x:c r="H7" s="40"/>
    </x:row>
    <x:row r="8" ht="24" customHeight="1">
      <x:c r="A8" s="40" t="str">
        <x:v>A. 界面信息架构</x:v>
      </x:c>
      <x:c r="B8" s="40"/>
      <x:c r="C8" s="40"/>
      <x:c r="D8" s="40"/>
      <x:c r="E8" s="40"/>
      <x:c r="F8" s="40"/>
      <x:c r="G8" s="40"/>
      <x:c r="H8" s="40"/>
    </x:row>
    <x:row r="9" ht="28" customHeight="1">
      <x:c r="A9" s="50" t="str">
        <x:v>区域</x:v>
      </x:c>
      <x:c r="B9" s="50" t="str">
        <x:v>当前界面定位</x:v>
      </x:c>
      <x:c r="C9" s="50" t="str">
        <x:v>核心功能</x:v>
      </x:c>
      <x:c r="D9" s="50" t="str">
        <x:v>ViewModel/服务</x:v>
      </x:c>
      <x:c r="E9" s="50" t="str">
        <x:v>主要命令/入口</x:v>
      </x:c>
      <x:c r="F9" s="50" t="str">
        <x:v>状态来源</x:v>
      </x:c>
      <x:c r="G9" s="50" t="str">
        <x:v>人机规则</x:v>
      </x:c>
      <x:c r="H9" s="50" t="str">
        <x:v>M阶段</x:v>
      </x:c>
    </x:row>
    <x:row r="10">
      <x:c r="A10" s="58" t="str">
        <x:v>AppShell 顶部</x:v>
      </x:c>
      <x:c r="B10" s="58" t="str">
        <x:v>菜单+快捷工具条</x:v>
      </x:c>
      <x:c r="C10" s="58" t="str">
        <x:v>工程文件、Undo/Redo、剪贴板、对齐、视图、校验、预览/运行、发布、全局搜索</x:v>
      </x:c>
      <x:c r="D10" s="58" t="str">
        <x:v>AppShellViewModel / CommandRouter</x:v>
      </x:c>
      <x:c r="E10" s="58" t="str">
        <x:v>New/Open/Save/Undo/Redo/Validate/Preview/Run/Search</x:v>
      </x:c>
      <x:c r="F10" s="58" t="str">
        <x:v>ProjectSession / CommandHistory</x:v>
      </x:c>
      <x:c r="G10" s="58" t="str">
        <x:v>高频操作一键可达；禁用态必须有原因</x:v>
      </x:c>
      <x:c r="H10" s="58" t="str">
        <x:v>M1~M7</x:v>
      </x:c>
    </x:row>
    <x:row r="11">
      <x:c r="A11" s="66" t="str">
        <x:v>Workspace 左侧</x:v>
      </x:c>
      <x:c r="B11" s="66" t="str">
        <x:v>工具箱+工程树+对象/图层+Symbol/资源库</x:v>
      </x:c>
      <x:c r="C11" s="66" t="str">
        <x:v>7类工具箱、Project/Page树、Layer、Symbol Catalog、Resource、搜索/筛选/收藏</x:v>
      </x:c>
      <x:c r="D11" s="66" t="str">
        <x:v>ToolboxVM / ProjectBrowserVM / LayerVM / SymbolCatalogVM</x:v>
      </x:c>
      <x:c r="E11" s="66" t="str">
        <x:v>BeginCreateTool/Locate/AddLayer/CreateSymbol</x:v>
      </x:c>
      <x:c r="F11" s="66" t="str">
        <x:v>DescriptorCatalog / ProjectObjectIndex</x:v>
      </x:c>
      <x:c r="G11" s="66" t="str">
        <x:v>统一搜索框；结果可定位、选中、高亮</x:v>
      </x:c>
      <x:c r="H11" s="66" t="str">
        <x:v>M1~M2</x:v>
      </x:c>
    </x:row>
    <x:row r="12">
      <x:c r="A12" s="58" t="str">
        <x:v>Document 中央</x:v>
      </x:c>
      <x:c r="B12" s="58" t="str">
        <x:v>多文档/多Page画布</x:v>
      </x:c>
      <x:c r="C12" s="58" t="str">
        <x:v>Page tabs、Scene、网格/标尺、Zoom/Pan、选择/绘制/节点编辑、Group/Symbol编辑模式</x:v>
      </x:c>
      <x:c r="D12" s="58" t="str">
        <x:v>DesignerDocument / ToolController / Viewport / Selection</x:v>
      </x:c>
      <x:c r="E12" s="58" t="str">
        <x:v>Pointer/Draw/Path/Group/Ungroup/EditSymbol</x:v>
      </x:c>
      <x:c r="F12" s="58" t="str">
        <x:v>Model+PreviewEditSession</x:v>
      </x:c>
      <x:c r="G12" s="58" t="str">
        <x:v>拖动过程Preview，MouseUp一次Command；Esc取消</x:v>
      </x:c>
      <x:c r="H12" s="58" t="str">
        <x:v>M1~M2</x:v>
      </x:c>
    </x:row>
    <x:row r="13">
      <x:c r="A13" s="66" t="str">
        <x:v>Inspector 右侧</x:v>
      </x:c>
      <x:c r="B13" s="66" t="str">
        <x:v>属性与能力编辑</x:v>
      </x:c>
      <x:c r="C13" s="66" t="str">
        <x:v>属性、绑定、状态、动画、事件；高级：表达式/脚本/权限/诊断；Symbol实例显示公开属性</x:v>
      </x:c>
      <x:c r="D13" s="66" t="str">
        <x:v>PropertyPanelVM + CapabilityEditors</x:v>
      </x:c>
      <x:c r="E13" s="66" t="str">
        <x:v>SetProperty/Bind/EditState/EditAnimation/EditEvent</x:v>
      </x:c>
      <x:c r="F13" s="66" t="str">
        <x:v>PropertyMetadata + Capabilities</x:v>
      </x:c>
      <x:c r="G13" s="66" t="str">
        <x:v>只显示对象支持的页签；内部Symbol child默认锁定</x:v>
      </x:c>
      <x:c r="H13" s="66" t="str">
        <x:v>M1~M3</x:v>
      </x:c>
    </x:row>
    <x:row r="14">
      <x:c r="A14" s="58" t="str">
        <x:v>Diagnostics 底部</x:v>
      </x:c>
      <x:c r="B14" s="58" t="str">
        <x:v>输出与调试工具窗</x:v>
      </x:c>
      <x:c r="C14" s="58" t="str">
        <x:v>Output/Diagnostic、Variable Watch、Binding Trace、Action Trace、Runtime Log、Alarm、Build结果</x:v>
      </x:c>
      <x:c r="D14" s="58" t="str">
        <x:v>OutputVM / WatchVM / RuntimeDiagnosticsVM</x:v>
      </x:c>
      <x:c r="E14" s="58" t="str">
        <x:v>LocateObject/OpenBinding/CopyDiagnostic</x:v>
      </x:c>
      <x:c r="F14" s="58" t="str">
        <x:v>DiagnosticHub / RuntimePreview</x:v>
      </x:c>
      <x:c r="G14" s="58" t="str">
        <x:v>错误双击定位Page+Object+配置项</x:v>
      </x:c>
      <x:c r="H14" s="58" t="str">
        <x:v>M1~RC</x:v>
      </x:c>
    </x:row>
    <x:row r="15">
      <x:c r="A15" s="66" t="str">
        <x:v>Runtime Preview</x:v>
      </x:c>
      <x:c r="B15" s="66" t="str">
        <x:v>设计器内/独立预览</x:v>
      </x:c>
      <x:c r="C15" s="66" t="str">
        <x:v>Simulation/真实Provider切换、Run/Stop/Pause、变量Watch、写入总开关、性能Overlay</x:v>
      </x:c>
      <x:c r="D15" s="66" t="str">
        <x:v>RuntimePreviewController</x:v>
      </x:c>
      <x:c r="E15" s="66" t="str">
        <x:v>StartPreview/StopPreview/Reload/HotSwap</x:v>
      </x:c>
      <x:c r="F15" s="66" t="str">
        <x:v>真实Runtime API</x:v>
      </x:c>
      <x:c r="G15" s="66" t="str">
        <x:v>预览不得直接修改DesignModel；Stop必须Clear所有层</x:v>
      </x:c>
      <x:c r="H15" s="66" t="str">
        <x:v>M3</x:v>
      </x:c>
    </x:row>
    <x:row r="16">
      <x:c r="A16"/>
      <x:c r="B16"/>
      <x:c r="C16"/>
      <x:c r="D16"/>
      <x:c r="E16"/>
      <x:c r="F16"/>
      <x:c r="G16"/>
      <x:c r="H16"/>
    </x:row>
    <x:row r="17" ht="24" customHeight="1">
      <x:c r="A17" s="40" t="str">
        <x:v>B. Designer Application 核心</x:v>
      </x:c>
      <x:c r="B17" s="40"/>
      <x:c r="C17" s="40"/>
      <x:c r="D17" s="40"/>
      <x:c r="E17" s="40"/>
      <x:c r="F17" s="40"/>
      <x:c r="G17" s="40"/>
      <x:c r="H17" s="40"/>
    </x:row>
    <x:row r="18" ht="28" customHeight="1">
      <x:c r="A18" s="50" t="str">
        <x:v>类/组件</x:v>
      </x:c>
      <x:c r="B18" s="50" t="str">
        <x:v>类型</x:v>
      </x:c>
      <x:c r="C18" s="50" t="str">
        <x:v>统一职责</x:v>
      </x:c>
      <x:c r="D18" s="50" t="str">
        <x:v>关键状态</x:v>
      </x:c>
      <x:c r="E18" s="50" t="str">
        <x:v>关键方法/事件</x:v>
      </x:c>
      <x:c r="F18" s="50" t="str">
        <x:v>架构约束</x:v>
      </x:c>
      <x:c r="G18" s="50" t="str">
        <x:v>与界面关系</x:v>
      </x:c>
      <x:c r="H18" s="50" t="str">
        <x:v>M阶段</x:v>
      </x:c>
    </x:row>
    <x:row r="19">
      <x:c r="A19" s="58" t="str">
        <x:v>DesignerDocument</x:v>
      </x:c>
      <x:c r="B19" s="58" t="str">
        <x:v>Coordinator</x:v>
      </x:c>
      <x:c r="C19" s="58" t="str">
        <x:v>一个打开工程文档的唯一应用上下文</x:v>
      </x:c>
      <x:c r="D19" s="58" t="str">
        <x:v>ProjectSession/ActivePage/Selection/History/Workspace/Indexes</x:v>
      </x:c>
      <x:c r="E19" s="58" t="str">
        <x:v>ExecuteCommand/OpenPage/Locate/EnterSymbolMode</x:v>
      </x:c>
      <x:c r="F19" s="58" t="str">
        <x:v>不能成为ServiceLocator</x:v>
      </x:c>
      <x:c r="G19" s="58" t="str">
        <x:v>所有面板共享</x:v>
      </x:c>
      <x:c r="H19" s="58" t="str">
        <x:v>M1</x:v>
      </x:c>
    </x:row>
    <x:row r="20">
      <x:c r="A20" s="66" t="str">
        <x:v>SelectionService</x:v>
      </x:c>
      <x:c r="B20" s="66" t="str">
        <x:v>Service</x:v>
      </x:c>
      <x:c r="C20" s="66" t="str">
        <x:v>维护SelectedIds/PrimaryId和多选公共语义</x:v>
      </x:c>
      <x:c r="D20" s="66" t="str">
        <x:v>selected ids/primary</x:v>
      </x:c>
      <x:c r="E20" s="66" t="str">
        <x:v>Set/Toggle/Clear/SelectRange</x:v>
      </x:c>
      <x:c r="F20" s="66" t="str">
        <x:v>选择状态不持久化</x:v>
      </x:c>
      <x:c r="G20" s="66" t="str">
        <x:v>Canvas/Tree/搜索联动</x:v>
      </x:c>
      <x:c r="H20" s="66" t="str">
        <x:v>M1</x:v>
      </x:c>
    </x:row>
    <x:row r="21">
      <x:c r="A21" s="58" t="str">
        <x:v>ToolController</x:v>
      </x:c>
      <x:c r="B21" s="58" t="str">
        <x:v>State Controller</x:v>
      </x:c>
      <x:c r="C21" s="58" t="str">
        <x:v>Pointer/Draw/Pan/PathEdit/SymbolEdit输入状态机</x:v>
      </x:c>
      <x:c r="D21" s="58" t="str">
        <x:v>ActiveTool/ToolContext</x:v>
      </x:c>
      <x:c r="E21" s="58" t="str">
        <x:v>Activate/Cancel/PointerDown-Move-Up</x:v>
      </x:c>
      <x:c r="F21" s="58" t="str">
        <x:v>Tool提交Command，不直接改Model</x:v>
      </x:c>
      <x:c r="G21" s="58" t="str">
        <x:v>中央画布</x:v>
      </x:c>
      <x:c r="H21" s="58" t="str">
        <x:v>M1~M2</x:v>
      </x:c>
    </x:row>
    <x:row r="22">
      <x:c r="A22" s="66" t="str">
        <x:v>PreviewEditSession</x:v>
      </x:c>
      <x:c r="B22" s="66" t="str">
        <x:v>Transient session</x:v>
      </x:c>
      <x:c r="C22" s="66" t="str">
        <x:v>拖动/Resize/Rotate/节点编辑的临时预览</x:v>
      </x:c>
      <x:c r="D22" s="66" t="str">
        <x:v>original/preview geometry</x:v>
      </x:c>
      <x:c r="E22" s="66" t="str">
        <x:v>Update/Commit/Cancel</x:v>
      </x:c>
      <x:c r="F22" s="66" t="str">
        <x:v>Commit只产生一个Command</x:v>
      </x:c>
      <x:c r="G22" s="66" t="str">
        <x:v>中央画布</x:v>
      </x:c>
      <x:c r="H22" s="66" t="str">
        <x:v>M1</x:v>
      </x:c>
    </x:row>
    <x:row r="23">
      <x:c r="A23" s="58" t="str">
        <x:v>ProjectObjectIndex</x:v>
      </x:c>
      <x:c r="B23" s="58" t="str">
        <x:v>Index</x:v>
      </x:c>
      <x:c r="C23" s="58" t="str">
        <x:v>Page/Element/SymbolDefinition按Id/Name/Alias/Role/Tag索引</x:v>
      </x:c>
      <x:c r="D23" s="58" t="str">
        <x:v>dictionaries/inverted index</x:v>
      </x:c>
      <x:c r="E23" s="58" t="str">
        <x:v>Rebuild/OnCommandApplied/Search/Locate</x:v>
      </x:c>
      <x:c r="F23" s="58" t="str">
        <x:v>索引与Command事务同步</x:v>
      </x:c>
      <x:c r="G23" s="58" t="str">
        <x:v>左侧搜索/全局搜索</x:v>
      </x:c>
      <x:c r="H23" s="58" t="str">
        <x:v>M1~M2</x:v>
      </x:c>
    </x:row>
    <x:row r="24">
      <x:c r="A24" s="66" t="str">
        <x:v>ElementSemanticClassifier</x:v>
      </x:c>
      <x:c r="B24" s="66" t="str">
        <x:v>Service</x:v>
      </x:c>
      <x:c r="C24" s="66" t="str">
        <x:v>Role优先的Background/Content/Annotation/Interaction/SymbolPart判定</x:v>
      </x:c>
      <x:c r="D24" s="66" t="str">
        <x:v>classification rules</x:v>
      </x:c>
      <x:c r="E24" s="66" t="str">
        <x:v>Classify/CanIncludeInSymbol</x:v>
      </x:c>
      <x:c r="F24" s="66" t="str">
        <x:v>保守推断，不能误封装背景</x:v>
      </x:c>
      <x:c r="G24" s="66" t="str">
        <x:v>Create Symbol向导</x:v>
      </x:c>
      <x:c r="H24" s="66" t="str">
        <x:v>M2</x:v>
      </x:c>
    </x:row>
    <x:row r="25">
      <x:c r="A25" s="58" t="str">
        <x:v>SymbolAuthoringService</x:v>
      </x:c>
      <x:c r="B25" s="58" t="str">
        <x:v>Application service</x:v>
      </x:c>
      <x:c r="C25" s="58" t="str">
        <x:v>Group→Definition+Instance创建与编辑</x:v>
      </x:c>
      <x:c r="D25" s="58" t="str">
        <x:v>authoring context</x:v>
      </x:c>
      <x:c r="E25" s="58" t="str">
        <x:v>Validate/Build/Create/Edit/Publish</x:v>
      </x:c>
      <x:c r="F25" s="58" t="str">
        <x:v>所有持久化动作由Command封装</x:v>
      </x:c>
      <x:c r="G25" s="58" t="str">
        <x:v>Symbol工作流/编辑器</x:v>
      </x:c>
      <x:c r="H25" s="58" t="str">
        <x:v>M2</x:v>
      </x:c>
    </x:row>
    <x:row r="26">
      <x:c r="A26" s="66" t="str">
        <x:v>CapabilityEditorRegistry</x:v>
      </x:c>
      <x:c r="B26" s="66" t="str">
        <x:v>Registry</x:v>
      </x:c>
      <x:c r="C26" s="66" t="str">
        <x:v>Binding/State/Animation/Event/Permission/Script编辑器注册</x:v>
      </x:c>
      <x:c r="D26" s="66" t="str">
        <x:v>editor descriptors</x:v>
      </x:c>
      <x:c r="E26" s="66" t="str">
        <x:v>GetEditor/CreateSession</x:v>
      </x:c>
      <x:c r="F26" s="66" t="str">
        <x:v>编辑结果输出Core Model</x:v>
      </x:c>
      <x:c r="G26" s="66" t="str">
        <x:v>右侧Inspector</x:v>
      </x:c>
      <x:c r="H26" s="66" t="str">
        <x:v>M2~M5</x:v>
      </x:c>
    </x:row>
    <x:row r="27">
      <x:c r="A27" s="58" t="str">
        <x:v>RuntimePreviewController</x:v>
      </x:c>
      <x:c r="B27" s="58" t="str">
        <x:v>Coordinator</x:v>
      </x:c>
      <x:c r="C27" s="58" t="str">
        <x:v>Designer与Runtime预览桥</x:v>
      </x:c>
      <x:c r="D27" s="58" t="str">
        <x:v>runtime/provider/session</x:v>
      </x:c>
      <x:c r="E27" s="58" t="str">
        <x:v>Start/Stop/Reload/Watch</x:v>
      </x:c>
      <x:c r="F27" s="58" t="str">
        <x:v>运行态与编辑态隔离</x:v>
      </x:c>
      <x:c r="G27" s="58" t="str">
        <x:v>预览工具窗</x:v>
      </x:c>
      <x:c r="H27" s="58" t="str">
        <x:v>M3</x:v>
      </x:c>
    </x:row>
    <x:row r="28">
      <x:c r="A28" s="66" t="str">
        <x:v>DesignerEventBus</x:v>
      </x:c>
      <x:c r="B28" s="66" t="str">
        <x:v>Document service</x:v>
      </x:c>
      <x:c r="C28" s="66" t="str">
        <x:v>Panel间轻量解耦事件</x:v>
      </x:c>
      <x:c r="D28" s="66" t="str">
        <x:v>subscriptions</x:v>
      </x:c>
      <x:c r="E28" s="66" t="str">
        <x:v>Publish/Subscribe/Dispose</x:v>
      </x:c>
      <x:c r="F28" s="66" t="str">
        <x:v>Document级实例，明确Dispose</x:v>
      </x:c>
      <x:c r="G28" s="66" t="str">
        <x:v>全界面</x:v>
      </x:c>
      <x:c r="H28" s="66" t="str">
        <x:v>M1</x:v>
      </x:c>
    </x:row>
    <x:row r="29">
      <x:c r="A29"/>
      <x:c r="B29"/>
      <x:c r="C29"/>
      <x:c r="D29"/>
      <x:c r="E29"/>
      <x:c r="F29"/>
      <x:c r="G29"/>
      <x:c r="H29"/>
    </x:row>
    <x:row r="30" ht="24" customHeight="1">
      <x:c r="A30" s="40" t="str">
        <x:v>C. 关键用户闭环</x:v>
      </x:c>
      <x:c r="B30" s="40"/>
      <x:c r="C30" s="40"/>
      <x:c r="D30" s="40"/>
      <x:c r="E30" s="40"/>
      <x:c r="F30" s="40"/>
      <x:c r="G30" s="40"/>
      <x:c r="H30" s="40"/>
    </x:row>
    <x:row r="31" ht="28" customHeight="1">
      <x:c r="A31" s="50" t="str">
        <x:v>闭环</x:v>
      </x:c>
      <x:c r="B31" s="50" t="str">
        <x:v>操作步骤</x:v>
      </x:c>
      <x:c r="C31" s="50" t="str">
        <x:v>模型结果</x:v>
      </x:c>
      <x:c r="D31" s="50" t="str">
        <x:v>Command事务</x:v>
      </x:c>
      <x:c r="E31" s="50" t="str">
        <x:v>诊断/回退</x:v>
      </x:c>
      <x:c r="F31" s="50" t="str">
        <x:v>界面反馈</x:v>
      </x:c>
      <x:c r="G31" s="50" t="str">
        <x:v>验收</x:v>
      </x:c>
      <x:c r="H31" s="50" t="str">
        <x:v>M阶段</x:v>
      </x:c>
    </x:row>
    <x:row r="32">
      <x:c r="A32" s="58" t="str">
        <x:v>创建图元</x:v>
      </x:c>
      <x:c r="B32" s="58" t="str">
        <x:v>工具箱→画布绘制→属性调整→保存</x:v>
      </x:c>
      <x:c r="C32" s="58" t="str">
        <x:v>标准ElementModel + TypeId/Category metadata</x:v>
      </x:c>
      <x:c r="D32" s="58" t="str">
        <x:v>AddElement + ChangeProperty</x:v>
      </x:c>
      <x:c r="E32" s="58" t="str">
        <x:v>非法输入不提交</x:v>
      </x:c>
      <x:c r="F32" s="58" t="str">
        <x:v>工具状态/坐标/吸附提示</x:v>
      </x:c>
      <x:c r="G32" s="58" t="str">
        <x:v>Save/Open后完全一致</x:v>
      </x:c>
      <x:c r="H32" s="58" t="str">
        <x:v>M1</x:v>
      </x:c>
    </x:row>
    <x:row r="33">
      <x:c r="A33" s="66" t="str">
        <x:v>组合</x:v>
      </x:c>
      <x:c r="B33" s="66" t="str">
        <x:v>多选→Group→移动/缩放→Ungroup</x:v>
      </x:c>
      <x:c r="C33" s="66" t="str">
        <x:v>Group Children全部局部坐标</x:v>
      </x:c>
      <x:c r="D33" s="66" t="str">
        <x:v>Group/UngroupCommand</x:v>
      </x:c>
      <x:c r="E33" s="66" t="str">
        <x:v>坐标转换失败整体回滚</x:v>
      </x:c>
      <x:c r="F33" s="66" t="str">
        <x:v>对象树显示Group层级</x:v>
      </x:c>
      <x:c r="G33" s="66" t="str">
        <x:v>反复10次无漂移</x:v>
      </x:c>
      <x:c r="H33" s="66" t="str">
        <x:v>M2</x:v>
      </x:c>
    </x:row>
    <x:row r="34">
      <x:c r="A34" s="58" t="str">
        <x:v>创建Symbol</x:v>
      </x:c>
      <x:c r="B34" s="58" t="str">
        <x:v>先Group→创建Symbol→语义检查→公开属性/映射→确认</x:v>
      </x:c>
      <x:c r="C34" s="58" t="str">
        <x:v>Project.SymbolDefinitions + 页面SymbolInstance</x:v>
      </x:c>
      <x:c r="D34" s="58" t="str">
        <x:v>CreateSymbolCommand单事务</x:v>
      </x:c>
      <x:c r="E34" s="58" t="str">
        <x:v>背景/Ignore/跨边界/Role歧义明确报错</x:v>
      </x:c>
      <x:c r="F34" s="58" t="str">
        <x:v>向导逐步显示Pass/Failed</x:v>
      </x:c>
      <x:c r="G34" s="58" t="str">
        <x:v>一步Undo恢复原Group</x:v>
      </x:c>
      <x:c r="H34" s="58" t="str">
        <x:v>M2</x:v>
      </x:c>
    </x:row>
    <x:row r="35">
      <x:c r="A35" s="66" t="str">
        <x:v>编辑Symbol</x:v>
      </x:c>
      <x:c r="B35" s="66" t="str">
        <x:v>选实例→编辑定义→内部对象编辑→公开属性/映射/版本→保存</x:v>
      </x:c>
      <x:c r="C35" s="66" t="str">
        <x:v>Definition版本化变更</x:v>
      </x:c>
      <x:c r="D35" s="66" t="str">
        <x:v>UpdateSymbolDefinitionCommand</x:v>
      </x:c>
      <x:c r="E35" s="66" t="str">
        <x:v>影响实例预览+升级报告</x:v>
      </x:c>
      <x:c r="F35" s="66" t="str">
        <x:v>进入独立Symbol编辑模式</x:v>
      </x:c>
      <x:c r="G35" s="66" t="str">
        <x:v>实例按VersionPolicy一致</x:v>
      </x:c>
      <x:c r="H35" s="66" t="str">
        <x:v>M2</x:v>
      </x:c>
    </x:row>
    <x:row r="36">
      <x:c r="A36" s="58" t="str">
        <x:v>对象查找</x:v>
      </x:c>
      <x:c r="B36" s="58" t="str">
        <x:v>Ctrl+搜索→Name/Alias/Tag/Role/Type/Page→结果→定位</x:v>
      </x:c>
      <x:c r="C36" s="58" t="str">
        <x:v>不改工程</x:v>
      </x:c>
      <x:c r="D36" s="58" t="str">
        <x:v>N/A</x:v>
      </x:c>
      <x:c r="E36" s="58" t="str">
        <x:v>失效索引自动重建</x:v>
      </x:c>
      <x:c r="F36" s="58" t="str">
        <x:v>打开Page、选中、高亮、必要时进入Symbol</x:v>
      </x:c>
      <x:c r="G36" s="58" t="str">
        <x:v>10k对象快速定位</x:v>
      </x:c>
      <x:c r="H36" s="58" t="str">
        <x:v>M2</x:v>
      </x:c>
    </x:row>
    <x:row r="37">
      <x:c r="A37" s="66" t="str">
        <x:v>绑定</x:v>
      </x:c>
      <x:c r="B37" s="66" t="str">
        <x:v>选对象属性→绑定→选Tag/Expression→验证→保存</x:v>
      </x:c>
      <x:c r="C37" s="66" t="str">
        <x:v>BindingModel</x:v>
      </x:c>
      <x:c r="D37" s="66" t="str">
        <x:v>EditBindingCommand</x:v>
      </x:c>
      <x:c r="E37" s="66" t="str">
        <x:v>类型/循环/变量缺失即时诊断</x:v>
      </x:c>
      <x:c r="F37" s="66" t="str">
        <x:v>属性旁显示绑定来源和Quality</x:v>
      </x:c>
      <x:c r="G37" s="66" t="str">
        <x:v>运行时变化可追踪</x:v>
      </x:c>
      <x:c r="H37" s="66" t="str">
        <x:v>M3</x:v>
      </x:c>
    </x:row>
    <x:row r="38">
      <x:c r="A38" s="58" t="str">
        <x:v>状态/动画/事件</x:v>
      </x:c>
      <x:c r="B38" s="58" t="str">
        <x:v>右侧对应页签新增规则→预览→保存</x:v>
      </x:c>
      <x:c r="C38" s="58" t="str">
        <x:v>StateRule/Animation/EventBinding</x:v>
      </x:c>
      <x:c r="D38" s="58" t="str">
        <x:v>EditBehaviorCommand</x:v>
      </x:c>
      <x:c r="E38" s="58" t="str">
        <x:v>冲突优先级/无效Target有诊断</x:v>
      </x:c>
      <x:c r="F38" s="58" t="str">
        <x:v>可视化列表而非JSON文本</x:v>
      </x:c>
      <x:c r="G38" s="58" t="str">
        <x:v>Stop后无残留Runtime层</x:v>
      </x:c>
      <x:c r="H38" s="58" t="str">
        <x:v>M3</x:v>
      </x:c>
    </x:row>
    <x:row r="39">
      <x:c r="A39" s="66" t="str">
        <x:v>运行预览</x:v>
      </x:c>
      <x:c r="B39" s="66" t="str">
        <x:v>Preview→编译Plan→Start→Watch→交互→Stop</x:v>
      </x:c>
      <x:c r="C39" s="66" t="str">
        <x:v>Runtime Session独立</x:v>
      </x:c>
      <x:c r="D39" s="66" t="str">
        <x:v>设计Model无Command</x:v>
      </x:c>
      <x:c r="E39" s="66" t="str">
        <x:v>Stop清理Subscription/Animation/Store</x:v>
      </x:c>
      <x:c r="F39" s="66" t="str">
        <x:v>底部显示状态/错误/性能</x:v>
      </x:c>
      <x:c r="G39" s="66" t="str">
        <x:v>与独立Runtime结果一致</x:v>
      </x:c>
      <x:c r="H39" s="66" t="str">
        <x:v>M3</x:v>
      </x:c>
    </x:row>
    <x:row r="40">
      <x:c r="A40" s="58" t="str">
        <x:v>发布</x:v>
      </x:c>
      <x:c r="B40" s="58" t="str">
        <x:v>Validate→资源收集→版本→Package→签名/发布</x:v>
      </x:c>
      <x:c r="C40" s="58" t="str">
        <x:v>ReleasePackage</x:v>
      </x:c>
      <x:c r="D40" s="58" t="str">
        <x:v>Publish command/service</x:v>
      </x:c>
      <x:c r="E40" s="58" t="str">
        <x:v>失败不破坏旧版本</x:v>
      </x:c>
      <x:c r="F40" s="58" t="str">
        <x:v>发布结果与问题列表</x:v>
      </x:c>
      <x:c r="G40" s="58" t="str">
        <x:v>Runtime可加载发布包</x:v>
      </x:c>
      <x:c r="H40" s="58" t="str">
        <x:v>M5</x:v>
      </x:c>
    </x:row>
    <x:row r="41">
      <x:c r="A41"/>
      <x:c r="B41"/>
      <x:c r="C41"/>
      <x:c r="D41"/>
      <x:c r="E41"/>
      <x:c r="F41"/>
      <x:c r="G41"/>
      <x:c r="H41"/>
    </x:row>
    <x:row r="42" ht="24" customHeight="1">
      <x:c r="A42" s="40" t="str">
        <x:v>D. 设计器人性化规则</x:v>
      </x:c>
      <x:c r="B42" s="40"/>
      <x:c r="C42" s="40"/>
      <x:c r="D42" s="40"/>
      <x:c r="E42" s="40"/>
      <x:c r="F42" s="40"/>
      <x:c r="G42" s="40"/>
      <x:c r="H42" s="40"/>
    </x:row>
    <x:row r="43" ht="28" customHeight="1">
      <x:c r="A43" s="50" t="str">
        <x:v>规则</x:v>
      </x:c>
      <x:c r="B43" s="50" t="str">
        <x:v>具体要求</x:v>
      </x:c>
      <x:c r="C43" s="50" t="str">
        <x:v>目的</x:v>
      </x:c>
      <x:c r="D43" s="50" t="str">
        <x:v>实现落点</x:v>
      </x:c>
      <x:c r="E43" s="50" t="str">
        <x:v>禁止</x:v>
      </x:c>
      <x:c r="F43" s="50" t="str">
        <x:v>验收</x:v>
      </x:c>
      <x:c r="G43" s="50" t="str">
        <x:v>M阶段</x:v>
      </x:c>
      <x:c r="H43" s="50"/>
    </x:row>
    <x:row r="44">
      <x:c r="A44" s="66" t="str">
        <x:v>上下文命令</x:v>
      </x:c>
      <x:c r="B44" s="66" t="str">
        <x:v>右键菜单按Capabilities/Selection/Group/Symbol状态动态出现</x:v>
      </x:c>
      <x:c r="C44" s="66" t="str">
        <x:v>减少无效操作</x:v>
      </x:c>
      <x:c r="D44" s="66" t="str">
        <x:v>CommandAvailabilityService</x:v>
      </x:c>
      <x:c r="E44" s="66" t="str">
        <x:v>固定菜单全显示</x:v>
      </x:c>
      <x:c r="F44" s="66" t="str">
        <x:v>不可用项说明原因</x:v>
      </x:c>
      <x:c r="G44" s="66" t="str">
        <x:v>M2</x:v>
      </x:c>
      <x:c r="H44" s="66"/>
    </x:row>
    <x:row r="45">
      <x:c r="A45" s="58" t="str">
        <x:v>属性分层</x:v>
      </x:c>
      <x:c r="B45" s="58" t="str">
        <x:v>默认只显示高频；高级模式显示表达式/脚本/权限/诊断</x:v>
      </x:c>
      <x:c r="C45" s="58" t="str">
        <x:v>避免面板过重</x:v>
      </x:c>
      <x:c r="D45" s="58" t="str">
        <x:v>Property metadata category/mode</x:v>
      </x:c>
      <x:c r="E45" s="58" t="str">
        <x:v>全部字段平铺</x:v>
      </x:c>
      <x:c r="F45" s="58" t="str">
        <x:v>普通对象3步内完成绑定</x:v>
      </x:c>
      <x:c r="G45" s="58" t="str">
        <x:v>M2~M3</x:v>
      </x:c>
      <x:c r="H45" s="58"/>
    </x:row>
    <x:row r="46">
      <x:c r="A46" s="66" t="str">
        <x:v>稳定选择</x:v>
      </x:c>
      <x:c r="B46" s="66" t="str">
        <x:v>Canvas/ProjectTree/Search/Diagnostic四处选择必须同一PrimaryId</x:v>
      </x:c>
      <x:c r="C46" s="66" t="str">
        <x:v>避免用户迷失</x:v>
      </x:c>
      <x:c r="D46" s="66" t="str">
        <x:v>SelectionService</x:v>
      </x:c>
      <x:c r="E46" s="66" t="str">
        <x:v>各面板维护独立selected object</x:v>
      </x:c>
      <x:c r="F46" s="66" t="str">
        <x:v>选中联动一致</x:v>
      </x:c>
      <x:c r="G46" s="66" t="str">
        <x:v>M1</x:v>
      </x:c>
      <x:c r="H46" s="66"/>
    </x:row>
    <x:row r="47">
      <x:c r="A47" s="58" t="str">
        <x:v>可撤销性</x:v>
      </x:c>
      <x:c r="B47" s="58" t="str">
        <x:v>创建/删除/层级/属性/Group/Symbol/批量配点均可Undo；运行时操作不进入工程历史</x:v>
      </x:c>
      <x:c r="C47" s="58" t="str">
        <x:v>工业工程编辑安全</x:v>
      </x:c>
      <x:c r="D47" s="58" t="str">
        <x:v>IEditorCommand</x:v>
      </x:c>
      <x:c r="E47" s="58" t="str">
        <x:v>按钮直接写Model</x:v>
      </x:c>
      <x:c r="F47" s="58" t="str">
        <x:v>Undo后模型/索引/UI一致</x:v>
      </x:c>
      <x:c r="G47" s="58" t="str">
        <x:v>M1~M3</x:v>
      </x:c>
      <x:c r="H47" s="58"/>
    </x:row>
    <x:row r="48">
      <x:c r="A48" s="66" t="str">
        <x:v>工作区持久化</x:v>
      </x:c>
      <x:c r="B48" s="66" t="str">
        <x:v>面板停靠/宽度/最后Page是用户设置，不写项目Schema</x:v>
      </x:c>
      <x:c r="C48" s="66" t="str">
        <x:v>工程内容与IDE偏好分离</x:v>
      </x:c>
      <x:c r="D48" s="66" t="str">
        <x:v>DesignerSettings</x:v>
      </x:c>
      <x:c r="E48" s="66" t="str">
        <x:v>把Dock布局塞Project</x:v>
      </x:c>
      <x:c r="F48" s="66" t="str">
        <x:v>换电脑工程语义不变</x:v>
      </x:c>
      <x:c r="G48" s="66" t="str">
        <x:v>M2</x:v>
      </x:c>
      <x:c r="H48" s="66"/>
    </x:row>
    <x:row r="49">
      <x:c r="A49" s="58" t="str">
        <x:v>批量操作先预览</x:v>
      </x:c>
      <x:c r="B49" s="58" t="str">
        <x:v>批量配点/重命名/替换/迁移先生成Plan+Validation+Preview后一次提交</x:v>
      </x:c>
      <x:c r="C49" s="58" t="str">
        <x:v>防大面积误操作</x:v>
      </x:c>
      <x:c r="D49" s="58" t="str">
        <x:v>Plan/Specification/CompositeCommand</x:v>
      </x:c>
      <x:c r="E49" s="58" t="str">
        <x:v>边循环边修改</x:v>
      </x:c>
      <x:c r="F49" s="58" t="str">
        <x:v>失败可整批回滚</x:v>
      </x:c>
      <x:c r="G49" s="58" t="str">
        <x:v>M3~M5</x:v>
      </x:c>
      <x:c r="H49" s="58"/>
    </x:row>
    <x:row r="50">
      <x:c r="A50"/>
      <x:c r="B50"/>
      <x:c r="C50"/>
      <x:c r="D50"/>
      <x:c r="E50"/>
      <x:c r="F50"/>
      <x:c r="G50"/>
      <x:c r="H50"/>
    </x:row>
    <x:row r="51" ht="24" customHeight="1">
      <x:c r="A51" s="40" t="str">
        <x:v>E. Studio文档类型、模式与生命周期</x:v>
      </x:c>
      <x:c r="B51" s="40"/>
      <x:c r="C51" s="40"/>
      <x:c r="D51" s="40"/>
      <x:c r="E51" s="40"/>
      <x:c r="F51" s="40"/>
      <x:c r="G51" s="40"/>
      <x:c r="H51" s="40"/>
    </x:row>
    <x:row r="52" ht="24" customHeight="1">
      <x:c r="A52" s="40" t="str">
        <x:v>A. Studio 文档类型</x:v>
      </x:c>
      <x:c r="B52" s="40"/>
      <x:c r="C52" s="40"/>
      <x:c r="D52" s="40"/>
      <x:c r="E52" s="40"/>
      <x:c r="F52" s="40"/>
      <x:c r="G52" s="40"/>
      <x:c r="H52" s="40"/>
    </x:row>
    <x:row r="53" ht="28" customHeight="1">
      <x:c r="A53" s="50" t="str">
        <x:v>文档类型</x:v>
      </x:c>
      <x:c r="B53" s="50" t="str">
        <x:v>用途</x:v>
      </x:c>
      <x:c r="C53" s="50" t="str">
        <x:v>核心模型</x:v>
      </x:c>
      <x:c r="D53" s="50" t="str">
        <x:v>编辑器</x:v>
      </x:c>
      <x:c r="E53" s="50" t="str">
        <x:v>Debug能力</x:v>
      </x:c>
      <x:c r="F53" s="50" t="str">
        <x:v>运行入口</x:v>
      </x:c>
      <x:c r="G53" s="50" t="str">
        <x:v>与其他文档关系</x:v>
      </x:c>
      <x:c r="H53" s="50" t="str">
        <x:v>阶段</x:v>
      </x:c>
    </x:row>
    <x:row r="54">
      <x:c r="A54" s="66" t="str">
        <x:v>Screen Document</x:v>
      </x:c>
      <x:c r="B54" s="66" t="str">
        <x:v>HMI/SCADA页面</x:v>
      </x:c>
      <x:c r="C54" s="66" t="str">
        <x:v>Page/Element</x:v>
      </x:c>
      <x:c r="D54" s="66" t="str">
        <x:v>Screen Designer</x:v>
      </x:c>
      <x:c r="E54" s="66" t="str">
        <x:v>Runtime Preview/Tag Watch</x:v>
      </x:c>
      <x:c r="F54" s="66" t="str">
        <x:v>Visual Runtime</x:v>
      </x:c>
      <x:c r="G54" s="66" t="str">
        <x:v>可调用Action/SubFlow</x:v>
      </x:c>
      <x:c r="H54" s="66" t="str">
        <x:v>M2</x:v>
      </x:c>
    </x:row>
    <x:row r="55">
      <x:c r="A55" s="58" t="str">
        <x:v>Symbol Document</x:v>
      </x:c>
      <x:c r="B55" s="58" t="str">
        <x:v>语义视觉对象</x:v>
      </x:c>
      <x:c r="C55" s="58" t="str">
        <x:v>SymbolDefinition</x:v>
      </x:c>
      <x:c r="D55" s="58" t="str">
        <x:v>Symbol Editor</x:v>
      </x:c>
      <x:c r="E55" s="58" t="str">
        <x:v>公开属性模拟/状态预览</x:v>
      </x:c>
      <x:c r="F55" s="58" t="str">
        <x:v>Symbol Runtime</x:v>
      </x:c>
      <x:c r="G55" s="58" t="str">
        <x:v>被Page引用</x:v>
      </x:c>
      <x:c r="H55" s="58" t="str">
        <x:v>M2</x:v>
      </x:c>
    </x:row>
    <x:row r="56">
      <x:c r="A56" s="66" t="str">
        <x:v>Motion Document</x:v>
      </x:c>
      <x:c r="B56" s="66" t="str">
        <x:v>运控编排</x:v>
      </x:c>
      <x:c r="C56" s="66" t="str">
        <x:v>MotionProgram</x:v>
      </x:c>
      <x:c r="D56" s="66" t="str">
        <x:v>Motion Designer</x:v>
      </x:c>
      <x:c r="E56" s="66" t="str">
        <x:v>断点/单步/模拟轴/Live</x:v>
      </x:c>
      <x:c r="F56" s="66" t="str">
        <x:v>Motion Runtime</x:v>
      </x:c>
      <x:c r="G56" s="66" t="str">
        <x:v>Inspection可调用</x:v>
      </x:c>
      <x:c r="H56" s="66" t="str">
        <x:v>M4</x:v>
      </x:c>
    </x:row>
    <x:row r="57">
      <x:c r="A57" s="58" t="str">
        <x:v>Vision Document</x:v>
      </x:c>
      <x:c r="B57" s="58" t="str">
        <x:v>视觉算法图</x:v>
      </x:c>
      <x:c r="C57" s="58" t="str">
        <x:v>VisionPipeline</x:v>
      </x:c>
      <x:c r="D57" s="58" t="str">
        <x:v>Vision Designer</x:v>
      </x:c>
      <x:c r="E57" s="58" t="str">
        <x:v>节点Run-to/输入输出查看/Replay</x:v>
      </x:c>
      <x:c r="F57" s="58" t="str">
        <x:v>Vision Runtime</x:v>
      </x:c>
      <x:c r="G57" s="58" t="str">
        <x:v>Inspection可调用</x:v>
      </x:c>
      <x:c r="H57" s="58" t="str">
        <x:v>M5</x:v>
      </x:c>
    </x:row>
    <x:row r="58">
      <x:c r="A58" s="66" t="str">
        <x:v>Inspection Document</x:v>
      </x:c>
      <x:c r="B58" s="66" t="str">
        <x:v>检测业务流程</x:v>
      </x:c>
      <x:c r="C58" s="66" t="str">
        <x:v>InspectionFlow</x:v>
      </x:c>
      <x:c r="D58" s="66" t="str">
        <x:v>Inspection Designer</x:v>
      </x:c>
      <x:c r="E58" s="66" t="str">
        <x:v>断点/恢复/上下文查看</x:v>
      </x:c>
      <x:c r="F58" s="66" t="str">
        <x:v>Inspection Runtime</x:v>
      </x:c>
      <x:c r="G58" s="66" t="str">
        <x:v>调用Motion/Vision/SCADA/MES</x:v>
      </x:c>
      <x:c r="H58" s="66" t="str">
        <x:v>M6</x:v>
      </x:c>
    </x:row>
    <x:row r="59">
      <x:c r="A59" s="58" t="str">
        <x:v>Data/SCADA Config</x:v>
      </x:c>
      <x:c r="B59" s="58" t="str">
        <x:v>变量/设备/报警/历史/配方</x:v>
      </x:c>
      <x:c r="C59" s="58" t="str">
        <x:v>Device/Tag/Alarm/Historian/Recipe</x:v>
      </x:c>
      <x:c r="D59" s="58" t="str">
        <x:v>专用配置编辑器</x:v>
      </x:c>
      <x:c r="E59" s="58" t="str">
        <x:v>Simulation/Live诊断</x:v>
      </x:c>
      <x:c r="F59" s="58" t="str">
        <x:v>SCADA Runtime</x:v>
      </x:c>
      <x:c r="G59" s="58" t="str">
        <x:v>被所有域引用</x:v>
      </x:c>
      <x:c r="H59" s="58" t="str">
        <x:v>M2~M3</x:v>
      </x:c>
    </x:row>
    <x:row r="60">
      <x:c r="A60"/>
      <x:c r="B60"/>
      <x:c r="C60"/>
      <x:c r="D60"/>
      <x:c r="E60"/>
      <x:c r="F60"/>
      <x:c r="G60"/>
      <x:c r="H60"/>
    </x:row>
    <x:row r="61" ht="24" customHeight="1">
      <x:c r="A61" s="40" t="str">
        <x:v>B. 三种主模式</x:v>
      </x:c>
      <x:c r="B61" s="40"/>
      <x:c r="C61" s="40"/>
      <x:c r="D61" s="40"/>
      <x:c r="E61" s="40"/>
      <x:c r="F61" s="40"/>
      <x:c r="G61" s="40"/>
      <x:c r="H61" s="40"/>
    </x:row>
    <x:row r="62" ht="28" customHeight="1">
      <x:c r="A62" s="50" t="str">
        <x:v>模式</x:v>
      </x:c>
      <x:c r="B62" s="50" t="str">
        <x:v>允许的工程修改</x:v>
      </x:c>
      <x:c r="C62" s="50" t="str">
        <x:v>数据来源</x:v>
      </x:c>
      <x:c r="D62" s="50" t="str">
        <x:v>真实写入</x:v>
      </x:c>
      <x:c r="E62" s="50" t="str">
        <x:v>执行方式</x:v>
      </x:c>
      <x:c r="F62" s="50" t="str">
        <x:v>典型工具窗</x:v>
      </x:c>
      <x:c r="G62" s="50" t="str">
        <x:v>风险控制</x:v>
      </x:c>
      <x:c r="H62" s="50" t="str">
        <x:v>退出条件</x:v>
      </x:c>
    </x:row>
    <x:row r="63">
      <x:c r="A63" s="66" t="str">
        <x:v>Design</x:v>
      </x:c>
      <x:c r="B63" s="66" t="str">
        <x:v>允许结构/属性/流程编辑</x:v>
      </x:c>
      <x:c r="C63" s="66" t="str">
        <x:v>离线元数据/样本</x:v>
      </x:c>
      <x:c r="D63" s="66" t="str">
        <x:v>关闭</x:v>
      </x:c>
      <x:c r="E63" s="66" t="str">
        <x:v>不启动或轻量预览</x:v>
      </x:c>
      <x:c r="F63" s="66" t="str">
        <x:v>Toolbox/Property/Project Tree</x:v>
      </x:c>
      <x:c r="G63" s="66" t="str">
        <x:v>Command+Validator</x:v>
      </x:c>
      <x:c r="H63" s="66" t="str">
        <x:v>保存/切Debug</x:v>
      </x:c>
    </x:row>
    <x:row r="64">
      <x:c r="A64" s="58" t="str">
        <x:v>Debug</x:v>
      </x:c>
      <x:c r="B64" s="58" t="str">
        <x:v>结构默认锁定；允许参数调试与可控Hot Reload</x:v>
      </x:c>
      <x:c r="C64" s="58" t="str">
        <x:v>Simulation / Live / Replay</x:v>
      </x:c>
      <x:c r="D64" s="58" t="str">
        <x:v>默认关闭，显式解锁</x:v>
      </x:c>
      <x:c r="E64" s="58" t="str">
        <x:v>真实Runtime内核，支持暂停/断点/单步</x:v>
      </x:c>
      <x:c r="F64" s="58" t="str">
        <x:v>Watch/Trace/Inputs/Outputs/Timeline/Diagnostics</x:v>
      </x:c>
      <x:c r="G64" s="58" t="str">
        <x:v>RealWriteEnabled+权限+互锁</x:v>
      </x:c>
      <x:c r="H64" s="58" t="str">
        <x:v>Stop后清运行层</x:v>
      </x:c>
    </x:row>
    <x:row r="65">
      <x:c r="A65" s="66" t="str">
        <x:v>Run</x:v>
      </x:c>
      <x:c r="B65" s="66" t="str">
        <x:v>工程结构锁定</x:v>
      </x:c>
      <x:c r="C65" s="66" t="str">
        <x:v>Live</x:v>
      </x:c>
      <x:c r="D65" s="66" t="str">
        <x:v>按发布策略</x:v>
      </x:c>
      <x:c r="E65" s="66" t="str">
        <x:v>发布Runtime计划</x:v>
      </x:c>
      <x:c r="F65" s="66" t="str">
        <x:v>Operation/Alarm/Trend/Health</x:v>
      </x:c>
      <x:c r="G65" s="66" t="str">
        <x:v>最小权限+Audit+签名工程</x:v>
      </x:c>
      <x:c r="H65" s="66" t="str">
        <x:v>Stop/维护模式</x:v>
      </x:c>
    </x:row>
    <x:row r="66">
      <x:c r="A66"/>
      <x:c r="B66"/>
      <x:c r="C66"/>
      <x:c r="D66"/>
      <x:c r="E66"/>
      <x:c r="F66"/>
      <x:c r="G66"/>
      <x:c r="H66"/>
    </x:row>
    <x:row r="67" ht="24" customHeight="1">
      <x:c r="A67" s="40" t="str">
        <x:v>C. 工程生命周期</x:v>
      </x:c>
      <x:c r="B67" s="40"/>
      <x:c r="C67" s="40"/>
      <x:c r="D67" s="40"/>
      <x:c r="E67" s="40"/>
      <x:c r="F67" s="40"/>
      <x:c r="G67" s="40"/>
      <x:c r="H67" s="40"/>
    </x:row>
    <x:row r="68" ht="28" customHeight="1">
      <x:c r="A68" s="50" t="str">
        <x:v>生命周期活动</x:v>
      </x:c>
      <x:c r="B68" s="50" t="str">
        <x:v>输入</x:v>
      </x:c>
      <x:c r="C68" s="50" t="str">
        <x:v>平台动作</x:v>
      </x:c>
      <x:c r="D68" s="50" t="str">
        <x:v>产物</x:v>
      </x:c>
      <x:c r="E68" s="50" t="str">
        <x:v>自动门禁</x:v>
      </x:c>
      <x:c r="F68" s="50" t="str">
        <x:v>负责人视角</x:v>
      </x:c>
      <x:c r="G68" s="50" t="str">
        <x:v>回退/恢复</x:v>
      </x:c>
      <x:c r="H68" s="50" t="str">
        <x:v>长期保存</x:v>
      </x:c>
    </x:row>
    <x:row r="69">
      <x:c r="A69" s="58" t="str">
        <x:v>需求/建模</x:v>
      </x:c>
      <x:c r="B69" s="58" t="str">
        <x:v>设备/产品/IO/算法需求</x:v>
      </x:c>
      <x:c r="C69" s="58" t="str">
        <x:v>建立Project/Device/Tag/页面/流程骨架</x:v>
      </x:c>
      <x:c r="D69" s="58" t="str">
        <x:v>工程初版</x:v>
      </x:c>
      <x:c r="E69" s="58" t="str">
        <x:v>命名/ID/Schema规则</x:v>
      </x:c>
      <x:c r="F69" s="58" t="str">
        <x:v>架构/开发</x:v>
      </x:c>
      <x:c r="G69" s="58" t="str">
        <x:v>分支/模板</x:v>
      </x:c>
      <x:c r="H69" s="58" t="str">
        <x:v>需求关联/变更记录</x:v>
      </x:c>
    </x:row>
    <x:row r="70">
      <x:c r="A70" s="66" t="str">
        <x:v>设计</x:v>
      </x:c>
      <x:c r="B70" s="66" t="str">
        <x:v>画面/符号/编排</x:v>
      </x:c>
      <x:c r="C70" s="66" t="str">
        <x:v>Command编辑、资源管理、元数据配置</x:v>
      </x:c>
      <x:c r="D70" s="66" t="str">
        <x:v>Design Snapshot</x:v>
      </x:c>
      <x:c r="E70" s="66" t="str">
        <x:v>Validator</x:v>
      </x:c>
      <x:c r="F70" s="66" t="str">
        <x:v>开发/算法/电气</x:v>
      </x:c>
      <x:c r="G70" s="66" t="str">
        <x:v>Undo/Git</x:v>
      </x:c>
      <x:c r="H70" s="66" t="str">
        <x:v>工程版本</x:v>
      </x:c>
    </x:row>
    <x:row r="71">
      <x:c r="A71" s="58" t="str">
        <x:v>调试/仿真</x:v>
      </x:c>
      <x:c r="B71" s="58" t="str">
        <x:v>样本/模拟变量/模拟设备</x:v>
      </x:c>
      <x:c r="C71" s="58" t="str">
        <x:v>Run Debug Session、Watch、Trace、断点</x:v>
      </x:c>
      <x:c r="D71" s="58" t="str">
        <x:v>Debug Report</x:v>
      </x:c>
      <x:c r="E71" s="58" t="str">
        <x:v>无未处理Fatal</x:v>
      </x:c>
      <x:c r="F71" s="58" t="str">
        <x:v>开发/算法</x:v>
      </x:c>
      <x:c r="G71" s="58" t="str">
        <x:v>Stop/Reset</x:v>
      </x:c>
      <x:c r="H71" s="58" t="str">
        <x:v>Trace按策略留存</x:v>
      </x:c>
    </x:row>
    <x:row r="72">
      <x:c r="A72" s="66" t="str">
        <x:v>集成验证</x:v>
      </x:c>
      <x:c r="B72" s="66" t="str">
        <x:v>真实PLC/运动/相机/XRay/MES</x:v>
      </x:c>
      <x:c r="C72" s="66" t="str">
        <x:v>Integration Test + Scenario</x:v>
      </x:c>
      <x:c r="D72" s="66" t="str">
        <x:v>Validation Report</x:v>
      </x:c>
      <x:c r="E72" s="66" t="str">
        <x:v>接口/安全/性能门禁</x:v>
      </x:c>
      <x:c r="F72" s="66" t="str">
        <x:v>集成/测试</x:v>
      </x:c>
      <x:c r="G72" s="66" t="str">
        <x:v>切回Simulation</x:v>
      </x:c>
      <x:c r="H72" s="66" t="str">
        <x:v>测试结果</x:v>
      </x:c>
    </x:row>
    <x:row r="73">
      <x:c r="A73" s="58" t="str">
        <x:v>发布</x:v>
      </x:c>
      <x:c r="B73" s="58" t="str">
        <x:v>已验证Snapshot</x:v>
      </x:c>
      <x:c r="C73" s="58" t="str">
        <x:v>Resolve版本→Collect资源→Sign→Package</x:v>
      </x:c>
      <x:c r="D73" s="58" t="str">
        <x:v>Release Package</x:v>
      </x:c>
      <x:c r="E73" s="58" t="str">
        <x:v>Validator/Signature/Dependency</x:v>
      </x:c>
      <x:c r="F73" s="58" t="str">
        <x:v>负责人</x:v>
      </x:c>
      <x:c r="G73" s="58" t="str">
        <x:v>保留上一Release</x:v>
      </x:c>
      <x:c r="H73" s="58" t="str">
        <x:v>Manifest</x:v>
      </x:c>
    </x:row>
    <x:row r="74">
      <x:c r="A74" s="66" t="str">
        <x:v>部署</x:v>
      </x:c>
      <x:c r="B74" s="66" t="str">
        <x:v>Release Package + Target</x:v>
      </x:c>
      <x:c r="C74" s="66" t="str">
        <x:v>Upload→Verify→Switch</x:v>
      </x:c>
      <x:c r="D74" s="66" t="str">
        <x:v>Deployment Record</x:v>
      </x:c>
      <x:c r="E74" s="66" t="str">
        <x:v>Hash/兼容/设备状态</x:v>
      </x:c>
      <x:c r="F74" s="66" t="str">
        <x:v>现场/运维</x:v>
      </x:c>
      <x:c r="G74" s="66" t="str">
        <x:v>自动/人工Rollback</x:v>
      </x:c>
      <x:c r="H74" s="66" t="str">
        <x:v>部署历史</x:v>
      </x:c>
    </x:row>
    <x:row r="75">
      <x:c r="A75" s="58" t="str">
        <x:v>运行</x:v>
      </x:c>
      <x:c r="B75" s="58" t="str">
        <x:v>已部署版本</x:v>
      </x:c>
      <x:c r="C75" s="58" t="str">
        <x:v>监控/报警/历史/流程执行</x:v>
      </x:c>
      <x:c r="D75" s="58" t="str">
        <x:v>Operation Data</x:v>
      </x:c>
      <x:c r="E75" s="58" t="str">
        <x:v>Health/Security</x:v>
      </x:c>
      <x:c r="F75" s="58" t="str">
        <x:v>操作员</x:v>
      </x:c>
      <x:c r="G75" s="58" t="str">
        <x:v>Fail-safe/Restart</x:v>
      </x:c>
      <x:c r="H75" s="58" t="str">
        <x:v>Audit/History</x:v>
      </x:c>
    </x:row>
    <x:row r="76">
      <x:c r="A76" s="66" t="str">
        <x:v>诊断</x:v>
      </x:c>
      <x:c r="B76" s="66" t="str">
        <x:v>故障/质量问题</x:v>
      </x:c>
      <x:c r="C76" s="66" t="str">
        <x:v>Trace/Log/Replay/Context定位</x:v>
      </x:c>
      <x:c r="D76" s="66" t="str">
        <x:v>Diagnostic Case</x:v>
      </x:c>
      <x:c r="E76" s="66" t="str">
        <x:v>Correlation完整</x:v>
      </x:c>
      <x:c r="F76" s="66" t="str">
        <x:v>开发/现场</x:v>
      </x:c>
      <x:c r="G76" s="66" t="str">
        <x:v>回滚/禁用节点</x:v>
      </x:c>
      <x:c r="H76" s="66" t="str">
        <x:v>Case记录</x:v>
      </x:c>
    </x:row>
    <x:row r="77">
      <x:c r="A77" s="58" t="str">
        <x:v>维护升级</x:v>
      </x:c>
      <x:c r="B77" s="58" t="str">
        <x:v>新设备/算法/流程</x:v>
      </x:c>
      <x:c r="C77" s="58" t="str">
        <x:v>Migration/Library/Plugin/Release</x:v>
      </x:c>
      <x:c r="D77" s="58" t="str">
        <x:v>新版本</x:v>
      </x:c>
      <x:c r="E77" s="58" t="str">
        <x:v>兼容/回归</x:v>
      </x:c>
      <x:c r="F77" s="58" t="str">
        <x:v>平台团队</x:v>
      </x:c>
      <x:c r="G77" s="58" t="str">
        <x:v>版本回退</x:v>
      </x:c>
      <x:c r="H77" s="58" t="str">
        <x:v>Migration链</x:v>
      </x:c>
    </x:row>
    <x:row r="78">
      <x:c r="A78" s="66" t="str">
        <x:v>归档</x:v>
      </x:c>
      <x:c r="B78" s="66" t="str">
        <x:v>退役/冻结</x:v>
      </x:c>
      <x:c r="C78" s="66" t="str">
        <x:v>导出工程+发布包+关键日志</x:v>
      </x:c>
      <x:c r="D78" s="66" t="str">
        <x:v>Archive</x:v>
      </x:c>
      <x:c r="E78" s="66" t="str">
        <x:v>可重现</x:v>
      </x:c>
      <x:c r="F78" s="66" t="str">
        <x:v>质量/IT</x:v>
      </x:c>
      <x:c r="G78" s="66" t="str">
        <x:v>只读恢复</x:v>
      </x:c>
      <x:c r="H78" s="66" t="str">
        <x:v>长期存储</x:v>
      </x:c>
    </x:row>
    <x:row r="79">
      <x:c r="A79"/>
      <x:c r="B79"/>
      <x:c r="C79"/>
      <x:c r="D79"/>
      <x:c r="E79"/>
      <x:c r="F79"/>
      <x:c r="G79"/>
      <x:c r="H79"/>
    </x:row>
    <x:row r="80" ht="24" customHeight="1">
      <x:c r="A80" s="40" t="str">
        <x:v>D. Workspace / UX 统一规则</x:v>
      </x:c>
      <x:c r="B80" s="40"/>
      <x:c r="C80" s="40"/>
      <x:c r="D80" s="40"/>
      <x:c r="E80" s="40"/>
      <x:c r="F80" s="40"/>
      <x:c r="G80" s="40"/>
      <x:c r="H80" s="40"/>
    </x:row>
    <x:row r="81" ht="28" customHeight="1">
      <x:c r="A81" s="50" t="str">
        <x:v>能力</x:v>
      </x:c>
      <x:c r="B81" s="50" t="str">
        <x:v>规则</x:v>
      </x:c>
      <x:c r="C81" s="50" t="str">
        <x:v>Screen/Symbol</x:v>
      </x:c>
      <x:c r="D81" s="50" t="str">
        <x:v>Graph Designers</x:v>
      </x:c>
      <x:c r="E81" s="50" t="str">
        <x:v>SCADA配置</x:v>
      </x:c>
      <x:c r="F81" s="50" t="str">
        <x:v>Debug</x:v>
      </x:c>
      <x:c r="G81" s="50" t="str">
        <x:v>Run</x:v>
      </x:c>
      <x:c r="H81" s="50" t="str">
        <x:v>验收</x:v>
      </x:c>
    </x:row>
    <x:row r="82">
      <x:c r="A82" s="58" t="str">
        <x:v>工程树</x:v>
      </x:c>
      <x:c r="B82" s="58" t="str">
        <x:v>一个Project Tree显示所有文档域并支持搜索</x:v>
      </x:c>
      <x:c r="C82" s="58" t="str">
        <x:v>Page/Symbol节点</x:v>
      </x:c>
      <x:c r="D82" s="58" t="str">
        <x:v>Motion/Vision/Inspection节点</x:v>
      </x:c>
      <x:c r="E82" s="58" t="str">
        <x:v>Device/Tag/Alarm节点</x:v>
      </x:c>
      <x:c r="F82" s="58" t="str">
        <x:v>可定位运行对象</x:v>
      </x:c>
      <x:c r="G82" s="58" t="str">
        <x:v>只读导航</x:v>
      </x:c>
      <x:c r="H82" s="58" t="str">
        <x:v>10k对象可搜索</x:v>
      </x:c>
    </x:row>
    <x:row r="83">
      <x:c r="A83" s="66" t="str">
        <x:v>属性面板</x:v>
      </x:c>
      <x:c r="B83" s="66" t="str">
        <x:v>Metadata驱动；不同文档复用Inspector框架</x:v>
      </x:c>
      <x:c r="C83" s="66" t="str">
        <x:v>Element/Symbol属性</x:v>
      </x:c>
      <x:c r="D83" s="66" t="str">
        <x:v>Node/Port/Graph属性</x:v>
      </x:c>
      <x:c r="E83" s="66" t="str">
        <x:v>Tag/Alarm/Recipe属性</x:v>
      </x:c>
      <x:c r="F83" s="66" t="str">
        <x:v>显示Runtime值/来源</x:v>
      </x:c>
      <x:c r="G83" s="66" t="str">
        <x:v>运行只读/权限操作</x:v>
      </x:c>
      <x:c r="H83" s="66" t="str">
        <x:v>同一PropertyKey一致</x:v>
      </x:c>
    </x:row>
    <x:row r="84">
      <x:c r="A84" s="58" t="str">
        <x:v>工具箱/Catalog</x:v>
      </x:c>
      <x:c r="B84" s="58" t="str">
        <x:v>按文档域切换Catalog，不复制公共搜索/收藏能力</x:v>
      </x:c>
      <x:c r="C84" s="58" t="str">
        <x:v>7类Element</x:v>
      </x:c>
      <x:c r="D84" s="58" t="str">
        <x:v>Node Catalog</x:v>
      </x:c>
      <x:c r="E84" s="58" t="str">
        <x:v>设备模板/数据项</x:v>
      </x:c>
      <x:c r="F84" s="58" t="str">
        <x:v>可插入模拟源</x:v>
      </x:c>
      <x:c r="G84" s="58" t="str">
        <x:v>运行隐藏</x:v>
      </x:c>
      <x:c r="H84" s="58" t="str">
        <x:v>插件新增自动出现</x:v>
      </x:c>
    </x:row>
    <x:row r="85">
      <x:c r="A85" s="66" t="str">
        <x:v>底部工具窗</x:v>
      </x:c>
      <x:c r="B85" s="66" t="str">
        <x:v>Output/Diagnostic/Watch/Trace/Timeline/Build共用Dock</x:v>
      </x:c>
      <x:c r="C85" s="66" t="str">
        <x:v>Element定位</x:v>
      </x:c>
      <x:c r="D85" s="66" t="str">
        <x:v>Node定位</x:v>
      </x:c>
      <x:c r="E85" s="66" t="str">
        <x:v>Tag诊断</x:v>
      </x:c>
      <x:c r="F85" s="66" t="str">
        <x:v>实时执行Trace</x:v>
      </x:c>
      <x:c r="G85" s="66" t="str">
        <x:v>Runtime Health</x:v>
      </x:c>
      <x:c r="H85" s="66" t="str">
        <x:v>错误双击定位</x:v>
      </x:c>
    </x:row>
    <x:row r="86">
      <x:c r="A86"/>
      <x:c r="B86"/>
      <x:c r="C86"/>
      <x:c r="D86"/>
      <x:c r="E86"/>
      <x:c r="F86"/>
      <x:c r="G86"/>
      <x:c r="H86"/>
    </x:row>
    <x:row r="87">
      <x:c r="A87"/>
      <x:c r="B87"/>
      <x:c r="C87"/>
      <x:c r="D87"/>
      <x:c r="E87"/>
      <x:c r="F87"/>
      <x:c r="G87"/>
      <x:c r="H87"/>
    </x:row>
    <x:row r="88" ht="24" customHeight="1">
      <x:c r="A88" s="40" t="str">
        <x:v>E. 专业文档 / 工作台</x:v>
      </x:c>
      <x:c r="B88" s="40"/>
      <x:c r="C88" s="40"/>
      <x:c r="D88" s="40"/>
      <x:c r="E88" s="40"/>
      <x:c r="F88" s="40"/>
      <x:c r="G88" s="40"/>
      <x:c r="H88" s="40"/>
    </x:row>
    <x:row r="89" ht="28" customHeight="1">
      <x:c r="A89" s="50" t="str">
        <x:v>文档/工作台</x:v>
      </x:c>
      <x:c r="B89" s="50" t="str">
        <x:v>归属</x:v>
      </x:c>
      <x:c r="C89" s="50" t="str">
        <x:v>核心对象</x:v>
      </x:c>
      <x:c r="D89" s="50" t="str">
        <x:v>主要编辑/查看</x:v>
      </x:c>
      <x:c r="E89" s="50" t="str">
        <x:v>Debug</x:v>
      </x:c>
      <x:c r="F89" s="50" t="str">
        <x:v>运行/服务</x:v>
      </x:c>
      <x:c r="G89" s="50" t="str">
        <x:v>版本/发布</x:v>
      </x:c>
      <x:c r="H89" s="50" t="str">
        <x:v>边界</x:v>
      </x:c>
    </x:row>
    <x:row r="90">
      <x:c r="A90" s="58" t="str">
        <x:v>Robot Document</x:v>
      </x:c>
      <x:c r="B90" s="58" t="str">
        <x:v>Motion专业扩展</x:v>
      </x:c>
      <x:c r="C90" s="58" t="str">
        <x:v>RobotProgram/Frames/Tools/Paths</x:v>
      </x:c>
      <x:c r="D90" s="58" t="str">
        <x:v>Robot Designer/Path 3D/PointTable/Tool/Frame editors</x:v>
      </x:c>
      <x:c r="E90" s="58" t="str">
        <x:v>Robot Online Debug/Jog/Teach</x:v>
      </x:c>
      <x:c r="F90" s="58" t="str">
        <x:v>Motion/Robot Runtime</x:v>
      </x:c>
      <x:c r="G90" s="58" t="str">
        <x:v>Program+Assets+Controller profile</x:v>
      </x:c>
      <x:c r="H90" s="58" t="str">
        <x:v>不另建Project/Graph基础</x:v>
      </x:c>
    </x:row>
    <x:row r="91">
      <x:c r="A91" s="66" t="str">
        <x:v>CT/3D Vision Document</x:v>
      </x:c>
      <x:c r="B91" s="66" t="str">
        <x:v>Vision专业扩展</x:v>
      </x:c>
      <x:c r="C91" s="66" t="str">
        <x:v>VisionPipeline(ct3d)/CTGeometry/Calibration</x:v>
      </x:c>
      <x:c r="D91" s="66" t="str">
        <x:v>CT Pipeline/Projection Browser/MPR/3D Viewer</x:v>
      </x:c>
      <x:c r="E91" s="66" t="str">
        <x:v>Recon/Volume/3D node Debug</x:v>
      </x:c>
      <x:c r="F91" s="66" t="str">
        <x:v>Vision/CT Runtime + CT Worker</x:v>
      </x:c>
      <x:c r="G91" s="66" t="str">
        <x:v>Pipeline+Geometry+Calibration+Plugin</x:v>
      </x:c>
      <x:c r="H91" s="66" t="str">
        <x:v>不把Volume保存进Project</x:v>
      </x:c>
    </x:row>
    <x:row r="92">
      <x:c r="A92" s="58" t="str">
        <x:v>Operations Center</x:v>
      </x:c>
      <x:c r="B92" s="58" t="str">
        <x:v>Management Plane</x:v>
      </x:c>
      <x:c r="C92" s="58" t="str">
        <x:v>Site/Station/Rollout/Case/OpsPolicy</x:v>
      </x:c>
      <x:c r="D92" s="58" t="str">
        <x:v>Fleet Dashboard/Version Matrix/Deployment/Case/Remote sessions</x:v>
      </x:c>
      <x:c r="E92" s="58" t="str">
        <x:v>Remote Observe/Controlled Session治理</x:v>
      </x:c>
      <x:c r="F92" s="58" t="str">
        <x:v>Operations Services + Station Agent</x:v>
      </x:c>
      <x:c r="G92" s="58" t="str">
        <x:v>Fleet rollout/Agent/Policy</x:v>
      </x:c>
      <x:c r="H92" s="58" t="str">
        <x:v>不承担单机Designer/产品Runtime</x:v>
      </x:c>
    </x:row>
    <x:row r="93">
      <x:c r="A93" s="66" t="str">
        <x:v>Remote Engineering Workspace</x:v>
      </x:c>
      <x:c r="B93" s="66" t="str">
        <x:v>Operations→Studio/Debug桥</x:v>
      </x:c>
      <x:c r="C93" s="66" t="str">
        <x:v>RemoteSessionLease/DebugTarget</x:v>
      </x:c>
      <x:c r="D93" s="66" t="str">
        <x:v>目标/审批/版本Diff/带宽/Session</x:v>
      </x:c>
      <x:c r="E93" s="66" t="str">
        <x:v>复用Domain Debug UI</x:v>
      </x:c>
      <x:c r="F93" s="66" t="str">
        <x:v>通过Broker/Agent连接Target</x:v>
      </x:c>
      <x:c r="G93" s="66" t="str">
        <x:v>Session/audit</x:v>
      </x:c>
      <x:c r="H93" s="66" t="str">
        <x:v>中心不实现Domain Step语义</x:v>
      </x:c>
    </x:row>
    <x:row r="95">
      <x:c r="A95" t="str">
        <x:v>F. 历史 V3.3 Studio Shell / Contextual Ribbon（已纳入V6.4）</x:v>
      </x:c>
      <x:c r="B95"/>
      <x:c r="C95"/>
      <x:c r="D95"/>
      <x:c r="E95"/>
      <x:c r="F95"/>
      <x:c r="G95"/>
      <x:c r="H95"/>
    </x:row>
    <x:row r="96">
      <x:c r="A96" t="str">
        <x:v>主题</x:v>
      </x:c>
      <x:c r="B96" t="str">
        <x:v>上下文/模式</x:v>
      </x:c>
      <x:c r="C96" t="str">
        <x:v>功能/规则</x:v>
      </x:c>
      <x:c r="D96" t="str">
        <x:v>ViewModel/服务</x:v>
      </x:c>
      <x:c r="E96" t="str">
        <x:v>DesignRef</x:v>
      </x:c>
      <x:c r="F96" t="str">
        <x:v>安全/人机约束</x:v>
      </x:c>
      <x:c r="G96" t="str">
        <x:v>M阶段</x:v>
      </x:c>
      <x:c r="H96"/>
    </x:row>
    <x:row r="97">
      <x:c r="A97" t="str">
        <x:v>固定Shell</x:v>
      </x:c>
      <x:c r="B97" t="str">
        <x:v>永久一级菜单</x:v>
      </x:c>
      <x:c r="C97" t="str">
        <x:v>文件｜编辑｜视图｜工程｜调试｜运行｜发布｜工具｜帮助</x:v>
      </x:c>
      <x:c r="D97" t="str">
        <x:v>AppShell / RibbonShell</x:v>
      </x:c>
      <x:c r="E97" t="str">
        <x:v>45</x:v>
      </x:c>
      <x:c r="F97" t="str">
        <x:v>新增Domain不改固定菜单；绘图转HMI上下文页签</x:v>
      </x:c>
      <x:c r="G97" t="str">
        <x:v>M1</x:v>
      </x:c>
      <x:c r="H97"/>
    </x:row>
    <x:row r="98">
      <x:c r="A98" t="str">
        <x:v>Context机制</x:v>
      </x:c>
      <x:c r="B98" t="str">
        <x:v>活动Document/Workspace</x:v>
      </x:c>
      <x:c r="C98" t="str">
        <x:v>Workspace/Document Provider返回ContextualTabs + CommandDescriptors</x:v>
      </x:c>
      <x:c r="D98" t="str">
        <x:v>ContextualRibbonRegistry / StudioShellSession</x:v>
      </x:c>
      <x:c r="E98" t="str">
        <x:v>45</x:v>
      </x:c>
      <x:c r="F98" t="str">
        <x:v>切换文档后上一Domain页签必须隐藏</x:v>
      </x:c>
      <x:c r="G98" t="str">
        <x:v>M1</x:v>
      </x:c>
      <x:c r="H98"/>
    </x:row>
    <x:row r="99">
      <x:c r="A99" t="str">
        <x:v>共享面板</x:v>
      </x:c>
      <x:c r="B99" t="str">
        <x:v>全域共用</x:v>
      </x:c>
      <x:c r="C99" t="str">
        <x:v>Project Tree / Inspector / Catalog / Output / Diagnostics / Watch / Trace / Timeline / Build</x:v>
      </x:c>
      <x:c r="D99" t="str">
        <x:v>ProjectBrowserVM / InspectorVM / BottomDockVM</x:v>
      </x:c>
      <x:c r="E99" t="str">
        <x:v>45</x:v>
      </x:c>
      <x:c r="F99" t="str">
        <x:v>Domain不得自建第二套公共面板</x:v>
      </x:c>
      <x:c r="G99" t="str">
        <x:v>M1~M7</x:v>
      </x:c>
      <x:c r="H99"/>
    </x:row>
    <x:row r="100">
      <x:c r="A100" t="str">
        <x:v>Command路由</x:v>
      </x:c>
      <x:c r="B100" t="str">
        <x:v>UI命令链</x:v>
      </x:c>
      <x:c r="C100" t="str">
        <x:v>Ribbon/Menu→CommandDescriptor→Workspace/VM→Application Service→Domain Contract/Runtime→Adapter</x:v>
      </x:c>
      <x:c r="D100" t="str">
        <x:v>CommandRouter</x:v>
      </x:c>
      <x:c r="E100" t="str">
        <x:v>03/45</x:v>
      </x:c>
      <x:c r="F100" t="str">
        <x:v>无code-behind旁路</x:v>
      </x:c>
      <x:c r="G100" t="str">
        <x:v>M1</x:v>
      </x:c>
      <x:c r="H100"/>
    </x:row>
    <x:row r="101">
      <x:c r="A101" t="str">
        <x:v>模式</x:v>
      </x:c>
      <x:c r="B101" t="str">
        <x:v>Design</x:v>
      </x:c>
      <x:c r="C101" t="str">
        <x:v>结构/属性/流程可编辑；真实写关闭</x:v>
      </x:c>
      <x:c r="D101" t="str">
        <x:v>StudioShellSession</x:v>
      </x:c>
      <x:c r="E101" t="str">
        <x:v>45</x:v>
      </x:c>
      <x:c r="F101" t="str">
        <x:v>工程修改必须Command/Transaction</x:v>
      </x:c>
      <x:c r="G101" t="str">
        <x:v>M1</x:v>
      </x:c>
      <x:c r="H101"/>
    </x:row>
    <x:row r="102">
      <x:c r="A102" t="str">
        <x:v>模式</x:v>
      </x:c>
      <x:c r="B102" t="str">
        <x:v>Debug-Simulation</x:v>
      </x:c>
      <x:c r="C102" t="str">
        <x:v>结构默认锁定；仿真/断点/单步/Watch/Trace开放</x:v>
      </x:c>
      <x:c r="D102" t="str">
        <x:v>DebugSession</x:v>
      </x:c>
      <x:c r="E102" t="str">
        <x:v>21/45</x:v>
      </x:c>
      <x:c r="F102" t="str">
        <x:v>不触发真实设备写入</x:v>
      </x:c>
      <x:c r="G102" t="str">
        <x:v>M3</x:v>
      </x:c>
      <x:c r="H102"/>
    </x:row>
    <x:row r="103">
      <x:c r="A103" t="str">
        <x:v>模式</x:v>
      </x:c>
      <x:c r="B103" t="str">
        <x:v>Debug-Live</x:v>
      </x:c>
      <x:c r="C103" t="str">
        <x:v>默认只读；Real Write显式解锁并通过权限/互锁/Lease/审计</x:v>
      </x:c>
      <x:c r="D103" t="str">
        <x:v>DebugSession + WritePipeline</x:v>
      </x:c>
      <x:c r="E103" t="str">
        <x:v>14/21/45</x:v>
      </x:c>
      <x:c r="F103" t="str">
        <x:v>Target最终裁决</x:v>
      </x:c>
      <x:c r="G103" t="str">
        <x:v>M3</x:v>
      </x:c>
      <x:c r="H103"/>
    </x:row>
    <x:row r="104">
      <x:c r="A104" t="str">
        <x:v>模式</x:v>
      </x:c>
      <x:c r="B104" t="str">
        <x:v>Run</x:v>
      </x:c>
      <x:c r="C104" t="str">
        <x:v>工程结构锁定；执行发布RuntimePlan；运行查看/报警/趋势/任务/健康</x:v>
      </x:c>
      <x:c r="D104" t="str">
        <x:v>RuntimeHost</x:v>
      </x:c>
      <x:c r="E104" t="str">
        <x:v>18/45</x:v>
      </x:c>
      <x:c r="F104" t="str">
        <x:v>不执行未发布的Designer结构</x:v>
      </x:c>
      <x:c r="G104" t="str">
        <x:v>M3+</x:v>
      </x:c>
      <x:c r="H104"/>
    </x:row>
    <x:row r="105">
      <x:c r="A105" t="str">
        <x:v>HMI Context</x:v>
      </x:c>
      <x:c r="B105" t="str">
        <x:v>绘图/排列/图层/绑定</x:v>
      </x:c>
      <x:c r="C105" t="str">
        <x:v>Screen/Symbol活动时显示</x:v>
      </x:c>
      <x:c r="D105" t="str">
        <x:v>HmiWorkspaceProvider</x:v>
      </x:c>
      <x:c r="E105" t="str">
        <x:v>45</x:v>
      </x:c>
      <x:c r="F105" t="str">
        <x:v>绘图不再永久一级菜单</x:v>
      </x:c>
      <x:c r="G105" t="str">
        <x:v>M2</x:v>
      </x:c>
      <x:c r="H105"/>
    </x:row>
    <x:row r="106">
      <x:c r="A106" t="str">
        <x:v>SCADA Context</x:v>
      </x:c>
      <x:c r="B106" t="str">
        <x:v>设备/变量/报警/历史/配方</x:v>
      </x:c>
      <x:c r="C106" t="str">
        <x:v>SCADA Config活动时显示</x:v>
      </x:c>
      <x:c r="D106" t="str">
        <x:v>ScadaWorkspaceProvider</x:v>
      </x:c>
      <x:c r="E106" t="str">
        <x:v>17/45</x:v>
      </x:c>
      <x:c r="F106" t="str">
        <x:v>变量树统一DeviceVariableProvider</x:v>
      </x:c>
      <x:c r="G106" t="str">
        <x:v>M2</x:v>
      </x:c>
      <x:c r="H106"/>
    </x:row>
    <x:row r="107">
      <x:c r="A107" t="str">
        <x:v>Graph Context</x:v>
      </x:c>
      <x:c r="B107" t="str">
        <x:v>节点/连线/Graph</x:v>
      </x:c>
      <x:c r="C107" t="str">
        <x:v>Graph文档活动时显示</x:v>
      </x:c>
      <x:c r="D107" t="str">
        <x:v>GraphWorkspaceProvider</x:v>
      </x:c>
      <x:c r="E107" t="str">
        <x:v>19/45</x:v>
      </x:c>
      <x:c r="F107" t="str">
        <x:v>专业执行仍由GraphKind Compiler决定</x:v>
      </x:c>
      <x:c r="G107" t="str">
        <x:v>M3</x:v>
      </x:c>
      <x:c r="H107"/>
    </x:row>
    <x:row r="108">
      <x:c r="A108" t="str">
        <x:v>Motion Context</x:v>
      </x:c>
      <x:c r="B108" t="str">
        <x:v>运动/轴-IO/硬件</x:v>
      </x:c>
      <x:c r="C108" t="str">
        <x:v>Motion文档活动时显示</x:v>
      </x:c>
      <x:c r="D108" t="str">
        <x:v>MotionWorkspaceProvider</x:v>
      </x:c>
      <x:c r="E108" t="str">
        <x:v>27/45</x:v>
      </x:c>
      <x:c r="F108" t="str">
        <x:v>硬件命令受Resource/Interlock/Write策略</x:v>
      </x:c>
      <x:c r="G108" t="str">
        <x:v>M4</x:v>
      </x:c>
      <x:c r="H108"/>
    </x:row>
    <x:row r="109">
      <x:c r="A109" t="str">
        <x:v>Robot Context</x:v>
      </x:c>
      <x:c r="B109" t="str">
        <x:v>机器人/路径/示教</x:v>
      </x:c>
      <x:c r="C109" t="str">
        <x:v>Robot文档活动时显示</x:v>
      </x:c>
      <x:c r="D109" t="str">
        <x:v>RobotWorkspaceProvider</x:v>
      </x:c>
      <x:c r="E109" t="str">
        <x:v>29/45</x:v>
      </x:c>
      <x:c r="F109" t="str">
        <x:v>Robot 属于 Automation 内部专业能力，并拥有独立 Robot 专业对象/编辑上下文</x:v>
      </x:c>
      <x:c r="G109" t="str">
        <x:v>M4+</x:v>
      </x:c>
      <x:c r="H109"/>
    </x:row>
    <x:row r="110">
      <x:c r="A110" t="str">
        <x:v>Vision Context</x:v>
      </x:c>
      <x:c r="B110" t="str">
        <x:v>视觉/算法/标定/图像</x:v>
      </x:c>
      <x:c r="C110" t="str">
        <x:v>Vision文档活动时显示</x:v>
      </x:c>
      <x:c r="D110" t="str">
        <x:v>VisionWorkspaceProvider</x:v>
      </x:c>
      <x:c r="E110" t="str">
        <x:v>31/45</x:v>
      </x:c>
      <x:c r="F110" t="str">
        <x:v>大数据Viewer按需</x:v>
      </x:c>
      <x:c r="G110" t="str">
        <x:v>M5</x:v>
      </x:c>
      <x:c r="H110"/>
    </x:row>
    <x:row r="111">
      <x:c r="A111" t="str">
        <x:v>CT3D Context</x:v>
      </x:c>
      <x:c r="B111" t="str">
        <x:v>CT/3D/重建/可视化</x:v>
      </x:c>
      <x:c r="C111" t="str">
        <x:v>CT文档活动时显示</x:v>
      </x:c>
      <x:c r="D111" t="str">
        <x:v>Ct3dWorkspaceProvider</x:v>
      </x:c>
      <x:c r="E111" t="str">
        <x:v>33/45</x:v>
      </x:c>
      <x:c r="F111" t="str">
        <x:v>Volume/Projection只传Handle/metadata</x:v>
      </x:c>
      <x:c r="G111" t="str">
        <x:v>M5+</x:v>
      </x:c>
      <x:c r="H111"/>
    </x:row>
    <x:row r="112">
      <x:c r="A112" t="str">
        <x:v>Inspection Context</x:v>
      </x:c>
      <x:c r="B112" t="str">
        <x:v>流程/检测/工位</x:v>
      </x:c>
      <x:c r="C112" t="str">
        <x:v>Inspection文档活动时显示</x:v>
      </x:c>
      <x:c r="D112" t="str">
        <x:v>InspectionWorkspaceProvider</x:v>
      </x:c>
      <x:c r="E112" t="str">
        <x:v>35/45</x:v>
      </x:c>
      <x:c r="F112" t="str">
        <x:v>Durable Workflow，生产默认观察</x:v>
      </x:c>
      <x:c r="G112" t="str">
        <x:v>M6</x:v>
      </x:c>
      <x:c r="H112"/>
    </x:row>
    <x:row r="113">
      <x:c r="A113" t="str">
        <x:v>Publish</x:v>
      </x:c>
      <x:c r="B113" t="str">
        <x:v>工程交付链</x:v>
      </x:c>
      <x:c r="C113" t="str">
        <x:v>Precheck→Build→Release→Sign/Hash→Deploy→Verify→Rollback→History</x:v>
      </x:c>
      <x:c r="D113" t="str">
        <x:v>Publish services</x:v>
      </x:c>
      <x:c r="E113" t="str">
        <x:v>23/40/45</x:v>
      </x:c>
      <x:c r="F113" t="str">
        <x:v>发布版本与Design Snapshot/Resolved Manifest可追溯</x:v>
      </x:c>
      <x:c r="G113" t="str">
        <x:v>M7</x:v>
      </x:c>
      <x:c r="H113"/>
    </x:row>
    <x:row r="114">
      <x:c r="A114" t="str">
        <x:v>扩展注册</x:v>
      </x:c>
      <x:c r="B114" t="str">
        <x:v>新增Domain</x:v>
      </x:c>
      <x:c r="C114" t="str">
        <x:v>Document/Workspace类型、Context tabs/groups、CommandDescriptor、Capability/Mode/Permission/Selection、Application/Debug/Runtime入口、图标/快捷键、测试</x:v>
      </x:c>
      <x:c r="D114" t="str">
        <x:v>WorkspaceProvider</x:v>
      </x:c>
      <x:c r="E114" t="str">
        <x:v>45</x:v>
      </x:c>
      <x:c r="F114" t="str">
        <x:v>不修改固定Shell菜单</x:v>
      </x:c>
      <x:c r="G114" t="str">
        <x:v>长期</x:v>
      </x:c>
      <x:c r="H114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34" hidden="0" customWidth="1"/>
    <x:col min="4" max="4" width="36" hidden="0" customWidth="1"/>
    <x:col min="5" max="5" width="32" hidden="0" customWidth="1"/>
    <x:col min="6" max="6" width="30" hidden="0" customWidth="1"/>
    <x:col min="7" max="7" width="28" hidden="0" customWidth="1"/>
    <x:col min="8" max="8" width="28" hidden="0" customWidth="1"/>
  </x:cols>
  <x:sheetData>
    <x:row r="1" ht="30" customHeight="1">
      <x:c r="A1" s="8" t="str">
        <x:v>CxVisual Renderer 与几何系统</x:v>
      </x:c>
      <x:c r="B1" s="8"/>
      <x:c r="C1" s="8"/>
      <x:c r="D1" s="8"/>
      <x:c r="E1" s="8"/>
      <x:c r="F1" s="8"/>
      <x:c r="G1" s="8"/>
      <x:c r="H1" s="8"/>
    </x:row>
    <x:row r="2" ht="38" customHeight="1">
      <x:c r="A2" s="16" t="str">
        <x:v>定义Visual Model到WPF视觉对象的解析、几何/Transform/Bounds/HitTest与增量更新边界。</x:v>
      </x:c>
      <x:c r="B2" s="16"/>
      <x:c r="C2" s="16"/>
      <x:c r="D2" s="16"/>
      <x:c r="E2" s="16"/>
      <x:c r="F2" s="16"/>
      <x:c r="G2" s="16"/>
      <x:c r="H2" s="16"/>
    </x:row>
    <x:row r="3">
      <x:c r="A3" s="30" t="str">
        <x:v>本页唯一权威</x:v>
      </x:c>
      <x:c r="B3" s="31" t="str">
        <x:v>Renderer、Geometry、Transform、Bounds、HitTest、Scene更新规则。</x:v>
      </x:c>
      <x:c r="C3" s="31"/>
      <x:c r="D3" s="31"/>
      <x:c r="E3" s="31"/>
      <x:c r="F3" s="31"/>
      <x:c r="G3" s="31"/>
      <x:c r="H3" s="31"/>
    </x:row>
    <x:row r="4">
      <x:c r="A4" s="30" t="str">
        <x:v>不在本页维护</x:v>
      </x:c>
      <x:c r="B4" s="31" t="str">
        <x:v>图元产品分类（见01）、Property/Binding（见10）、Symbol Definition语义（见11）。</x:v>
      </x:c>
      <x:c r="C4" s="31"/>
      <x:c r="D4" s="31"/>
      <x:c r="E4" s="31"/>
      <x:c r="F4" s="31"/>
      <x:c r="G4" s="31"/>
      <x:c r="H4" s="31"/>
    </x:row>
    <x:row r="5">
      <x:c r="A5" s="30" t="str">
        <x:v>关联分页</x:v>
      </x:c>
      <x:c r="B5" s="31" t="str">
        <x:v>01_图元体系；07_StudioDesigner架构；10_Property元数据Binding。</x:v>
      </x:c>
      <x:c r="C5" s="31"/>
      <x:c r="D5" s="31"/>
      <x:c r="E5" s="31"/>
      <x:c r="F5" s="31"/>
      <x:c r="G5" s="31"/>
      <x:c r="H5" s="31"/>
    </x:row>
    <x:row r="6">
      <x:c r="A6"/>
      <x:c r="B6"/>
      <x:c r="C6"/>
      <x:c r="D6"/>
      <x:c r="E6"/>
      <x:c r="F6"/>
      <x:c r="G6"/>
      <x:c r="H6"/>
    </x:row>
    <x:row r="7" ht="28" customHeight="1">
      <x:c r="A7" s="50" t="str">
        <x:v>类/模块</x:v>
      </x:c>
      <x:c r="B7" s="50" t="str">
        <x:v>职责</x:v>
      </x:c>
      <x:c r="C7" s="50" t="str">
        <x:v>输入→输出</x:v>
      </x:c>
      <x:c r="D7" s="50" t="str">
        <x:v>模式</x:v>
      </x:c>
      <x:c r="E7" s="50" t="str">
        <x:v>缓存/生命周期</x:v>
      </x:c>
      <x:c r="F7" s="50" t="str">
        <x:v>static共用</x:v>
      </x:c>
      <x:c r="G7" s="50" t="str">
        <x:v>性能设计</x:v>
      </x:c>
      <x:c r="H7" s="50" t="str">
        <x:v>错误降级</x:v>
      </x:c>
    </x:row>
    <x:row r="8">
      <x:c r="A8" s="58" t="str">
        <x:v>SceneVisualHost</x:v>
      </x:c>
      <x:c r="B8" s="58" t="str">
        <x:v>WPF自定义视觉宿主，维护DrawingVisual子视觉和ControlHost层</x:v>
      </x:c>
      <x:c r="C8" s="58" t="str">
        <x:v>RenderTree→DrawingVisual collection</x:v>
      </x:c>
      <x:c r="D8" s="58" t="str">
        <x:v>Composite Host</x:v>
      </x:c>
      <x:c r="E8" s="58" t="str">
        <x:v>Page active lifetime</x:v>
      </x:c>
      <x:c r="F8" s="58" t="str">
        <x:v>无</x:v>
      </x:c>
      <x:c r="G8" s="58" t="str">
        <x:v>避免每Shape一个FrameworkElement</x:v>
      </x:c>
      <x:c r="H8" s="58" t="str">
        <x:v>单Visual失败隔离</x:v>
      </x:c>
    </x:row>
    <x:row r="9">
      <x:c r="A9" s="66" t="str">
        <x:v>RenderTreeBuilder</x:v>
      </x:c>
      <x:c r="B9" s="66" t="str">
        <x:v>把Page/Symbol实例展开为轻量RenderNode树</x:v>
      </x:c>
      <x:c r="C9" s="66" t="str">
        <x:v>Project/RuntimeState→RenderNode[]</x:v>
      </x:c>
      <x:c r="D9" s="66" t="str">
        <x:v>Builder</x:v>
      </x:c>
      <x:c r="E9" s="66" t="str">
        <x:v>Load/structural change</x:v>
      </x:c>
      <x:c r="F9" s="66" t="str">
        <x:v>ElementTreeTraversal可static</x:v>
      </x:c>
      <x:c r="G9" s="66" t="str">
        <x:v>结构变化才重建</x:v>
      </x:c>
      <x:c r="H9" s="66" t="str">
        <x:v>未知type生成MissingRenderNode</x:v>
      </x:c>
    </x:row>
    <x:row r="10">
      <x:c r="A10" s="58" t="str">
        <x:v>ElementRendererRegistry</x:v>
      </x:c>
      <x:c r="B10" s="58" t="str">
        <x:v>按typeId查Renderer</x:v>
      </x:c>
      <x:c r="C10" s="58" t="str">
        <x:v>typeId→IElementRenderer</x:v>
      </x:c>
      <x:c r="D10" s="58" t="str">
        <x:v>Registry</x:v>
      </x:c>
      <x:c r="E10" s="58" t="str">
        <x:v>Host/Application</x:v>
      </x:c>
      <x:c r="F10" s="58" t="str">
        <x:v>BuiltInRendererRegistration可static</x:v>
      </x:c>
      <x:c r="G10" s="58" t="str">
        <x:v>O(1) dictionary</x:v>
      </x:c>
      <x:c r="H10" s="58" t="str">
        <x:v>缺失使用MissingElementRenderer</x:v>
      </x:c>
    </x:row>
    <x:row r="11">
      <x:c r="A11" s="66" t="str">
        <x:v>ShapeRenderer</x:v>
      </x:c>
      <x:c r="B11" s="66" t="str">
        <x:v>Line/Rect/Ellipse等基础Geometry绘制</x:v>
      </x:c>
      <x:c r="C11" s="66" t="str">
        <x:v>ShapeModel+ResolvedStyle→DrawingVisual</x:v>
      </x:c>
      <x:c r="D11" s="66" t="str">
        <x:v>Strategy</x:v>
      </x:c>
      <x:c r="E11" s="66" t="str">
        <x:v>Visual lifetime</x:v>
      </x:c>
      <x:c r="F11" s="66" t="str">
        <x:v>GeometryMath</x:v>
      </x:c>
      <x:c r="G11" s="66" t="str">
        <x:v>Frozen Pen/Brush可缓存</x:v>
      </x:c>
      <x:c r="H11" s="66" t="str">
        <x:v>异常画Placeholder</x:v>
      </x:c>
    </x:row>
    <x:row r="12">
      <x:c r="A12" s="58" t="str">
        <x:v>PathRenderer</x:v>
      </x:c>
      <x:c r="B12" s="58" t="str">
        <x:v>PathGeometry→WPF StreamGeometry/Drawing</x:v>
      </x:c>
      <x:c r="C12" s="58" t="str">
        <x:v>PathModel→DrawingVisual</x:v>
      </x:c>
      <x:c r="D12" s="58" t="str">
        <x:v>Strategy/Adapter</x:v>
      </x:c>
      <x:c r="E12" s="58" t="str">
        <x:v>Visual lifetime</x:v>
      </x:c>
      <x:c r="F12" s="58" t="str">
        <x:v>PathMath</x:v>
      </x:c>
      <x:c r="G12" s="58" t="str">
        <x:v>Geometry Freeze；只在几何Dirty重建</x:v>
      </x:c>
      <x:c r="H12" s="58" t="str">
        <x:v>坏Path显示诊断</x:v>
      </x:c>
    </x:row>
    <x:row r="13">
      <x:c r="A13" s="66" t="str">
        <x:v>TextRenderer</x:v>
      </x:c>
      <x:c r="B13" s="66" t="str">
        <x:v>运行态轻量文本绘制</x:v>
      </x:c>
      <x:c r="C13" s="66" t="str">
        <x:v>TextModel→DrawingVisual</x:v>
      </x:c>
      <x:c r="D13" s="66" t="str">
        <x:v>Strategy</x:v>
      </x:c>
      <x:c r="E13" s="66" t="str">
        <x:v>Visual lifetime</x:v>
      </x:c>
      <x:c r="F13" s="66" t="str">
        <x:v>TextLayout helper可static</x:v>
      </x:c>
      <x:c r="G13" s="66" t="str">
        <x:v>编辑态TextBox仅双击时创建</x:v>
      </x:c>
      <x:c r="H13" s="66" t="str">
        <x:v>字体缺失fallback</x:v>
      </x:c>
    </x:row>
    <x:row r="14">
      <x:c r="A14" s="58" t="str">
        <x:v>ImageRenderer</x:v>
      </x:c>
      <x:c r="B14" s="58" t="str">
        <x:v>ResourceId→BitmapSource→DrawingVisual/Image host</x:v>
      </x:c>
      <x:c r="C14" s="58" t="str">
        <x:v>ImageModel→visual</x:v>
      </x:c>
      <x:c r="D14" s="58" t="str">
        <x:v>Strategy</x:v>
      </x:c>
      <x:c r="E14" s="58" t="str">
        <x:v>Resource cache</x:v>
      </x:c>
      <x:c r="F14" s="58" t="str">
        <x:v>无</x:v>
      </x:c>
      <x:c r="G14" s="58" t="str">
        <x:v>DecodePixel按显示尺寸可优化</x:v>
      </x:c>
      <x:c r="H14" s="58" t="str">
        <x:v>资源缺失placeholder</x:v>
      </x:c>
    </x:row>
    <x:row r="15">
      <x:c r="A15" s="66" t="str">
        <x:v>ControlRenderer</x:v>
      </x:c>
      <x:c r="B15" s="66" t="str">
        <x:v>ControlElement→真实WPF Control</x:v>
      </x:c>
      <x:c r="C15" s="66" t="str">
        <x:v>ControlModel→FrameworkElement</x:v>
      </x:c>
      <x:c r="D15" s="66" t="str">
        <x:v>Factory/Adapter</x:v>
      </x:c>
      <x:c r="E15" s="66" t="str">
        <x:v>页面活跃时</x:v>
      </x:c>
      <x:c r="F15" s="66" t="str">
        <x:v>ControlDefaultStyle static resources</x:v>
      </x:c>
      <x:c r="G15" s="66" t="str">
        <x:v>只给真实输入控件创建FE</x:v>
      </x:c>
      <x:c r="H15" s="66" t="str">
        <x:v>未知Control placeholder</x:v>
      </x:c>
    </x:row>
    <x:row r="16">
      <x:c r="A16" s="58" t="str">
        <x:v>SymbolRenderer</x:v>
      </x:c>
      <x:c r="B16" s="58" t="str">
        <x:v>解析Symbol Definition/Instance/Overrides生成render subtree</x:v>
      </x:c>
      <x:c r="C16" s="58" t="str">
        <x:v>SymbolInstance→scoped RenderNodes</x:v>
      </x:c>
      <x:c r="D16" s="58" t="str">
        <x:v>Flyweight/Builder</x:v>
      </x:c>
      <x:c r="E16" s="58" t="str">
        <x:v>Definition cache</x:v>
      </x:c>
      <x:c r="F16" s="58" t="str">
        <x:v>参数替换纯函数可static</x:v>
      </x:c>
      <x:c r="G16" s="58" t="str">
        <x:v>Definition共享，实例状态独立</x:v>
      </x:c>
      <x:c r="H16" s="58" t="str">
        <x:v>定义缺失placeholder</x:v>
      </x:c>
    </x:row>
    <x:row r="17">
      <x:c r="A17" s="66" t="str">
        <x:v>ViewportTransform</x:v>
      </x:c>
      <x:c r="B17" s="66" t="str">
        <x:v>维护Model↔World↔Viewport↔Screen矩阵</x:v>
      </x:c>
      <x:c r="C17" s="66" t="str">
        <x:v>Point/Bounds转换</x:v>
      </x:c>
      <x:c r="D17" s="66" t="str">
        <x:v>Facade</x:v>
      </x:c>
      <x:c r="E17" s="66" t="str">
        <x:v>Designer view</x:v>
      </x:c>
      <x:c r="F17" s="66" t="str">
        <x:v>TransformMath</x:v>
      </x:c>
      <x:c r="G17" s="66" t="str">
        <x:v>矩阵一次计算，多次使用</x:v>
      </x:c>
      <x:c r="H17" s="66" t="str">
        <x:v>不可逆矩阵diagnostic</x:v>
      </x:c>
    </x:row>
    <x:row r="18">
      <x:c r="A18" s="58" t="str">
        <x:v>HitTestService</x:v>
      </x:c>
      <x:c r="B18" s="58" t="str">
        <x:v>屏幕点/框→ElementId</x:v>
      </x:c>
      <x:c r="C18" s="58" t="str">
        <x:v>screen input→hit candidates</x:v>
      </x:c>
      <x:c r="D18" s="58" t="str">
        <x:v>Strategy</x:v>
      </x:c>
      <x:c r="E18" s="58" t="str">
        <x:v>Scene</x:v>
      </x:c>
      <x:c r="F18" s="58" t="str">
        <x:v>GeometryMath</x:v>
      </x:c>
      <x:c r="G18" s="58" t="str">
        <x:v>Bounds粗筛+Geometry精测；后期RTree</x:v>
      </x:c>
      <x:c r="H18" s="58" t="str">
        <x:v>坏Geometry跳过并记录</x:v>
      </x:c>
    </x:row>
    <x:row r="19">
      <x:c r="A19" s="66" t="str">
        <x:v>SelectionOverlay</x:v>
      </x:c>
      <x:c r="B19" s="66" t="str">
        <x:v>选择框/8点/旋转柄/节点，不进入SceneModel</x:v>
      </x:c>
      <x:c r="C19" s="66" t="str">
        <x:v>Selection→Adorner visuals</x:v>
      </x:c>
      <x:c r="D19" s="66" t="str">
        <x:v>Decorator/Overlay</x:v>
      </x:c>
      <x:c r="E19" s="66" t="str">
        <x:v>Designer selection</x:v>
      </x:c>
      <x:c r="F19" s="66" t="str">
        <x:v>HandleGeometry static</x:v>
      </x:c>
      <x:c r="G19" s="66" t="str">
        <x:v>手柄屏幕像素固定，不随Zoom变小</x:v>
      </x:c>
      <x:c r="H19" s="66" t="str">
        <x:v>无选中即销毁</x:v>
      </x:c>
    </x:row>
    <x:row r="20">
      <x:c r="A20" s="58" t="str">
        <x:v>PathEditOverlay</x:v>
      </x:c>
      <x:c r="B20" s="58" t="str">
        <x:v>BadQuality/Debug/Selection等非业务叠加；报警/权限视觉最终值仍由Resolver给出</x:v>
      </x:c>
      <x:c r="C20" s="58" t="str">
        <x:v>ResolvedValue/diagnostic flags→overlay</x:v>
      </x:c>
      <x:c r="D20" s="58" t="str">
        <x:v>Overlay</x:v>
      </x:c>
      <x:c r="E20" s="58" t="str">
        <x:v>仅PathEdit模式</x:v>
      </x:c>
      <x:c r="F20" s="58" t="str">
        <x:v>PathMath</x:v>
      </x:c>
      <x:c r="G20" s="58" t="str">
        <x:v>只创建当前Path节点</x:v>
      </x:c>
      <x:c r="H20" s="58" t="str">
        <x:v>异常退出Cancel恢复</x:v>
      </x:c>
    </x:row>
    <x:row r="21">
      <x:c r="A21" s="66" t="str">
        <x:v>RuntimeOverlay</x:v>
      </x:c>
      <x:c r="B21" s="66" t="str">
        <x:v>BadQuality/Alarm/Debug/Permission状态视觉叠加</x:v>
      </x:c>
      <x:c r="C21" s="66" t="str">
        <x:v>Runtime flags→overlay</x:v>
      </x:c>
      <x:c r="D21" s="66" t="str">
        <x:v>Decorator</x:v>
      </x:c>
      <x:c r="E21" s="66" t="str">
        <x:v>Runtime</x:v>
      </x:c>
      <x:c r="F21" s="66" t="str">
        <x:v>Overlay geometry helpers</x:v>
      </x:c>
      <x:c r="G21" s="66" t="str">
        <x:v>与基础renderer分离避免重绘几何</x:v>
      </x:c>
      <x:c r="H21" s="66" t="str">
        <x:v>严重状态按优先级</x:v>
      </x:c>
    </x:row>
    <x:row r="22">
      <x:c r="A22" s="58" t="str">
        <x:v>ResourceVisualCache</x:v>
      </x:c>
      <x:c r="B22" s="58" t="str">
        <x:v>缓存Bitmap/SVG转换Drawing/Frozen geometry</x:v>
      </x:c>
      <x:c r="C22" s="58" t="str">
        <x:v>ResourceId+version→object</x:v>
      </x:c>
      <x:c r="D22" s="58" t="str">
        <x:v>Flyweight cache</x:v>
      </x:c>
      <x:c r="E22" s="58" t="str">
        <x:v>Project/Runtime</x:v>
      </x:c>
      <x:c r="F22" s="58" t="str">
        <x:v>HashUtil</x:v>
      </x:c>
      <x:c r="G22" s="58" t="str">
        <x:v>LRU/容量限制/Dispose</x:v>
      </x:c>
      <x:c r="H22" s="58" t="str">
        <x:v>缓存失败不缓存异常对象</x:v>
      </x:c>
    </x:row>
    <x:row r="23">
      <x:c r="A23" s="66" t="str">
        <x:v>DirtyRenderScheduler</x:v>
      </x:c>
      <x:c r="B23" s="66" t="str">
        <x:v>收集Structure/Geometry/Style/Value dirty并批处理UI提交</x:v>
      </x:c>
      <x:c r="C23" s="66" t="str">
        <x:v>DirtySet→Update batch</x:v>
      </x:c>
      <x:c r="D23" s="66" t="str">
        <x:v>Pipeline</x:v>
      </x:c>
      <x:c r="E23" s="66" t="str">
        <x:v>Page</x:v>
      </x:c>
      <x:c r="F23" s="66" t="str">
        <x:v>Dirty分类帮助static</x:v>
      </x:c>
      <x:c r="G23" s="66" t="str">
        <x:v>每帧/定时合并，避免每Tag一次Dispatcher</x:v>
      </x:c>
      <x:c r="H23" s="66" t="str">
        <x:v>超载降频+diagnostic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34" hidden="0" customWidth="1"/>
    <x:col min="4" max="4" width="34" hidden="0" customWidth="1"/>
    <x:col min="5" max="5" width="34" hidden="0" customWidth="1"/>
    <x:col min="6" max="6" width="30" hidden="0" customWidth="1"/>
    <x:col min="7" max="7" width="28" hidden="0" customWidth="1"/>
    <x:col min="8" max="8" width="28" hidden="0" customWidth="1"/>
  </x:cols>
  <x:sheetData>
    <x:row r="1" ht="30" customHeight="1">
      <x:c r="A1" s="8" t="str">
        <x:v>CxVisual Command / Undo / Transaction</x:v>
      </x:c>
      <x:c r="B1" s="8"/>
      <x:c r="C1" s="8"/>
      <x:c r="D1" s="8"/>
      <x:c r="E1" s="8"/>
      <x:c r="F1" s="8"/>
      <x:c r="G1" s="8"/>
      <x:c r="H1" s="8"/>
    </x:row>
    <x:row r="2" ht="38" customHeight="1">
      <x:c r="A2" s="16" t="str">
        <x:v>所有持久化设计修改的唯一事务入口，保证Undo/Redo/Dirty/批量操作/Preview Edit一致。</x:v>
      </x:c>
      <x:c r="B2" s="16"/>
      <x:c r="C2" s="16"/>
      <x:c r="D2" s="16"/>
      <x:c r="E2" s="16"/>
      <x:c r="F2" s="16"/>
      <x:c r="G2" s="16"/>
      <x:c r="H2" s="16"/>
    </x:row>
    <x:row r="3">
      <x:c r="A3" s="30" t="str">
        <x:v>本页唯一权威</x:v>
      </x:c>
      <x:c r="B3" s="31" t="str">
        <x:v>IEditorCommand、History、Transaction、PreviewEditSession以及常见编辑命令语义。</x:v>
      </x:c>
      <x:c r="C3" s="31"/>
      <x:c r="D3" s="31"/>
      <x:c r="E3" s="31"/>
      <x:c r="F3" s="31"/>
      <x:c r="G3" s="31"/>
      <x:c r="H3" s="31"/>
    </x:row>
    <x:row r="4">
      <x:c r="A4" s="30" t="str">
        <x:v>不在本页维护</x:v>
      </x:c>
      <x:c r="B4" s="31" t="str">
        <x:v>运行态变化、选择/视口临时状态、Domain Runtime命令。</x:v>
      </x:c>
      <x:c r="C4" s="31"/>
      <x:c r="D4" s="31"/>
      <x:c r="E4" s="31"/>
      <x:c r="F4" s="31"/>
      <x:c r="G4" s="31"/>
      <x:c r="H4" s="31"/>
    </x:row>
    <x:row r="5">
      <x:c r="A5" s="30" t="str">
        <x:v>关联分页</x:v>
      </x:c>
      <x:c r="B5" s="31" t="str">
        <x:v>07_StudioDesigner架构；12_ProjectSchemaSerialization；42_开发Playbook。</x:v>
      </x:c>
      <x:c r="C5" s="31"/>
      <x:c r="D5" s="31"/>
      <x:c r="E5" s="31"/>
      <x:c r="F5" s="31"/>
      <x:c r="G5" s="31"/>
      <x:c r="H5" s="31"/>
    </x:row>
    <x:row r="6">
      <x:c r="A6"/>
      <x:c r="B6"/>
      <x:c r="C6"/>
      <x:c r="D6"/>
      <x:c r="E6"/>
      <x:c r="F6"/>
      <x:c r="G6"/>
      <x:c r="H6"/>
    </x:row>
    <x:row r="7" ht="28" customHeight="1">
      <x:c r="A7" s="50" t="str">
        <x:v>类/机制</x:v>
      </x:c>
      <x:c r="B7" s="50" t="str">
        <x:v>职责</x:v>
      </x:c>
      <x:c r="C7" s="50" t="str">
        <x:v>关键字段</x:v>
      </x:c>
      <x:c r="D7" s="50" t="str">
        <x:v>执行流程</x:v>
      </x:c>
      <x:c r="E7" s="50" t="str">
        <x:v>Undo数据策略</x:v>
      </x:c>
      <x:c r="F7" s="50" t="str">
        <x:v>模式</x:v>
      </x:c>
      <x:c r="G7" s="50" t="str">
        <x:v>static辅助</x:v>
      </x:c>
      <x:c r="H7" s="50" t="str">
        <x:v>重要约束</x:v>
      </x:c>
    </x:row>
    <x:row r="8">
      <x:c r="A8" s="58" t="str">
        <x:v>IEditorCommand</x:v>
      </x:c>
      <x:c r="B8" s="58" t="str">
        <x:v>统一永久编辑契约</x:v>
      </x:c>
      <x:c r="C8" s="58" t="str">
        <x:v>Description/CanMerge</x:v>
      </x:c>
      <x:c r="D8" s="58" t="str">
        <x:v>Execute→History push</x:v>
      </x:c>
      <x:c r="E8" s="58" t="str">
        <x:v>由具体Command保存最小旧值</x:v>
      </x:c>
      <x:c r="F8" s="58" t="str">
        <x:v>Command</x:v>
      </x:c>
      <x:c r="G8" s="58" t="str">
        <x:v>无</x:v>
      </x:c>
      <x:c r="H8" s="58" t="str">
        <x:v>任何持久化Model修改必须经Command</x:v>
      </x:c>
    </x:row>
    <x:row r="9">
      <x:c r="A9" s="66" t="str">
        <x:v>CommandHistory</x:v>
      </x:c>
      <x:c r="B9" s="66" t="str">
        <x:v>Undo/Redo/事务/合并</x:v>
      </x:c>
      <x:c r="C9" s="66" t="str">
        <x:v>undoStack/redoStack/currentTransaction</x:v>
      </x:c>
      <x:c r="D9" s="66" t="str">
        <x:v>Execute→Clear Redo→Push/Merge</x:v>
      </x:c>
      <x:c r="E9" s="66" t="str">
        <x:v>栈持有Command对象</x:v>
      </x:c>
      <x:c r="F9" s="66" t="str">
        <x:v>Command Manager</x:v>
      </x:c>
      <x:c r="G9" s="66" t="str">
        <x:v>无</x:v>
      </x:c>
      <x:c r="H9" s="66" t="str">
        <x:v>Document级实例</x:v>
      </x:c>
    </x:row>
    <x:row r="10">
      <x:c r="A10" s="58" t="str">
        <x:v>MoveElementsCommand</x:v>
      </x:c>
      <x:c r="B10" s="58" t="str">
        <x:v>批量移动</x:v>
      </x:c>
      <x:c r="C10" s="58" t="str">
        <x:v>elementIds/oldBounds/newBounds</x:v>
      </x:c>
      <x:c r="D10" s="58" t="str">
        <x:v>Apply new bounds</x:v>
      </x:c>
      <x:c r="E10" s="58" t="str">
        <x:v>保存old/new Bounds</x:v>
      </x:c>
      <x:c r="F10" s="58" t="str">
        <x:v>Command</x:v>
      </x:c>
      <x:c r="G10" s="58" t="str">
        <x:v>AlignmentMath可static</x:v>
      </x:c>
      <x:c r="H10" s="58" t="str">
        <x:v>拖动过程中仅Preview，MouseUp提交一次</x:v>
      </x:c>
    </x:row>
    <x:row r="11">
      <x:c r="A11" s="66" t="str">
        <x:v>ResizeElementsCommand</x:v>
      </x:c>
      <x:c r="B11" s="66" t="str">
        <x:v>批量缩放</x:v>
      </x:c>
      <x:c r="C11" s="66" t="str">
        <x:v>ids/old/new bounds/anchor</x:v>
      </x:c>
      <x:c r="D11" s="66" t="str">
        <x:v>Apply new</x:v>
      </x:c>
      <x:c r="E11" s="66" t="str">
        <x:v>old/new + anchor</x:v>
      </x:c>
      <x:c r="F11" s="66" t="str">
        <x:v>Command</x:v>
      </x:c>
      <x:c r="G11" s="66" t="str">
        <x:v>TransformMath</x:v>
      </x:c>
      <x:c r="H11" s="66" t="str">
        <x:v>多选缩放保持组合关系</x:v>
      </x:c>
    </x:row>
    <x:row r="12">
      <x:c r="A12" s="58" t="str">
        <x:v>RotateElementsCommand</x:v>
      </x:c>
      <x:c r="B12" s="58" t="str">
        <x:v>旋转</x:v>
      </x:c>
      <x:c r="C12" s="58" t="str">
        <x:v>ids/old/new transforms</x:v>
      </x:c>
      <x:c r="D12" s="58" t="str">
        <x:v>Apply transform</x:v>
      </x:c>
      <x:c r="E12" s="58" t="str">
        <x:v>Transform snapshots</x:v>
      </x:c>
      <x:c r="F12" s="58" t="str">
        <x:v>Command</x:v>
      </x:c>
      <x:c r="G12" s="58" t="str">
        <x:v>TransformMath</x:v>
      </x:c>
      <x:c r="H12" s="58" t="str">
        <x:v>角度吸附只属于Designer策略</x:v>
      </x:c>
    </x:row>
    <x:row r="13">
      <x:c r="A13" s="66" t="str">
        <x:v>ChangePropertyCommand</x:v>
      </x:c>
      <x:c r="B13" s="66" t="str">
        <x:v>设置单/多元素属性</x:v>
      </x:c>
      <x:c r="C13" s="66" t="str">
        <x:v>targets/propertyKey/oldValues/newValue</x:v>
      </x:c>
      <x:c r="D13" s="66" t="str">
        <x:v>Metadata validate→set</x:v>
      </x:c>
      <x:c r="E13" s="66" t="str">
        <x:v>旧值列表</x:v>
      </x:c>
      <x:c r="F13" s="66" t="str">
        <x:v>Command</x:v>
      </x:c>
      <x:c r="G13" s="66" t="str">
        <x:v>PropertyValueCoercion可static</x:v>
      </x:c>
      <x:c r="H13" s="66" t="str">
        <x:v>运行ResolvedValue不能通过此Command写</x:v>
      </x:c>
    </x:row>
    <x:row r="14">
      <x:c r="A14" s="58" t="str">
        <x:v>AddElementCommand</x:v>
      </x:c>
      <x:c r="B14" s="58" t="str">
        <x:v>新增图元</x:v>
      </x:c>
      <x:c r="C14" s="58" t="str">
        <x:v>parentId/index/elementSnapshot</x:v>
      </x:c>
      <x:c r="D14" s="58" t="str">
        <x:v>Insert</x:v>
      </x:c>
      <x:c r="E14" s="58" t="str">
        <x:v>完整新增元素快照</x:v>
      </x:c>
      <x:c r="F14" s="58" t="str">
        <x:v>Command</x:v>
      </x:c>
      <x:c r="G14" s="58" t="str">
        <x:v>无</x:v>
      </x:c>
      <x:c r="H14" s="58" t="str">
        <x:v>Undo删除，Redo使用相同Id</x:v>
      </x:c>
    </x:row>
    <x:row r="15">
      <x:c r="A15" s="66" t="str">
        <x:v>DeleteElementsCommand</x:v>
      </x:c>
      <x:c r="B15" s="66" t="str">
        <x:v>删除多个元素</x:v>
      </x:c>
      <x:c r="C15" s="66" t="str">
        <x:v>parent/index/snapshots/reference fixups</x:v>
      </x:c>
      <x:c r="D15" s="66" t="str">
        <x:v>Remove</x:v>
      </x:c>
      <x:c r="E15" s="66" t="str">
        <x:v>元素树+原位置+必要引用</x:v>
      </x:c>
      <x:c r="F15" s="66" t="str">
        <x:v>Command/Memento</x:v>
      </x:c>
      <x:c r="G15" s="66" t="str">
        <x:v>ElementTreeTraversal</x:v>
      </x:c>
      <x:c r="H15" s="66" t="str">
        <x:v>删除前检查Symbol/Binding引用</x:v>
      </x:c>
    </x:row>
    <x:row r="16">
      <x:c r="A16" s="58" t="str">
        <x:v>GroupElementsCommand</x:v>
      </x:c>
      <x:c r="B16" s="58" t="str">
        <x:v>组合</x:v>
      </x:c>
      <x:c r="C16" s="58" t="str">
        <x:v>selected ids/old parent positions/group model</x:v>
      </x:c>
      <x:c r="D16" s="58" t="str">
        <x:v>创建Group并移动children</x:v>
      </x:c>
      <x:c r="E16" s="58" t="str">
        <x:v>保存旧父/索引/transform</x:v>
      </x:c>
      <x:c r="F16" s="58" t="str">
        <x:v>Composite/Memento</x:v>
      </x:c>
      <x:c r="G16" s="58" t="str">
        <x:v>TransformMath</x:v>
      </x:c>
      <x:c r="H16" s="58" t="str">
        <x:v>保持世界坐标不变</x:v>
      </x:c>
    </x:row>
    <x:row r="17">
      <x:c r="A17" s="66" t="str">
        <x:v>UngroupCommand</x:v>
      </x:c>
      <x:c r="B17" s="66" t="str">
        <x:v>拆组</x:v>
      </x:c>
      <x:c r="C17" s="66" t="str">
        <x:v>group snapshot/child transforms</x:v>
      </x:c>
      <x:c r="D17" s="66" t="str">
        <x:v>移出children并删除group</x:v>
      </x:c>
      <x:c r="E17" s="66" t="str">
        <x:v>完整group和旧关系</x:v>
      </x:c>
      <x:c r="F17" s="66" t="str">
        <x:v>Command/Memento</x:v>
      </x:c>
      <x:c r="G17" s="66" t="str">
        <x:v>TransformMath</x:v>
      </x:c>
      <x:c r="H17" s="66" t="str">
        <x:v>Undo完整恢复</x:v>
      </x:c>
    </x:row>
    <x:row r="18">
      <x:c r="A18" s="58" t="str">
        <x:v>ReorderElementCommand</x:v>
      </x:c>
      <x:c r="B18" s="58" t="str">
        <x:v>ZIndex/树顺序调整</x:v>
      </x:c>
      <x:c r="C18" s="58" t="str">
        <x:v>parent/id/oldIndex/newIndex</x:v>
      </x:c>
      <x:c r="D18" s="58" t="str">
        <x:v>Move</x:v>
      </x:c>
      <x:c r="E18" s="58" t="str">
        <x:v>old/new index</x:v>
      </x:c>
      <x:c r="F18" s="58" t="str">
        <x:v>Command</x:v>
      </x:c>
      <x:c r="G18" s="58" t="str">
        <x:v>CollectionUtil</x:v>
      </x:c>
      <x:c r="H18" s="58" t="str">
        <x:v>树拖动同样走Command</x:v>
      </x:c>
    </x:row>
    <x:row r="19">
      <x:c r="A19" s="66" t="str">
        <x:v>ChangeLayerCommand</x:v>
      </x:c>
      <x:c r="B19" s="66" t="str">
        <x:v>移动图层</x:v>
      </x:c>
      <x:c r="C19" s="66" t="str">
        <x:v>ids/oldLayer/newLayer</x:v>
      </x:c>
      <x:c r="D19" s="66" t="str">
        <x:v>Set layer</x:v>
      </x:c>
      <x:c r="E19" s="66" t="str">
        <x:v>old layer list</x:v>
      </x:c>
      <x:c r="F19" s="66" t="str">
        <x:v>Command</x:v>
      </x:c>
      <x:c r="G19" s="66" t="str">
        <x:v>无</x:v>
      </x:c>
      <x:c r="H19" s="66" t="str">
        <x:v>Layer删除前先组合Command迁移元素</x:v>
      </x:c>
    </x:row>
    <x:row r="20">
      <x:c r="A20" s="58" t="str">
        <x:v>ChangeBindingCommand</x:v>
      </x:c>
      <x:c r="B20" s="58" t="str">
        <x:v>新增/替换/删除绑定</x:v>
      </x:c>
      <x:c r="C20" s="58" t="str">
        <x:v>element/property/oldBinding/newBinding</x:v>
      </x:c>
      <x:c r="D20" s="58" t="str">
        <x:v>Validate→replace config</x:v>
      </x:c>
      <x:c r="E20" s="58" t="str">
        <x:v>binding clone</x:v>
      </x:c>
      <x:c r="F20" s="58" t="str">
        <x:v>Command</x:v>
      </x:c>
      <x:c r="G20" s="58" t="str">
        <x:v>BindingModelClone可static helper</x:v>
      </x:c>
      <x:c r="H20" s="58" t="str">
        <x:v>在线调试时提交后触发Runtime hot reload</x:v>
      </x:c>
    </x:row>
    <x:row r="21">
      <x:c r="A21" s="66" t="str">
        <x:v>BatchBindingCommand</x:v>
      </x:c>
      <x:c r="B21" s="66" t="str">
        <x:v>整批配点</x:v>
      </x:c>
      <x:c r="C21" s="66" t="str">
        <x:v>BindingChangePlan[]</x:v>
      </x:c>
      <x:c r="D21" s="66" t="str">
        <x:v>validate all→apply all</x:v>
      </x:c>
      <x:c r="E21" s="66" t="str">
        <x:v>old bindings map</x:v>
      </x:c>
      <x:c r="F21" s="66" t="str">
        <x:v>Composite/Transaction</x:v>
      </x:c>
      <x:c r="G21" s="66" t="str">
        <x:v>NaturalSort/Match helpers</x:v>
      </x:c>
      <x:c r="H21" s="66" t="str">
        <x:v>任何严重错误时不执行半批</x:v>
      </x:c>
    </x:row>
    <x:row r="22">
      <x:c r="A22" s="58" t="str">
        <x:v>ImportSvgCommand</x:v>
      </x:c>
      <x:c r="B22" s="58" t="str">
        <x:v>导入SVG产生多个资源/元素</x:v>
      </x:c>
      <x:c r="C22" s="58" t="str">
        <x:v>ImportResult snapshots/resource ids</x:v>
      </x:c>
      <x:c r="D22" s="58" t="str">
        <x:v>Add resources/elements</x:v>
      </x:c>
      <x:c r="E22" s="58" t="str">
        <x:v>新增资源和树快照</x:v>
      </x:c>
      <x:c r="F22" s="58" t="str">
        <x:v>Composite/Memento</x:v>
      </x:c>
      <x:c r="G22" s="58" t="str">
        <x:v>无</x:v>
      </x:c>
      <x:c r="H22" s="58" t="str">
        <x:v>失败不污染工程</x:v>
      </x:c>
    </x:row>
    <x:row r="23">
      <x:c r="A23" s="66" t="str">
        <x:v>CreateSymbolCommand</x:v>
      </x:c>
      <x:c r="B23" s="66" t="str">
        <x:v>从选区创建SymbolDefinition</x:v>
      </x:c>
      <x:c r="C23" s="66" t="str">
        <x:v>definition + instance + replaced element snapshots</x:v>
      </x:c>
      <x:c r="D23" s="66" t="str">
        <x:v>事务式替换</x:v>
      </x:c>
      <x:c r="E23" s="66" t="str">
        <x:v>旧树/新definition</x:v>
      </x:c>
      <x:c r="F23" s="66" t="str">
        <x:v>Composite</x:v>
      </x:c>
      <x:c r="G23" s="66" t="str">
        <x:v>Symbol extraction helpers</x:v>
      </x:c>
      <x:c r="H23" s="66" t="str">
        <x:v>Definition/Instance一次原子变更</x:v>
      </x:c>
    </x:row>
    <x:row r="24">
      <x:c r="A24" s="58" t="str">
        <x:v>CompositeEditorCommand</x:v>
      </x:c>
      <x:c r="B24" s="58" t="str">
        <x:v>多个Command一个事务</x:v>
      </x:c>
      <x:c r="C24" s="58" t="str">
        <x:v>children[]</x:v>
      </x:c>
      <x:c r="D24" s="58" t="str">
        <x:v>依序Execute，失败反向Undo</x:v>
      </x:c>
      <x:c r="E24" s="58" t="str">
        <x:v>children自己保存</x:v>
      </x:c>
      <x:c r="F24" s="58" t="str">
        <x:v>Composite Command</x:v>
      </x:c>
      <x:c r="G24" s="58" t="str">
        <x:v>无</x:v>
      </x:c>
      <x:c r="H24" s="58" t="str">
        <x:v>支持回滚失败策略</x:v>
      </x:c>
    </x:row>
    <x:row r="25">
      <x:c r="A25" s="66" t="str">
        <x:v>CommandTransaction</x:v>
      </x:c>
      <x:c r="B25" s="66" t="str">
        <x:v>using式事务边界</x:v>
      </x:c>
      <x:c r="C25" s="66" t="str">
        <x:v>name/commands</x:v>
      </x:c>
      <x:c r="D25" s="66" t="str">
        <x:v>Collect→Commit one composite</x:v>
      </x:c>
      <x:c r="E25" s="66" t="str">
        <x:v>聚合children</x:v>
      </x:c>
      <x:c r="F25" s="66" t="str">
        <x:v>Unit-of-work-like</x:v>
      </x:c>
      <x:c r="G25" s="66" t="str">
        <x:v>无</x:v>
      </x:c>
      <x:c r="H25" s="66" t="str">
        <x:v>Dispose未Commit则Rollback</x:v>
      </x:c>
    </x:row>
    <x:row r="26">
      <x:c r="A26" s="58" t="str">
        <x:v>PreviewEditSession</x:v>
      </x:c>
      <x:c r="B26" s="58" t="str">
        <x:v>鼠标拖动预览，不进Undo</x:v>
      </x:c>
      <x:c r="C26" s="58" t="str">
        <x:v>original state/current preview</x:v>
      </x:c>
      <x:c r="D26" s="58" t="str">
        <x:v>Begin→Preview N→Commit Command/Cancel</x:v>
      </x:c>
      <x:c r="E26" s="58" t="str">
        <x:v>只保留original/current</x:v>
      </x:c>
      <x:c r="F26" s="58" t="str">
        <x:v>Session object</x:v>
      </x:c>
      <x:c r="G26" s="58" t="str">
        <x:v>TransformMath</x:v>
      </x:c>
      <x:c r="H26" s="58" t="str">
        <x:v>避免MouseMove产生几千条Undo</x:v>
      </x:c>
    </x:row>
    <x:row r="27">
      <x:c r="A27" s="66" t="str">
        <x:v>DirtyTracker</x:v>
      </x:c>
      <x:c r="B27" s="66" t="str">
        <x:v>根据Command提交记录工程Dirty</x:v>
      </x:c>
      <x:c r="C27" s="66" t="str">
        <x:v>lastSavedRevision/currentRevision</x:v>
      </x:c>
      <x:c r="D27" s="66" t="str">
        <x:v>OnCommandCommitted</x:v>
      </x:c>
      <x:c r="E27" s="66" t="str">
        <x:v>revision number</x:v>
      </x:c>
      <x:c r="F27" s="66" t="str">
        <x:v>Observer</x:v>
      </x:c>
      <x:c r="G27" s="66" t="str">
        <x:v>无</x:v>
      </x:c>
      <x:c r="H27" s="66" t="str">
        <x:v>Save成功才更新lastSavedRevision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34" hidden="0" customWidth="1"/>
    <x:col min="4" max="4" width="38" hidden="0" customWidth="1"/>
    <x:col min="5" max="5" width="34" hidden="0" customWidth="1"/>
    <x:col min="6" max="6" width="30" hidden="0" customWidth="1"/>
    <x:col min="7" max="7" width="28" hidden="0" customWidth="1"/>
    <x:col min="8" max="8" width="28" hidden="0" customWidth="1"/>
  </x:cols>
  <x:sheetData>
    <x:row r="1" ht="30" customHeight="1">
      <x:c r="A1" s="8" t="str">
        <x:v>CxVisual Property / Metadata / Binding</x:v>
      </x:c>
      <x:c r="B1" s="8"/>
      <x:c r="C1" s="8"/>
      <x:c r="D1" s="8"/>
      <x:c r="E1" s="8"/>
      <x:c r="F1" s="8"/>
      <x:c r="G1" s="8"/>
      <x:c r="H1" s="8"/>
    </x:row>
    <x:row r="2" ht="38" customHeight="1">
      <x:c r="A2" s="16" t="str">
        <x:v>统一属性描述、Inspector编辑器、Binding/Variable/Expression与Runtime Property Resolver，避免属性体系与绑定体系各自为政。</x:v>
      </x:c>
      <x:c r="B2" s="16"/>
      <x:c r="C2" s="16"/>
      <x:c r="D2" s="16"/>
      <x:c r="E2" s="16"/>
      <x:c r="F2" s="16"/>
      <x:c r="G2" s="16"/>
      <x:c r="H2" s="16"/>
    </x:row>
    <x:row r="3">
      <x:c r="A3" s="30" t="str">
        <x:v>本页唯一权威</x:v>
      </x:c>
      <x:c r="B3" s="31" t="str">
        <x:v>PropertyDescriptor、Editor metadata、Bindable规则、BindingModel、Variable/Expression、Quality/Fallback/转换链。</x:v>
      </x:c>
      <x:c r="C3" s="31"/>
      <x:c r="D3" s="31"/>
      <x:c r="E3" s="31"/>
      <x:c r="F3" s="31"/>
      <x:c r="G3" s="31"/>
      <x:c r="H3" s="31"/>
    </x:row>
    <x:row r="4">
      <x:c r="A4" s="30" t="str">
        <x:v>不在本页维护</x:v>
      </x:c>
      <x:c r="B4" s="31" t="str">
        <x:v>Symbol公开属性映射（见11）、Event/Action（见13）、Graph运行Context（见20）。</x:v>
      </x:c>
      <x:c r="C4" s="31"/>
      <x:c r="D4" s="31"/>
      <x:c r="E4" s="31"/>
      <x:c r="F4" s="31"/>
      <x:c r="G4" s="31"/>
      <x:c r="H4" s="31"/>
    </x:row>
    <x:row r="5">
      <x:c r="A5" s="30" t="str">
        <x:v>关联分页</x:v>
      </x:c>
      <x:c r="B5" s="31" t="str">
        <x:v>11_Symbol体系；12_ProjectSchemaSerialization；13_Event_Action_Animation；17_SCADA_ICS；20_Graph类型系统；46_DeviceVariable闭环。</x:v>
      </x:c>
      <x:c r="C5" s="31"/>
      <x:c r="D5" s="31"/>
      <x:c r="E5" s="31"/>
      <x:c r="F5" s="31"/>
      <x:c r="G5" s="31"/>
      <x:c r="H5" s="31"/>
    </x:row>
    <x:row r="6">
      <x:c r="A6"/>
      <x:c r="B6"/>
      <x:c r="C6"/>
      <x:c r="D6"/>
      <x:c r="E6"/>
      <x:c r="F6"/>
      <x:c r="G6"/>
      <x:c r="H6"/>
    </x:row>
    <x:row r="7" ht="24" customHeight="1">
      <x:c r="A7" s="40" t="str">
        <x:v>A. Binding / Variable / Expression运行模型</x:v>
      </x:c>
      <x:c r="B7" s="40"/>
      <x:c r="C7" s="40"/>
      <x:c r="D7" s="40"/>
      <x:c r="E7" s="40"/>
      <x:c r="F7" s="40"/>
      <x:c r="G7" s="40"/>
      <x:c r="H7" s="40"/>
    </x:row>
    <x:row r="8" ht="28" customHeight="1">
      <x:c r="A8" s="50" t="str">
        <x:v>类/模块</x:v>
      </x:c>
      <x:c r="B8" s="50" t="str">
        <x:v>职责</x:v>
      </x:c>
      <x:c r="C8" s="50" t="str">
        <x:v>关键数据</x:v>
      </x:c>
      <x:c r="D8" s="50" t="str">
        <x:v>运行流程</x:v>
      </x:c>
      <x:c r="E8" s="50" t="str">
        <x:v>模式</x:v>
      </x:c>
      <x:c r="F8" s="50" t="str">
        <x:v>static共用</x:v>
      </x:c>
      <x:c r="G8" s="50" t="str">
        <x:v>线程/性能</x:v>
      </x:c>
      <x:c r="H8" s="50" t="str">
        <x:v>扩展点</x:v>
      </x:c>
    </x:row>
    <x:row r="9">
      <x:c r="A9" s="58" t="str">
        <x:v>VariableEngine</x:v>
      </x:c>
      <x:c r="B9" s="58" t="str">
        <x:v>Provider之上的订阅聚合、引用计数、缓存和Quality</x:v>
      </x:c>
      <x:c r="C9" s="58" t="str">
        <x:v>provider/subscriptionGroups/valueCache/refCounts</x:v>
      </x:c>
      <x:c r="D9" s="58" t="str">
        <x:v>RuntimePlan给依赖→合并订阅→接收batch→更新store→标Binding dirty</x:v>
      </x:c>
      <x:c r="E9" s="58" t="str">
        <x:v>Facade/Observer</x:v>
      </x:c>
      <x:c r="F9" s="58" t="str">
        <x:v>QualityRules</x:v>
      </x:c>
      <x:c r="G9" s="58" t="str">
        <x:v>Provider线程接收，最少锁；不直接Dispatcher</x:v>
      </x:c>
      <x:c r="H9" s="58" t="str">
        <x:v>多Provider</x:v>
      </x:c>
    </x:row>
    <x:row r="10">
      <x:c r="A10" s="66" t="str">
        <x:v>VariableDependencyGraph</x:v>
      </x:c>
      <x:c r="B10" s="66" t="str">
        <x:v>变量→Binding/Element依赖索引</x:v>
      </x:c>
      <x:c r="C10" s="66" t="str">
        <x:v>variableId→bindingPlanIds</x:v>
      </x:c>
      <x:c r="D10" s="66" t="str">
        <x:v>Compile时建立，运行只读</x:v>
      </x:c>
      <x:c r="E10" s="66" t="str">
        <x:v>Graph/Index</x:v>
      </x:c>
      <x:c r="F10" s="66" t="str">
        <x:v>Collection helpers</x:v>
      </x:c>
      <x:c r="G10" s="66" t="str">
        <x:v>immutable/read-only</x:v>
      </x:c>
      <x:c r="H10" s="66" t="str">
        <x:v>新增Binding type</x:v>
      </x:c>
    </x:row>
    <x:row r="11">
      <x:c r="A11" s="58" t="str">
        <x:v>BindingCompiler</x:v>
      </x:c>
      <x:c r="B11" s="58" t="str">
        <x:v>BindingModel→BindingPlan</x:v>
      </x:c>
      <x:c r="C11" s="58" t="str">
        <x:v>resolver registry/property metadata/variables</x:v>
      </x:c>
      <x:c r="D11" s="58" t="str">
        <x:v>Validate→Resolver.Compile→dependency graph</x:v>
      </x:c>
      <x:c r="E11" s="58" t="str">
        <x:v>Factory/Strategy</x:v>
      </x:c>
      <x:c r="F11" s="58" t="str">
        <x:v>BindingValueCoercion</x:v>
      </x:c>
      <x:c r="G11" s="58" t="str">
        <x:v>Load/HotEdit后台可编译</x:v>
      </x:c>
      <x:c r="H11" s="58" t="str">
        <x:v>插件resolver</x:v>
      </x:c>
    </x:row>
    <x:row r="12">
      <x:c r="A12" s="66" t="str">
        <x:v>BindingEngine</x:v>
      </x:c>
      <x:c r="B12" s="66" t="str">
        <x:v>批量求值并写RuntimePropertyStore</x:v>
      </x:c>
      <x:c r="C12" s="66" t="str">
        <x:v>dirtyBindingIds/plans/resolvers/converters</x:v>
      </x:c>
      <x:c r="D12" s="66" t="str">
        <x:v>Variable batch→mark dirty→evaluate→converter→quality/fallback→store→render dirty</x:v>
      </x:c>
      <x:c r="E12" s="66" t="str">
        <x:v>Pipeline/Strategy</x:v>
      </x:c>
      <x:c r="F12" s="66" t="str">
        <x:v>Coercion/Quality</x:v>
      </x:c>
      <x:c r="G12" s="66" t="str">
        <x:v>后台求值，UI只Apply视觉dirty</x:v>
      </x:c>
      <x:c r="H12" s="66" t="str">
        <x:v>Resolver/Converter registry</x:v>
      </x:c>
    </x:row>
    <x:row r="13">
      <x:c r="A13" s="58" t="str">
        <x:v>RuntimePropertyStore</x:v>
      </x:c>
      <x:c r="B13" s="58" t="str">
        <x:v>保存静态值之外的ResolvedValue</x:v>
      </x:c>
      <x:c r="C13" s="58" t="str">
        <x:v>elementId/property/value/quality/timestamp/source</x:v>
      </x:c>
      <x:c r="D13" s="58" t="str">
        <x:v>SetIfChanged→PropertyChanged batch</x:v>
      </x:c>
      <x:c r="E13" s="58" t="str">
        <x:v>State store</x:v>
      </x:c>
      <x:c r="F13" s="58" t="str">
        <x:v>Equality helper</x:v>
      </x:c>
      <x:c r="G13" s="58" t="str">
        <x:v>线程安全；避免对象大量分配</x:v>
      </x:c>
      <x:c r="H13" s="58" t="str">
        <x:v>调试Inspector</x:v>
      </x:c>
    </x:row>
    <x:row r="14">
      <x:c r="A14" s="66" t="str">
        <x:v>BindingPlan</x:v>
      </x:c>
      <x:c r="B14" s="66" t="str">
        <x:v>编译后不可变运行计划</x:v>
      </x:c>
      <x:c r="C14" s="66" t="str">
        <x:v>id/target/dependencies/evaluator/converters</x:v>
      </x:c>
      <x:c r="D14" s="66" t="str">
        <x:v>被BindingEngine快速执行</x:v>
      </x:c>
      <x:c r="E14" s="66" t="str">
        <x:v>Compiled object</x:v>
      </x:c>
      <x:c r="F14" s="66" t="str">
        <x:v>无</x:v>
      </x:c>
      <x:c r="G14" s="66" t="str">
        <x:v>尽量immutable</x:v>
      </x:c>
      <x:c r="H14" s="66" t="str">
        <x:v>重新编译替换</x:v>
      </x:c>
    </x:row>
    <x:row r="15">
      <x:c r="A15" s="58" t="str">
        <x:v>TagBindingResolver</x:v>
      </x:c>
      <x:c r="B15" s="58" t="str">
        <x:v>TagBinding求值</x:v>
      </x:c>
      <x:c r="C15" s="58" t="str">
        <x:v>variableId/update policy/fallback</x:v>
      </x:c>
      <x:c r="D15" s="58" t="str">
        <x:v>读VariableEngine缓存→ResolvedValue</x:v>
      </x:c>
      <x:c r="E15" s="58" t="str">
        <x:v>Strategy</x:v>
      </x:c>
      <x:c r="F15" s="58" t="str">
        <x:v>QualityRules</x:v>
      </x:c>
      <x:c r="G15" s="58" t="str">
        <x:v>无IO阻塞</x:v>
      </x:c>
      <x:c r="H15" s="58" t="str">
        <x:v>Provider独立</x:v>
      </x:c>
    </x:row>
    <x:row r="16">
      <x:c r="A16" s="66" t="str">
        <x:v>PropertyBindingResolver</x:v>
      </x:c>
      <x:c r="B16" s="66" t="str">
        <x:v>元素属性→元素属性</x:v>
      </x:c>
      <x:c r="C16" s="66" t="str">
        <x:v>source element/property</x:v>
      </x:c>
      <x:c r="D16" s="66" t="str">
        <x:v>从RuntimePropertyStore/静态model读</x:v>
      </x:c>
      <x:c r="E16" s="66" t="str">
        <x:v>Strategy</x:v>
      </x:c>
      <x:c r="F16" s="66" t="str">
        <x:v>无</x:v>
      </x:c>
      <x:c r="G16" s="66" t="str">
        <x:v>检测循环依赖</x:v>
      </x:c>
      <x:c r="H16" s="66" t="str">
        <x:v>跨Component参数</x:v>
      </x:c>
    </x:row>
    <x:row r="17">
      <x:c r="A17" s="58" t="str">
        <x:v>ExpressionBindingResolver</x:v>
      </x:c>
      <x:c r="B17" s="58" t="str">
        <x:v>受限表达式</x:v>
      </x:c>
      <x:c r="C17" s="58" t="str">
        <x:v>AST/input bindings/functions</x:v>
      </x:c>
      <x:c r="D17" s="58" t="str">
        <x:v>输入准备→AST Evaluate→result</x:v>
      </x:c>
      <x:c r="E17" s="58" t="str">
        <x:v>Interpreter/Strategy</x:v>
      </x:c>
      <x:c r="F17" s="58" t="str">
        <x:v>ExpressionFunctions</x:v>
      </x:c>
      <x:c r="G17" s="58" t="str">
        <x:v>AST预编译；异常隔离</x:v>
      </x:c>
      <x:c r="H17" s="58" t="str">
        <x:v>自定义白名单函数</x:v>
      </x:c>
    </x:row>
    <x:row r="18">
      <x:c r="A18" s="66" t="str">
        <x:v>StateMapBindingResolver</x:v>
      </x:c>
      <x:c r="B18" s="66" t="str">
        <x:v>枚举/范围→状态值</x:v>
      </x:c>
      <x:c r="C18" s="66" t="str">
        <x:v>rules/default</x:v>
      </x:c>
      <x:c r="D18" s="66" t="str">
        <x:v>匹配规则→映射值</x:v>
      </x:c>
      <x:c r="E18" s="66" t="str">
        <x:v>Strategy/Specification</x:v>
      </x:c>
      <x:c r="F18" s="66" t="str">
        <x:v>StateMapMatch static</x:v>
      </x:c>
      <x:c r="G18" s="66" t="str">
        <x:v>规则排序预处理</x:v>
      </x:c>
      <x:c r="H18" s="66" t="str">
        <x:v>颜色/图片/文本统一</x:v>
      </x:c>
    </x:row>
    <x:row r="19">
      <x:c r="A19" s="58" t="str">
        <x:v>ConverterPipeline</x:v>
      </x:c>
      <x:c r="B19" s="58" t="str">
        <x:v>0..N转换器顺序执行</x:v>
      </x:c>
      <x:c r="C19" s="58" t="str">
        <x:v>converter plans</x:v>
      </x:c>
      <x:c r="D19" s="58" t="str">
        <x:v>value→c1→c2→...</x:v>
      </x:c>
      <x:c r="E19" s="58" t="str">
        <x:v>Pipeline</x:v>
      </x:c>
      <x:c r="F19" s="58" t="str">
        <x:v>常用无状态converter可静态实现或单例实例</x:v>
      </x:c>
      <x:c r="G19" s="58" t="str">
        <x:v>避免装箱/字符串反复解析</x:v>
      </x:c>
      <x:c r="H19" s="58" t="str">
        <x:v>插件converter</x:v>
      </x:c>
    </x:row>
    <x:row r="20">
      <x:c r="A20" s="66" t="str">
        <x:v>BindingCycleDetector</x:v>
      </x:c>
      <x:c r="B20" s="66" t="str">
        <x:v>检测Property/Expression依赖环</x:v>
      </x:c>
      <x:c r="C20" s="66" t="str">
        <x:v>graph</x:v>
      </x:c>
      <x:c r="D20" s="66" t="str">
        <x:v>Compile时DFS/Tarjan</x:v>
      </x:c>
      <x:c r="E20" s="66" t="str">
        <x:v>Graph algorithm</x:v>
      </x:c>
      <x:c r="F20" s="66" t="str">
        <x:v>可static</x:v>
      </x:c>
      <x:c r="G20" s="66" t="str">
        <x:v>仅配置变更时运行</x:v>
      </x:c>
      <x:c r="H20" s="66" t="str">
        <x:v>diagnostic</x:v>
      </x:c>
    </x:row>
    <x:row r="21">
      <x:c r="A21" s="58" t="str">
        <x:v>BindingDiagnostics</x:v>
      </x:c>
      <x:c r="B21" s="58" t="str">
        <x:v>记录原始/转换/最终/质量/耗时/错误</x:v>
      </x:c>
      <x:c r="C21" s="58" t="str">
        <x:v>trace ring buffer</x:v>
      </x:c>
      <x:c r="D21" s="58" t="str">
        <x:v>Debug开启时采样记录</x:v>
      </x:c>
      <x:c r="E21" s="58" t="str">
        <x:v>Observer</x:v>
      </x:c>
      <x:c r="F21" s="58" t="str">
        <x:v>Format helper</x:v>
      </x:c>
      <x:c r="G21" s="58" t="str">
        <x:v>默认低开销，缓存硬上限</x:v>
      </x:c>
      <x:c r="H21" s="58" t="str">
        <x:v>Online Debugger</x:v>
      </x:c>
    </x:row>
    <x:row r="22">
      <x:c r="A22" s="66" t="str">
        <x:v>ExistingVariableProvider</x:v>
      </x:c>
      <x:c r="B22" s="66" t="str">
        <x:v>现有公司变量池Adapter</x:v>
      </x:c>
      <x:c r="C22" s="66" t="str">
        <x:v>existing manager/subscriptions</x:v>
      </x:c>
      <x:c r="D22" s="66" t="str">
        <x:v>Metadata映射；Subscribe桥接；Write调用现有写入口</x:v>
      </x:c>
      <x:c r="E22" s="66" t="str">
        <x:v>Adapter</x:v>
      </x:c>
      <x:c r="F22" s="66" t="str">
        <x:v>类型映射static</x:v>
      </x:c>
      <x:c r="G22" s="66" t="str">
        <x:v>必须Dispose现有订阅</x:v>
      </x:c>
      <x:c r="H22" s="66" t="str">
        <x:v>旧系统升级适配</x:v>
      </x:c>
    </x:row>
    <x:row r="23">
      <x:c r="A23" s="58" t="str">
        <x:v>SimulationVariableProvider</x:v>
      </x:c>
      <x:c r="B23" s="58" t="str">
        <x:v>模拟数据Provider</x:v>
      </x:c>
      <x:c r="C23" s="58" t="str">
        <x:v>profiles/timer/state</x:v>
      </x:c>
      <x:c r="D23" s="58" t="str">
        <x:v>固定/Bool/随机/正弦/阶梯/CSV/Replay生成batch</x:v>
      </x:c>
      <x:c r="E23" s="58" t="str">
        <x:v>Strategy/Observer</x:v>
      </x:c>
      <x:c r="F23" s="58" t="str">
        <x:v>WaveMath static</x:v>
      </x:c>
      <x:c r="G23" s="58" t="str">
        <x:v>单调度器，不每变量一个Timer</x:v>
      </x:c>
      <x:c r="H23" s="58" t="str">
        <x:v>SimulationProfile</x:v>
      </x:c>
    </x:row>
    <x:row r="24">
      <x:c r="A24" s="66" t="str">
        <x:v>ReplayVariableProvider</x:v>
      </x:c>
      <x:c r="B24" s="66" t="str">
        <x:v>CSV/时间序列回放</x:v>
      </x:c>
      <x:c r="C24" s="66" t="str">
        <x:v>timeline/index/speed</x:v>
      </x:c>
      <x:c r="D24" s="66" t="str">
        <x:v>play/pause/seek→batch</x:v>
      </x:c>
      <x:c r="E24" s="66" t="str">
        <x:v>State/Strategy</x:v>
      </x:c>
      <x:c r="F24" s="66" t="str">
        <x:v>Interpolation static</x:v>
      </x:c>
      <x:c r="G24" s="66" t="str">
        <x:v>后台时钟</x:v>
      </x:c>
      <x:c r="H24" s="66" t="str">
        <x:v>文件格式插件</x:v>
      </x:c>
    </x:row>
    <x:row r="25">
      <x:c r="A25" s="58" t="str">
        <x:v>BatchBindingMatcher</x:v>
      </x:c>
      <x:c r="B25" s="58" t="str">
        <x:v>生成批量匹配Plan</x:v>
      </x:c>
      <x:c r="C25" s="58" t="str">
        <x:v>controls/variables/rules</x:v>
      </x:c>
      <x:c r="D25" s="58" t="str">
        <x:v>normalize→candidate→score→validate→plan</x:v>
      </x:c>
      <x:c r="E25" s="58" t="str">
        <x:v>Strategy/Pipeline</x:v>
      </x:c>
      <x:c r="F25" s="58" t="str">
        <x:v>NaturalSort/Regex helpers static</x:v>
      </x:c>
      <x:c r="G25" s="58" t="str">
        <x:v>设计时后台；可取消</x:v>
      </x:c>
      <x:c r="H25" s="58" t="str">
        <x:v>匹配规则插件</x:v>
      </x:c>
    </x:row>
    <x:row r="26">
      <x:c r="A26" s="66" t="str">
        <x:v>BindingValidationPipeline</x:v>
      </x:c>
      <x:c r="B26" s="66" t="str">
        <x:v>存在/类型/读写/属性/覆盖/危险点等校验</x:v>
      </x:c>
      <x:c r="C26" s="66" t="str">
        <x:v>validation rules</x:v>
      </x:c>
      <x:c r="D26" s="66" t="str">
        <x:v>all rules→report</x:v>
      </x:c>
      <x:c r="E26" s="66" t="str">
        <x:v>Chain</x:v>
      </x:c>
      <x:c r="F26" s="66" t="str">
        <x:v>类型兼容static</x:v>
      </x:c>
      <x:c r="G26" s="66" t="str">
        <x:v>执行前一次性</x:v>
      </x:c>
      <x:c r="H26" s="66" t="str">
        <x:v>插件规则</x:v>
      </x:c>
    </x:row>
    <x:row r="27">
      <x:c r="A27"/>
      <x:c r="B27"/>
      <x:c r="C27"/>
      <x:c r="D27"/>
      <x:c r="E27"/>
      <x:c r="F27"/>
      <x:c r="G27"/>
      <x:c r="H27"/>
    </x:row>
    <x:row r="28" ht="24" customHeight="1">
      <x:c r="A28" s="40" t="str">
        <x:v>B. Property Metadata / Inspector / Editor契约</x:v>
      </x:c>
      <x:c r="B28" s="40"/>
      <x:c r="C28" s="40"/>
      <x:c r="D28" s="40"/>
      <x:c r="E28" s="40"/>
      <x:c r="F28" s="40"/>
      <x:c r="G28" s="40"/>
      <x:c r="H28" s="40"/>
    </x:row>
    <x:row r="29" ht="28" customHeight="1">
      <x:c r="A29" s="50" t="str">
        <x:v>元数据对象</x:v>
      </x:c>
      <x:c r="B29" s="50" t="str">
        <x:v>职责</x:v>
      </x:c>
      <x:c r="C29" s="50" t="str">
        <x:v>关键字段</x:v>
      </x:c>
      <x:c r="D29" s="50" t="str">
        <x:v>数据来源</x:v>
      </x:c>
      <x:c r="E29" s="50" t="str">
        <x:v>消费者</x:v>
      </x:c>
      <x:c r="F29" s="50" t="str">
        <x:v>扩展方式</x:v>
      </x:c>
      <x:c r="G29" s="50" t="str">
        <x:v>强制规则</x:v>
      </x:c>
      <x:c r="H29" s="50" t="str">
        <x:v>M阶段</x:v>
      </x:c>
    </x:row>
    <x:row r="30">
      <x:c r="A30" s="58" t="str">
        <x:v>ElementDescriptor</x:v>
      </x:c>
      <x:c r="B30" s="58" t="str">
        <x:v>描述Element“是什么”</x:v>
      </x:c>
      <x:c r="C30" s="58" t="str">
        <x:v>TypeId/DisplayName/CategoryId/IconKey/Capabilities/ToolboxOrder/ShowInToolbox/FactoryKey/RendererKey</x:v>
      </x:c>
      <x:c r="D30" s="58" t="str">
        <x:v>BuiltIn/Plugin</x:v>
      </x:c>
      <x:c r="E30" s="58" t="str">
        <x:v>Toolbox/Tree/Factory/Renderer选择</x:v>
      </x:c>
      <x:c r="F30" s="58" t="str">
        <x:v>Catalog注册</x:v>
      </x:c>
      <x:c r="G30" s="58" t="str">
        <x:v>Category不从TypeId前缀推断</x:v>
      </x:c>
      <x:c r="H30" s="58" t="str">
        <x:v>M1</x:v>
      </x:c>
    </x:row>
    <x:row r="31">
      <x:c r="A31" s="66" t="str">
        <x:v>ElementCategoryIds</x:v>
      </x:c>
      <x:c r="B31" s="66" t="str">
        <x:v>固定7类产品分类</x:v>
      </x:c>
      <x:c r="C31" s="66" t="str">
        <x:v>primitive/symbol/display/control/chart/container/media</x:v>
      </x:c>
      <x:c r="D31" s="66" t="str">
        <x:v>Core constants</x:v>
      </x:c>
      <x:c r="E31" s="66" t="str">
        <x:v>Toolbox/过滤/文档</x:v>
      </x:c>
      <x:c r="F31" s="66" t="str">
        <x:v>不可新增第8类除非架构升版</x:v>
      </x:c>
      <x:c r="G31" s="66" t="str">
        <x:v>Dynamic绝不是Category</x:v>
      </x:c>
      <x:c r="H31" s="66" t="str">
        <x:v>M1</x:v>
      </x:c>
    </x:row>
    <x:row r="32">
      <x:c r="A32" s="58" t="str">
        <x:v>CapabilityFlags</x:v>
      </x:c>
      <x:c r="B32" s="58" t="str">
        <x:v>对象“能做什么”</x:v>
      </x:c>
      <x:c r="C32" s="58" t="str">
        <x:v>Bindable/Stateful/Animatable/Eventable/Alarm/Permission/Script/Children/EditPath...</x:v>
      </x:c>
      <x:c r="D32" s="58" t="str">
        <x:v>Descriptor</x:v>
      </x:c>
      <x:c r="E32" s="58" t="str">
        <x:v>Inspector/ContextMenu/CommandAvailability</x:v>
      </x:c>
      <x:c r="F32" s="58" t="str">
        <x:v>flags扩展</x:v>
      </x:c>
      <x:c r="G32" s="58" t="str">
        <x:v>能力不是继承层次</x:v>
      </x:c>
      <x:c r="H32" s="58" t="str">
        <x:v>M1</x:v>
      </x:c>
    </x:row>
    <x:row r="33">
      <x:c r="A33" s="66" t="str">
        <x:v>PropertyDescriptor</x:v>
      </x:c>
      <x:c r="B33" s="66" t="str">
        <x:v>属性契约</x:v>
      </x:c>
      <x:c r="C33" s="66" t="str">
        <x:v>Key/DisplayName/Category/ValueType/Default/EditorId/Bindable/ReadOnly/Order/Validators</x:v>
      </x:c>
      <x:c r="D33" s="66" t="str">
        <x:v>BuiltIn/Symbol/Plugin</x:v>
      </x:c>
      <x:c r="E33" s="66" t="str">
        <x:v>Inspector/Binding/Serializer/Runtime mapping</x:v>
      </x:c>
      <x:c r="F33" s="66" t="str">
        <x:v>Registry注册</x:v>
      </x:c>
      <x:c r="G33" s="66" t="str">
        <x:v>PropertyKey稳定</x:v>
      </x:c>
      <x:c r="H33" s="66" t="str">
        <x:v>M1</x:v>
      </x:c>
    </x:row>
    <x:row r="34">
      <x:c r="A34" s="58" t="str">
        <x:v>PropertyMetadataRegistry</x:v>
      </x:c>
      <x:c r="B34" s="58" t="str">
        <x:v>typeId→PropertyDescriptor集合</x:v>
      </x:c>
      <x:c r="C34" s="58" t="str">
        <x:v>merge/inheritance/overrides</x:v>
      </x:c>
      <x:c r="D34" s="58" t="str">
        <x:v>Composition Root</x:v>
      </x:c>
      <x:c r="E34" s="58" t="str">
        <x:v>PropertyPanel/Command/Validation</x:v>
      </x:c>
      <x:c r="F34" s="58" t="str">
        <x:v>BuiltIn注册+Plugin注册</x:v>
      </x:c>
      <x:c r="G34" s="58" t="str">
        <x:v>不为每类型手写属性面板</x:v>
      </x:c>
      <x:c r="H34" s="58" t="str">
        <x:v>M1</x:v>
      </x:c>
    </x:row>
    <x:row r="35">
      <x:c r="A35" s="66" t="str">
        <x:v>PropertyAccessor</x:v>
      </x:c>
      <x:c r="B35" s="66" t="str">
        <x:v>强类型统一读写</x:v>
      </x:c>
      <x:c r="C35" s="66" t="str">
        <x:v>getter/setter/coercion</x:v>
      </x:c>
      <x:c r="D35" s="66" t="str">
        <x:v>metadata compile</x:v>
      </x:c>
      <x:c r="E35" s="66" t="str">
        <x:v>ChangePropertyCommand/Runtime fallback</x:v>
      </x:c>
      <x:c r="F35" s="66" t="str">
        <x:v>可缓存delegate</x:v>
      </x:c>
      <x:c r="G35" s="66" t="str">
        <x:v>不得用反射散落UI</x:v>
      </x:c>
      <x:c r="H35" s="66" t="str">
        <x:v>M1</x:v>
      </x:c>
    </x:row>
    <x:row r="36">
      <x:c r="A36" s="58" t="str">
        <x:v>PropertyEditorRegistry</x:v>
      </x:c>
      <x:c r="B36" s="58" t="str">
        <x:v>EditorId/valueType→编辑器</x:v>
      </x:c>
      <x:c r="C36" s="58" t="str">
        <x:v>factory/descriptors</x:v>
      </x:c>
      <x:c r="D36" s="58" t="str">
        <x:v>Designer.Wpf</x:v>
      </x:c>
      <x:c r="E36" s="58" t="str">
        <x:v>Inspector</x:v>
      </x:c>
      <x:c r="F36" s="58" t="str">
        <x:v>Plugin可注册</x:v>
      </x:c>
      <x:c r="G36" s="58" t="str">
        <x:v>Editor只产出值/Model，不直接改对象</x:v>
      </x:c>
      <x:c r="H36" s="58" t="str">
        <x:v>M2</x:v>
      </x:c>
    </x:row>
    <x:row r="37">
      <x:c r="A37" s="66" t="str">
        <x:v>CommandAvailabilityService</x:v>
      </x:c>
      <x:c r="B37" s="66" t="str">
        <x:v>按Selection+Capabilities决定命令可用性</x:v>
      </x:c>
      <x:c r="C37" s="66" t="str">
        <x:v>command id/requirements/reason</x:v>
      </x:c>
      <x:c r="D37" s="66" t="str">
        <x:v>Metadata+Designer state</x:v>
      </x:c>
      <x:c r="E37" s="66" t="str">
        <x:v>菜单/右键/工具栏</x:v>
      </x:c>
      <x:c r="F37" s="66" t="str">
        <x:v>规则注册</x:v>
      </x:c>
      <x:c r="G37" s="66" t="str">
        <x:v>禁用必须可解释</x:v>
      </x:c>
      <x:c r="H37" s="66" t="str">
        <x:v>M2</x:v>
      </x:c>
    </x:row>
    <x:row r="38">
      <x:c r="A38" s="58" t="str">
        <x:v>DesignerToolTypeMap</x:v>
      </x:c>
      <x:c r="B38" s="58" t="str">
        <x:v>ToolKind→TypeId唯一映射</x:v>
      </x:c>
      <x:c r="C38" s="58" t="str">
        <x:v>tool id/type id/default preset</x:v>
      </x:c>
      <x:c r="D38" s="58" t="str">
        <x:v>Designer.Application</x:v>
      </x:c>
      <x:c r="E38" s="58" t="str">
        <x:v>Toolbox/ToolController/Tests</x:v>
      </x:c>
      <x:c r="F38" s="58" t="str">
        <x:v>一次注册</x:v>
      </x:c>
      <x:c r="G38" s="58" t="str">
        <x:v>禁止多份switch映射</x:v>
      </x:c>
      <x:c r="H38" s="58" t="str">
        <x:v>M1</x:v>
      </x:c>
    </x:row>
    <x:row r="39">
      <x:c r="A39" s="66" t="str">
        <x:v>ElementTypeAliasRegistry</x:v>
      </x:c>
      <x:c r="B39" s="66" t="str">
        <x:v>旧TypeId兼容</x:v>
      </x:c>
      <x:c r="C39" s="66" t="str">
        <x:v>oldTypeId→canonicalTypeId</x:v>
      </x:c>
      <x:c r="D39" s="66" t="str">
        <x:v>Serialization metadata</x:v>
      </x:c>
      <x:c r="E39" s="66" t="str">
        <x:v>ElementModelConverter/Migration</x:v>
      </x:c>
      <x:c r="F39" s="66" t="str">
        <x:v>版本化注册</x:v>
      </x:c>
      <x:c r="G39" s="66" t="str">
        <x:v>不直接改旧JSON</x:v>
      </x:c>
      <x:c r="H39" s="66" t="str">
        <x:v>M1/M5</x:v>
      </x:c>
    </x:row>
    <x:row r="40">
      <x:c r="A40" s="58" t="str">
        <x:v>DesignRole Metadata</x:v>
      </x:c>
      <x:c r="B40" s="58" t="str">
        <x:v>设计/语义角色词表</x:v>
      </x:c>
      <x:c r="C40" s="58" t="str">
        <x:v>Background/Content/Annotation/Interaction/SymbolPart + Body/Rotor/AlarmLamp...</x:v>
      </x:c>
      <x:c r="D40" s="58" t="str">
        <x:v>Core metadata</x:v>
      </x:c>
      <x:c r="E40" s="58" t="str">
        <x:v>Classifier/Search/Symbol authoring</x:v>
      </x:c>
      <x:c r="F40" s="58" t="str">
        <x:v>允许项目扩展自定义role</x:v>
      </x:c>
      <x:c r="G40" s="58" t="str">
        <x:v>Role与Layer/Type正交</x:v>
      </x:c>
      <x:c r="H40" s="58" t="str">
        <x:v>M2</x:v>
      </x:c>
    </x:row>
    <x:row r="41">
      <x:c r="A41" s="66" t="str">
        <x:v>PropertySearchIndex</x:v>
      </x:c>
      <x:c r="B41" s="66" t="str">
        <x:v>属性中文/英文/Key/category搜索</x:v>
      </x:c>
      <x:c r="C41" s="66" t="str">
        <x:v>normalized tokens</x:v>
      </x:c>
      <x:c r="D41" s="66" t="str">
        <x:v>Metadata registry</x:v>
      </x:c>
      <x:c r="E41" s="66" t="str">
        <x:v>Inspector search</x:v>
      </x:c>
      <x:c r="F41" s="66" t="str">
        <x:v>插件增量更新</x:v>
      </x:c>
      <x:c r="G41" s="66" t="str">
        <x:v>索引需随registry更新</x:v>
      </x:c>
      <x:c r="H41" s="66" t="str">
        <x:v>M2</x:v>
      </x:c>
    </x:row>
    <x:row r="42">
      <x:c r="A42" s="58" t="str">
        <x:v>SymbolPropertyDefinition</x:v>
      </x:c>
      <x:c r="B42" s="58" t="str">
        <x:v>Symbol对外公开属性元数据</x:v>
      </x:c>
      <x:c r="C42" s="58" t="str">
        <x:v>Key/Type/Default/Unit/Description/Bindable/Direction</x:v>
      </x:c>
      <x:c r="D42" s="58" t="str">
        <x:v>SymbolDefinition</x:v>
      </x:c>
      <x:c r="E42" s="58" t="str">
        <x:v>实例Inspector/Mapping/Runtime</x:v>
      </x:c>
      <x:c r="F42" s="58" t="str">
        <x:v>Definition编辑</x:v>
      </x:c>
      <x:c r="G42" s="58" t="str">
        <x:v>对外Key稳定且可版本迁移</x:v>
      </x:c>
      <x:c r="H42" s="58" t="str">
        <x:v>M2</x:v>
      </x:c>
    </x:row>
    <x:row r="43">
      <x:c r="A43" s="66" t="str">
        <x:v>DiagnosticMetadata</x:v>
      </x:c>
      <x:c r="B43" s="66" t="str">
        <x:v>错误码解释与解决建议</x:v>
      </x:c>
      <x:c r="C43" s="66" t="str">
        <x:v>Code/Severity/Module/Resolution/DocsKey</x:v>
      </x:c>
      <x:c r="D43" s="66" t="str">
        <x:v>各模块注册</x:v>
      </x:c>
      <x:c r="E43" s="66" t="str">
        <x:v>Output/Runtime Diagnostics</x:v>
      </x:c>
      <x:c r="F43" s="66" t="str">
        <x:v>可扩展</x:v>
      </x:c>
      <x:c r="G43" s="66" t="str">
        <x:v>错误必须能解释和定位</x:v>
      </x:c>
      <x:c r="H43" s="66" t="str">
        <x:v>M1~RC</x:v>
      </x:c>
    </x:row>
    <x:row r="44">
      <x:c r="A44"/>
      <x:c r="B44"/>
      <x:c r="C44"/>
      <x:c r="D44"/>
      <x:c r="E44"/>
      <x:c r="F44"/>
      <x:c r="G44"/>
      <x:c r="H44"/>
    </x:row>
    <x:row r="45">
      <x:c r="A45"/>
      <x:c r="B45"/>
      <x:c r="C45"/>
      <x:c r="D45"/>
      <x:c r="E45"/>
      <x:c r="F45"/>
      <x:c r="G45"/>
      <x:c r="H45"/>
    </x:row>
    <x:row r="46">
      <x:c r="A46" s="58" t="str">
        <x:v>跨域 Metadata / Catalog 扩展</x:v>
      </x:c>
      <x:c r="B46" s="58"/>
      <x:c r="C46" s="58"/>
      <x:c r="D46" s="58"/>
      <x:c r="E46" s="58"/>
      <x:c r="F46" s="58"/>
      <x:c r="G46" s="58"/>
      <x:c r="H46" s="58"/>
    </x:row>
    <x:row r="47" ht="28" customHeight="1">
      <x:c r="A47" s="50" t="str">
        <x:v>Descriptor/Catalog</x:v>
      </x:c>
      <x:c r="B47" s="50" t="str">
        <x:v>描述对象</x:v>
      </x:c>
      <x:c r="C47" s="50" t="str">
        <x:v>关键字段</x:v>
      </x:c>
      <x:c r="D47" s="50" t="str">
        <x:v>消费者</x:v>
      </x:c>
      <x:c r="E47" s="50" t="str">
        <x:v>注册来源</x:v>
      </x:c>
      <x:c r="F47" s="50" t="str">
        <x:v>稳定键</x:v>
      </x:c>
      <x:c r="G47" s="50" t="str">
        <x:v>禁止</x:v>
      </x:c>
      <x:c r="H47" s="50" t="str">
        <x:v>阶段</x:v>
      </x:c>
    </x:row>
    <x:row r="48">
      <x:c r="A48" s="66" t="str">
        <x:v>GraphKindDescriptor</x:v>
      </x:c>
      <x:c r="B48" s="66" t="str">
        <x:v>一种Graph执行域</x:v>
      </x:c>
      <x:c r="C48" s="66" t="str">
        <x:v>GraphKind/DisplayName/CompilerKey/DebuggerKey/Capabilities</x:v>
      </x:c>
      <x:c r="D48" s="66" t="str">
        <x:v>Studio/CompilerRegistry</x:v>
      </x:c>
      <x:c r="E48" s="66" t="str">
        <x:v>BuiltIn/Plugin</x:v>
      </x:c>
      <x:c r="F48" s="66" t="str">
        <x:v>GraphKind</x:v>
      </x:c>
      <x:c r="G48" s="66" t="str">
        <x:v>用类名推断Runtime</x:v>
      </x:c>
      <x:c r="H48" s="66" t="str">
        <x:v>M3</x:v>
      </x:c>
    </x:row>
    <x:row r="49">
      <x:c r="A49" s="58" t="str">
        <x:v>NodeDescriptor</x:v>
      </x:c>
      <x:c r="B49" s="58" t="str">
        <x:v>一种Graph节点类型</x:v>
      </x:c>
      <x:c r="C49" s="58" t="str">
        <x:v>NodeTypeId/Category/Ports/Parameters/ExecutorKey/Capabilities</x:v>
      </x:c>
      <x:c r="D49" s="58" t="str">
        <x:v>Node Toolbox/Inspector/Compiler</x:v>
      </x:c>
      <x:c r="E49" s="58" t="str">
        <x:v>Domain/Plugin</x:v>
      </x:c>
      <x:c r="F49" s="58" t="str">
        <x:v>NodeTypeId</x:v>
      </x:c>
      <x:c r="G49" s="58" t="str">
        <x:v>Node类反射自动当Schema</x:v>
      </x:c>
      <x:c r="H49" s="58" t="str">
        <x:v>M3+</x:v>
      </x:c>
    </x:row>
    <x:row r="50">
      <x:c r="A50" s="66" t="str">
        <x:v>DataTypeDescriptor</x:v>
      </x:c>
      <x:c r="B50" s="66" t="str">
        <x:v>一种平台数据类型</x:v>
      </x:c>
      <x:c r="C50" s="66" t="str">
        <x:v>TypeId/ClrType/Serializer/Viewer/Compatibility</x:v>
      </x:c>
      <x:c r="D50" s="66" t="str">
        <x:v>Port Editor/TypeSystem/Data Viewer</x:v>
      </x:c>
      <x:c r="E50" s="66" t="str">
        <x:v>BuiltIn/Plugin</x:v>
      </x:c>
      <x:c r="F50" s="66" t="str">
        <x:v>DataTypeId</x:v>
      </x:c>
      <x:c r="G50" s="66" t="str">
        <x:v>直接用CLR FullName持久化</x:v>
      </x:c>
      <x:c r="H50" s="66" t="str">
        <x:v>M3</x:v>
      </x:c>
    </x:row>
    <x:row r="51">
      <x:c r="A51" s="58" t="str">
        <x:v>DeviceCapabilityDescriptor</x:v>
      </x:c>
      <x:c r="B51" s="58" t="str">
        <x:v>设备Provider能力</x:v>
      </x:c>
      <x:c r="C51" s="58" t="str">
        <x:v>CapabilityId/Commands/StateSchema/ConfigSchema</x:v>
      </x:c>
      <x:c r="D51" s="58" t="str">
        <x:v>Device Explorer/Motion Nodes</x:v>
      </x:c>
      <x:c r="E51" s="58" t="str">
        <x:v>Provider</x:v>
      </x:c>
      <x:c r="F51" s="58" t="str">
        <x:v>CapabilityId</x:v>
      </x:c>
      <x:c r="G51" s="58" t="str">
        <x:v>按厂商型号到处if</x:v>
      </x:c>
      <x:c r="H51" s="58" t="str">
        <x:v>M4+</x:v>
      </x:c>
    </x:row>
    <x:row r="52">
      <x:c r="A52" s="66" t="str">
        <x:v>DebugAdapterDescriptor</x:v>
      </x:c>
      <x:c r="B52" s="66" t="str">
        <x:v>Domain调试适配</x:v>
      </x:c>
      <x:c r="C52" s="66" t="str">
        <x:v>TargetKind/Commands/Viewers/StepCapabilities</x:v>
      </x:c>
      <x:c r="D52" s="66" t="str">
        <x:v>Unified Debug UI</x:v>
      </x:c>
      <x:c r="E52" s="66" t="str">
        <x:v>Domain runtime</x:v>
      </x:c>
      <x:c r="F52" s="66" t="str">
        <x:v>TargetKind</x:v>
      </x:c>
      <x:c r="G52" s="66" t="str">
        <x:v>每个Designer自建Debug协议</x:v>
      </x:c>
      <x:c r="H52" s="66" t="str">
        <x:v>M3+</x:v>
      </x:c>
    </x:row>
    <x:row r="53">
      <x:c r="A53" s="58" t="str">
        <x:v>ArtifactViewerDescriptor</x:v>
      </x:c>
      <x:c r="B53" s="58" t="str">
        <x:v>运行数据Viewer</x:v>
      </x:c>
      <x:c r="C53" s="58" t="str">
        <x:v>DataTypeId/ViewerId/Capabilities</x:v>
      </x:c>
      <x:c r="D53" s="58" t="str">
        <x:v>Vision/Inspection Debug</x:v>
      </x:c>
      <x:c r="E53" s="58" t="str">
        <x:v>BuiltIn/Plugin</x:v>
      </x:c>
      <x:c r="F53" s="58" t="str">
        <x:v>ViewerId</x:v>
      </x:c>
      <x:c r="G53" s="58" t="str">
        <x:v>大对象强制全部复制到UI</x:v>
      </x:c>
      <x:c r="H53" s="58" t="str">
        <x:v>M5+</x:v>
      </x:c>
    </x:row>
    <x:row r="55">
      <x:c r="A55" t="str">
        <x:v>C. 历史 DeviceVariable Binding 闭环（V6.4兼容；目标见46/50）</x:v>
      </x:c>
      <x:c r="B55"/>
      <x:c r="C55"/>
      <x:c r="D55"/>
      <x:c r="E55"/>
      <x:c r="F55"/>
      <x:c r="G55"/>
      <x:c r="H55"/>
    </x:row>
    <x:row r="56">
      <x:c r="A56" t="str">
        <x:v>类/模块</x:v>
      </x:c>
      <x:c r="B56" t="str">
        <x:v>职责</x:v>
      </x:c>
      <x:c r="C56" t="str">
        <x:v>关键数据</x:v>
      </x:c>
      <x:c r="D56" t="str">
        <x:v>运行/编辑流程</x:v>
      </x:c>
      <x:c r="E56" t="str">
        <x:v>模式</x:v>
      </x:c>
      <x:c r="F56" t="str">
        <x:v>static共用</x:v>
      </x:c>
      <x:c r="G56" t="str">
        <x:v>线程/性能</x:v>
      </x:c>
      <x:c r="H56" t="str">
        <x:v>DesignRef</x:v>
      </x:c>
    </x:row>
    <x:row r="57">
      <x:c r="A57" t="str">
        <x:v>DeviceVariableCatalog</x:v>
      </x:c>
      <x:c r="B57" t="str">
        <x:v>设计时设备变量浏览</x:v>
      </x:c>
      <x:c r="C57" t="str">
        <x:v>Device/Group/Variable/Type/Address/RW/Quality metadata</x:v>
      </x:c>
      <x:c r="D57" t="str">
        <x:v>加载Provider Catalog→构建变量树→搜索/筛选→选择</x:v>
      </x:c>
      <x:c r="E57" t="str">
        <x:v>Facade</x:v>
      </x:c>
      <x:c r="F57" t="str">
        <x:v>无</x:v>
      </x:c>
      <x:c r="G57" t="str">
        <x:v>后台加载，UI虚拟化</x:v>
      </x:c>
      <x:c r="H57" t="str">
        <x:v>46</x:v>
      </x:c>
    </x:row>
    <x:row r="58">
      <x:c r="A58" t="str">
        <x:v>VariableReferenceFactory</x:v>
      </x:c>
      <x:c r="B58" t="str">
        <x:v>从DeviceVariable生成稳定引用</x:v>
      </x:c>
      <x:c r="C58" t="str">
        <x:v>VariableId/ProviderId/PathHint/DataTypeId</x:v>
      </x:c>
      <x:c r="D58" t="str">
        <x:v>选择或拖放变量→解析Project VariableDefinition→生成VariableReference</x:v>
      </x:c>
      <x:c r="E58" t="str">
        <x:v>Factory</x:v>
      </x:c>
      <x:c r="F58" t="str">
        <x:v>Id helper</x:v>
      </x:c>
      <x:c r="G58" t="str">
        <x:v>纯函数/缓存</x:v>
      </x:c>
      <x:c r="H58" t="str">
        <x:v>46</x:v>
      </x:c>
    </x:row>
    <x:row r="59">
      <x:c r="A59" t="str">
        <x:v>BindingEditor</x:v>
      </x:c>
      <x:c r="B59" t="str">
        <x:v>属性/Binding编辑器直接选择变量</x:v>
      </x:c>
      <x:c r="C59" t="str">
        <x:v>TargetProperty/VariableReference/Converter/Fallback</x:v>
      </x:c>
      <x:c r="D59" t="str">
        <x:v>Inspector→Variable picker/drag-drop→Validate type→Command提交</x:v>
      </x:c>
      <x:c r="E59" t="str">
        <x:v>Command/MVVM</x:v>
      </x:c>
      <x:c r="F59" t="str">
        <x:v>Type coercion</x:v>
      </x:c>
      <x:c r="G59" t="str">
        <x:v>UI只编辑配置</x:v>
      </x:c>
      <x:c r="H59" t="str">
        <x:v>46</x:v>
      </x:c>
    </x:row>
    <x:row r="60">
      <x:c r="A60" t="str">
        <x:v>ProjectVariableSyncService</x:v>
      </x:c>
      <x:c r="B60" t="str">
        <x:v>DeviceVariable同步工程变量</x:v>
      </x:c>
      <x:c r="C60" t="str">
        <x:v>Source identity→Stable VariableId/Metadata snapshot</x:v>
      </x:c>
      <x:c r="D60" t="str">
        <x:v>Discover→Match stable identity→Add/Update Definition→report changes</x:v>
      </x:c>
      <x:c r="E60" t="str">
        <x:v>Application Service</x:v>
      </x:c>
      <x:c r="F60" t="str">
        <x:v>Id/Hash helper</x:v>
      </x:c>
      <x:c r="G60" t="str">
        <x:v>批处理Command</x:v>
      </x:c>
      <x:c r="H60" t="str">
        <x:v>46</x:v>
      </x:c>
    </x:row>
    <x:row r="61">
      <x:c r="A61" t="str">
        <x:v>OfflineBinding</x:v>
      </x:c>
      <x:c r="B61" t="str">
        <x:v>Provider离线仍保留引用</x:v>
      </x:c>
      <x:c r="C61" t="str">
        <x:v>VariableReference + LastMetadata + Quality</x:v>
      </x:c>
      <x:c r="D61" t="str">
        <x:v>离线→Quality=Bad/Disconnected→Binding fallback；重连→重新订阅</x:v>
      </x:c>
      <x:c r="E61" t="str">
        <x:v>Resilience</x:v>
      </x:c>
      <x:c r="F61" t="str">
        <x:v>Quality rules</x:v>
      </x:c>
      <x:c r="G61" t="str">
        <x:v>无删除引用</x:v>
      </x:c>
      <x:c r="H61" t="str">
        <x:v>46</x:v>
      </x:c>
    </x:row>
    <x:row r="62">
      <x:c r="A62" t="str">
        <x:v>Binding诊断</x:v>
      </x:c>
      <x:c r="B62" t="str">
        <x:v>显示变量来源与质量</x:v>
      </x:c>
      <x:c r="C62" t="str">
        <x:v>Provider/VariableId/Path/Quality/Timestamp/Sequence</x:v>
      </x:c>
      <x:c r="D62" t="str">
        <x:v>定位绑定→显示实时值/质量/年龄/Source→跳转变量树</x:v>
      </x:c>
      <x:c r="E62" t="str">
        <x:v>Diagnostics</x:v>
      </x:c>
      <x:c r="F62" t="str">
        <x:v>Age helper</x:v>
      </x:c>
      <x:c r="G62" t="str">
        <x:v>采样显示</x:v>
      </x:c>
      <x:c r="H62" t="str">
        <x:v>46</x:v>
      </x:c>
    </x:row>
    <x:row r="63">
      <x:c r="A63" t="str">
        <x:v>禁止</x:v>
      </x:c>
      <x:c r="B63" t="str">
        <x:v>UI/ViewModel直访VariableManager</x:v>
      </x:c>
      <x:c r="C63" t="str">
        <x:v>—</x:v>
      </x:c>
      <x:c r="D63" t="str">
        <x:v>所有读取/订阅经Catalog/VariableEngine；写入经WritePipeline</x:v>
      </x:c>
      <x:c r="E63" t="str">
        <x:v>Boundary</x:v>
      </x:c>
      <x:c r="F63" t="str">
        <x:v>—</x:v>
      </x:c>
      <x:c r="G63" t="str">
        <x:v>—</x:v>
      </x:c>
      <x:c r="H63" t="str">
        <x:v>46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36" hidden="0" customWidth="1"/>
    <x:col min="5" max="5" width="34" hidden="0" customWidth="1"/>
    <x:col min="6" max="6" width="30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</x:cols>
  <x:sheetData>
    <x:row r="1" ht="30" customHeight="1">
      <x:c r="A1" s="8" t="str">
        <x:v>CxVisual Symbol / Group / Role / Template 体系</x:v>
      </x:c>
      <x:c r="B1" s="8"/>
      <x:c r="C1" s="8"/>
      <x:c r="D1" s="8"/>
      <x:c r="E1" s="8"/>
      <x:c r="F1" s="8"/>
      <x:c r="G1" s="8"/>
      <x:c r="H1" s="8"/>
      <x:c r="I1" s="8"/>
      <x:c r="J1" s="8"/>
    </x:row>
    <x:row r="2" ht="38" customHeight="1">
      <x:c r="A2" s="16" t="str">
        <x:v>定义Group→Symbol、Definition/Instance、PublicProperty/Mapping/Version/Role/对象索引等工业语义复用体系。</x:v>
      </x:c>
      <x:c r="B2" s="16"/>
      <x:c r="C2" s="16"/>
      <x:c r="D2" s="16"/>
      <x:c r="E2" s="16"/>
      <x:c r="F2" s="16"/>
      <x:c r="G2" s="16"/>
      <x:c r="H2" s="16"/>
      <x:c r="I2" s="16"/>
      <x:c r="J2" s="16"/>
    </x:row>
    <x:row r="3">
      <x:c r="A3" s="30" t="str">
        <x:v>本页唯一权威</x:v>
      </x:c>
      <x:c r="B3" s="31" t="str">
        <x:v>Symbol Definition/Instance、Group边界、公开属性、映射、版本、Role、快速检索。</x:v>
      </x:c>
      <x:c r="C3" s="31"/>
      <x:c r="D3" s="31"/>
      <x:c r="E3" s="31"/>
      <x:c r="F3" s="31"/>
      <x:c r="G3" s="31"/>
      <x:c r="H3" s="31"/>
      <x:c r="I3" s="31"/>
      <x:c r="J3" s="31"/>
    </x:row>
    <x:row r="4">
      <x:c r="A4" s="30" t="str">
        <x:v>不在本页维护</x:v>
      </x:c>
      <x:c r="B4" s="31" t="str">
        <x:v>基础图元（见01）、Property/Binding公共机制（见10）、Runtime动态值链（见18）。</x:v>
      </x:c>
      <x:c r="C4" s="31"/>
      <x:c r="D4" s="31"/>
      <x:c r="E4" s="31"/>
      <x:c r="F4" s="31"/>
      <x:c r="G4" s="31"/>
      <x:c r="H4" s="31"/>
      <x:c r="I4" s="31"/>
      <x:c r="J4" s="31"/>
    </x:row>
    <x:row r="5">
      <x:c r="A5" s="30" t="str">
        <x:v>关联分页</x:v>
      </x:c>
      <x:c r="B5" s="31" t="str">
        <x:v>01_图元体系；10_Property元数据Binding；12_ProjectSchemaSerialization；18_RuntimeHost与Domain宿主。</x:v>
      </x:c>
      <x:c r="C5" s="31"/>
      <x:c r="D5" s="31"/>
      <x:c r="E5" s="31"/>
      <x:c r="F5" s="31"/>
      <x:c r="G5" s="31"/>
      <x:c r="H5" s="31"/>
      <x:c r="I5" s="31"/>
      <x:c r="J5" s="31"/>
    </x:row>
    <x:row r="6">
      <x:c r="A6"/>
      <x:c r="B6"/>
      <x:c r="C6"/>
      <x:c r="D6"/>
      <x:c r="E6"/>
      <x:c r="F6"/>
      <x:c r="G6"/>
      <x:c r="H6"/>
      <x:c r="I6"/>
      <x:c r="J6"/>
    </x:row>
    <x:row r="7" ht="24" customHeight="1">
      <x:c r="A7" s="40" t="str">
        <x:v>A. 对象模型</x:v>
      </x:c>
      <x:c r="B7" s="40"/>
      <x:c r="C7" s="40"/>
      <x:c r="D7" s="40"/>
      <x:c r="E7" s="40"/>
      <x:c r="F7" s="40"/>
      <x:c r="G7" s="40"/>
      <x:c r="H7" s="40"/>
      <x:c r="I7" s="40"/>
      <x:c r="J7" s="40"/>
    </x:row>
    <x:row r="8" ht="28" customHeight="1">
      <x:c r="A8" s="50" t="str">
        <x:v>对象</x:v>
      </x:c>
      <x:c r="B8" s="50" t="str">
        <x:v>正式职责</x:v>
      </x:c>
      <x:c r="C8" s="50" t="str">
        <x:v>持久化位置</x:v>
      </x:c>
      <x:c r="D8" s="50" t="str">
        <x:v>关键字段/内容</x:v>
      </x:c>
      <x:c r="E8" s="50" t="str">
        <x:v>页面编辑方式</x:v>
      </x:c>
      <x:c r="F8" s="50" t="str">
        <x:v>Runtime职责</x:v>
      </x:c>
      <x:c r="G8" s="50" t="str">
        <x:v>版本</x:v>
      </x:c>
      <x:c r="H8" s="50" t="str">
        <x:v>索引/地址</x:v>
      </x:c>
      <x:c r="I8" s="50" t="str">
        <x:v>迁移来源</x:v>
      </x:c>
      <x:c r="J8" s="50" t="str">
        <x:v>禁止事项</x:v>
      </x:c>
    </x:row>
    <x:row r="9">
      <x:c r="A9" s="58" t="str">
        <x:v>GroupElementModel</x:v>
      </x:c>
      <x:c r="B9" s="58" t="str">
        <x:v>临时编辑组合/轻量容器</x:v>
      </x:c>
      <x:c r="C9" s="58" t="str">
        <x:v>Page.Elements</x:v>
      </x:c>
      <x:c r="D9" s="58" t="str">
        <x:v>Children + local bounds + Transform</x:v>
      </x:c>
      <x:c r="E9" s="58" t="str">
        <x:v>页面直接编辑</x:v>
      </x:c>
      <x:c r="F9" s="58" t="str">
        <x:v>组合渲染，无业务接口</x:v>
      </x:c>
      <x:c r="G9" s="58" t="str">
        <x:v>无</x:v>
      </x:c>
      <x:c r="H9" s="58" t="str">
        <x:v>普通ElementId</x:v>
      </x:c>
      <x:c r="I9" s="58" t="str">
        <x:v>原Group</x:v>
      </x:c>
      <x:c r="J9" s="58" t="str">
        <x:v>不能加PublicProperties后冒充Symbol</x:v>
      </x:c>
    </x:row>
    <x:row r="10">
      <x:c r="A10" s="66" t="str">
        <x:v>SymbolDefinition</x:v>
      </x:c>
      <x:c r="B10" s="66" t="str">
        <x:v>语义模板/定义</x:v>
      </x:c>
      <x:c r="C10" s="66" t="str">
        <x:v>Project.SymbolDefinitions / symbols/*.json</x:v>
      </x:c>
      <x:c r="D10" s="66" t="str">
        <x:v>Id/Name/Version/Children/PublicProperties/Mappings/States/Animations/Events/Scripts/Ports/Metadata</x:v>
      </x:c>
      <x:c r="E10" s="66" t="str">
        <x:v>独立Symbol Editor</x:v>
      </x:c>
      <x:c r="F10" s="66" t="str">
        <x:v>编译为DefinitionPlan</x:v>
      </x:c>
      <x:c r="G10" s="66" t="str">
        <x:v>必须</x:v>
      </x:c>
      <x:c r="H10" s="66" t="str">
        <x:v>SymbolObjectIndex(localId/Alias/Role)</x:v>
      </x:c>
      <x:c r="I10" s="66" t="str">
        <x:v>原ComponentDefinition/GraphicSymbolDefinition</x:v>
      </x:c>
      <x:c r="J10" s="66" t="str">
        <x:v>Definition不直接占页面</x:v>
      </x:c>
    </x:row>
    <x:row r="11">
      <x:c r="A11" s="58" t="str">
        <x:v>SymbolInstanceElementModel</x:v>
      </x:c>
      <x:c r="B11" s="58" t="str">
        <x:v>页面语义实例</x:v>
      </x:c>
      <x:c r="C11" s="58" t="str">
        <x:v>Page.Elements</x:v>
      </x:c>
      <x:c r="D11" s="58" t="str">
        <x:v>DefinitionId/ResolvedVersion/VersionPolicy/InstanceName/PublicPropertyOverrides/ParameterMappings/Bindings</x:v>
      </x:c>
      <x:c r="E11" s="58" t="str">
        <x:v>页面只编辑公开属性/实例覆盖</x:v>
      </x:c>
      <x:c r="F11" s="58" t="str">
        <x:v>生成scoped runtime objects</x:v>
      </x:c>
      <x:c r="G11" s="58" t="str">
        <x:v>引用版本</x:v>
      </x:c>
      <x:c r="H11" s="58" t="str">
        <x:v>instanceId及instanceId::localElementId</x:v>
      </x:c>
      <x:c r="I11" s="58" t="str">
        <x:v>原ComponentInstance/GraphicInstance</x:v>
      </x:c>
      <x:c r="J11" s="58" t="str">
        <x:v>页面不复制完整Children</x:v>
      </x:c>
    </x:row>
    <x:row r="12">
      <x:c r="A12" s="66" t="str">
        <x:v>SymbolPropertyDefinition</x:v>
      </x:c>
      <x:c r="B12" s="66" t="str">
        <x:v>对外稳定公开接口</x:v>
      </x:c>
      <x:c r="C12" s="66" t="str">
        <x:v>Definition内</x:v>
      </x:c>
      <x:c r="D12" s="66" t="str">
        <x:v>Key/Type/Default/Unit/Description/Bindable/Direction/DeprecatedAlias</x:v>
      </x:c>
      <x:c r="E12" s="66" t="str">
        <x:v>Symbol Editor属性页</x:v>
      </x:c>
      <x:c r="F12" s="66" t="str">
        <x:v>输入Resolver的Symbol层</x:v>
      </x:c>
      <x:c r="G12" s="66" t="str">
        <x:v>随Definition</x:v>
      </x:c>
      <x:c r="H12" s="66" t="str">
        <x:v>Key稳定</x:v>
      </x:c>
      <x:c r="I12" s="66" t="str">
        <x:v>原ComponentParameter</x:v>
      </x:c>
      <x:c r="J12" s="66" t="str">
        <x:v>不得直接暴露内部child属性</x:v>
      </x:c>
    </x:row>
    <x:row r="13">
      <x:c r="A13" s="58" t="str">
        <x:v>SymbolPropertyMapping</x:v>
      </x:c>
      <x:c r="B13" s="58" t="str">
        <x:v>公开属性→内部对象映射</x:v>
      </x:c>
      <x:c r="C13" s="58" t="str">
        <x:v>Definition内</x:v>
      </x:c>
      <x:c r="D13" s="58" t="str">
        <x:v>SourceKey + TargetElementId/Alias/Role + TargetProperty + Converter</x:v>
      </x:c>
      <x:c r="E13" s="58" t="str">
        <x:v>Mapping编辑器</x:v>
      </x:c>
      <x:c r="F13" s="58" t="str">
        <x:v>写Symbol Runtime Layer</x:v>
      </x:c>
      <x:c r="G13" s="58" t="str">
        <x:v>随Definition</x:v>
      </x:c>
      <x:c r="H13" s="58" t="str">
        <x:v>ID→Alias→Role解析</x:v>
      </x:c>
      <x:c r="I13" s="58" t="str">
        <x:v>原参数映射</x:v>
      </x:c>
      <x:c r="J13" s="58" t="str">
        <x:v>Role歧义必须失败</x:v>
      </x:c>
    </x:row>
    <x:row r="14">
      <x:c r="A14" s="66" t="str">
        <x:v>SymbolPortDefinition</x:v>
      </x:c>
      <x:c r="B14" s="66" t="str">
        <x:v>连接/管路/对接接口</x:v>
      </x:c>
      <x:c r="C14" s="66" t="str">
        <x:v>Definition内</x:v>
      </x:c>
      <x:c r="D14" s="66" t="str">
        <x:v>Id/Name/LocalPosition/Direction/PortType/Metadata</x:v>
      </x:c>
      <x:c r="E14" s="66" t="str">
        <x:v>Symbol Editor端口模式</x:v>
      </x:c>
      <x:c r="F14" s="66" t="str">
        <x:v>解析WorldPort</x:v>
      </x:c>
      <x:c r="G14" s="66" t="str">
        <x:v>随Definition</x:v>
      </x:c>
      <x:c r="H14" s="66" t="str">
        <x:v>local id</x:v>
      </x:c>
      <x:c r="I14" s="66" t="str">
        <x:v>原ComponentPort</x:v>
      </x:c>
      <x:c r="J14" s="66" t="str">
        <x:v>不存WPF Point</x:v>
      </x:c>
    </x:row>
    <x:row r="15">
      <x:c r="A15" s="58" t="str">
        <x:v>SymbolEventDefinition</x:v>
      </x:c>
      <x:c r="B15" s="58" t="str">
        <x:v>对外事件接口</x:v>
      </x:c>
      <x:c r="C15" s="58" t="str">
        <x:v>Definition内</x:v>
      </x:c>
      <x:c r="D15" s="58" t="str">
        <x:v>EventKey/Parameters/Description</x:v>
      </x:c>
      <x:c r="E15" s="58" t="str">
        <x:v>事件页</x:v>
      </x:c>
      <x:c r="F15" s="58" t="str">
        <x:v>EventRouter输出</x:v>
      </x:c>
      <x:c r="G15" s="58" t="str">
        <x:v>随Definition</x:v>
      </x:c>
      <x:c r="H15" s="58" t="str">
        <x:v>EventKey</x:v>
      </x:c>
      <x:c r="I15" s="58" t="str">
        <x:v>原Component Event</x:v>
      </x:c>
      <x:c r="J15" s="58" t="str">
        <x:v>内部WPF事件不直接外泄</x:v>
      </x:c>
    </x:row>
    <x:row r="16">
      <x:c r="A16" s="66" t="str">
        <x:v>BuiltInSymbolDefinition</x:v>
      </x:c>
      <x:c r="B16" s="66" t="str">
        <x:v>软件内置标准Symbol</x:v>
      </x:c>
      <x:c r="C16" s="66" t="str">
        <x:v>内置库/资源包</x:v>
      </x:c>
      <x:c r="D16" s="66" t="str">
        <x:v>与SymbolDefinition同协议</x:v>
      </x:c>
      <x:c r="E16" s="66" t="str">
        <x:v>只读或复制为项目Symbol</x:v>
      </x:c>
      <x:c r="F16" s="66" t="str">
        <x:v>同一Runtime</x:v>
      </x:c>
      <x:c r="G16" s="66" t="str">
        <x:v>独立版本</x:v>
      </x:c>
      <x:c r="H16" s="66" t="str">
        <x:v>Catalog</x:v>
      </x:c>
      <x:c r="I16" s="66" t="str">
        <x:v>原Tank/Pump等硬编码工业对象</x:v>
      </x:c>
      <x:c r="J16" s="66" t="str">
        <x:v>不能形成第二套BuiltIn runtime</x:v>
      </x:c>
    </x:row>
    <x:row r="17">
      <x:c r="A17"/>
      <x:c r="B17"/>
      <x:c r="C17"/>
      <x:c r="D17"/>
      <x:c r="E17"/>
      <x:c r="F17"/>
      <x:c r="G17"/>
      <x:c r="H17"/>
      <x:c r="I17"/>
      <x:c r="J17"/>
    </x:row>
    <x:row r="18" ht="24" customHeight="1">
      <x:c r="A18" s="40" t="str">
        <x:v>B. 创建与编辑流程</x:v>
      </x:c>
      <x:c r="B18" s="40"/>
      <x:c r="C18" s="40"/>
      <x:c r="D18" s="40"/>
      <x:c r="E18" s="40"/>
      <x:c r="F18" s="40"/>
      <x:c r="G18" s="40"/>
      <x:c r="H18" s="40"/>
      <x:c r="I18" s="40"/>
      <x:c r="J18" s="40"/>
    </x:row>
    <x:row r="19" ht="28" customHeight="1">
      <x:c r="A19" s="50" t="str">
        <x:v>步骤</x:v>
      </x:c>
      <x:c r="B19" s="50" t="str">
        <x:v>用户动作</x:v>
      </x:c>
      <x:c r="C19" s="50" t="str">
        <x:v>系统动作</x:v>
      </x:c>
      <x:c r="D19" s="50" t="str">
        <x:v>边界校验</x:v>
      </x:c>
      <x:c r="E19" s="50" t="str">
        <x:v>Command/服务</x:v>
      </x:c>
      <x:c r="F19" s="50" t="str">
        <x:v>索引更新</x:v>
      </x:c>
      <x:c r="G19" s="50" t="str">
        <x:v>失败处理</x:v>
      </x:c>
      <x:c r="H19" s="50" t="str">
        <x:v>界面反馈</x:v>
      </x:c>
      <x:c r="I19" s="50" t="str">
        <x:v>测试重点</x:v>
      </x:c>
      <x:c r="J19" s="50" t="str">
        <x:v>M阶段</x:v>
      </x:c>
    </x:row>
    <x:row r="20">
      <x:c r="A20" s="58" t="n">
        <x:v>1</x:v>
      </x:c>
      <x:c r="B20" s="58" t="str">
        <x:v>选择多个图元并先Group</x:v>
      </x:c>
      <x:c r="C20" s="58" t="str">
        <x:v>计算共同Bounds，children转局部坐标</x:v>
      </x:c>
      <x:c r="D20" s="58" t="str">
        <x:v>不能跨Page/非法父级</x:v>
      </x:c>
      <x:c r="E20" s="58" t="str">
        <x:v>GroupCommand</x:v>
      </x:c>
      <x:c r="F20" s="58" t="str">
        <x:v>ProjectObjectIndex更新</x:v>
      </x:c>
      <x:c r="G20" s="58" t="str">
        <x:v>事务回滚</x:v>
      </x:c>
      <x:c r="H20" s="58" t="str">
        <x:v>对象树显示Group</x:v>
      </x:c>
      <x:c r="I20" s="58" t="str">
        <x:v>坐标完全可逆</x:v>
      </x:c>
      <x:c r="J20" s="58" t="str">
        <x:v>M2</x:v>
      </x:c>
    </x:row>
    <x:row r="21">
      <x:c r="A21" s="66" t="n">
        <x:v>2</x:v>
      </x:c>
      <x:c r="B21" s="66" t="str">
        <x:v>点击“创建Symbol”</x:v>
      </x:c>
      <x:c r="C21" s="66" t="str">
        <x:v>ElementSemanticClassifier判断Background/Ignore/SymbolPart</x:v>
      </x:c>
      <x:c r="D21" s="66" t="str">
        <x:v>默认禁止背景、Ignore；当前版本禁止嵌套SymbolInstance</x:v>
      </x:c>
      <x:c r="E21" s="66" t="str">
        <x:v>SymbolAuthoringPolicy</x:v>
      </x:c>
      <x:c r="F21" s="66" t="str">
        <x:v>无</x:v>
      </x:c>
      <x:c r="G21" s="66" t="str">
        <x:v>不创建任何半成品</x:v>
      </x:c>
      <x:c r="H21" s="66" t="str">
        <x:v>向导显示边界检查结果</x:v>
      </x:c>
      <x:c r="I21" s="66" t="str">
        <x:v>非法对象不被误封装</x:v>
      </x:c>
      <x:c r="J21" s="66" t="str">
        <x:v>M2</x:v>
      </x:c>
    </x:row>
    <x:row r="22">
      <x:c r="A22" s="58" t="n">
        <x:v>3</x:v>
      </x:c>
      <x:c r="B22" s="58" t="str">
        <x:v>定义基本信息</x:v>
      </x:c>
      <x:c r="C22" s="58" t="str">
        <x:v>创建Definition Id/Name/Category/Tags/Version</x:v>
      </x:c>
      <x:c r="D22" s="58" t="str">
        <x:v>Id唯一、Name可重复但Alias规则明确</x:v>
      </x:c>
      <x:c r="E22" s="58" t="str">
        <x:v>SymbolAuthoringService</x:v>
      </x:c>
      <x:c r="F22" s="58" t="str">
        <x:v>Symbol Catalog登记</x:v>
      </x:c>
      <x:c r="G22" s="58" t="str">
        <x:v>失败回滚</x:v>
      </x:c>
      <x:c r="H22" s="58" t="str">
        <x:v>名称/分类/缩略图</x:v>
      </x:c>
      <x:c r="I22" s="58" t="str">
        <x:v>稳定Id</x:v>
      </x:c>
      <x:c r="J22" s="58" t="str">
        <x:v>M2</x:v>
      </x:c>
    </x:row>
    <x:row r="23">
      <x:c r="A23" s="66" t="n">
        <x:v>4</x:v>
      </x:c>
      <x:c r="B23" s="66" t="str">
        <x:v>DeepClone Group Children</x:v>
      </x:c>
      <x:c r="C23" s="66" t="str">
        <x:v>保留局部几何/Style/Bindings可迁移部分并重建local ids</x:v>
      </x:c>
      <x:c r="D23" s="66" t="str">
        <x:v>外部引用必须显式转换为PublicProperty/Port</x:v>
      </x:c>
      <x:c r="E23" s="66" t="str">
        <x:v>CloneContext</x:v>
      </x:c>
      <x:c r="F23" s="66" t="str">
        <x:v>SymbolObjectIndex构建</x:v>
      </x:c>
      <x:c r="G23" s="66" t="str">
        <x:v>跨边界引用报告</x:v>
      </x:c>
      <x:c r="H23" s="66" t="str">
        <x:v>内部对象树</x:v>
      </x:c>
      <x:c r="I23" s="66" t="str">
        <x:v>clone不复制页面Id</x:v>
      </x:c>
      <x:c r="J23" s="66" t="str">
        <x:v>M2</x:v>
      </x:c>
    </x:row>
    <x:row r="24">
      <x:c r="A24" s="58" t="n">
        <x:v>5</x:v>
      </x:c>
      <x:c r="B24" s="58" t="str">
        <x:v>配置公开属性/映射</x:v>
      </x:c>
      <x:c r="C24" s="58" t="str">
        <x:v>PropertyDefinition + Mapping，一对多允许</x:v>
      </x:c>
      <x:c r="D24" s="58" t="str">
        <x:v>Target按ID→Alias→Role；Role必须唯一</x:v>
      </x:c>
      <x:c r="E24" s="58" t="str">
        <x:v>SymbolDefinitionEditor</x:v>
      </x:c>
      <x:c r="F24" s="58" t="str">
        <x:v>索引辅助校验</x:v>
      </x:c>
      <x:c r="G24" s="58" t="str">
        <x:v>无效Mapping阻止保存</x:v>
      </x:c>
      <x:c r="H24" s="58" t="str">
        <x:v>映射表+目标定位</x:v>
      </x:c>
      <x:c r="I24" s="58" t="str">
        <x:v>多实例映射独立</x:v>
      </x:c>
      <x:c r="J24" s="58" t="str">
        <x:v>M2</x:v>
      </x:c>
    </x:row>
    <x:row r="25">
      <x:c r="A25" s="66" t="n">
        <x:v>6</x:v>
      </x:c>
      <x:c r="B25" s="66" t="str">
        <x:v>页面替换为Instance</x:v>
      </x:c>
      <x:c r="C25" s="66" t="str">
        <x:v>原Group删除，创建SymbolInstance</x:v>
      </x:c>
      <x:c r="D25" s="66" t="str">
        <x:v>Definition存在且版本可解析</x:v>
      </x:c>
      <x:c r="E25" s="66" t="str">
        <x:v>CreateSymbolCommand/CompositeCommand</x:v>
      </x:c>
      <x:c r="F25" s="66" t="str">
        <x:v>ProjectObjectIndex刷新</x:v>
      </x:c>
      <x:c r="G25" s="66" t="str">
        <x:v>一步Undo恢复原Group</x:v>
      </x:c>
      <x:c r="H25" s="66" t="str">
        <x:v>Canvas只留下一个Symbol实例</x:v>
      </x:c>
      <x:c r="I25" s="66" t="str">
        <x:v>Undo/Redo一致</x:v>
      </x:c>
      <x:c r="J25" s="66" t="str">
        <x:v>M2</x:v>
      </x:c>
    </x:row>
    <x:row r="26">
      <x:c r="A26" s="58" t="n">
        <x:v>7</x:v>
      </x:c>
      <x:c r="B26" s="58" t="str">
        <x:v>编辑/发布</x:v>
      </x:c>
      <x:c r="C26" s="58" t="str">
        <x:v>项目Definition可继续编辑；发布到用户库是独立动作</x:v>
      </x:c>
      <x:c r="D26" s="58" t="str">
        <x:v>发布前Validator通过；版本递增策略</x:v>
      </x:c>
      <x:c r="E26" s="58" t="str">
        <x:v>UpdateSymbolDefinition/PublishSymbol</x:v>
      </x:c>
      <x:c r="F26" s="58" t="str">
        <x:v>Catalog/Library更新</x:v>
      </x:c>
      <x:c r="G26" s="58" t="str">
        <x:v>升级报告</x:v>
      </x:c>
      <x:c r="H26" s="58" t="str">
        <x:v>版本/影响实例提示</x:v>
      </x:c>
      <x:c r="I26" s="58" t="str">
        <x:v>旧实例不静默变样</x:v>
      </x:c>
      <x:c r="J26" s="58" t="str">
        <x:v>M2/M5</x:v>
      </x:c>
    </x:row>
    <x:row r="27">
      <x:c r="A27"/>
      <x:c r="B27"/>
      <x:c r="C27"/>
      <x:c r="D27"/>
      <x:c r="E27"/>
      <x:c r="F27"/>
      <x:c r="G27"/>
      <x:c r="H27"/>
      <x:c r="I27"/>
      <x:c r="J27"/>
    </x:row>
    <x:row r="28" ht="24" customHeight="1">
      <x:c r="A28" s="40" t="str">
        <x:v>C. Runtime解析</x:v>
      </x:c>
      <x:c r="B28" s="40"/>
      <x:c r="C28" s="40"/>
      <x:c r="D28" s="40"/>
      <x:c r="E28" s="40"/>
      <x:c r="F28" s="40"/>
      <x:c r="G28" s="40"/>
      <x:c r="H28" s="40"/>
      <x:c r="I28" s="40"/>
      <x:c r="J28" s="40"/>
    </x:row>
    <x:row r="29" ht="28" customHeight="1">
      <x:c r="A29" s="50" t="str">
        <x:v>主题</x:v>
      </x:c>
      <x:c r="B29" s="50" t="str">
        <x:v>正式规则</x:v>
      </x:c>
      <x:c r="C29" s="50" t="str">
        <x:v>输入</x:v>
      </x:c>
      <x:c r="D29" s="50" t="str">
        <x:v>输出</x:v>
      </x:c>
      <x:c r="E29" s="50" t="str">
        <x:v>Runtime层</x:v>
      </x:c>
      <x:c r="F29" s="50" t="str">
        <x:v>缓存/索引</x:v>
      </x:c>
      <x:c r="G29" s="50" t="str">
        <x:v>诊断</x:v>
      </x:c>
      <x:c r="H29" s="50" t="str">
        <x:v>验收</x:v>
      </x:c>
      <x:c r="I29" s="50" t="str">
        <x:v>备注</x:v>
      </x:c>
      <x:c r="J29" s="50" t="str">
        <x:v>M阶段</x:v>
      </x:c>
    </x:row>
    <x:row r="30">
      <x:c r="A30" s="66" t="str">
        <x:v>实例展开</x:v>
      </x:c>
      <x:c r="B30" s="66" t="str">
        <x:v>Definition+Instance在Compile阶段形成只读SymbolRuntimePlan</x:v>
      </x:c>
      <x:c r="C30" s="66" t="str">
        <x:v>DefinitionId+Version+Overrides+Bindings</x:v>
      </x:c>
      <x:c r="D30" s="66" t="str">
        <x:v>scoped child计划</x:v>
      </x:c>
      <x:c r="E30" s="66" t="str">
        <x:v>Symbol</x:v>
      </x:c>
      <x:c r="F30" s="66" t="str">
        <x:v>Definition编译缓存</x:v>
      </x:c>
      <x:c r="G30" s="66" t="str">
        <x:v>缺Definition/版本冲突</x:v>
      </x:c>
      <x:c r="H30" s="66" t="str">
        <x:v>100实例启动稳定</x:v>
      </x:c>
      <x:c r="I30" s="66" t="str">
        <x:v>不回写Project</x:v>
      </x:c>
      <x:c r="J30" s="66" t="str">
        <x:v>M3</x:v>
      </x:c>
    </x:row>
    <x:row r="31">
      <x:c r="A31" s="58" t="str">
        <x:v>运行地址</x:v>
      </x:c>
      <x:c r="B31" s="58" t="str">
        <x:v>页面实例id；内部child=instanceId::localElementId</x:v>
      </x:c>
      <x:c r="C31" s="58" t="str">
        <x:v>Instance + local child id</x:v>
      </x:c>
      <x:c r="D31" s="58" t="str">
        <x:v>RuntimeElementAddress</x:v>
      </x:c>
      <x:c r="E31" s="58" t="str">
        <x:v>所有层</x:v>
      </x:c>
      <x:c r="F31" s="58" t="str">
        <x:v>RuntimeObjectRegistry</x:v>
      </x:c>
      <x:c r="G31" s="58" t="str">
        <x:v>地址重复立即失败</x:v>
      </x:c>
      <x:c r="H31" s="58" t="str">
        <x:v>同Definition多实例无串值</x:v>
      </x:c>
      <x:c r="I31" s="58" t="str">
        <x:v>核心门禁</x:v>
      </x:c>
      <x:c r="J31" s="58" t="str">
        <x:v>M3</x:v>
      </x:c>
    </x:row>
    <x:row r="32">
      <x:c r="A32" s="66" t="str">
        <x:v>公开属性求值</x:v>
      </x:c>
      <x:c r="B32" s="66" t="str">
        <x:v>Definition default→Instance Override/Binding→PropertyMapping</x:v>
      </x:c>
      <x:c r="C32" s="66" t="str">
        <x:v>PublicPropertyValues</x:v>
      </x:c>
      <x:c r="D32" s="66" t="str">
        <x:v>目标child property values</x:v>
      </x:c>
      <x:c r="E32" s="66" t="str">
        <x:v>Symbol</x:v>
      </x:c>
      <x:c r="F32" s="66" t="str">
        <x:v>SymbolObjectIndex</x:v>
      </x:c>
      <x:c r="G32" s="66" t="str">
        <x:v>Mapping目标/类型错误</x:v>
      </x:c>
      <x:c r="H32" s="66" t="str">
        <x:v>一对多正确</x:v>
      </x:c>
      <x:c r="I32" s="66" t="str">
        <x:v>Symbol层位于Binding之上</x:v>
      </x:c>
      <x:c r="J32" s="66" t="str">
        <x:v>M3</x:v>
      </x:c>
    </x:row>
    <x:row r="33">
      <x:c r="A33" s="58" t="str">
        <x:v>内部行为</x:v>
      </x:c>
      <x:c r="B33" s="58" t="str">
        <x:v>State/Animation/Event/Script仍使用标准Capability系统</x:v>
      </x:c>
      <x:c r="C33" s="58" t="str">
        <x:v>Definition behaviors</x:v>
      </x:c>
      <x:c r="D33" s="58" t="str">
        <x:v>Runtime layers/actions</x:v>
      </x:c>
      <x:c r="E33" s="58" t="str">
        <x:v>State/Animation/Action/Script</x:v>
      </x:c>
      <x:c r="F33" s="58" t="str">
        <x:v>compiled plans</x:v>
      </x:c>
      <x:c r="G33" s="58" t="str">
        <x:v>异常局部隔离</x:v>
      </x:c>
      <x:c r="H33" s="58" t="str">
        <x:v>行为停用后回退</x:v>
      </x:c>
      <x:c r="I33" s="58" t="str">
        <x:v>不要另造Symbol专属引擎</x:v>
      </x:c>
      <x:c r="J33" s="58" t="str">
        <x:v>M3</x:v>
      </x:c>
    </x:row>
    <x:row r="34">
      <x:c r="A34" s="66" t="str">
        <x:v>Port解析</x:v>
      </x:c>
      <x:c r="B34" s="66" t="str">
        <x:v>local port经实例Transform得到WorldPort</x:v>
      </x:c>
      <x:c r="C34" s="66" t="str">
        <x:v>PortDefinition+Instance transform</x:v>
      </x:c>
      <x:c r="D34" s="66" t="str">
        <x:v>ResolvedPort</x:v>
      </x:c>
      <x:c r="E34" s="66" t="str">
        <x:v>N/A</x:v>
      </x:c>
      <x:c r="F34" s="66" t="str">
        <x:v>Port index</x:v>
      </x:c>
      <x:c r="G34" s="66" t="str">
        <x:v>端口类型不兼容</x:v>
      </x:c>
      <x:c r="H34" s="66" t="str">
        <x:v>Pipe连接可重算</x:v>
      </x:c>
      <x:c r="I34" s="66" t="str">
        <x:v>为管路/套件保留</x:v>
      </x:c>
      <x:c r="J34" s="66" t="str">
        <x:v>M3/M4</x:v>
      </x:c>
    </x:row>
    <x:row r="35">
      <x:c r="A35"/>
      <x:c r="B35"/>
      <x:c r="C35"/>
      <x:c r="D35"/>
      <x:c r="E35"/>
      <x:c r="F35"/>
      <x:c r="G35"/>
      <x:c r="H35"/>
      <x:c r="I35"/>
      <x:c r="J35"/>
    </x:row>
    <x:row r="36" ht="24" customHeight="1">
      <x:c r="A36" s="40" t="str">
        <x:v>D. Definition版本与实例策略</x:v>
      </x:c>
      <x:c r="B36" s="40"/>
      <x:c r="C36" s="40"/>
      <x:c r="D36" s="40"/>
      <x:c r="E36" s="40"/>
      <x:c r="F36" s="40"/>
      <x:c r="G36" s="40"/>
      <x:c r="H36" s="40"/>
      <x:c r="I36" s="40"/>
      <x:c r="J36" s="40"/>
    </x:row>
    <x:row r="37" ht="28" customHeight="1">
      <x:c r="A37" s="50" t="str">
        <x:v>策略</x:v>
      </x:c>
      <x:c r="B37" s="50" t="str">
        <x:v>规则</x:v>
      </x:c>
      <x:c r="C37" s="50" t="str">
        <x:v>适用场景</x:v>
      </x:c>
      <x:c r="D37" s="50" t="str">
        <x:v>实例保存</x:v>
      </x:c>
      <x:c r="E37" s="50" t="str">
        <x:v>升级方式</x:v>
      </x:c>
      <x:c r="F37" s="50" t="str">
        <x:v>冲突处理</x:v>
      </x:c>
      <x:c r="G37" s="50" t="str">
        <x:v>UI提示</x:v>
      </x:c>
      <x:c r="H37" s="50" t="str">
        <x:v>测试</x:v>
      </x:c>
      <x:c r="I37" s="50" t="str">
        <x:v>禁止</x:v>
      </x:c>
      <x:c r="J37" s="50" t="str">
        <x:v>M阶段</x:v>
      </x:c>
    </x:row>
    <x:row r="38">
      <x:c r="A38" s="58" t="str">
        <x:v>Pinned</x:v>
      </x:c>
      <x:c r="B38" s="58" t="str">
        <x:v>实例固定到ResolvedVersion</x:v>
      </x:c>
      <x:c r="C38" s="58" t="str">
        <x:v>现场稳定/发布工程</x:v>
      </x:c>
      <x:c r="D38" s="58" t="str">
        <x:v>DefinitionId+ResolvedVersion</x:v>
      </x:c>
      <x:c r="E38" s="58" t="str">
        <x:v>人工Upgrade</x:v>
      </x:c>
      <x:c r="F38" s="58" t="str">
        <x:v>缺版本=错误</x:v>
      </x:c>
      <x:c r="G38" s="58" t="str">
        <x:v>显示锁定版本</x:v>
      </x:c>
      <x:c r="H38" s="58" t="str">
        <x:v>旧版本包回归</x:v>
      </x:c>
      <x:c r="I38" s="58" t="str">
        <x:v>自动跳最新版</x:v>
      </x:c>
      <x:c r="J38" s="58" t="str">
        <x:v>M2/M5</x:v>
      </x:c>
    </x:row>
    <x:row r="39">
      <x:c r="A39" s="66" t="str">
        <x:v>Compatible</x:v>
      </x:c>
      <x:c r="B39" s="66" t="str">
        <x:v>允许SemVer兼容范围内更新</x:v>
      </x:c>
      <x:c r="C39" s="66" t="str">
        <x:v>内部项目库</x:v>
      </x:c>
      <x:c r="D39" s="66" t="str">
        <x:v>VersionPolicy+resolved version</x:v>
      </x:c>
      <x:c r="E39" s="66" t="str">
        <x:v>Validate→Preview→Apply</x:v>
      </x:c>
      <x:c r="F39" s="66" t="str">
        <x:v>Mapping/Property迁移报告</x:v>
      </x:c>
      <x:c r="G39" s="66" t="str">
        <x:v>显示可升级</x:v>
      </x:c>
      <x:c r="H39" s="66" t="str">
        <x:v>Override迁移</x:v>
      </x:c>
      <x:c r="I39" s="66" t="str">
        <x:v>静默删除参数</x:v>
      </x:c>
      <x:c r="J39" s="66" t="str">
        <x:v>M5</x:v>
      </x:c>
    </x:row>
    <x:row r="40">
      <x:c r="A40" s="58" t="str">
        <x:v>Latest（仅设计期可选）</x:v>
      </x:c>
      <x:c r="B40" s="58" t="str">
        <x:v>设计器可跟踪最新，发布前必须Resolve为确定版本</x:v>
      </x:c>
      <x:c r="C40" s="58" t="str">
        <x:v>快速设计</x:v>
      </x:c>
      <x:c r="D40" s="58" t="str">
        <x:v>policy+resolved snapshot</x:v>
      </x:c>
      <x:c r="E40" s="58" t="str">
        <x:v>发布时固定</x:v>
      </x:c>
      <x:c r="F40" s="58" t="str">
        <x:v>升级失败保持旧版</x:v>
      </x:c>
      <x:c r="G40" s="58" t="str">
        <x:v>发布校验提示</x:v>
      </x:c>
      <x:c r="H40" s="58" t="str">
        <x:v>可复现发布</x:v>
      </x:c>
      <x:c r="I40" s="58" t="str">
        <x:v>生产Runtime漂移</x:v>
      </x:c>
      <x:c r="J40" s="58" t="str">
        <x:v>M5</x:v>
      </x:c>
    </x:row>
    <x:row r="41">
      <x:c r="A41"/>
      <x:c r="B41"/>
      <x:c r="C41"/>
      <x:c r="D41"/>
      <x:c r="E41"/>
      <x:c r="F41"/>
      <x:c r="G41"/>
      <x:c r="H41"/>
      <x:c r="I41"/>
      <x:c r="J41"/>
    </x:row>
    <x:row r="42" ht="24" customHeight="1">
      <x:c r="A42" s="40" t="str">
        <x:v>E. Symbol库与Faceplate</x:v>
      </x:c>
      <x:c r="B42" s="40"/>
      <x:c r="C42" s="40"/>
      <x:c r="D42" s="40"/>
      <x:c r="E42" s="40"/>
      <x:c r="F42" s="40"/>
      <x:c r="G42" s="40"/>
      <x:c r="H42" s="40"/>
      <x:c r="I42" s="40"/>
      <x:c r="J42" s="40"/>
    </x:row>
    <x:row r="43" ht="28" customHeight="1">
      <x:c r="A43" s="50" t="str">
        <x:v>能力</x:v>
      </x:c>
      <x:c r="B43" s="50" t="str">
        <x:v>统一设计</x:v>
      </x:c>
      <x:c r="C43" s="50" t="str">
        <x:v>界面入口</x:v>
      </x:c>
      <x:c r="D43" s="50" t="str">
        <x:v>服务</x:v>
      </x:c>
      <x:c r="E43" s="50" t="str">
        <x:v>持久化</x:v>
      </x:c>
      <x:c r="F43" s="50" t="str">
        <x:v>搜索键</x:v>
      </x:c>
      <x:c r="G43" s="50" t="str">
        <x:v>扩展</x:v>
      </x:c>
      <x:c r="H43" s="50" t="str">
        <x:v>验收</x:v>
      </x:c>
      <x:c r="I43" s="50" t="str">
        <x:v>说明</x:v>
      </x:c>
      <x:c r="J43" s="50" t="str">
        <x:v>M阶段</x:v>
      </x:c>
    </x:row>
    <x:row r="44">
      <x:c r="A44" s="66" t="str">
        <x:v>项目Symbol库</x:v>
      </x:c>
      <x:c r="B44" s="66" t="str">
        <x:v>工程内部Definitions，随工程版本保存</x:v>
      </x:c>
      <x:c r="C44" s="66" t="str">
        <x:v>左侧Symbol库</x:v>
      </x:c>
      <x:c r="D44" s="66" t="str">
        <x:v>SymbolDefinitionCatalog</x:v>
      </x:c>
      <x:c r="E44" s="66" t="str">
        <x:v>symbols/*.json或Project.SymbolDefinitions</x:v>
      </x:c>
      <x:c r="F44" s="66" t="str">
        <x:v>Name/Tag/Category/Role</x:v>
      </x:c>
      <x:c r="G44" s="66" t="str">
        <x:v>可复制/重命名</x:v>
      </x:c>
      <x:c r="H44" s="66" t="str">
        <x:v>拖入生成Instance</x:v>
      </x:c>
      <x:c r="I44" s="66" t="str">
        <x:v>项目资产</x:v>
      </x:c>
      <x:c r="J44" s="66" t="str">
        <x:v>M2</x:v>
      </x:c>
    </x:row>
    <x:row r="45">
      <x:c r="A45" s="58" t="str">
        <x:v>用户/团队Symbol库</x:v>
      </x:c>
      <x:c r="B45" s="58" t="str">
        <x:v>跨工程复用的发布资产</x:v>
      </x:c>
      <x:c r="C45" s="58" t="str">
        <x:v>库管理/发布</x:v>
      </x:c>
      <x:c r="D45" s="58" t="str">
        <x:v>SymbolLibraryService</x:v>
      </x:c>
      <x:c r="E45" s="58" t="str">
        <x:v>独立包+manifest+thumbnail</x:v>
      </x:c>
      <x:c r="F45" s="58" t="str">
        <x:v>Tag/版本/作者</x:v>
      </x:c>
      <x:c r="G45" s="58" t="str">
        <x:v>远程库后续</x:v>
      </x:c>
      <x:c r="H45" s="58" t="str">
        <x:v>安装/更新/回滚</x:v>
      </x:c>
      <x:c r="I45" s="58" t="str">
        <x:v>与项目Definition分离</x:v>
      </x:c>
      <x:c r="J45" s="58" t="str">
        <x:v>M5</x:v>
      </x:c>
    </x:row>
    <x:row r="46">
      <x:c r="A46" s="66" t="str">
        <x:v>Faceplate</x:v>
      </x:c>
      <x:c r="B46" s="66" t="str">
        <x:v>不是第二种Component；是Symbol的一种交互/展示使用模式，可绑定页面/Popup模板和公开接口</x:v>
      </x:c>
      <x:c r="C46" s="66" t="str">
        <x:v>Symbol属性/关联视图</x:v>
      </x:c>
      <x:c r="D46" s="66" t="str">
        <x:v>FaceplateService/Navigation</x:v>
      </x:c>
      <x:c r="E46" s="66" t="str">
        <x:v>Definition metadata</x:v>
      </x:c>
      <x:c r="F46" s="66" t="str">
        <x:v>DefinitionId/Tag</x:v>
      </x:c>
      <x:c r="G46" s="66" t="str">
        <x:v>可关联详情页</x:v>
      </x:c>
      <x:c r="H46" s="66" t="str">
        <x:v>从实例打开详情且参数正确</x:v>
      </x:c>
      <x:c r="I46" s="66" t="str">
        <x:v>保持一个Symbol模型</x:v>
      </x:c>
      <x:c r="J46" s="66" t="str">
        <x:v>M4</x:v>
      </x:c>
    </x:row>
    <x:row r="47">
      <x:c r="A47" s="58" t="str">
        <x:v>工业预置</x:v>
      </x:c>
      <x:c r="B47" s="58" t="str">
        <x:v>Pump/Valve/Motor/Tank等逐步迁移为BuiltIn Symbol Adapter/Definition</x:v>
      </x:c>
      <x:c r="C47" s="58" t="str">
        <x:v>工具箱Symbol分类</x:v>
      </x:c>
      <x:c r="D47" s="58" t="str">
        <x:v>BuiltInSymbolCatalog</x:v>
      </x:c>
      <x:c r="E47" s="58" t="str">
        <x:v>内置资源</x:v>
      </x:c>
      <x:c r="F47" s="58" t="str">
        <x:v>Category/Tag</x:v>
      </x:c>
      <x:c r="G47" s="58" t="str">
        <x:v>允许复制为自定义</x:v>
      </x:c>
      <x:c r="H47" s="58" t="str">
        <x:v>旧项目仍可加载</x:v>
      </x:c>
      <x:c r="I47" s="58" t="str">
        <x:v>旧TypeId先保留</x:v>
      </x:c>
      <x:c r="J47" s="58" t="str">
        <x:v>M2~M5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28" hidden="0" customWidth="1"/>
    <x:col min="4" max="4" width="18" hidden="0" customWidth="1"/>
    <x:col min="5" max="5" width="38" hidden="0" customWidth="1"/>
    <x:col min="6" max="6" width="32" hidden="0" customWidth="1"/>
    <x:col min="7" max="7" width="32" hidden="0" customWidth="1"/>
    <x:col min="8" max="8" width="28" hidden="0" customWidth="1"/>
  </x:cols>
  <x:sheetData>
    <x:row r="1" ht="30" customHeight="1">
      <x:c r="A1" s="8" t="str">
        <x:v>CxVisual Project / Schema / Serialization / Migration</x:v>
      </x:c>
      <x:c r="B1" s="8"/>
      <x:c r="C1" s="8"/>
      <x:c r="D1" s="8"/>
      <x:c r="E1" s="8"/>
      <x:c r="F1" s="8"/>
      <x:c r="G1" s="8"/>
      <x:c r="H1" s="8"/>
    </x:row>
    <x:row r="2" ht="38" customHeight="1">
      <x:c r="A2" s="16" t="str">
        <x:v>定义工程根模型、目录/JSON Schema、稳定Id/Reference、Migration、Package与Artifact边界；是所有设计域持久化的唯一公共规则。</x:v>
      </x:c>
      <x:c r="B2" s="16"/>
      <x:c r="C2" s="16"/>
      <x:c r="D2" s="16"/>
      <x:c r="E2" s="16"/>
      <x:c r="F2" s="16"/>
      <x:c r="G2" s="16"/>
      <x:c r="H2" s="16"/>
    </x:row>
    <x:row r="3">
      <x:c r="A3" s="30" t="str">
        <x:v>本页唯一权威</x:v>
      </x:c>
      <x:c r="B3" s="31" t="str">
        <x:v>ProjectDocument、工程目录、JSON稳定性、Execution Model根契约、运行态边界、保存/迁移/Package规则。</x:v>
      </x:c>
      <x:c r="C3" s="31"/>
      <x:c r="D3" s="31"/>
      <x:c r="E3" s="31"/>
      <x:c r="F3" s="31"/>
      <x:c r="G3" s="31"/>
      <x:c r="H3" s="31"/>
    </x:row>
    <x:row r="4">
      <x:c r="A4" s="30" t="str">
        <x:v>不在本页维护</x:v>
      </x:c>
      <x:c r="B4" s="31" t="str">
        <x:v>Robot/CT/Inspection等专业Schema字段；它们在各自Domain页定义，仅通过稳定Ref挂入Project。</x:v>
      </x:c>
      <x:c r="C4" s="31"/>
      <x:c r="D4" s="31"/>
      <x:c r="E4" s="31"/>
      <x:c r="F4" s="31"/>
      <x:c r="G4" s="31"/>
      <x:c r="H4" s="31"/>
    </x:row>
    <x:row r="5">
      <x:c r="A5" s="30" t="str">
        <x:v>关联分页</x:v>
      </x:c>
      <x:c r="B5" s="31" t="str">
        <x:v>03_架构总纲与领域边界；10_Property元数据Binding；17_SCADA_ICS；23_GraphRuntime部署可靠性Agent；46_DeviceVariable闭环。</x:v>
      </x:c>
      <x:c r="C5" s="31"/>
      <x:c r="D5" s="31"/>
      <x:c r="E5" s="31"/>
      <x:c r="F5" s="31"/>
      <x:c r="G5" s="31"/>
      <x:c r="H5" s="31"/>
    </x:row>
    <x:row r="6">
      <x:c r="A6"/>
      <x:c r="B6"/>
      <x:c r="C6"/>
      <x:c r="D6"/>
      <x:c r="E6"/>
      <x:c r="F6"/>
      <x:c r="G6"/>
      <x:c r="H6"/>
    </x:row>
    <x:row r="7" ht="24" customHeight="1">
      <x:c r="A7" s="40" t="str">
        <x:v>A. Project / Schema / Asset 根契约</x:v>
      </x:c>
      <x:c r="B7" s="40"/>
      <x:c r="C7" s="40"/>
      <x:c r="D7" s="40"/>
      <x:c r="E7" s="40"/>
      <x:c r="F7" s="40"/>
      <x:c r="G7" s="40"/>
      <x:c r="H7" s="40"/>
    </x:row>
    <x:row r="8" ht="24" customHeight="1">
      <x:c r="A8" s="40" t="str">
        <x:v>A. 持久化对象与字段契约</x:v>
      </x:c>
      <x:c r="B8" s="40"/>
      <x:c r="C8" s="40"/>
      <x:c r="D8" s="40"/>
      <x:c r="E8" s="40"/>
      <x:c r="F8" s="40"/>
      <x:c r="G8" s="40"/>
      <x:c r="H8" s="40"/>
    </x:row>
    <x:row r="9" ht="28" customHeight="1">
      <x:c r="A9" s="50" t="str">
        <x:v>对象</x:v>
      </x:c>
      <x:c r="B9" s="50" t="str">
        <x:v>语义</x:v>
      </x:c>
      <x:c r="C9" s="50" t="str">
        <x:v>字段</x:v>
      </x:c>
      <x:c r="D9" s="50" t="str">
        <x:v>类型</x:v>
      </x:c>
      <x:c r="E9" s="50" t="str">
        <x:v>必需</x:v>
      </x:c>
      <x:c r="F9" s="50" t="str">
        <x:v>规则/约束</x:v>
      </x:c>
      <x:c r="G9" s="50" t="str">
        <x:v>说明</x:v>
      </x:c>
      <x:c r="H9" s="50"/>
    </x:row>
    <x:row r="10">
      <x:c r="A10" s="58" t="str">
        <x:v>ProjectDocument</x:v>
      </x:c>
      <x:c r="B10" s="58" t="str">
        <x:v>根工程</x:v>
      </x:c>
      <x:c r="C10" s="58" t="str">
        <x:v>formatVersion</x:v>
      </x:c>
      <x:c r="D10" s="58" t="str">
        <x:v>int</x:v>
      </x:c>
      <x:c r="E10" s="58" t="str">
        <x:v>是</x:v>
      </x:c>
      <x:c r="F10" s="58" t="str">
        <x:v>独立于App版本；仅递增</x:v>
      </x:c>
      <x:c r="G10" s="58" t="str">
        <x:v>Migration入口</x:v>
      </x:c>
      <x:c r="H10" s="58"/>
    </x:row>
    <x:row r="11">
      <x:c r="A11" s="66" t="str">
        <x:v>ProjectDocument</x:v>
      </x:c>
      <x:c r="B11" s="66" t="str">
        <x:v>根工程</x:v>
      </x:c>
      <x:c r="C11" s="66" t="str">
        <x:v>projectId</x:v>
      </x:c>
      <x:c r="D11" s="66" t="str">
        <x:v>string/Guid</x:v>
      </x:c>
      <x:c r="E11" s="66" t="str">
        <x:v>是</x:v>
      </x:c>
      <x:c r="F11" s="66" t="str">
        <x:v>稳定且不可因改名变化</x:v>
      </x:c>
      <x:c r="G11" s="66" t="str">
        <x:v>引用/合并基准</x:v>
      </x:c>
      <x:c r="H11" s="66"/>
    </x:row>
    <x:row r="12">
      <x:c r="A12" s="58" t="str">
        <x:v>ProjectDocument</x:v>
      </x:c>
      <x:c r="B12" s="58" t="str">
        <x:v>根工程</x:v>
      </x:c>
      <x:c r="C12" s="58" t="str">
        <x:v>name</x:v>
      </x:c>
      <x:c r="D12" s="58" t="str">
        <x:v>string</x:v>
      </x:c>
      <x:c r="E12" s="58" t="str">
        <x:v>是</x:v>
      </x:c>
      <x:c r="F12" s="58" t="str">
        <x:v>显示名，可修改</x:v>
      </x:c>
      <x:c r="G12" s="58" t="str">
        <x:v>不作为引用键</x:v>
      </x:c>
      <x:c r="H12" s="58"/>
    </x:row>
    <x:row r="13">
      <x:c r="A13" s="66" t="str">
        <x:v>ProjectDocument</x:v>
      </x:c>
      <x:c r="B13" s="66" t="str">
        <x:v>根工程</x:v>
      </x:c>
      <x:c r="C13" s="66" t="str">
        <x:v>revision</x:v>
      </x:c>
      <x:c r="D13" s="66" t="str">
        <x:v>long/string</x:v>
      </x:c>
      <x:c r="E13" s="66" t="str">
        <x:v>是</x:v>
      </x:c>
      <x:c r="F13" s="66" t="str">
        <x:v>保存修订号</x:v>
      </x:c>
      <x:c r="G13" s="66" t="str">
        <x:v>并发/发布追踪</x:v>
      </x:c>
      <x:c r="H13" s="66"/>
    </x:row>
    <x:row r="14">
      <x:c r="A14" s="58" t="str">
        <x:v>ProjectDocument</x:v>
      </x:c>
      <x:c r="B14" s="58" t="str">
        <x:v>根工程</x:v>
      </x:c>
      <x:c r="C14" s="58" t="str">
        <x:v>startPageId</x:v>
      </x:c>
      <x:c r="D14" s="58" t="str">
        <x:v>Id?</x:v>
      </x:c>
      <x:c r="E14" s="58" t="str">
        <x:v>否</x:v>
      </x:c>
      <x:c r="F14" s="58" t="str">
        <x:v>Runtime启动页</x:v>
      </x:c>
      <x:c r="G14" s="58" t="str">
        <x:v>不存在则校验错误</x:v>
      </x:c>
      <x:c r="H14" s="58"/>
    </x:row>
    <x:row r="15">
      <x:c r="A15" s="66" t="str">
        <x:v>ProjectDocument</x:v>
      </x:c>
      <x:c r="B15" s="66" t="str">
        <x:v>根工程</x:v>
      </x:c>
      <x:c r="C15" s="66" t="str">
        <x:v>pages / popups</x:v>
      </x:c>
      <x:c r="D15" s="66" t="str">
        <x:v>Ref[]</x:v>
      </x:c>
      <x:c r="E15" s="66" t="str">
        <x:v>是</x:v>
      </x:c>
      <x:c r="F15" s="66" t="str">
        <x:v>分文件引用，按stable Id</x:v>
      </x:c>
      <x:c r="G15" s="66" t="str">
        <x:v>不内嵌所有大对象</x:v>
      </x:c>
      <x:c r="H15" s="66"/>
    </x:row>
    <x:row r="16">
      <x:c r="A16" s="58" t="str">
        <x:v>ProjectDocument</x:v>
      </x:c>
      <x:c r="B16" s="58" t="str">
        <x:v>根工程</x:v>
      </x:c>
      <x:c r="C16" s="58" t="str">
        <x:v>symbols</x:v>
      </x:c>
      <x:c r="D16" s="58" t="str">
        <x:v>Ref[]</x:v>
      </x:c>
      <x:c r="E16" s="58" t="str">
        <x:v>否</x:v>
      </x:c>
      <x:c r="F16" s="58" t="str">
        <x:v>Symbol定义索引</x:v>
      </x:c>
      <x:c r="G16" s="58" t="str">
        <x:v>Definition单独文件/索引</x:v>
      </x:c>
      <x:c r="H16" s="58"/>
    </x:row>
    <x:row r="17">
      <x:c r="A17" s="66" t="str">
        <x:v>ProjectDocument</x:v>
      </x:c>
      <x:c r="B17" s="66" t="str">
        <x:v>根工程</x:v>
      </x:c>
      <x:c r="C17" s="66" t="str">
        <x:v>themes / styles</x:v>
      </x:c>
      <x:c r="D17" s="66" t="str">
        <x:v>Ref[]</x:v>
      </x:c>
      <x:c r="E17" s="66" t="str">
        <x:v>否</x:v>
      </x:c>
      <x:c r="F17" s="66" t="str">
        <x:v>主题/样式类</x:v>
      </x:c>
      <x:c r="G17" s="66" t="str">
        <x:v>元素可引用+局部Override</x:v>
      </x:c>
      <x:c r="H17" s="66"/>
    </x:row>
    <x:row r="18">
      <x:c r="A18" s="58" t="str">
        <x:v>ProjectDocument</x:v>
      </x:c>
      <x:c r="B18" s="58" t="str">
        <x:v>根工程</x:v>
      </x:c>
      <x:c r="C18" s="58" t="str">
        <x:v>resources</x:v>
      </x:c>
      <x:c r="D18" s="58" t="str">
        <x:v>ResourceEntry[]/Index</x:v>
      </x:c>
      <x:c r="E18" s="58" t="str">
        <x:v>否</x:v>
      </x:c>
      <x:c r="F18" s="58" t="str">
        <x:v>资源索引</x:v>
      </x:c>
      <x:c r="G18" s="58" t="str">
        <x:v>二进制在resources/</x:v>
      </x:c>
      <x:c r="H18" s="58"/>
    </x:row>
    <x:row r="19">
      <x:c r="A19" s="66" t="str">
        <x:v>ProjectDocument</x:v>
      </x:c>
      <x:c r="B19" s="66" t="str">
        <x:v>根工程</x:v>
      </x:c>
      <x:c r="C19" s="66" t="str">
        <x:v>plugins</x:v>
      </x:c>
      <x:c r="D19" s="66" t="str">
        <x:v>PluginRequirement[]</x:v>
      </x:c>
      <x:c r="E19" s="66" t="str">
        <x:v>否</x:v>
      </x:c>
      <x:c r="F19" s="66" t="str">
        <x:v>运行/编辑所需插件</x:v>
      </x:c>
      <x:c r="G19" s="66" t="str">
        <x:v>发布时校验</x:v>
      </x:c>
      <x:c r="H19" s="66"/>
    </x:row>
    <x:row r="20">
      <x:c r="A20" s="58" t="str">
        <x:v>PageModel</x:v>
      </x:c>
      <x:c r="B20" s="58" t="str">
        <x:v>页面</x:v>
      </x:c>
      <x:c r="C20" s="58" t="str">
        <x:v>id/name</x:v>
      </x:c>
      <x:c r="D20" s="58" t="str">
        <x:v>Id/string</x:v>
      </x:c>
      <x:c r="E20" s="58" t="str">
        <x:v>是</x:v>
      </x:c>
      <x:c r="F20" s="58" t="str">
        <x:v>id稳定，name显示</x:v>
      </x:c>
      <x:c r="G20" s="58" t="str">
        <x:v>Tab/导航引用id</x:v>
      </x:c>
      <x:c r="H20" s="58"/>
    </x:row>
    <x:row r="21">
      <x:c r="A21" s="66" t="str">
        <x:v>PageModel</x:v>
      </x:c>
      <x:c r="B21" s="66" t="str">
        <x:v>页面</x:v>
      </x:c>
      <x:c r="C21" s="66" t="str">
        <x:v>width/height</x:v>
      </x:c>
      <x:c r="D21" s="66" t="str">
        <x:v>double</x:v>
      </x:c>
      <x:c r="E21" s="66" t="str">
        <x:v>是</x:v>
      </x:c>
      <x:c r="F21" s="66" t="str">
        <x:v>&gt;0；设计坐标单位统一</x:v>
      </x:c>
      <x:c r="G21" s="66" t="str">
        <x:v>Viewport/DPI与模型解耦</x:v>
      </x:c>
      <x:c r="H21" s="66"/>
    </x:row>
    <x:row r="22">
      <x:c r="A22" s="58" t="str">
        <x:v>PageModel</x:v>
      </x:c>
      <x:c r="B22" s="58" t="str">
        <x:v>页面</x:v>
      </x:c>
      <x:c r="C22" s="58" t="str">
        <x:v>background</x:v>
      </x:c>
      <x:c r="D22" s="58" t="str">
        <x:v>BrushModel</x:v>
      </x:c>
      <x:c r="E22" s="58" t="str">
        <x:v>否</x:v>
      </x:c>
      <x:c r="F22" s="58" t="str">
        <x:v>默认透明/项目默认</x:v>
      </x:c>
      <x:c r="G22" s="58" t="str">
        <x:v>Core无WPF Brush</x:v>
      </x:c>
      <x:c r="H22" s="58"/>
    </x:row>
    <x:row r="23">
      <x:c r="A23" s="66" t="str">
        <x:v>PageModel</x:v>
      </x:c>
      <x:c r="B23" s="66" t="str">
        <x:v>页面</x:v>
      </x:c>
      <x:c r="C23" s="66" t="str">
        <x:v>rootContainer</x:v>
      </x:c>
      <x:c r="D23" s="66" t="str">
        <x:v>ContainerElementModel</x:v>
      </x:c>
      <x:c r="E23" s="66" t="str">
        <x:v>是</x:v>
      </x:c>
      <x:c r="F23" s="66" t="str">
        <x:v>页面对象树根</x:v>
      </x:c>
      <x:c r="G23" s="66" t="str">
        <x:v>层级统一</x:v>
      </x:c>
      <x:c r="H23" s="66"/>
    </x:row>
    <x:row r="24">
      <x:c r="A24" s="58" t="str">
        <x:v>PageModel</x:v>
      </x:c>
      <x:c r="B24" s="58" t="str">
        <x:v>页面</x:v>
      </x:c>
      <x:c r="C24" s="58" t="str">
        <x:v>layers</x:v>
      </x:c>
      <x:c r="D24" s="58" t="str">
        <x:v>LayerModel[]</x:v>
      </x:c>
      <x:c r="E24" s="58" t="str">
        <x:v>是</x:v>
      </x:c>
      <x:c r="F24" s="58" t="str">
        <x:v>顺序/锁定/可见/可选择</x:v>
      </x:c>
      <x:c r="G24" s="58" t="str">
        <x:v>运行可见可绑定</x:v>
      </x:c>
      <x:c r="H24" s="58"/>
    </x:row>
    <x:row r="25">
      <x:c r="A25" s="66" t="str">
        <x:v>PageModel</x:v>
      </x:c>
      <x:c r="B25" s="66" t="str">
        <x:v>页面</x:v>
      </x:c>
      <x:c r="C25" s="66" t="str">
        <x:v>parameters</x:v>
      </x:c>
      <x:c r="D25" s="66" t="str">
        <x:v>PublicPropertyDefinition[]</x:v>
      </x:c>
      <x:c r="E25" s="66" t="str">
        <x:v>否</x:v>
      </x:c>
      <x:c r="F25" s="66" t="str">
        <x:v>Popup/Page参数</x:v>
      </x:c>
      <x:c r="G25" s="66" t="str">
        <x:v>Runtime导航注入</x:v>
      </x:c>
      <x:c r="H25" s="66"/>
    </x:row>
    <x:row r="26">
      <x:c r="A26" s="58" t="str">
        <x:v>PageModel</x:v>
      </x:c>
      <x:c r="B26" s="58" t="str">
        <x:v>页面</x:v>
      </x:c>
      <x:c r="C26" s="58" t="str">
        <x:v>runtimePolicy</x:v>
      </x:c>
      <x:c r="D26" s="58" t="str">
        <x:v>PageRuntimePolicy</x:v>
      </x:c>
      <x:c r="E26" s="58" t="str">
        <x:v>否</x:v>
      </x:c>
      <x:c r="F26" s="58" t="str">
        <x:v>状态保留/预加载/刷新策略</x:v>
      </x:c>
      <x:c r="G26" s="58" t="str">
        <x:v>运行专用配置</x:v>
      </x:c>
      <x:c r="H26" s="58"/>
    </x:row>
    <x:row r="27">
      <x:c r="A27" s="66" t="str">
        <x:v>PopupModel</x:v>
      </x:c>
      <x:c r="B27" s="66" t="str">
        <x:v>弹窗</x:v>
      </x:c>
      <x:c r="C27" s="66" t="str">
        <x:v>modal/placement/ownerPolicy</x:v>
      </x:c>
      <x:c r="D27" s="66" t="str">
        <x:v>config</x:v>
      </x:c>
      <x:c r="E27" s="66" t="str">
        <x:v>否</x:v>
      </x:c>
      <x:c r="F27" s="66" t="str">
        <x:v>模态、定位、Owner</x:v>
      </x:c>
      <x:c r="G27" s="66" t="str">
        <x:v>不保存运行实例</x:v>
      </x:c>
      <x:c r="H27" s="66"/>
    </x:row>
    <x:row r="28">
      <x:c r="A28" s="58" t="str">
        <x:v>LayerModel</x:v>
      </x:c>
      <x:c r="B28" s="58" t="str">
        <x:v>图层</x:v>
      </x:c>
      <x:c r="C28" s="58" t="str">
        <x:v>id/name/order</x:v>
      </x:c>
      <x:c r="D28" s="58" t="str">
        <x:v>value</x:v>
      </x:c>
      <x:c r="E28" s="58" t="str">
        <x:v>是</x:v>
      </x:c>
      <x:c r="F28" s="58" t="str">
        <x:v>稳定Id+显示名</x:v>
      </x:c>
      <x:c r="G28" s="58" t="str">
        <x:v>ZIndex仍属于Element</x:v>
      </x:c>
      <x:c r="H28" s="58"/>
    </x:row>
    <x:row r="29">
      <x:c r="A29" s="66" t="str">
        <x:v>LayerModel</x:v>
      </x:c>
      <x:c r="B29" s="66" t="str">
        <x:v>图层</x:v>
      </x:c>
      <x:c r="C29" s="66" t="str">
        <x:v>designVisible/locked/selectable</x:v>
      </x:c>
      <x:c r="D29" s="66" t="str">
        <x:v>bool</x:v>
      </x:c>
      <x:c r="E29" s="66" t="str">
        <x:v>是</x:v>
      </x:c>
      <x:c r="F29" s="66" t="str">
        <x:v>设计态配置</x:v>
      </x:c>
      <x:c r="G29" s="66" t="str">
        <x:v>RuntimeVisibleBinding另存</x:v>
      </x:c>
      <x:c r="H29" s="66"/>
    </x:row>
    <x:row r="30">
      <x:c r="A30" s="58" t="str">
        <x:v>ElementModel</x:v>
      </x:c>
      <x:c r="B30" s="58" t="str">
        <x:v>元素基类</x:v>
      </x:c>
      <x:c r="C30" s="58" t="str">
        <x:v>id/typeId/name</x:v>
      </x:c>
      <x:c r="D30" s="58" t="str">
        <x:v>value</x:v>
      </x:c>
      <x:c r="E30" s="58" t="str">
        <x:v>是</x:v>
      </x:c>
      <x:c r="F30" s="58" t="str">
        <x:v>id/typeId稳定</x:v>
      </x:c>
      <x:c r="G30" s="58" t="str">
        <x:v>禁止CLR FullName</x:v>
      </x:c>
      <x:c r="H30" s="58"/>
    </x:row>
    <x:row r="31">
      <x:c r="A31" s="66" t="str">
        <x:v>ElementModel</x:v>
      </x:c>
      <x:c r="B31" s="66" t="str">
        <x:v>元素基类</x:v>
      </x:c>
      <x:c r="C31" s="66" t="str">
        <x:v>parentId/layerId</x:v>
      </x:c>
      <x:c r="D31" s="66" t="str">
        <x:v>Id?</x:v>
      </x:c>
      <x:c r="E31" s="66" t="str">
        <x:v>是</x:v>
      </x:c>
      <x:c r="F31" s="66" t="str">
        <x:v>树与图层引用</x:v>
      </x:c>
      <x:c r="G31" s="66" t="str">
        <x:v>加载后校验</x:v>
      </x:c>
      <x:c r="H31" s="66"/>
    </x:row>
    <x:row r="32">
      <x:c r="A32" s="58" t="str">
        <x:v>ElementModel</x:v>
      </x:c>
      <x:c r="B32" s="58" t="str">
        <x:v>元素基类</x:v>
      </x:c>
      <x:c r="C32" s="58" t="str">
        <x:v>bounds</x:v>
      </x:c>
      <x:c r="D32" s="58" t="str">
        <x:v>Bounds2D</x:v>
      </x:c>
      <x:c r="E32" s="58" t="str">
        <x:v>是</x:v>
      </x:c>
      <x:c r="F32" s="58" t="str">
        <x:v>X/Y/W/H</x:v>
      </x:c>
      <x:c r="G32" s="58" t="str">
        <x:v>局部Geometry可另有坐标</x:v>
      </x:c>
      <x:c r="H32" s="58"/>
    </x:row>
    <x:row r="33">
      <x:c r="A33" s="66" t="str">
        <x:v>ElementModel</x:v>
      </x:c>
      <x:c r="B33" s="66" t="str">
        <x:v>元素基类</x:v>
      </x:c>
      <x:c r="C33" s="66" t="str">
        <x:v>transform</x:v>
      </x:c>
      <x:c r="D33" s="66" t="str">
        <x:v>TransformModel</x:v>
      </x:c>
      <x:c r="E33" s="66" t="str">
        <x:v>否</x:v>
      </x:c>
      <x:c r="F33" s="66" t="str">
        <x:v>Rotate/Scale/Skew/Origin</x:v>
      </x:c>
      <x:c r="G33" s="66" t="str">
        <x:v>值对象</x:v>
      </x:c>
      <x:c r="H33" s="66"/>
    </x:row>
    <x:row r="34">
      <x:c r="A34" s="58" t="str">
        <x:v>ElementModel</x:v>
      </x:c>
      <x:c r="B34" s="58" t="str">
        <x:v>元素基类</x:v>
      </x:c>
      <x:c r="C34" s="58" t="str">
        <x:v>zIndex/visible/locked</x:v>
      </x:c>
      <x:c r="D34" s="58" t="str">
        <x:v>value</x:v>
      </x:c>
      <x:c r="E34" s="58" t="str">
        <x:v>是</x:v>
      </x:c>
      <x:c r="F34" s="58" t="str">
        <x:v>静态配置</x:v>
      </x:c>
      <x:c r="G34" s="58" t="str">
        <x:v>Runtime resolved值另存</x:v>
      </x:c>
      <x:c r="H34" s="58"/>
    </x:row>
    <x:row r="35">
      <x:c r="A35" s="66" t="str">
        <x:v>ElementModel</x:v>
      </x:c>
      <x:c r="B35" s="66" t="str">
        <x:v>元素基类</x:v>
      </x:c>
      <x:c r="C35" s="66" t="str">
        <x:v>styleRef / inlineStyle</x:v>
      </x:c>
      <x:c r="D35" s="66" t="str">
        <x:v>ref/config</x:v>
      </x:c>
      <x:c r="E35" s="66" t="str">
        <x:v>否</x:v>
      </x:c>
      <x:c r="F35" s="66" t="str">
        <x:v>样式类+Override</x:v>
      </x:c>
      <x:c r="G35" s="66" t="str">
        <x:v>Theme可切换</x:v>
      </x:c>
      <x:c r="H35" s="66"/>
    </x:row>
    <x:row r="36">
      <x:c r="A36" s="58" t="str">
        <x:v>ElementModel</x:v>
      </x:c>
      <x:c r="B36" s="58" t="str">
        <x:v>元素基类</x:v>
      </x:c>
      <x:c r="C36" s="58" t="str">
        <x:v>bindings</x:v>
      </x:c>
      <x:c r="D36" s="58" t="str">
        <x:v>BindingModel[]</x:v>
      </x:c>
      <x:c r="E36" s="58" t="str">
        <x:v>否</x:v>
      </x:c>
      <x:c r="F36" s="58" t="str">
        <x:v>按TargetProperty绑定</x:v>
      </x:c>
      <x:c r="G36" s="58" t="str">
        <x:v>支持多属性绑定</x:v>
      </x:c>
      <x:c r="H36" s="58"/>
    </x:row>
    <x:row r="37">
      <x:c r="A37" s="66" t="str">
        <x:v>ElementModel</x:v>
      </x:c>
      <x:c r="B37" s="66" t="str">
        <x:v>元素基类</x:v>
      </x:c>
      <x:c r="C37" s="66" t="str">
        <x:v>events</x:v>
      </x:c>
      <x:c r="D37" s="66" t="str">
        <x:v>EventBindingModel[]</x:v>
      </x:c>
      <x:c r="E37" s="66" t="str">
        <x:v>否</x:v>
      </x:c>
      <x:c r="F37" s="66" t="str">
        <x:v>事件→动作链</x:v>
      </x:c>
      <x:c r="G37" s="66" t="str">
        <x:v>不得保存delegate</x:v>
      </x:c>
      <x:c r="H37" s="66"/>
    </x:row>
    <x:row r="38">
      <x:c r="A38" s="58" t="str">
        <x:v>ElementModel</x:v>
      </x:c>
      <x:c r="B38" s="58" t="str">
        <x:v>元素基类</x:v>
      </x:c>
      <x:c r="C38" s="58" t="str">
        <x:v>animations</x:v>
      </x:c>
      <x:c r="D38" s="58" t="str">
        <x:v>AnimationDefinition[]</x:v>
      </x:c>
      <x:c r="E38" s="58" t="str">
        <x:v>否</x:v>
      </x:c>
      <x:c r="F38" s="58" t="str">
        <x:v>配置态动画</x:v>
      </x:c>
      <x:c r="G38" s="58" t="str">
        <x:v>运行状态不保存</x:v>
      </x:c>
      <x:c r="H38" s="58"/>
    </x:row>
    <x:row r="39">
      <x:c r="A39" s="66" t="str">
        <x:v>ElementModel</x:v>
      </x:c>
      <x:c r="B39" s="66" t="str">
        <x:v>元素基类</x:v>
      </x:c>
      <x:c r="C39" s="66" t="str">
        <x:v>customProperties</x:v>
      </x:c>
      <x:c r="D39" s="66" t="str">
        <x:v>PropertyBag</x:v>
      </x:c>
      <x:c r="E39" s="66" t="str">
        <x:v>否</x:v>
      </x:c>
      <x:c r="F39" s="66" t="str">
        <x:v>插件/组件扩展</x:v>
      </x:c>
      <x:c r="G39" s="66" t="str">
        <x:v>值类型受Schema限制</x:v>
      </x:c>
      <x:c r="H39" s="66"/>
    </x:row>
    <x:row r="40">
      <x:c r="A40" s="58" t="str">
        <x:v>ShapeElement</x:v>
      </x:c>
      <x:c r="B40" s="58" t="str">
        <x:v>几何元素</x:v>
      </x:c>
      <x:c r="C40" s="58" t="str">
        <x:v>geometry</x:v>
      </x:c>
      <x:c r="D40" s="58" t="str">
        <x:v>GeometryModel</x:v>
      </x:c>
      <x:c r="E40" s="58" t="str">
        <x:v>是</x:v>
      </x:c>
      <x:c r="F40" s="58" t="str">
        <x:v>Path/Rect/Ellipse/...</x:v>
      </x:c>
      <x:c r="G40" s="58" t="str">
        <x:v>Core自有几何值对象</x:v>
      </x:c>
      <x:c r="H40" s="58"/>
    </x:row>
    <x:row r="41">
      <x:c r="A41" s="66" t="str">
        <x:v>ControlElement</x:v>
      </x:c>
      <x:c r="B41" s="66" t="str">
        <x:v>UI控件</x:v>
      </x:c>
      <x:c r="C41" s="66" t="str">
        <x:v>controlTypeId/properties</x:v>
      </x:c>
      <x:c r="D41" s="66" t="str">
        <x:v>value/config</x:v>
      </x:c>
      <x:c r="E41" s="66" t="str">
        <x:v>是</x:v>
      </x:c>
      <x:c r="F41" s="66" t="str">
        <x:v>标准输入控件属性</x:v>
      </x:c>
      <x:c r="G41" s="66" t="str">
        <x:v>WPF控件仅Renderer持有</x:v>
      </x:c>
      <x:c r="H41" s="66"/>
    </x:row>
    <x:row r="42">
      <x:c r="A42" s="58" t="str">
        <x:v>ContainerElement</x:v>
      </x:c>
      <x:c r="B42" s="58" t="str">
        <x:v>容器</x:v>
      </x:c>
      <x:c r="C42" s="58" t="str">
        <x:v>children/layoutSpec</x:v>
      </x:c>
      <x:c r="D42" s="58" t="str">
        <x:v>Element[]/config</x:v>
      </x:c>
      <x:c r="E42" s="58" t="str">
        <x:v>是</x:v>
      </x:c>
      <x:c r="F42" s="58" t="str">
        <x:v>Composite</x:v>
      </x:c>
      <x:c r="G42" s="58" t="str">
        <x:v>禁止循环父子</x:v>
      </x:c>
      <x:c r="H42" s="58"/>
    </x:row>
    <x:row r="43">
      <x:c r="A43" s="66" t="str">
        <x:v>DisplayElement</x:v>
      </x:c>
      <x:c r="B43" s="66" t="str">
        <x:v>专业显示对象</x:v>
      </x:c>
      <x:c r="C43" s="66" t="str">
        <x:v>displayConfig</x:v>
      </x:c>
      <x:c r="D43" s="66" t="str">
        <x:v>config</x:v>
      </x:c>
      <x:c r="E43" s="66" t="str">
        <x:v>是</x:v>
      </x:c>
      <x:c r="F43" s="66" t="str">
        <x:v>Numeric/Gauge/Indicator/KPI等</x:v>
      </x:c>
      <x:c r="G43" s="66" t="str">
        <x:v>Chart不使用此模型</x:v>
      </x:c>
      <x:c r="H43" s="66"/>
    </x:row>
    <x:row r="44">
      <x:c r="A44" s="58" t="str">
        <x:v>SymbolDefinition</x:v>
      </x:c>
      <x:c r="B44" s="58" t="str">
        <x:v>符号定义</x:v>
      </x:c>
      <x:c r="C44" s="58" t="str">
        <x:v>id/name/version/children</x:v>
      </x:c>
      <x:c r="D44" s="58" t="str">
        <x:v>value/tree</x:v>
      </x:c>
      <x:c r="E44" s="58" t="str">
        <x:v>是</x:v>
      </x:c>
      <x:c r="F44" s="58" t="str">
        <x:v>共享语义定义</x:v>
      </x:c>
      <x:c r="G44" s="58" t="str">
        <x:v>Definition不直接占页面</x:v>
      </x:c>
      <x:c r="H44" s="58"/>
    </x:row>
    <x:row r="45">
      <x:c r="A45" s="66" t="str">
        <x:v>SymbolDefinition</x:v>
      </x:c>
      <x:c r="B45" s="66" t="str">
        <x:v>符号定义</x:v>
      </x:c>
      <x:c r="C45" s="66" t="str">
        <x:v>publicProperties/propertyMappings/ports/events/states/animations/scripts</x:v>
      </x:c>
      <x:c r="D45" s="66" t="str">
        <x:v>definition[]</x:v>
      </x:c>
      <x:c r="E45" s="66" t="str">
        <x:v>否</x:v>
      </x:c>
      <x:c r="F45" s="66" t="str">
        <x:v>公开接口与内部映射</x:v>
      </x:c>
      <x:c r="G45" s="66" t="str">
        <x:v>Mapping目标须可校验</x:v>
      </x:c>
      <x:c r="H45" s="66"/>
    </x:row>
    <x:row r="46">
      <x:c r="A46" s="58" t="str">
        <x:v>SymbolInstance</x:v>
      </x:c>
      <x:c r="B46" s="58" t="str">
        <x:v>符号实例</x:v>
      </x:c>
      <x:c r="C46" s="58" t="str">
        <x:v>definitionId/resolvedVersion/versionPolicy</x:v>
      </x:c>
      <x:c r="D46" s="58" t="str">
        <x:v>ref</x:v>
      </x:c>
      <x:c r="E46" s="58" t="str">
        <x:v>是</x:v>
      </x:c>
      <x:c r="F46" s="58" t="str">
        <x:v>引用定义</x:v>
      </x:c>
      <x:c r="G46" s="58" t="str">
        <x:v>发布前版本必须可解析</x:v>
      </x:c>
      <x:c r="H46" s="58"/>
    </x:row>
    <x:row r="47">
      <x:c r="A47" s="66" t="str">
        <x:v>SymbolInstance</x:v>
      </x:c>
      <x:c r="B47" s="66" t="str">
        <x:v>符号实例</x:v>
      </x:c>
      <x:c r="C47" s="66" t="str">
        <x:v>publicPropertyOverrides/parameterMappings/bindings</x:v>
      </x:c>
      <x:c r="D47" s="66" t="str">
        <x:v>map</x:v>
      </x:c>
      <x:c r="E47" s="66" t="str">
        <x:v>否</x:v>
      </x:c>
      <x:c r="F47" s="66" t="str">
        <x:v>轻量实例化</x:v>
      </x:c>
      <x:c r="G47" s="66" t="str">
        <x:v>不复制Definition children</x:v>
      </x:c>
      <x:c r="H47" s="66"/>
    </x:row>
    <x:row r="48">
      <x:c r="A48" s="58" t="str">
        <x:v>ElementModel</x:v>
      </x:c>
      <x:c r="B48" s="58" t="str">
        <x:v>元素基类</x:v>
      </x:c>
      <x:c r="C48" s="58" t="str">
        <x:v>alias/tags/designRole</x:v>
      </x:c>
      <x:c r="D48" s="58" t="str">
        <x:v>string/list/enum</x:v>
      </x:c>
      <x:c r="E48" s="58" t="str">
        <x:v>否</x:v>
      </x:c>
      <x:c r="F48" s="58" t="str">
        <x:v>稳定检索与语义分类</x:v>
      </x:c>
      <x:c r="G48" s="58" t="str">
        <x:v>Name不是稳定引用</x:v>
      </x:c>
      <x:c r="H48" s="58"/>
    </x:row>
    <x:row r="49">
      <x:c r="A49" s="66" t="str">
        <x:v>ElementModel</x:v>
      </x:c>
      <x:c r="B49" s="66" t="str">
        <x:v>元素基类</x:v>
      </x:c>
      <x:c r="C49" s="66" t="str">
        <x:v>stateRules/scriptRefs</x:v>
      </x:c>
      <x:c r="D49" s="66" t="str">
        <x:v>config[]</x:v>
      </x:c>
      <x:c r="E49" s="66" t="str">
        <x:v>否</x:v>
      </x:c>
      <x:c r="F49" s="66" t="str">
        <x:v>横向Capability配置</x:v>
      </x:c>
      <x:c r="G49" s="66" t="str">
        <x:v>运行结果不保存</x:v>
      </x:c>
      <x:c r="H49" s="66"/>
    </x:row>
    <x:row r="50">
      <x:c r="A50" s="58" t="str">
        <x:v>RuntimeElementAddress</x:v>
      </x:c>
      <x:c r="B50" s="58" t="str">
        <x:v>运行态地址</x:v>
      </x:c>
      <x:c r="C50" s="58" t="str">
        <x:v>不进入Project Schema</x:v>
      </x:c>
      <x:c r="D50" s="58" t="str">
        <x:v>runtime-only</x:v>
      </x:c>
      <x:c r="E50" s="58" t="str">
        <x:v>否</x:v>
      </x:c>
      <x:c r="F50" s="58" t="str">
        <x:v>pageId 或 instanceId::localElementId</x:v>
      </x:c>
      <x:c r="G50" s="58" t="str">
        <x:v>仅诊断/运行注册使用</x:v>
      </x:c>
      <x:c r="H50" s="58"/>
    </x:row>
    <x:row r="51">
      <x:c r="A51" s="66" t="str">
        <x:v>EventBinding</x:v>
      </x:c>
      <x:c r="B51" s="66" t="str">
        <x:v>事件</x:v>
      </x:c>
      <x:c r="C51" s="66" t="str">
        <x:v>eventType/condition/actions</x:v>
      </x:c>
      <x:c r="D51" s="66" t="str">
        <x:v>config</x:v>
      </x:c>
      <x:c r="E51" s="66" t="str">
        <x:v>是</x:v>
      </x:c>
      <x:c r="F51" s="66" t="str">
        <x:v>序列化行为定义</x:v>
      </x:c>
      <x:c r="G51" s="66" t="str">
        <x:v>动作可顺序/分支</x:v>
      </x:c>
      <x:c r="H51" s="66"/>
    </x:row>
    <x:row r="52">
      <x:c r="A52" s="58" t="str">
        <x:v>ActionModel</x:v>
      </x:c>
      <x:c r="B52" s="58" t="str">
        <x:v>动作基类</x:v>
      </x:c>
      <x:c r="C52" s="58" t="str">
        <x:v>actionTypeId/permission/parameters</x:v>
      </x:c>
      <x:c r="D52" s="58" t="str">
        <x:v>config</x:v>
      </x:c>
      <x:c r="E52" s="58" t="str">
        <x:v>是</x:v>
      </x:c>
      <x:c r="F52" s="58" t="str">
        <x:v>Executor注册</x:v>
      </x:c>
      <x:c r="G52" s="58" t="str">
        <x:v>真实写入必须WritePipeline</x:v>
      </x:c>
      <x:c r="H52" s="58"/>
    </x:row>
    <x:row r="53">
      <x:c r="A53" s="66" t="str">
        <x:v>AnimationDefinition</x:v>
      </x:c>
      <x:c r="B53" s="66" t="str">
        <x:v>动画</x:v>
      </x:c>
      <x:c r="C53" s="66" t="str">
        <x:v>trigger/target/from/to/duration/easing</x:v>
      </x:c>
      <x:c r="D53" s="66" t="str">
        <x:v>config</x:v>
      </x:c>
      <x:c r="E53" s="66" t="str">
        <x:v>是</x:v>
      </x:c>
      <x:c r="F53" s="66" t="str">
        <x:v>配置与tick状态分离</x:v>
      </x:c>
      <x:c r="G53" s="66" t="str">
        <x:v>Scheduler统一调度</x:v>
      </x:c>
      <x:c r="H53" s="66"/>
    </x:row>
    <x:row r="54" ht="28" customHeight="1">
      <x:c r="A54" s="50" t="str">
        <x:v>ResourceEntry</x:v>
      </x:c>
      <x:c r="B54" s="50" t="str">
        <x:v>资源</x:v>
      </x:c>
      <x:c r="C54" s="50" t="str">
        <x:v>id/kind/hash/relativePath/originalName</x:v>
      </x:c>
      <x:c r="D54" s="50" t="str">
        <x:v>value</x:v>
      </x:c>
      <x:c r="E54" s="50" t="str">
        <x:v>是</x:v>
      </x:c>
      <x:c r="F54" s="50" t="str">
        <x:v>内容Hash与相对路径</x:v>
      </x:c>
      <x:c r="G54" s="50" t="str">
        <x:v>可去重/校验</x:v>
      </x:c>
      <x:c r="H54" s="50"/>
    </x:row>
    <x:row r="55">
      <x:c r="A55" s="58" t="str">
        <x:v>StyleClassModel</x:v>
      </x:c>
      <x:c r="B55" s="58" t="str">
        <x:v>样式</x:v>
      </x:c>
      <x:c r="C55" s="58" t="str">
        <x:v>id/baseStyleId/properties/stateOverrides</x:v>
      </x:c>
      <x:c r="D55" s="58" t="str">
        <x:v>config</x:v>
      </x:c>
      <x:c r="E55" s="58" t="str">
        <x:v>是</x:v>
      </x:c>
      <x:c r="F55" s="58" t="str">
        <x:v>继承+局部Override</x:v>
      </x:c>
      <x:c r="G55" s="58" t="str">
        <x:v>防循环继承</x:v>
      </x:c>
      <x:c r="H55" s="58"/>
    </x:row>
    <x:row r="56" ht="28" customHeight="1">
      <x:c r="A56" s="50" t="str">
        <x:v>ThemeModel</x:v>
      </x:c>
      <x:c r="B56" s="50" t="str">
        <x:v>主题</x:v>
      </x:c>
      <x:c r="C56" s="50" t="str">
        <x:v>id/name/tokens/styleClasses</x:v>
      </x:c>
      <x:c r="D56" s="50" t="str">
        <x:v>config</x:v>
      </x:c>
      <x:c r="E56" s="50" t="str">
        <x:v>是</x:v>
      </x:c>
      <x:c r="F56" s="50" t="str">
        <x:v>颜色/字体/状态Token</x:v>
      </x:c>
      <x:c r="G56" s="50" t="str">
        <x:v>运行可切主题</x:v>
      </x:c>
      <x:c r="H56" s="50"/>
    </x:row>
    <x:row r="57">
      <x:c r="A57" s="66" t="str">
        <x:v>VariableReference</x:v>
      </x:c>
      <x:c r="B57" s="66" t="str">
        <x:v>变量引用</x:v>
      </x:c>
      <x:c r="C57" s="66" t="str">
        <x:v>providerId/id/path/name/type/access/unit</x:v>
      </x:c>
      <x:c r="D57" s="66" t="str">
        <x:v>value</x:v>
      </x:c>
      <x:c r="E57" s="66" t="str">
        <x:v>是</x:v>
      </x:c>
      <x:c r="F57" s="66" t="str">
        <x:v>稳定id为主</x:v>
      </x:c>
      <x:c r="G57" s="66" t="str">
        <x:v>不保存当前值</x:v>
      </x:c>
      <x:c r="H57" s="66"/>
    </x:row>
    <x:row r="58">
      <x:c r="A58" s="58" t="str">
        <x:v>Manifest</x:v>
      </x:c>
      <x:c r="B58" s="58" t="str">
        <x:v>发布清单</x:v>
      </x:c>
      <x:c r="C58" s="58" t="str">
        <x:v>format/app/project/files/hashes/plugins</x:v>
      </x:c>
      <x:c r="D58" s="58" t="str">
        <x:v>value</x:v>
      </x:c>
      <x:c r="E58" s="58" t="str">
        <x:v>是</x:v>
      </x:c>
      <x:c r="F58" s="58" t="str">
        <x:v>发布/校验/签名</x:v>
      </x:c>
      <x:c r="G58" s="58" t="str">
        <x:v>不含Designer临时态</x:v>
      </x:c>
      <x:c r="H58" s="58"/>
    </x:row>
    <x:row r="59">
      <x:c r="A59" s="66" t="str">
        <x:v>UnknownElement</x:v>
      </x:c>
      <x:c r="B59" s="66" t="str">
        <x:v>兼容保留</x:v>
      </x:c>
      <x:c r="C59" s="66" t="str">
        <x:v>typeId/rawPayload/bounds</x:v>
      </x:c>
      <x:c r="D59" s="66" t="str">
        <x:v>raw</x:v>
      </x:c>
      <x:c r="E59" s="66" t="str">
        <x:v>是</x:v>
      </x:c>
      <x:c r="F59" s="66" t="str">
        <x:v>未知插件/未来类型仍可打开</x:v>
      </x:c>
      <x:c r="G59" s="66" t="str">
        <x:v>占位并保留原数据</x:v>
      </x:c>
      <x:c r="H59" s="66"/>
    </x:row>
    <x:row r="60">
      <x:c r="A60" s="58" t="str">
        <x:v>ChartElement</x:v>
      </x:c>
      <x:c r="B60" s="58" t="str">
        <x:v>图表对象</x:v>
      </x:c>
      <x:c r="C60" s="58" t="str">
        <x:v>series/axes/dataSource/cachePolicy</x:v>
      </x:c>
      <x:c r="D60" s="58" t="str">
        <x:v>config</x:v>
      </x:c>
      <x:c r="E60" s="58" t="str">
        <x:v>是</x:v>
      </x:c>
      <x:c r="F60" s="58" t="str">
        <x:v>Trend/XY/Bar/Pie等</x:v>
      </x:c>
      <x:c r="G60" s="58" t="str">
        <x:v>第三方Chart对象不保存</x:v>
      </x:c>
      <x:c r="H60" s="58"/>
    </x:row>
    <x:row r="61">
      <x:c r="A61" s="66" t="str">
        <x:v>BindingModel</x:v>
      </x:c>
      <x:c r="B61" s="66" t="str">
        <x:v>绑定配置</x:v>
      </x:c>
      <x:c r="C61" s="66" t="str">
        <x:v>bindingId/typeId/targetProperty/source/fallback/qualityPolicy</x:v>
      </x:c>
      <x:c r="D61" s="66" t="str">
        <x:v>config</x:v>
      </x:c>
      <x:c r="E61" s="66" t="str">
        <x:v>是</x:v>
      </x:c>
      <x:c r="F61" s="66" t="str">
        <x:v>Tag/Property/Expression统一配置</x:v>
      </x:c>
      <x:c r="G61" s="66" t="str">
        <x:v>运行编译为BindingPlan</x:v>
      </x:c>
      <x:c r="H61" s="66"/>
    </x:row>
    <x:row r="62" ht="24" customHeight="1">
      <x:c r="A62" s="40" t="str">
        <x:v>B. 源工程 / 发布包目录契约</x:v>
      </x:c>
      <x:c r="B62" s="40"/>
      <x:c r="C62" s="40"/>
      <x:c r="D62" s="40"/>
      <x:c r="E62" s="40"/>
      <x:c r="F62" s="40"/>
      <x:c r="G62" s="40"/>
      <x:c r="H62" s="40"/>
    </x:row>
    <x:row r="63" ht="28" customHeight="1">
      <x:c r="A63" s="50" t="str">
        <x:v>节点</x:v>
      </x:c>
      <x:c r="B63" s="50" t="str">
        <x:v>路径示例</x:v>
      </x:c>
      <x:c r="C63" s="50" t="str">
        <x:v>内容</x:v>
      </x:c>
      <x:c r="D63" s="50" t="str">
        <x:v>设计目的</x:v>
      </x:c>
      <x:c r="E63" s="50"/>
      <x:c r="F63" s="50"/>
      <x:c r="G63" s="50"/>
      <x:c r="H63" s="50"/>
    </x:row>
    <x:row r="64">
      <x:c r="A64" s="58" t="str">
        <x:v>源工程根目录</x:v>
      </x:c>
      <x:c r="B64" s="58" t="str">
        <x:v>Machine01/</x:v>
      </x:c>
      <x:c r="C64" s="58" t="str">
        <x:v>包含Machine01.cxvproj、pages/、symbols/、resources/、styles/等</x:v>
      </x:c>
      <x:c r="D64" s="58" t="str">
        <x:v>Git友好、可局部diff</x:v>
      </x:c>
      <x:c r="E64" s="58"/>
      <x:c r="F64" s="58"/>
      <x:c r="G64" s="58"/>
      <x:c r="H64" s="58"/>
    </x:row>
    <x:row r="65">
      <x:c r="A65"/>
      <x:c r="B65"/>
      <x:c r="C65"/>
      <x:c r="D65"/>
      <x:c r="E65"/>
      <x:c r="F65"/>
      <x:c r="G65"/>
      <x:c r="H65"/>
    </x:row>
    <x:row r="66">
      <x:c r="A66"/>
      <x:c r="B66"/>
      <x:c r="C66"/>
      <x:c r="D66"/>
      <x:c r="E66"/>
      <x:c r="F66"/>
      <x:c r="G66"/>
      <x:c r="H66"/>
    </x:row>
    <x:row r="67">
      <x:c r="A67" s="66" t="str">
        <x:v>.cxvproj</x:v>
      </x:c>
      <x:c r="B67" s="66" t="str">
        <x:v>Machine01.cxvproj</x:v>
      </x:c>
      <x:c r="C67" s="66" t="str">
        <x:v>ProjectDocument/索引清单</x:v>
      </x:c>
      <x:c r="D67" s="66" t="str">
        <x:v>JSON文本；稳定顺序</x:v>
      </x:c>
      <x:c r="E67" s="66"/>
      <x:c r="F67" s="66"/>
      <x:c r="G67" s="66"/>
      <x:c r="H67" s="66"/>
    </x:row>
    <x:row r="68">
      <x:c r="A68" s="58" t="str">
        <x:v>页面</x:v>
      </x:c>
      <x:c r="B68" s="58" t="str">
        <x:v>pages/{pageId}.json</x:v>
      </x:c>
      <x:c r="C68" s="58" t="str">
        <x:v>PageModel</x:v>
      </x:c>
      <x:c r="D68" s="58" t="str">
        <x:v>按稳定Id分文件</x:v>
      </x:c>
      <x:c r="E68" s="58"/>
      <x:c r="F68" s="58"/>
      <x:c r="G68" s="58"/>
      <x:c r="H68" s="58"/>
    </x:row>
    <x:row r="69">
      <x:c r="A69" s="66" t="str">
        <x:v>弹窗</x:v>
      </x:c>
      <x:c r="B69" s="66" t="str">
        <x:v>popups/{popupId}.json</x:v>
      </x:c>
      <x:c r="C69" s="66" t="str">
        <x:v>PopupModel</x:v>
      </x:c>
      <x:c r="D69" s="66" t="str">
        <x:v>与Page同语义树</x:v>
      </x:c>
      <x:c r="E69" s="66"/>
      <x:c r="F69" s="66"/>
      <x:c r="G69" s="66"/>
      <x:c r="H69" s="66"/>
    </x:row>
    <x:row r="70">
      <x:c r="A70" s="58" t="str">
        <x:v>Symbol</x:v>
      </x:c>
      <x:c r="B70" s="58" t="str">
        <x:v>symbols/{symbolId}.json</x:v>
      </x:c>
      <x:c r="C70" s="58" t="str">
        <x:v>SymbolDefinition</x:v>
      </x:c>
      <x:c r="D70" s="58" t="str">
        <x:v>Definition版本字段必需；实例只引用</x:v>
      </x:c>
      <x:c r="E70" s="58"/>
      <x:c r="F70" s="58"/>
      <x:c r="G70" s="58"/>
      <x:c r="H70" s="58"/>
    </x:row>
    <x:row r="71">
      <x:c r="A71" s="66" t="str">
        <x:v>样式/主题</x:v>
      </x:c>
      <x:c r="B71" s="66" t="str">
        <x:v>styles/*.json; themes/*.json</x:v>
      </x:c>
      <x:c r="C71" s="66" t="str">
        <x:v>StyleClass/Theme</x:v>
      </x:c>
      <x:c r="D71" s="66" t="str">
        <x:v>不把WPF ResourceDictionary当持久化格式</x:v>
      </x:c>
      <x:c r="E71" s="66"/>
      <x:c r="F71" s="66"/>
      <x:c r="G71" s="66"/>
      <x:c r="H71" s="66"/>
    </x:row>
    <x:row r="72" ht="28" customHeight="1">
      <x:c r="A72" s="50" t="str">
        <x:v>资源</x:v>
      </x:c>
      <x:c r="B72" s="50" t="str">
        <x:v>resources/{hash}.{ext}</x:v>
      </x:c>
      <x:c r="C72" s="50" t="str">
        <x:v>图片/SVG/字体等</x:v>
      </x:c>
      <x:c r="D72" s="50" t="str">
        <x:v>内容寻址/相对路径</x:v>
      </x:c>
      <x:c r="E72" s="50"/>
      <x:c r="F72" s="50"/>
      <x:c r="G72" s="50"/>
      <x:c r="H72" s="50"/>
    </x:row>
    <x:row r="73">
      <x:c r="A73" s="58" t="str">
        <x:v>发布包</x:v>
      </x:c>
      <x:c r="B73" s="58" t="str">
        <x:v>Machine01.cxv</x:v>
      </x:c>
      <x:c r="C73" s="58" t="str">
        <x:v>ZIP容器；内部结构与源目录一致 + manifest</x:v>
      </x:c>
      <x:c r="D73" s="58" t="str">
        <x:v>只读发布快照</x:v>
      </x:c>
      <x:c r="E73" s="58"/>
      <x:c r="F73" s="58"/>
      <x:c r="G73" s="58"/>
      <x:c r="H73" s="58"/>
    </x:row>
    <x:row r="74">
      <x:c r="A74"/>
      <x:c r="B74"/>
      <x:c r="C74"/>
      <x:c r="D74"/>
      <x:c r="E74"/>
      <x:c r="F74"/>
      <x:c r="G74"/>
      <x:c r="H74"/>
    </x:row>
    <x:row r="75" ht="24" customHeight="1">
      <x:c r="A75" s="40" t="str">
        <x:v>C. JSON / Schema 稳定性规则</x:v>
      </x:c>
      <x:c r="B75" s="40"/>
      <x:c r="C75" s="40"/>
      <x:c r="D75" s="40"/>
      <x:c r="E75" s="40"/>
      <x:c r="F75" s="40"/>
      <x:c r="G75" s="40"/>
      <x:c r="H75" s="40"/>
    </x:row>
    <x:row r="76" ht="28" customHeight="1">
      <x:c r="A76" s="50" t="str">
        <x:v>主题</x:v>
      </x:c>
      <x:c r="B76" s="50" t="str">
        <x:v>规则</x:v>
      </x:c>
      <x:c r="C76" s="50" t="str">
        <x:v>目的</x:v>
      </x:c>
      <x:c r="D76" s="50"/>
      <x:c r="E76" s="50"/>
      <x:c r="F76" s="50"/>
      <x:c r="G76" s="50"/>
      <x:c r="H76" s="50"/>
    </x:row>
    <x:row r="77">
      <x:c r="A77" s="66" t="str">
        <x:v>稳定身份</x:v>
      </x:c>
      <x:c r="B77" s="66" t="str">
        <x:v>所有引用以Id/typeId为主；名称仅显示</x:v>
      </x:c>
      <x:c r="C77" s="66" t="str">
        <x:v>重命名不破坏引用</x:v>
      </x:c>
      <x:c r="D77" s="66"/>
      <x:c r="E77" s="66"/>
      <x:c r="F77" s="66"/>
      <x:c r="G77" s="66"/>
      <x:c r="H77" s="66"/>
    </x:row>
    <x:row r="78">
      <x:c r="A78" s="58" t="str">
        <x:v>多态</x:v>
      </x:c>
      <x:c r="B78" s="58" t="str">
        <x:v>显式typeId + Registry Converter；TypeNameHandling=None</x:v>
      </x:c>
      <x:c r="C78" s="58" t="str">
        <x:v>禁止CLR FullName进入文件</x:v>
      </x:c>
      <x:c r="D78" s="58"/>
      <x:c r="E78" s="58"/>
      <x:c r="F78" s="58"/>
      <x:c r="G78" s="58"/>
      <x:c r="H78" s="58"/>
    </x:row>
    <x:row r="79">
      <x:c r="A79" s="66" t="str">
        <x:v>默认值</x:v>
      </x:c>
      <x:c r="B79" s="66" t="str">
        <x:v>可省略稳定默认值，但默认规则必须版本化</x:v>
      </x:c>
      <x:c r="C79" s="66" t="str">
        <x:v>减少文件膨胀且可迁移</x:v>
      </x:c>
      <x:c r="D79" s="66"/>
      <x:c r="E79" s="66"/>
      <x:c r="F79" s="66"/>
      <x:c r="G79" s="66"/>
      <x:c r="H79" s="66"/>
    </x:row>
    <x:row r="80">
      <x:c r="A80" s="58" t="str">
        <x:v>Null</x:v>
      </x:c>
      <x:c r="B80" s="58" t="str">
        <x:v>区分“未设置/继承”与“显式空值”</x:v>
      </x:c>
      <x:c r="C80" s="58" t="str">
        <x:v>Style/Binding Override尤其重要</x:v>
      </x:c>
      <x:c r="D80" s="58"/>
      <x:c r="E80" s="58"/>
      <x:c r="F80" s="58"/>
      <x:c r="G80" s="58"/>
      <x:c r="H80" s="58"/>
    </x:row>
    <x:row r="81">
      <x:c r="A81" s="66" t="str">
        <x:v>数字</x:v>
      </x:c>
      <x:c r="B81" s="66" t="str">
        <x:v>InvariantCulture；浮点统一精度策略</x:v>
      </x:c>
      <x:c r="C81" s="66" t="str">
        <x:v>减少Git无意义Diff</x:v>
      </x:c>
      <x:c r="D81" s="66"/>
      <x:c r="E81" s="66"/>
      <x:c r="F81" s="66"/>
      <x:c r="G81" s="66"/>
      <x:c r="H81" s="66"/>
    </x:row>
    <x:row r="82">
      <x:c r="A82" s="58" t="str">
        <x:v>排序</x:v>
      </x:c>
      <x:c r="B82" s="58" t="str">
        <x:v>源工程Normalized JSON：属性顺序稳定；有语义顺序的Children不得重排</x:v>
      </x:c>
      <x:c r="C82" s="58" t="str">
        <x:v>便于Diff</x:v>
      </x:c>
      <x:c r="D82" s="58"/>
      <x:c r="E82" s="58"/>
      <x:c r="F82" s="58"/>
      <x:c r="G82" s="58"/>
      <x:c r="H82" s="58"/>
    </x:row>
    <x:row r="83" ht="28" customHeight="1">
      <x:c r="A83" s="50" t="str">
        <x:v>扩展</x:v>
      </x:c>
      <x:c r="B83" s="50" t="str">
        <x:v>metadata/customProperties仅允许安全JSON值</x:v>
      </x:c>
      <x:c r="C83" s="50" t="str">
        <x:v>未知插件字段尽量保留</x:v>
      </x:c>
      <x:c r="D83" s="50"/>
      <x:c r="E83" s="50"/>
      <x:c r="F83" s="50"/>
      <x:c r="G83" s="50"/>
      <x:c r="H83" s="50"/>
    </x:row>
    <x:row r="84">
      <x:c r="A84" s="66" t="str">
        <x:v>迁移</x:v>
      </x:c>
      <x:c r="B84" s="66" t="str">
        <x:v>formatVersion逐级迁移，不允许跨版本猜测</x:v>
      </x:c>
      <x:c r="C84" s="66" t="str">
        <x:v>每个Migration有Golden Test</x:v>
      </x:c>
      <x:c r="D84" s="66"/>
      <x:c r="E84" s="66"/>
      <x:c r="F84" s="66"/>
      <x:c r="G84" s="66"/>
      <x:c r="H84" s="66"/>
    </x:row>
    <x:row r="85">
      <x:c r="A85" s="58" t="str">
        <x:v>校验</x:v>
      </x:c>
      <x:c r="B85" s="58" t="str">
        <x:v>Load宽松可降级；Publish严格阻止致命问题</x:v>
      </x:c>
      <x:c r="C85" s="58" t="str">
        <x:v>未知类型可打开但不可静默发布</x:v>
      </x:c>
      <x:c r="D85" s="58"/>
      <x:c r="E85" s="58"/>
      <x:c r="F85" s="58"/>
      <x:c r="G85" s="58"/>
      <x:c r="H85" s="58"/>
    </x:row>
    <x:row r="86">
      <x:c r="A86"/>
      <x:c r="B86"/>
      <x:c r="C86"/>
      <x:c r="D86"/>
      <x:c r="E86"/>
      <x:c r="F86"/>
      <x:c r="G86"/>
      <x:c r="H86"/>
    </x:row>
    <x:row r="87">
      <x:c r="A87"/>
      <x:c r="B87"/>
      <x:c r="C87"/>
      <x:c r="D87"/>
      <x:c r="E87"/>
      <x:c r="F87"/>
      <x:c r="G87"/>
      <x:c r="H87"/>
    </x:row>
    <x:row r="88" ht="24" customHeight="1">
      <x:c r="A88" s="40" t="str">
        <x:v>D. Project 多设计域根契约</x:v>
      </x:c>
      <x:c r="B88" s="40"/>
      <x:c r="C88" s="40"/>
      <x:c r="D88" s="40"/>
      <x:c r="E88" s="40"/>
      <x:c r="F88" s="40"/>
      <x:c r="G88" s="40"/>
      <x:c r="H88" s="40"/>
    </x:row>
    <x:row r="89" ht="28" customHeight="1">
      <x:c r="A89" s="50" t="str">
        <x:v>对象</x:v>
      </x:c>
      <x:c r="B89" s="50" t="str">
        <x:v>字段</x:v>
      </x:c>
      <x:c r="C89" s="50" t="str">
        <x:v>类型</x:v>
      </x:c>
      <x:c r="D89" s="50" t="str">
        <x:v>必需</x:v>
      </x:c>
      <x:c r="E89" s="50" t="str">
        <x:v>作用</x:v>
      </x:c>
      <x:c r="F89" s="50" t="str">
        <x:v>引用/版本</x:v>
      </x:c>
      <x:c r="G89" s="50" t="str">
        <x:v>约束</x:v>
      </x:c>
      <x:c r="H89" s="50"/>
    </x:row>
    <x:row r="90">
      <x:c r="A90" s="66" t="str">
        <x:v>ProjectDocument</x:v>
      </x:c>
      <x:c r="B90" s="66" t="str">
        <x:v>devices / variables</x:v>
      </x:c>
      <x:c r="C90" s="66" t="str">
        <x:v>Ref[]/Definitions</x:v>
      </x:c>
      <x:c r="D90" s="66" t="str">
        <x:v>否</x:v>
      </x:c>
      <x:c r="E90" s="66" t="str">
        <x:v>SCADA设备与变量定义</x:v>
      </x:c>
      <x:c r="F90" s="66" t="str">
        <x:v>Stable Id / TemplateVersion</x:v>
      </x:c>
      <x:c r="G90" s="66" t="str">
        <x:v>全域共用</x:v>
      </x:c>
      <x:c r="H90" s="66"/>
    </x:row>
    <x:row r="91">
      <x:c r="A91" s="58" t="str">
        <x:v>ProjectDocument</x:v>
      </x:c>
      <x:c r="B91" s="58" t="str">
        <x:v>alarms / historian / recipes</x:v>
      </x:c>
      <x:c r="C91" s="58" t="str">
        <x:v>Ref[]/Definitions</x:v>
      </x:c>
      <x:c r="D91" s="58" t="str">
        <x:v>否</x:v>
      </x:c>
      <x:c r="E91" s="58" t="str">
        <x:v>报警/历史/配方配置</x:v>
      </x:c>
      <x:c r="F91" s="58" t="str">
        <x:v>Definition Version</x:v>
      </x:c>
      <x:c r="G91" s="58" t="str">
        <x:v>运行值不保存</x:v>
      </x:c>
      <x:c r="H91" s="58"/>
    </x:row>
    <x:row r="92">
      <x:c r="A92" s="66" t="str">
        <x:v>ProjectDocument</x:v>
      </x:c>
      <x:c r="B92" s="66" t="str">
        <x:v>motionPrograms</x:v>
      </x:c>
      <x:c r="C92" s="66" t="str">
        <x:v>Ref[]</x:v>
      </x:c>
      <x:c r="D92" s="66" t="str">
        <x:v>否</x:v>
      </x:c>
      <x:c r="E92" s="66" t="str">
        <x:v>运控编排Definition索引</x:v>
      </x:c>
      <x:c r="F92" s="66" t="str">
        <x:v>ProgramId + Version</x:v>
      </x:c>
      <x:c r="G92" s="66" t="str">
        <x:v>graphs/motion/</x:v>
      </x:c>
      <x:c r="H92" s="66"/>
    </x:row>
    <x:row r="93">
      <x:c r="A93" s="58" t="str">
        <x:v>ProjectDocument</x:v>
      </x:c>
      <x:c r="B93" s="58" t="str">
        <x:v>visionPipelines</x:v>
      </x:c>
      <x:c r="C93" s="58" t="str">
        <x:v>Ref[]</x:v>
      </x:c>
      <x:c r="D93" s="58" t="str">
        <x:v>否</x:v>
      </x:c>
      <x:c r="E93" s="58" t="str">
        <x:v>视觉Pipeline索引</x:v>
      </x:c>
      <x:c r="F93" s="58" t="str">
        <x:v>PipelineId + Version</x:v>
      </x:c>
      <x:c r="G93" s="58" t="str">
        <x:v>graphs/vision/</x:v>
      </x:c>
      <x:c r="H93" s="58"/>
    </x:row>
    <x:row r="94">
      <x:c r="A94" s="66" t="str">
        <x:v>ProjectDocument</x:v>
      </x:c>
      <x:c r="B94" s="66" t="str">
        <x:v>inspectionFlows</x:v>
      </x:c>
      <x:c r="C94" s="66" t="str">
        <x:v>Ref[]</x:v>
      </x:c>
      <x:c r="D94" s="66" t="str">
        <x:v>否</x:v>
      </x:c>
      <x:c r="E94" s="66" t="str">
        <x:v>检测Workflow索引</x:v>
      </x:c>
      <x:c r="F94" s="66" t="str">
        <x:v>FlowId + Version</x:v>
      </x:c>
      <x:c r="G94" s="66" t="str">
        <x:v>graphs/inspection/</x:v>
      </x:c>
      <x:c r="H94" s="66"/>
    </x:row>
    <x:row r="95">
      <x:c r="A95" s="58" t="str">
        <x:v>ProjectDocument</x:v>
      </x:c>
      <x:c r="B95" s="58" t="str">
        <x:v>runtimeProfiles</x:v>
      </x:c>
      <x:c r="C95" s="58" t="str">
        <x:v>Ref[]</x:v>
      </x:c>
      <x:c r="D95" s="58" t="str">
        <x:v>否</x:v>
      </x:c>
      <x:c r="E95" s="58" t="str">
        <x:v>Lab/Test/Production环境</x:v>
      </x:c>
      <x:c r="F95" s="58" t="str">
        <x:v>ProfileId/Revision</x:v>
      </x:c>
      <x:c r="G95" s="58" t="str">
        <x:v>密钥仅SecretRef</x:v>
      </x:c>
      <x:c r="H95" s="58"/>
    </x:row>
    <x:row r="96">
      <x:c r="A96" s="66" t="str">
        <x:v>ProjectDocument</x:v>
      </x:c>
      <x:c r="B96" s="66" t="str">
        <x:v>pluginRequirements</x:v>
      </x:c>
      <x:c r="C96" s="66" t="str">
        <x:v>PluginRequirement[]</x:v>
      </x:c>
      <x:c r="D96" s="66" t="str">
        <x:v>否</x:v>
      </x:c>
      <x:c r="E96" s="66" t="str">
        <x:v>发布/运行插件依赖</x:v>
      </x:c>
      <x:c r="F96" s="66" t="str">
        <x:v>PluginId/ResolvedVersion/ApiVersion</x:v>
      </x:c>
      <x:c r="G96" s="66" t="str">
        <x:v>Publish严格校验</x:v>
      </x:c>
      <x:c r="H96" s="66"/>
    </x:row>
    <x:row r="97">
      <x:c r="A97" s="58" t="str">
        <x:v>ProjectDocument</x:v>
      </x:c>
      <x:c r="B97" s="58" t="str">
        <x:v>deploymentTargets</x:v>
      </x:c>
      <x:c r="C97" s="58" t="str">
        <x:v>DeploymentTargetRef[]</x:v>
      </x:c>
      <x:c r="D97" s="58" t="str">
        <x:v>否</x:v>
      </x:c>
      <x:c r="E97" s="58" t="str">
        <x:v>目标Runtime/设备组</x:v>
      </x:c>
      <x:c r="F97" s="58" t="str">
        <x:v>TargetId</x:v>
      </x:c>
      <x:c r="G97" s="58" t="str">
        <x:v>不保存在线状态</x:v>
      </x:c>
      <x:c r="H97" s="58"/>
    </x:row>
    <x:row r="98">
      <x:c r="A98"/>
      <x:c r="B98"/>
      <x:c r="C98"/>
      <x:c r="D98"/>
      <x:c r="E98"/>
      <x:c r="F98"/>
      <x:c r="G98"/>
      <x:c r="H98"/>
    </x:row>
    <x:row r="99" ht="24" customHeight="1">
      <x:c r="A99" s="40" t="str">
        <x:v>E. Execution Model Schema</x:v>
      </x:c>
      <x:c r="B99" s="40"/>
      <x:c r="C99" s="40"/>
      <x:c r="D99" s="40"/>
      <x:c r="E99" s="40"/>
      <x:c r="F99" s="40"/>
      <x:c r="G99" s="40"/>
      <x:c r="H99" s="40"/>
    </x:row>
    <x:row r="100" ht="28" customHeight="1">
      <x:c r="A100" s="50" t="str">
        <x:v>对象</x:v>
      </x:c>
      <x:c r="B100" s="50" t="str">
        <x:v>字段</x:v>
      </x:c>
      <x:c r="C100" s="50" t="str">
        <x:v>类型</x:v>
      </x:c>
      <x:c r="D100" s="50" t="str">
        <x:v>必需</x:v>
      </x:c>
      <x:c r="E100" s="50" t="str">
        <x:v>规则</x:v>
      </x:c>
      <x:c r="F100" s="50" t="str">
        <x:v>运行态映射</x:v>
      </x:c>
      <x:c r="G100" s="50" t="str">
        <x:v>说明</x:v>
      </x:c>
      <x:c r="H100" s="50"/>
    </x:row>
    <x:row r="101">
      <x:c r="A101" s="66" t="str">
        <x:v>GraphDefinition</x:v>
      </x:c>
      <x:c r="B101" s="66" t="str">
        <x:v>id/name/graphKind/version</x:v>
      </x:c>
      <x:c r="C101" s="66" t="str">
        <x:v>value</x:v>
      </x:c>
      <x:c r="D101" s="66" t="str">
        <x:v>是</x:v>
      </x:c>
      <x:c r="E101" s="66" t="str">
        <x:v>Id/GraphKind稳定</x:v>
      </x:c>
      <x:c r="F101" s="66" t="str">
        <x:v>Domain Compiler</x:v>
      </x:c>
      <x:c r="G101" s="66" t="str">
        <x:v>所有编排共用根契约</x:v>
      </x:c>
      <x:c r="H101" s="66"/>
    </x:row>
    <x:row r="102">
      <x:c r="A102" s="58" t="str">
        <x:v>GraphDefinition</x:v>
      </x:c>
      <x:c r="B102" s="58" t="str">
        <x:v>parameters/nodes/connections/metadata</x:v>
      </x:c>
      <x:c r="C102" s="58" t="str">
        <x:v>arrays/config</x:v>
      </x:c>
      <x:c r="D102" s="58" t="str">
        <x:v>是</x:v>
      </x:c>
      <x:c r="E102" s="58" t="str">
        <x:v>有语义顺序的Nodes可稳定排序</x:v>
      </x:c>
      <x:c r="F102" s="58" t="str">
        <x:v>ExecutionPlan</x:v>
      </x:c>
      <x:c r="G102" s="58" t="str">
        <x:v>不保存Runtime state</x:v>
      </x:c>
      <x:c r="H102" s="58"/>
    </x:row>
    <x:row r="103">
      <x:c r="A103" s="66" t="str">
        <x:v>GraphNode</x:v>
      </x:c>
      <x:c r="B103" s="66" t="str">
        <x:v>id/nodeTypeId/position/parameters/tags</x:v>
      </x:c>
      <x:c r="C103" s="66" t="str">
        <x:v>config</x:v>
      </x:c>
      <x:c r="D103" s="66" t="str">
        <x:v>是</x:v>
      </x:c>
      <x:c r="E103" s="66" t="str">
        <x:v>NodeTypeId稳定</x:v>
      </x:c>
      <x:c r="F103" s="66" t="str">
        <x:v>NodePlan</x:v>
      </x:c>
      <x:c r="G103" s="66" t="str">
        <x:v>UI位置可持久化</x:v>
      </x:c>
      <x:c r="H103" s="66"/>
    </x:row>
    <x:row r="104">
      <x:c r="A104" s="58" t="str">
        <x:v>GraphPort</x:v>
      </x:c>
      <x:c r="B104" s="58" t="str">
        <x:v>key/direction/dataType/cardinality/optional</x:v>
      </x:c>
      <x:c r="C104" s="58" t="str">
        <x:v>config</x:v>
      </x:c>
      <x:c r="D104" s="58" t="str">
        <x:v>是</x:v>
      </x:c>
      <x:c r="E104" s="58" t="str">
        <x:v>DataType来自统一TypeSystem</x:v>
      </x:c>
      <x:c r="F104" s="58" t="str">
        <x:v>PortPlan</x:v>
      </x:c>
      <x:c r="G104" s="58" t="str">
        <x:v>部分可由Descriptor生成但保存需可兼容</x:v>
      </x:c>
      <x:c r="H104" s="58"/>
    </x:row>
    <x:row r="105">
      <x:c r="A105" s="66" t="str">
        <x:v>GraphConnection</x:v>
      </x:c>
      <x:c r="B105" s="66" t="str">
        <x:v>id/fromNode/fromPort/toNode/toPort</x:v>
      </x:c>
      <x:c r="C105" s="66" t="str">
        <x:v>refs</x:v>
      </x:c>
      <x:c r="D105" s="66" t="str">
        <x:v>是</x:v>
      </x:c>
      <x:c r="E105" s="66" t="str">
        <x:v>端口必须存在且兼容</x:v>
      </x:c>
      <x:c r="F105" s="66" t="str">
        <x:v>Dependency/Control edge</x:v>
      </x:c>
      <x:c r="G105" s="66" t="str">
        <x:v>加载后Validator检查</x:v>
      </x:c>
      <x:c r="H105" s="66"/>
    </x:row>
    <x:row r="106">
      <x:c r="A106" s="58" t="str">
        <x:v>SubGraphRef</x:v>
      </x:c>
      <x:c r="B106" s="58" t="str">
        <x:v>definitionId/resolvedVersion/parameterBindings</x:v>
      </x:c>
      <x:c r="C106" s="58" t="str">
        <x:v>ref/map</x:v>
      </x:c>
      <x:c r="D106" s="58" t="str">
        <x:v>否</x:v>
      </x:c>
      <x:c r="E106" s="58" t="str">
        <x:v>发布时Resolve版本</x:v>
      </x:c>
      <x:c r="F106" s="58" t="str">
        <x:v>Call plan</x:v>
      </x:c>
      <x:c r="G106" s="58" t="str">
        <x:v>不复制整图</x:v>
      </x:c>
      <x:c r="H106" s="58"/>
    </x:row>
    <x:row r="107">
      <x:c r="A107" s="66" t="str">
        <x:v>MotionProgram</x:v>
      </x:c>
      <x:c r="B107" s="66" t="str">
        <x:v>graphKind=motion + resources</x:v>
      </x:c>
      <x:c r="C107" s="66" t="str">
        <x:v>GraphDefinition</x:v>
      </x:c>
      <x:c r="D107" s="66" t="str">
        <x:v>是</x:v>
      </x:c>
      <x:c r="E107" s="66" t="str">
        <x:v>资源/设备引用稳定</x:v>
      </x:c>
      <x:c r="F107" s="66" t="str">
        <x:v>MotionPlan</x:v>
      </x:c>
      <x:c r="G107" s="66" t="str">
        <x:v>软实时</x:v>
      </x:c>
      <x:c r="H107" s="66"/>
    </x:row>
    <x:row r="108">
      <x:c r="A108" s="58" t="str">
        <x:v>VisionPipeline</x:v>
      </x:c>
      <x:c r="B108" s="58" t="str">
        <x:v>graphKind=vision + io definitions</x:v>
      </x:c>
      <x:c r="C108" s="58" t="str">
        <x:v>GraphDefinition</x:v>
      </x:c>
      <x:c r="D108" s="58" t="str">
        <x:v>是</x:v>
      </x:c>
      <x:c r="E108" s="58" t="str">
        <x:v>Typed DataFlow</x:v>
      </x:c>
      <x:c r="F108" s="58" t="str">
        <x:v>VisionPlan</x:v>
      </x:c>
      <x:c r="G108" s="58" t="str">
        <x:v>DAG为主</x:v>
      </x:c>
      <x:c r="H108" s="58"/>
    </x:row>
    <x:row r="109">
      <x:c r="A109" s="66" t="str">
        <x:v>InspectionFlow</x:v>
      </x:c>
      <x:c r="B109" s="66" t="str">
        <x:v>graphKind=inspection + errorPolicy</x:v>
      </x:c>
      <x:c r="C109" s="66" t="str">
        <x:v>GraphDefinition</x:v>
      </x:c>
      <x:c r="D109" s="66" t="str">
        <x:v>是</x:v>
      </x:c>
      <x:c r="E109" s="66" t="str">
        <x:v>Durable workflow</x:v>
      </x:c>
      <x:c r="F109" s="66" t="str">
        <x:v>InspectionPlan</x:v>
      </x:c>
      <x:c r="G109" s="66" t="str">
        <x:v>允许控制流循环</x:v>
      </x:c>
      <x:c r="H109" s="66"/>
    </x:row>
    <x:row r="110">
      <x:c r="A110"/>
      <x:c r="B110"/>
      <x:c r="C110"/>
      <x:c r="D110"/>
      <x:c r="E110"/>
      <x:c r="F110"/>
      <x:c r="G110"/>
      <x:c r="H110"/>
    </x:row>
    <x:row r="111" ht="24" customHeight="1">
      <x:c r="A111" s="40" t="str">
        <x:v>F. Runtime/Task 持久化边界</x:v>
      </x:c>
      <x:c r="B111" s="40"/>
      <x:c r="C111" s="40"/>
      <x:c r="D111" s="40"/>
      <x:c r="E111" s="40"/>
      <x:c r="F111" s="40"/>
      <x:c r="G111" s="40"/>
      <x:c r="H111" s="40"/>
    </x:row>
    <x:row r="112" ht="28" customHeight="1">
      <x:c r="A112" s="50" t="str">
        <x:v>对象</x:v>
      </x:c>
      <x:c r="B112" s="50" t="str">
        <x:v>是否进入工程</x:v>
      </x:c>
      <x:c r="C112" s="50" t="str">
        <x:v>保存位置</x:v>
      </x:c>
      <x:c r="D112" s="50" t="str">
        <x:v>用途</x:v>
      </x:c>
      <x:c r="E112" s="50" t="str">
        <x:v>版本/恢复</x:v>
      </x:c>
      <x:c r="F112" s="50" t="str">
        <x:v>禁止</x:v>
      </x:c>
      <x:c r="G112" s="50" t="str">
        <x:v>备注</x:v>
      </x:c>
      <x:c r="H112" s="50"/>
    </x:row>
    <x:row r="113">
      <x:c r="A113" s="58" t="str">
        <x:v>DebugSession</x:v>
      </x:c>
      <x:c r="B113" s="58" t="str">
        <x:v>否</x:v>
      </x:c>
      <x:c r="C113" s="58" t="str">
        <x:v>用户工作区/可选debug profile</x:v>
      </x:c>
      <x:c r="D113" s="58" t="str">
        <x:v>调试会话配置</x:v>
      </x:c>
      <x:c r="E113" s="58" t="str">
        <x:v>不影响工程Schema</x:v>
      </x:c>
      <x:c r="F113" s="58" t="str">
        <x:v>保存运行栈</x:v>
      </x:c>
      <x:c r="G113" s="58" t="str">
        <x:v>断点可选择项目级/用户级</x:v>
      </x:c>
      <x:c r="H113" s="58"/>
    </x:row>
    <x:row r="114">
      <x:c r="A114" s="66" t="str">
        <x:v>ExecutionTrace</x:v>
      </x:c>
      <x:c r="B114" s="66" t="str">
        <x:v>否</x:v>
      </x:c>
      <x:c r="C114" s="66" t="str">
        <x:v>logs/traces/diagnostic store</x:v>
      </x:c>
      <x:c r="D114" s="66" t="str">
        <x:v>现场诊断/Replay</x:v>
      </x:c>
      <x:c r="E114" s="66" t="str">
        <x:v>带ReleaseManifest/Correlation</x:v>
      </x:c>
      <x:c r="F114" s="66" t="str">
        <x:v>写入Project JSON</x:v>
      </x:c>
      <x:c r="G114" s="66" t="str">
        <x:v>有界/按策略</x:v>
      </x:c>
      <x:c r="H114" s="66"/>
    </x:row>
    <x:row r="115">
      <x:c r="A115" s="58" t="str">
        <x:v>InspectionTask</x:v>
      </x:c>
      <x:c r="B115" s="58" t="str">
        <x:v>否（Definition外）</x:v>
      </x:c>
      <x:c r="C115" s="58" t="str">
        <x:v>runtime/task store</x:v>
      </x:c>
      <x:c r="D115" s="58" t="str">
        <x:v>在制任务/恢复</x:v>
      </x:c>
      <x:c r="E115" s="58" t="str">
        <x:v>固定ResolvedTaskManifest</x:v>
      </x:c>
      <x:c r="F115" s="58" t="str">
        <x:v>当作Project配置</x:v>
      </x:c>
      <x:c r="G115" s="58" t="str">
        <x:v>运行数据</x:v>
      </x:c>
      <x:c r="H115" s="58"/>
    </x:row>
    <x:row r="116">
      <x:c r="A116" s="66" t="str">
        <x:v>InspectionCheckpoint</x:v>
      </x:c>
      <x:c r="B116" s="66" t="str">
        <x:v>否（Definition外）</x:v>
      </x:c>
      <x:c r="C116" s="66" t="str">
        <x:v>runtime/checkpoints</x:v>
      </x:c>
      <x:c r="D116" s="66" t="str">
        <x:v>崩溃/断电恢复</x:v>
      </x:c>
      <x:c r="E116" s="66" t="str">
        <x:v>Flow/Motion/Vision版本固定</x:v>
      </x:c>
      <x:c r="F116" s="66" t="str">
        <x:v>修改工程Definition</x:v>
      </x:c>
      <x:c r="G116" s="66" t="str">
        <x:v>原子写</x:v>
      </x:c>
      <x:c r="H116" s="66"/>
    </x:row>
    <x:row r="117">
      <x:c r="A117" s="58" t="str">
        <x:v>VisionArtifact</x:v>
      </x:c>
      <x:c r="B117" s="58" t="str">
        <x:v>否（Definition外）</x:v>
      </x:c>
      <x:c r="C117" s="58" t="str">
        <x:v>artifact/result store</x:v>
      </x:c>
      <x:c r="D117" s="58" t="str">
        <x:v>图像/中间数据/模型结果</x:v>
      </x:c>
      <x:c r="E117" s="58" t="str">
        <x:v>RunId/FrameId/Hash</x:v>
      </x:c>
      <x:c r="F117" s="58" t="str">
        <x:v>Base64塞Project</x:v>
      </x:c>
      <x:c r="G117" s="58" t="str">
        <x:v>Retention策略</x:v>
      </x:c>
      <x:c r="H117" s="58"/>
    </x:row>
    <x:row r="118">
      <x:c r="A118" s="66" t="str">
        <x:v>RuntimeProfile resolved secrets</x:v>
      </x:c>
      <x:c r="B118" s="66" t="str">
        <x:v>否</x:v>
      </x:c>
      <x:c r="C118" s="66" t="str">
        <x:v>部署环境安全存储</x:v>
      </x:c>
      <x:c r="D118" s="66" t="str">
        <x:v>运行连接/密钥</x:v>
      </x:c>
      <x:c r="E118" s="66" t="str">
        <x:v>ProfileId+SecretRef</x:v>
      </x:c>
      <x:c r="F118" s="66" t="str">
        <x:v>明文写工程</x:v>
      </x:c>
      <x:c r="G118" s="66" t="str">
        <x:v>发布注入</x:v>
      </x:c>
      <x:c r="H118" s="66"/>
    </x:row>
    <x:row r="119">
      <x:c r="A119"/>
      <x:c r="B119"/>
      <x:c r="C119"/>
      <x:c r="D119"/>
      <x:c r="E119"/>
      <x:c r="F119"/>
      <x:c r="G119"/>
      <x:c r="H119"/>
    </x:row>
    <x:row r="120" ht="24" customHeight="1">
      <x:c r="A120" s="40" t="str">
        <x:v>G. 统一目录建议</x:v>
      </x:c>
      <x:c r="B120" s="40"/>
      <x:c r="C120" s="40"/>
      <x:c r="D120" s="40"/>
      <x:c r="E120" s="40"/>
      <x:c r="F120" s="40"/>
      <x:c r="G120" s="40"/>
      <x:c r="H120" s="40"/>
    </x:row>
    <x:row r="121" ht="28" customHeight="1">
      <x:c r="A121" s="50" t="str">
        <x:v>节点</x:v>
      </x:c>
      <x:c r="B121" s="50" t="str">
        <x:v>路径示例</x:v>
      </x:c>
      <x:c r="C121" s="50" t="str">
        <x:v>内容</x:v>
      </x:c>
      <x:c r="D121" s="50" t="str">
        <x:v>设计目的</x:v>
      </x:c>
      <x:c r="E121" s="50" t="str">
        <x:v>版本</x:v>
      </x:c>
      <x:c r="F121" s="50" t="str">
        <x:v>发布</x:v>
      </x:c>
      <x:c r="G121" s="50" t="str">
        <x:v>备注</x:v>
      </x:c>
      <x:c r="H121" s="50"/>
    </x:row>
    <x:row r="122">
      <x:c r="A122" s="58" t="str">
        <x:v>Graph根</x:v>
      </x:c>
      <x:c r="B122" s="58" t="str">
        <x:v>graphs/</x:v>
      </x:c>
      <x:c r="C122" s="58" t="str">
        <x:v>motion/ vision/ inspection/</x:v>
      </x:c>
      <x:c r="D122" s="58" t="str">
        <x:v>不同GraphKind共享Schema基础</x:v>
      </x:c>
      <x:c r="E122" s="58" t="str">
        <x:v>definition version</x:v>
      </x:c>
      <x:c r="F122" s="58" t="str">
        <x:v>全部纳入package</x:v>
      </x:c>
      <x:c r="G122" s="58"/>
      <x:c r="H122" s="58"/>
    </x:row>
    <x:row r="123">
      <x:c r="A123" s="66" t="str">
        <x:v>Motion</x:v>
      </x:c>
      <x:c r="B123" s="66" t="str">
        <x:v>graphs/motion/{id}.json</x:v>
      </x:c>
      <x:c r="C123" s="66" t="str">
        <x:v>MotionProgram</x:v>
      </x:c>
      <x:c r="D123" s="66" t="str">
        <x:v>Git友好</x:v>
      </x:c>
      <x:c r="E123" s="66" t="str">
        <x:v>SemVer</x:v>
      </x:c>
      <x:c r="F123" s="66" t="str">
        <x:v>Resolved</x:v>
      </x:c>
      <x:c r="G123" s="66"/>
      <x:c r="H123" s="66"/>
    </x:row>
    <x:row r="124">
      <x:c r="A124" s="58" t="str">
        <x:v>Vision</x:v>
      </x:c>
      <x:c r="B124" s="58" t="str">
        <x:v>graphs/vision/{id}.json</x:v>
      </x:c>
      <x:c r="C124" s="58" t="str">
        <x:v>VisionPipeline</x:v>
      </x:c>
      <x:c r="D124" s="58" t="str">
        <x:v>算法图与模型资源分离</x:v>
      </x:c>
      <x:c r="E124" s="58" t="str">
        <x:v>SemVer</x:v>
      </x:c>
      <x:c r="F124" s="58" t="str">
        <x:v>Resolved</x:v>
      </x:c>
      <x:c r="G124" s="58" t="str">
        <x:v>models/另存</x:v>
      </x:c>
      <x:c r="H124" s="58"/>
    </x:row>
    <x:row r="125">
      <x:c r="A125" s="66" t="str">
        <x:v>Inspection</x:v>
      </x:c>
      <x:c r="B125" s="66" t="str">
        <x:v>graphs/inspection/{id}.json</x:v>
      </x:c>
      <x:c r="C125" s="66" t="str">
        <x:v>InspectionFlow</x:v>
      </x:c>
      <x:c r="D125" s="66" t="str">
        <x:v>业务流程Definition</x:v>
      </x:c>
      <x:c r="E125" s="66" t="str">
        <x:v>SemVer</x:v>
      </x:c>
      <x:c r="F125" s="66" t="str">
        <x:v>Resolved</x:v>
      </x:c>
      <x:c r="G125" s="66"/>
      <x:c r="H125" s="66"/>
    </x:row>
    <x:row r="126">
      <x:c r="A126" s="58" t="str">
        <x:v>Profiles</x:v>
      </x:c>
      <x:c r="B126" s="58" t="str">
        <x:v>profiles/{profileId}.json</x:v>
      </x:c>
      <x:c r="C126" s="58" t="str">
        <x:v>RuntimeProfile非密钥部分</x:v>
      </x:c>
      <x:c r="D126" s="58" t="str">
        <x:v>环境分离</x:v>
      </x:c>
      <x:c r="E126" s="58" t="str">
        <x:v>revision</x:v>
      </x:c>
      <x:c r="F126" s="58" t="str">
        <x:v>选择目标Profile</x:v>
      </x:c>
      <x:c r="G126" s="58"/>
      <x:c r="H126" s="58"/>
    </x:row>
    <x:row r="127">
      <x:c r="A127" s="66" t="str">
        <x:v>Models</x:v>
      </x:c>
      <x:c r="B127" s="66" t="str">
        <x:v>models/{hash}/...</x:v>
      </x:c>
      <x:c r="C127" s="66" t="str">
        <x:v>AI模型/校正文件/算法资源</x:v>
      </x:c>
      <x:c r="D127" s="66" t="str">
        <x:v>内容寻址</x:v>
      </x:c>
      <x:c r="E127" s="66" t="str">
        <x:v>model version/hash</x:v>
      </x:c>
      <x:c r="F127" s="66" t="str">
        <x:v>manifest收集</x:v>
      </x:c>
      <x:c r="G127" s="66" t="str">
        <x:v>大文件可外部仓储后期</x:v>
      </x:c>
      <x:c r="H127" s="66"/>
    </x:row>
    <x:row r="128">
      <x:c r="A128" s="58" t="str">
        <x:v>Samples</x:v>
      </x:c>
      <x:c r="B128" s="58" t="str">
        <x:v>samples/...</x:v>
      </x:c>
      <x:c r="C128" s="58" t="str">
        <x:v>Vision Replay/Simulation场景样本</x:v>
      </x:c>
      <x:c r="D128" s="58" t="str">
        <x:v>测试与调试</x:v>
      </x:c>
      <x:c r="E128" s="58" t="str">
        <x:v>sample version</x:v>
      </x:c>
      <x:c r="F128" s="58" t="str">
        <x:v>默认不全部进生产包</x:v>
      </x:c>
      <x:c r="G128" s="58"/>
      <x:c r="H128" s="58"/>
    </x:row>
    <x:row r="129">
      <x:c r="A129"/>
      <x:c r="B129"/>
      <x:c r="C129"/>
      <x:c r="D129"/>
      <x:c r="E129"/>
      <x:c r="F129"/>
      <x:c r="G129"/>
      <x:c r="H129"/>
    </x:row>
    <x:row r="130">
      <x:c r="A130"/>
      <x:c r="B130"/>
      <x:c r="C130"/>
      <x:c r="D130"/>
      <x:c r="E130"/>
      <x:c r="F130"/>
      <x:c r="G130"/>
      <x:c r="H130"/>
    </x:row>
    <x:row r="131">
      <x:c r="A131"/>
      <x:c r="B131"/>
      <x:c r="C131"/>
      <x:c r="D131"/>
      <x:c r="E131"/>
      <x:c r="F131"/>
      <x:c r="G131"/>
      <x:c r="H131"/>
    </x:row>
    <x:row r="132" ht="24" customHeight="1">
      <x:c r="A132" s="40" t="str">
        <x:v>H. Serialization / Migration / Package / Artifact规则</x:v>
      </x:c>
      <x:c r="B132" s="40"/>
      <x:c r="C132" s="40"/>
      <x:c r="D132" s="40"/>
      <x:c r="E132" s="40"/>
      <x:c r="F132" s="40"/>
      <x:c r="G132" s="40"/>
      <x:c r="H132" s="40"/>
    </x:row>
    <x:row r="133" ht="28" customHeight="1">
      <x:c r="A133" s="50" t="str">
        <x:v>主题</x:v>
      </x:c>
      <x:c r="B133" s="50" t="str">
        <x:v>正式规则</x:v>
      </x:c>
      <x:c r="C133" s="50" t="str">
        <x:v>建议Schema/文件</x:v>
      </x:c>
      <x:c r="D133" s="50" t="str">
        <x:v>写入策略</x:v>
      </x:c>
      <x:c r="E133" s="50" t="str">
        <x:v>读取策略</x:v>
      </x:c>
      <x:c r="F133" s="50" t="str">
        <x:v>兼容/迁移</x:v>
      </x:c>
      <x:c r="G133" s="50" t="str">
        <x:v>失败策略</x:v>
      </x:c>
      <x:c r="H133" s="50" t="str">
        <x:v>M阶段</x:v>
      </x:c>
    </x:row>
    <x:row r="134">
      <x:c r="A134" s="66" t="str">
        <x:v>FormatVersion</x:v>
      </x:c>
      <x:c r="B134" s="66" t="str">
        <x:v>Project根必须有独立FormatVersion，不等于App版本</x:v>
      </x:c>
      <x:c r="C134" s="66" t="str">
        <x:v>project.json / .cxvproj</x:v>
      </x:c>
      <x:c r="D134" s="66" t="str">
        <x:v>保存当前正式版本</x:v>
      </x:c>
      <x:c r="E134" s="66" t="str">
        <x:v>按版本选择迁移链</x:v>
      </x:c>
      <x:c r="F134" s="66" t="str">
        <x:v>逐级Migrator</x:v>
      </x:c>
      <x:c r="G134" s="66" t="str">
        <x:v>未知/过高版本只读或拒绝并给诊断</x:v>
      </x:c>
      <x:c r="H134" s="66" t="str">
        <x:v>M1/M5</x:v>
      </x:c>
    </x:row>
    <x:row r="135">
      <x:c r="A135" s="58" t="str">
        <x:v>Stable TypeId</x:v>
      </x:c>
      <x:c r="B135" s="58" t="str">
        <x:v>旧industrial.* / ui.* / chart.*继续可读</x:v>
      </x:c>
      <x:c r="C135" s="58" t="str">
        <x:v>Element.typeId</x:v>
      </x:c>
      <x:c r="D135" s="58" t="str">
        <x:v>新对象写canonical typeId</x:v>
      </x:c>
      <x:c r="E135" s="58" t="str">
        <x:v>Alias→canonical→Factory</x:v>
      </x:c>
      <x:c r="F135" s="58" t="str">
        <x:v>ElementTypeAliasRegistry</x:v>
      </x:c>
      <x:c r="G135" s="58" t="str">
        <x:v>禁止全局替换旧typeId</x:v>
      </x:c>
      <x:c r="H135" s="58" t="str">
        <x:v>M1</x:v>
      </x:c>
    </x:row>
    <x:row r="136">
      <x:c r="A136" s="66" t="str">
        <x:v>Project.SymbolDefinitions</x:v>
      </x:c>
      <x:c r="B136" s="66" t="str">
        <x:v>Definition与页面Instance分离</x:v>
      </x:c>
      <x:c r="C136" s="66" t="str">
        <x:v>symbols/*.json 或根索引 + 独立definition文件</x:v>
      </x:c>
      <x:c r="D136" s="66" t="str">
        <x:v>Definition只保存一次</x:v>
      </x:c>
      <x:c r="E136" s="66" t="str">
        <x:v>实例按DefinitionId+Version解析</x:v>
      </x:c>
      <x:c r="F136" s="66" t="str">
        <x:v>旧Component迁移为Symbol</x:v>
      </x:c>
      <x:c r="G136" s="66" t="str">
        <x:v>缺Definition定位到实例</x:v>
      </x:c>
      <x:c r="H136" s="66" t="str">
        <x:v>M2/M5</x:v>
      </x:c>
    </x:row>
    <x:row r="137">
      <x:c r="A137" s="58" t="str">
        <x:v>SymbolInstance</x:v>
      </x:c>
      <x:c r="B137" s="58" t="str">
        <x:v>页面只存DefinitionId/ResolvedVersion/Policy/Overrides/Bindings</x:v>
      </x:c>
      <x:c r="C137" s="58" t="str">
        <x:v>pages/*.json element</x:v>
      </x:c>
      <x:c r="D137" s="58" t="str">
        <x:v>只保存差异Override</x:v>
      </x:c>
      <x:c r="E137" s="58" t="str">
        <x:v>加载后编译RuntimePlan</x:v>
      </x:c>
      <x:c r="F137" s="58" t="str">
        <x:v>参数/Override迁移</x:v>
      </x:c>
      <x:c r="G137" s="58" t="str">
        <x:v>不复制Definition.Children</x:v>
      </x:c>
      <x:c r="H137" s="58" t="str">
        <x:v>M2</x:v>
      </x:c>
    </x:row>
    <x:row r="138">
      <x:c r="A138" s="66" t="str">
        <x:v>Role/Alias/Tags</x:v>
      </x:c>
      <x:c r="B138" s="66" t="str">
        <x:v>稳定检索元数据纳入Schema</x:v>
      </x:c>
      <x:c r="C138" s="66" t="str">
        <x:v>element.alias/tags/designRole</x:v>
      </x:c>
      <x:c r="D138" s="66" t="str">
        <x:v>空值可省略</x:v>
      </x:c>
      <x:c r="E138" s="66" t="str">
        <x:v>默认值补齐</x:v>
      </x:c>
      <x:c r="F138" s="66" t="str">
        <x:v>Migrator填默认</x:v>
      </x:c>
      <x:c r="G138" s="66" t="str">
        <x:v>重复Alias由Validator报告</x:v>
      </x:c>
      <x:c r="H138" s="66" t="str">
        <x:v>M2/M5</x:v>
      </x:c>
    </x:row>
    <x:row r="139">
      <x:c r="A139" s="58" t="str">
        <x:v>Unknown Element</x:v>
      </x:c>
      <x:c r="B139" s="58" t="str">
        <x:v>未知插件/未来type保留RawJson</x:v>
      </x:c>
      <x:c r="C139" s="58" t="str">
        <x:v>UnknownElementModel.rawJson</x:v>
      </x:c>
      <x:c r="D139" s="58" t="str">
        <x:v>原样保留未知内容</x:v>
      </x:c>
      <x:c r="E139" s="58" t="str">
        <x:v>可显示占位符</x:v>
      </x:c>
      <x:c r="F139" s="58" t="str">
        <x:v>插件恢复后重新解析</x:v>
      </x:c>
      <x:c r="G139" s="58" t="str">
        <x:v>不能丢数据</x:v>
      </x:c>
      <x:c r="H139" s="58" t="str">
        <x:v>M1</x:v>
      </x:c>
    </x:row>
    <x:row r="140">
      <x:c r="A140" s="66" t="str">
        <x:v>Behavior配置</x:v>
      </x:c>
      <x:c r="B140" s="66" t="str">
        <x:v>Binding/State/Animation/Event/ScriptRef等只保存配置</x:v>
      </x:c>
      <x:c r="C140" s="66" t="str">
        <x:v>element.behaviors 或稳定字段</x:v>
      </x:c>
      <x:c r="D140" s="66" t="str">
        <x:v>不保存运行值</x:v>
      </x:c>
      <x:c r="E140" s="66" t="str">
        <x:v>编译为RuntimePlan</x:v>
      </x:c>
      <x:c r="F140" s="66" t="str">
        <x:v>新增字段有默认值</x:v>
      </x:c>
      <x:c r="G140" s="66" t="str">
        <x:v>非法规则局部禁用并诊断</x:v>
      </x:c>
      <x:c r="H140" s="66" t="str">
        <x:v>M3</x:v>
      </x:c>
    </x:row>
    <x:row r="141">
      <x:c r="A141" s="58" t="str">
        <x:v>Runtime值</x:v>
      </x:c>
      <x:c r="B141" s="58" t="str">
        <x:v>任何Binding/State/Animation/Action/Script/Guard值不写工程</x:v>
      </x:c>
      <x:c r="C141" s="58" t="str">
        <x:v>无</x:v>
      </x:c>
      <x:c r="D141" s="58" t="str">
        <x:v>禁止持久化</x:v>
      </x:c>
      <x:c r="E141" s="58" t="str">
        <x:v>运行时重新求值</x:v>
      </x:c>
      <x:c r="F141" s="58" t="str">
        <x:v>N/A</x:v>
      </x:c>
      <x:c r="G141" s="58" t="str">
        <x:v>防污染门禁</x:v>
      </x:c>
      <x:c r="H141" s="58" t="str">
        <x:v>M3</x:v>
      </x:c>
    </x:row>
    <x:row r="142">
      <x:c r="A142" s="66" t="str">
        <x:v>Resource</x:v>
      </x:c>
      <x:c r="B142" s="66" t="str">
        <x:v>图片/SVG/缩略图等内容寻址+相对引用</x:v>
      </x:c>
      <x:c r="C142" s="66" t="str">
        <x:v>resources/&lt;hash&gt;.*</x:v>
      </x:c>
      <x:c r="D142" s="66" t="str">
        <x:v>去重后写资源</x:v>
      </x:c>
      <x:c r="E142" s="66" t="str">
        <x:v>缺资源可降级</x:v>
      </x:c>
      <x:c r="F142" s="66" t="str">
        <x:v>manifest映射</x:v>
      </x:c>
      <x:c r="G142" s="66" t="str">
        <x:v>不塞大Base64/绝对路径</x:v>
      </x:c>
      <x:c r="H142" s="66" t="str">
        <x:v>M1~M7</x:v>
      </x:c>
    </x:row>
    <x:row r="143">
      <x:c r="A143" s="58" t="str">
        <x:v>Atomic Save</x:v>
      </x:c>
      <x:c r="B143" s="58" t="str">
        <x:v>正式文件不直接覆盖</x:v>
      </x:c>
      <x:c r="C143" s="58" t="str">
        <x:v>tmp→validate→replace→bak</x:v>
      </x:c>
      <x:c r="D143" s="58" t="str">
        <x:v>Snapshot后原子替换</x:v>
      </x:c>
      <x:c r="E143" s="58" t="str">
        <x:v>启动可恢复</x:v>
      </x:c>
      <x:c r="F143" s="58" t="str">
        <x:v>版本迁移先另存</x:v>
      </x:c>
      <x:c r="G143" s="58" t="str">
        <x:v>磁盘失败保留旧文件</x:v>
      </x:c>
      <x:c r="H143" s="58" t="str">
        <x:v>M1</x:v>
      </x:c>
    </x:row>
    <x:row r="144">
      <x:c r="A144" s="66" t="str">
        <x:v>ProjectValidator</x:v>
      </x:c>
      <x:c r="B144" s="66" t="str">
        <x:v>保存/发布前结构验证</x:v>
      </x:c>
      <x:c r="C144" s="66" t="str">
        <x:v>重复Id/Alias、Missing Definition、Role歧义、Mapping目标、跨边界引用、嵌套限制</x:v>
      </x:c>
      <x:c r="D144" s="66" t="str">
        <x:v>Save/Publish前执行</x:v>
      </x:c>
      <x:c r="E144" s="66" t="str">
        <x:v>Open后可执行健康检查</x:v>
      </x:c>
      <x:c r="F144" s="66" t="str">
        <x:v>规则随Schema版本</x:v>
      </x:c>
      <x:c r="G144" s="66" t="str">
        <x:v>错误定位ObjectId/Path</x:v>
      </x:c>
      <x:c r="H144" s="66" t="str">
        <x:v>M2~M5</x:v>
      </x:c>
    </x:row>
    <x:row r="145">
      <x:c r="A145" s="58" t="str">
        <x:v>ProjectFormatMigrator</x:v>
      </x:c>
      <x:c r="B145" s="58" t="str">
        <x:v>旧版本在内存升级</x:v>
      </x:c>
      <x:c r="C145" s="58" t="str">
        <x:v>IMigrationStep chain</x:v>
      </x:c>
      <x:c r="D145" s="58" t="str">
        <x:v>不原地覆盖旧工程</x:v>
      </x:c>
      <x:c r="E145" s="58" t="str">
        <x:v>迁移→Validate→另存/确认</x:v>
      </x:c>
      <x:c r="F145" s="58" t="str">
        <x:v>旧Component/GraphicSymbol→Symbol</x:v>
      </x:c>
      <x:c r="G145" s="58" t="str">
        <x:v>失败保持源文件</x:v>
      </x:c>
      <x:c r="H145" s="58" t="str">
        <x:v>M5</x:v>
      </x:c>
    </x:row>
    <x:row r="146">
      <x:c r="A146" s="66" t="str">
        <x:v>DirectoryProjectStore</x:v>
      </x:c>
      <x:c r="B146" s="66" t="str">
        <x:v>源工程目录工作区</x:v>
      </x:c>
      <x:c r="C146" s="66" t="str">
        <x:v>project/page/symbols/resources/manifest</x:v>
      </x:c>
      <x:c r="D146" s="66" t="str">
        <x:v>Git友好</x:v>
      </x:c>
      <x:c r="E146" s="66" t="str">
        <x:v>可局部加载</x:v>
      </x:c>
      <x:c r="F146" s="66" t="str">
        <x:v>Schema一致</x:v>
      </x:c>
      <x:c r="G146" s="66" t="str">
        <x:v>目录缺项可诊断</x:v>
      </x:c>
      <x:c r="H146" s="66" t="str">
        <x:v>M1/M5</x:v>
      </x:c>
    </x:row>
    <x:row r="147">
      <x:c r="A147" s="58" t="str">
        <x:v>ReleasePackageService</x:v>
      </x:c>
      <x:c r="B147" s="58" t="str">
        <x:v>发布/交换单包</x:v>
      </x:c>
      <x:c r="C147" s="58" t="str">
        <x:v>.cxv + manifest/hash/signature</x:v>
      </x:c>
      <x:c r="D147" s="58" t="str">
        <x:v>只从验证通过Snapshot构建</x:v>
      </x:c>
      <x:c r="E147" s="58" t="str">
        <x:v>Runtime验证manifest后加载</x:v>
      </x:c>
      <x:c r="F147" s="58" t="str">
        <x:v>包版本独立</x:v>
      </x:c>
      <x:c r="G147" s="58" t="str">
        <x:v>失败不切换生产旧版本</x:v>
      </x:c>
      <x:c r="H147" s="58" t="str">
        <x:v>M5</x:v>
      </x:c>
    </x:row>
    <x:row r="148">
      <x:c r="A148" s="66" t="str">
        <x:v>Golden/RoundTrip</x:v>
      </x:c>
      <x:c r="B148" s="66" t="str">
        <x:v>每版本保存标准样本</x:v>
      </x:c>
      <x:c r="C148" s="66" t="str">
        <x:v>tests/golden/*</x:v>
      </x:c>
      <x:c r="D148" s="66" t="str">
        <x:v>CI生成/校验</x:v>
      </x:c>
      <x:c r="E148" s="66" t="str">
        <x:v>新版本必须打开旧样本</x:v>
      </x:c>
      <x:c r="F148" s="66" t="str">
        <x:v>migration chain</x:v>
      </x:c>
      <x:c r="G148" s="66" t="str">
        <x:v>语义不一致CI失败</x:v>
      </x:c>
      <x:c r="H148" s="66" t="str">
        <x:v>RC</x:v>
      </x:c>
    </x:row>
    <x:row r="149">
      <x:c r="A149"/>
      <x:c r="B149"/>
      <x:c r="C149"/>
      <x:c r="D149"/>
      <x:c r="E149"/>
      <x:c r="F149"/>
      <x:c r="G149"/>
      <x:c r="H149"/>
    </x:row>
    <x:row r="150">
      <x:c r="A150"/>
      <x:c r="B150"/>
      <x:c r="C150"/>
      <x:c r="D150"/>
      <x:c r="E150"/>
      <x:c r="F150"/>
      <x:c r="G150"/>
      <x:c r="H150"/>
    </x:row>
    <x:row r="151">
      <x:c r="A151" s="58" t="str">
        <x:v>多设计域 / Graph / Runtime Profile 序列化扩展</x:v>
      </x:c>
      <x:c r="B151" s="58"/>
      <x:c r="C151" s="58"/>
      <x:c r="D151" s="58"/>
      <x:c r="E151" s="58"/>
      <x:c r="F151" s="58"/>
      <x:c r="G151" s="58"/>
      <x:c r="H151" s="58"/>
    </x:row>
    <x:row r="152" ht="28" customHeight="1">
      <x:c r="A152" s="50" t="str">
        <x:v>主题</x:v>
      </x:c>
      <x:c r="B152" s="50" t="str">
        <x:v>正式规则</x:v>
      </x:c>
      <x:c r="C152" s="50" t="str">
        <x:v>文件/Schema</x:v>
      </x:c>
      <x:c r="D152" s="50" t="str">
        <x:v>保存</x:v>
      </x:c>
      <x:c r="E152" s="50" t="str">
        <x:v>加载/解析</x:v>
      </x:c>
      <x:c r="F152" s="50" t="str">
        <x:v>迁移</x:v>
      </x:c>
      <x:c r="G152" s="50" t="str">
        <x:v>发布</x:v>
      </x:c>
      <x:c r="H152" s="50" t="str">
        <x:v>阶段</x:v>
      </x:c>
    </x:row>
    <x:row r="153">
      <x:c r="A153" s="66" t="str">
        <x:v>Graph Definitions</x:v>
      </x:c>
      <x:c r="B153" s="66" t="str">
        <x:v>Motion/Vision/Inspection均使用GraphDefinition基础Schema+GraphKind特化</x:v>
      </x:c>
      <x:c r="C153" s="66" t="str">
        <x:v>graphs/{kind}/{id}.json</x:v>
      </x:c>
      <x:c r="D153" s="66" t="str">
        <x:v>Normalized JSON</x:v>
      </x:c>
      <x:c r="E153" s="66" t="str">
        <x:v>NodeTypeId/Port/Connection验证</x:v>
      </x:c>
      <x:c r="F153" s="66" t="str">
        <x:v>Graph migrator按Kind扩展</x:v>
      </x:c>
      <x:c r="G153" s="66" t="str">
        <x:v>Resolve版本后收集</x:v>
      </x:c>
      <x:c r="H153" s="66" t="str">
        <x:v>M3~M6</x:v>
      </x:c>
    </x:row>
    <x:row r="154">
      <x:c r="A154" s="58" t="str">
        <x:v>Typed Port</x:v>
      </x:c>
      <x:c r="B154" s="58" t="str">
        <x:v>Port DataType使用稳定Platform TypeId</x:v>
      </x:c>
      <x:c r="C154" s="58" t="str">
        <x:v>port.dataType</x:v>
      </x:c>
      <x:c r="D154" s="58" t="str">
        <x:v>保存TypeId+必要参数</x:v>
      </x:c>
      <x:c r="E154" s="58" t="str">
        <x:v>TypeSystem解析</x:v>
      </x:c>
      <x:c r="F154" s="58" t="str">
        <x:v>Alias/Type migration</x:v>
      </x:c>
      <x:c r="G154" s="58" t="str">
        <x:v>Publish严格兼容</x:v>
      </x:c>
      <x:c r="H154" s="58" t="str">
        <x:v>M3</x:v>
      </x:c>
    </x:row>
    <x:row r="155">
      <x:c r="A155" s="66" t="str">
        <x:v>RuntimeProfile</x:v>
      </x:c>
      <x:c r="B155" s="66" t="str">
        <x:v>工程只保存非密钥环境配置与SecretRef</x:v>
      </x:c>
      <x:c r="C155" s="66" t="str">
        <x:v>profiles/*.json</x:v>
      </x:c>
      <x:c r="D155" s="66" t="str">
        <x:v>可版本化</x:v>
      </x:c>
      <x:c r="E155" s="66" t="str">
        <x:v>目标环境Resolver注入Secret/Endpoint</x:v>
      </x:c>
      <x:c r="F155" s="66" t="str">
        <x:v>Profile migration</x:v>
      </x:c>
      <x:c r="G155" s="66" t="str">
        <x:v>发布选择目标Profile</x:v>
      </x:c>
      <x:c r="H155" s="66" t="str">
        <x:v>M3/M7</x:v>
      </x:c>
    </x:row>
    <x:row r="156">
      <x:c r="A156" s="58" t="str">
        <x:v>Vision Model/Calibration</x:v>
      </x:c>
      <x:c r="B156" s="58" t="str">
        <x:v>AI模型/校正文件作为内容寻址资源</x:v>
      </x:c>
      <x:c r="C156" s="58" t="str">
        <x:v>models/{hash}/ resources/</x:v>
      </x:c>
      <x:c r="D156" s="58" t="str">
        <x:v>保存引用/Hash/Metadata</x:v>
      </x:c>
      <x:c r="E156" s="58" t="str">
        <x:v>按Manifest加载</x:v>
      </x:c>
      <x:c r="F156" s="58" t="str">
        <x:v>Model metadata migration</x:v>
      </x:c>
      <x:c r="G156" s="58" t="str">
        <x:v>锁Resolved model version/hash</x:v>
      </x:c>
      <x:c r="H156" s="58" t="str">
        <x:v>M5</x:v>
      </x:c>
    </x:row>
    <x:row r="157">
      <x:c r="A157" s="66" t="str">
        <x:v>Task/Checkpoint</x:v>
      </x:c>
      <x:c r="B157" s="66" t="str">
        <x:v>InspectionTask/Checkpoint不进入Project Definition</x:v>
      </x:c>
      <x:c r="C157" s="66" t="str">
        <x:v>runtime store</x:v>
      </x:c>
      <x:c r="D157" s="66" t="str">
        <x:v>N/A</x:v>
      </x:c>
      <x:c r="E157" s="66" t="str">
        <x:v>Runtime恢复</x:v>
      </x:c>
      <x:c r="F157" s="66" t="str">
        <x:v>任务格式独立版本</x:v>
      </x:c>
      <x:c r="G157" s="66" t="str">
        <x:v>不进入Release Definition</x:v>
      </x:c>
      <x:c r="H157" s="66" t="str">
        <x:v>M6</x:v>
      </x:c>
    </x:row>
    <x:row r="158">
      <x:c r="A158" s="58" t="str">
        <x:v>Resolved Manifest</x:v>
      </x:c>
      <x:c r="B158" s="58" t="str">
        <x:v>发布包必须记录Flow/Motion/Vision/Recipe/Model/Plugin/Profile解析结果</x:v>
      </x:c>
      <x:c r="C158" s="58" t="str">
        <x:v>manifest.json</x:v>
      </x:c>
      <x:c r="D158" s="58" t="str">
        <x:v>Publish生成</x:v>
      </x:c>
      <x:c r="E158" s="58" t="str">
        <x:v>Runtime启动校验</x:v>
      </x:c>
      <x:c r="F158" s="58" t="str">
        <x:v>Manifest schema migration</x:v>
      </x:c>
      <x:c r="G158" s="58" t="str">
        <x:v>签名/Hash</x:v>
      </x:c>
      <x:c r="H158" s="58" t="str">
        <x:v>M7</x:v>
      </x:c>
    </x:row>
    <x:row r="159">
      <x:c r="A159" s="66" t="str">
        <x:v>Debug/Trace</x:v>
      </x:c>
      <x:c r="B159" s="66" t="str">
        <x:v>运行Trace/Watch/Breakpoint用户态默认不污染Project</x:v>
      </x:c>
      <x:c r="C159" s="66" t="str">
        <x:v>workspace/logs/traces</x:v>
      </x:c>
      <x:c r="D159" s="66" t="str">
        <x:v>按策略</x:v>
      </x:c>
      <x:c r="E159" s="66" t="str">
        <x:v>Debug工具加载</x:v>
      </x:c>
      <x:c r="F159" s="66" t="str">
        <x:v>独立格式</x:v>
      </x:c>
      <x:c r="G159" s="66" t="str">
        <x:v>不进入生产包或按策略</x:v>
      </x:c>
      <x:c r="H159" s="66" t="str">
        <x:v>M3</x:v>
      </x:c>
    </x:row>
    <x:row r="160">
      <x:c r="A160" s="58" t="str">
        <x:v>Unknown Graph Node</x:v>
      </x:c>
      <x:c r="B160" s="58" t="str">
        <x:v>插件缺失Node保留RawJson/Ports/Position</x:v>
      </x:c>
      <x:c r="C160" s="58" t="str">
        <x:v>UnknownGraphNodeModel</x:v>
      </x:c>
      <x:c r="D160" s="58" t="str">
        <x:v>原样保留</x:v>
      </x:c>
      <x:c r="E160" s="58" t="str">
        <x:v>占位+Diagnostic</x:v>
      </x:c>
      <x:c r="F160" s="58" t="str">
        <x:v>恢复插件可重新解析</x:v>
      </x:c>
      <x:c r="G160" s="58" t="str">
        <x:v>Publish默认阻止Fatal缺失</x:v>
      </x:c>
      <x:c r="H160" s="58" t="str">
        <x:v>M3/M7</x:v>
      </x:c>
    </x:row>
    <x:row r="162">
      <x:c r="A162" t="str">
        <x:v>I. 历史 Variable Schema / Stable Reference（V6.4继续有效）</x:v>
      </x:c>
      <x:c r="B162"/>
      <x:c r="C162"/>
      <x:c r="D162"/>
      <x:c r="E162"/>
      <x:c r="F162"/>
      <x:c r="G162"/>
      <x:c r="H162"/>
    </x:row>
    <x:row r="163">
      <x:c r="A163" t="str">
        <x:v>对象</x:v>
      </x:c>
      <x:c r="B163" t="str">
        <x:v>职责</x:v>
      </x:c>
      <x:c r="C163" t="str">
        <x:v>关键字段</x:v>
      </x:c>
      <x:c r="D163" t="str">
        <x:v>持久化/运行规则</x:v>
      </x:c>
      <x:c r="E163" t="str">
        <x:v>禁止事项</x:v>
      </x:c>
      <x:c r="F163" t="str">
        <x:v>阶段</x:v>
      </x:c>
      <x:c r="G163" t="str">
        <x:v>DesignRef</x:v>
      </x:c>
      <x:c r="H163"/>
    </x:row>
    <x:row r="164">
      <x:c r="A164" t="str">
        <x:v>Project.Variables</x:v>
      </x:c>
      <x:c r="B164" t="str">
        <x:v>工程变量集合</x:v>
      </x:c>
      <x:c r="C164" t="str">
        <x:v>VariableDefinition{VariableId,DisplayName,ProviderId,SourceKey,DataTypeId,Access,Unit,Metadata}</x:v>
      </x:c>
      <x:c r="D164" t="str">
        <x:v>持久化</x:v>
      </x:c>
      <x:c r="E164" t="str">
        <x:v>VariableId稳定，Name/DevicePath可变</x:v>
      </x:c>
      <x:c r="F164" t="str">
        <x:v>M2</x:v>
      </x:c>
      <x:c r="G164" t="str">
        <x:v>46</x:v>
      </x:c>
      <x:c r="H164"/>
    </x:row>
    <x:row r="165">
      <x:c r="A165" t="str">
        <x:v>VariableReference</x:v>
      </x:c>
      <x:c r="B165" t="str">
        <x:v>工程引用</x:v>
      </x:c>
      <x:c r="C165" t="str">
        <x:v>VariableId为主；ProviderId/PathHint/DataTypeId可作诊断/迁移线索</x:v>
      </x:c>
      <x:c r="D165" t="str">
        <x:v>持久化到Binding/Alarm/Trend/Graph Node配置</x:v>
      </x:c>
      <x:c r="E165" t="str">
        <x:v>不得只存设备名/地址</x:v>
      </x:c>
      <x:c r="F165" t="str">
        <x:v>M2</x:v>
      </x:c>
      <x:c r="G165" t="str">
        <x:v>46</x:v>
      </x:c>
      <x:c r="H165"/>
    </x:row>
    <x:row r="166">
      <x:c r="A166" t="str">
        <x:v>ProviderProfile</x:v>
      </x:c>
      <x:c r="B166" t="str">
        <x:v>连接配置引用</x:v>
      </x:c>
      <x:c r="C166" t="str">
        <x:v>ProviderId/ProviderType/ProfileId/SettingsRef</x:v>
      </x:c>
      <x:c r="D166" t="str">
        <x:v>Project/RuntimeProfile保存，Secret独立</x:v>
      </x:c>
      <x:c r="E166" t="str">
        <x:v>不保存已连接对象/SDK句柄</x:v>
      </x:c>
      <x:c r="F166" t="str">
        <x:v>M2</x:v>
      </x:c>
      <x:c r="G166" t="str">
        <x:v>46</x:v>
      </x:c>
      <x:c r="H166"/>
    </x:row>
    <x:row r="167">
      <x:c r="A167" t="str">
        <x:v>SyncIdentity</x:v>
      </x:c>
      <x:c r="B167" t="str">
        <x:v>DeviceVariable映射键</x:v>
      </x:c>
      <x:c r="C167" t="str">
        <x:v>稳定SourceKey/Guid；无稳定源ID时由受控映射表维护</x:v>
      </x:c>
      <x:c r="D167" t="str">
        <x:v>同步时匹配</x:v>
      </x:c>
      <x:c r="E167" t="str">
        <x:v>禁止每次按Name重建新VariableId</x:v>
      </x:c>
      <x:c r="F167" t="str">
        <x:v>M2</x:v>
      </x:c>
      <x:c r="G167" t="str">
        <x:v>46</x:v>
      </x:c>
      <x:c r="H167"/>
    </x:row>
    <x:row r="168">
      <x:c r="A168" t="str">
        <x:v>Offline reopen</x:v>
      </x:c>
      <x:c r="B168" t="str">
        <x:v>离线打开</x:v>
      </x:c>
      <x:c r="C168" t="str">
        <x:v>Provider不可用时仍加载VariableDefinition/Reference并标Unresolved/Offline</x:v>
      </x:c>
      <x:c r="D168" t="str">
        <x:v>Designer可编辑；Runtime按策略BadQuality</x:v>
      </x:c>
      <x:c r="E168" t="str">
        <x:v>不得删除引用或重写空值</x:v>
      </x:c>
      <x:c r="F168" t="str">
        <x:v>M2</x:v>
      </x:c>
      <x:c r="G168" t="str">
        <x:v>46</x:v>
      </x:c>
      <x:c r="H168"/>
    </x:row>
    <x:row r="169">
      <x:c r="A169" t="str">
        <x:v>Rename/Migration</x:v>
      </x:c>
      <x:c r="B169" t="str">
        <x:v>设备/变量改名</x:v>
      </x:c>
      <x:c r="C169" t="str">
        <x:v>DisplayName/Path变更形成ChangeSet；VariableId保持</x:v>
      </x:c>
      <x:c r="D169" t="str">
        <x:v>保存/迁移报告</x:v>
      </x:c>
      <x:c r="E169" t="str">
        <x:v>引用不整体失效</x:v>
      </x:c>
      <x:c r="F169" t="str">
        <x:v>M2</x:v>
      </x:c>
      <x:c r="G169" t="str">
        <x:v>46</x:v>
      </x:c>
      <x:c r="H169"/>
    </x:row>
    <x:row r="170">
      <x:c r="A170" t="str">
        <x:v>RoundTrip Gate</x:v>
      </x:c>
      <x:c r="B170" t="str">
        <x:v>保存重开</x:v>
      </x:c>
      <x:c r="C170" t="str">
        <x:v>Project→Save→Close→Open→References一致</x:v>
      </x:c>
      <x:c r="D170" t="str">
        <x:v>Golden/RoundTrip</x:v>
      </x:c>
      <x:c r="E170" t="str">
        <x:v>Provider在线与离线两种场景</x:v>
      </x:c>
      <x:c r="F170" t="str">
        <x:v>M2</x:v>
      </x:c>
      <x:c r="G170" t="str">
        <x:v>46</x:v>
      </x:c>
      <x:c r="H170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34" hidden="0" customWidth="1"/>
    <x:col min="4" max="4" width="38" hidden="0" customWidth="1"/>
    <x:col min="5" max="5" width="32" hidden="0" customWidth="1"/>
    <x:col min="6" max="6" width="30" hidden="0" customWidth="1"/>
    <x:col min="7" max="7" width="30" hidden="0" customWidth="1"/>
    <x:col min="8" max="8" width="30" hidden="0" customWidth="1"/>
  </x:cols>
  <x:sheetData>
    <x:row r="1" ht="30" customHeight="1">
      <x:c r="A1" s="8" t="str">
        <x:v>CxVisual Event / Action / Animation / State</x:v>
      </x:c>
      <x:c r="B1" s="8"/>
      <x:c r="C1" s="8"/>
      <x:c r="D1" s="8"/>
      <x:c r="E1" s="8"/>
      <x:c r="F1" s="8"/>
      <x:c r="G1" s="8"/>
      <x:c r="H1" s="8"/>
    </x:row>
    <x:row r="2" ht="38" customHeight="1">
      <x:c r="A2" s="16" t="str">
        <x:v>统一交互事件、运行事件、Action执行、动画调度、状态规则与Graph/Domain Invocation Action。</x:v>
      </x:c>
      <x:c r="B2" s="16"/>
      <x:c r="C2" s="16"/>
      <x:c r="D2" s="16"/>
      <x:c r="E2" s="16"/>
      <x:c r="F2" s="16"/>
      <x:c r="G2" s="16"/>
      <x:c r="H2" s="16"/>
    </x:row>
    <x:row r="3">
      <x:c r="A3" s="30" t="str">
        <x:v>本页唯一权威</x:v>
      </x:c>
      <x:c r="B3" s="31" t="str">
        <x:v>EventBinding、ActionModel/Executor、AnimationDefinition/Scheduler、State/Condition与Action安全链。</x:v>
      </x:c>
      <x:c r="C3" s="31"/>
      <x:c r="D3" s="31"/>
      <x:c r="E3" s="31"/>
      <x:c r="F3" s="31"/>
      <x:c r="G3" s="31"/>
      <x:c r="H3" s="31"/>
    </x:row>
    <x:row r="4">
      <x:c r="A4" s="30" t="str">
        <x:v>不在本页维护</x:v>
      </x:c>
      <x:c r="B4" s="31" t="str">
        <x:v>Binding值解析（见10）、SCADA Alarm（见17）、Graph Domain Runtime内部节点执行（见19~39）。</x:v>
      </x:c>
      <x:c r="C4" s="31"/>
      <x:c r="D4" s="31"/>
      <x:c r="E4" s="31"/>
      <x:c r="F4" s="31"/>
      <x:c r="G4" s="31"/>
      <x:c r="H4" s="31"/>
    </x:row>
    <x:row r="5">
      <x:c r="A5" s="30" t="str">
        <x:v>关联分页</x:v>
      </x:c>
      <x:c r="B5" s="31" t="str">
        <x:v>10_Property元数据Binding；14_Security写入审计；19_Graph编排模型与执行基础。</x:v>
      </x:c>
      <x:c r="C5" s="31"/>
      <x:c r="D5" s="31"/>
      <x:c r="E5" s="31"/>
      <x:c r="F5" s="31"/>
      <x:c r="G5" s="31"/>
      <x:c r="H5" s="31"/>
    </x:row>
    <x:row r="6">
      <x:c r="A6"/>
      <x:c r="B6"/>
      <x:c r="C6"/>
      <x:c r="D6"/>
      <x:c r="E6"/>
      <x:c r="F6"/>
      <x:c r="G6"/>
      <x:c r="H6"/>
    </x:row>
    <x:row r="7" ht="24" customHeight="1">
      <x:c r="A7" s="40" t="str">
        <x:v>A. Event 类型</x:v>
      </x:c>
      <x:c r="B7" s="40"/>
      <x:c r="C7" s="40"/>
      <x:c r="D7" s="40"/>
      <x:c r="E7" s="40"/>
      <x:c r="F7" s="40"/>
      <x:c r="G7" s="40"/>
      <x:c r="H7" s="40"/>
    </x:row>
    <x:row r="8" ht="28" customHeight="1">
      <x:c r="A8" s="50" t="str">
        <x:v>EventType</x:v>
      </x:c>
      <x:c r="B8" s="50" t="str">
        <x:v>类别</x:v>
      </x:c>
      <x:c r="C8" s="50" t="str">
        <x:v>触发语义</x:v>
      </x:c>
      <x:c r="D8" s="50" t="str">
        <x:v>作用域</x:v>
      </x:c>
      <x:c r="E8" s="50" t="str">
        <x:v>典型用途</x:v>
      </x:c>
      <x:c r="F8" s="50" t="str">
        <x:v>约束</x:v>
      </x:c>
      <x:c r="G8" s="50"/>
      <x:c r="H8" s="50"/>
    </x:row>
    <x:row r="9">
      <x:c r="A9" s="58" t="str">
        <x:v>PointerClick</x:v>
      </x:c>
      <x:c r="B9" s="58" t="str">
        <x:v>指针</x:v>
      </x:c>
      <x:c r="C9" s="58" t="str">
        <x:v>点击/触摸激活</x:v>
      </x:c>
      <x:c r="D9" s="58" t="str">
        <x:v>Element</x:v>
      </x:c>
      <x:c r="E9" s="58" t="str">
        <x:v>Button/Symbol/Component</x:v>
      </x:c>
      <x:c r="F9" s="58" t="str">
        <x:v>设计态只选择；Runtime才执行业务</x:v>
      </x:c>
      <x:c r="G9" s="58"/>
      <x:c r="H9" s="58"/>
    </x:row>
    <x:row r="10">
      <x:c r="A10" s="66" t="str">
        <x:v>PointerDown/Up</x:v>
      </x:c>
      <x:c r="B10" s="66" t="str">
        <x:v>指针</x:v>
      </x:c>
      <x:c r="C10" s="66" t="str">
        <x:v>按下/释放</x:v>
      </x:c>
      <x:c r="D10" s="66" t="str">
        <x:v>Element</x:v>
      </x:c>
      <x:c r="E10" s="66" t="str">
        <x:v>Momentary按钮/点动</x:v>
      </x:c>
      <x:c r="F10" s="66" t="str">
        <x:v>写入仍走WritePipeline</x:v>
      </x:c>
      <x:c r="G10" s="66"/>
      <x:c r="H10" s="66"/>
    </x:row>
    <x:row r="11">
      <x:c r="A11" s="58" t="str">
        <x:v>DoubleClick</x:v>
      </x:c>
      <x:c r="B11" s="58" t="str">
        <x:v>指针</x:v>
      </x:c>
      <x:c r="C11" s="58" t="str">
        <x:v>双击</x:v>
      </x:c>
      <x:c r="D11" s="58" t="str">
        <x:v>Element</x:v>
      </x:c>
      <x:c r="E11" s="58" t="str">
        <x:v>打开Faceplate/详情</x:v>
      </x:c>
      <x:c r="F11" s="58" t="str">
        <x:v>Designer编辑行为与Runtime事件分开</x:v>
      </x:c>
      <x:c r="G11" s="58"/>
      <x:c r="H11" s="58"/>
    </x:row>
    <x:row r="12" ht="28" customHeight="1">
      <x:c r="A12" s="50" t="str">
        <x:v>ValueChanged</x:v>
      </x:c>
      <x:c r="B12" s="50" t="str">
        <x:v>数据</x:v>
      </x:c>
      <x:c r="C12" s="50" t="str">
        <x:v>目标属性Resolved值变化</x:v>
      </x:c>
      <x:c r="D12" s="50" t="str">
        <x:v>Element/Property</x:v>
      </x:c>
      <x:c r="E12" s="50" t="str">
        <x:v>状态变化触发动作</x:v>
      </x:c>
      <x:c r="F12" s="50" t="str">
        <x:v>防循环/节流</x:v>
      </x:c>
      <x:c r="G12" s="50"/>
      <x:c r="H12" s="50"/>
    </x:row>
    <x:row r="13" ht="28" customHeight="1">
      <x:c r="A13" s="50" t="str">
        <x:v>VariableChanged</x:v>
      </x:c>
      <x:c r="B13" s="50" t="str">
        <x:v>数据</x:v>
      </x:c>
      <x:c r="C13" s="50" t="str">
        <x:v>变量变化</x:v>
      </x:c>
      <x:c r="D13" s="50" t="str">
        <x:v>VariableRef</x:v>
      </x:c>
      <x:c r="E13" s="50" t="str">
        <x:v>跨元素逻辑</x:v>
      </x:c>
      <x:c r="F13" s="50" t="str">
        <x:v>Dependency Graph统一</x:v>
      </x:c>
      <x:c r="G13" s="50"/>
      <x:c r="H13" s="50"/>
    </x:row>
    <x:row r="14">
      <x:c r="A14" s="66" t="str">
        <x:v>PageEnter/PageLeave</x:v>
      </x:c>
      <x:c r="B14" s="66" t="str">
        <x:v>生命周期</x:v>
      </x:c>
      <x:c r="C14" s="66" t="str">
        <x:v>页面进入/离开</x:v>
      </x:c>
      <x:c r="D14" s="66" t="str">
        <x:v>Page</x:v>
      </x:c>
      <x:c r="E14" s="66" t="str">
        <x:v>初始化/清理/记录</x:v>
      </x:c>
      <x:c r="F14" s="66" t="str">
        <x:v>不用WPF Loaded承载业务</x:v>
      </x:c>
      <x:c r="G14" s="66"/>
      <x:c r="H14" s="66"/>
    </x:row>
    <x:row r="15">
      <x:c r="A15" s="58" t="str">
        <x:v>RuntimeStarted/Stopped</x:v>
      </x:c>
      <x:c r="B15" s="58" t="str">
        <x:v>生命周期</x:v>
      </x:c>
      <x:c r="C15" s="58" t="str">
        <x:v>Runtime状态改变</x:v>
      </x:c>
      <x:c r="D15" s="58" t="str">
        <x:v>Project/Host</x:v>
      </x:c>
      <x:c r="E15" s="58" t="str">
        <x:v>初始化/清理</x:v>
      </x:c>
      <x:c r="F15" s="58" t="str">
        <x:v>只由Runtime发出</x:v>
      </x:c>
      <x:c r="G15" s="58"/>
      <x:c r="H15" s="58"/>
    </x:row>
    <x:row r="16">
      <x:c r="A16" s="66" t="str">
        <x:v>AlarmRaised/Cleared</x:v>
      </x:c>
      <x:c r="B16" s="66" t="str">
        <x:v>报警</x:v>
      </x:c>
      <x:c r="C16" s="66" t="str">
        <x:v>报警触发/恢复</x:v>
      </x:c>
      <x:c r="D16" s="66" t="str">
        <x:v>Alarm</x:v>
      </x:c>
      <x:c r="E16" s="66" t="str">
        <x:v>联动页面/声音/动作</x:v>
      </x:c>
      <x:c r="F16" s="66" t="str">
        <x:v>报警引擎为源</x:v>
      </x:c>
      <x:c r="G16" s="66"/>
      <x:c r="H16" s="66"/>
    </x:row>
    <x:row r="17">
      <x:c r="A17" s="58" t="str">
        <x:v>Timer</x:v>
      </x:c>
      <x:c r="B17" s="58" t="str">
        <x:v>调度</x:v>
      </x:c>
      <x:c r="C17" s="58" t="str">
        <x:v>周期/一次性</x:v>
      </x:c>
      <x:c r="D17" s="58" t="str">
        <x:v>Page/Project</x:v>
      </x:c>
      <x:c r="E17" s="58" t="str">
        <x:v>周期动作</x:v>
      </x:c>
      <x:c r="F17" s="58" t="str">
        <x:v>统一Scheduler，不每对象Timer</x:v>
      </x:c>
      <x:c r="G17" s="58"/>
      <x:c r="H17" s="58"/>
    </x:row>
    <x:row r="18" ht="28" customHeight="1">
      <x:c r="A18" s="50" t="str">
        <x:v>CustomEvent</x:v>
      </x:c>
      <x:c r="B18" s="50" t="str">
        <x:v>扩展</x:v>
      </x:c>
      <x:c r="C18" s="50" t="str">
        <x:v>组件/插件自定义事件</x:v>
      </x:c>
      <x:c r="D18" s="50" t="str">
        <x:v>Component/Plugin</x:v>
      </x:c>
      <x:c r="E18" s="50" t="str">
        <x:v>组件语义</x:v>
      </x:c>
      <x:c r="F18" s="50" t="str">
        <x:v>稳定EventTypeId</x:v>
      </x:c>
      <x:c r="G18" s="50"/>
      <x:c r="H18" s="50"/>
    </x:row>
    <x:row r="19">
      <x:c r="A19"/>
      <x:c r="B19"/>
      <x:c r="C19"/>
      <x:c r="D19"/>
      <x:c r="E19"/>
      <x:c r="F19"/>
      <x:c r="G19"/>
      <x:c r="H19"/>
    </x:row>
    <x:row r="20">
      <x:c r="A20"/>
      <x:c r="B20"/>
      <x:c r="C20"/>
      <x:c r="D20"/>
      <x:c r="E20"/>
      <x:c r="F20"/>
      <x:c r="G20"/>
      <x:c r="H20"/>
    </x:row>
    <x:row r="21" ht="24" customHeight="1">
      <x:c r="A21" s="40" t="str">
        <x:v>B. 内置 Action 类型</x:v>
      </x:c>
      <x:c r="B21" s="40"/>
      <x:c r="C21" s="40"/>
      <x:c r="D21" s="40"/>
      <x:c r="E21" s="40"/>
      <x:c r="F21" s="40"/>
      <x:c r="G21" s="40"/>
      <x:c r="H21" s="40"/>
    </x:row>
    <x:row r="22" ht="28" customHeight="1">
      <x:c r="A22" s="50" t="str">
        <x:v>ActionModel</x:v>
      </x:c>
      <x:c r="B22" s="50" t="str">
        <x:v>typeId</x:v>
      </x:c>
      <x:c r="C22" s="50" t="str">
        <x:v>职责</x:v>
      </x:c>
      <x:c r="D22" s="50" t="str">
        <x:v>关键参数</x:v>
      </x:c>
      <x:c r="E22" s="50" t="str">
        <x:v>统一入口/依赖</x:v>
      </x:c>
      <x:c r="F22" s="50" t="str">
        <x:v>说明</x:v>
      </x:c>
      <x:c r="G22" s="50"/>
      <x:c r="H22" s="50"/>
    </x:row>
    <x:row r="23">
      <x:c r="A23" s="66" t="str">
        <x:v>WriteTagAction</x:v>
      </x:c>
      <x:c r="B23" s="66" t="str">
        <x:v>writeTag</x:v>
      </x:c>
      <x:c r="C23" s="66" t="str">
        <x:v>写指定变量值</x:v>
      </x:c>
      <x:c r="D23" s="66" t="str">
        <x:v>VariableRef/Value/Reason</x:v>
      </x:c>
      <x:c r="E23" s="66" t="str">
        <x:v>WritePipeline</x:v>
      </x:c>
      <x:c r="F23" s="66" t="str">
        <x:v>可用表达式值</x:v>
      </x:c>
      <x:c r="G23" s="66"/>
      <x:c r="H23" s="66"/>
    </x:row>
    <x:row r="24">
      <x:c r="A24" s="58" t="str">
        <x:v>ToggleTagAction</x:v>
      </x:c>
      <x:c r="B24" s="58" t="str">
        <x:v>toggleTag</x:v>
      </x:c>
      <x:c r="C24" s="58" t="str">
        <x:v>布尔/枚举切换</x:v>
      </x:c>
      <x:c r="D24" s="58" t="str">
        <x:v>VariableRef</x:v>
      </x:c>
      <x:c r="E24" s="58" t="str">
        <x:v>WritePipeline</x:v>
      </x:c>
      <x:c r="F24" s="58" t="str">
        <x:v>先读后写需一致性策略</x:v>
      </x:c>
      <x:c r="G24" s="58"/>
      <x:c r="H24" s="58"/>
    </x:row>
    <x:row r="25">
      <x:c r="A25" s="66" t="str">
        <x:v>PulseTagAction</x:v>
      </x:c>
      <x:c r="B25" s="66" t="str">
        <x:v>pulseTag</x:v>
      </x:c>
      <x:c r="C25" s="66" t="str">
        <x:v>写入→延时→恢复</x:v>
      </x:c>
      <x:c r="D25" s="66" t="str">
        <x:v>VariableRef/Value/Duration</x:v>
      </x:c>
      <x:c r="E25" s="66" t="str">
        <x:v>WritePipeline+Cancellation</x:v>
      </x:c>
      <x:c r="F25" s="66" t="str">
        <x:v>Stop时取消/恢复策略明确</x:v>
      </x:c>
      <x:c r="G25" s="66"/>
      <x:c r="H25" s="66"/>
    </x:row>
    <x:row r="26">
      <x:c r="A26" s="58" t="str">
        <x:v>SetPropertyAction</x:v>
      </x:c>
      <x:c r="B26" s="58" t="str">
        <x:v>setProperty</x:v>
      </x:c>
      <x:c r="C26" s="58" t="str">
        <x:v>修改Runtime属性</x:v>
      </x:c>
      <x:c r="D26" s="58" t="str">
        <x:v>ElementId/Property/Value</x:v>
      </x:c>
      <x:c r="E26" s="58" t="str">
        <x:v>RuntimePropertyStore</x:v>
      </x:c>
      <x:c r="F26" s="58" t="str">
        <x:v>默认不改Project</x:v>
      </x:c>
      <x:c r="G26" s="58"/>
      <x:c r="H26" s="58"/>
    </x:row>
    <x:row r="27">
      <x:c r="A27" s="66" t="str">
        <x:v>NavigatePageAction</x:v>
      </x:c>
      <x:c r="B27" s="66" t="str">
        <x:v>navigate</x:v>
      </x:c>
      <x:c r="C27" s="66" t="str">
        <x:v>页面导航</x:v>
      </x:c>
      <x:c r="D27" s="66" t="str">
        <x:v>PageId/Parameters</x:v>
      </x:c>
      <x:c r="E27" s="66" t="str">
        <x:v>NavigationService</x:v>
      </x:c>
      <x:c r="F27" s="66" t="str">
        <x:v>稳定Id引用</x:v>
      </x:c>
      <x:c r="G27" s="66"/>
      <x:c r="H27" s="66"/>
    </x:row>
    <x:row r="28">
      <x:c r="A28" s="58" t="str">
        <x:v>OpenPopupAction</x:v>
      </x:c>
      <x:c r="B28" s="58" t="str">
        <x:v>openPopup</x:v>
      </x:c>
      <x:c r="C28" s="58" t="str">
        <x:v>打开弹窗</x:v>
      </x:c>
      <x:c r="D28" s="58" t="str">
        <x:v>PopupId/Parameters/Placement</x:v>
      </x:c>
      <x:c r="E28" s="58" t="str">
        <x:v>PopupService</x:v>
      </x:c>
      <x:c r="F28" s="58" t="str">
        <x:v>单例/多实例策略</x:v>
      </x:c>
      <x:c r="G28" s="58"/>
      <x:c r="H28" s="58"/>
    </x:row>
    <x:row r="29">
      <x:c r="A29" s="66" t="str">
        <x:v>ClosePopupAction</x:v>
      </x:c>
      <x:c r="B29" s="66" t="str">
        <x:v>closePopup</x:v>
      </x:c>
      <x:c r="C29" s="66" t="str">
        <x:v>关闭弹窗</x:v>
      </x:c>
      <x:c r="D29" s="66" t="str">
        <x:v>PopupInstance/Policy</x:v>
      </x:c>
      <x:c r="E29" s="66" t="str">
        <x:v>PopupService</x:v>
      </x:c>
      <x:c r="F29" s="66" t="str">
        <x:v>Self/All/ById</x:v>
      </x:c>
      <x:c r="G29" s="66"/>
      <x:c r="H29" s="66"/>
    </x:row>
    <x:row r="30">
      <x:c r="A30" s="58" t="str">
        <x:v>ExecuteHostAction</x:v>
      </x:c>
      <x:c r="B30" s="58" t="str">
        <x:v>hostAction</x:v>
      </x:c>
      <x:c r="C30" s="58" t="str">
        <x:v>调用宿主业务动作</x:v>
      </x:c>
      <x:c r="D30" s="58" t="str">
        <x:v>ActionKey/Parameters</x:v>
      </x:c>
      <x:c r="E30" s="58" t="str">
        <x:v>IHostActionGateway</x:v>
      </x:c>
      <x:c r="F30" s="58" t="str">
        <x:v>ACL，不暴露MainForm</x:v>
      </x:c>
      <x:c r="G30" s="58"/>
      <x:c r="H30" s="58"/>
    </x:row>
    <x:row r="31">
      <x:c r="A31" s="66" t="str">
        <x:v>AcknowledgeAlarm</x:v>
      </x:c>
      <x:c r="B31" s="66" t="str">
        <x:v>ackAlarm</x:v>
      </x:c>
      <x:c r="C31" s="66" t="str">
        <x:v>确认报警</x:v>
      </x:c>
      <x:c r="D31" s="66" t="str">
        <x:v>AlarmId/Comment</x:v>
      </x:c>
      <x:c r="E31" s="66" t="str">
        <x:v>AlarmEngine+Security+Audit</x:v>
      </x:c>
      <x:c r="F31" s="66" t="str">
        <x:v>需权限</x:v>
      </x:c>
      <x:c r="G31" s="66"/>
      <x:c r="H31" s="66"/>
    </x:row>
    <x:row r="32">
      <x:c r="A32" s="58" t="str">
        <x:v>LoadRecipeAction</x:v>
      </x:c>
      <x:c r="B32" s="58" t="str">
        <x:v>loadRecipe</x:v>
      </x:c>
      <x:c r="C32" s="58" t="str">
        <x:v>加载/下发配方</x:v>
      </x:c>
      <x:c r="D32" s="58" t="str">
        <x:v>RecipeId/Version</x:v>
      </x:c>
      <x:c r="E32" s="58" t="str">
        <x:v>RecipeService+WritePipeline</x:v>
      </x:c>
      <x:c r="F32" s="58" t="str">
        <x:v>事务+回读</x:v>
      </x:c>
      <x:c r="G32" s="58"/>
      <x:c r="H32" s="58"/>
    </x:row>
    <x:row r="33">
      <x:c r="A33" s="66" t="str">
        <x:v>DelayAction</x:v>
      </x:c>
      <x:c r="B33" s="66" t="str">
        <x:v>delay</x:v>
      </x:c>
      <x:c r="C33" s="66" t="str">
        <x:v>动作链延迟</x:v>
      </x:c>
      <x:c r="D33" s="66" t="str">
        <x:v>Duration</x:v>
      </x:c>
      <x:c r="E33" s="66" t="str">
        <x:v>ActionEngine</x:v>
      </x:c>
      <x:c r="F33" s="66" t="str">
        <x:v>可取消</x:v>
      </x:c>
      <x:c r="G33" s="66"/>
      <x:c r="H33" s="66"/>
    </x:row>
    <x:row r="34">
      <x:c r="A34" s="58" t="str">
        <x:v>SequenceAction</x:v>
      </x:c>
      <x:c r="B34" s="58" t="str">
        <x:v>sequence</x:v>
      </x:c>
      <x:c r="C34" s="58" t="str">
        <x:v>顺序执行子动作</x:v>
      </x:c>
      <x:c r="D34" s="58" t="str">
        <x:v>Children</x:v>
      </x:c>
      <x:c r="E34" s="58" t="str">
        <x:v>ActionEngine</x:v>
      </x:c>
      <x:c r="F34" s="58" t="str">
        <x:v>失败策略可配置</x:v>
      </x:c>
      <x:c r="G34" s="58"/>
      <x:c r="H34" s="58"/>
    </x:row>
    <x:row r="35">
      <x:c r="A35" s="66" t="str">
        <x:v>ParallelAction</x:v>
      </x:c>
      <x:c r="B35" s="66" t="str">
        <x:v>parallel</x:v>
      </x:c>
      <x:c r="C35" s="66" t="str">
        <x:v>并行动作</x:v>
      </x:c>
      <x:c r="D35" s="66" t="str">
        <x:v>Children/JoinPolicy</x:v>
      </x:c>
      <x:c r="E35" s="66" t="str">
        <x:v>ActionEngine</x:v>
      </x:c>
      <x:c r="F35" s="66" t="str">
        <x:v>限制并发</x:v>
      </x:c>
      <x:c r="G35" s="66"/>
      <x:c r="H35" s="66"/>
    </x:row>
    <x:row r="36">
      <x:c r="A36" s="58" t="str">
        <x:v>ConditionalAction</x:v>
      </x:c>
      <x:c r="B36" s="58" t="str">
        <x:v>if</x:v>
      </x:c>
      <x:c r="C36" s="58" t="str">
        <x:v>条件分支</x:v>
      </x:c>
      <x:c r="D36" s="58" t="str">
        <x:v>Expression/Then/Else</x:v>
      </x:c>
      <x:c r="E36" s="58" t="str">
        <x:v>ExpressionEngine</x:v>
      </x:c>
      <x:c r="F36" s="58" t="str">
        <x:v>安全DSL</x:v>
      </x:c>
      <x:c r="G36" s="58"/>
      <x:c r="H36" s="58"/>
    </x:row>
    <x:row r="37">
      <x:c r="A37" s="66" t="str">
        <x:v>ScriptAction</x:v>
      </x:c>
      <x:c r="B37" s="66" t="str">
        <x:v>script</x:v>
      </x:c>
      <x:c r="C37" s="66" t="str">
        <x:v>受控脚本调用</x:v>
      </x:c>
      <x:c r="D37" s="66" t="str">
        <x:v>ScriptId/Parameters</x:v>
      </x:c>
      <x:c r="E37" s="66" t="str">
        <x:v>ScriptHost</x:v>
      </x:c>
      <x:c r="F37" s="66" t="str">
        <x:v>后期；权限/超时/沙箱</x:v>
      </x:c>
      <x:c r="G37" s="66"/>
      <x:c r="H37" s="66"/>
    </x:row>
    <x:row r="38">
      <x:c r="A38"/>
      <x:c r="B38"/>
      <x:c r="C38"/>
      <x:c r="D38"/>
      <x:c r="E38"/>
      <x:c r="F38"/>
      <x:c r="G38"/>
      <x:c r="H38"/>
    </x:row>
    <x:row r="39">
      <x:c r="A39"/>
      <x:c r="B39"/>
      <x:c r="C39"/>
      <x:c r="D39"/>
      <x:c r="E39"/>
      <x:c r="F39"/>
      <x:c r="G39"/>
      <x:c r="H39"/>
    </x:row>
    <x:row r="40" ht="24" customHeight="1">
      <x:c r="A40" s="40" t="str">
        <x:v>C. Action Engine 核心类</x:v>
      </x:c>
      <x:c r="B40" s="40"/>
      <x:c r="C40" s="40"/>
      <x:c r="D40" s="40"/>
      <x:c r="E40" s="40"/>
      <x:c r="F40" s="40"/>
      <x:c r="G40" s="40"/>
      <x:c r="H40" s="40"/>
    </x:row>
    <x:row r="41" ht="28" customHeight="1">
      <x:c r="A41" s="50" t="str">
        <x:v>类/接口</x:v>
      </x:c>
      <x:c r="B41" s="50" t="str">
        <x:v>程序集</x:v>
      </x:c>
      <x:c r="C41" s="50" t="str">
        <x:v>关键字段/方法</x:v>
      </x:c>
      <x:c r="D41" s="50" t="str">
        <x:v>职责</x:v>
      </x:c>
      <x:c r="E41" s="50" t="str">
        <x:v>关键约束</x:v>
      </x:c>
      <x:c r="F41" s="50"/>
      <x:c r="G41" s="50"/>
      <x:c r="H41" s="50"/>
    </x:row>
    <x:row r="42">
      <x:c r="A42" s="58" t="str">
        <x:v>EventBindingModel</x:v>
      </x:c>
      <x:c r="B42" s="58" t="str">
        <x:v>Core</x:v>
      </x:c>
      <x:c r="C42" s="58" t="str">
        <x:v>EventTypeId/Condition/Actions[]</x:v>
      </x:c>
      <x:c r="D42" s="58" t="str">
        <x:v>持久化事件定义</x:v>
      </x:c>
      <x:c r="E42" s="58" t="str">
        <x:v>不保存delegate</x:v>
      </x:c>
      <x:c r="F42" s="58"/>
      <x:c r="G42" s="58"/>
      <x:c r="H42" s="58"/>
    </x:row>
    <x:row r="43">
      <x:c r="A43" s="66" t="str">
        <x:v>EventRouter</x:v>
      </x:c>
      <x:c r="B43" s="66" t="str">
        <x:v>Runtime.Core</x:v>
      </x:c>
      <x:c r="C43" s="66" t="str">
        <x:v>Raise(EventContext)</x:v>
      </x:c>
      <x:c r="D43" s="66" t="str">
        <x:v>统一事件入口与路由</x:v>
      </x:c>
      <x:c r="E43" s="66" t="str">
        <x:v>WPF事件先转平台事件</x:v>
      </x:c>
      <x:c r="F43" s="66"/>
      <x:c r="G43" s="66"/>
      <x:c r="H43" s="66"/>
    </x:row>
    <x:row r="44">
      <x:c r="A44" s="58" t="str">
        <x:v>ActionModel</x:v>
      </x:c>
      <x:c r="B44" s="58" t="str">
        <x:v>Core</x:v>
      </x:c>
      <x:c r="C44" s="58" t="str">
        <x:v>ActionTypeId/Permission/Parameters</x:v>
      </x:c>
      <x:c r="D44" s="58" t="str">
        <x:v>持久化动作配置</x:v>
      </x:c>
      <x:c r="E44" s="58" t="str">
        <x:v>多态typeId</x:v>
      </x:c>
      <x:c r="F44" s="58"/>
      <x:c r="G44" s="58"/>
      <x:c r="H44" s="58"/>
    </x:row>
    <x:row r="45">
      <x:c r="A45" s="66" t="str">
        <x:v>ActionCompiler</x:v>
      </x:c>
      <x:c r="B45" s="66" t="str">
        <x:v>Runtime.Core</x:v>
      </x:c>
      <x:c r="C45" s="66" t="str">
        <x:v>Compile(ActionModel)→ActionPlan</x:v>
      </x:c>
      <x:c r="D45" s="66" t="str">
        <x:v>预解析Executor/表达式/权限</x:v>
      </x:c>
      <x:c r="E45" s="66" t="str">
        <x:v>Load/Reload执行</x:v>
      </x:c>
      <x:c r="F45" s="66"/>
      <x:c r="G45" s="66"/>
      <x:c r="H45" s="66"/>
    </x:row>
    <x:row r="46">
      <x:c r="A46" s="58" t="str">
        <x:v>ActionPlan</x:v>
      </x:c>
      <x:c r="B46" s="58" t="str">
        <x:v>Runtime.Core</x:v>
      </x:c>
      <x:c r="C46" s="58" t="str">
        <x:v>compiled steps/conditions/executors</x:v>
      </x:c>
      <x:c r="D46" s="58" t="str">
        <x:v>运行不可变计划</x:v>
      </x:c>
      <x:c r="E46" s="58" t="str">
        <x:v>不持久化</x:v>
      </x:c>
      <x:c r="F46" s="58"/>
      <x:c r="G46" s="58"/>
      <x:c r="H46" s="58"/>
    </x:row>
    <x:row r="47">
      <x:c r="A47" s="66" t="str">
        <x:v>IActionExecutor</x:v>
      </x:c>
      <x:c r="B47" s="66" t="str">
        <x:v>Runtime.Core/PluginSdk</x:v>
      </x:c>
      <x:c r="C47" s="66" t="str">
        <x:v>ExecuteAsync</x:v>
      </x:c>
      <x:c r="D47" s="66" t="str">
        <x:v>一种动作执行策略</x:v>
      </x:c>
      <x:c r="E47" s="66" t="str">
        <x:v>Registry注册</x:v>
      </x:c>
      <x:c r="F47" s="66"/>
      <x:c r="G47" s="66"/>
      <x:c r="H47" s="66"/>
    </x:row>
    <x:row r="48">
      <x:c r="A48" s="58" t="str">
        <x:v>ActionExecutorRegistry</x:v>
      </x:c>
      <x:c r="B48" s="58" t="str">
        <x:v>Runtime.Core</x:v>
      </x:c>
      <x:c r="C48" s="58" t="str">
        <x:v>Register/Get</x:v>
      </x:c>
      <x:c r="D48" s="58" t="str">
        <x:v>内置/插件动作注册</x:v>
      </x:c>
      <x:c r="E48" s="58" t="str">
        <x:v>实例化，非static全局</x:v>
      </x:c>
      <x:c r="F48" s="58"/>
      <x:c r="G48" s="58"/>
      <x:c r="H48" s="58"/>
    </x:row>
    <x:row r="49">
      <x:c r="A49" s="66" t="str">
        <x:v>ActionExecutionContext</x:v>
      </x:c>
      <x:c r="B49" s="66" t="str">
        <x:v>Runtime.Core</x:v>
      </x:c>
      <x:c r="C49" s="66" t="str">
        <x:v>Runtime/Page/Element/User/Input/CorrelationId</x:v>
      </x:c>
      <x:c r="D49" s="66" t="str">
        <x:v>动作上下文</x:v>
      </x:c>
      <x:c r="E49" s="66" t="str">
        <x:v>单链一实例</x:v>
      </x:c>
      <x:c r="F49" s="66"/>
      <x:c r="G49" s="66"/>
      <x:c r="H49" s="66"/>
    </x:row>
    <x:row r="50">
      <x:c r="A50" s="58" t="str">
        <x:v>ActionEngine</x:v>
      </x:c>
      <x:c r="B50" s="58" t="str">
        <x:v>Runtime.Core</x:v>
      </x:c>
      <x:c r="C50" s="58" t="str">
        <x:v>ExecutePlanAsync</x:v>
      </x:c>
      <x:c r="D50" s="58" t="str">
        <x:v>顺序/并行/取消/超时/结果聚合</x:v>
      </x:c>
      <x:c r="E50" s="58" t="str">
        <x:v>异常转ActionResult/Diagnostic</x:v>
      </x:c>
      <x:c r="F50" s="58"/>
      <x:c r="G50" s="58"/>
      <x:c r="H50" s="58"/>
    </x:row>
    <x:row r="51">
      <x:c r="A51" s="66" t="str">
        <x:v>ActionResult</x:v>
      </x:c>
      <x:c r="B51" s="66" t="str">
        <x:v>Core/Abstractions</x:v>
      </x:c>
      <x:c r="C51" s="66" t="str">
        <x:v>Success/Code/Message/Diagnostics</x:v>
      </x:c>
      <x:c r="D51" s="66" t="str">
        <x:v>动作结果</x:v>
      </x:c>
      <x:c r="E51" s="66" t="str">
        <x:v>UI和Audit都可消费</x:v>
      </x:c>
      <x:c r="F51" s="66"/>
      <x:c r="G51" s="66"/>
      <x:c r="H51" s="66"/>
    </x:row>
    <x:row r="52">
      <x:c r="A52"/>
      <x:c r="B52"/>
      <x:c r="C52"/>
      <x:c r="D52"/>
      <x:c r="E52"/>
      <x:c r="F52"/>
      <x:c r="G52"/>
      <x:c r="H52"/>
    </x:row>
    <x:row r="53">
      <x:c r="A53"/>
      <x:c r="B53"/>
      <x:c r="C53"/>
      <x:c r="D53"/>
      <x:c r="E53"/>
      <x:c r="F53"/>
      <x:c r="G53"/>
      <x:c r="H53"/>
    </x:row>
    <x:row r="54" ht="24" customHeight="1">
      <x:c r="A54" s="40" t="str">
        <x:v>D. Animation 模型与调度</x:v>
      </x:c>
      <x:c r="B54" s="40"/>
      <x:c r="C54" s="40"/>
      <x:c r="D54" s="40"/>
      <x:c r="E54" s="40"/>
      <x:c r="F54" s="40"/>
      <x:c r="G54" s="40"/>
      <x:c r="H54" s="40"/>
    </x:row>
    <x:row r="55" ht="28" customHeight="1">
      <x:c r="A55" s="50" t="str">
        <x:v>机制</x:v>
      </x:c>
      <x:c r="B55" s="50" t="str">
        <x:v>类别</x:v>
      </x:c>
      <x:c r="C55" s="50" t="str">
        <x:v>字段/行为</x:v>
      </x:c>
      <x:c r="D55" s="50" t="str">
        <x:v>用途</x:v>
      </x:c>
      <x:c r="E55" s="50" t="str">
        <x:v>规则</x:v>
      </x:c>
      <x:c r="F55" s="50"/>
      <x:c r="G55" s="50"/>
      <x:c r="H55" s="50"/>
    </x:row>
    <x:row r="56">
      <x:c r="A56" s="58" t="str">
        <x:v>AnimationDefinition</x:v>
      </x:c>
      <x:c r="B56" s="58" t="str">
        <x:v>配置</x:v>
      </x:c>
      <x:c r="C56" s="58" t="str">
        <x:v>Trigger/TargetProperty/From/To/Duration/Repeat/Easing</x:v>
      </x:c>
      <x:c r="D56" s="58" t="str">
        <x:v>Project</x:v>
      </x:c>
      <x:c r="E56" s="58" t="str">
        <x:v>持久化</x:v>
      </x:c>
      <x:c r="F56" s="58"/>
      <x:c r="G56" s="58"/>
      <x:c r="H56" s="58"/>
    </x:row>
    <x:row r="57" ht="28" customHeight="1">
      <x:c r="A57" s="50" t="str">
        <x:v>StateAnimation</x:v>
      </x:c>
      <x:c r="B57" s="50" t="str">
        <x:v>类型</x:v>
      </x:c>
      <x:c r="C57" s="50" t="str">
        <x:v>状态A→B属性过渡</x:v>
      </x:c>
      <x:c r="D57" s="50" t="str">
        <x:v>Lamp/Motor/Panel</x:v>
      </x:c>
      <x:c r="E57" s="50" t="str">
        <x:v>Binding状态变化触发</x:v>
      </x:c>
      <x:c r="F57" s="50"/>
      <x:c r="G57" s="50"/>
      <x:c r="H57" s="50"/>
    </x:row>
    <x:row r="58" ht="28" customHeight="1">
      <x:c r="A58" s="50" t="str">
        <x:v>BlinkAnimation</x:v>
      </x:c>
      <x:c r="B58" s="50" t="str">
        <x:v>类型</x:v>
      </x:c>
      <x:c r="C58" s="50" t="str">
        <x:v>Visible/Color/Opacity周期切换</x:v>
      </x:c>
      <x:c r="D58" s="50" t="str">
        <x:v>Alarm/Warning</x:v>
      </x:c>
      <x:c r="E58" s="50" t="str">
        <x:v>统一tick</x:v>
      </x:c>
      <x:c r="F58" s="50"/>
      <x:c r="G58" s="50"/>
      <x:c r="H58" s="50"/>
    </x:row>
    <x:row r="59" ht="28" customHeight="1">
      <x:c r="A59" s="50" t="str">
        <x:v>RotateAnimation</x:v>
      </x:c>
      <x:c r="B59" s="50" t="str">
        <x:v>类型</x:v>
      </x:c>
      <x:c r="C59" s="50" t="str">
        <x:v>角度连续/状态驱动</x:v>
      </x:c>
      <x:c r="D59" s="50" t="str">
        <x:v>Motor/Fan</x:v>
      </x:c>
      <x:c r="E59" s="50" t="str">
        <x:v>隐藏页面暂停</x:v>
      </x:c>
      <x:c r="F59" s="50"/>
      <x:c r="G59" s="50"/>
      <x:c r="H59" s="50"/>
    </x:row>
    <x:row r="60" ht="28" customHeight="1">
      <x:c r="A60" s="50" t="str">
        <x:v>Translate/Scale</x:v>
      </x:c>
      <x:c r="B60" s="50" t="str">
        <x:v>类型</x:v>
      </x:c>
      <x:c r="C60" s="50" t="str">
        <x:v>位移/缩放</x:v>
      </x:c>
      <x:c r="D60" s="50" t="str">
        <x:v>机械运动示意</x:v>
      </x:c>
      <x:c r="E60" s="50" t="str">
        <x:v>不修改持久化Bounds</x:v>
      </x:c>
      <x:c r="F60" s="50"/>
      <x:c r="G60" s="50"/>
      <x:c r="H60" s="50"/>
    </x:row>
    <x:row r="61" ht="28" customHeight="1">
      <x:c r="A61" s="50" t="str">
        <x:v>ColorAnimation</x:v>
      </x:c>
      <x:c r="B61" s="50" t="str">
        <x:v>类型</x:v>
      </x:c>
      <x:c r="C61" s="50" t="str">
        <x:v>颜色插值</x:v>
      </x:c>
      <x:c r="D61" s="50" t="str">
        <x:v>状态/报警</x:v>
      </x:c>
      <x:c r="E61" s="50" t="str">
        <x:v>颜色值对象</x:v>
      </x:c>
      <x:c r="F61" s="50"/>
      <x:c r="G61" s="50"/>
      <x:c r="H61" s="50"/>
    </x:row>
    <x:row r="62">
      <x:c r="A62" s="66" t="str">
        <x:v>AnimationScheduler</x:v>
      </x:c>
      <x:c r="B62" s="66" t="str">
        <x:v>Runtime</x:v>
      </x:c>
      <x:c r="C62" s="66" t="str">
        <x:v>统一tick与活动句柄</x:v>
      </x:c>
      <x:c r="D62" s="66" t="str">
        <x:v>Runtime session</x:v>
      </x:c>
      <x:c r="E62" s="66" t="str">
        <x:v>不可见页/Stop清空</x:v>
      </x:c>
      <x:c r="F62" s="66"/>
      <x:c r="G62" s="66"/>
      <x:c r="H62" s="66"/>
    </x:row>
    <x:row r="63">
      <x:c r="A63" s="58" t="str">
        <x:v>EasingFunctions</x:v>
      </x:c>
      <x:c r="B63" s="58" t="str">
        <x:v>Static</x:v>
      </x:c>
      <x:c r="C63" s="58" t="str">
        <x:v>Linear/EaseInOut等纯函数</x:v>
      </x:c>
      <x:c r="D63" s="58" t="str">
        <x:v>Common/Runtime</x:v>
      </x:c>
      <x:c r="E63" s="58" t="str">
        <x:v>无状态static</x:v>
      </x:c>
      <x:c r="F63" s="58"/>
      <x:c r="G63" s="58"/>
      <x:c r="H63" s="58"/>
    </x:row>
    <x:row r="64">
      <x:c r="A64" s="66" t="str">
        <x:v>AnimationHandle</x:v>
      </x:c>
      <x:c r="B64" s="66" t="str">
        <x:v>Runtime state</x:v>
      </x:c>
      <x:c r="C64" s="66" t="str">
        <x:v>start/current/repeat/cancel</x:v>
      </x:c>
      <x:c r="D64" s="66" t="str">
        <x:v>运行态</x:v>
      </x:c>
      <x:c r="E64" s="66" t="str">
        <x:v>绝不保存</x:v>
      </x:c>
      <x:c r="F64" s="66"/>
      <x:c r="G64" s="66"/>
      <x:c r="H64" s="66"/>
    </x:row>
    <x:row r="65">
      <x:c r="A65" s="58" t="str">
        <x:v>VisibilityPolicy</x:v>
      </x:c>
      <x:c r="B65" s="58" t="str">
        <x:v>策略</x:v>
      </x:c>
      <x:c r="C65" s="58" t="str">
        <x:v>HiddenPage暂停/继续/追帧</x:v>
      </x:c>
      <x:c r="D65" s="58" t="str">
        <x:v>Runtime</x:v>
      </x:c>
      <x:c r="E65" s="58" t="str">
        <x:v>默认暂停视觉动画</x:v>
      </x:c>
      <x:c r="F65" s="58"/>
      <x:c r="G65" s="58"/>
      <x:c r="H65" s="58"/>
    </x:row>
    <x:row r="66">
      <x:c r="A66"/>
      <x:c r="B66"/>
      <x:c r="C66"/>
      <x:c r="D66"/>
      <x:c r="E66"/>
      <x:c r="F66"/>
      <x:c r="G66"/>
      <x:c r="H66"/>
    </x:row>
    <x:row r="67">
      <x:c r="A67"/>
      <x:c r="B67"/>
      <x:c r="C67"/>
      <x:c r="D67"/>
      <x:c r="E67"/>
      <x:c r="F67"/>
      <x:c r="G67"/>
      <x:c r="H67"/>
    </x:row>
    <x:row r="68" ht="24" customHeight="1">
      <x:c r="A68" s="40" t="str">
        <x:v>E. Graph / Domain Invocation Actions</x:v>
      </x:c>
      <x:c r="B68" s="40"/>
      <x:c r="C68" s="40"/>
      <x:c r="D68" s="40"/>
      <x:c r="E68" s="40"/>
      <x:c r="F68" s="40"/>
      <x:c r="G68" s="40"/>
      <x:c r="H68" s="40"/>
    </x:row>
    <x:row r="69" ht="28" customHeight="1">
      <x:c r="A69" s="50" t="str">
        <x:v>Action</x:v>
      </x:c>
      <x:c r="B69" s="50" t="str">
        <x:v>作用</x:v>
      </x:c>
      <x:c r="C69" s="50" t="str">
        <x:v>参数</x:v>
      </x:c>
      <x:c r="D69" s="50" t="str">
        <x:v>执行服务</x:v>
      </x:c>
      <x:c r="E69" s="50" t="str">
        <x:v>安全/版本</x:v>
      </x:c>
      <x:c r="F69" s="50" t="str">
        <x:v>规则</x:v>
      </x:c>
      <x:c r="G69" s="50"/>
      <x:c r="H69" s="50"/>
    </x:row>
    <x:row r="70">
      <x:c r="A70" s="66" t="str">
        <x:v>RunGraphAction</x:v>
      </x:c>
      <x:c r="B70" s="66" t="str">
        <x:v>调用通用Graph Definition</x:v>
      </x:c>
      <x:c r="C70" s="66" t="str">
        <x:v>DefinitionId/VersionPolicy/Parameters/Timeout</x:v>
      </x:c>
      <x:c r="D70" s="66" t="str">
        <x:v>IGraphInvocationService</x:v>
      </x:c>
      <x:c r="E70" s="66" t="str">
        <x:v>发布时Resolve版本</x:v>
      </x:c>
      <x:c r="F70" s="66" t="str">
        <x:v>UI不直接new Domain Runtime</x:v>
      </x:c>
      <x:c r="G70" s="66"/>
      <x:c r="H70" s="66"/>
    </x:row>
    <x:row r="71">
      <x:c r="A71" s="58" t="str">
        <x:v>RunMotionAction</x:v>
      </x:c>
      <x:c r="B71" s="58" t="str">
        <x:v>调用MotionProgram</x:v>
      </x:c>
      <x:c r="C71" s="58" t="str">
        <x:v>ProgramId/ResolvedVersion/Parameters/Timeout</x:v>
      </x:c>
      <x:c r="D71" s="58" t="str">
        <x:v>GraphInvocation→Motion Runtime</x:v>
      </x:c>
      <x:c r="E71" s="58" t="str">
        <x:v>Interlock/Permission/Resource</x:v>
      </x:c>
      <x:c r="F71" s="58" t="str">
        <x:v>适合按钮触发受控动作</x:v>
      </x:c>
      <x:c r="G71" s="58"/>
      <x:c r="H71" s="58"/>
    </x:row>
    <x:row r="72">
      <x:c r="A72" s="66" t="str">
        <x:v>RunVisionAction</x:v>
      </x:c>
      <x:c r="B72" s="66" t="str">
        <x:v>调用VisionPipeline</x:v>
      </x:c>
      <x:c r="C72" s="66" t="str">
        <x:v>PipelineId/ResolvedVersion/TypedInputs</x:v>
      </x:c>
      <x:c r="D72" s="66" t="str">
        <x:v>GraphInvocation→Vision Runtime</x:v>
      </x:c>
      <x:c r="E72" s="66" t="str">
        <x:v>资源/模型版本</x:v>
      </x:c>
      <x:c r="F72" s="66" t="str">
        <x:v>大图使用Handle</x:v>
      </x:c>
      <x:c r="G72" s="66"/>
      <x:c r="H72" s="66"/>
    </x:row>
    <x:row r="73">
      <x:c r="A73" s="58" t="str">
        <x:v>StartInspectionAction</x:v>
      </x:c>
      <x:c r="B73" s="58" t="str">
        <x:v>启动InspectionFlow Task</x:v>
      </x:c>
      <x:c r="C73" s="58" t="str">
        <x:v>FlowId/ResolvedVersion/ProductParameters</x:v>
      </x:c>
      <x:c r="D73" s="58" t="str">
        <x:v>Inspection Task Service</x:v>
      </x:c>
      <x:c r="E73" s="58" t="str">
        <x:v>权限/版本固定</x:v>
      </x:c>
      <x:c r="F73" s="58" t="str">
        <x:v>通常由宿主/生产事件触发</x:v>
      </x:c>
      <x:c r="G73" s="58"/>
      <x:c r="H73" s="58"/>
    </x:row>
    <x:row r="74">
      <x:c r="A74" s="66" t="str">
        <x:v>CancelTaskAction</x:v>
      </x:c>
      <x:c r="B74" s="66" t="str">
        <x:v>取消Graph/Inspection Task</x:v>
      </x:c>
      <x:c r="C74" s="66" t="str">
        <x:v>TaskId/Policy</x:v>
      </x:c>
      <x:c r="D74" s="66" t="str">
        <x:v>Runtime Task Service</x:v>
      </x:c>
      <x:c r="E74" s="66" t="str">
        <x:v>权限/安全停止</x:v>
      </x:c>
      <x:c r="F74" s="66" t="str">
        <x:v>取消≠急停</x:v>
      </x:c>
      <x:c r="G74" s="66"/>
      <x:c r="H74" s="66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34" hidden="0" customWidth="1"/>
    <x:col min="4" max="4" width="38" hidden="0" customWidth="1"/>
    <x:col min="5" max="5" width="34" hidden="0" customWidth="1"/>
    <x:col min="6" max="6" width="30" hidden="0" customWidth="1"/>
    <x:col min="7" max="7" width="30" hidden="0" customWidth="1"/>
    <x:col min="8" max="8" width="30" hidden="0" customWidth="1"/>
  </x:cols>
  <x:sheetData>
    <x:row r="1" ht="30" customHeight="1">
      <x:c r="A1" s="8" t="str">
        <x:v>CxVisual Security / Write / Permission / Audit</x:v>
      </x:c>
      <x:c r="B1" s="8"/>
      <x:c r="C1" s="8"/>
      <x:c r="D1" s="8"/>
      <x:c r="E1" s="8"/>
      <x:c r="F1" s="8"/>
      <x:c r="G1" s="8"/>
      <x:c r="H1" s="8"/>
    </x:row>
    <x:row r="2" ht="38" customHeight="1">
      <x:c r="A2" s="16" t="str">
        <x:v>所有真实写入、危险动作、Remote Engineering、审计与Secret/Credential引用的公共安全基线。</x:v>
      </x:c>
      <x:c r="B2" s="16"/>
      <x:c r="C2" s="16"/>
      <x:c r="D2" s="16"/>
      <x:c r="E2" s="16"/>
      <x:c r="F2" s="16"/>
      <x:c r="G2" s="16"/>
      <x:c r="H2" s="16"/>
    </x:row>
    <x:row r="3">
      <x:c r="A3" s="30" t="str">
        <x:v>本页唯一权威</x:v>
      </x:c>
      <x:c r="B3" s="31" t="str">
        <x:v>Authorization、WritePolicy、Interlock协作、Audit、DangerousOperation、SecretRef/CertificateRef/Credential Store原则。</x:v>
      </x:c>
      <x:c r="C3" s="31"/>
      <x:c r="D3" s="31"/>
      <x:c r="E3" s="31"/>
      <x:c r="F3" s="31"/>
      <x:c r="G3" s="31"/>
      <x:c r="H3" s="31"/>
    </x:row>
    <x:row r="4">
      <x:c r="A4" s="30" t="str">
        <x:v>不在本页维护</x:v>
      </x:c>
      <x:c r="B4" s="31" t="str">
        <x:v>具体Motion/Robot/Inspection危险操作语义（见对应Domain）；客户网络/安全标准（见44项目规格）。</x:v>
      </x:c>
      <x:c r="C4" s="31"/>
      <x:c r="D4" s="31"/>
      <x:c r="E4" s="31"/>
      <x:c r="F4" s="31"/>
      <x:c r="G4" s="31"/>
      <x:c r="H4" s="31"/>
    </x:row>
    <x:row r="5">
      <x:c r="A5" s="30" t="str">
        <x:v>关联分页</x:v>
      </x:c>
      <x:c r="B5" s="31" t="str">
        <x:v>10_Property元数据Binding；17_SCADA_ICS；21_Graph统一OnlineDebug架构；27_Motion；46_DeviceVariable闭环；47_运控硬件抽象体系。</x:v>
      </x:c>
      <x:c r="C5" s="31"/>
      <x:c r="D5" s="31"/>
      <x:c r="E5" s="31"/>
      <x:c r="F5" s="31"/>
      <x:c r="G5" s="31"/>
      <x:c r="H5" s="31"/>
    </x:row>
    <x:row r="6">
      <x:c r="A6"/>
      <x:c r="B6"/>
      <x:c r="C6"/>
      <x:c r="D6"/>
      <x:c r="E6"/>
      <x:c r="F6"/>
      <x:c r="G6"/>
      <x:c r="H6"/>
    </x:row>
    <x:row r="7" ht="24" customHeight="1">
      <x:c r="A7" s="40" t="str">
        <x:v>A. 统一真实写入 Pipeline</x:v>
      </x:c>
      <x:c r="B7" s="40"/>
      <x:c r="C7" s="40"/>
      <x:c r="D7" s="40"/>
      <x:c r="E7" s="40"/>
      <x:c r="F7" s="40"/>
      <x:c r="G7" s="40"/>
      <x:c r="H7" s="40"/>
    </x:row>
    <x:row r="8" ht="28" customHeight="1">
      <x:c r="A8" s="50" t="str">
        <x:v>顺序</x:v>
      </x:c>
      <x:c r="B8" s="50" t="str">
        <x:v>阶段</x:v>
      </x:c>
      <x:c r="C8" s="50" t="str">
        <x:v>职责</x:v>
      </x:c>
      <x:c r="D8" s="50" t="str">
        <x:v>输入</x:v>
      </x:c>
      <x:c r="E8" s="50" t="str">
        <x:v>失败策略</x:v>
      </x:c>
      <x:c r="F8" s="50" t="str">
        <x:v>硬约束</x:v>
      </x:c>
      <x:c r="G8" s="50"/>
      <x:c r="H8" s="50"/>
    </x:row>
    <x:row r="9">
      <x:c r="A9" s="58" t="str">
        <x:v>1</x:v>
      </x:c>
      <x:c r="B9" s="58" t="str">
        <x:v>ModeGate</x:v>
      </x:c>
      <x:c r="C9" s="58" t="str">
        <x:v>确认Simulation/OnlineDebug/Production；真实写总开关</x:v>
      </x:c>
      <x:c r="D9" s="58" t="str">
        <x:v>RuntimeMode/RealWriteEnabled</x:v>
      </x:c>
      <x:c r="E9" s="58" t="str">
        <x:v>关闭则拒绝真实写</x:v>
      </x:c>
      <x:c r="F9" s="58" t="str">
        <x:v>禁止UI绕过</x:v>
      </x:c>
      <x:c r="G9" s="58"/>
      <x:c r="H9" s="58"/>
    </x:row>
    <x:row r="10">
      <x:c r="A10" s="66" t="str">
        <x:v>2</x:v>
      </x:c>
      <x:c r="B10" s="66" t="str">
        <x:v>UserContext</x:v>
      </x:c>
      <x:c r="C10" s="66" t="str">
        <x:v>获取当前用户/会话/来源</x:v>
      </x:c>
      <x:c r="D10" s="66" t="str">
        <x:v>UserId/Session/Roles</x:v>
      </x:c>
      <x:c r="E10" s="66" t="str">
        <x:v>上下文实例化</x:v>
      </x:c>
      <x:c r="F10" s="66" t="str">
        <x:v>不得static CurrentUser</x:v>
      </x:c>
      <x:c r="G10" s="66"/>
      <x:c r="H10" s="66"/>
    </x:row>
    <x:row r="11">
      <x:c r="A11" s="58" t="str">
        <x:v>3</x:v>
      </x:c>
      <x:c r="B11" s="58" t="str">
        <x:v>Authorization</x:v>
      </x:c>
      <x:c r="C11" s="58" t="str">
        <x:v>判断Action/Variable/Resource权限</x:v>
      </x:c>
      <x:c r="D11" s="58" t="str">
        <x:v>PermissionRequest</x:v>
      </x:c>
      <x:c r="E11" s="58" t="str">
        <x:v>Denied则不进Provider</x:v>
      </x:c>
      <x:c r="F11" s="58" t="str">
        <x:v>统一IAuthorizationService</x:v>
      </x:c>
      <x:c r="G11" s="58"/>
      <x:c r="H11" s="58"/>
    </x:row>
    <x:row r="12">
      <x:c r="A12" s="66" t="str">
        <x:v>4</x:v>
      </x:c>
      <x:c r="B12" s="66" t="str">
        <x:v>WritePolicy</x:v>
      </x:c>
      <x:c r="C12" s="66" t="str">
        <x:v>类型、访问级别、变量可写、现场策略</x:v>
      </x:c>
      <x:c r="D12" s="66" t="str">
        <x:v>VariableMetadata/Policy</x:v>
      </x:c>
      <x:c r="E12" s="66" t="str">
        <x:v>拒绝只读/受限点</x:v>
      </x:c>
      <x:c r="F12" s="66" t="str">
        <x:v>策略可项目/宿主扩展</x:v>
      </x:c>
      <x:c r="G12" s="66"/>
      <x:c r="H12" s="66"/>
    </x:row>
    <x:row r="13">
      <x:c r="A13" s="58" t="str">
        <x:v>5</x:v>
      </x:c>
      <x:c r="B13" s="58" t="str">
        <x:v>Quality/Connection</x:v>
      </x:c>
      <x:c r="C13" s="58" t="str">
        <x:v>确认连接和必要质量</x:v>
      </x:c>
      <x:c r="D13" s="58" t="str">
        <x:v>Provider status/Quality</x:v>
      </x:c>
      <x:c r="E13" s="58" t="str">
        <x:v>Bad则拒绝或明确策略</x:v>
      </x:c>
      <x:c r="F13" s="58" t="str">
        <x:v>不得把0当Good</x:v>
      </x:c>
      <x:c r="G13" s="58"/>
      <x:c r="H13" s="58"/>
    </x:row>
    <x:row r="14">
      <x:c r="A14" s="66" t="str">
        <x:v>6</x:v>
      </x:c>
      <x:c r="B14" s="66" t="str">
        <x:v>Type/Range</x:v>
      </x:c>
      <x:c r="C14" s="66" t="str">
        <x:v>类型转换、min/max/enum/step</x:v>
      </x:c>
      <x:c r="D14" s="66" t="str">
        <x:v>TargetType/Range</x:v>
      </x:c>
      <x:c r="E14" s="66" t="str">
        <x:v>失败返回Diagnostic</x:v>
      </x:c>
      <x:c r="F14" s="66" t="str">
        <x:v>纯检查可static</x:v>
      </x:c>
      <x:c r="G14" s="66"/>
      <x:c r="H14" s="66"/>
    </x:row>
    <x:row r="15">
      <x:c r="A15" s="58" t="str">
        <x:v>7</x:v>
      </x:c>
      <x:c r="B15" s="58" t="str">
        <x:v>DangerousPoint</x:v>
      </x:c>
      <x:c r="C15" s="58" t="str">
        <x:v>危险点/高风险操作规则</x:v>
      </x:c>
      <x:c r="D15" s="58" t="str">
        <x:v>RiskLevel/Tags</x:v>
      </x:c>
      <x:c r="E15" s="58" t="str">
        <x:v>二次确认/理由/电子签名边界</x:v>
      </x:c>
      <x:c r="F15" s="58" t="str">
        <x:v>策略实例化</x:v>
      </x:c>
      <x:c r="G15" s="58"/>
      <x:c r="H15" s="58"/>
    </x:row>
    <x:row r="16">
      <x:c r="A16" s="66" t="str">
        <x:v>8</x:v>
      </x:c>
      <x:c r="B16" s="66" t="str">
        <x:v>Confirmation</x:v>
      </x:c>
      <x:c r="C16" s="66" t="str">
        <x:v>交互确认或宿主审批</x:v>
      </x:c>
      <x:c r="D16" s="66" t="str">
        <x:v>Challenge/Reason</x:v>
      </x:c>
      <x:c r="E16" s="66" t="str">
        <x:v>超时/取消即失败</x:v>
      </x:c>
      <x:c r="F16" s="66" t="str">
        <x:v>UI只负责交互</x:v>
      </x:c>
      <x:c r="G16" s="66"/>
      <x:c r="H16" s="66"/>
    </x:row>
    <x:row r="17">
      <x:c r="A17" s="58" t="str">
        <x:v>9</x:v>
      </x:c>
      <x:c r="B17" s="58" t="str">
        <x:v>Provider.Write</x:v>
      </x:c>
      <x:c r="C17" s="58" t="str">
        <x:v>执行实际写入</x:v>
      </x:c>
      <x:c r="D17" s="58" t="str">
        <x:v>VariableId/Value/CorrelationId</x:v>
      </x:c>
      <x:c r="E17" s="58" t="str">
        <x:v>统一超时/异常</x:v>
      </x:c>
      <x:c r="F17" s="58" t="str">
        <x:v>不得散落直接Write</x:v>
      </x:c>
      <x:c r="G17" s="58"/>
      <x:c r="H17" s="58"/>
    </x:row>
    <x:row r="18">
      <x:c r="A18" s="66" t="str">
        <x:v>10</x:v>
      </x:c>
      <x:c r="B18" s="66" t="str">
        <x:v>Readback</x:v>
      </x:c>
      <x:c r="C18" s="66" t="str">
        <x:v>必要时读取确认</x:v>
      </x:c>
      <x:c r="D18" s="66" t="str">
        <x:v>Expected/Actual/Tolerance</x:v>
      </x:c>
      <x:c r="E18" s="66" t="str">
        <x:v>不一致失败/警告</x:v>
      </x:c>
      <x:c r="F18" s="66" t="str">
        <x:v>配置化</x:v>
      </x:c>
      <x:c r="G18" s="66"/>
      <x:c r="H18" s="66"/>
    </x:row>
    <x:row r="19">
      <x:c r="A19" s="58" t="str">
        <x:v>11</x:v>
      </x:c>
      <x:c r="B19" s="58" t="str">
        <x:v>Audit</x:v>
      </x:c>
      <x:c r="C19" s="58" t="str">
        <x:v>记录Before/Target/Actual/User/Reason/Result</x:v>
      </x:c>
      <x:c r="D19" s="58" t="str">
        <x:v>AuditEvent</x:v>
      </x:c>
      <x:c r="E19" s="58" t="str">
        <x:v>可靠追加</x:v>
      </x:c>
      <x:c r="F19" s="58" t="str">
        <x:v>普通日志不能代替</x:v>
      </x:c>
      <x:c r="G19" s="58"/>
      <x:c r="H19" s="58"/>
    </x:row>
    <x:row r="20">
      <x:c r="A20" s="66" t="str">
        <x:v>12</x:v>
      </x:c>
      <x:c r="B20" s="66" t="str">
        <x:v>Feedback</x:v>
      </x:c>
      <x:c r="C20" s="66" t="str">
        <x:v>动作结果回到UI/Host</x:v>
      </x:c>
      <x:c r="D20" s="66" t="str">
        <x:v>ActionResult</x:v>
      </x:c>
      <x:c r="E20" s="66" t="str">
        <x:v>明确成功/失败</x:v>
      </x:c>
      <x:c r="F20" s="66" t="str">
        <x:v>禁止假成功</x:v>
      </x:c>
      <x:c r="G20" s="66"/>
      <x:c r="H20" s="66"/>
    </x:row>
    <x:row r="21">
      <x:c r="A21"/>
      <x:c r="B21"/>
      <x:c r="C21"/>
      <x:c r="D21"/>
      <x:c r="E21"/>
      <x:c r="F21"/>
      <x:c r="G21"/>
      <x:c r="H21"/>
    </x:row>
    <x:row r="22">
      <x:c r="A22"/>
      <x:c r="B22"/>
      <x:c r="C22"/>
      <x:c r="D22"/>
      <x:c r="E22"/>
      <x:c r="F22"/>
      <x:c r="G22"/>
      <x:c r="H22"/>
    </x:row>
    <x:row r="23" ht="24" customHeight="1">
      <x:c r="A23" s="40" t="str">
        <x:v>B. 核心安全对象/服务</x:v>
      </x:c>
      <x:c r="B23" s="40"/>
      <x:c r="C23" s="40"/>
      <x:c r="D23" s="40"/>
      <x:c r="E23" s="40"/>
      <x:c r="F23" s="40"/>
      <x:c r="G23" s="40"/>
      <x:c r="H23" s="40"/>
    </x:row>
    <x:row r="24" ht="28" customHeight="1">
      <x:c r="A24" s="50" t="str">
        <x:v>类/服务</x:v>
      </x:c>
      <x:c r="B24" s="50" t="str">
        <x:v>职责</x:v>
      </x:c>
      <x:c r="C24" s="50" t="str">
        <x:v>生命周期</x:v>
      </x:c>
      <x:c r="D24" s="50" t="str">
        <x:v>来源/使用方</x:v>
      </x:c>
      <x:c r="E24" s="50" t="str">
        <x:v>设计要求</x:v>
      </x:c>
      <x:c r="F24" s="50"/>
      <x:c r="G24" s="50"/>
      <x:c r="H24" s="50"/>
    </x:row>
    <x:row r="25">
      <x:c r="A25" s="58" t="str">
        <x:v>UserContext</x:v>
      </x:c>
      <x:c r="B25" s="58" t="str">
        <x:v>当前用户/会话不可变快照</x:v>
      </x:c>
      <x:c r="C25" s="58" t="str">
        <x:v>Runtime session</x:v>
      </x:c>
      <x:c r="D25" s="58" t="str">
        <x:v>宿主映射</x:v>
      </x:c>
      <x:c r="E25" s="58" t="str">
        <x:v>不保存密码</x:v>
      </x:c>
      <x:c r="F25" s="58"/>
      <x:c r="G25" s="58"/>
      <x:c r="H25" s="58"/>
    </x:row>
    <x:row r="26">
      <x:c r="A26" s="66" t="str">
        <x:v>PermissionRequest</x:v>
      </x:c>
      <x:c r="B26" s="66" t="str">
        <x:v>动作/资源/变量权限请求</x:v>
      </x:c>
      <x:c r="C26" s="66" t="str">
        <x:v>per operation</x:v>
      </x:c>
      <x:c r="D26" s="66" t="str">
        <x:v>ActionEngine/WritePipeline</x:v>
      </x:c>
      <x:c r="E26" s="66" t="str">
        <x:v>含资源Id与动作Key</x:v>
      </x:c>
      <x:c r="F26" s="66"/>
      <x:c r="G26" s="66"/>
      <x:c r="H26" s="66"/>
    </x:row>
    <x:row r="27">
      <x:c r="A27" s="58" t="str">
        <x:v>AuthorizationService</x:v>
      </x:c>
      <x:c r="B27" s="58" t="str">
        <x:v>权限判定</x:v>
      </x:c>
      <x:c r="C27" s="58" t="str">
        <x:v>Runtime/Application</x:v>
      </x:c>
      <x:c r="D27" s="58" t="str">
        <x:v>宿主/内置</x:v>
      </x:c>
      <x:c r="E27" s="58" t="str">
        <x:v>Specification/Policy</x:v>
      </x:c>
      <x:c r="F27" s="58"/>
      <x:c r="G27" s="58"/>
      <x:c r="H27" s="58"/>
    </x:row>
    <x:row r="28">
      <x:c r="A28" s="66" t="str">
        <x:v>WriteRequest</x:v>
      </x:c>
      <x:c r="B28" s="66" t="str">
        <x:v>一次写入不可变请求</x:v>
      </x:c>
      <x:c r="C28" s="66" t="str">
        <x:v>per write</x:v>
      </x:c>
      <x:c r="D28" s="66" t="str">
        <x:v>ActionEngine/Recipe/Debug</x:v>
      </x:c>
      <x:c r="E28" s="66" t="str">
        <x:v>带CorrelationId</x:v>
      </x:c>
      <x:c r="F28" s="66"/>
      <x:c r="G28" s="66"/>
      <x:c r="H28" s="66"/>
    </x:row>
    <x:row r="29">
      <x:c r="A29" s="58" t="str">
        <x:v>WritePipeline</x:v>
      </x:c>
      <x:c r="B29" s="58" t="str">
        <x:v>统一安全写入口</x:v>
      </x:c>
      <x:c r="C29" s="58" t="str">
        <x:v>Runtime session</x:v>
      </x:c>
      <x:c r="D29" s="58" t="str">
        <x:v>Runtime.Core/Security</x:v>
      </x:c>
      <x:c r="E29" s="58" t="str">
        <x:v>Chain</x:v>
      </x:c>
      <x:c r="F29" s="58"/>
      <x:c r="G29" s="58"/>
      <x:c r="H29" s="58"/>
    </x:row>
    <x:row r="30">
      <x:c r="A30" s="66" t="str">
        <x:v>WritePolicy</x:v>
      </x:c>
      <x:c r="B30" s="66" t="str">
        <x:v>项目/宿主写入策略</x:v>
      </x:c>
      <x:c r="C30" s="66" t="str">
        <x:v>Project/Runtime</x:v>
      </x:c>
      <x:c r="D30" s="66" t="str">
        <x:v>可组合</x:v>
      </x:c>
      <x:c r="E30" s="66" t="str">
        <x:v>禁止全局mutable static</x:v>
      </x:c>
      <x:c r="F30" s="66"/>
      <x:c r="G30" s="66"/>
      <x:c r="H30" s="66"/>
    </x:row>
    <x:row r="31">
      <x:c r="A31" s="58" t="str">
        <x:v>DangerousWritePolicy</x:v>
      </x:c>
      <x:c r="B31" s="58" t="str">
        <x:v>危险点额外约束</x:v>
      </x:c>
      <x:c r="C31" s="58" t="str">
        <x:v>Runtime</x:v>
      </x:c>
      <x:c r="D31" s="58" t="str">
        <x:v>Security</x:v>
      </x:c>
      <x:c r="E31" s="58" t="str">
        <x:v>确认/理由/签名边界</x:v>
      </x:c>
      <x:c r="F31" s="58"/>
      <x:c r="G31" s="58"/>
      <x:c r="H31" s="58"/>
    </x:row>
    <x:row r="32">
      <x:c r="A32" s="66" t="str">
        <x:v>AuthorizationChallenge</x:v>
      </x:c>
      <x:c r="B32" s="66" t="str">
        <x:v>二次确认/审批请求</x:v>
      </x:c>
      <x:c r="C32" s="66" t="str">
        <x:v>per challenge</x:v>
      </x:c>
      <x:c r="D32" s="66" t="str">
        <x:v>Runtime UI/Host</x:v>
      </x:c>
      <x:c r="E32" s="66" t="str">
        <x:v>UI只负责交互</x:v>
      </x:c>
      <x:c r="F32" s="66"/>
      <x:c r="G32" s="66"/>
      <x:c r="H32" s="66"/>
    </x:row>
    <x:row r="33">
      <x:c r="A33" s="58" t="str">
        <x:v>AuditEvent</x:v>
      </x:c>
      <x:c r="B33" s="58" t="str">
        <x:v>不可变安全事件</x:v>
      </x:c>
      <x:c r="C33" s="58" t="str">
        <x:v>per event</x:v>
      </x:c>
      <x:c r="D33" s="58" t="str">
        <x:v>Audit</x:v>
      </x:c>
      <x:c r="E33" s="58" t="str">
        <x:v>Before/Target/Readback/Result</x:v>
      </x:c>
      <x:c r="F33" s="58"/>
      <x:c r="G33" s="58"/>
      <x:c r="H33" s="58"/>
    </x:row>
    <x:row r="34">
      <x:c r="A34" s="66" t="str">
        <x:v>AuditService</x:v>
      </x:c>
      <x:c r="B34" s="66" t="str">
        <x:v>可靠审计队列/Flush</x:v>
      </x:c>
      <x:c r="C34" s="66" t="str">
        <x:v>Application/Runtime</x:v>
      </x:c>
      <x:c r="D34" s="66" t="str">
        <x:v>IAuditStore</x:v>
      </x:c>
      <x:c r="E34" s="66" t="str">
        <x:v>与ILogger分离</x:v>
      </x:c>
      <x:c r="F34" s="66"/>
      <x:c r="G34" s="66"/>
      <x:c r="H34" s="66"/>
    </x:row>
    <x:row r="35">
      <x:c r="A35"/>
      <x:c r="B35"/>
      <x:c r="C35"/>
      <x:c r="D35"/>
      <x:c r="E35"/>
      <x:c r="F35"/>
      <x:c r="G35"/>
      <x:c r="H35"/>
    </x:row>
    <x:row r="36">
      <x:c r="A36"/>
      <x:c r="B36"/>
      <x:c r="C36"/>
      <x:c r="D36"/>
      <x:c r="E36"/>
      <x:c r="F36"/>
      <x:c r="G36"/>
      <x:c r="H36"/>
    </x:row>
    <x:row r="37" ht="24" customHeight="1">
      <x:c r="A37" s="40" t="str">
        <x:v>C. 文件/表达式/插件等非PLC安全边界</x:v>
      </x:c>
      <x:c r="B37" s="40"/>
      <x:c r="C37" s="40"/>
      <x:c r="D37" s="40"/>
      <x:c r="E37" s="40"/>
      <x:c r="F37" s="40"/>
      <x:c r="G37" s="40"/>
      <x:c r="H37" s="40"/>
    </x:row>
    <x:row r="38" ht="28" customHeight="1">
      <x:c r="A38" s="50" t="str">
        <x:v>攻击面</x:v>
      </x:c>
      <x:c r="B38" s="50" t="str">
        <x:v>风险</x:v>
      </x:c>
      <x:c r="C38" s="50" t="str">
        <x:v>控制</x:v>
      </x:c>
      <x:c r="D38" s="50" t="str">
        <x:v>实现位置</x:v>
      </x:c>
      <x:c r="E38" s="50"/>
      <x:c r="F38" s="50"/>
      <x:c r="G38" s="50"/>
      <x:c r="H38" s="50"/>
    </x:row>
    <x:row r="39">
      <x:c r="A39" s="58" t="str">
        <x:v>SVG外部引用</x:v>
      </x:c>
      <x:c r="B39" s="58" t="str">
        <x:v>远程URI/脚本/事件属性</x:v>
      </x:c>
      <x:c r="C39" s="58" t="str">
        <x:v>默认禁止外部URI与脚本；限制data URI/节点数/Path复杂度</x:v>
      </x:c>
      <x:c r="D39" s="58" t="str">
        <x:v>SvgSecurityScanner</x:v>
      </x:c>
      <x:c r="E39" s="58"/>
      <x:c r="F39" s="58"/>
      <x:c r="G39" s="58"/>
      <x:c r="H39" s="58"/>
    </x:row>
    <x:row r="40">
      <x:c r="A40" s="66" t="str">
        <x:v>ZIP工程包</x:v>
      </x:c>
      <x:c r="B40" s="66" t="str">
        <x:v>目录穿越/Zip Bomb</x:v>
      </x:c>
      <x:c r="C40" s="66" t="str">
        <x:v>所有entry验证相对路径；限制文件数/总解压尺寸/单文件尺寸</x:v>
      </x:c>
      <x:c r="D40" s="66" t="str">
        <x:v>ProjectPathUtil/PackageValidator</x:v>
      </x:c>
      <x:c r="E40" s="66"/>
      <x:c r="F40" s="66"/>
      <x:c r="G40" s="66"/>
      <x:c r="H40" s="66"/>
    </x:row>
    <x:row r="41">
      <x:c r="A41" s="58" t="str">
        <x:v>表达式</x:v>
      </x:c>
      <x:c r="B41" s="58" t="str">
        <x:v>反射/IO/网络/无限计算</x:v>
      </x:c>
      <x:c r="C41" s="58" t="str">
        <x:v>白名单AST/函数/操作符；长度、深度、执行预算</x:v>
      </x:c>
      <x:c r="D41" s="58" t="str">
        <x:v>ExpressionCompiler</x:v>
      </x:c>
      <x:c r="E41" s="58"/>
      <x:c r="F41" s="58"/>
      <x:c r="G41" s="58"/>
      <x:c r="H41" s="58"/>
    </x:row>
    <x:row r="42">
      <x:c r="A42" s="66" t="str">
        <x:v>脚本</x:v>
      </x:c>
      <x:c r="B42" s="66" t="str">
        <x:v>任意代码</x:v>
      </x:c>
      <x:c r="C42" s="66" t="str">
        <x:v>后期可选；独立权限、超时、API白名单/必要时进程隔离</x:v>
      </x:c>
      <x:c r="D42" s="66" t="str">
        <x:v>ScriptHost</x:v>
      </x:c>
      <x:c r="E42" s="66"/>
      <x:c r="F42" s="66"/>
      <x:c r="G42" s="66"/>
      <x:c r="H42" s="66"/>
    </x:row>
    <x:row r="43">
      <x:c r="A43" s="58" t="str">
        <x:v>插件</x:v>
      </x:c>
      <x:c r="B43" s="58" t="str">
        <x:v>恶意/不兼容DLL</x:v>
      </x:c>
      <x:c r="C43" s="58" t="str">
        <x:v>Manifest/版本/签名/白名单；异常隔离；不暴露内部对象</x:v>
      </x:c>
      <x:c r="D43" s="58" t="str">
        <x:v>PluginHost</x:v>
      </x:c>
      <x:c r="E43" s="58"/>
      <x:c r="F43" s="58"/>
      <x:c r="G43" s="58"/>
      <x:c r="H43" s="58"/>
    </x:row>
    <x:row r="44">
      <x:c r="A44" s="66" t="str">
        <x:v>工程路径</x:v>
      </x:c>
      <x:c r="B44" s="66" t="str">
        <x:v>绝对路径泄露/覆盖</x:v>
      </x:c>
      <x:c r="C44" s="66" t="str">
        <x:v>只保存相对资源引用；导入时复制进ResourceStore</x:v>
      </x:c>
      <x:c r="D44" s="66" t="str">
        <x:v>ResourceStore</x:v>
      </x:c>
      <x:c r="E44" s="66"/>
      <x:c r="F44" s="66"/>
      <x:c r="G44" s="66"/>
      <x:c r="H44" s="66"/>
    </x:row>
    <x:row r="45">
      <x:c r="A45" s="58" t="str">
        <x:v>在线调试</x:v>
      </x:c>
      <x:c r="B45" s="58" t="str">
        <x:v>误写真实设备</x:v>
      </x:c>
      <x:c r="C45" s="58" t="str">
        <x:v>默认RealWriteEnabled=false；显著状态；危险点二次确认</x:v>
      </x:c>
      <x:c r="D45" s="58" t="str">
        <x:v>RuntimeMode/WritePipeline</x:v>
      </x:c>
      <x:c r="E45" s="58"/>
      <x:c r="F45" s="58"/>
      <x:c r="G45" s="58"/>
      <x:c r="H45" s="58"/>
    </x:row>
    <x:row r="46">
      <x:c r="A46"/>
      <x:c r="B46"/>
      <x:c r="C46"/>
      <x:c r="D46"/>
      <x:c r="E46"/>
      <x:c r="F46"/>
      <x:c r="G46"/>
      <x:c r="H46"/>
    </x:row>
    <x:row r="47">
      <x:c r="A47"/>
      <x:c r="B47"/>
      <x:c r="C47"/>
      <x:c r="D47"/>
      <x:c r="E47"/>
      <x:c r="F47"/>
      <x:c r="G47"/>
      <x:c r="H47"/>
    </x:row>
    <x:row r="48">
      <x:c r="A48" s="66" t="str">
        <x:v>跨域安全与ICS运行约束</x:v>
      </x:c>
      <x:c r="B48" s="66"/>
      <x:c r="C48" s="66"/>
      <x:c r="D48" s="66"/>
      <x:c r="E48" s="66"/>
      <x:c r="F48" s="66"/>
      <x:c r="G48" s="66"/>
      <x:c r="H48" s="66"/>
    </x:row>
    <x:row r="49">
      <x:c r="A49" s="58" t="str">
        <x:v>安全主题</x:v>
      </x:c>
      <x:c r="B49" s="58" t="str">
        <x:v>正式规则</x:v>
      </x:c>
      <x:c r="C49" s="58" t="str">
        <x:v>涉及域</x:v>
      </x:c>
      <x:c r="D49" s="58" t="str">
        <x:v>实现落点</x:v>
      </x:c>
      <x:c r="E49" s="58" t="str">
        <x:v>审计/诊断</x:v>
      </x:c>
      <x:c r="F49" s="58" t="str">
        <x:v>门禁</x:v>
      </x:c>
      <x:c r="G49" s="58"/>
      <x:c r="H49" s="58"/>
    </x:row>
    <x:row r="50">
      <x:c r="A50" s="66" t="str">
        <x:v>Debug Live Write</x:v>
      </x:c>
      <x:c r="B50" s="66" t="str">
        <x:v>Debug连接真实设备时默认只读；显式RealWriteEnabled+Permission+Profile Policy才能写</x:v>
      </x:c>
      <x:c r="C50" s="66" t="str">
        <x:v>SCADA/Motion/Inspection</x:v>
      </x:c>
      <x:c r="D50" s="66" t="str">
        <x:v>DebugSession + WritePipeline</x:v>
      </x:c>
      <x:c r="E50" s="66" t="str">
        <x:v>Who/Why/Target/Before/After</x:v>
      </x:c>
      <x:c r="F50" s="66" t="str">
        <x:v>未经解锁0写入</x:v>
      </x:c>
      <x:c r="G50" s="66"/>
      <x:c r="H50" s="66"/>
    </x:row>
    <x:row r="51">
      <x:c r="A51" s="58" t="str">
        <x:v>Motion Interlock</x:v>
      </x:c>
      <x:c r="B51" s="58" t="str">
        <x:v>任何Motion/设备动作在Executor前评估Interlock；脚本/Action不能绕过</x:v>
      </x:c>
      <x:c r="C51" s="58" t="str">
        <x:v>Motion</x:v>
      </x:c>
      <x:c r="D51" s="58" t="str">
        <x:v>IInterlockService</x:v>
      </x:c>
      <x:c r="E51" s="58" t="str">
        <x:v>FailedRule/Values/Override reason</x:v>
      </x:c>
      <x:c r="F51" s="58" t="str">
        <x:v>故障注入</x:v>
      </x:c>
      <x:c r="G51" s="58"/>
      <x:c r="H51" s="58"/>
    </x:row>
    <x:row r="52">
      <x:c r="A52" s="66" t="str">
        <x:v>Dangerous Device</x:v>
      </x:c>
      <x:c r="B52" s="66" t="str">
        <x:v>X-Ray On/高压/运动/机器人等可配置危险动作级别</x:v>
      </x:c>
      <x:c r="C52" s="66" t="str">
        <x:v>Motion/SCADA</x:v>
      </x:c>
      <x:c r="D52" s="66" t="str">
        <x:v>DangerousOperationPolicy</x:v>
      </x:c>
      <x:c r="E52" s="66" t="str">
        <x:v>双确认/权限/审计按策略</x:v>
      </x:c>
      <x:c r="F52" s="66" t="str">
        <x:v>策略测试</x:v>
      </x:c>
      <x:c r="G52" s="66"/>
      <x:c r="H52" s="66"/>
    </x:row>
    <x:row r="53">
      <x:c r="A53" s="58" t="str">
        <x:v>Script/Plugin</x:v>
      </x:c>
      <x:c r="B53" s="58" t="str">
        <x:v>脚本与插件只通过窄Runtime API/SDK；生产可要求签名且默认禁危险能力</x:v>
      </x:c>
      <x:c r="C53" s="58" t="str">
        <x:v>全平台</x:v>
      </x:c>
      <x:c r="D53" s="58" t="str">
        <x:v>PluginHost/Runtime.Script/Security</x:v>
      </x:c>
      <x:c r="E53" s="58" t="str">
        <x:v>PluginId/ScriptId/Capability</x:v>
      </x:c>
      <x:c r="F53" s="58" t="str">
        <x:v>Dependency/security tests</x:v>
      </x:c>
      <x:c r="G53" s="58"/>
      <x:c r="H53" s="58"/>
    </x:row>
    <x:row r="54">
      <x:c r="A54" s="66" t="str">
        <x:v>Secrets</x:v>
      </x:c>
      <x:c r="B54" s="66" t="str">
        <x:v>密码/Token/证书只保存SecretRef，部署注入</x:v>
      </x:c>
      <x:c r="C54" s="66" t="str">
        <x:v>Integration/Deployment</x:v>
      </x:c>
      <x:c r="D54" s="66" t="str">
        <x:v>SecretProvider</x:v>
      </x:c>
      <x:c r="E54" s="66" t="str">
        <x:v>Access audit</x:v>
      </x:c>
      <x:c r="F54" s="66" t="str">
        <x:v>工程JSON扫描0明文</x:v>
      </x:c>
      <x:c r="G54" s="66"/>
      <x:c r="H54" s="66"/>
    </x:row>
    <x:row r="55">
      <x:c r="A55" s="58" t="str">
        <x:v>Remote/Operations</x:v>
      </x:c>
      <x:c r="B55" s="58" t="str">
        <x:v>远程查看默认只读；远程写入需要独立策略和审计</x:v>
      </x:c>
      <x:c r="C55" s="58" t="str">
        <x:v>Operations</x:v>
      </x:c>
      <x:c r="D55" s="58" t="str">
        <x:v>Remote gateway/Security</x:v>
      </x:c>
      <x:c r="E55" s="58" t="str">
        <x:v>User/Station/Command</x:v>
      </x:c>
      <x:c r="F55" s="58" t="str">
        <x:v>安全评审</x:v>
      </x:c>
      <x:c r="G55" s="58"/>
      <x:c r="H55" s="58"/>
    </x:row>
    <x:row r="56">
      <x:c r="A56"/>
      <x:c r="B56"/>
      <x:c r="C56"/>
      <x:c r="D56"/>
      <x:c r="E56"/>
      <x:c r="F56"/>
      <x:c r="G56"/>
      <x:c r="H56"/>
    </x:row>
    <x:row r="57" ht="24" customHeight="1">
      <x:c r="A57" s="40" t="str">
        <x:v>G. Secret / Credential 基线</x:v>
      </x:c>
      <x:c r="B57" s="40"/>
      <x:c r="C57" s="40"/>
      <x:c r="D57" s="40"/>
      <x:c r="E57" s="40"/>
      <x:c r="F57" s="40"/>
      <x:c r="G57" s="40"/>
      <x:c r="H57" s="40"/>
    </x:row>
    <x:row r="58" ht="28" customHeight="1">
      <x:c r="A58" s="50" t="str">
        <x:v>主题</x:v>
      </x:c>
      <x:c r="B58" s="50" t="str">
        <x:v>正式规则</x:v>
      </x:c>
      <x:c r="C58" s="50" t="str">
        <x:v>目的</x:v>
      </x:c>
      <x:c r="D58" s="50" t="str">
        <x:v>实现建议</x:v>
      </x:c>
      <x:c r="E58" s="50" t="str">
        <x:v>禁止</x:v>
      </x:c>
      <x:c r="F58" s="50" t="str">
        <x:v>验证</x:v>
      </x:c>
      <x:c r="G58" s="50"/>
      <x:c r="H58" s="50"/>
    </x:row>
    <x:row r="59">
      <x:c r="A59" s="66" t="str">
        <x:v>SecretRef</x:v>
      </x:c>
      <x:c r="B59" s="66" t="str">
        <x:v>Project/Profile仅保存SecretRef，不保存密码/Token明文</x:v>
      </x:c>
      <x:c r="C59" s="66" t="str">
        <x:v>工程可分享/可审计</x:v>
      </x:c>
      <x:c r="D59" s="66" t="str">
        <x:v>OS Credential Store/公司Secret服务/安全文件存储Adapter</x:v>
      </x:c>
      <x:c r="E59" s="66" t="str">
        <x:v>JSON明文保存密码/API Key</x:v>
      </x:c>
      <x:c r="F59" s="66" t="str">
        <x:v>Secret scan</x:v>
      </x:c>
      <x:c r="G59" s="66"/>
      <x:c r="H59" s="66"/>
    </x:row>
    <x:row r="60">
      <x:c r="A60" s="58" t="str">
        <x:v>CertificateRef</x:v>
      </x:c>
      <x:c r="B60" s="58" t="str">
        <x:v>证书只保存Thumbprint/Store位置/逻辑Id</x:v>
      </x:c>
      <x:c r="C60" s="58" t="str">
        <x:v>远程/OPC/中心通信安全</x:v>
      </x:c>
      <x:c r="D60" s="58" t="str">
        <x:v>Certificate provider</x:v>
      </x:c>
      <x:c r="E60" s="58" t="str">
        <x:v>把PFX密码写工程</x:v>
      </x:c>
      <x:c r="F60" s="58" t="str">
        <x:v>Security test</x:v>
      </x:c>
      <x:c r="G60" s="58"/>
      <x:c r="H60" s="58"/>
    </x:row>
    <x:row r="61">
      <x:c r="A61" s="66" t="str">
        <x:v>Rotation</x:v>
      </x:c>
      <x:c r="B61" s="66" t="str">
        <x:v>Credential可替换而Definition Id不变</x:v>
      </x:c>
      <x:c r="C61" s="66" t="str">
        <x:v>支持现场换证/换密钥</x:v>
      </x:c>
      <x:c r="D61" s="66" t="str">
        <x:v>Provider按Ref解析当前Secret</x:v>
      </x:c>
      <x:c r="E61" s="66" t="str">
        <x:v>把Secret版本耦合业务Definition</x:v>
      </x:c>
      <x:c r="F61" s="66" t="str">
        <x:v>Rotation drill</x:v>
      </x:c>
      <x:c r="G61" s="66"/>
      <x:c r="H61" s="66"/>
    </x:row>
    <x:row r="63">
      <x:c r="A63" t="str">
        <x:v>H. 历史 Controlled Write / Hardware Command（V6.4已做实）</x:v>
      </x:c>
      <x:c r="B63"/>
      <x:c r="C63"/>
      <x:c r="D63"/>
      <x:c r="E63"/>
      <x:c r="F63"/>
    </x:row>
    <x:row r="64">
      <x:c r="A64" t="str">
        <x:v>主题</x:v>
      </x:c>
      <x:c r="B64" t="str">
        <x:v>统一链路</x:v>
      </x:c>
      <x:c r="C64" t="str">
        <x:v>关键数据</x:v>
      </x:c>
      <x:c r="D64" t="str">
        <x:v>门禁/步骤</x:v>
      </x:c>
      <x:c r="E64" t="str">
        <x:v>关键规则</x:v>
      </x:c>
      <x:c r="F64" t="str">
        <x:v>DesignRef</x:v>
      </x:c>
    </x:row>
    <x:row r="65">
      <x:c r="A65" t="str">
        <x:v>VariableWrite</x:v>
      </x:c>
      <x:c r="B65" t="str">
        <x:v>Action/Graph/UI→WriteRequest→WritePipeline→IVariableProvider.Write→Readback</x:v>
      </x:c>
      <x:c r="C65" t="str">
        <x:v>VariableId/Value/ExpectedType/Reason/Correlation</x:v>
      </x:c>
      <x:c r="D65" t="str">
        <x:v>Mode/Auth/Permission/Type/Range/Interlock/Policy/Audit/Provider/Readback</x:v>
      </x:c>
      <x:c r="E65" t="str">
        <x:v>拒绝/失败必须有结构化结果</x:v>
      </x:c>
      <x:c r="F65" t="str">
        <x:v>46</x:v>
      </x:c>
    </x:row>
    <x:row r="66">
      <x:c r="A66" t="str">
        <x:v>HardwareCommand</x:v>
      </x:c>
      <x:c r="B66" t="str">
        <x:v>Motion/Robot/Device命令同样进入HardwareCommandPolicy/Resource/Interlock链</x:v>
      </x:c>
      <x:c r="C66" t="str">
        <x:v>ResourceId/Command/Risk/Parameters</x:v>
      </x:c>
      <x:c r="D66" t="str">
        <x:v>Capability→Mode→Authorization→Lease→Interlock→Action→Verify→Audit</x:v>
      </x:c>
      <x:c r="E66" t="str">
        <x:v>SafetyRelated不允许普通Write绕过</x:v>
      </x:c>
      <x:c r="F66" t="str">
        <x:v>47</x:v>
      </x:c>
    </x:row>
    <x:row r="67">
      <x:c r="A67" t="str">
        <x:v>LocalCache</x:v>
      </x:c>
      <x:c r="B67" t="str">
        <x:v>VariableTable.UpdateVariable/RuntimeStore.Set仅更新本地状态</x:v>
      </x:c>
      <x:c r="C67" t="str">
        <x:v>Value/Quality</x:v>
      </x:c>
      <x:c r="D67" t="str">
        <x:v>不得返回设备写成功语义</x:v>
      </x:c>
      <x:c r="E67" t="str">
        <x:v>避免缓存成功=PLC成功</x:v>
      </x:c>
      <x:c r="F67" t="str">
        <x:v>46</x:v>
      </x:c>
    </x:row>
    <x:row r="68">
      <x:c r="A68" t="str">
        <x:v>Readback</x:v>
      </x:c>
      <x:c r="B68" t="str">
        <x:v>可读设备写后按策略回读/状态确认</x:v>
      </x:c>
      <x:c r="C68" t="str">
        <x:v>ActualValue/Quality/Timestamp</x:v>
      </x:c>
      <x:c r="D68" t="str">
        <x:v>WriteAck→Readback/Verify→AuditResult</x:v>
      </x:c>
      <x:c r="E68" t="str">
        <x:v>不支持回读需显式Unknown/Unverified</x:v>
      </x:c>
      <x:c r="F68" t="str">
        <x:v>46</x:v>
      </x:c>
    </x:row>
    <x:row r="69">
      <x:c r="A69" t="str">
        <x:v>Sequence/Audit</x:v>
      </x:c>
      <x:c r="B69" t="str">
        <x:v>写请求与结果关联</x:v>
      </x:c>
      <x:c r="C69" t="str">
        <x:v>CorrelationId/Sequence/User/Reason/Target/Policy/Result</x:v>
      </x:c>
      <x:c r="D69" t="str">
        <x:v>全链路记录</x:v>
      </x:c>
      <x:c r="E69" t="str">
        <x:v>便于现场追溯</x:v>
      </x:c>
      <x:c r="F69" t="str">
        <x:v>46</x:v>
      </x:c>
    </x:row>
    <x:row r="70">
      <x:c r="A70" t="str">
        <x:v>RealWrite Gate</x:v>
      </x:c>
      <x:c r="B70" t="str">
        <x:v>Debug-Live默认关闭</x:v>
      </x:c>
      <x:c r="C70" t="str">
        <x:v>Session RealWriteEnabled + TTL/Reason</x:v>
      </x:c>
      <x:c r="D70" t="str">
        <x:v>显式解锁；Run按发布策略</x:v>
      </x:c>
      <x:c r="E70" t="str">
        <x:v>客户端隐藏按钮不构成安全</x:v>
      </x:c>
      <x:c r="F70" t="str">
        <x:v>45/46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38" hidden="0" customWidth="1"/>
    <x:col min="4" max="4" width="34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</x:cols>
  <x:sheetData>
    <x:row r="1" ht="30" customHeight="1">
      <x:c r="A1" s="8" t="str">
        <x:v>CxVisual SVG / Resource / Style / Theme</x:v>
      </x:c>
      <x:c r="B1" s="8"/>
      <x:c r="C1" s="8"/>
      <x:c r="D1" s="8"/>
      <x:c r="E1" s="8"/>
      <x:c r="F1" s="8"/>
      <x:c r="G1" s="8"/>
      <x:c r="H1" s="8"/>
    </x:row>
    <x:row r="2" ht="38" customHeight="1">
      <x:c r="A2" s="16" t="str">
        <x:v>统一SVG导入导出、资源内容寻址、Style/Theme Token与复杂SVG兼容策略。</x:v>
      </x:c>
      <x:c r="B2" s="16"/>
      <x:c r="C2" s="16"/>
      <x:c r="D2" s="16"/>
      <x:c r="E2" s="16"/>
      <x:c r="F2" s="16"/>
      <x:c r="G2" s="16"/>
      <x:c r="H2" s="16"/>
    </x:row>
    <x:row r="3">
      <x:c r="A3" s="30" t="str">
        <x:v>本页唯一权威</x:v>
      </x:c>
      <x:c r="B3" s="31" t="str">
        <x:v>SVG支持范围、安全导入、Resource Store/Cache、Style/Theme与导出规则。</x:v>
      </x:c>
      <x:c r="C3" s="31"/>
      <x:c r="D3" s="31"/>
      <x:c r="E3" s="31"/>
      <x:c r="F3" s="31"/>
      <x:c r="G3" s="31"/>
      <x:c r="H3" s="31"/>
    </x:row>
    <x:row r="4">
      <x:c r="A4" s="30" t="str">
        <x:v>不在本页维护</x:v>
      </x:c>
      <x:c r="B4" s="31" t="str">
        <x:v>基础图元定义（见01）、Renderer实现（见08）、Symbol语义（见11）。</x:v>
      </x:c>
      <x:c r="C4" s="31"/>
      <x:c r="D4" s="31"/>
      <x:c r="E4" s="31"/>
      <x:c r="F4" s="31"/>
      <x:c r="G4" s="31"/>
      <x:c r="H4" s="31"/>
    </x:row>
    <x:row r="5">
      <x:c r="A5" s="30" t="str">
        <x:v>关联分页</x:v>
      </x:c>
      <x:c r="B5" s="31" t="str">
        <x:v>01_图元体系；08_Renderer与几何系统；11_Symbol体系。</x:v>
      </x:c>
      <x:c r="C5" s="31"/>
      <x:c r="D5" s="31"/>
      <x:c r="E5" s="31"/>
      <x:c r="F5" s="31"/>
      <x:c r="G5" s="31"/>
      <x:c r="H5" s="31"/>
    </x:row>
    <x:row r="6">
      <x:c r="A6"/>
      <x:c r="B6"/>
      <x:c r="C6"/>
      <x:c r="D6"/>
      <x:c r="E6"/>
      <x:c r="F6"/>
      <x:c r="G6"/>
      <x:c r="H6"/>
    </x:row>
    <x:row r="7" ht="24" customHeight="1">
      <x:c r="A7" s="40" t="str">
        <x:v>A. SVG元素/特性支持策略</x:v>
      </x:c>
      <x:c r="B7" s="40"/>
      <x:c r="C7" s="40"/>
      <x:c r="D7" s="40"/>
      <x:c r="E7" s="40"/>
      <x:c r="F7" s="40"/>
      <x:c r="G7" s="40"/>
      <x:c r="H7" s="40"/>
    </x:row>
    <x:row r="8" ht="28" customHeight="1">
      <x:c r="A8" s="50" t="str">
        <x:v>SVG特性</x:v>
      </x:c>
      <x:c r="B8" s="50" t="str">
        <x:v>支持等级</x:v>
      </x:c>
      <x:c r="C8" s="50" t="str">
        <x:v>平台映射</x:v>
      </x:c>
      <x:c r="D8" s="50" t="str">
        <x:v>用途/语义</x:v>
      </x:c>
      <x:c r="E8" s="50" t="str">
        <x:v>规则</x:v>
      </x:c>
      <x:c r="F8" s="50"/>
      <x:c r="G8" s="50"/>
      <x:c r="H8" s="50"/>
    </x:row>
    <x:row r="9">
      <x:c r="A9" s="58" t="str">
        <x:v>&lt;svg&gt;/viewBox</x:v>
      </x:c>
      <x:c r="B9" s="58" t="str">
        <x:v>Native/映射</x:v>
      </x:c>
      <x:c r="C9" s="58" t="str">
        <x:v>SvgImportContext / Primitive tree</x:v>
      </x:c>
      <x:c r="D9" s="58" t="str">
        <x:v>坐标系/尺寸</x:v>
      </x:c>
      <x:c r="E9" s="58" t="str">
        <x:v>保留viewBox语义</x:v>
      </x:c>
      <x:c r="F9" s="58"/>
      <x:c r="G9" s="58"/>
      <x:c r="H9" s="58"/>
    </x:row>
    <x:row r="10">
      <x:c r="A10" s="66" t="str">
        <x:v>&lt;g&gt;</x:v>
      </x:c>
      <x:c r="B10" s="66" t="str">
        <x:v>Native/映射</x:v>
      </x:c>
      <x:c r="C10" s="66" t="str">
        <x:v>Container/Group</x:v>
      </x:c>
      <x:c r="D10" s="66" t="str">
        <x:v>层级+transform</x:v>
      </x:c>
      <x:c r="E10" s="66" t="str">
        <x:v>id/class保留metadata</x:v>
      </x:c>
      <x:c r="F10" s="66"/>
      <x:c r="G10" s="66"/>
      <x:c r="H10" s="66"/>
    </x:row>
    <x:row r="11">
      <x:c r="A11" s="58" t="str">
        <x:v>&lt;rect&gt;/&lt;circle&gt;/&lt;ellipse&gt;/&lt;line&gt;</x:v>
      </x:c>
      <x:c r="B11" s="58" t="str">
        <x:v>Native</x:v>
      </x:c>
      <x:c r="C11" s="58" t="str">
        <x:v>对应GeometryModel</x:v>
      </x:c>
      <x:c r="D11" s="58" t="str">
        <x:v>基础几何</x:v>
      </x:c>
      <x:c r="E11" s="58" t="str">
        <x:v>可编辑</x:v>
      </x:c>
      <x:c r="F11" s="58"/>
      <x:c r="G11" s="58"/>
      <x:c r="H11" s="58"/>
    </x:row>
    <x:row r="12">
      <x:c r="A12" s="66" t="str">
        <x:v>&lt;polyline&gt;/&lt;polygon&gt;</x:v>
      </x:c>
      <x:c r="B12" s="66" t="str">
        <x:v>Native</x:v>
      </x:c>
      <x:c r="C12" s="66" t="str">
        <x:v>Polyline/Polygon</x:v>
      </x:c>
      <x:c r="D12" s="66" t="str">
        <x:v>Points</x:v>
      </x:c>
      <x:c r="E12" s="66" t="str">
        <x:v>可节点编辑</x:v>
      </x:c>
      <x:c r="F12" s="66"/>
      <x:c r="G12" s="66"/>
      <x:c r="H12" s="66"/>
    </x:row>
    <x:row r="13">
      <x:c r="A13" s="58" t="str">
        <x:v>&lt;path&gt;</x:v>
      </x:c>
      <x:c r="B13" s="58" t="str">
        <x:v>Native</x:v>
      </x:c>
      <x:c r="C13" s="58" t="str">
        <x:v>PathGeometryModel</x:v>
      </x:c>
      <x:c r="D13" s="58" t="str">
        <x:v>M/L/H/V/C/S/Q/T/A/Z</x:v>
      </x:c>
      <x:c r="E13" s="58" t="str">
        <x:v>弧段/Bezier保持语义</x:v>
      </x:c>
      <x:c r="F13" s="58"/>
      <x:c r="G13" s="58"/>
      <x:c r="H13" s="58"/>
    </x:row>
    <x:row r="14">
      <x:c r="A14" s="66" t="str">
        <x:v>&lt;text&gt;/&lt;tspan&gt;</x:v>
      </x:c>
      <x:c r="B14" s="66" t="str">
        <x:v>Convert/部分</x:v>
      </x:c>
      <x:c r="C14" s="66" t="str">
        <x:v>TextElement/TextRun</x:v>
      </x:c>
      <x:c r="D14" s="66" t="str">
        <x:v>字体/布局</x:v>
      </x:c>
      <x:c r="E14" s="66" t="str">
        <x:v>字体差异Compatibility warning</x:v>
      </x:c>
      <x:c r="F14" s="66"/>
      <x:c r="G14" s="66"/>
      <x:c r="H14" s="66"/>
    </x:row>
    <x:row r="15">
      <x:c r="A15" s="58" t="str">
        <x:v>&lt;image&gt;</x:v>
      </x:c>
      <x:c r="B15" s="58" t="str">
        <x:v>Convert</x:v>
      </x:c>
      <x:c r="C15" s="58" t="str">
        <x:v>ImageElement+ResourceEntry</x:v>
      </x:c>
      <x:c r="D15" s="58" t="str">
        <x:v>内嵌/相对资源</x:v>
      </x:c>
      <x:c r="E15" s="58" t="str">
        <x:v>外部URI默认禁止</x:v>
      </x:c>
      <x:c r="F15" s="58"/>
      <x:c r="G15" s="58"/>
      <x:c r="H15" s="58"/>
    </x:row>
    <x:row r="16">
      <x:c r="A16" s="66" t="str">
        <x:v>fill/stroke/opacity</x:v>
      </x:c>
      <x:c r="B16" s="66" t="str">
        <x:v>Native</x:v>
      </x:c>
      <x:c r="C16" s="66" t="str">
        <x:v>StyleModel</x:v>
      </x:c>
      <x:c r="D16" s="66" t="str">
        <x:v>颜色/宽度/透明度</x:v>
      </x:c>
      <x:c r="E16" s="66" t="str">
        <x:v>CSS级联需归一化</x:v>
      </x:c>
      <x:c r="F16" s="66"/>
      <x:c r="G16" s="66"/>
      <x:c r="H16" s="66"/>
    </x:row>
    <x:row r="17">
      <x:c r="A17" s="58" t="str">
        <x:v>linear/radialGradient</x:v>
      </x:c>
      <x:c r="B17" s="58" t="str">
        <x:v>Convert</x:v>
      </x:c>
      <x:c r="C17" s="58" t="str">
        <x:v>BrushModel.Gradient</x:v>
      </x:c>
      <x:c r="D17" s="58" t="str">
        <x:v>渐变</x:v>
      </x:c>
      <x:c r="E17" s="58" t="str">
        <x:v>复杂spread/transform报告</x:v>
      </x:c>
      <x:c r="F17" s="58"/>
      <x:c r="G17" s="58"/>
      <x:c r="H17" s="58"/>
    </x:row>
    <x:row r="18">
      <x:c r="A18" s="66" t="str">
        <x:v>clipPath</x:v>
      </x:c>
      <x:c r="B18" s="66" t="str">
        <x:v>Convert/优先</x:v>
      </x:c>
      <x:c r="C18" s="66" t="str">
        <x:v>ClipGeometry</x:v>
      </x:c>
      <x:c r="D18" s="66" t="str">
        <x:v>裁剪</x:v>
      </x:c>
      <x:c r="E18" s="66" t="str">
        <x:v>超复杂可整体SVG fallback</x:v>
      </x:c>
      <x:c r="F18" s="66"/>
      <x:c r="G18" s="66"/>
      <x:c r="H18" s="66"/>
    </x:row>
    <x:row r="19">
      <x:c r="A19" s="58" t="str">
        <x:v>mask</x:v>
      </x:c>
      <x:c r="B19" s="58" t="str">
        <x:v>Partial/Fallback</x:v>
      </x:c>
      <x:c r="C19" s="58" t="str">
        <x:v>Mask model/整体SVG</x:v>
      </x:c>
      <x:c r="D19" s="58" t="str">
        <x:v>蒙版</x:v>
      </x:c>
      <x:c r="E19" s="58" t="str">
        <x:v>不支持项必须报告</x:v>
      </x:c>
      <x:c r="F19" s="58"/>
      <x:c r="G19" s="58"/>
      <x:c r="H19" s="58"/>
    </x:row>
    <x:row r="20">
      <x:c r="A20" s="66" t="str">
        <x:v>filter</x:v>
      </x:c>
      <x:c r="B20" s="66" t="str">
        <x:v>Fallback</x:v>
      </x:c>
      <x:c r="C20" s="66" t="str">
        <x:v>整体SVG/栅格</x:v>
      </x:c>
      <x:c r="D20" s="66" t="str">
        <x:v>滤镜效果</x:v>
      </x:c>
      <x:c r="E20" s="66" t="str">
        <x:v>不静默丢效果</x:v>
      </x:c>
      <x:c r="F20" s="66"/>
      <x:c r="G20" s="66"/>
      <x:c r="H20" s="66"/>
    </x:row>
    <x:row r="21">
      <x:c r="A21" s="58" t="str">
        <x:v>&lt;use&gt;/&lt;symbol&gt;</x:v>
      </x:c>
      <x:c r="B21" s="58" t="str">
        <x:v>Convert</x:v>
      </x:c>
      <x:c r="C21" s="58" t="str">
        <x:v>SymbolDefinition/Instance（当保留复用语义时）</x:v>
      </x:c>
      <x:c r="D21" s="58" t="str">
        <x:v>复用</x:v>
      </x:c>
      <x:c r="E21" s="58" t="str">
        <x:v>解析引用后保留语义</x:v>
      </x:c>
      <x:c r="F21" s="58"/>
      <x:c r="G21" s="58"/>
      <x:c r="H21" s="58"/>
    </x:row>
    <x:row r="22">
      <x:c r="A22" s="66" t="str">
        <x:v>CSS class/style</x:v>
      </x:c>
      <x:c r="B22" s="66" t="str">
        <x:v>Normalize</x:v>
      </x:c>
      <x:c r="C22" s="66" t="str">
        <x:v>StyleClass/InlineStyle</x:v>
      </x:c>
      <x:c r="D22" s="66" t="str">
        <x:v>样式级联</x:v>
      </x:c>
      <x:c r="E22" s="66" t="str">
        <x:v>导入时归一化</x:v>
      </x:c>
      <x:c r="F22" s="66"/>
      <x:c r="G22" s="66"/>
      <x:c r="H22" s="66"/>
    </x:row>
    <x:row r="23">
      <x:c r="A23" s="58" t="str">
        <x:v>script/on* event</x:v>
      </x:c>
      <x:c r="B23" s="58" t="str">
        <x:v>Block</x:v>
      </x:c>
      <x:c r="C23" s="58" t="str">
        <x:v>无</x:v>
      </x:c>
      <x:c r="D23" s="58" t="str">
        <x:v>安全</x:v>
      </x:c>
      <x:c r="E23" s="58" t="str">
        <x:v>全部剥离/阻止</x:v>
      </x:c>
      <x:c r="F23" s="58"/>
      <x:c r="G23" s="58"/>
      <x:c r="H23" s="58"/>
    </x:row>
    <x:row r="24">
      <x:c r="A24" s="66" t="str">
        <x:v>external URL</x:v>
      </x:c>
      <x:c r="B24" s="66" t="str">
        <x:v>Block by default</x:v>
      </x:c>
      <x:c r="C24" s="66" t="str">
        <x:v>ResourceImportPolicy</x:v>
      </x:c>
      <x:c r="D24" s="66" t="str">
        <x:v>安全/离线</x:v>
      </x:c>
      <x:c r="E24" s="66" t="str">
        <x:v>受信策略才允许</x:v>
      </x:c>
      <x:c r="F24" s="66"/>
      <x:c r="G24" s="66"/>
      <x:c r="H24" s="66"/>
    </x:row>
    <x:row r="25">
      <x:c r="A25"/>
      <x:c r="B25"/>
      <x:c r="C25"/>
      <x:c r="D25"/>
      <x:c r="E25"/>
      <x:c r="F25"/>
      <x:c r="G25"/>
      <x:c r="H25"/>
    </x:row>
    <x:row r="26">
      <x:c r="A26"/>
      <x:c r="B26"/>
      <x:c r="C26"/>
      <x:c r="D26"/>
      <x:c r="E26"/>
      <x:c r="F26"/>
      <x:c r="G26"/>
      <x:c r="H26"/>
    </x:row>
    <x:row r="27" ht="24" customHeight="1">
      <x:c r="A27" s="40" t="str">
        <x:v>B. Resource 子系统</x:v>
      </x:c>
      <x:c r="B27" s="40"/>
      <x:c r="C27" s="40"/>
      <x:c r="D27" s="40"/>
      <x:c r="E27" s="40"/>
      <x:c r="F27" s="40"/>
      <x:c r="G27" s="40"/>
      <x:c r="H27" s="40"/>
    </x:row>
    <x:row r="28" ht="28" customHeight="1">
      <x:c r="A28" s="50" t="str">
        <x:v>对象/机制</x:v>
      </x:c>
      <x:c r="B28" s="50" t="str">
        <x:v>关键字段/方法</x:v>
      </x:c>
      <x:c r="C28" s="50" t="str">
        <x:v>职责</x:v>
      </x:c>
      <x:c r="D28" s="50" t="str">
        <x:v>规则</x:v>
      </x:c>
      <x:c r="E28" s="50"/>
      <x:c r="F28" s="50"/>
      <x:c r="G28" s="50"/>
      <x:c r="H28" s="50"/>
    </x:row>
    <x:row r="29">
      <x:c r="A29" s="58" t="str">
        <x:v>ResourceEntry</x:v>
      </x:c>
      <x:c r="B29" s="58" t="str">
        <x:v>Id/Kind/Hash/RelativePath/OriginalName/Metadata</x:v>
      </x:c>
      <x:c r="C29" s="58" t="str">
        <x:v>工程持久化索引</x:v>
      </x:c>
      <x:c r="D29" s="58" t="str">
        <x:v>不保存绝对路径</x:v>
      </x:c>
      <x:c r="E29" s="58"/>
      <x:c r="F29" s="58"/>
      <x:c r="G29" s="58"/>
      <x:c r="H29" s="58"/>
    </x:row>
    <x:row r="30">
      <x:c r="A30" s="66" t="str">
        <x:v>ResourceStore</x:v>
      </x:c>
      <x:c r="B30" s="66" t="str">
        <x:v>Import/Open/RemoveUnused/Enumerate</x:v>
      </x:c>
      <x:c r="C30" s="66" t="str">
        <x:v>工程级Repository</x:v>
      </x:c>
      <x:c r="D30" s="66" t="str">
        <x:v>导入复制进工程</x:v>
      </x:c>
      <x:c r="E30" s="66"/>
      <x:c r="F30" s="66"/>
      <x:c r="G30" s="66"/>
      <x:c r="H30" s="66"/>
    </x:row>
    <x:row r="31">
      <x:c r="A31" s="58" t="str">
        <x:v>Content Hash</x:v>
      </x:c>
      <x:c r="B31" s="58" t="str">
        <x:v>SHA-256</x:v>
      </x:c>
      <x:c r="C31" s="58" t="str">
        <x:v>去重/校验/发布Manifest</x:v>
      </x:c>
      <x:c r="D31" s="58" t="str">
        <x:v>HashUtil static</x:v>
      </x:c>
      <x:c r="E31" s="58"/>
      <x:c r="F31" s="58"/>
      <x:c r="G31" s="58"/>
      <x:c r="H31" s="58"/>
    </x:row>
    <x:row r="32">
      <x:c r="A32" s="66" t="str">
        <x:v>ResourceId</x:v>
      </x:c>
      <x:c r="B32" s="66" t="str">
        <x:v>稳定Id或hash派生</x:v>
      </x:c>
      <x:c r="C32" s="66" t="str">
        <x:v>Element只引用Id</x:v>
      </x:c>
      <x:c r="D32" s="66" t="str">
        <x:v>文件名改变不破引用</x:v>
      </x:c>
      <x:c r="E32" s="66"/>
      <x:c r="F32" s="66"/>
      <x:c r="G32" s="66"/>
      <x:c r="H32" s="66"/>
    </x:row>
    <x:row r="33">
      <x:c r="A33" s="58" t="str">
        <x:v>ResourceCache</x:v>
      </x:c>
      <x:c r="B33" s="58" t="str">
        <x:v>DecodedImage/Geometry/SVG派生对象</x:v>
      </x:c>
      <x:c r="C33" s="58" t="str">
        <x:v>Runtime/Designer缓存</x:v>
      </x:c>
      <x:c r="D33" s="58" t="str">
        <x:v>容量上限+LRU/Dispose</x:v>
      </x:c>
      <x:c r="E33" s="58"/>
      <x:c r="F33" s="58"/>
      <x:c r="G33" s="58"/>
      <x:c r="H33" s="58"/>
    </x:row>
    <x:row r="34">
      <x:c r="A34" s="66" t="str">
        <x:v>MissingResource</x:v>
      </x:c>
      <x:c r="B34" s="66" t="str">
        <x:v>Placeholder+Diagnostic</x:v>
      </x:c>
      <x:c r="C34" s="66" t="str">
        <x:v>工程仍可打开</x:v>
      </x:c>
      <x:c r="D34" s="66" t="str">
        <x:v>Publish Strict阻止</x:v>
      </x:c>
      <x:c r="E34" s="66"/>
      <x:c r="F34" s="66"/>
      <x:c r="G34" s="66"/>
      <x:c r="H34" s="66"/>
    </x:row>
    <x:row r="35">
      <x:c r="A35" s="58" t="str">
        <x:v>Resource GC</x:v>
      </x:c>
      <x:c r="B35" s="58" t="str">
        <x:v>扫描引用→候选未使用→用户确认删除</x:v>
      </x:c>
      <x:c r="C35" s="58" t="str">
        <x:v>设计态维护</x:v>
      </x:c>
      <x:c r="D35" s="58" t="str">
        <x:v>不自动误删插件资源</x:v>
      </x:c>
      <x:c r="E35" s="58"/>
      <x:c r="F35" s="58"/>
      <x:c r="G35" s="58"/>
      <x:c r="H35" s="58"/>
    </x:row>
    <x:row r="36">
      <x:c r="A36"/>
      <x:c r="B36"/>
      <x:c r="C36"/>
      <x:c r="D36"/>
      <x:c r="E36"/>
      <x:c r="F36"/>
      <x:c r="G36"/>
      <x:c r="H36"/>
    </x:row>
    <x:row r="37">
      <x:c r="A37"/>
      <x:c r="B37"/>
      <x:c r="C37"/>
      <x:c r="D37"/>
      <x:c r="E37"/>
      <x:c r="F37"/>
      <x:c r="G37"/>
      <x:c r="H37"/>
    </x:row>
    <x:row r="38" ht="24" customHeight="1">
      <x:c r="A38" s="40" t="str">
        <x:v>C. Style / Theme 子系统</x:v>
      </x:c>
      <x:c r="B38" s="40"/>
      <x:c r="C38" s="40"/>
      <x:c r="D38" s="40"/>
      <x:c r="E38" s="40"/>
      <x:c r="F38" s="40"/>
      <x:c r="G38" s="40"/>
      <x:c r="H38" s="40"/>
    </x:row>
    <x:row r="39" ht="28" customHeight="1">
      <x:c r="A39" s="50" t="str">
        <x:v>对象/机制</x:v>
      </x:c>
      <x:c r="B39" s="50" t="str">
        <x:v>内容</x:v>
      </x:c>
      <x:c r="C39" s="50" t="str">
        <x:v>职责</x:v>
      </x:c>
      <x:c r="D39" s="50" t="str">
        <x:v>规则</x:v>
      </x:c>
      <x:c r="E39" s="50"/>
      <x:c r="F39" s="50"/>
      <x:c r="G39" s="50"/>
      <x:c r="H39" s="50"/>
    </x:row>
    <x:row r="40">
      <x:c r="A40" s="66" t="str">
        <x:v>StyleModel</x:v>
      </x:c>
      <x:c r="B40" s="66" t="str">
        <x:v>Fill/Stroke/Text/Opacity等值对象</x:v>
      </x:c>
      <x:c r="C40" s="66" t="str">
        <x:v>元素inline样式</x:v>
      </x:c>
      <x:c r="D40" s="66" t="str">
        <x:v>Core自有值类型</x:v>
      </x:c>
      <x:c r="E40" s="66"/>
      <x:c r="F40" s="66"/>
      <x:c r="G40" s="66"/>
      <x:c r="H40" s="66"/>
    </x:row>
    <x:row r="41">
      <x:c r="A41" s="58" t="str">
        <x:v>StyleClassModel</x:v>
      </x:c>
      <x:c r="B41" s="58" t="str">
        <x:v>Id/BaseStyleId/Properties/StateOverrides</x:v>
      </x:c>
      <x:c r="C41" s="58" t="str">
        <x:v>跨元素复用</x:v>
      </x:c>
      <x:c r="D41" s="58" t="str">
        <x:v>支持继承+Override</x:v>
      </x:c>
      <x:c r="E41" s="58"/>
      <x:c r="F41" s="58"/>
      <x:c r="G41" s="58"/>
      <x:c r="H41" s="58"/>
    </x:row>
    <x:row r="42">
      <x:c r="A42" s="66" t="str">
        <x:v>ThemeModel</x:v>
      </x:c>
      <x:c r="B42" s="66" t="str">
        <x:v>Tokens + StyleClasses</x:v>
      </x:c>
      <x:c r="C42" s="66" t="str">
        <x:v>项目主题</x:v>
      </x:c>
      <x:c r="D42" s="66" t="str">
        <x:v>颜色/字体/状态集中切换</x:v>
      </x:c>
      <x:c r="E42" s="66"/>
      <x:c r="F42" s="66"/>
      <x:c r="G42" s="66"/>
      <x:c r="H42" s="66"/>
    </x:row>
    <x:row r="43">
      <x:c r="A43" s="58" t="str">
        <x:v>ThemeToken</x:v>
      </x:c>
      <x:c r="B43" s="58" t="str">
        <x:v>Primary/Warning/Alarm/Text/Panel等</x:v>
      </x:c>
      <x:c r="C43" s="58" t="str">
        <x:v>语义Token</x:v>
      </x:c>
      <x:c r="D43" s="58" t="str">
        <x:v>避免硬编码颜色</x:v>
      </x:c>
      <x:c r="E43" s="58"/>
      <x:c r="F43" s="58"/>
      <x:c r="G43" s="58"/>
      <x:c r="H43" s="58"/>
    </x:row>
    <x:row r="44">
      <x:c r="A44" s="66" t="str">
        <x:v>StateStyle</x:v>
      </x:c>
      <x:c r="B44" s="66" t="str">
        <x:v>Normal/Running/Alarm/Disabled/BadQuality</x:v>
      </x:c>
      <x:c r="C44" s="66" t="str">
        <x:v>运行状态样式</x:v>
      </x:c>
      <x:c r="D44" s="66" t="str">
        <x:v>Binding决定状态，Style决定视觉</x:v>
      </x:c>
      <x:c r="E44" s="66"/>
      <x:c r="F44" s="66"/>
      <x:c r="G44" s="66"/>
      <x:c r="H44" s="66"/>
    </x:row>
    <x:row r="45">
      <x:c r="A45" s="58" t="str">
        <x:v>StyleResolver</x:v>
      </x:c>
      <x:c r="B45" s="58" t="str">
        <x:v>Theme→StyleClass→Inline→RuntimeOverride</x:v>
      </x:c>
      <x:c r="C45" s="58" t="str">
        <x:v>解析优先级</x:v>
      </x:c>
      <x:c r="D45" s="58" t="str">
        <x:v>运行结果不回写Project</x:v>
      </x:c>
      <x:c r="E45" s="58"/>
      <x:c r="F45" s="58"/>
      <x:c r="G45" s="58"/>
      <x:c r="H45" s="58"/>
    </x:row>
    <x:row r="46">
      <x:c r="A46" s="66" t="str">
        <x:v>StyleCache</x:v>
      </x:c>
      <x:c r="B46" s="66" t="str">
        <x:v>解析后不可变样式缓存</x:v>
      </x:c>
      <x:c r="C46" s="66" t="str">
        <x:v>性能</x:v>
      </x:c>
      <x:c r="D46" s="66" t="str">
        <x:v>按ThemeRevision/StyleId key</x:v>
      </x:c>
      <x:c r="E46" s="66"/>
      <x:c r="F46" s="66"/>
      <x:c r="G46" s="66"/>
      <x:c r="H46" s="66"/>
    </x:row>
    <x:row r="47">
      <x:c r="A47"/>
      <x:c r="B47"/>
      <x:c r="C47"/>
      <x:c r="D47"/>
      <x:c r="E47"/>
      <x:c r="F47"/>
      <x:c r="G47"/>
      <x:c r="H47"/>
    </x:row>
    <x:row r="48">
      <x:c r="A48"/>
      <x:c r="B48"/>
      <x:c r="C48"/>
      <x:c r="D48"/>
      <x:c r="E48"/>
      <x:c r="F48"/>
      <x:c r="G48"/>
      <x:c r="H48"/>
    </x:row>
    <x:row r="49" ht="24" customHeight="1">
      <x:c r="A49" s="40" t="str">
        <x:v>D. Import / Export / RoundTrip</x:v>
      </x:c>
      <x:c r="B49" s="40"/>
      <x:c r="C49" s="40"/>
      <x:c r="D49" s="40"/>
      <x:c r="E49" s="40"/>
      <x:c r="F49" s="40"/>
      <x:c r="G49" s="40"/>
      <x:c r="H49" s="40"/>
    </x:row>
    <x:row r="50" ht="28" customHeight="1">
      <x:c r="A50" s="50" t="str">
        <x:v>机制</x:v>
      </x:c>
      <x:c r="B50" s="50" t="str">
        <x:v>模式</x:v>
      </x:c>
      <x:c r="C50" s="50" t="str">
        <x:v>内容</x:v>
      </x:c>
      <x:c r="D50" s="50" t="str">
        <x:v>验收</x:v>
      </x:c>
      <x:c r="E50" s="50"/>
      <x:c r="F50" s="50"/>
      <x:c r="G50" s="50"/>
      <x:c r="H50" s="50"/>
    </x:row>
    <x:row r="51">
      <x:c r="A51" s="58" t="str">
        <x:v>导入模式1</x:v>
      </x:c>
      <x:c r="B51" s="58" t="str">
        <x:v>Editable</x:v>
      </x:c>
      <x:c r="C51" s="58" t="str">
        <x:v>SVG→平台Geometry/Text/Image树</x:v>
      </x:c>
      <x:c r="D51" s="58" t="str">
        <x:v>尽量可编辑；兼容报告</x:v>
      </x:c>
      <x:c r="E51" s="58"/>
      <x:c r="F51" s="58"/>
      <x:c r="G51" s="58"/>
      <x:c r="H51" s="58"/>
    </x:row>
    <x:row r="52">
      <x:c r="A52" s="66" t="str">
        <x:v>导入模式2</x:v>
      </x:c>
      <x:c r="B52" s="66" t="str">
        <x:v>Symbol Preserve</x:v>
      </x:c>
      <x:c r="C52" s="66" t="str">
        <x:v>保留整体视觉符号，实例化复用</x:v>
      </x:c>
      <x:c r="D52" s="66" t="str">
        <x:v>适合复杂厂商SVG</x:v>
      </x:c>
      <x:c r="E52" s="66"/>
      <x:c r="F52" s="66"/>
      <x:c r="G52" s="66"/>
      <x:c r="H52" s="66"/>
    </x:row>
    <x:row r="53">
      <x:c r="A53" s="58" t="str">
        <x:v>导入模式3</x:v>
      </x:c>
      <x:c r="B53" s="58" t="str">
        <x:v>Raster Fallback</x:v>
      </x:c>
      <x:c r="C53" s="58" t="str">
        <x:v>复杂filter/mask等转位图</x:v>
      </x:c>
      <x:c r="D53" s="58" t="str">
        <x:v>明确失去矢量编辑能力</x:v>
      </x:c>
      <x:c r="E53" s="58"/>
      <x:c r="F53" s="58"/>
      <x:c r="G53" s="58"/>
      <x:c r="H53" s="58"/>
    </x:row>
    <x:row r="54">
      <x:c r="A54" s="66" t="str">
        <x:v>导出</x:v>
      </x:c>
      <x:c r="B54" s="66" t="str">
        <x:v>平台Element→SVG</x:v>
      </x:c>
      <x:c r="C54" s="66" t="str">
        <x:v>只导出可表达子集</x:v>
      </x:c>
      <x:c r="D54" s="66" t="str">
        <x:v>不能表达的Binding/Action放metadata或报告</x:v>
      </x:c>
      <x:c r="E54" s="66"/>
      <x:c r="F54" s="66"/>
      <x:c r="G54" s="66"/>
      <x:c r="H54" s="66"/>
    </x:row>
    <x:row r="55">
      <x:c r="A55" s="58" t="str">
        <x:v>RoundTrip Metadata</x:v>
      </x:c>
      <x:c r="B55" s="58" t="str">
        <x:v>cxv:*扩展metadata</x:v>
      </x:c>
      <x:c r="C55" s="58" t="str">
        <x:v>保存原id/class/unsupported info</x:v>
      </x:c>
      <x:c r="D55" s="58" t="str">
        <x:v>再次导出尽量保真</x:v>
      </x:c>
      <x:c r="E55" s="58"/>
      <x:c r="F55" s="58"/>
      <x:c r="G55" s="58"/>
      <x:c r="H55" s="58"/>
    </x:row>
    <x:row r="56">
      <x:c r="A56" s="66" t="str">
        <x:v>CompatibilityReport</x:v>
      </x:c>
      <x:c r="B56" s="66" t="str">
        <x:v>feature/id/action/severity</x:v>
      </x:c>
      <x:c r="C56" s="66" t="str">
        <x:v>导入前后可查看</x:v>
      </x:c>
      <x:c r="D56" s="66" t="str">
        <x:v>禁止静默降级</x:v>
      </x:c>
      <x:c r="E56" s="66"/>
      <x:c r="F56" s="66"/>
      <x:c r="G56" s="66"/>
      <x:c r="H56" s="66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38" hidden="0" customWidth="1"/>
    <x:col min="4" max="4" width="34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</x:cols>
  <x:sheetData>
    <x:row r="1" ht="30" customHeight="1">
      <x:c r="A1" s="8" t="str">
        <x:v>CxVisual Chart / Trend / Data Visualization Pipeline</x:v>
      </x:c>
      <x:c r="B1" s="8"/>
      <x:c r="C1" s="8"/>
      <x:c r="D1" s="8"/>
      <x:c r="E1" s="8"/>
      <x:c r="F1" s="8"/>
      <x:c r="G1" s="8"/>
      <x:c r="H1" s="8"/>
    </x:row>
    <x:row r="2" ht="38" customHeight="1">
      <x:c r="A2" s="16" t="str">
        <x:v>定义图表配置、SeriesBuffer、采样/聚合/降采样、历史/实时数据桥与图库Adapter。</x:v>
      </x:c>
      <x:c r="B2" s="16"/>
      <x:c r="C2" s="16"/>
      <x:c r="D2" s="16"/>
      <x:c r="E2" s="16"/>
      <x:c r="F2" s="16"/>
      <x:c r="G2" s="16"/>
      <x:c r="H2" s="16"/>
    </x:row>
    <x:row r="3">
      <x:c r="A3" s="30" t="str">
        <x:v>本页唯一权威</x:v>
      </x:c>
      <x:c r="B3" s="31" t="str">
        <x:v>ChartConfig、Series、Buffer、DataPipeline、Adapter、性能边界。</x:v>
      </x:c>
      <x:c r="C3" s="31"/>
      <x:c r="D3" s="31"/>
      <x:c r="E3" s="31"/>
      <x:c r="F3" s="31"/>
      <x:c r="G3" s="31"/>
      <x:c r="H3" s="31"/>
    </x:row>
    <x:row r="4">
      <x:c r="A4" s="30" t="str">
        <x:v>不在本页维护</x:v>
      </x:c>
      <x:c r="B4" s="31" t="str">
        <x:v>SCADA历史/报警业务语义（见17）、具体第三方图表对象。</x:v>
      </x:c>
      <x:c r="C4" s="31"/>
      <x:c r="D4" s="31"/>
      <x:c r="E4" s="31"/>
      <x:c r="F4" s="31"/>
      <x:c r="G4" s="31"/>
      <x:c r="H4" s="31"/>
    </x:row>
    <x:row r="5">
      <x:c r="A5" s="30" t="str">
        <x:v>关联分页</x:v>
      </x:c>
      <x:c r="B5" s="31" t="str">
        <x:v>10_Property元数据Binding；17_SCADA_ICS；18_RuntimeHost；25_Graph性能诊断可观测性；46_DeviceVariable闭环。</x:v>
      </x:c>
      <x:c r="C5" s="31"/>
      <x:c r="D5" s="31"/>
      <x:c r="E5" s="31"/>
      <x:c r="F5" s="31"/>
      <x:c r="G5" s="31"/>
      <x:c r="H5" s="31"/>
    </x:row>
    <x:row r="6">
      <x:c r="A6"/>
      <x:c r="B6"/>
      <x:c r="C6"/>
      <x:c r="D6"/>
      <x:c r="E6"/>
      <x:c r="F6"/>
      <x:c r="G6"/>
      <x:c r="H6"/>
    </x:row>
    <x:row r="7" ht="24" customHeight="1">
      <x:c r="A7" s="40" t="str">
        <x:v>A. 图表类型</x:v>
      </x:c>
      <x:c r="B7" s="40"/>
      <x:c r="C7" s="40"/>
      <x:c r="D7" s="40"/>
      <x:c r="E7" s="40"/>
      <x:c r="F7" s="40"/>
      <x:c r="G7" s="40"/>
      <x:c r="H7" s="40"/>
    </x:row>
    <x:row r="8" ht="28" customHeight="1">
      <x:c r="A8" s="50" t="str">
        <x:v>类型</x:v>
      </x:c>
      <x:c r="B8" s="50" t="str">
        <x:v>数据形态</x:v>
      </x:c>
      <x:c r="C8" s="50" t="str">
        <x:v>数据源</x:v>
      </x:c>
      <x:c r="D8" s="50" t="str">
        <x:v>用途</x:v>
      </x:c>
      <x:c r="E8" s="50" t="str">
        <x:v>优先级</x:v>
      </x:c>
      <x:c r="F8" s="50"/>
      <x:c r="G8" s="50"/>
      <x:c r="H8" s="50"/>
    </x:row>
    <x:row r="9">
      <x:c r="A9" s="58" t="str">
        <x:v>Trend/TimeSeries</x:v>
      </x:c>
      <x:c r="B9" s="58" t="str">
        <x:v>时间序列</x:v>
      </x:c>
      <x:c r="C9" s="58" t="str">
        <x:v>Tag/Expression/History</x:v>
      </x:c>
      <x:c r="D9" s="58" t="str">
        <x:v>实时趋势、温度、压力</x:v>
      </x:c>
      <x:c r="E9" s="58" t="str">
        <x:v>核心必须</x:v>
      </x:c>
      <x:c r="F9" s="58"/>
      <x:c r="G9" s="58"/>
      <x:c r="H9" s="58"/>
    </x:row>
    <x:row r="10">
      <x:c r="A10" s="66" t="str">
        <x:v>XY</x:v>
      </x:c>
      <x:c r="B10" s="66" t="str">
        <x:v>XY点序列</x:v>
      </x:c>
      <x:c r="C10" s="66" t="str">
        <x:v>X/Y Tag/Expression</x:v>
      </x:c>
      <x:c r="D10" s="66" t="str">
        <x:v>轨迹/工艺关系</x:v>
      </x:c>
      <x:c r="E10" s="66" t="str">
        <x:v>建议</x:v>
      </x:c>
      <x:c r="F10" s="66"/>
      <x:c r="G10" s="66"/>
      <x:c r="H10" s="66"/>
    </x:row>
    <x:row r="11">
      <x:c r="A11" s="58" t="str">
        <x:v>Bar/Column</x:v>
      </x:c>
      <x:c r="B11" s="58" t="str">
        <x:v>类别/数值</x:v>
      </x:c>
      <x:c r="C11" s="58" t="str">
        <x:v>当前值/统计</x:v>
      </x:c>
      <x:c r="D11" s="58" t="str">
        <x:v>分组比较</x:v>
      </x:c>
      <x:c r="E11" s="58" t="str">
        <x:v>建议</x:v>
      </x:c>
      <x:c r="F11" s="58"/>
      <x:c r="G11" s="58"/>
      <x:c r="H11" s="58"/>
    </x:row>
    <x:row r="12">
      <x:c r="A12" s="66" t="str">
        <x:v>Pie/Donut</x:v>
      </x:c>
      <x:c r="B12" s="66" t="str">
        <x:v>类别占比</x:v>
      </x:c>
      <x:c r="C12" s="66" t="str">
        <x:v>当前统计</x:v>
      </x:c>
      <x:c r="D12" s="66" t="str">
        <x:v>概览</x:v>
      </x:c>
      <x:c r="E12" s="66" t="str">
        <x:v>建议</x:v>
      </x:c>
      <x:c r="F12" s="66"/>
      <x:c r="G12" s="66"/>
      <x:c r="H12" s="66"/>
    </x:row>
    <x:row r="13">
      <x:c r="A13" s="58" t="str">
        <x:v>Gauge</x:v>
      </x:c>
      <x:c r="B13" s="58" t="str">
        <x:v>单值</x:v>
      </x:c>
      <x:c r="C13" s="58" t="str">
        <x:v>Tag/Expression</x:v>
      </x:c>
      <x:c r="D13" s="58" t="str">
        <x:v>仪表</x:v>
      </x:c>
      <x:c r="E13" s="58" t="str">
        <x:v>图元/Chart统一考虑</x:v>
      </x:c>
      <x:c r="F13" s="58"/>
      <x:c r="G13" s="58"/>
      <x:c r="H13" s="58"/>
    </x:row>
    <x:row r="14">
      <x:c r="A14" s="66" t="str">
        <x:v>StatisticCard</x:v>
      </x:c>
      <x:c r="B14" s="66" t="str">
        <x:v>单值+统计</x:v>
      </x:c>
      <x:c r="C14" s="66" t="str">
        <x:v>Tag/History</x:v>
      </x:c>
      <x:c r="D14" s="66" t="str">
        <x:v>均值/最大/最小/CPK等</x:v>
      </x:c>
      <x:c r="E14" s="66" t="str">
        <x:v>建议</x:v>
      </x:c>
      <x:c r="F14" s="66"/>
      <x:c r="G14" s="66"/>
      <x:c r="H14" s="66"/>
    </x:row>
    <x:row r="15">
      <x:c r="A15"/>
      <x:c r="B15"/>
      <x:c r="C15"/>
      <x:c r="D15"/>
      <x:c r="E15"/>
      <x:c r="F15"/>
      <x:c r="G15"/>
      <x:c r="H15"/>
    </x:row>
    <x:row r="16">
      <x:c r="A16"/>
      <x:c r="B16"/>
      <x:c r="C16"/>
      <x:c r="D16"/>
      <x:c r="E16"/>
      <x:c r="F16"/>
      <x:c r="G16"/>
      <x:c r="H16"/>
    </x:row>
    <x:row r="17" ht="24" customHeight="1">
      <x:c r="A17" s="40" t="str">
        <x:v>B. 持久化配置模型</x:v>
      </x:c>
      <x:c r="B17" s="40"/>
      <x:c r="C17" s="40"/>
      <x:c r="D17" s="40"/>
      <x:c r="E17" s="40"/>
      <x:c r="F17" s="40"/>
      <x:c r="G17" s="40"/>
      <x:c r="H17" s="40"/>
    </x:row>
    <x:row r="18" ht="28" customHeight="1">
      <x:c r="A18" s="50" t="str">
        <x:v>对象</x:v>
      </x:c>
      <x:c r="B18" s="50" t="str">
        <x:v>类型</x:v>
      </x:c>
      <x:c r="C18" s="50" t="str">
        <x:v>关键字段</x:v>
      </x:c>
      <x:c r="D18" s="50" t="str">
        <x:v>职责</x:v>
      </x:c>
      <x:c r="E18" s="50" t="str">
        <x:v>硬约束</x:v>
      </x:c>
      <x:c r="F18" s="50"/>
      <x:c r="G18" s="50"/>
      <x:c r="H18" s="50"/>
    </x:row>
    <x:row r="19">
      <x:c r="A19" s="58" t="str">
        <x:v>ChartElementModel</x:v>
      </x:c>
      <x:c r="B19" s="58" t="str">
        <x:v>ChartElementModel</x:v>
      </x:c>
      <x:c r="C19" s="58" t="str">
        <x:v>ChartType/Title/Legend/Axes/Series/Theme</x:v>
      </x:c>
      <x:c r="D19" s="58" t="str">
        <x:v>持久化平台配置</x:v>
      </x:c>
      <x:c r="E19" s="58" t="str">
        <x:v>不含ScottPlot对象</x:v>
      </x:c>
      <x:c r="F19" s="58"/>
      <x:c r="G19" s="58"/>
      <x:c r="H19" s="58"/>
    </x:row>
    <x:row r="20">
      <x:c r="A20" s="66" t="str">
        <x:v>SeriesConfig</x:v>
      </x:c>
      <x:c r="B20" s="66" t="str">
        <x:v>Config</x:v>
      </x:c>
      <x:c r="C20" s="66" t="str">
        <x:v>Id/Name/DataSource/Axis/Style/Sampling/Retention</x:v>
      </x:c>
      <x:c r="D20" s="66" t="str">
        <x:v>每条曲线配置</x:v>
      </x:c>
      <x:c r="E20" s="66" t="str">
        <x:v>支持多Axis</x:v>
      </x:c>
      <x:c r="F20" s="66"/>
      <x:c r="G20" s="66"/>
      <x:c r="H20" s="66"/>
    </x:row>
    <x:row r="21">
      <x:c r="A21" s="58" t="str">
        <x:v>AxisConfig</x:v>
      </x:c>
      <x:c r="B21" s="58" t="str">
        <x:v>Config</x:v>
      </x:c>
      <x:c r="C21" s="58" t="str">
        <x:v>Scale/Range/Auto/Unit/Format/Grid</x:v>
      </x:c>
      <x:c r="D21" s="58" t="str">
        <x:v>坐标轴</x:v>
      </x:c>
      <x:c r="E21" s="58" t="str">
        <x:v>时间轴独立格式</x:v>
      </x:c>
      <x:c r="F21" s="58"/>
      <x:c r="G21" s="58"/>
      <x:c r="H21" s="58"/>
    </x:row>
    <x:row r="22">
      <x:c r="A22" s="66" t="str">
        <x:v>DataSourceConfig</x:v>
      </x:c>
      <x:c r="B22" s="66" t="str">
        <x:v>Config</x:v>
      </x:c>
      <x:c r="C22" s="66" t="str">
        <x:v>Tag/Expression/History/Static</x:v>
      </x:c>
      <x:c r="D22" s="66" t="str">
        <x:v>数据源</x:v>
      </x:c>
      <x:c r="E22" s="66" t="str">
        <x:v>运行编译</x:v>
      </x:c>
      <x:c r="F22" s="66"/>
      <x:c r="G22" s="66"/>
      <x:c r="H22" s="66"/>
    </x:row>
    <x:row r="23">
      <x:c r="A23" s="58" t="str">
        <x:v>SamplingPolicy</x:v>
      </x:c>
      <x:c r="B23" s="58" t="str">
        <x:v>Config</x:v>
      </x:c>
      <x:c r="C23" s="58" t="str">
        <x:v>OnChange/Interval/MaxRate/Deadband</x:v>
      </x:c>
      <x:c r="D23" s="58" t="str">
        <x:v>采样策略</x:v>
      </x:c>
      <x:c r="E23" s="58" t="str">
        <x:v>与UI刷新解耦</x:v>
      </x:c>
      <x:c r="F23" s="58"/>
      <x:c r="G23" s="58"/>
      <x:c r="H23" s="58"/>
    </x:row>
    <x:row r="24">
      <x:c r="A24" s="66" t="str">
        <x:v>RetentionPolicy</x:v>
      </x:c>
      <x:c r="B24" s="66" t="str">
        <x:v>Config</x:v>
      </x:c>
      <x:c r="C24" s="66" t="str">
        <x:v>MaxPoints/MaxDuration</x:v>
      </x:c>
      <x:c r="D24" s="66" t="str">
        <x:v>内存上限</x:v>
      </x:c>
      <x:c r="E24" s="66" t="str">
        <x:v>环形缓冲</x:v>
      </x:c>
      <x:c r="F24" s="66"/>
      <x:c r="G24" s="66"/>
      <x:c r="H24" s="66"/>
    </x:row>
    <x:row r="25">
      <x:c r="A25" s="58" t="str">
        <x:v>DownsamplePolicy</x:v>
      </x:c>
      <x:c r="B25" s="58" t="str">
        <x:v>Config</x:v>
      </x:c>
      <x:c r="C25" s="58" t="str">
        <x:v>None/MinMax/LTTB/PixelAware</x:v>
      </x:c>
      <x:c r="D25" s="58" t="str">
        <x:v>降采样</x:v>
      </x:c>
      <x:c r="E25" s="58" t="str">
        <x:v>按像素宽度选择</x:v>
      </x:c>
      <x:c r="F25" s="58"/>
      <x:c r="G25" s="58"/>
      <x:c r="H25" s="58"/>
    </x:row>
    <x:row r="26">
      <x:c r="A26"/>
      <x:c r="B26"/>
      <x:c r="C26"/>
      <x:c r="D26"/>
      <x:c r="E26"/>
      <x:c r="F26"/>
      <x:c r="G26"/>
      <x:c r="H26"/>
    </x:row>
    <x:row r="27">
      <x:c r="A27"/>
      <x:c r="B27"/>
      <x:c r="C27"/>
      <x:c r="D27"/>
      <x:c r="E27"/>
      <x:c r="F27"/>
      <x:c r="G27"/>
      <x:c r="H27"/>
    </x:row>
    <x:row r="28" ht="24" customHeight="1">
      <x:c r="A28" s="40" t="str">
        <x:v>C. Runtime 数据管线</x:v>
      </x:c>
      <x:c r="B28" s="40"/>
      <x:c r="C28" s="40"/>
      <x:c r="D28" s="40"/>
      <x:c r="E28" s="40"/>
      <x:c r="F28" s="40"/>
      <x:c r="G28" s="40"/>
      <x:c r="H28" s="40"/>
    </x:row>
    <x:row r="29" ht="28" customHeight="1">
      <x:c r="A29" s="50" t="str">
        <x:v>阶段</x:v>
      </x:c>
      <x:c r="B29" s="50" t="str">
        <x:v>模块</x:v>
      </x:c>
      <x:c r="C29" s="50" t="str">
        <x:v>线程</x:v>
      </x:c>
      <x:c r="D29" s="50" t="str">
        <x:v>输入/职责</x:v>
      </x:c>
      <x:c r="E29" s="50" t="str">
        <x:v>规则</x:v>
      </x:c>
      <x:c r="F29" s="50"/>
      <x:c r="G29" s="50"/>
      <x:c r="H29" s="50"/>
    </x:row>
    <x:row r="30">
      <x:c r="A30" s="66" t="str">
        <x:v>1</x:v>
      </x:c>
      <x:c r="B30" s="66" t="str">
        <x:v>Variable/History Input</x:v>
      </x:c>
      <x:c r="C30" s="66" t="str">
        <x:v>后台线程</x:v>
      </x:c>
      <x:c r="D30" s="66" t="str">
        <x:v>批量VariableValue/History page</x:v>
      </x:c>
      <x:c r="E30" s="66" t="str">
        <x:v>不碰WPF</x:v>
      </x:c>
      <x:c r="F30" s="66"/>
      <x:c r="G30" s="66"/>
      <x:c r="H30" s="66"/>
    </x:row>
    <x:row r="31">
      <x:c r="A31" s="58" t="str">
        <x:v>2</x:v>
      </x:c>
      <x:c r="B31" s="58" t="str">
        <x:v>Sampler</x:v>
      </x:c>
      <x:c r="C31" s="58" t="str">
        <x:v>后台</x:v>
      </x:c>
      <x:c r="D31" s="58" t="str">
        <x:v>按SamplingPolicy采样/Deadband</x:v>
      </x:c>
      <x:c r="E31" s="58" t="str">
        <x:v>不每个变化都入点</x:v>
      </x:c>
      <x:c r="F31" s="58"/>
      <x:c r="G31" s="58"/>
      <x:c r="H31" s="58"/>
    </x:row>
    <x:row r="32">
      <x:c r="A32" s="66" t="str">
        <x:v>3</x:v>
      </x:c>
      <x:c r="B32" s="66" t="str">
        <x:v>SeriesBuffer</x:v>
      </x:c>
      <x:c r="C32" s="66" t="str">
        <x:v>后台</x:v>
      </x:c>
      <x:c r="D32" s="66" t="str">
        <x:v>RingBuffer保存timestamp/value/quality</x:v>
      </x:c>
      <x:c r="E32" s="66" t="str">
        <x:v>固定容量</x:v>
      </x:c>
      <x:c r="F32" s="66"/>
      <x:c r="G32" s="66"/>
      <x:c r="H32" s="66"/>
    </x:row>
    <x:row r="33">
      <x:c r="A33" s="58" t="str">
        <x:v>4</x:v>
      </x:c>
      <x:c r="B33" s="58" t="str">
        <x:v>Aggregator</x:v>
      </x:c>
      <x:c r="C33" s="58" t="str">
        <x:v>后台</x:v>
      </x:c>
      <x:c r="D33" s="58" t="str">
        <x:v>Min/Max/Avg/Count/Window</x:v>
      </x:c>
      <x:c r="E33" s="58" t="str">
        <x:v>统计与长周期</x:v>
      </x:c>
      <x:c r="F33" s="58"/>
      <x:c r="G33" s="58"/>
      <x:c r="H33" s="58"/>
    </x:row>
    <x:row r="34">
      <x:c r="A34" s="66" t="str">
        <x:v>5</x:v>
      </x:c>
      <x:c r="B34" s="66" t="str">
        <x:v>Downsampler</x:v>
      </x:c>
      <x:c r="C34" s="66" t="str">
        <x:v>后台</x:v>
      </x:c>
      <x:c r="D34" s="66" t="str">
        <x:v>按可视区间与像素宽度降采样</x:v>
      </x:c>
      <x:c r="E34" s="66" t="str">
        <x:v>避免10万点直接画</x:v>
      </x:c>
      <x:c r="F34" s="66"/>
      <x:c r="G34" s="66"/>
      <x:c r="H34" s="66"/>
    </x:row>
    <x:row r="35">
      <x:c r="A35" s="58" t="str">
        <x:v>6</x:v>
      </x:c>
      <x:c r="B35" s="58" t="str">
        <x:v>Dirty Mark</x:v>
      </x:c>
      <x:c r="C35" s="58" t="str">
        <x:v>后台→UI批量</x:v>
      </x:c>
      <x:c r="D35" s="58" t="str">
        <x:v>标记Series/Axis dirty</x:v>
      </x:c>
      <x:c r="E35" s="58" t="str">
        <x:v>合并多次变化</x:v>
      </x:c>
      <x:c r="F35" s="58"/>
      <x:c r="G35" s="58"/>
      <x:c r="H35" s="58"/>
    </x:row>
    <x:row r="36">
      <x:c r="A36" s="66" t="str">
        <x:v>7</x:v>
      </x:c>
      <x:c r="B36" s="66" t="str">
        <x:v>RenderScheduler</x:v>
      </x:c>
      <x:c r="C36" s="66" t="str">
        <x:v>UI</x:v>
      </x:c>
      <x:c r="D36" s="66" t="str">
        <x:v>按约50~200ms或配置刷新可见图表</x:v>
      </x:c>
      <x:c r="E36" s="66" t="str">
        <x:v>采样频率≠绘制频率</x:v>
      </x:c>
      <x:c r="F36" s="66"/>
      <x:c r="G36" s="66"/>
      <x:c r="H36" s="66"/>
    </x:row>
    <x:row r="37">
      <x:c r="A37" s="58" t="str">
        <x:v>8</x:v>
      </x:c>
      <x:c r="B37" s="58" t="str">
        <x:v>IChartAdapter</x:v>
      </x:c>
      <x:c r="C37" s="58" t="str">
        <x:v>UI</x:v>
      </x:c>
      <x:c r="D37" s="58" t="str">
        <x:v>平台数据推给ScottPlot/替代库</x:v>
      </x:c>
      <x:c r="E37" s="58" t="str">
        <x:v>第三方隔离</x:v>
      </x:c>
      <x:c r="F37" s="58"/>
      <x:c r="G37" s="58"/>
      <x:c r="H37" s="58"/>
    </x:row>
    <x:row r="38">
      <x:c r="A38" s="66" t="str">
        <x:v>9</x:v>
      </x:c>
      <x:c r="B38" s="66" t="str">
        <x:v>Hidden Page Policy</x:v>
      </x:c>
      <x:c r="C38" s="66" t="str">
        <x:v>Runtime</x:v>
      </x:c>
      <x:c r="D38" s="66" t="str">
        <x:v>隐藏页暂停绘制但可继续采样/限频</x:v>
      </x:c>
      <x:c r="E38" s="66" t="str">
        <x:v>页面切回重绘</x:v>
      </x:c>
      <x:c r="F38" s="66"/>
      <x:c r="G38" s="66"/>
      <x:c r="H38" s="66"/>
    </x:row>
    <x:row r="39">
      <x:c r="A39"/>
      <x:c r="B39"/>
      <x:c r="C39"/>
      <x:c r="D39"/>
      <x:c r="E39"/>
      <x:c r="F39"/>
      <x:c r="G39"/>
      <x:c r="H39"/>
    </x:row>
    <x:row r="40">
      <x:c r="A40"/>
      <x:c r="B40"/>
      <x:c r="C40"/>
      <x:c r="D40"/>
      <x:c r="E40"/>
      <x:c r="F40"/>
      <x:c r="G40"/>
      <x:c r="H40"/>
    </x:row>
    <x:row r="41" ht="24" customHeight="1">
      <x:c r="A41" s="40" t="str">
        <x:v>D. 性能与老化基线</x:v>
      </x:c>
      <x:c r="B41" s="40"/>
      <x:c r="C41" s="40"/>
      <x:c r="D41" s="40"/>
      <x:c r="E41" s="40"/>
      <x:c r="F41" s="40"/>
      <x:c r="G41" s="40"/>
      <x:c r="H41" s="40"/>
    </x:row>
    <x:row r="42" ht="28" customHeight="1">
      <x:c r="A42" s="50" t="str">
        <x:v>场景</x:v>
      </x:c>
      <x:c r="B42" s="50" t="str">
        <x:v>基线</x:v>
      </x:c>
      <x:c r="C42" s="50" t="str">
        <x:v>设计</x:v>
      </x:c>
      <x:c r="D42" s="50" t="str">
        <x:v>验收</x:v>
      </x:c>
      <x:c r="E42" s="50"/>
      <x:c r="F42" s="50"/>
      <x:c r="G42" s="50"/>
      <x:c r="H42" s="50"/>
    </x:row>
    <x:row r="43">
      <x:c r="A43" s="58" t="str">
        <x:v>实时采样</x:v>
      </x:c>
      <x:c r="B43" s="58" t="str">
        <x:v>可达10ms级由Provider决定</x:v>
      </x:c>
      <x:c r="C43" s="58" t="str">
        <x:v>UI默认不跟随10ms逐点刷新</x:v>
      </x:c>
      <x:c r="D43" s="58" t="str">
        <x:v>避免Dispatcher洪峰</x:v>
      </x:c>
      <x:c r="E43" s="58"/>
      <x:c r="F43" s="58"/>
      <x:c r="G43" s="58"/>
      <x:c r="H43" s="58"/>
    </x:row>
    <x:row r="44">
      <x:c r="A44" s="66" t="str">
        <x:v>UI刷新</x:v>
      </x:c>
      <x:c r="B44" s="66" t="str">
        <x:v>建议50~200ms可配置</x:v>
      </x:c>
      <x:c r="C44" s="66" t="str">
        <x:v>可见图表统一Scheduler</x:v>
      </x:c>
      <x:c r="D44" s="66" t="str">
        <x:v>按CPU/体验调优</x:v>
      </x:c>
      <x:c r="E44" s="66"/>
      <x:c r="F44" s="66"/>
      <x:c r="G44" s="66"/>
      <x:c r="H44" s="66"/>
    </x:row>
    <x:row r="45">
      <x:c r="A45" s="58" t="str">
        <x:v>点数上限</x:v>
      </x:c>
      <x:c r="B45" s="58" t="str">
        <x:v>每Series MaxPoints/Duration必配默认值</x:v>
      </x:c>
      <x:c r="C45" s="58" t="str">
        <x:v>RingBuffer固定容量</x:v>
      </x:c>
      <x:c r="D45" s="58" t="str">
        <x:v>防内存无限增长</x:v>
      </x:c>
      <x:c r="E45" s="58"/>
      <x:c r="F45" s="58"/>
      <x:c r="G45" s="58"/>
      <x:c r="H45" s="58"/>
    </x:row>
    <x:row r="46">
      <x:c r="A46" s="66" t="str">
        <x:v>大范围历史</x:v>
      </x:c>
      <x:c r="B46" s="66" t="str">
        <x:v>查询分页+可取消+pixel-aware downsample</x:v>
      </x:c>
      <x:c r="C46" s="66" t="str">
        <x:v>不把百万点一次交UI</x:v>
      </x:c>
      <x:c r="D46" s="66" t="str">
        <x:v>HistoryStore负责数据</x:v>
      </x:c>
      <x:c r="E46" s="66"/>
      <x:c r="F46" s="66"/>
      <x:c r="G46" s="66"/>
      <x:c r="H46" s="66"/>
    </x:row>
    <x:row r="47">
      <x:c r="A47" s="58" t="str">
        <x:v>隐藏页面</x:v>
      </x:c>
      <x:c r="B47" s="58" t="str">
        <x:v>绘制暂停/大幅降频</x:v>
      </x:c>
      <x:c r="C47" s="58" t="str">
        <x:v>采样策略可继续或降频</x:v>
      </x:c>
      <x:c r="D47" s="58" t="str">
        <x:v>RuntimePolicy可配</x:v>
      </x:c>
      <x:c r="E47" s="58"/>
      <x:c r="F47" s="58"/>
      <x:c r="G47" s="58"/>
      <x:c r="H47" s="58"/>
    </x:row>
    <x:row r="48">
      <x:c r="A48" s="66" t="str">
        <x:v>断线/BadQuality</x:v>
      </x:c>
      <x:c r="B48" s="66" t="str">
        <x:v>记录gap/quality marker</x:v>
      </x:c>
      <x:c r="C48" s="66" t="str">
        <x:v>不伪造0</x:v>
      </x:c>
      <x:c r="D48" s="66" t="str">
        <x:v>视觉明确质量</x:v>
      </x:c>
      <x:c r="E48" s="66"/>
      <x:c r="F48" s="66"/>
      <x:c r="G48" s="66"/>
      <x:c r="H48" s="66"/>
    </x:row>
    <x:row r="49">
      <x:c r="A49" s="58" t="str">
        <x:v>老化</x:v>
      </x:c>
      <x:c r="B49" s="58" t="str">
        <x:v>24/72h曲线滚动、页面切换、断线重连</x:v>
      </x:c>
      <x:c r="C49" s="58" t="str">
        <x:v>内存/线程/句柄稳定</x:v>
      </x:c>
      <x:c r="D49" s="58" t="str">
        <x:v>Soak gate</x:v>
      </x:c>
      <x:c r="E49" s="58"/>
      <x:c r="F49" s="58"/>
      <x:c r="G49" s="58"/>
      <x:c r="H49" s="58"/>
    </x:row>
    <x:row r="51">
      <x:c r="A51" t="str">
        <x:v>E. 历史 VariableValue / Trend 同源规则（V6.4继续有效）</x:v>
      </x:c>
      <x:c r="B51"/>
      <x:c r="C51"/>
      <x:c r="D51"/>
      <x:c r="E51"/>
    </x:row>
    <x:row r="52">
      <x:c r="A52" t="str">
        <x:v>主题</x:v>
      </x:c>
      <x:c r="B52" t="str">
        <x:v>输入/对象</x:v>
      </x:c>
      <x:c r="C52" t="str">
        <x:v>数据语义</x:v>
      </x:c>
      <x:c r="D52" t="str">
        <x:v>运行规则</x:v>
      </x:c>
      <x:c r="E52" t="str">
        <x:v>禁止/DesignRef</x:v>
      </x:c>
    </x:row>
    <x:row r="53">
      <x:c r="A53" t="str">
        <x:v>VariableValue输入</x:v>
      </x:c>
      <x:c r="B53" t="str">
        <x:v>实时趋势直接消费统一VariableValue</x:v>
      </x:c>
      <x:c r="C53" t="str">
        <x:v>Value/Quality/TimestampUtc/Sequence/Source</x:v>
      </x:c>
      <x:c r="D53" t="str">
        <x:v>Bad/Stale显示断点/灰态；按Timestamp排序；Sequence检测丢样</x:v>
      </x:c>
      <x:c r="E53" t="str">
        <x:v>不另建Trend专用Tag缓存</x:v>
      </x:c>
    </x:row>
    <x:row r="54">
      <x:c r="A54" t="str">
        <x:v>History写入</x:v>
      </x:c>
      <x:c r="B54" t="str">
        <x:v>Historian写入保留Quality/Source</x:v>
      </x:c>
      <x:c r="C54" t="str">
        <x:v>Value+Quality+Timestamp+Source</x:v>
      </x:c>
      <x:c r="D54" t="str">
        <x:v>断线StoreForward后仍按原Timestamp重放</x:v>
      </x:c>
      <x:c r="E54" t="str">
        <x:v>禁止只保存裸数值</x:v>
      </x:c>
    </x:row>
    <x:row r="55">
      <x:c r="A55" t="str">
        <x:v>Chart Binding</x:v>
      </x:c>
      <x:c r="B55" t="str">
        <x:v>图表Series绑定VariableReference</x:v>
      </x:c>
      <x:c r="C55" t="str">
        <x:v>VariableId/aggregation/deadband/window</x:v>
      </x:c>
      <x:c r="D55" t="str">
        <x:v>与图元Binding使用同一VariableId</x:v>
      </x:c>
      <x:c r="E55" t="str">
        <x:v>设备改名不破坏趋势</x:v>
      </x:c>
    </x:row>
    <x:row r="56">
      <x:c r="A56" t="str">
        <x:v>Backpressure</x:v>
      </x:c>
      <x:c r="B56" t="str">
        <x:v>UI趋势采样与Provider订阅解耦</x:v>
      </x:c>
      <x:c r="C56" t="str">
        <x:v>LatestOnly/Downsample/Window</x:v>
      </x:c>
      <x:c r="D56" t="str">
        <x:v>慢图表不阻塞VariableEngine/Provider</x:v>
      </x:c>
      <x:c r="E56" t="str">
        <x:v>46/25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32" hidden="0" customWidth="1"/>
    <x:col min="4" max="4" width="32" hidden="0" customWidth="1"/>
    <x:col min="5" max="5" width="26" hidden="0" customWidth="1"/>
    <x:col min="6" max="6" width="22" hidden="0" customWidth="1"/>
    <x:col min="7" max="7" width="14" hidden="0" customWidth="1"/>
    <x:col min="8" max="8" width="24" hidden="0" customWidth="1"/>
  </x:cols>
  <x:sheetData>
    <x:row r="1" ht="30" customHeight="1">
      <x:c r="A1" s="143" t="str">
        <x:v>CxVisual V6.4 — ICS / SCADA 数据、监控与真实协议链</x:v>
      </x:c>
      <x:c r="B1" s="143"/>
      <x:c r="C1" s="143"/>
      <x:c r="D1" s="143"/>
      <x:c r="E1" s="143"/>
      <x:c r="F1" s="143"/>
      <x:c r="G1" s="143"/>
      <x:c r="H1" s="143"/>
    </x:row>
    <x:row r="2" ht="38" customHeight="1">
      <x:c r="A2" s="144" t="str">
        <x:v>Automation 内正式能力：设备/连接/变量/质量/报警/历史/配方/健康；HMI只消费其状态与服务，不拥有控制。</x:v>
      </x:c>
      <x:c r="B2" s="144"/>
      <x:c r="C2" s="144"/>
      <x:c r="D2" s="144"/>
      <x:c r="E2" s="144"/>
      <x:c r="F2" s="144"/>
      <x:c r="G2" s="144"/>
      <x:c r="H2" s="144"/>
    </x:row>
    <x:row r="3">
      <x:c r="A3" s="30" t="str">
        <x:v>本页唯一权威</x:v>
      </x:c>
      <x:c r="B3" s="31" t="str">
        <x:v>V6.4 ICS/SCADA 工程模型、Provider/Protocol边界、WritePipeline、故障恢复、Case覆盖与未认证边界。</x:v>
      </x:c>
      <x:c r="C3" s="31"/>
      <x:c r="D3" s="31"/>
      <x:c r="E3" s="31"/>
      <x:c r="F3" s="31"/>
      <x:c r="G3" s="31"/>
      <x:c r="H3" s="31"/>
    </x:row>
    <x:row r="4">
      <x:c r="A4" s="30" t="str">
        <x:v>不在本页维护</x:v>
      </x:c>
      <x:c r="B4" s="31" t="str">
        <x:v>Motion控制流（27/28）、HMI绘制（07/16）、Vendor SDK/协议内部细节（Automation.Drivers）。</x:v>
      </x:c>
      <x:c r="C4" s="31"/>
      <x:c r="D4" s="31"/>
      <x:c r="E4" s="31"/>
      <x:c r="F4" s="31"/>
      <x:c r="G4" s="31"/>
      <x:c r="H4" s="31"/>
    </x:row>
    <x:row r="5">
      <x:c r="A5" s="30" t="str">
        <x:v>关联分页</x:v>
      </x:c>
      <x:c r="B5" s="31" t="str">
        <x:v>03/04/05；14_Security写入审计；18_RuntimeHost；22_Graph集成；26测试Gate；27 Motion；46/50变量平台；49审计。</x:v>
      </x:c>
      <x:c r="C5" s="31"/>
      <x:c r="D5" s="31"/>
      <x:c r="E5" s="31"/>
      <x:c r="F5" s="31"/>
      <x:c r="G5" s="31"/>
      <x:c r="H5" s="31"/>
    </x:row>
    <x:row r="6">
      <x:c r="A6" s="117"/>
      <x:c r="B6" s="117"/>
      <x:c r="C6" s="117"/>
      <x:c r="D6" s="117"/>
      <x:c r="E6" s="117"/>
      <x:c r="F6" s="117"/>
      <x:c r="G6" s="117"/>
      <x:c r="H6" s="117"/>
    </x:row>
    <x:row r="7" ht="24" customHeight="1">
      <x:c r="A7" s="118" t="str">
        <x:v>A. V6.4 核心子系统</x:v>
      </x:c>
      <x:c r="B7" s="118"/>
      <x:c r="C7" s="118"/>
      <x:c r="D7" s="118"/>
      <x:c r="E7" s="118"/>
      <x:c r="F7" s="118"/>
      <x:c r="G7" s="118"/>
      <x:c r="H7" s="118"/>
    </x:row>
    <x:row r="8" ht="28" customHeight="1">
      <x:c r="A8" s="135" t="str">
        <x:v>子系统</x:v>
      </x:c>
      <x:c r="B8" s="135" t="str">
        <x:v>核心对象</x:v>
      </x:c>
      <x:c r="C8" s="135" t="str">
        <x:v>主要功能</x:v>
      </x:c>
      <x:c r="D8" s="135" t="str">
        <x:v>V6.4实现/证据</x:v>
      </x:c>
      <x:c r="E8" s="135" t="str">
        <x:v>安全/可靠性</x:v>
      </x:c>
      <x:c r="F8" s="135" t="str">
        <x:v>Owner</x:v>
      </x:c>
      <x:c r="G8" s="135" t="str">
        <x:v>状态</x:v>
      </x:c>
      <x:c r="H8" s="135" t="str">
        <x:v>备注</x:v>
      </x:c>
    </x:row>
    <x:row r="9">
      <x:c r="A9" s="58" t="str">
        <x:v>Device Model</x:v>
      </x:c>
      <x:c r="B9" s="58" t="str">
        <x:v>DeviceTemplate/DeviceInstance/UDT</x:v>
      </x:c>
      <x:c r="C9" s="58" t="str">
        <x:v>模板、实例、参数、变量槽、PlanHash</x:v>
      </x:c>
      <x:c r="D9" s="58" t="str">
        <x:v>Template/Instance/UDT基础闭环</x:v>
      </x:c>
      <x:c r="E9" s="58" t="str">
        <x:v>稳定Id/版本/缺失Provider诊断</x:v>
      </x:c>
      <x:c r="F9" s="58" t="str">
        <x:v>Automation/ICS</x:v>
      </x:c>
      <x:c r="G9" s="58" t="str">
        <x:v>已覆盖</x:v>
      </x:c>
      <x:c r="H9" s="58" t="str">
        <x:v>协议批量映射继续由Case完善</x:v>
      </x:c>
    </x:row>
    <x:row r="10">
      <x:c r="A10" s="66" t="str">
        <x:v>Connection / Provider</x:v>
      </x:c>
      <x:c r="B10" s="66" t="str">
        <x:v>ConnectionProfile/IIcsDeviceProvider</x:v>
      </x:c>
      <x:c r="C10" s="66" t="str">
        <x:v>连接、Activate/Deactivate、共享连接、Backoff</x:v>
      </x:c>
      <x:c r="D10" s="66" t="str">
        <x:v>Loopback + 真实Socket Modbus TCP</x:v>
      </x:c>
      <x:c r="E10" s="66" t="str">
        <x:v>ReconnectMin/Max、FailureThreshold</x:v>
      </x:c>
      <x:c r="F10" s="66" t="str">
        <x:v>Automation.Drivers</x:v>
      </x:c>
      <x:c r="G10" s="66" t="str">
        <x:v>已覆盖</x:v>
      </x:c>
      <x:c r="H10" s="66" t="str">
        <x:v>S7/OPC UA/RTU待实机Case</x:v>
      </x:c>
    </x:row>
    <x:row r="11">
      <x:c r="A11" s="58" t="str">
        <x:v>Variable State</x:v>
      </x:c>
      <x:c r="B11" s="58" t="str">
        <x:v>IVariableProvider/StateCache</x:v>
      </x:c>
      <x:c r="C11" s="58" t="str">
        <x:v>Value/Quality/Timestamp/Sequence/Source</x:v>
      </x:c>
      <x:c r="D11" s="58" t="str">
        <x:v>10k Tag功能Case + Modbus故障传播</x:v>
      </x:c>
      <x:c r="E11" s="58" t="str">
        <x:v>有界缓存、离线不丢引用</x:v>
      </x:c>
      <x:c r="F11" s="58" t="str">
        <x:v>Platform Contract + Automation</x:v>
      </x:c>
      <x:c r="G11" s="58" t="str">
        <x:v>已覆盖</x:v>
      </x:c>
      <x:c r="H11" s="58" t="str">
        <x:v>下一阶段迁Universal Variable</x:v>
      </x:c>
    </x:row>
    <x:row r="12">
      <x:c r="A12" s="66" t="str">
        <x:v>Alarm</x:v>
      </x:c>
      <x:c r="B12" s="66" t="str">
        <x:v>AlarmDefinition/AlarmRuntimeState</x:v>
      </x:c>
      <x:c r="C12" s="66" t="str">
        <x:v>Delay/Deadband/Priority/Ack/Suppress/History</x:v>
      </x:c>
      <x:c r="D12" s="66" t="str">
        <x:v>Alarm Storm/Bounded Queue Case</x:v>
      </x:c>
      <x:c r="E12" s="66" t="str">
        <x:v>防风暴/持久化/有界队列</x:v>
      </x:c>
      <x:c r="F12" s="66" t="str">
        <x:v>Automation/SCADA</x:v>
      </x:c>
      <x:c r="G12" s="66" t="str">
        <x:v>已覆盖</x:v>
      </x:c>
      <x:c r="H12" s="66" t="str">
        <x:v>UI列表属于HMI</x:v>
      </x:c>
    </x:row>
    <x:row r="13">
      <x:c r="A13" s="58" t="str">
        <x:v>Historian</x:v>
      </x:c>
      <x:c r="B13" s="58" t="str">
        <x:v>HistorianPolicy/Runtime/StoreForward</x:v>
      </x:c>
      <x:c r="C13" s="58" t="str">
        <x:v>Batch/Deadband/Retention/StoreForward</x:v>
      </x:c>
      <x:c r="D13" s="58" t="str">
        <x:v>断线/恢复/Restart Case</x:v>
      </x:c>
      <x:c r="E13" s="58" t="str">
        <x:v>队列上限/后台存储/原Timestamp</x:v>
      </x:c>
      <x:c r="F13" s="58" t="str">
        <x:v>Automation/SCADA</x:v>
      </x:c>
      <x:c r="G13" s="58" t="str">
        <x:v>已覆盖</x:v>
      </x:c>
      <x:c r="H13" s="58" t="str">
        <x:v>24h/72h待认证</x:v>
      </x:c>
    </x:row>
    <x:row r="14">
      <x:c r="A14" s="66" t="str">
        <x:v>Recipe</x:v>
      </x:c>
      <x:c r="B14" s="66" t="str">
        <x:v>RecipeDefinition/Version/Operation</x:v>
      </x:c>
      <x:c r="C14" s="66" t="str">
        <x:v>Approve/Compare/Download/Readback/Rollback</x:v>
      </x:c>
      <x:c r="D14" s="66" t="str">
        <x:v>治理链已实现</x:v>
      </x:c>
      <x:c r="E14" s="66" t="str">
        <x:v>复用WritePipeline/Audit</x:v>
      </x:c>
      <x:c r="F14" s="66" t="str">
        <x:v>Automation/SCADA</x:v>
      </x:c>
      <x:c r="G14" s="66" t="str">
        <x:v>已覆盖</x:v>
      </x:c>
      <x:c r="H14" s="66" t="str">
        <x:v>现场配方审批策略可扩展</x:v>
      </x:c>
    </x:row>
    <x:row r="15">
      <x:c r="A15" s="58" t="str">
        <x:v>Runtime Health</x:v>
      </x:c>
      <x:c r="B15" s="58" t="str">
        <x:v>Provider/Cache/Alarm/Historian/Write metrics</x:v>
      </x:c>
      <x:c r="C15" s="58" t="str">
        <x:v>健康、队列、失败、重连、写回诊断</x:v>
      </x:c>
      <x:c r="D15" s="58" t="str">
        <x:v>V6.4 metrics + Gate</x:v>
      </x:c>
      <x:c r="E15" s="58" t="str">
        <x:v>Watchdog/有界观测</x:v>
      </x:c>
      <x:c r="F15" s="58" t="str">
        <x:v>Automation</x:v>
      </x:c>
      <x:c r="G15" s="58" t="str">
        <x:v>基础完成</x:v>
      </x:c>
      <x:c r="H15" s="58" t="str">
        <x:v>量化阈值待现场</x:v>
      </x:c>
    </x:row>
    <x:row r="16">
      <x:c r="A16" s="66"/>
      <x:c r="B16" s="66"/>
      <x:c r="C16" s="66"/>
      <x:c r="D16" s="66"/>
      <x:c r="E16" s="66"/>
      <x:c r="F16" s="66"/>
      <x:c r="G16" s="66"/>
      <x:c r="H16" s="66"/>
    </x:row>
    <x:row r="17">
      <x:c r="A17" s="58"/>
      <x:c r="B17" s="58"/>
      <x:c r="C17" s="58"/>
      <x:c r="D17" s="58"/>
      <x:c r="E17" s="58"/>
      <x:c r="F17" s="58"/>
      <x:c r="G17" s="58"/>
      <x:c r="H17" s="58"/>
    </x:row>
    <x:row r="18">
      <x:c r="A18" s="118" t="str">
        <x:v>B. Modbus TCP 真实协议能力</x:v>
      </x:c>
      <x:c r="B18" s="118"/>
      <x:c r="C18" s="118"/>
      <x:c r="D18" s="118"/>
      <x:c r="E18" s="118"/>
      <x:c r="F18" s="118"/>
      <x:c r="G18" s="118"/>
      <x:c r="H18" s="118"/>
    </x:row>
    <x:row r="19" ht="24" customHeight="1">
      <x:c r="A19" s="119" t="str">
        <x:v>能力</x:v>
      </x:c>
      <x:c r="B19" s="119" t="str">
        <x:v>V6.4实现</x:v>
      </x:c>
      <x:c r="C19" s="119" t="str">
        <x:v>边界</x:v>
      </x:c>
      <x:c r="D19" s="119" t="str">
        <x:v>验证</x:v>
      </x:c>
      <x:c r="E19" s="119" t="str">
        <x:v>未覆盖</x:v>
      </x:c>
      <x:c r="F19" s="119" t="str">
        <x:v>Owner</x:v>
      </x:c>
      <x:c r="G19" s="119" t="str">
        <x:v>状态</x:v>
      </x:c>
      <x:c r="H19" s="119" t="str">
        <x:v>备注</x:v>
      </x:c>
    </x:row>
    <x:row r="20" ht="28" customHeight="1">
      <x:c r="A20" s="145" t="str">
        <x:v>读功能码</x:v>
      </x:c>
      <x:c r="B20" s="145" t="str">
        <x:v>FC01/02/03/04</x:v>
      </x:c>
      <x:c r="C20" s="145" t="str">
        <x:v>Coil/Discrete/Input/Holding</x:v>
      </x:c>
      <x:c r="D20" s="145" t="str">
        <x:v>本地Socket Slave集成Case</x:v>
      </x:c>
      <x:c r="E20" s="145" t="str">
        <x:v>非法响应矩阵待继续</x:v>
      </x:c>
      <x:c r="F20" s="145" t="str">
        <x:v>Automation.Drivers/Modbus</x:v>
      </x:c>
      <x:c r="G20" s="145" t="str">
        <x:v>完成</x:v>
      </x:c>
      <x:c r="H20" s="145" t="str">
        <x:v>纯.NET TCP/MBAP/PDU</x:v>
      </x:c>
    </x:row>
    <x:row r="21">
      <x:c r="A21" s="66" t="str">
        <x:v>写功能码</x:v>
      </x:c>
      <x:c r="B21" s="66" t="str">
        <x:v>FC05/06/15/16</x:v>
      </x:c>
      <x:c r="C21" s="66" t="str">
        <x:v>单/多Coil/Register</x:v>
      </x:c>
      <x:c r="D21" s="66" t="str">
        <x:v>写→Readback→Audit Case</x:v>
      </x:c>
      <x:c r="E21" s="66" t="str">
        <x:v>现场PLC厂商差异待实机</x:v>
      </x:c>
      <x:c r="F21" s="66" t="str">
        <x:v>Automation.Drivers/Modbus</x:v>
      </x:c>
      <x:c r="G21" s="66" t="str">
        <x:v>完成</x:v>
      </x:c>
      <x:c r="H21" s="66" t="str">
        <x:v>常规Tag写多用05/06/16</x:v>
      </x:c>
    </x:row>
    <x:row r="22">
      <x:c r="A22" s="58" t="str">
        <x:v>数据类型</x:v>
      </x:c>
      <x:c r="B22" s="58" t="str">
        <x:v>Bool/Int16/UInt16/Int32/UInt32/Int64/UInt64/Float/Double/String[n]</x:v>
      </x:c>
      <x:c r="C22" s="58" t="str">
        <x:v>标量/ASCII String</x:v>
      </x:c>
      <x:c r="D22" s="58" t="str">
        <x:v>Codec Case</x:v>
      </x:c>
      <x:c r="E22" s="58" t="str">
        <x:v>复杂UDT映射继续Case</x:v>
      </x:c>
      <x:c r="F22" s="58" t="str">
        <x:v>Automation.Drivers/Modbus</x:v>
      </x:c>
      <x:c r="G22" s="58" t="str">
        <x:v>完成</x:v>
      </x:c>
      <x:c r="H22" s="58" t="str">
        <x:v>ABCD/BADC/CDAB/DCBA</x:v>
      </x:c>
    </x:row>
    <x:row r="23">
      <x:c r="A23" s="66" t="str">
        <x:v>Polling</x:v>
      </x:c>
      <x:c r="B23" s="66" t="str">
        <x:v>连续地址合并/Batch</x:v>
      </x:c>
      <x:c r="C23" s="66" t="str">
        <x:v>按Area、最大数量、gap策略</x:v>
      </x:c>
      <x:c r="D23" s="66" t="str">
        <x:v>10k Tag功能场景</x:v>
      </x:c>
      <x:c r="E23" s="66" t="str">
        <x:v>目标机定量吞吐待认证</x:v>
      </x:c>
      <x:c r="F23" s="66" t="str">
        <x:v>Automation.Drivers</x:v>
      </x:c>
      <x:c r="G23" s="66" t="str">
        <x:v>完成</x:v>
      </x:c>
      <x:c r="H23" s="66" t="str">
        <x:v>不在Platform实现协议规则</x:v>
      </x:c>
    </x:row>
    <x:row r="24">
      <x:c r="A24" s="58" t="str">
        <x:v>断线恢复</x:v>
      </x:c>
      <x:c r="B24" s="58" t="str">
        <x:v>Disconnected→Reconnect→Good</x:v>
      </x:c>
      <x:c r="C24" s="58" t="str">
        <x:v>Resource/Definition不重建</x:v>
      </x:c>
      <x:c r="D24" s="58" t="str">
        <x:v>Socket关闭/恢复Case</x:v>
      </x:c>
      <x:c r="E24" s="58" t="str">
        <x:v>电源循环/恶意报文待实机</x:v>
      </x:c>
      <x:c r="F24" s="58" t="str">
        <x:v>Automation.Drivers</x:v>
      </x:c>
      <x:c r="G24" s="58" t="str">
        <x:v>完成</x:v>
      </x:c>
      <x:c r="H24" s="58" t="str">
        <x:v>Backoff + FailureThreshold</x:v>
      </x:c>
    </x:row>
    <x:row r="25">
      <x:c r="A25" s="66"/>
      <x:c r="B25" s="66"/>
      <x:c r="C25" s="66"/>
      <x:c r="D25" s="66"/>
      <x:c r="E25" s="66"/>
      <x:c r="F25" s="66"/>
      <x:c r="G25" s="66"/>
      <x:c r="H25" s="66"/>
    </x:row>
    <x:row r="26">
      <x:c r="A26" s="58"/>
      <x:c r="B26" s="58"/>
      <x:c r="C26" s="58"/>
      <x:c r="D26" s="58"/>
      <x:c r="E26" s="58"/>
      <x:c r="F26" s="58"/>
      <x:c r="G26" s="58"/>
      <x:c r="H26" s="58"/>
    </x:row>
    <x:row r="27">
      <x:c r="A27" s="118" t="str">
        <x:v>C. Controlled Write 正式链</x:v>
      </x:c>
      <x:c r="B27" s="118"/>
      <x:c r="C27" s="118"/>
      <x:c r="D27" s="118"/>
      <x:c r="E27" s="118"/>
      <x:c r="F27" s="118"/>
      <x:c r="G27" s="118"/>
      <x:c r="H27" s="118"/>
    </x:row>
    <x:row r="28" ht="24" customHeight="1">
      <x:c r="A28" s="119" t="str">
        <x:v>步骤</x:v>
      </x:c>
      <x:c r="B28" s="119" t="str">
        <x:v>输入</x:v>
      </x:c>
      <x:c r="C28" s="119" t="str">
        <x:v>执行/检查</x:v>
      </x:c>
      <x:c r="D28" s="119" t="str">
        <x:v>结果</x:v>
      </x:c>
      <x:c r="E28" s="119" t="str">
        <x:v>失败策略</x:v>
      </x:c>
      <x:c r="F28" s="119" t="str">
        <x:v>证据</x:v>
      </x:c>
      <x:c r="G28" s="119" t="str">
        <x:v>Owner</x:v>
      </x:c>
      <x:c r="H28" s="119" t="str">
        <x:v>规则</x:v>
      </x:c>
    </x:row>
    <x:row r="29" ht="28" customHeight="1">
      <x:c r="A29" s="145" t="str">
        <x:v>1</x:v>
      </x:c>
      <x:c r="B29" s="145" t="str">
        <x:v>VariableWriteRequest</x:v>
      </x:c>
      <x:c r="C29" s="145" t="str">
        <x:v>Mode / Authorization / Policy / Type / Range</x:v>
      </x:c>
      <x:c r="D29" s="145" t="str">
        <x:v>允许/拒绝</x:v>
      </x:c>
      <x:c r="E29" s="145" t="str">
        <x:v>拒绝不下发</x:v>
      </x:c>
      <x:c r="F29" s="145" t="str">
        <x:v>V6.4 WritePipeline</x:v>
      </x:c>
      <x:c r="G29" s="145" t="str">
        <x:v>Platform/Automation</x:v>
      </x:c>
      <x:c r="H29" s="145" t="str">
        <x:v>UI/Graph不可绕过</x:v>
      </x:c>
    </x:row>
    <x:row r="30">
      <x:c r="A30" s="66" t="str">
        <x:v>2</x:v>
      </x:c>
      <x:c r="B30" s="66" t="str">
        <x:v>Provider Write</x:v>
      </x:c>
      <x:c r="C30" s="66" t="str">
        <x:v>按VariableBinding路由到Provider</x:v>
      </x:c>
      <x:c r="D30" s="66" t="str">
        <x:v>Provider Ack</x:v>
      </x:c>
      <x:c r="E30" s="66" t="str">
        <x:v>Timeout/Provider fault</x:v>
      </x:c>
      <x:c r="F30" s="66" t="str">
        <x:v>Modbus write Case</x:v>
      </x:c>
      <x:c r="G30" s="66" t="str">
        <x:v>Automation.Drivers</x:v>
      </x:c>
      <x:c r="H30" s="66" t="str">
        <x:v>本地缓存更新不等于设备写成功</x:v>
      </x:c>
    </x:row>
    <x:row r="31">
      <x:c r="A31" s="58" t="str">
        <x:v>3</x:v>
      </x:c>
      <x:c r="B31" s="58" t="str">
        <x:v>Bounded Readback</x:v>
      </x:c>
      <x:c r="C31" s="58" t="str">
        <x:v>RequireReadback + timeout/poll interval/tolerance</x:v>
      </x:c>
      <x:c r="D31" s="58" t="str">
        <x:v>实际值</x:v>
      </x:c>
      <x:c r="E31" s="58" t="str">
        <x:v>Mismatch→CXV-WRITE-009</x:v>
      </x:c>
      <x:c r="F31" s="58" t="str">
        <x:v>V64WritePipelineRejectsReadbackMismatch</x:v>
      </x:c>
      <x:c r="G31" s="58" t="str">
        <x:v>Platform/SCADA</x:v>
      </x:c>
      <x:c r="H31" s="58" t="str">
        <x:v>默认真实写要求回读</x:v>
      </x:c>
    </x:row>
    <x:row r="32">
      <x:c r="A32" s="66" t="str">
        <x:v>4</x:v>
      </x:c>
      <x:c r="B32" s="66" t="str">
        <x:v>Audit</x:v>
      </x:c>
      <x:c r="C32" s="66" t="str">
        <x:v>Before/Requested/Readback/Result/Correlation</x:v>
      </x:c>
      <x:c r="D32" s="66" t="str">
        <x:v>AuditEvent</x:v>
      </x:c>
      <x:c r="E32" s="66" t="str">
        <x:v>失败也记录</x:v>
      </x:c>
      <x:c r="F32" s="66" t="str">
        <x:v>Write+Audit Case</x:v>
      </x:c>
      <x:c r="G32" s="66" t="str">
        <x:v>Security/Audit</x:v>
      </x:c>
      <x:c r="H32" s="66" t="str">
        <x:v>完整链路可追溯</x:v>
      </x:c>
    </x:row>
    <x:row r="33">
      <x:c r="A33" s="58"/>
      <x:c r="B33" s="58"/>
      <x:c r="C33" s="58"/>
      <x:c r="D33" s="58"/>
      <x:c r="E33" s="58"/>
      <x:c r="F33" s="58"/>
      <x:c r="G33" s="58"/>
      <x:c r="H33" s="58"/>
    </x:row>
    <x:row r="34">
      <x:c r="A34" s="117"/>
      <x:c r="B34" s="117"/>
      <x:c r="C34" s="117"/>
      <x:c r="D34" s="117"/>
      <x:c r="E34" s="117"/>
      <x:c r="F34" s="117"/>
      <x:c r="G34" s="117"/>
      <x:c r="H34" s="117"/>
    </x:row>
    <x:row r="35">
      <x:c r="A35" s="118" t="str">
        <x:v>D. 故障 / 生命周期 Case</x:v>
      </x:c>
      <x:c r="B35" s="118"/>
      <x:c r="C35" s="118"/>
      <x:c r="D35" s="118"/>
      <x:c r="E35" s="118"/>
      <x:c r="F35" s="118"/>
      <x:c r="G35" s="118"/>
      <x:c r="H35" s="118"/>
    </x:row>
    <x:row r="36">
      <x:c r="A36" s="119" t="str">
        <x:v>Case</x:v>
      </x:c>
      <x:c r="B36" s="119" t="str">
        <x:v>攻击点</x:v>
      </x:c>
      <x:c r="C36" s="119" t="str">
        <x:v>必须表现</x:v>
      </x:c>
      <x:c r="D36" s="119" t="str">
        <x:v>V6.4证据</x:v>
      </x:c>
      <x:c r="E36" s="119" t="str">
        <x:v>状态</x:v>
      </x:c>
      <x:c r="F36" s="119" t="str">
        <x:v>下一步</x:v>
      </x:c>
      <x:c r="G36" s="119" t="str">
        <x:v>Owner</x:v>
      </x:c>
      <x:c r="H36" s="119" t="str">
        <x:v>备注</x:v>
      </x:c>
    </x:row>
    <x:row r="37">
      <x:c r="A37" s="117" t="str">
        <x:v>PLC网络断开</x:v>
      </x:c>
      <x:c r="B37" s="117" t="str">
        <x:v>Socket/Quality/Backoff</x:v>
      </x:c>
      <x:c r="C37" s="117" t="str">
        <x:v>Tag→Disconnected；重连后同一Ref恢复Good</x:v>
      </x:c>
      <x:c r="D37" s="117" t="str">
        <x:v>V64ModbusTcpDisconnectReconnectAndRecovery</x:v>
      </x:c>
      <x:c r="E37" s="117" t="str">
        <x:v>通过</x:v>
      </x:c>
      <x:c r="F37" s="117" t="str">
        <x:v>实PLC拔线/上电</x:v>
      </x:c>
      <x:c r="G37" s="117" t="str">
        <x:v>Automation</x:v>
      </x:c>
      <x:c r="H37" s="117" t="str">
        <x:v>不重建Resource</x:v>
      </x:c>
    </x:row>
    <x:row r="38">
      <x:c r="A38" s="117" t="str">
        <x:v>Station Start/Stop/Restart</x:v>
      </x:c>
      <x:c r="B38" s="117" t="str">
        <x:v>订阅/Worker/Dispose</x:v>
      </x:c>
      <x:c r="C38" s="117" t="str">
        <x:v>可重复启停，不累积订阅/线程</x:v>
      </x:c>
      <x:c r="D38" s="117" t="str">
        <x:v>V6.2/V6.3前序Case</x:v>
      </x:c>
      <x:c r="E38" s="117" t="str">
        <x:v>通过</x:v>
      </x:c>
      <x:c r="F38" s="117" t="str">
        <x:v>100次启停+72h</x:v>
      </x:c>
      <x:c r="G38" s="117" t="str">
        <x:v>Runtime</x:v>
      </x:c>
      <x:c r="H38" s="117" t="str">
        <x:v>Stop幂等</x:v>
      </x:c>
    </x:row>
    <x:row r="39">
      <x:c r="A39" s="117" t="str">
        <x:v>10k Tag</x:v>
      </x:c>
      <x:c r="B39" s="117" t="str">
        <x:v>缓存/订阅/Queue</x:v>
      </x:c>
      <x:c r="C39" s="117" t="str">
        <x:v>有界、无无界增长</x:v>
      </x:c>
      <x:c r="D39" s="117" t="str">
        <x:v>前序10k Tag Case</x:v>
      </x:c>
      <x:c r="E39" s="117" t="str">
        <x:v>功能通过</x:v>
      </x:c>
      <x:c r="F39" s="117" t="str">
        <x:v>Windows CPU/内存/Latency认证</x:v>
      </x:c>
      <x:c r="G39" s="117" t="str">
        <x:v>SCADA</x:v>
      </x:c>
      <x:c r="H39" s="117" t="str">
        <x:v>暂不宣称性能数字</x:v>
      </x:c>
    </x:row>
    <x:row r="40">
      <x:c r="A40" s="117" t="str">
        <x:v>Alarm Storm</x:v>
      </x:c>
      <x:c r="B40" s="117" t="str">
        <x:v>Queue/Drop/Ack/Suppress</x:v>
      </x:c>
      <x:c r="C40" s="117" t="str">
        <x:v>报警不拖垮Runtime，drop可诊断</x:v>
      </x:c>
      <x:c r="D40" s="117" t="str">
        <x:v>前序Alarm Storm Case</x:v>
      </x:c>
      <x:c r="E40" s="117" t="str">
        <x:v>通过</x:v>
      </x:c>
      <x:c r="F40" s="117" t="str">
        <x:v>更高频故障注入</x:v>
      </x:c>
      <x:c r="G40" s="117" t="str">
        <x:v>SCADA</x:v>
      </x:c>
      <x:c r="H40" s="117" t="str">
        <x:v>观测链有界</x:v>
      </x:c>
    </x:row>
    <x:row r="41">
      <x:c r="A41" s="117" t="str">
        <x:v>Historian Backend Down</x:v>
      </x:c>
      <x:c r="B41" s="117" t="str">
        <x:v>StoreForward/Recovery</x:v>
      </x:c>
      <x:c r="C41" s="117" t="str">
        <x:v>原时间戳保留，恢复补写</x:v>
      </x:c>
      <x:c r="D41" s="117" t="str">
        <x:v>前序StoreForward Case</x:v>
      </x:c>
      <x:c r="E41" s="117" t="str">
        <x:v>通过</x:v>
      </x:c>
      <x:c r="F41" s="117" t="str">
        <x:v>磁盘满/IO故障</x:v>
      </x:c>
      <x:c r="G41" s="117" t="str">
        <x:v>SCADA</x:v>
      </x:c>
      <x:c r="H41" s="117" t="str">
        <x:v>不阻塞Provider</x:v>
      </x:c>
    </x:row>
    <x:row r="42">
      <x:c r="A42" s="117"/>
      <x:c r="B42" s="117"/>
      <x:c r="C42" s="117"/>
      <x:c r="D42" s="117"/>
      <x:c r="E42" s="117"/>
      <x:c r="F42" s="117"/>
      <x:c r="G42" s="117"/>
      <x:c r="H42" s="117"/>
    </x:row>
    <x:row r="43">
      <x:c r="A43" s="117"/>
      <x:c r="B43" s="117"/>
      <x:c r="C43" s="117"/>
      <x:c r="D43" s="117"/>
      <x:c r="E43" s="117"/>
      <x:c r="F43" s="117"/>
      <x:c r="G43" s="117"/>
      <x:c r="H43" s="117"/>
    </x:row>
    <x:row r="44">
      <x:c r="A44" s="118" t="str">
        <x:v>E. 与通用变量平台的关系</x:v>
      </x:c>
      <x:c r="B44" s="118"/>
      <x:c r="C44" s="118"/>
      <x:c r="D44" s="118"/>
      <x:c r="E44" s="118"/>
      <x:c r="F44" s="118"/>
      <x:c r="G44" s="118"/>
      <x:c r="H44" s="118"/>
    </x:row>
    <x:row r="45">
      <x:c r="A45" s="119" t="str">
        <x:v>主题</x:v>
      </x:c>
      <x:c r="B45" s="119" t="str">
        <x:v>V6.4现状</x:v>
      </x:c>
      <x:c r="C45" s="119" t="str">
        <x:v>V6.5目标</x:v>
      </x:c>
      <x:c r="D45" s="119" t="str">
        <x:v>规则</x:v>
      </x:c>
      <x:c r="E45" s="119" t="str">
        <x:v>DesignRef</x:v>
      </x:c>
      <x:c r="F45" s="119" t="str">
        <x:v>迁移方式</x:v>
      </x:c>
      <x:c r="G45" s="119" t="str">
        <x:v>状态</x:v>
      </x:c>
      <x:c r="H45" s="119" t="str">
        <x:v>备注</x:v>
      </x:c>
    </x:row>
    <x:row r="46">
      <x:c r="A46" s="117" t="str">
        <x:v>变量事实源</x:v>
      </x:c>
      <x:c r="B46" s="117" t="str">
        <x:v>DeviceVariable兼容 + IVariableProvider/StateCache</x:v>
      </x:c>
      <x:c r="C46" s="117" t="str">
        <x:v>Platform Universal Variable Runtime</x:v>
      </x:c>
      <x:c r="D46" s="117" t="str">
        <x:v>SCADA不再拥有第二套变量系统</x:v>
      </x:c>
      <x:c r="E46" s="117" t="str">
        <x:v>46/50</x:v>
      </x:c>
      <x:c r="F46" s="117" t="str">
        <x:v>Adapter→新Runtime</x:v>
      </x:c>
      <x:c r="G46" s="117" t="str">
        <x:v>设计中</x:v>
      </x:c>
      <x:c r="H46" s="117" t="str">
        <x:v>旧接口保留兼容期</x:v>
      </x:c>
    </x:row>
    <x:row r="47">
      <x:c r="A47" s="117" t="str">
        <x:v>变量身份</x:v>
      </x:c>
      <x:c r="B47" s="117" t="str">
        <x:v>部分Provider/Path驱动</x:v>
      </x:c>
      <x:c r="C47" s="117" t="str">
        <x:v>Stable VariableId + VariableSpace/Path</x:v>
      </x:c>
      <x:c r="D47" s="117" t="str">
        <x:v>改名/换PLC/换协议不破引用</x:v>
      </x:c>
      <x:c r="E47" s="117" t="str">
        <x:v>50</x:v>
      </x:c>
      <x:c r="F47" s="117" t="str">
        <x:v>SourceBinding迁移</x:v>
      </x:c>
      <x:c r="G47" s="117" t="str">
        <x:v>设计中</x:v>
      </x:c>
      <x:c r="H47" s="117" t="str">
        <x:v>Path不是唯一身份</x:v>
      </x:c>
    </x:row>
    <x:row r="48">
      <x:c r="A48" s="117" t="str">
        <x:v>设备关系</x:v>
      </x:c>
      <x:c r="B48" s="117" t="str">
        <x:v>旧MeasureDouble等把Device当变量</x:v>
      </x:c>
      <x:c r="C48" s="117" t="str">
        <x:v>DeviceNode/Group拥有VariableRef；Variable独立存在</x:v>
      </x:c>
      <x:c r="D48" s="117" t="str">
        <x:v>Device是现实对象，Variable是数据对象</x:v>
      </x:c>
      <x:c r="E48" s="117" t="str">
        <x:v>50</x:v>
      </x:c>
      <x:c r="F48" s="117" t="str">
        <x:v>Legacy映射</x:v>
      </x:c>
      <x:c r="G48" s="117" t="str">
        <x:v>设计中</x:v>
      </x:c>
      <x:c r="H48" s="117" t="str">
        <x:v>MeasureXxx最终淘汰</x:v>
      </x:c>
    </x:row>
    <x:row r="49">
      <x:c r="A49" s="117" t="str">
        <x:v>协议绑定</x:v>
      </x:c>
      <x:c r="B49" s="117" t="str">
        <x:v>DeviceName+VariableName/Address</x:v>
      </x:c>
      <x:c r="C49" s="117" t="str">
        <x:v>VariableBinding / ProviderBinding</x:v>
      </x:c>
      <x:c r="D49" s="117" t="str">
        <x:v>Modbus/S7细节只在Driver</x:v>
      </x:c>
      <x:c r="E49" s="117" t="str">
        <x:v>50</x:v>
      </x:c>
      <x:c r="F49" s="117" t="str">
        <x:v>按协议Binding迁移</x:v>
      </x:c>
      <x:c r="G49" s="117" t="str">
        <x:v>设计中</x:v>
      </x:c>
      <x:c r="H49" s="117" t="str">
        <x:v>Platform不知道DB/寄存器</x:v>
      </x:c>
    </x:row>
    <x:row r="50">
      <x:c r="A50" s="117"/>
      <x:c r="B50" s="117"/>
      <x:c r="C50" s="117"/>
      <x:c r="D50" s="117"/>
      <x:c r="E50" s="117"/>
      <x:c r="F50" s="117"/>
      <x:c r="G50" s="117"/>
      <x:c r="H50" s="117"/>
    </x:row>
    <x:row r="51">
      <x:c r="A51" s="117"/>
      <x:c r="B51" s="117"/>
      <x:c r="C51" s="117"/>
      <x:c r="D51" s="117"/>
      <x:c r="E51" s="117"/>
      <x:c r="F51" s="117"/>
      <x:c r="G51" s="117"/>
      <x:c r="H51" s="117"/>
    </x:row>
    <x:row r="52">
      <x:c r="A52" s="118" t="str">
        <x:v>F. V6.4 未认证边界 / DoD</x:v>
      </x:c>
      <x:c r="B52" s="118"/>
      <x:c r="C52" s="118"/>
      <x:c r="D52" s="118"/>
      <x:c r="E52" s="118"/>
      <x:c r="F52" s="118"/>
      <x:c r="G52" s="118"/>
      <x:c r="H52" s="118"/>
    </x:row>
    <x:row r="53">
      <x:c r="A53" s="119" t="str">
        <x:v>项</x:v>
      </x:c>
      <x:c r="B53" s="119" t="str">
        <x:v>当前状态</x:v>
      </x:c>
      <x:c r="C53" s="119" t="str">
        <x:v>达到工业签署还需要</x:v>
      </x:c>
      <x:c r="D53" s="119" t="str">
        <x:v>证据</x:v>
      </x:c>
      <x:c r="E53" s="119" t="str">
        <x:v>优先级</x:v>
      </x:c>
      <x:c r="F53" s="119" t="str">
        <x:v>Owner</x:v>
      </x:c>
      <x:c r="G53" s="119" t="str">
        <x:v>状态</x:v>
      </x:c>
      <x:c r="H53" s="119" t="str">
        <x:v>备注</x:v>
      </x:c>
    </x:row>
    <x:row r="54">
      <x:c r="A54" s="117" t="str">
        <x:v>Windows Build/Test/UiSmoke</x:v>
      </x:c>
      <x:c r="B54" s="117" t="str">
        <x:v>当前Linux静态/源码Gate通过</x:v>
      </x:c>
      <x:c r="C54" s="117" t="str">
        <x:v>VS2022 net48 Debug/Release + Tests + UiSmoke</x:v>
      </x:c>
      <x:c r="D54" s="117" t="str">
        <x:v>tools/verify-v64-windows.ps1</x:v>
      </x:c>
      <x:c r="E54" s="117" t="str">
        <x:v>P0</x:v>
      </x:c>
      <x:c r="F54" s="117" t="str">
        <x:v>团队</x:v>
      </x:c>
      <x:c r="G54" s="117" t="str">
        <x:v>待完成</x:v>
      </x:c>
      <x:c r="H54" s="117" t="str">
        <x:v>不可虚报</x:v>
      </x:c>
    </x:row>
    <x:row r="55">
      <x:c r="A55" s="117" t="str">
        <x:v>真实Modbus PLC</x:v>
      </x:c>
      <x:c r="B55" s="117" t="str">
        <x:v>协议路径已实现</x:v>
      </x:c>
      <x:c r="C55" s="117" t="str">
        <x:v>读写/拔线/PLC重启/非法响应/24h轮询</x:v>
      </x:c>
      <x:c r="D55" s="117" t="str">
        <x:v>现场报告</x:v>
      </x:c>
      <x:c r="E55" s="117" t="str">
        <x:v>P0</x:v>
      </x:c>
      <x:c r="F55" s="117" t="str">
        <x:v>自动化</x:v>
      </x:c>
      <x:c r="G55" s="117" t="str">
        <x:v>待完成</x:v>
      </x:c>
      <x:c r="H55" s="117" t="str">
        <x:v>至少1台PLC</x:v>
      </x:c>
    </x:row>
    <x:row r="56">
      <x:c r="A56" s="117" t="str">
        <x:v>S7/OPC UA/RTU</x:v>
      </x:c>
      <x:c r="B56" s="117" t="str">
        <x:v>未宣称</x:v>
      </x:c>
      <x:c r="C56" s="117" t="str">
        <x:v>实际Driver/设备Case</x:v>
      </x:c>
      <x:c r="D56" s="117" t="str">
        <x:v>Driver证据</x:v>
      </x:c>
      <x:c r="E56" s="117" t="str">
        <x:v>P1</x:v>
      </x:c>
      <x:c r="F56" s="117" t="str">
        <x:v>自动化</x:v>
      </x:c>
      <x:c r="G56" s="117" t="str">
        <x:v>待完成</x:v>
      </x:c>
      <x:c r="H56" s="117" t="str">
        <x:v>按项目优先</x:v>
      </x:c>
    </x:row>
    <x:row r="57">
      <x:c r="A57" s="117" t="str">
        <x:v>10k Tag定量性能</x:v>
      </x:c>
      <x:c r="B57" s="117" t="str">
        <x:v>功能Case已覆盖</x:v>
      </x:c>
      <x:c r="C57" s="117" t="str">
        <x:v>CPU/内存/update latency/queue depth</x:v>
      </x:c>
      <x:c r="D57" s="117" t="str">
        <x:v>Performance report</x:v>
      </x:c>
      <x:c r="E57" s="117" t="str">
        <x:v>P0</x:v>
      </x:c>
      <x:c r="F57" s="117" t="str">
        <x:v>性能/自动化</x:v>
      </x:c>
      <x:c r="G57" s="117" t="str">
        <x:v>待完成</x:v>
      </x:c>
      <x:c r="H57" s="117" t="str">
        <x:v>目标机数据</x:v>
      </x:c>
    </x:row>
    <x:row r="58">
      <x:c r="A58" s="117" t="str">
        <x:v>24h→72h Soak</x:v>
      </x:c>
      <x:c r="B58" s="117" t="str">
        <x:v>未认证</x:v>
      </x:c>
      <x:c r="C58" s="117" t="str">
        <x:v>无趋势性内存/线程/队列/句柄增长</x:v>
      </x:c>
      <x:c r="D58" s="117" t="str">
        <x:v>Soak report</x:v>
      </x:c>
      <x:c r="E58" s="117" t="str">
        <x:v>P0</x:v>
      </x:c>
      <x:c r="F58" s="117" t="str">
        <x:v>QA</x:v>
      </x:c>
      <x:c r="G58" s="117" t="str">
        <x:v>待完成</x:v>
      </x:c>
      <x:c r="H58" s="117" t="str">
        <x:v>先24h再72h</x:v>
      </x:c>
    </x:row>
    <x:row r="59">
      <x:c r="A59"/>
      <x:c r="B59"/>
      <x:c r="C59"/>
      <x:c r="D59"/>
      <x:c r="E59"/>
      <x:c r="F59"/>
      <x:c r="G59"/>
      <x:c r="H59"/>
    </x:row>
    <x:row r="60">
      <x:c r="A60"/>
      <x:c r="B60"/>
      <x:c r="C60"/>
      <x:c r="D60"/>
      <x:c r="E60"/>
      <x:c r="F60"/>
      <x:c r="G60"/>
      <x:c r="H60"/>
    </x:row>
    <x:row r="61">
      <x:c r="A61"/>
      <x:c r="B61"/>
      <x:c r="C61"/>
      <x:c r="D61"/>
      <x:c r="E61"/>
      <x:c r="F61"/>
      <x:c r="G61"/>
      <x:c r="H61"/>
    </x:row>
    <x:row r="62">
      <x:c r="A62"/>
      <x:c r="B62"/>
      <x:c r="C62"/>
      <x:c r="D62"/>
      <x:c r="E62"/>
      <x:c r="F62"/>
      <x:c r="G62"/>
      <x:c r="H62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36" hidden="0" customWidth="1"/>
    <x:col min="4" max="4" width="32" hidden="0" customWidth="1"/>
    <x:col min="5" max="5" width="34" hidden="0" customWidth="1"/>
    <x:col min="6" max="6" width="30" hidden="0" customWidth="1"/>
    <x:col min="7" max="7" width="28" hidden="0" customWidth="1"/>
    <x:col min="8" max="8" width="28" hidden="0" customWidth="1"/>
  </x:cols>
  <x:sheetData>
    <x:row r="1" ht="30" customHeight="1">
      <x:c r="A1" s="8" t="str">
        <x:v>CxVisual Runtime Host 与 Domain 宿主</x:v>
      </x:c>
      <x:c r="B1" s="8"/>
      <x:c r="C1" s="8"/>
      <x:c r="D1" s="8"/>
      <x:c r="E1" s="8"/>
      <x:c r="F1" s="8"/>
      <x:c r="G1" s="8"/>
      <x:c r="H1" s="8"/>
    </x:row>
    <x:row r="2" ht="38" customHeight="1">
      <x:c r="A2" s="16" t="str">
        <x:v>定义本机Runtime Host如何加载Project Snapshot/RuntimeProfile，协调Visual/SCADA与各Domain Runtime/Worker，同时保持本地自治。</x:v>
      </x:c>
      <x:c r="B2" s="16"/>
      <x:c r="C2" s="16"/>
      <x:c r="D2" s="16"/>
      <x:c r="E2" s="16"/>
      <x:c r="F2" s="16"/>
      <x:c r="G2" s="16"/>
      <x:c r="H2" s="16"/>
    </x:row>
    <x:row r="3">
      <x:c r="A3" s="30" t="str">
        <x:v>本页唯一权威</x:v>
      </x:c>
      <x:c r="B3" s="31" t="str">
        <x:v>IRuntimeHost、Load/Start/Stop/Reload、Domain Runtime协调、Worker/Agent故障隔离、本地自治与Host嵌入。</x:v>
      </x:c>
      <x:c r="C3" s="31"/>
      <x:c r="D3" s="31"/>
      <x:c r="E3" s="31"/>
      <x:c r="F3" s="31"/>
      <x:c r="G3" s="31"/>
      <x:c r="H3" s="31"/>
    </x:row>
    <x:row r="4">
      <x:c r="A4" s="30" t="str">
        <x:v>不在本页维护</x:v>
      </x:c>
      <x:c r="B4" s="31" t="str">
        <x:v>各Domain内部ExecutionPlan/NodeRunner语义（见27~39）、集中Operations业务（见38/39）。</x:v>
      </x:c>
      <x:c r="C4" s="31"/>
      <x:c r="D4" s="31"/>
      <x:c r="E4" s="31"/>
      <x:c r="F4" s="31"/>
      <x:c r="G4" s="31"/>
      <x:c r="H4" s="31"/>
    </x:row>
    <x:row r="5">
      <x:c r="A5" s="30" t="str">
        <x:v>关联分页</x:v>
      </x:c>
      <x:c r="B5" s="31" t="str">
        <x:v>17_SCADA_ICS；19~26_Graph Execution Platform；27~39_Domain Platforms；23_GraphRuntime部署可靠性Agent；46/47专项基线。</x:v>
      </x:c>
      <x:c r="C5" s="31"/>
      <x:c r="D5" s="31"/>
      <x:c r="E5" s="31"/>
      <x:c r="F5" s="31"/>
      <x:c r="G5" s="31"/>
      <x:c r="H5" s="31"/>
    </x:row>
    <x:row r="6">
      <x:c r="A6"/>
      <x:c r="B6"/>
      <x:c r="C6"/>
      <x:c r="D6"/>
      <x:c r="E6"/>
      <x:c r="F6"/>
      <x:c r="G6"/>
      <x:c r="H6"/>
    </x:row>
    <x:row r="7" ht="24" customHeight="1">
      <x:c r="A7" s="40" t="str">
        <x:v>A. Runtime生命周期与核心对象</x:v>
      </x:c>
      <x:c r="B7" s="40"/>
      <x:c r="C7" s="40"/>
      <x:c r="D7" s="40"/>
      <x:c r="E7" s="40"/>
      <x:c r="F7" s="40"/>
      <x:c r="G7" s="40"/>
      <x:c r="H7" s="40"/>
    </x:row>
    <x:row r="8" ht="28" customHeight="1">
      <x:c r="A8" s="50" t="str">
        <x:v>类/模块</x:v>
      </x:c>
      <x:c r="B8" s="50" t="str">
        <x:v>职责</x:v>
      </x:c>
      <x:c r="C8" s="50" t="str">
        <x:v>关键状态/数据</x:v>
      </x:c>
      <x:c r="D8" s="50" t="str">
        <x:v>关键流程</x:v>
      </x:c>
      <x:c r="E8" s="50" t="str">
        <x:v>边界</x:v>
      </x:c>
      <x:c r="F8" s="50" t="str">
        <x:v>诊断</x:v>
      </x:c>
      <x:c r="G8" s="50" t="str">
        <x:v>释放/异常</x:v>
      </x:c>
      <x:c r="H8" s="50" t="str">
        <x:v>M阶段</x:v>
      </x:c>
    </x:row>
    <x:row r="9">
      <x:c r="A9" s="58" t="str">
        <x:v>CxVisualRuntime</x:v>
      </x:c>
      <x:c r="B9" s="58" t="str">
        <x:v>对外唯一运行Facade</x:v>
      </x:c>
      <x:c r="C9" s="58" t="str">
        <x:v>Status/ProjectSnapshot/RuntimePlan/Engines/Services</x:v>
      </x:c>
      <x:c r="D9" s="58" t="str">
        <x:v>Load→Compile→Start→Run→Pause/Reload→Stop</x:v>
      </x:c>
      <x:c r="E9" s="58" t="str">
        <x:v>不依赖具体Host</x:v>
      </x:c>
      <x:c r="F9" s="58" t="str">
        <x:v>Runtime status + Diagnostic</x:v>
      </x:c>
      <x:c r="G9" s="58" t="str">
        <x:v>Stop幂等；Dispose完整</x:v>
      </x:c>
      <x:c r="H9" s="58" t="str">
        <x:v>M1~M3</x:v>
      </x:c>
    </x:row>
    <x:row r="10">
      <x:c r="A10" s="66" t="str">
        <x:v>RuntimePlanCompiler</x:v>
      </x:c>
      <x:c r="B10" s="66" t="str">
        <x:v>设计配置编译为只读运行计划</x:v>
      </x:c>
      <x:c r="C10" s="66" t="str">
        <x:v>pages/symbol plans/bindings/actions/dependency graph</x:v>
      </x:c>
      <x:c r="D10" s="66" t="str">
        <x:v>Validate→resolve symbols→compile behaviors→build indexes</x:v>
      </x:c>
      <x:c r="E10" s="66" t="str">
        <x:v>编译期发现结构错误</x:v>
      </x:c>
      <x:c r="F10" s="66" t="str">
        <x:v>Compile diagnostics</x:v>
      </x:c>
      <x:c r="G10" s="66" t="str">
        <x:v>失败可保留旧Plan</x:v>
      </x:c>
      <x:c r="H10" s="66" t="str">
        <x:v>M1~M3</x:v>
      </x:c>
    </x:row>
    <x:row r="11">
      <x:c r="A11" s="58" t="str">
        <x:v>RuntimeObjectRegistry</x:v>
      </x:c>
      <x:c r="B11" s="58" t="str">
        <x:v>页面对象+Symbol scoped child注册表</x:v>
      </x:c>
      <x:c r="C11" s="58" t="str">
        <x:v>RuntimeElementAddress→object/runtime state</x:v>
      </x:c>
      <x:c r="D11" s="58" t="str">
        <x:v>Build/Register/Find/Remove</x:v>
      </x:c>
      <x:c r="E11" s="58" t="str">
        <x:v>O(1)查找为主</x:v>
      </x:c>
      <x:c r="F11" s="58" t="str">
        <x:v>重复地址/失效引用</x:v>
      </x:c>
      <x:c r="G11" s="58" t="str">
        <x:v>Stop清空</x:v>
      </x:c>
      <x:c r="H11" s="58" t="str">
        <x:v>M3</x:v>
      </x:c>
    </x:row>
    <x:row r="12">
      <x:c r="A12" s="66" t="str">
        <x:v>RuntimeElementAddress</x:v>
      </x:c>
      <x:c r="B12" s="66" t="str">
        <x:v>统一运行地址值对象</x:v>
      </x:c>
      <x:c r="C12" s="66" t="str">
        <x:v>page element id 或 instanceId::localElementId</x:v>
      </x:c>
      <x:c r="D12" s="66" t="str">
        <x:v>Create/Parse/ParentInstance</x:v>
      </x:c>
      <x:c r="E12" s="66" t="str">
        <x:v>稳定、可序列化到诊断但不写工程结构</x:v>
      </x:c>
      <x:c r="F12" s="66" t="str">
        <x:v>地址解析错误</x:v>
      </x:c>
      <x:c r="G12" s="66" t="str">
        <x:v>无资源</x:v>
      </x:c>
      <x:c r="H12" s="66" t="str">
        <x:v>M3</x:v>
      </x:c>
    </x:row>
    <x:row r="13">
      <x:c r="A13" s="58" t="str">
        <x:v>RuntimePropertyStore</x:v>
      </x:c>
      <x:c r="B13" s="58" t="str">
        <x:v>同一对象属性多层值存储</x:v>
      </x:c>
      <x:c r="C13" s="58" t="str">
        <x:v>runtimeAddress+propertyKey+layer+source+priority</x:v>
      </x:c>
      <x:c r="D13" s="58" t="str">
        <x:v>Set/Clear/ClearSource/ClearLayer</x:v>
      </x:c>
      <x:c r="E13" s="58" t="str">
        <x:v>运行值绝不写DesignModel</x:v>
      </x:c>
      <x:c r="F13" s="58" t="str">
        <x:v>Source/Quality/Timestamp</x:v>
      </x:c>
      <x:c r="G13" s="58" t="str">
        <x:v>Stop全清</x:v>
      </x:c>
      <x:c r="H13" s="58" t="str">
        <x:v>M3</x:v>
      </x:c>
    </x:row>
    <x:row r="14">
      <x:c r="A14" s="66" t="str">
        <x:v>RuntimePropertyResolver</x:v>
      </x:c>
      <x:c r="B14" s="66" t="str">
        <x:v>最终值解析</x:v>
      </x:c>
      <x:c r="C14" s="66" t="str">
        <x:v>Design/Binding/Symbol/State/Animation/Action/Script/Guard</x:v>
      </x:c>
      <x:c r="D14" s="66" t="str">
        <x:v>Resolve/Explain</x:v>
      </x:c>
      <x:c r="E14" s="66" t="str">
        <x:v>唯一最终值入口</x:v>
      </x:c>
      <x:c r="F14" s="66" t="str">
        <x:v>ExplainResolution返回完整链</x:v>
      </x:c>
      <x:c r="G14" s="66" t="str">
        <x:v>无状态或可缓存</x:v>
      </x:c>
      <x:c r="H14" s="66" t="str">
        <x:v>M3</x:v>
      </x:c>
    </x:row>
    <x:row r="15">
      <x:c r="A15" s="58" t="str">
        <x:v>RuntimeStateMachine</x:v>
      </x:c>
      <x:c r="B15" s="58" t="str">
        <x:v>Runtime合法状态迁移</x:v>
      </x:c>
      <x:c r="C15" s="58" t="str">
        <x:v>Unloaded/Loaded/Starting/Running/Paused/Faulted/Stopped</x:v>
      </x:c>
      <x:c r="D15" s="58" t="str">
        <x:v>TryTransition</x:v>
      </x:c>
      <x:c r="E15" s="58" t="str">
        <x:v>Host只能请求，不可绕过</x:v>
      </x:c>
      <x:c r="F15" s="58" t="str">
        <x:v>非法状态Diagnostic</x:v>
      </x:c>
      <x:c r="G15" s="58" t="str">
        <x:v>线程安全</x:v>
      </x:c>
      <x:c r="H15" s="58" t="str">
        <x:v>M1</x:v>
      </x:c>
    </x:row>
    <x:row r="16">
      <x:c r="A16"/>
      <x:c r="B16"/>
      <x:c r="C16"/>
      <x:c r="D16"/>
      <x:c r="E16"/>
      <x:c r="F16"/>
      <x:c r="G16"/>
      <x:c r="H16"/>
    </x:row>
    <x:row r="17" ht="24" customHeight="1">
      <x:c r="A17" s="40" t="str">
        <x:v>B. 运行能力引擎</x:v>
      </x:c>
      <x:c r="B17" s="40"/>
      <x:c r="C17" s="40"/>
      <x:c r="D17" s="40"/>
      <x:c r="E17" s="40"/>
      <x:c r="F17" s="40"/>
      <x:c r="G17" s="40"/>
      <x:c r="H17" s="40"/>
    </x:row>
    <x:row r="18" ht="28" customHeight="1">
      <x:c r="A18" s="50" t="str">
        <x:v>引擎</x:v>
      </x:c>
      <x:c r="B18" s="50" t="str">
        <x:v>输入</x:v>
      </x:c>
      <x:c r="C18" s="50" t="str">
        <x:v>输出/层</x:v>
      </x:c>
      <x:c r="D18" s="50" t="str">
        <x:v>职责</x:v>
      </x:c>
      <x:c r="E18" s="50" t="str">
        <x:v>关键约束</x:v>
      </x:c>
      <x:c r="F18" s="50" t="str">
        <x:v>Designer入口</x:v>
      </x:c>
      <x:c r="G18" s="50" t="str">
        <x:v>验收</x:v>
      </x:c>
      <x:c r="H18" s="50" t="str">
        <x:v>M阶段</x:v>
      </x:c>
    </x:row>
    <x:row r="19">
      <x:c r="A19" s="66" t="str">
        <x:v>VariableEngine</x:v>
      </x:c>
      <x:c r="B19" s="66" t="str">
        <x:v>IVariableProvider订阅/批量值</x:v>
      </x:c>
      <x:c r="C19" s="66" t="str">
        <x:v>VariableCache</x:v>
      </x:c>
      <x:c r="D19" s="66" t="str">
        <x:v>共享订阅、质量、重连、batch</x:v>
      </x:c>
      <x:c r="E19" s="66" t="str">
        <x:v>Provider回调不直接碰WPF</x:v>
      </x:c>
      <x:c r="F19" s="66" t="str">
        <x:v>Tag Browser/Watch</x:v>
      </x:c>
      <x:c r="G19" s="66" t="str">
        <x:v>Stop后无订阅增长</x:v>
      </x:c>
      <x:c r="H19" s="66" t="str">
        <x:v>M3</x:v>
      </x:c>
    </x:row>
    <x:row r="20">
      <x:c r="A20" s="58" t="str">
        <x:v>BindingEngine</x:v>
      </x:c>
      <x:c r="B20" s="58" t="str">
        <x:v>BindingPlan + Variable/Property依赖</x:v>
      </x:c>
      <x:c r="C20" s="58" t="str">
        <x:v>Binding层</x:v>
      </x:c>
      <x:c r="D20" s="58" t="str">
        <x:v>求值、转换、Fallback、循环诊断</x:v>
      </x:c>
      <x:c r="E20" s="58" t="str">
        <x:v>Binding配置持久化；值不持久化</x:v>
      </x:c>
      <x:c r="F20" s="58" t="str">
        <x:v>绑定编辑器</x:v>
      </x:c>
      <x:c r="G20" s="58" t="str">
        <x:v>无效Binding局部隔离</x:v>
      </x:c>
      <x:c r="H20" s="58" t="str">
        <x:v>M3</x:v>
      </x:c>
    </x:row>
    <x:row r="21">
      <x:c r="A21" s="66" t="str">
        <x:v>SymbolRuntime</x:v>
      </x:c>
      <x:c r="B21" s="66" t="str">
        <x:v>SymbolRuntimePlan + Instance Override/Binding</x:v>
      </x:c>
      <x:c r="C21" s="66" t="str">
        <x:v>Symbol层</x:v>
      </x:c>
      <x:c r="D21" s="66" t="str">
        <x:v>公开属性解析并Mapping到scoped child</x:v>
      </x:c>
      <x:c r="E21" s="66" t="str">
        <x:v>多实例地址隔离</x:v>
      </x:c>
      <x:c r="F21" s="66" t="str">
        <x:v>Symbol Editor/实例属性</x:v>
      </x:c>
      <x:c r="G21" s="66" t="str">
        <x:v>100实例不串值</x:v>
      </x:c>
      <x:c r="H21" s="66" t="str">
        <x:v>M3</x:v>
      </x:c>
    </x:row>
    <x:row r="22">
      <x:c r="A22" s="58" t="str">
        <x:v>StateRuntime</x:v>
      </x:c>
      <x:c r="B22" s="58" t="str">
        <x:v>StateRulePlan</x:v>
      </x:c>
      <x:c r="C22" s="58" t="str">
        <x:v>State层</x:v>
      </x:c>
      <x:c r="D22" s="58" t="str">
        <x:v>条件评估、Priority、多属性Override</x:v>
      </x:c>
      <x:c r="E22" s="58" t="str">
        <x:v>失效必须Clear</x:v>
      </x:c>
      <x:c r="F22" s="58" t="str">
        <x:v>状态编辑器</x:v>
      </x:c>
      <x:c r="G22" s="58" t="str">
        <x:v>Fault恢复后回到底层</x:v>
      </x:c>
      <x:c r="H22" s="58" t="str">
        <x:v>M3</x:v>
      </x:c>
    </x:row>
    <x:row r="23">
      <x:c r="A23" s="66" t="str">
        <x:v>AnimationRuntime</x:v>
      </x:c>
      <x:c r="B23" s="66" t="str">
        <x:v>AnimationDefinition</x:v>
      </x:c>
      <x:c r="C23" s="66" t="str">
        <x:v>Animation层</x:v>
      </x:c>
      <x:c r="D23" s="66" t="str">
        <x:v>统一tick/插值/可见页策略</x:v>
      </x:c>
      <x:c r="E23" s="66" t="str">
        <x:v>停止/失效Clear</x:v>
      </x:c>
      <x:c r="F23" s="66" t="str">
        <x:v>动画编辑器</x:v>
      </x:c>
      <x:c r="G23" s="66" t="str">
        <x:v>100+动画稳定</x:v>
      </x:c>
      <x:c r="H23" s="66" t="str">
        <x:v>M3</x:v>
      </x:c>
    </x:row>
    <x:row r="24">
      <x:c r="A24" s="58" t="str">
        <x:v>EventRouter + ActionEngine</x:v>
      </x:c>
      <x:c r="B24" s="58" t="str">
        <x:v>平台事件 + ActionPlan</x:v>
      </x:c>
      <x:c r="C24" s="58" t="str">
        <x:v>Action层/外部副作用</x:v>
      </x:c>
      <x:c r="D24" s="58" t="str">
        <x:v>Click/Loaded/ValueChanged→Action链</x:v>
      </x:c>
      <x:c r="E24" s="58" t="str">
        <x:v>事件不直接改Model</x:v>
      </x:c>
      <x:c r="F24" s="58" t="str">
        <x:v>事件/动作编辑器</x:v>
      </x:c>
      <x:c r="G24" s="58" t="str">
        <x:v>异常隔离/可取消</x:v>
      </x:c>
      <x:c r="H24" s="58" t="str">
        <x:v>M3</x:v>
      </x:c>
    </x:row>
    <x:row r="25">
      <x:c r="A25" s="66" t="str">
        <x:v>AlarmEngine</x:v>
      </x:c>
      <x:c r="B25" s="66" t="str">
        <x:v>AlarmDefinition + 数据质量</x:v>
      </x:c>
      <x:c r="C25" s="66" t="str">
        <x:v>Alarm state/history</x:v>
      </x:c>
      <x:c r="D25" s="66" t="str">
        <x:v>报警触发/恢复/确认/抑制；视觉交给State</x:v>
      </x:c>
      <x:c r="E25" s="66" t="str">
        <x:v>不在Renderer改色</x:v>
      </x:c>
      <x:c r="F25" s="66" t="str">
        <x:v>报警配置/列表</x:v>
      </x:c>
      <x:c r="G25" s="66" t="str">
        <x:v>报警风暴可控</x:v>
      </x:c>
      <x:c r="H25" s="66" t="str">
        <x:v>M4</x:v>
      </x:c>
    </x:row>
    <x:row r="26">
      <x:c r="A26" s="58" t="str">
        <x:v>RuntimeGuard</x:v>
      </x:c>
      <x:c r="B26" s="58" t="str">
        <x:v>User/Permission/Mode/Policy</x:v>
      </x:c>
      <x:c r="C26" s="58" t="str">
        <x:v>Guard层</x:v>
      </x:c>
      <x:c r="D26" s="58" t="str">
        <x:v>Visible/Enabled/Writable等最终安全约束</x:v>
      </x:c>
      <x:c r="E26" s="58" t="str">
        <x:v>最高优先级，脚本不可覆盖</x:v>
      </x:c>
      <x:c r="F26" s="58" t="str">
        <x:v>权限页</x:v>
      </x:c>
      <x:c r="G26" s="58" t="str">
        <x:v>权限恢复自动回退</x:v>
      </x:c>
      <x:c r="H26" s="58" t="str">
        <x:v>M3/M4</x:v>
      </x:c>
    </x:row>
    <x:row r="27">
      <x:c r="A27" s="66" t="str">
        <x:v>WritePipeline</x:v>
      </x:c>
      <x:c r="B27" s="66" t="str">
        <x:v>WriteRequest</x:v>
      </x:c>
      <x:c r="C27" s="66" t="str">
        <x:v>Provider write + readback + audit</x:v>
      </x:c>
      <x:c r="D27" s="66" t="str">
        <x:v>Mode→Auth→Policy→Write→Readback→Audit</x:v>
      </x:c>
      <x:c r="E27" s="66" t="str">
        <x:v>生产Host任何写入口必须经过</x:v>
      </x:c>
      <x:c r="F27" s="66" t="str">
        <x:v>Preview写入总开关</x:v>
      </x:c>
      <x:c r="G27" s="66" t="str">
        <x:v>越权/失败可审计</x:v>
      </x:c>
      <x:c r="H27" s="66" t="str">
        <x:v>M3</x:v>
      </x:c>
    </x:row>
    <x:row r="28">
      <x:c r="A28" s="58" t="str">
        <x:v>ScriptRuntime</x:v>
      </x:c>
      <x:c r="B28" s="58" t="str">
        <x:v>ScriptRef + narrow Runtime API</x:v>
      </x:c>
      <x:c r="C28" s="58" t="str">
        <x:v>Script层/Action调用</x:v>
      </x:c>
      <x:c r="D28" s="58" t="str">
        <x:v>编译缓存、超时、白名单、诊断</x:v>
      </x:c>
      <x:c r="E28" s="58" t="str">
        <x:v>独立Runtime.Script；不直接操作WPF</x:v>
      </x:c>
      <x:c r="F28" s="58" t="str">
        <x:v>高级脚本页</x:v>
      </x:c>
      <x:c r="G28" s="58" t="str">
        <x:v>超时/异常不拖垮Runtime</x:v>
      </x:c>
      <x:c r="H28" s="58" t="str">
        <x:v>M5</x:v>
      </x:c>
    </x:row>
    <x:row r="29">
      <x:c r="A29"/>
      <x:c r="B29"/>
      <x:c r="C29"/>
      <x:c r="D29"/>
      <x:c r="E29"/>
      <x:c r="F29"/>
      <x:c r="G29"/>
      <x:c r="H29"/>
    </x:row>
    <x:row r="30" ht="24" customHeight="1">
      <x:c r="A30" s="40" t="str">
        <x:v>C. UI/Host协调</x:v>
      </x:c>
      <x:c r="B30" s="40"/>
      <x:c r="C30" s="40"/>
      <x:c r="D30" s="40"/>
      <x:c r="E30" s="40"/>
      <x:c r="F30" s="40"/>
      <x:c r="G30" s="40"/>
      <x:c r="H30" s="40"/>
    </x:row>
    <x:row r="31" ht="28" customHeight="1">
      <x:c r="A31" s="50" t="str">
        <x:v>类/模块</x:v>
      </x:c>
      <x:c r="B31" s="50" t="str">
        <x:v>职责</x:v>
      </x:c>
      <x:c r="C31" s="50" t="str">
        <x:v>WPF/WinForms关系</x:v>
      </x:c>
      <x:c r="D31" s="50" t="str">
        <x:v>关键流程</x:v>
      </x:c>
      <x:c r="E31" s="50" t="str">
        <x:v>边界</x:v>
      </x:c>
      <x:c r="F31" s="50" t="str">
        <x:v>释放</x:v>
      </x:c>
      <x:c r="G31" s="50" t="str">
        <x:v>验收</x:v>
      </x:c>
      <x:c r="H31" s="50" t="str">
        <x:v>M阶段</x:v>
      </x:c>
    </x:row>
    <x:row r="32">
      <x:c r="A32" s="66" t="str">
        <x:v>RuntimeRenderCoordinator</x:v>
      </x:c>
      <x:c r="B32" s="66" t="str">
        <x:v>把dirty runtime properties批量提交到Renderer</x:v>
      </x:c>
      <x:c r="C32" s="66" t="str">
        <x:v>通过IUiDispatcher进入UI线程</x:v>
      </x:c>
      <x:c r="D32" s="66" t="str">
        <x:v>Collect dirty→batch post→Renderer.Update</x:v>
      </x:c>
      <x:c r="E32" s="66" t="str">
        <x:v>只传最终ResolvedValue</x:v>
      </x:c>
      <x:c r="F32" s="66" t="str">
        <x:v>Host销毁后拒绝post</x:v>
      </x:c>
      <x:c r="G32" s="66" t="str">
        <x:v>高频变量不卡UI</x:v>
      </x:c>
      <x:c r="H32" s="66" t="str">
        <x:v>M3</x:v>
      </x:c>
    </x:row>
    <x:row r="33">
      <x:c r="A33" s="58" t="str">
        <x:v>CxVisualRuntimeView</x:v>
      </x:c>
      <x:c r="B33" s="58" t="str">
        <x:v>WPF运行视图</x:v>
      </x:c>
      <x:c r="C33" s="58" t="str">
        <x:v>独立Host与ElementHost共同承载</x:v>
      </x:c>
      <x:c r="D33" s="58" t="str">
        <x:v>AttachRuntime/DetachRuntime</x:v>
      </x:c>
      <x:c r="E33" s="58" t="str">
        <x:v>不自行new全局Runtime</x:v>
      </x:c>
      <x:c r="F33" s="58" t="str">
        <x:v>Detach释放scene/popup</x:v>
      </x:c>
      <x:c r="G33" s="58" t="str">
        <x:v>同工程显示一致</x:v>
      </x:c>
      <x:c r="H33" s="58" t="str">
        <x:v>M1~M3</x:v>
      </x:c>
    </x:row>
    <x:row r="34">
      <x:c r="A34" s="66" t="str">
        <x:v>RuntimePreviewController</x:v>
      </x:c>
      <x:c r="B34" s="66" t="str">
        <x:v>Designer中的真实Runtime桥</x:v>
      </x:c>
      <x:c r="C34" s="66" t="str">
        <x:v>Designer持有独立Runtime session</x:v>
      </x:c>
      <x:c r="D34" s="66" t="str">
        <x:v>snapshot→compile→start→watch→stop</x:v>
      </x:c>
      <x:c r="E34" s="66" t="str">
        <x:v>Preview不直接操作Designer Model</x:v>
      </x:c>
      <x:c r="F34" s="66" t="str">
        <x:v>Stop清层/订阅</x:v>
      </x:c>
      <x:c r="G34" s="66" t="str">
        <x:v>与独立Runtime一致</x:v>
      </x:c>
      <x:c r="H34" s="66" t="str">
        <x:v>M3</x:v>
      </x:c>
    </x:row>
    <x:row r="35">
      <x:c r="A35" s="58" t="str">
        <x:v>NavigationService</x:v>
      </x:c>
      <x:c r="B35" s="58" t="str">
        <x:v>Page stack/parameters/state retention</x:v>
      </x:c>
      <x:c r="C35" s="58" t="str">
        <x:v>RuntimeView消费</x:v>
      </x:c>
      <x:c r="D35" s="58" t="str">
        <x:v>Navigate/Back/Forward</x:v>
      </x:c>
      <x:c r="E35" s="58" t="str">
        <x:v>页面切换不重建全Runtime</x:v>
      </x:c>
      <x:c r="F35" s="58" t="str">
        <x:v>Stop清page states</x:v>
      </x:c>
      <x:c r="G35" s="58" t="str">
        <x:v>导航状态一致</x:v>
      </x:c>
      <x:c r="H35" s="58" t="str">
        <x:v>M4</x:v>
      </x:c>
    </x:row>
    <x:row r="36">
      <x:c r="A36" s="66" t="str">
        <x:v>PopupService</x:v>
      </x:c>
      <x:c r="B36" s="66" t="str">
        <x:v>Popup实例/参数/Owner/Modal</x:v>
      </x:c>
      <x:c r="C36" s="66" t="str">
        <x:v>WPF overlay/window</x:v>
      </x:c>
      <x:c r="D36" s="66" t="str">
        <x:v>Open/Close/CloseAll</x:v>
      </x:c>
      <x:c r="E36" s="66" t="str">
        <x:v>参数通过稳定DTO</x:v>
      </x:c>
      <x:c r="F36" s="66" t="str">
        <x:v>关闭释放binding</x:v>
      </x:c>
      <x:c r="G36" s="66" t="str">
        <x:v>重复开关无泄漏</x:v>
      </x:c>
      <x:c r="H36" s="66" t="str">
        <x:v>M4</x:v>
      </x:c>
    </x:row>
    <x:row r="37">
      <x:c r="A37" s="58" t="str">
        <x:v>StandardControlLayer</x:v>
      </x:c>
      <x:c r="B37" s="58" t="str">
        <x:v>真实WPF控件承载与TwoWay同步</x:v>
      </x:c>
      <x:c r="C37" s="58" t="str">
        <x:v>Rendering.Wpf/Runtime.Wpf</x:v>
      </x:c>
      <x:c r="D37" s="58" t="str">
        <x:v>CreateHost→SyncResolvedValue→CommitWrite</x:v>
      </x:c>
      <x:c r="E37" s="58" t="str">
        <x:v>行为控件专用，不由Shape renderer假装</x:v>
      </x:c>
      <x:c r="F37" s="58" t="str">
        <x:v>Host销毁Dispose</x:v>
      </x:c>
      <x:c r="G37" s="58" t="str">
        <x:v>焦点/IME/Tab正常</x:v>
      </x:c>
      <x:c r="H37" s="58" t="str">
        <x:v>M4</x:v>
      </x:c>
    </x:row>
    <x:row r="38">
      <x:c r="A38" s="66" t="str">
        <x:v>ChartRuntimeEngine</x:v>
      </x:c>
      <x:c r="B38" s="66" t="str">
        <x:v>Series缓存/采样/历史/降采样</x:v>
      </x:c>
      <x:c r="C38" s="66" t="str">
        <x:v>Chart host消费</x:v>
      </x:c>
      <x:c r="D38" s="66" t="str">
        <x:v>sampling→buffer→aggregate→render snapshot</x:v>
      </x:c>
      <x:c r="E38" s="66" t="str">
        <x:v>采样与UI刷新解耦</x:v>
      </x:c>
      <x:c r="F38" s="66" t="str">
        <x:v>缓存硬上限</x:v>
      </x:c>
      <x:c r="G38" s="66" t="str">
        <x:v>10k+点稳定</x:v>
      </x:c>
      <x:c r="H38" s="66" t="str">
        <x:v>M4</x:v>
      </x:c>
    </x:row>
    <x:row r="39">
      <x:c r="A39" s="58" t="str">
        <x:v>CxVisualRuntimeHostControl</x:v>
      </x:c>
      <x:c r="B39" s="58" t="str">
        <x:v>WinForms UserControl + ElementHost</x:v>
      </x:c>
      <x:c r="C39" s="58" t="str">
        <x:v>现有主程序集成点</x:v>
      </x:c>
      <x:c r="D39" s="58" t="str">
        <x:v>Create/Load/Start/Stop/Dispose</x:v>
      </x:c>
      <x:c r="E39" s="58" t="str">
        <x:v>只持有Facade/View，不暴露MainForm给Core</x:v>
      </x:c>
      <x:c r="F39" s="58" t="str">
        <x:v>Runtime.Stop→View.Detach→ElementHost Dispose</x:v>
      </x:c>
      <x:c r="G39" s="58" t="str">
        <x:v>DPI/焦点/反复打开稳定</x:v>
      </x:c>
      <x:c r="H39" s="58" t="str">
        <x:v>M1~M4</x:v>
      </x:c>
    </x:row>
    <x:row r="40">
      <x:c r="A40" s="66" t="str">
        <x:v>WinFormsFocusBridge</x:v>
      </x:c>
      <x:c r="B40" s="66" t="str">
        <x:v>焦点/IME/快捷键协调</x:v>
      </x:c>
      <x:c r="C40" s="66" t="str">
        <x:v>WinForms↔WPF边界</x:v>
      </x:c>
      <x:c r="D40" s="66" t="str">
        <x:v>Enter/Leave/ProcessCmdKey policy</x:v>
      </x:c>
      <x:c r="E40" s="66" t="str">
        <x:v>只做输入桥接</x:v>
      </x:c>
      <x:c r="F40" s="66" t="str">
        <x:v>Host销毁解绑</x:v>
      </x:c>
      <x:c r="G40" s="66" t="str">
        <x:v>中文输入/快捷键正常</x:v>
      </x:c>
      <x:c r="H40" s="66" t="str">
        <x:v>M1</x:v>
      </x:c>
    </x:row>
    <x:row r="41">
      <x:c r="A41" s="58" t="str">
        <x:v>RuntimeDiagnostics</x:v>
      </x:c>
      <x:c r="B41" s="58" t="str">
        <x:v>Binding/Action/Variable/Performance/Address解释</x:v>
      </x:c>
      <x:c r="C41" s="58" t="str">
        <x:v>Designer底部/Runtime诊断窗均可消费</x:v>
      </x:c>
      <x:c r="D41" s="58" t="str">
        <x:v>Record/GetSnapshot/Explain</x:v>
      </x:c>
      <x:c r="E41" s="58" t="str">
        <x:v>ring buffer有上限</x:v>
      </x:c>
      <x:c r="F41" s="58" t="str">
        <x:v>Stop/Dispose清理</x:v>
      </x:c>
      <x:c r="G41" s="58" t="str">
        <x:v>问题可定位到对象</x:v>
      </x:c>
      <x:c r="H41" s="58" t="str">
        <x:v>M3~RC</x:v>
      </x:c>
    </x:row>
    <x:row r="42">
      <x:c r="A42"/>
      <x:c r="B42"/>
      <x:c r="C42"/>
      <x:c r="D42"/>
      <x:c r="E42"/>
      <x:c r="F42"/>
      <x:c r="G42"/>
      <x:c r="H42"/>
    </x:row>
    <x:row r="43">
      <x:c r="A43"/>
      <x:c r="B43"/>
      <x:c r="C43"/>
      <x:c r="D43"/>
      <x:c r="E43"/>
      <x:c r="F43"/>
      <x:c r="G43"/>
      <x:c r="H43"/>
    </x:row>
    <x:row r="44" ht="24" customHeight="1">
      <x:c r="A44" s="40" t="str">
        <x:v>D. 多域 Runtime 协调</x:v>
      </x:c>
      <x:c r="B44" s="40"/>
      <x:c r="C44" s="40"/>
      <x:c r="D44" s="40"/>
      <x:c r="E44" s="40"/>
      <x:c r="F44" s="40"/>
      <x:c r="G44" s="40"/>
      <x:c r="H44" s="40"/>
    </x:row>
    <x:row r="45" ht="28" customHeight="1">
      <x:c r="A45" s="50" t="str">
        <x:v>类/模块</x:v>
      </x:c>
      <x:c r="B45" s="50" t="str">
        <x:v>职责</x:v>
      </x:c>
      <x:c r="C45" s="50" t="str">
        <x:v>启动顺序/关系</x:v>
      </x:c>
      <x:c r="D45" s="50" t="str">
        <x:v>主要状态</x:v>
      </x:c>
      <x:c r="E45" s="50" t="str">
        <x:v>依赖</x:v>
      </x:c>
      <x:c r="F45" s="50" t="str">
        <x:v>诊断</x:v>
      </x:c>
      <x:c r="G45" s="50" t="str">
        <x:v>停止/恢复</x:v>
      </x:c>
      <x:c r="H45" s="50" t="str">
        <x:v>阶段</x:v>
      </x:c>
    </x:row>
    <x:row r="46">
      <x:c r="A46" s="66" t="str">
        <x:v>RuntimePlatform</x:v>
      </x:c>
      <x:c r="B46" s="66" t="str">
        <x:v>全平台Runtime Facade</x:v>
      </x:c>
      <x:c r="C46" s="66" t="str">
        <x:v>Load Snapshot→Resolve Profile→Compile domains→Start services</x:v>
      </x:c>
      <x:c r="D46" s="66" t="str">
        <x:v>Status/ReleaseManifest/DomainSessions</x:v>
      </x:c>
      <x:c r="E46" s="66" t="str">
        <x:v>Runtime.Core + domain public runtimes</x:v>
      </x:c>
      <x:c r="F46" s="66" t="str">
        <x:v>Platform health</x:v>
      </x:c>
      <x:c r="G46" s="66" t="str">
        <x:v>Stop domains→providers→stores</x:v>
      </x:c>
      <x:c r="H46" s="66" t="str">
        <x:v>M3</x:v>
      </x:c>
    </x:row>
    <x:row r="47">
      <x:c r="A47" s="58" t="str">
        <x:v>RuntimeProfileResolver</x:v>
      </x:c>
      <x:c r="B47" s="58" t="str">
        <x:v>把工程配置解析成目标环境运行参数</x:v>
      </x:c>
      <x:c r="C47" s="58" t="str">
        <x:v>ProjectProfile + deployment inputs→ResolvedRuntimeProfile</x:v>
      </x:c>
      <x:c r="D47" s="58" t="str">
        <x:v>ProfileHash/Targets/Resources/Flags</x:v>
      </x:c>
      <x:c r="E47" s="58" t="str">
        <x:v>Core/Deployment/Security</x:v>
      </x:c>
      <x:c r="F47" s="58" t="str">
        <x:v>Resolution report</x:v>
      </x:c>
      <x:c r="G47" s="58" t="str">
        <x:v>失败不启动</x:v>
      </x:c>
      <x:c r="H47" s="58" t="str">
        <x:v>M3/M7</x:v>
      </x:c>
    </x:row>
    <x:row r="48">
      <x:c r="A48" s="66" t="str">
        <x:v>DomainRuntimeRegistry</x:v>
      </x:c>
      <x:c r="B48" s="66" t="str">
        <x:v>GraphKind/Domain→Compiler+Runtime factory</x:v>
      </x:c>
      <x:c r="C48" s="66" t="str">
        <x:v>启动时注册Visual/Scada/Motion/Vision/Inspection</x:v>
      </x:c>
      <x:c r="D48" s="66" t="str">
        <x:v>registered domains</x:v>
      </x:c>
      <x:c r="E48" s="66" t="str">
        <x:v>Graph.Runtime</x:v>
      </x:c>
      <x:c r="F48" s="66" t="str">
        <x:v>Missing domain</x:v>
      </x:c>
      <x:c r="G48" s="66" t="str">
        <x:v>Dispose factories/services</x:v>
      </x:c>
      <x:c r="H48" s="66" t="str">
        <x:v>M3</x:v>
      </x:c>
    </x:row>
    <x:row r="49">
      <x:c r="A49" s="58" t="str">
        <x:v>GraphInvocationService</x:v>
      </x:c>
      <x:c r="B49" s="58" t="str">
        <x:v>跨域调用统一Facade</x:v>
      </x:c>
      <x:c r="C49" s="58" t="str">
        <x:v>Inspection/Action→Resolve Definition/Version→Start DomainSession</x:v>
      </x:c>
      <x:c r="D49" s="58" t="str">
        <x:v>InvocationId/Result</x:v>
      </x:c>
      <x:c r="E49" s="58" t="str">
        <x:v>Graph/Domain runtimes</x:v>
      </x:c>
      <x:c r="F49" s="58" t="str">
        <x:v>Invocation trace</x:v>
      </x:c>
      <x:c r="G49" s="58" t="str">
        <x:v>Cancel/timeout传播</x:v>
      </x:c>
      <x:c r="H49" s="58" t="str">
        <x:v>M3~M6</x:v>
      </x:c>
    </x:row>
    <x:row r="50">
      <x:c r="A50" s="66" t="str">
        <x:v>RuntimeContext</x:v>
      </x:c>
      <x:c r="B50" s="66" t="str">
        <x:v>一次运行/任务共享上下文根</x:v>
      </x:c>
      <x:c r="C50" s="66" t="str">
        <x:v>User/Mode/Correlation/Resources/Variables/Profile/Services</x:v>
      </x:c>
      <x:c r="D50" s="66" t="str">
        <x:v>immutable + scoped state</x:v>
      </x:c>
      <x:c r="E50" s="66" t="str">
        <x:v>Abstractions</x:v>
      </x:c>
      <x:c r="F50" s="66" t="str">
        <x:v>Context snapshot</x:v>
      </x:c>
      <x:c r="G50" s="66" t="str">
        <x:v>scope dispose</x:v>
      </x:c>
      <x:c r="H50" s="66" t="str">
        <x:v>M3</x:v>
      </x:c>
    </x:row>
    <x:row r="51">
      <x:c r="A51" s="58" t="str">
        <x:v>CorrelationService</x:v>
      </x:c>
      <x:c r="B51" s="58" t="str">
        <x:v>生成/传播Task/Run/Node/Action/Device链路ID</x:v>
      </x:c>
      <x:c r="C51" s="58" t="str">
        <x:v>所有Runtime事件统一携带</x:v>
      </x:c>
      <x:c r="D51" s="58" t="str">
        <x:v>Correlation tree</x:v>
      </x:c>
      <x:c r="E51" s="58" t="str">
        <x:v>Diagnostics</x:v>
      </x:c>
      <x:c r="F51" s="58" t="str">
        <x:v>Trace join</x:v>
      </x:c>
      <x:c r="G51" s="58" t="str">
        <x:v>跨线程/进程传播</x:v>
      </x:c>
      <x:c r="H51" s="58" t="str">
        <x:v>M3</x:v>
      </x:c>
    </x:row>
    <x:row r="52">
      <x:c r="A52" s="66" t="str">
        <x:v>RuntimeEventBus</x:v>
      </x:c>
      <x:c r="B52" s="66" t="str">
        <x:v>平台内部受控事件分发</x:v>
      </x:c>
      <x:c r="C52" s="66" t="str">
        <x:v>Domain state/diagnostic/alarm/task events</x:v>
      </x:c>
      <x:c r="D52" s="66" t="str">
        <x:v>bounded channels</x:v>
      </x:c>
      <x:c r="E52" s="66" t="str">
        <x:v>Runtime public contracts</x:v>
      </x:c>
      <x:c r="F52" s="66" t="str">
        <x:v>queue/drop metrics</x:v>
      </x:c>
      <x:c r="G52" s="66" t="str">
        <x:v>Stop清订阅</x:v>
      </x:c>
      <x:c r="H52" s="66" t="str">
        <x:v>M3</x:v>
      </x:c>
    </x:row>
    <x:row r="53">
      <x:c r="A53" s="58" t="str">
        <x:v>DomainHealthAggregator</x:v>
      </x:c>
      <x:c r="B53" s="58" t="str">
        <x:v>聚合Visual/SCADA/Motion/Vision/Inspection健康状态</x:v>
      </x:c>
      <x:c r="C53" s="58" t="str">
        <x:v>Health snapshot</x:v>
      </x:c>
      <x:c r="D53" s="58" t="str">
        <x:v>module status/counters</x:v>
      </x:c>
      <x:c r="E53" s="58" t="str">
        <x:v>Operations</x:v>
      </x:c>
      <x:c r="F53" s="58" t="str">
        <x:v>Health timeline</x:v>
      </x:c>
      <x:c r="G53" s="58" t="str">
        <x:v>降级/阻止新任务</x:v>
      </x:c>
      <x:c r="H53" s="58" t="str">
        <x:v>M7</x:v>
      </x:c>
    </x:row>
    <x:row r="54">
      <x:c r="A54"/>
      <x:c r="B54"/>
      <x:c r="C54"/>
      <x:c r="D54"/>
      <x:c r="E54"/>
      <x:c r="F54"/>
      <x:c r="G54"/>
      <x:c r="H54"/>
    </x:row>
    <x:row r="55" ht="24" customHeight="1">
      <x:c r="A55" s="40" t="str">
        <x:v>E. Domain Runtime 边界</x:v>
      </x:c>
      <x:c r="B55" s="40"/>
      <x:c r="C55" s="40"/>
      <x:c r="D55" s="40"/>
      <x:c r="E55" s="40"/>
      <x:c r="F55" s="40"/>
      <x:c r="G55" s="40"/>
      <x:c r="H55" s="40"/>
    </x:row>
    <x:row r="56" ht="28" customHeight="1">
      <x:c r="A56" s="50" t="str">
        <x:v>Domain</x:v>
      </x:c>
      <x:c r="B56" s="50" t="str">
        <x:v>Compiler</x:v>
      </x:c>
      <x:c r="C56" s="50" t="str">
        <x:v>Runtime Session</x:v>
      </x:c>
      <x:c r="D56" s="50" t="str">
        <x:v>输入</x:v>
      </x:c>
      <x:c r="E56" s="50" t="str">
        <x:v>输出</x:v>
      </x:c>
      <x:c r="F56" s="50" t="str">
        <x:v>共享平台服务</x:v>
      </x:c>
      <x:c r="G56" s="50" t="str">
        <x:v>禁止耦合</x:v>
      </x:c>
      <x:c r="H56" s="50" t="str">
        <x:v>阶段</x:v>
      </x:c>
    </x:row>
    <x:row r="57">
      <x:c r="A57" s="66" t="str">
        <x:v>Visual</x:v>
      </x:c>
      <x:c r="B57" s="66" t="str">
        <x:v>Visual/RuntimePlanCompiler</x:v>
      </x:c>
      <x:c r="C57" s="66" t="str">
        <x:v>CxVisualRuntimeView session</x:v>
      </x:c>
      <x:c r="D57" s="66" t="str">
        <x:v>Page/Symbol/Resolved properties</x:v>
      </x:c>
      <x:c r="E57" s="66" t="str">
        <x:v>UI render/state</x:v>
      </x:c>
      <x:c r="F57" s="66" t="str">
        <x:v>Variable/Resolver/Security/Diagnostics</x:v>
      </x:c>
      <x:c r="G57" s="66" t="str">
        <x:v>直接调用Motion/Vision内部</x:v>
      </x:c>
      <x:c r="H57" s="66" t="str">
        <x:v>M2</x:v>
      </x:c>
    </x:row>
    <x:row r="58">
      <x:c r="A58" s="58" t="str">
        <x:v>SCADA</x:v>
      </x:c>
      <x:c r="B58" s="58" t="str">
        <x:v>ScadaPlanCompiler</x:v>
      </x:c>
      <x:c r="C58" s="58" t="str">
        <x:v>ScadaRuntimeSession</x:v>
      </x:c>
      <x:c r="D58" s="58" t="str">
        <x:v>Devices/Variables/Alarm/History config</x:v>
      </x:c>
      <x:c r="E58" s="58" t="str">
        <x:v>Variable/Alarm/History states</x:v>
      </x:c>
      <x:c r="F58" s="58" t="str">
        <x:v>Provider/Security/Audit/Health</x:v>
      </x:c>
      <x:c r="G58" s="58" t="str">
        <x:v>Renderer解释报警规则</x:v>
      </x:c>
      <x:c r="H58" s="58" t="str">
        <x:v>M2</x:v>
      </x:c>
    </x:row>
    <x:row r="59">
      <x:c r="A59" s="66" t="str">
        <x:v>Motion</x:v>
      </x:c>
      <x:c r="B59" s="66" t="str">
        <x:v>MotionCompiler</x:v>
      </x:c>
      <x:c r="C59" s="66" t="str">
        <x:v>MotionRuntimeSession</x:v>
      </x:c>
      <x:c r="D59" s="66" t="str">
        <x:v>MotionProgram + ResourceRefs</x:v>
      </x:c>
      <x:c r="E59" s="66" t="str">
        <x:v>MotionResult/Device state</x:v>
      </x:c>
      <x:c r="F59" s="66" t="str">
        <x:v>Resource/Interlock/Debug/Correlation</x:v>
      </x:c>
      <x:c r="G59" s="66" t="str">
        <x:v>伺服闭环</x:v>
      </x:c>
      <x:c r="H59" s="66" t="str">
        <x:v>M4</x:v>
      </x:c>
    </x:row>
    <x:row r="60">
      <x:c r="A60" s="58" t="str">
        <x:v>Vision</x:v>
      </x:c>
      <x:c r="B60" s="58" t="str">
        <x:v>VisionCompiler</x:v>
      </x:c>
      <x:c r="C60" s="58" t="str">
        <x:v>VisionRuntimeSession/Worker</x:v>
      </x:c>
      <x:c r="D60" s="58" t="str">
        <x:v>VisionPipeline + typed inputs</x:v>
      </x:c>
      <x:c r="E60" s="58" t="str">
        <x:v>VisionResult/Port data</x:v>
      </x:c>
      <x:c r="F60" s="58" t="str">
        <x:v>Resource/Debug/Correlation/Artifact store</x:v>
      </x:c>
      <x:c r="G60" s="58" t="str">
        <x:v>UI持有图像buffer所有权</x:v>
      </x:c>
      <x:c r="H60" s="58" t="str">
        <x:v>M5</x:v>
      </x:c>
    </x:row>
    <x:row r="61">
      <x:c r="A61" s="66" t="str">
        <x:v>Inspection</x:v>
      </x:c>
      <x:c r="B61" s="66" t="str">
        <x:v>InspectionCompiler</x:v>
      </x:c>
      <x:c r="C61" s="66" t="str">
        <x:v>InspectionRuntimeSession</x:v>
      </x:c>
      <x:c r="D61" s="66" t="str">
        <x:v>InspectionFlow + ProductContext</x:v>
      </x:c>
      <x:c r="E61" s="66" t="str">
        <x:v>ResultContext/Task events</x:v>
      </x:c>
      <x:c r="F61" s="66" t="str">
        <x:v>Invocation/Checkpoint/Security/Correlation</x:v>
      </x:c>
      <x:c r="G61" s="66" t="str">
        <x:v>复制Motion/Vision逻辑</x:v>
      </x:c>
      <x:c r="H61" s="66" t="str">
        <x:v>M6</x:v>
      </x:c>
    </x:row>
    <x:row r="62">
      <x:c r="A62"/>
      <x:c r="B62"/>
      <x:c r="C62"/>
      <x:c r="D62"/>
      <x:c r="E62"/>
      <x:c r="F62"/>
      <x:c r="G62"/>
      <x:c r="H62"/>
    </x:row>
    <x:row r="63" ht="24" customHeight="1">
      <x:c r="A63" s="40" t="str">
        <x:v>F. Runtime Bridge / 跨域调用</x:v>
      </x:c>
      <x:c r="B63" s="40"/>
      <x:c r="C63" s="40"/>
      <x:c r="D63" s="40"/>
      <x:c r="E63" s="40"/>
      <x:c r="F63" s="40"/>
      <x:c r="G63" s="40"/>
      <x:c r="H63" s="40"/>
    </x:row>
    <x:row r="64" ht="28" customHeight="1">
      <x:c r="A64" s="50" t="str">
        <x:v>调用源</x:v>
      </x:c>
      <x:c r="B64" s="50" t="str">
        <x:v>目标</x:v>
      </x:c>
      <x:c r="C64" s="50" t="str">
        <x:v>契约</x:v>
      </x:c>
      <x:c r="D64" s="50" t="str">
        <x:v>版本策略</x:v>
      </x:c>
      <x:c r="E64" s="50" t="str">
        <x:v>取消/超时</x:v>
      </x:c>
      <x:c r="F64" s="50" t="str">
        <x:v>结果</x:v>
      </x:c>
      <x:c r="G64" s="50" t="str">
        <x:v>诊断</x:v>
      </x:c>
      <x:c r="H64" s="50" t="str">
        <x:v>规则</x:v>
      </x:c>
    </x:row>
    <x:row r="65">
      <x:c r="A65" s="58" t="str">
        <x:v>Page Action</x:v>
      </x:c>
      <x:c r="B65" s="58" t="str">
        <x:v>Motion/Vision/Inspection</x:v>
      </x:c>
      <x:c r="C65" s="58" t="str">
        <x:v>GraphInvocation(ActionTargetId, params)</x:v>
      </x:c>
      <x:c r="D65" s="58" t="str">
        <x:v>发布时Resolved</x:v>
      </x:c>
      <x:c r="E65" s="58" t="str">
        <x:v>Action策略</x:v>
      </x:c>
      <x:c r="F65" s="58" t="str">
        <x:v>ActionResult + DomainResult ref</x:v>
      </x:c>
      <x:c r="G65" s="58" t="str">
        <x:v>同Correlation</x:v>
      </x:c>
      <x:c r="H65" s="58" t="str">
        <x:v>UI不直接拿Domain session</x:v>
      </x:c>
    </x:row>
    <x:row r="66">
      <x:c r="A66" s="66" t="str">
        <x:v>Inspection</x:v>
      </x:c>
      <x:c r="B66" s="66" t="str">
        <x:v>Motion</x:v>
      </x:c>
      <x:c r="C66" s="66" t="str">
        <x:v>RunMotion(programId, version, params, context)</x:v>
      </x:c>
      <x:c r="D66" s="66" t="str">
        <x:v>Task启动固定</x:v>
      </x:c>
      <x:c r="E66" s="66" t="str">
        <x:v>传播Cancel/Timeout</x:v>
      </x:c>
      <x:c r="F66" s="66" t="str">
        <x:v>MotionResult</x:v>
      </x:c>
      <x:c r="G66" s="66" t="str">
        <x:v>Node/Device trace</x:v>
      </x:c>
      <x:c r="H66" s="66" t="str">
        <x:v>只用公开参数/结果</x:v>
      </x:c>
    </x:row>
    <x:row r="67">
      <x:c r="A67" s="58" t="str">
        <x:v>Inspection</x:v>
      </x:c>
      <x:c r="B67" s="58" t="str">
        <x:v>Vision</x:v>
      </x:c>
      <x:c r="C67" s="58" t="str">
        <x:v>RunVision(pipelineId, version, typed inputs)</x:v>
      </x:c>
      <x:c r="D67" s="58" t="str">
        <x:v>Task启动固定</x:v>
      </x:c>
      <x:c r="E67" s="58" t="str">
        <x:v>传播Cancel</x:v>
      </x:c>
      <x:c r="F67" s="58" t="str">
        <x:v>VisionResult</x:v>
      </x:c>
      <x:c r="G67" s="58" t="str">
        <x:v>Pipeline/Node timing</x:v>
      </x:c>
      <x:c r="H67" s="58" t="str">
        <x:v>大数据用Handle</x:v>
      </x:c>
    </x:row>
    <x:row r="68">
      <x:c r="A68" s="66" t="str">
        <x:v>Inspection</x:v>
      </x:c>
      <x:c r="B68" s="66" t="str">
        <x:v>MES/SCADA</x:v>
      </x:c>
      <x:c r="C68" s="66" t="str">
        <x:v>Gateway/Write/Query contracts</x:v>
      </x:c>
      <x:c r="D68" s="66" t="str">
        <x:v>Profile解析</x:v>
      </x:c>
      <x:c r="E68" s="66" t="str">
        <x:v>Retry/StoreForward</x:v>
      </x:c>
      <x:c r="F68" s="66" t="str">
        <x:v>Ack/Data</x:v>
      </x:c>
      <x:c r="G68" s="66" t="str">
        <x:v>Audit/Correlation</x:v>
      </x:c>
      <x:c r="H68" s="66" t="str">
        <x:v>外部副作用考虑幂等</x:v>
      </x:c>
    </x:row>
    <x:row r="69">
      <x:c r="A69" s="58" t="str">
        <x:v>Debug Studio</x:v>
      </x:c>
      <x:c r="B69" s="58" t="str">
        <x:v>任意Domain</x:v>
      </x:c>
      <x:c r="C69" s="58" t="str">
        <x:v>AttachDebug(session,target)</x:v>
      </x:c>
      <x:c r="D69" s="58" t="str">
        <x:v>目标Snapshot</x:v>
      </x:c>
      <x:c r="E69" s="58" t="str">
        <x:v>Stop/Pause/Step</x:v>
      </x:c>
      <x:c r="F69" s="58" t="str">
        <x:v>Debug events</x:v>
      </x:c>
      <x:c r="G69" s="58" t="str">
        <x:v>统一Trace</x:v>
      </x:c>
      <x:c r="H69" s="58" t="str">
        <x:v>Debug协议不等于业务API</x:v>
      </x:c>
    </x:row>
    <x:row r="70">
      <x:c r="A70"/>
      <x:c r="B70"/>
      <x:c r="C70"/>
      <x:c r="D70"/>
      <x:c r="E70"/>
      <x:c r="F70"/>
      <x:c r="G70"/>
      <x:c r="H70"/>
    </x:row>
    <x:row r="71">
      <x:c r="A71"/>
      <x:c r="B71"/>
      <x:c r="C71"/>
      <x:c r="D71"/>
      <x:c r="E71"/>
      <x:c r="F71"/>
      <x:c r="G71"/>
      <x:c r="H71"/>
    </x:row>
    <x:row r="72" ht="24" customHeight="1">
      <x:c r="A72" s="40" t="str">
        <x:v>G. 专业Runtime与Management Plane关系</x:v>
      </x:c>
      <x:c r="B72" s="40"/>
      <x:c r="C72" s="40"/>
      <x:c r="D72" s="40"/>
      <x:c r="E72" s="40"/>
      <x:c r="F72" s="40"/>
      <x:c r="G72" s="40"/>
      <x:c r="H72" s="40"/>
    </x:row>
    <x:row r="73" ht="28" customHeight="1">
      <x:c r="A73" s="50" t="str">
        <x:v>Domain/Plane</x:v>
      </x:c>
      <x:c r="B73" s="50" t="str">
        <x:v>Compiler/Plan</x:v>
      </x:c>
      <x:c r="C73" s="50" t="str">
        <x:v>Runtime/Service</x:v>
      </x:c>
      <x:c r="D73" s="50" t="str">
        <x:v>输入</x:v>
      </x:c>
      <x:c r="E73" s="50" t="str">
        <x:v>输出</x:v>
      </x:c>
      <x:c r="F73" s="50" t="str">
        <x:v>共享服务</x:v>
      </x:c>
      <x:c r="G73" s="50" t="str">
        <x:v>禁止耦合</x:v>
      </x:c>
      <x:c r="H73" s="50" t="str">
        <x:v>阶段</x:v>
      </x:c>
    </x:row>
    <x:row r="74">
      <x:c r="A74" s="66" t="str">
        <x:v>Robot</x:v>
      </x:c>
      <x:c r="B74" s="66" t="str">
        <x:v>RobotCompiler→RobotExecutionPlan</x:v>
      </x:c>
      <x:c r="C74" s="66" t="str">
        <x:v>RobotRuntimeSession（复用Motion调度骨架）</x:v>
      </x:c>
      <x:c r="D74" s="66" t="str">
        <x:v>RobotProgram/Frames/Tools/Paths</x:v>
      </x:c>
      <x:c r="E74" s="66" t="str">
        <x:v>RobotResult/RobotState</x:v>
      </x:c>
      <x:c r="F74" s="66" t="str">
        <x:v>Resource/Interlock/Debug/Correlation</x:v>
      </x:c>
      <x:c r="G74" s="66" t="str">
        <x:v>实时插补/安全逻辑放平台</x:v>
      </x:c>
      <x:c r="H74" s="66" t="str">
        <x:v>M4+</x:v>
      </x:c>
    </x:row>
    <x:row r="75">
      <x:c r="A75" s="58" t="str">
        <x:v>CT/3D</x:v>
      </x:c>
      <x:c r="B75" s="58" t="str">
        <x:v>CTCompiler→CTExecutionPlan</x:v>
      </x:c>
      <x:c r="C75" s="58" t="str">
        <x:v>CTRunSession + ReconstructionJob + CT Worker</x:v>
      </x:c>
      <x:c r="D75" s="58" t="str">
        <x:v>ProjectionSeries/CTGeometry/Volume refs</x:v>
      </x:c>
      <x:c r="E75" s="58" t="str">
        <x:v>Volume3D/3D Result/Artifacts</x:v>
      </x:c>
      <x:c r="F75" s="58" t="str">
        <x:v>Vision Runtime/GPU/Artifact/Debug</x:v>
      </x:c>
      <x:c r="G75" s="58" t="str">
        <x:v>主Runtime直接加载所有Native/GPU库</x:v>
      </x:c>
      <x:c r="H75" s="58" t="str">
        <x:v>M5+</x:v>
      </x:c>
    </x:row>
    <x:row r="76">
      <x:c r="A76" s="66" t="str">
        <x:v>Operations</x:v>
      </x:c>
      <x:c r="B76" s="66" t="str">
        <x:v>Ops job plan（非生产Graph）</x:v>
      </x:c>
      <x:c r="C76" s="66" t="str">
        <x:v>Operations services + Station Agent</x:v>
      </x:c>
      <x:c r="D76" s="66" t="str">
        <x:v>Station snapshots/Release/Policies/Remote requests</x:v>
      </x:c>
      <x:c r="E76" s="66" t="str">
        <x:v>Fleet state/Deployment records/Cases/Session leases</x:v>
      </x:c>
      <x:c r="F76" s="66" t="str">
        <x:v>Security/Version/Diagnostics/Agent APIs</x:v>
      </x:c>
      <x:c r="G76" s="66" t="str">
        <x:v>参与产品Task执行/直接访问Domain内部对象</x:v>
      </x:c>
      <x:c r="H76" s="66" t="str">
        <x:v>M7+</x:v>
      </x:c>
    </x:row>
    <x:row r="77">
      <x:c r="A77" s="58" t="str">
        <x:v>Station Agent</x:v>
      </x:c>
      <x:c r="B77" s="58" t="str">
        <x:v>N/A</x:v>
      </x:c>
      <x:c r="C77" s="58" t="str">
        <x:v>Management endpoint host</x:v>
      </x:c>
      <x:c r="D77" s="58" t="str">
        <x:v>Runtime public snapshots/manifest/debug/deploy hooks</x:v>
      </x:c>
      <x:c r="E77" s="58" t="str">
        <x:v>Agent capabilities/acks/streams</x:v>
      </x:c>
      <x:c r="F77" s="58" t="str">
        <x:v>Security/Diagnostics</x:v>
      </x:c>
      <x:c r="G77" s="58" t="str">
        <x:v>成为Runtime主循环必要依赖</x:v>
      </x:c>
      <x:c r="H77" s="58" t="str">
        <x:v>M7+</x:v>
      </x:c>
    </x:row>
    <x:row r="78">
      <x:c r="A78"/>
      <x:c r="B78"/>
      <x:c r="C78"/>
      <x:c r="D78"/>
      <x:c r="E78"/>
      <x:c r="F78"/>
      <x:c r="G78"/>
      <x:c r="H78"/>
    </x:row>
    <x:row r="79" ht="24" customHeight="1">
      <x:c r="A79" s="40" t="str">
        <x:v>H. Runtime自治与中心关系</x:v>
      </x:c>
      <x:c r="B79" s="40"/>
      <x:c r="C79" s="40"/>
      <x:c r="D79" s="40"/>
      <x:c r="E79" s="40"/>
      <x:c r="F79" s="40"/>
      <x:c r="G79" s="40"/>
      <x:c r="H79" s="40"/>
    </x:row>
    <x:row r="80" ht="28" customHeight="1">
      <x:c r="A80" s="50" t="str">
        <x:v>原则</x:v>
      </x:c>
      <x:c r="B80" s="50" t="str">
        <x:v>Runtime Station</x:v>
      </x:c>
      <x:c r="C80" s="50" t="str">
        <x:v>Station Agent</x:v>
      </x:c>
      <x:c r="D80" s="50" t="str">
        <x:v>Operations Center</x:v>
      </x:c>
      <x:c r="E80" s="50" t="str">
        <x:v>Studio</x:v>
      </x:c>
      <x:c r="F80" s="50" t="str">
        <x:v>故障行为</x:v>
      </x:c>
      <x:c r="G80" s="50" t="str">
        <x:v>测试</x:v>
      </x:c>
      <x:c r="H80" s="50" t="str">
        <x:v>门禁</x:v>
      </x:c>
    </x:row>
    <x:row r="81">
      <x:c r="A81" s="66" t="str">
        <x:v>本地自治</x:v>
      </x:c>
      <x:c r="B81" s="66" t="str">
        <x:v>按已发布Release/Profile独立运行</x:v>
      </x:c>
      <x:c r="C81" s="66" t="str">
        <x:v>可用则提供管理能力</x:v>
      </x:c>
      <x:c r="D81" s="66" t="str">
        <x:v>可离线</x:v>
      </x:c>
      <x:c r="E81" s="66" t="str">
        <x:v>可离线</x:v>
      </x:c>
      <x:c r="F81" s="66" t="str">
        <x:v>中心/Studio断线继续生产</x:v>
      </x:c>
      <x:c r="G81" s="66" t="str">
        <x:v>partition</x:v>
      </x:c>
      <x:c r="H81" s="66" t="str">
        <x:v>P0</x:v>
      </x:c>
    </x:row>
    <x:row r="82">
      <x:c r="A82" s="58" t="str">
        <x:v>Target权威</x:v>
      </x:c>
      <x:c r="B82" s="58" t="str">
        <x:v>Domain Runtime/Security决定危险命令</x:v>
      </x:c>
      <x:c r="C82" s="58" t="str">
        <x:v>负责身份/会话转发</x:v>
      </x:c>
      <x:c r="D82" s="58" t="str">
        <x:v>只能请求</x:v>
      </x:c>
      <x:c r="E82" s="58" t="str">
        <x:v>只能请求</x:v>
      </x:c>
      <x:c r="F82" s="58" t="str">
        <x:v>不满足Policy拒绝</x:v>
      </x:c>
      <x:c r="G82" s="58" t="str">
        <x:v>security E2E</x:v>
      </x:c>
      <x:c r="H82" s="58" t="str">
        <x:v>P0</x:v>
      </x:c>
    </x:row>
    <x:row r="83">
      <x:c r="A83" s="66" t="str">
        <x:v>版本权威</x:v>
      </x:c>
      <x:c r="B83" s="66" t="str">
        <x:v>Active Release/Resolved Manifest在Station可独立查询</x:v>
      </x:c>
      <x:c r="C83" s="66" t="str">
        <x:v>暴露Manifest</x:v>
      </x:c>
      <x:c r="D83" s="66" t="str">
        <x:v>汇总/比较</x:v>
      </x:c>
      <x:c r="E83" s="66" t="str">
        <x:v>Online Diff</x:v>
      </x:c>
      <x:c r="F83" s="66" t="str">
        <x:v>中心数据Stale时以Target为准</x:v>
      </x:c>
      <x:c r="G83" s="66" t="str">
        <x:v>version reconcile</x:v>
      </x:c>
      <x:c r="H83" s="66" t="str">
        <x:v>P0</x:v>
      </x:c>
    </x:row>
    <x:row r="84">
      <x:c r="A84" s="58" t="str">
        <x:v>故障隔离</x:v>
      </x:c>
      <x:c r="B84" s="58" t="str">
        <x:v>Worker/Agent可独立故障与重启</x:v>
      </x:c>
      <x:c r="C84" s="58" t="str">
        <x:v>Agent故障不拖Runtime</x:v>
      </x:c>
      <x:c r="D84" s="58" t="str">
        <x:v>中心故障不拖Station</x:v>
      </x:c>
      <x:c r="E84" s="58" t="str">
        <x:v>Studio故障不拖Target</x:v>
      </x:c>
      <x:c r="F84" s="58" t="str">
        <x:v>按本地Policy降级</x:v>
      </x:c>
      <x:c r="G84" s="58" t="str">
        <x:v>fault injection</x:v>
      </x:c>
      <x:c r="H84" s="58" t="str">
        <x:v>P0</x:v>
      </x:c>
    </x:row>
    <x:row r="86">
      <x:c r="A86" t="str">
        <x:v>I. 历史 Variable Provider Host / 生命周期（V6.4继续有效）</x:v>
      </x:c>
      <x:c r="B86"/>
      <x:c r="C86"/>
      <x:c r="D86"/>
      <x:c r="E86"/>
      <x:c r="F86"/>
      <x:c r="G86"/>
      <x:c r="H86"/>
    </x:row>
    <x:row r="87">
      <x:c r="A87" t="str">
        <x:v>类/模块</x:v>
      </x:c>
      <x:c r="B87" t="str">
        <x:v>职责</x:v>
      </x:c>
      <x:c r="C87" t="str">
        <x:v>关键状态/数据</x:v>
      </x:c>
      <x:c r="D87" t="str">
        <x:v>关键流程</x:v>
      </x:c>
      <x:c r="E87" t="str">
        <x:v>边界</x:v>
      </x:c>
      <x:c r="F87" t="str">
        <x:v>诊断</x:v>
      </x:c>
      <x:c r="G87" t="str">
        <x:v>释放/异常</x:v>
      </x:c>
      <x:c r="H87" t="str">
        <x:v>M阶段</x:v>
      </x:c>
    </x:row>
    <x:row r="88">
      <x:c r="A88" t="str">
        <x:v>VariableProviderHost</x:v>
      </x:c>
      <x:c r="B88" t="str">
        <x:v>统一管理IVariableProvider实例</x:v>
      </x:c>
      <x:c r="C88" t="str">
        <x:v>profiles/providers/connection states/subscriptions</x:v>
      </x:c>
      <x:c r="D88" t="str">
        <x:v>Load profiles→Create→Configure→Connect→Register→Start subscriptions</x:v>
      </x:c>
      <x:c r="E88" t="str">
        <x:v>Integration边界</x:v>
      </x:c>
      <x:c r="F88" t="str">
        <x:v>Provider health/diagnostics</x:v>
      </x:c>
      <x:c r="G88" t="str">
        <x:v>Stop/Dispose反向释放</x:v>
      </x:c>
      <x:c r="H88" t="str">
        <x:v>M2</x:v>
      </x:c>
    </x:row>
    <x:row r="89">
      <x:c r="A89" t="str">
        <x:v>DeviceVariableProvider</x:v>
      </x:c>
      <x:c r="B89" t="str">
        <x:v>现有DeviceVariable适配</x:v>
      </x:c>
      <x:c r="C89" t="str">
        <x:v>Catalog/Metadata/Read/Subscribe/Write</x:v>
      </x:c>
      <x:c r="D89" t="str">
        <x:v>由VariableProviderHost创建；Designer只通过Application service读Catalog</x:v>
      </x:c>
      <x:c r="E89" t="str">
        <x:v>不泄漏Legacy Manager</x:v>
      </x:c>
      <x:c r="F89" t="str">
        <x:v>Connection/Quality</x:v>
      </x:c>
      <x:c r="G89" t="str">
        <x:v>断线可重连</x:v>
      </x:c>
      <x:c r="H89" t="str">
        <x:v>M2</x:v>
      </x:c>
    </x:row>
    <x:row r="90">
      <x:c r="A90" t="str">
        <x:v>VariableEngine</x:v>
      </x:c>
      <x:c r="B90" t="str">
        <x:v>统一变量运行事实源</x:v>
      </x:c>
      <x:c r="C90" t="str">
        <x:v>ValueCache/Quality/Sequence/Source/RefCounts</x:v>
      </x:c>
      <x:c r="D90" t="str">
        <x:v>依赖计划→共享订阅→batch→store→dirty dependents</x:v>
      </x:c>
      <x:c r="E90" t="str">
        <x:v>不拥有工程Definition</x:v>
      </x:c>
      <x:c r="F90" t="str">
        <x:v>Binding trace</x:v>
      </x:c>
      <x:c r="G90" t="str">
        <x:v>有界缓存</x:v>
      </x:c>
      <x:c r="H90" t="str">
        <x:v>M2</x:v>
      </x:c>
    </x:row>
    <x:row r="91">
      <x:c r="A91" t="str">
        <x:v>VariableChangeDispatcher</x:v>
      </x:c>
      <x:c r="B91" t="str">
        <x:v>订阅分发</x:v>
      </x:c>
      <x:c r="C91" t="str">
        <x:v>subscriber policy/queue/batch/latestOnly</x:v>
      </x:c>
      <x:c r="D91" t="str">
        <x:v>provider callback→normalize→sequence→dispatch</x:v>
      </x:c>
      <x:c r="E91" t="str">
        <x:v>不操作UI</x:v>
      </x:c>
      <x:c r="F91" t="str">
        <x:v>queue/drop/lag metrics</x:v>
      </x:c>
      <x:c r="G91" t="str">
        <x:v>慢订阅隔离</x:v>
      </x:c>
      <x:c r="H91" t="str">
        <x:v>M2</x:v>
      </x:c>
    </x:row>
    <x:row r="92">
      <x:c r="A92" t="str">
        <x:v>Provider离线</x:v>
      </x:c>
      <x:c r="B92" t="str">
        <x:v>连接状态机</x:v>
      </x:c>
      <x:c r="C92" t="str">
        <x:v>Disconnected/Reconnecting/Connected/Faulted</x:v>
      </x:c>
      <x:c r="D92" t="str">
        <x:v>离线→Quality变化→保留Refs→Backoff→resubscribe</x:v>
      </x:c>
      <x:c r="E92" t="str">
        <x:v>不清工程绑定</x:v>
      </x:c>
      <x:c r="F92" t="str">
        <x:v>health + last error</x:v>
      </x:c>
      <x:c r="G92" t="str">
        <x:v>可取消</x:v>
      </x:c>
      <x:c r="H92" t="str">
        <x:v>M2</x:v>
      </x:c>
    </x:row>
    <x:row r="93">
      <x:c r="A93" t="str">
        <x:v>Graph adapter</x:v>
      </x:c>
      <x:c r="B93" t="str">
        <x:v>Graph变量节点桥</x:v>
      </x:c>
      <x:c r="C93" t="str">
        <x:v>VariableReference/Typed port/Correlation</x:v>
      </x:c>
      <x:c r="D93" t="str">
        <x:v>Graph node→VariableEngine/WritePipeline</x:v>
      </x:c>
      <x:c r="E93" t="str">
        <x:v>Graph不持Provider实例</x:v>
      </x:c>
      <x:c r="F93" t="str">
        <x:v>node diagnostics</x:v>
      </x:c>
      <x:c r="G93" t="str">
        <x:v>Session结束取消订阅</x:v>
      </x:c>
      <x:c r="H93" t="str">
        <x:v>M3</x:v>
      </x:c>
    </x:row>
    <x:row r="94">
      <x:c r="A94" t="str">
        <x:v>Host关闭顺序</x:v>
      </x:c>
      <x:c r="B94" t="str">
        <x:v>反向生命周期</x:v>
      </x:c>
      <x:c r="C94" t="str">
        <x:v>Graph/Alarm/History/Binding→VariableEngine→Dispatcher→Providers</x:v>
      </x:c>
      <x:c r="D94" t="str">
        <x:v>先停消费者再停Provider</x:v>
      </x:c>
      <x:c r="E94" t="str">
        <x:v>避免回调打到已释放对象</x:v>
      </x:c>
      <x:c r="F94" t="str">
        <x:v>Dispose trace</x:v>
      </x:c>
      <x:c r="G94" t="str">
        <x:v>幂等Stop</x:v>
      </x:c>
      <x:c r="H94" t="str">
        <x:v>M2~M3</x:v>
      </x:c>
    </x:row>
    <x:row r="95">
      <x:c r="A95" t="str">
        <x:v>UI线程边界</x:v>
      </x:c>
      <x:c r="B95" t="str">
        <x:v>Provider回调不直接进DependencyObject</x:v>
      </x:c>
      <x:c r="C95" t="str">
        <x:v>batch/dirty ids</x:v>
      </x:c>
      <x:c r="D95" t="str">
        <x:v>后台归一化与求值→UI仅应用视觉dirty</x:v>
      </x:c>
      <x:c r="E95" t="str">
        <x:v>Rendering边界</x:v>
      </x:c>
      <x:c r="F95" t="str">
        <x:v>queue lag</x:v>
      </x:c>
      <x:c r="G95" t="str">
        <x:v>—</x:v>
      </x:c>
      <x:c r="H95" t="str">
        <x:v>M2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0" hidden="0" customWidth="1"/>
    <x:col min="8" max="8" width="28" hidden="0" customWidth="1"/>
    <x:col min="9" max="9" width="30" hidden="0" customWidth="1"/>
  </x:cols>
  <x:sheetData>
    <x:row r="1" ht="30" customHeight="1">
      <x:c r="A1" s="8" t="str">
        <x:v>Graph 编排模型与执行基础</x:v>
      </x:c>
      <x:c r="B1" s="8"/>
      <x:c r="C1" s="8"/>
      <x:c r="D1" s="8"/>
      <x:c r="E1" s="8"/>
      <x:c r="F1" s="8"/>
      <x:c r="G1" s="8"/>
      <x:c r="H1" s="8"/>
      <x:c r="I1" s="8"/>
    </x:row>
    <x:row r="2" ht="38" customHeight="1">
      <x:c r="A2" s="16" t="str">
        <x:v>Graph Execution Platform的入口页：统一Node/Port/Connection/GraphKind/Validator/Compiler契约，但Domain执行语义保持分离。</x:v>
      </x:c>
      <x:c r="B2" s="16"/>
      <x:c r="C2" s="16"/>
      <x:c r="D2" s="16"/>
      <x:c r="E2" s="16"/>
      <x:c r="F2" s="16"/>
      <x:c r="G2" s="16"/>
      <x:c r="H2" s="16"/>
      <x:c r="I2" s="16"/>
    </x:row>
    <x:row r="3">
      <x:c r="A3" s="30" t="str">
        <x:v>本页唯一权威</x:v>
      </x:c>
      <x:c r="B3" s="31" t="str">
        <x:v>Graph Definition、Typed Port、Connection、GraphKind、Compiler/Plan公共契约与ControlFlow/TypedDataFlow/DurableWorkflow差异。</x:v>
      </x:c>
      <x:c r="C3" s="31"/>
      <x:c r="D3" s="31"/>
      <x:c r="E3" s="31"/>
      <x:c r="F3" s="31"/>
      <x:c r="G3" s="31"/>
      <x:c r="H3" s="31"/>
      <x:c r="I3" s="31"/>
    </x:row>
    <x:row r="4">
      <x:c r="A4" s="30" t="str">
        <x:v>不在本页维护</x:v>
      </x:c>
      <x:c r="B4" s="31" t="str">
        <x:v>在线调试（见21）、设备/资源（见22）、Domain具体Node/Runtime（见27~39）。</x:v>
      </x:c>
      <x:c r="C4" s="31"/>
      <x:c r="D4" s="31"/>
      <x:c r="E4" s="31"/>
      <x:c r="F4" s="31"/>
      <x:c r="G4" s="31"/>
      <x:c r="H4" s="31"/>
      <x:c r="I4" s="31"/>
    </x:row>
    <x:row r="5">
      <x:c r="A5" s="30" t="str">
        <x:v>关联分页</x:v>
      </x:c>
      <x:c r="B5" s="31" t="str">
        <x:v>20_Graph类型系统与数据契约；21_Debug；22_Integration；27~39 Domain；46_DeviceVariable闭环。</x:v>
      </x:c>
      <x:c r="C5" s="31"/>
      <x:c r="D5" s="31"/>
      <x:c r="E5" s="31"/>
      <x:c r="F5" s="31"/>
      <x:c r="G5" s="31"/>
      <x:c r="H5" s="31"/>
      <x:c r="I5" s="31"/>
    </x:row>
    <x:row r="6">
      <x:c r="A6"/>
      <x:c r="B6"/>
      <x:c r="C6"/>
      <x:c r="D6"/>
      <x:c r="E6"/>
      <x:c r="F6"/>
      <x:c r="G6"/>
      <x:c r="H6"/>
      <x:c r="I6"/>
    </x:row>
    <x:row r="7" ht="24" customHeight="1">
      <x:c r="A7" s="40" t="str">
        <x:v>A. Graph Core 与平台服务</x:v>
      </x:c>
      <x:c r="B7" s="40"/>
      <x:c r="C7" s="40"/>
      <x:c r="D7" s="40"/>
      <x:c r="E7" s="40"/>
      <x:c r="F7" s="40"/>
      <x:c r="G7" s="40"/>
      <x:c r="H7" s="40"/>
      <x:c r="I7" s="40"/>
    </x:row>
    <x:row r="8" ht="24" customHeight="1">
      <x:c r="A8" s="40" t="str">
        <x:v>A. Graph Core 对象模型</x:v>
      </x:c>
      <x:c r="B8" s="40"/>
      <x:c r="C8" s="40"/>
      <x:c r="D8" s="40"/>
      <x:c r="E8" s="40"/>
      <x:c r="F8" s="40"/>
      <x:c r="G8" s="40"/>
      <x:c r="H8" s="40"/>
      <x:c r="I8" s="40"/>
    </x:row>
    <x:row r="9" ht="28" customHeight="1">
      <x:c r="A9" s="50" t="str">
        <x:v>对象</x:v>
      </x:c>
      <x:c r="B9" s="50" t="str">
        <x:v>职责</x:v>
      </x:c>
      <x:c r="C9" s="50" t="str">
        <x:v>关键字段</x:v>
      </x:c>
      <x:c r="D9" s="50" t="str">
        <x:v>持久化</x:v>
      </x:c>
      <x:c r="E9" s="50" t="str">
        <x:v>设计器行为</x:v>
      </x:c>
      <x:c r="F9" s="50" t="str">
        <x:v>运行时行为</x:v>
      </x:c>
      <x:c r="G9" s="50" t="str">
        <x:v>扩展方式</x:v>
      </x:c>
      <x:c r="H9" s="50" t="str">
        <x:v>硬约束</x:v>
      </x:c>
      <x:c r="I9" s="50"/>
    </x:row>
    <x:row r="10">
      <x:c r="A10" s="58" t="str">
        <x:v>GraphDefinition</x:v>
      </x:c>
      <x:c r="B10" s="58" t="str">
        <x:v>一张可执行图的根定义</x:v>
      </x:c>
      <x:c r="C10" s="58" t="str">
        <x:v>Id/Name/GraphKind/Version/Nodes/Connections/Parameters/Metadata</x:v>
      </x:c>
      <x:c r="D10" s="58" t="str">
        <x:v>是</x:v>
      </x:c>
      <x:c r="E10" s="58" t="str">
        <x:v>文档根、保存/版本/搜索</x:v>
      </x:c>
      <x:c r="F10" s="58" t="str">
        <x:v>交给对应Domain Compiler</x:v>
      </x:c>
      <x:c r="G10" s="58" t="str">
        <x:v>可新增GraphKind</x:v>
      </x:c>
      <x:c r="H10" s="58" t="str">
        <x:v>不直接保存运行状态</x:v>
      </x:c>
      <x:c r="I10" s="58"/>
    </x:row>
    <x:row r="11">
      <x:c r="A11" s="66" t="str">
        <x:v>GraphNodeModel</x:v>
      </x:c>
      <x:c r="B11" s="66" t="str">
        <x:v>一个节点实例</x:v>
      </x:c>
      <x:c r="C11" s="66" t="str">
        <x:v>Id/NodeTypeId/Position/Parameters/Ports/Disabled/Tags</x:v>
      </x:c>
      <x:c r="D11" s="66" t="str">
        <x:v>是</x:v>
      </x:c>
      <x:c r="E11" s="66" t="str">
        <x:v>拖放、移动、属性编辑、复制</x:v>
      </x:c>
      <x:c r="F11" s="66" t="str">
        <x:v>编译为NodePlan</x:v>
      </x:c>
      <x:c r="G11" s="66" t="str">
        <x:v>NodeDescriptor注册</x:v>
      </x:c>
      <x:c r="H11" s="66" t="str">
        <x:v>NodeTypeId稳定</x:v>
      </x:c>
      <x:c r="I11" s="66"/>
    </x:row>
    <x:row r="12">
      <x:c r="A12" s="58" t="str">
        <x:v>GraphPortModel</x:v>
      </x:c>
      <x:c r="B12" s="58" t="str">
        <x:v>节点端口契约</x:v>
      </x:c>
      <x:c r="C12" s="58" t="str">
        <x:v>Id/Key/Direction/DataType/Cardinality/Optional</x:v>
      </x:c>
      <x:c r="D12" s="58" t="str">
        <x:v>是/部分由Descriptor生成</x:v>
      </x:c>
      <x:c r="E12" s="58" t="str">
        <x:v>连接锚点/类型提示</x:v>
      </x:c>
      <x:c r="F12" s="58" t="str">
        <x:v>编译连接表</x:v>
      </x:c>
      <x:c r="G12" s="58" t="str">
        <x:v>TypeSystem</x:v>
      </x:c>
      <x:c r="H12" s="58" t="str">
        <x:v>禁止object万能端口</x:v>
      </x:c>
      <x:c r="I12" s="58"/>
    </x:row>
    <x:row r="13">
      <x:c r="A13" s="66" t="str">
        <x:v>GraphConnectionModel</x:v>
      </x:c>
      <x:c r="B13" s="66" t="str">
        <x:v>端口连接</x:v>
      </x:c>
      <x:c r="C13" s="66" t="str">
        <x:v>Id/FromNode/FromPort/ToNode/ToPort/Metadata</x:v>
      </x:c>
      <x:c r="D13" s="66" t="str">
        <x:v>是</x:v>
      </x:c>
      <x:c r="E13" s="66" t="str">
        <x:v>连线/删除/重连</x:v>
      </x:c>
      <x:c r="F13" s="66" t="str">
        <x:v>编译依赖/控制边</x:v>
      </x:c>
      <x:c r="G13" s="66" t="str">
        <x:v>Validator</x:v>
      </x:c>
      <x:c r="H13" s="66" t="str">
        <x:v>端口必须兼容</x:v>
      </x:c>
      <x:c r="I13" s="66"/>
    </x:row>
    <x:row r="14">
      <x:c r="A14" s="58" t="str">
        <x:v>GraphGroupModel</x:v>
      </x:c>
      <x:c r="B14" s="58" t="str">
        <x:v>设计态分组/注释</x:v>
      </x:c>
      <x:c r="C14" s="58" t="str">
        <x:v>Bounds/Title/Color/NodeIds</x:v>
      </x:c>
      <x:c r="D14" s="58" t="str">
        <x:v>是</x:v>
      </x:c>
      <x:c r="E14" s="58" t="str">
        <x:v>视觉组织</x:v>
      </x:c>
      <x:c r="F14" s="58" t="str">
        <x:v>无运行语义</x:v>
      </x:c>
      <x:c r="G14" s="58" t="str">
        <x:v>Designer</x:v>
      </x:c>
      <x:c r="H14" s="58" t="str">
        <x:v>不等于SubGraph</x:v>
      </x:c>
      <x:c r="I14" s="58"/>
    </x:row>
    <x:row r="15">
      <x:c r="A15" s="66" t="str">
        <x:v>SubGraphReference</x:v>
      </x:c>
      <x:c r="B15" s="66" t="str">
        <x:v>可复用子图调用</x:v>
      </x:c>
      <x:c r="C15" s="66" t="str">
        <x:v>DefinitionId/Version/ParameterBindings</x:v>
      </x:c>
      <x:c r="D15" s="66" t="str">
        <x:v>是</x:v>
      </x:c>
      <x:c r="E15" s="66" t="str">
        <x:v>折叠/进入编辑</x:v>
      </x:c>
      <x:c r="F15" s="66" t="str">
        <x:v>编译为调用计划</x:v>
      </x:c>
      <x:c r="G15" s="66" t="str">
        <x:v>Library/Version</x:v>
      </x:c>
      <x:c r="H15" s="66" t="str">
        <x:v>禁止复制整图当复用</x:v>
      </x:c>
      <x:c r="I15" s="66"/>
    </x:row>
    <x:row r="16">
      <x:c r="A16" s="58" t="str">
        <x:v>GraphParameterDefinition</x:v>
      </x:c>
      <x:c r="B16" s="58" t="str">
        <x:v>图对外输入输出参数</x:v>
      </x:c>
      <x:c r="C16" s="58" t="str">
        <x:v>Key/Type/Direction/Default/Required</x:v>
      </x:c>
      <x:c r="D16" s="58" t="str">
        <x:v>是</x:v>
      </x:c>
      <x:c r="E16" s="58" t="str">
        <x:v>参数面板</x:v>
      </x:c>
      <x:c r="F16" s="58" t="str">
        <x:v>Runtime context注入/返回</x:v>
      </x:c>
      <x:c r="G16" s="58" t="str">
        <x:v>Metadata</x:v>
      </x:c>
      <x:c r="H16" s="58" t="str">
        <x:v>Key稳定</x:v>
      </x:c>
      <x:c r="I16" s="58"/>
    </x:row>
    <x:row r="17">
      <x:c r="A17" s="66" t="str">
        <x:v>NodeDescriptor</x:v>
      </x:c>
      <x:c r="B17" s="66" t="str">
        <x:v>节点类型元数据</x:v>
      </x:c>
      <x:c r="C17" s="66" t="str">
        <x:v>NodeTypeId/DisplayName/Category/Icon/Ports/Parameters/Capabilities/ExecutorKey</x:v>
      </x:c>
      <x:c r="D17" s="66" t="str">
        <x:v>注册表</x:v>
      </x:c>
      <x:c r="E17" s="66" t="str">
        <x:v>Toolbox/Inspector</x:v>
      </x:c>
      <x:c r="F17" s="66" t="str">
        <x:v>Compiler选择策略</x:v>
      </x:c>
      <x:c r="G17" s="66" t="str">
        <x:v>Plugin SDK</x:v>
      </x:c>
      <x:c r="H17" s="66" t="str">
        <x:v>Descriptor/Factory/Executor职责分开</x:v>
      </x:c>
      <x:c r="I17" s="66"/>
    </x:row>
    <x:row r="18">
      <x:c r="A18"/>
      <x:c r="B18"/>
      <x:c r="C18"/>
      <x:c r="D18"/>
      <x:c r="E18"/>
      <x:c r="F18"/>
      <x:c r="G18"/>
      <x:c r="H18"/>
      <x:c r="I18"/>
    </x:row>
    <x:row r="19" ht="24" customHeight="1">
      <x:c r="A19" s="40" t="str">
        <x:v>B. Graph 平台服务</x:v>
      </x:c>
      <x:c r="B19" s="40"/>
      <x:c r="C19" s="40"/>
      <x:c r="D19" s="40"/>
      <x:c r="E19" s="40"/>
      <x:c r="F19" s="40"/>
      <x:c r="G19" s="40"/>
      <x:c r="H19" s="40"/>
      <x:c r="I19" s="40"/>
    </x:row>
    <x:row r="20" ht="28" customHeight="1">
      <x:c r="A20" s="50" t="str">
        <x:v>服务</x:v>
      </x:c>
      <x:c r="B20" s="50" t="str">
        <x:v>设计态职责</x:v>
      </x:c>
      <x:c r="C20" s="50" t="str">
        <x:v>编译态职责</x:v>
      </x:c>
      <x:c r="D20" s="50" t="str">
        <x:v>运行态职责</x:v>
      </x:c>
      <x:c r="E20" s="50" t="str">
        <x:v>主要接口</x:v>
      </x:c>
      <x:c r="F20" s="50" t="str">
        <x:v>诊断</x:v>
      </x:c>
      <x:c r="G20" s="50" t="str">
        <x:v>复用域</x:v>
      </x:c>
      <x:c r="H20" s="50"/>
      <x:c r="I20" s="50"/>
    </x:row>
    <x:row r="21">
      <x:c r="A21" s="58" t="str">
        <x:v>GraphCommandService</x:v>
      </x:c>
      <x:c r="B21" s="58" t="str">
        <x:v>Add/Delete/Move/Connect/Disconnect/Group/SubGraph/参数修改全部Command化</x:v>
      </x:c>
      <x:c r="C21" s="58" t="str">
        <x:v>N/A</x:v>
      </x:c>
      <x:c r="D21" s="58" t="str">
        <x:v>N/A</x:v>
      </x:c>
      <x:c r="E21" s="58" t="str">
        <x:v>IEditorCommand/GraphCommands</x:v>
      </x:c>
      <x:c r="F21" s="58" t="str">
        <x:v>事务失败回滚</x:v>
      </x:c>
      <x:c r="G21" s="58" t="str">
        <x:v>全部</x:v>
      </x:c>
      <x:c r="H21" s="58"/>
      <x:c r="I21" s="58"/>
    </x:row>
    <x:row r="22">
      <x:c r="A22" s="66" t="str">
        <x:v>GraphValidator</x:v>
      </x:c>
      <x:c r="B22" s="66" t="str">
        <x:v>实时检查断线/循环/类型/必填/资源/域规则</x:v>
      </x:c>
      <x:c r="C22" s="66" t="str">
        <x:v>发布前严格校验</x:v>
      </x:c>
      <x:c r="D22" s="66" t="str">
        <x:v>运行前二次校验</x:v>
      </x:c>
      <x:c r="E22" s="66" t="str">
        <x:v>IGraphValidator/RuleSet</x:v>
      </x:c>
      <x:c r="F22" s="66" t="str">
        <x:v>定位Node/Port/Connection</x:v>
      </x:c>
      <x:c r="G22" s="66" t="str">
        <x:v>全部</x:v>
      </x:c>
      <x:c r="H22" s="66"/>
      <x:c r="I22" s="66"/>
    </x:row>
    <x:row r="23">
      <x:c r="A23" s="58" t="str">
        <x:v>GraphCompiler</x:v>
      </x:c>
      <x:c r="B23" s="58" t="str">
        <x:v>按GraphKind选择Domain Compiler</x:v>
      </x:c>
      <x:c r="C23" s="58" t="str">
        <x:v>生成不可变ExecutionPlan</x:v>
      </x:c>
      <x:c r="D23" s="58" t="str">
        <x:v>N/A</x:v>
      </x:c>
      <x:c r="E23" s="58" t="str">
        <x:v>IGraphCompiler</x:v>
      </x:c>
      <x:c r="F23" s="58" t="str">
        <x:v>编译错误/警告</x:v>
      </x:c>
      <x:c r="G23" s="58" t="str">
        <x:v>基础框架</x:v>
      </x:c>
      <x:c r="H23" s="58"/>
      <x:c r="I23" s="58"/>
    </x:row>
    <x:row r="24">
      <x:c r="A24" s="66" t="str">
        <x:v>NodeCatalog</x:v>
      </x:c>
      <x:c r="B24" s="66" t="str">
        <x:v>节点搜索/分类/收藏/插件来源</x:v>
      </x:c>
      <x:c r="C24" s="66" t="str">
        <x:v>解析Descriptor版本</x:v>
      </x:c>
      <x:c r="D24" s="66" t="str">
        <x:v>提供执行器键</x:v>
      </x:c>
      <x:c r="E24" s="66" t="str">
        <x:v>INodeCatalog</x:v>
      </x:c>
      <x:c r="F24" s="66" t="str">
        <x:v>缺插件/版本</x:v>
      </x:c>
      <x:c r="G24" s="66" t="str">
        <x:v>全部</x:v>
      </x:c>
      <x:c r="H24" s="66"/>
      <x:c r="I24" s="66"/>
    </x:row>
    <x:row r="25">
      <x:c r="A25" s="58" t="str">
        <x:v>GraphIndex</x:v>
      </x:c>
      <x:c r="B25" s="58" t="str">
        <x:v>Node/Port/Tag/Type/Group快速索引</x:v>
      </x:c>
      <x:c r="C25" s="58" t="str">
        <x:v>辅助Compile</x:v>
      </x:c>
      <x:c r="D25" s="58" t="str">
        <x:v>辅助Debug定位</x:v>
      </x:c>
      <x:c r="E25" s="58" t="str">
        <x:v>GraphObjectIndex</x:v>
      </x:c>
      <x:c r="F25" s="58" t="str">
        <x:v>索引不一致</x:v>
      </x:c>
      <x:c r="G25" s="58" t="str">
        <x:v>全部</x:v>
      </x:c>
      <x:c r="H25" s="58"/>
      <x:c r="I25" s="58"/>
    </x:row>
    <x:row r="26">
      <x:c r="A26" s="66" t="str">
        <x:v>GraphLibrary</x:v>
      </x:c>
      <x:c r="B26" s="66" t="str">
        <x:v>项目/用户/团队子图资产</x:v>
      </x:c>
      <x:c r="C26" s="66" t="str">
        <x:v>版本解析</x:v>
      </x:c>
      <x:c r="D26" s="66" t="str">
        <x:v>加载已解析Definition</x:v>
      </x:c>
      <x:c r="E26" s="66" t="str">
        <x:v>IGraphLibrary</x:v>
      </x:c>
      <x:c r="F26" s="66" t="str">
        <x:v>版本冲突</x:v>
      </x:c>
      <x:c r="G26" s="66" t="str">
        <x:v>全部</x:v>
      </x:c>
      <x:c r="H26" s="66"/>
      <x:c r="I26" s="66"/>
    </x:row>
    <x:row r="27">
      <x:c r="A27" s="58" t="str">
        <x:v>GraphDiff</x:v>
      </x:c>
      <x:c r="B27" s="58" t="str">
        <x:v>节点/参数/连接级Diff</x:v>
      </x:c>
      <x:c r="C27" s="58" t="str">
        <x:v>发布变更分析</x:v>
      </x:c>
      <x:c r="D27" s="58" t="str">
        <x:v>HotReload评估</x:v>
      </x:c>
      <x:c r="E27" s="58" t="str">
        <x:v>IGraphDiffService</x:v>
      </x:c>
      <x:c r="F27" s="58" t="str">
        <x:v>破坏性变更</x:v>
      </x:c>
      <x:c r="G27" s="58" t="str">
        <x:v>全部</x:v>
      </x:c>
      <x:c r="H27" s="58"/>
      <x:c r="I27" s="58"/>
    </x:row>
    <x:row r="28">
      <x:c r="A28"/>
      <x:c r="B28"/>
      <x:c r="C28"/>
      <x:c r="D28"/>
      <x:c r="E28"/>
      <x:c r="F28"/>
      <x:c r="G28"/>
      <x:c r="H28"/>
      <x:c r="I28"/>
    </x:row>
    <x:row r="29" ht="24" customHeight="1">
      <x:c r="A29" s="40" t="str">
        <x:v>C. 执行语义 Profile</x:v>
      </x:c>
      <x:c r="B29" s="40"/>
      <x:c r="C29" s="40"/>
      <x:c r="D29" s="40"/>
      <x:c r="E29" s="40"/>
      <x:c r="F29" s="40"/>
      <x:c r="G29" s="40"/>
      <x:c r="H29" s="40"/>
      <x:c r="I29" s="40"/>
    </x:row>
    <x:row r="30" ht="28" customHeight="1">
      <x:c r="A30" s="50" t="str">
        <x:v>Profile</x:v>
      </x:c>
      <x:c r="B30" s="50" t="str">
        <x:v>主驱动方式</x:v>
      </x:c>
      <x:c r="C30" s="50" t="str">
        <x:v>典型域</x:v>
      </x:c>
      <x:c r="D30" s="50" t="str">
        <x:v>开始条件</x:v>
      </x:c>
      <x:c r="E30" s="50" t="str">
        <x:v>并发模型</x:v>
      </x:c>
      <x:c r="F30" s="50" t="str">
        <x:v>状态持久化</x:v>
      </x:c>
      <x:c r="G30" s="50" t="str">
        <x:v>关键风险</x:v>
      </x:c>
      <x:c r="H30" s="50" t="str">
        <x:v>正式规则</x:v>
      </x:c>
      <x:c r="I30" s="50"/>
    </x:row>
    <x:row r="31">
      <x:c r="A31" s="66" t="str">
        <x:v>EventDriven</x:v>
      </x:c>
      <x:c r="B31" s="66" t="str">
        <x:v>事件/变量变化触发</x:v>
      </x:c>
      <x:c r="C31" s="66" t="str">
        <x:v>SCADA Action/部分设备事件</x:v>
      </x:c>
      <x:c r="D31" s="66" t="str">
        <x:v>Event</x:v>
      </x:c>
      <x:c r="E31" s="66" t="str">
        <x:v>异步Action链</x:v>
      </x:c>
      <x:c r="F31" s="66" t="str">
        <x:v>通常短生命周期</x:v>
      </x:c>
      <x:c r="G31" s="66" t="str">
        <x:v>事件风暴</x:v>
      </x:c>
      <x:c r="H31" s="66" t="str">
        <x:v>不强制图化全部SCADA逻辑</x:v>
      </x:c>
      <x:c r="I31" s="66"/>
    </x:row>
    <x:row r="32">
      <x:c r="A32" s="58" t="str">
        <x:v>ControlFlow</x:v>
      </x:c>
      <x:c r="B32" s="58" t="str">
        <x:v>控制Token沿边流动</x:v>
      </x:c>
      <x:c r="C32" s="58" t="str">
        <x:v>Motion</x:v>
      </x:c>
      <x:c r="D32" s="58" t="str">
        <x:v>Start/上一节点完成</x:v>
      </x:c>
      <x:c r="E32" s="58" t="str">
        <x:v>Sequence/Parallel/Join</x:v>
      </x:c>
      <x:c r="F32" s="58" t="str">
        <x:v>短中期</x:v>
      </x:c>
      <x:c r="G32" s="58" t="str">
        <x:v>设备互锁/超时</x:v>
      </x:c>
      <x:c r="H32" s="58" t="str">
        <x:v>Motion Runtime专用</x:v>
      </x:c>
      <x:c r="I32" s="58"/>
    </x:row>
    <x:row r="33">
      <x:c r="A33" s="66" t="str">
        <x:v>TypedDataFlow</x:v>
      </x:c>
      <x:c r="B33" s="66" t="str">
        <x:v>数据到齐/显式Run触发</x:v>
      </x:c>
      <x:c r="C33" s="66" t="str">
        <x:v>Vision</x:v>
      </x:c>
      <x:c r="D33" s="66" t="str">
        <x:v>Input Ready/Execute</x:v>
      </x:c>
      <x:c r="E33" s="66" t="str">
        <x:v>DAG并行/设备队列</x:v>
      </x:c>
      <x:c r="F33" s="66" t="str">
        <x:v>通常一次Pipeline Run</x:v>
      </x:c>
      <x:c r="G33" s="66" t="str">
        <x:v>大对象/GPU/缓存</x:v>
      </x:c>
      <x:c r="H33" s="66" t="str">
        <x:v>Vision Runtime专用</x:v>
      </x:c>
      <x:c r="I33" s="66"/>
    </x:row>
    <x:row r="34">
      <x:c r="A34" s="58" t="str">
        <x:v>DurableWorkflow</x:v>
      </x:c>
      <x:c r="B34" s="58" t="str">
        <x:v>状态机/控制流+持久上下文</x:v>
      </x:c>
      <x:c r="C34" s="58" t="str">
        <x:v>Inspection</x:v>
      </x:c>
      <x:c r="D34" s="58" t="str">
        <x:v>Task/Product启动</x:v>
      </x:c>
      <x:c r="E34" s="58" t="str">
        <x:v>Sequence/Parallel/Wait/Retry</x:v>
      </x:c>
      <x:c r="F34" s="58" t="str">
        <x:v>支持Checkpoint</x:v>
      </x:c>
      <x:c r="G34" s="58" t="str">
        <x:v>恢复一致性</x:v>
      </x:c>
      <x:c r="H34" s="58" t="str">
        <x:v>Inspection Runtime专用</x:v>
      </x:c>
      <x:c r="I34" s="58"/>
    </x:row>
    <x:row r="35">
      <x:c r="A35"/>
      <x:c r="B35"/>
      <x:c r="C35"/>
      <x:c r="D35"/>
      <x:c r="E35"/>
      <x:c r="F35"/>
      <x:c r="G35"/>
      <x:c r="H35"/>
      <x:c r="I35"/>
    </x:row>
    <x:row r="36" ht="24" customHeight="1">
      <x:c r="A36" s="40" t="str">
        <x:v>D. Graph 编译与运行契约</x:v>
      </x:c>
      <x:c r="B36" s="40"/>
      <x:c r="C36" s="40"/>
      <x:c r="D36" s="40"/>
      <x:c r="E36" s="40"/>
      <x:c r="F36" s="40"/>
      <x:c r="G36" s="40"/>
      <x:c r="H36" s="40"/>
      <x:c r="I36" s="40"/>
    </x:row>
    <x:row r="37" ht="28" customHeight="1">
      <x:c r="A37" s="50" t="str">
        <x:v>步骤</x:v>
      </x:c>
      <x:c r="B37" s="50" t="str">
        <x:v>输入</x:v>
      </x:c>
      <x:c r="C37" s="50" t="str">
        <x:v>处理</x:v>
      </x:c>
      <x:c r="D37" s="50" t="str">
        <x:v>输出</x:v>
      </x:c>
      <x:c r="E37" s="50" t="str">
        <x:v>失败策略</x:v>
      </x:c>
      <x:c r="F37" s="50" t="str">
        <x:v>缓存</x:v>
      </x:c>
      <x:c r="G37" s="50" t="str">
        <x:v>诊断字段</x:v>
      </x:c>
      <x:c r="H37" s="50" t="str">
        <x:v>测试</x:v>
      </x:c>
      <x:c r="I37" s="50"/>
    </x:row>
    <x:row r="38">
      <x:c r="A38" s="66" t="str">
        <x:v>Validate</x:v>
      </x:c>
      <x:c r="B38" s="66" t="str">
        <x:v>GraphDefinition + ProjectContext</x:v>
      </x:c>
      <x:c r="C38" s="66" t="str">
        <x:v>通用规则+Domain规则</x:v>
      </x:c>
      <x:c r="D38" s="66" t="str">
        <x:v>ValidationReport</x:v>
      </x:c>
      <x:c r="E38" s="66" t="str">
        <x:v>Fatal阻止Compile</x:v>
      </x:c>
      <x:c r="F38" s="66" t="str">
        <x:v>规则缓存</x:v>
      </x:c>
      <x:c r="G38" s="66" t="str">
        <x:v>GraphId/NodeId/PortId/RuleCode</x:v>
      </x:c>
      <x:c r="H38" s="66" t="str">
        <x:v>非法图样本</x:v>
      </x:c>
      <x:c r="I38" s="66"/>
    </x:row>
    <x:row r="39">
      <x:c r="A39" s="58" t="str">
        <x:v>Resolve</x:v>
      </x:c>
      <x:c r="B39" s="58" t="str">
        <x:v>DefinitionRefs/NodeDescriptors/Resources</x:v>
      </x:c>
      <x:c r="C39" s="58" t="str">
        <x:v>解析版本/类型/资源/设备引用</x:v>
      </x:c>
      <x:c r="D39" s="58" t="str">
        <x:v>ResolvedGraph</x:v>
      </x:c>
      <x:c r="E39" s="58" t="str">
        <x:v>缺失依赖失败</x:v>
      </x:c>
      <x:c r="F39" s="58" t="str">
        <x:v>Catalog cache</x:v>
      </x:c>
      <x:c r="G39" s="58" t="str">
        <x:v>Dependency/Version</x:v>
      </x:c>
      <x:c r="H39" s="58" t="str">
        <x:v>缺插件</x:v>
      </x:c>
      <x:c r="I39" s="58"/>
    </x:row>
    <x:row r="40">
      <x:c r="A40" s="66" t="str">
        <x:v>Compile</x:v>
      </x:c>
      <x:c r="B40" s="66" t="str">
        <x:v>ResolvedGraph</x:v>
      </x:c>
      <x:c r="C40" s="66" t="str">
        <x:v>拓扑/控制边/参数/表达式/执行器绑定</x:v>
      </x:c>
      <x:c r="D40" s="66" t="str">
        <x:v>ExecutionPlan</x:v>
      </x:c>
      <x:c r="E40" s="66" t="str">
        <x:v>保留旧Plan可选</x:v>
      </x:c>
      <x:c r="F40" s="66" t="str">
        <x:v>Plan hash</x:v>
      </x:c>
      <x:c r="G40" s="66" t="str">
        <x:v>CompileTiming/Warnings</x:v>
      </x:c>
      <x:c r="H40" s="66" t="str">
        <x:v>Plan稳定性</x:v>
      </x:c>
      <x:c r="I40" s="66"/>
    </x:row>
    <x:row r="41">
      <x:c r="A41" s="58" t="str">
        <x:v>Start</x:v>
      </x:c>
      <x:c r="B41" s="58" t="str">
        <x:v>ExecutionPlan + RuntimeContext</x:v>
      </x:c>
      <x:c r="C41" s="58" t="str">
        <x:v>建立Session/资源/Context</x:v>
      </x:c>
      <x:c r="D41" s="58" t="str">
        <x:v>GraphSession</x:v>
      </x:c>
      <x:c r="E41" s="58" t="str">
        <x:v>资源不可用按策略失败</x:v>
      </x:c>
      <x:c r="F41" s="58" t="str">
        <x:v>Runtime caches</x:v>
      </x:c>
      <x:c r="G41" s="58" t="str">
        <x:v>SessionId/CorrelationId</x:v>
      </x:c>
      <x:c r="H41" s="58" t="str">
        <x:v>资源冲突</x:v>
      </x:c>
      <x:c r="I41" s="58"/>
    </x:row>
    <x:row r="42">
      <x:c r="A42" s="66" t="str">
        <x:v>Execute</x:v>
      </x:c>
      <x:c r="B42" s="66" t="str">
        <x:v>Session</x:v>
      </x:c>
      <x:c r="C42" s="66" t="str">
        <x:v>由Domain Runtime调度节点</x:v>
      </x:c>
      <x:c r="D42" s="66" t="str">
        <x:v>NodeRun/GraphResult</x:v>
      </x:c>
      <x:c r="E42" s="66" t="str">
        <x:v>局部失败/Retry/FailFlow</x:v>
      </x:c>
      <x:c r="F42" s="66" t="str">
        <x:v>按域定义</x:v>
      </x:c>
      <x:c r="G42" s="66" t="str">
        <x:v>NodeTiming/InputOutputSummary</x:v>
      </x:c>
      <x:c r="H42" s="66" t="str">
        <x:v>并发/取消</x:v>
      </x:c>
      <x:c r="I42" s="66"/>
    </x:row>
    <x:row r="43">
      <x:c r="A43" s="58" t="str">
        <x:v>Stop/Dispose</x:v>
      </x:c>
      <x:c r="B43" s="58" t="str">
        <x:v>Session</x:v>
      </x:c>
      <x:c r="C43" s="58" t="str">
        <x:v>取消、清资源、清订阅/临时数据</x:v>
      </x:c>
      <x:c r="D43" s="58" t="str">
        <x:v>Stopped</x:v>
      </x:c>
      <x:c r="E43" s="58" t="str">
        <x:v>幂等</x:v>
      </x:c>
      <x:c r="F43" s="58" t="str">
        <x:v>清缓存策略</x:v>
      </x:c>
      <x:c r="G43" s="58" t="str">
        <x:v>Leak counters</x:v>
      </x:c>
      <x:c r="H43" s="58" t="str">
        <x:v>100次启停</x:v>
      </x:c>
      <x:c r="I43" s="58"/>
    </x:row>
    <x:row r="44">
      <x:c r="A44"/>
      <x:c r="B44"/>
      <x:c r="C44"/>
      <x:c r="D44"/>
      <x:c r="E44"/>
      <x:c r="F44"/>
      <x:c r="G44"/>
      <x:c r="H44"/>
      <x:c r="I44"/>
    </x:row>
    <x:row r="45" ht="24" customHeight="1">
      <x:c r="A45" s="40" t="str">
        <x:v>E. 核心Domain执行语义对照</x:v>
      </x:c>
      <x:c r="B45" s="40"/>
      <x:c r="C45" s="40"/>
      <x:c r="D45" s="40"/>
      <x:c r="E45" s="40"/>
      <x:c r="F45" s="40"/>
      <x:c r="G45" s="40"/>
      <x:c r="H45" s="40"/>
      <x:c r="I45" s="40"/>
    </x:row>
    <x:row r="46" ht="24" customHeight="1">
      <x:c r="A46" s="40" t="str">
        <x:v>B. 三域执行语义对照</x:v>
      </x:c>
      <x:c r="B46" s="40"/>
      <x:c r="C46" s="40"/>
      <x:c r="D46" s="40"/>
      <x:c r="E46" s="40"/>
      <x:c r="F46" s="40"/>
      <x:c r="G46" s="40"/>
      <x:c r="H46" s="40"/>
      <x:c r="I46" s="40"/>
    </x:row>
    <x:row r="47" ht="28" customHeight="1">
      <x:c r="A47" s="50" t="str">
        <x:v>维度</x:v>
      </x:c>
      <x:c r="B47" s="50" t="str">
        <x:v>Motion</x:v>
      </x:c>
      <x:c r="C47" s="50" t="str">
        <x:v>Vision</x:v>
      </x:c>
      <x:c r="D47" s="50" t="str">
        <x:v>Inspection</x:v>
      </x:c>
      <x:c r="E47" s="50" t="str">
        <x:v>为什么不能强行统一</x:v>
      </x:c>
      <x:c r="F47" s="50" t="str">
        <x:v>共享点</x:v>
      </x:c>
      <x:c r="G47" s="50" t="str">
        <x:v>设计器提示</x:v>
      </x:c>
      <x:c r="H47" s="50" t="str">
        <x:v>Runtime关键</x:v>
      </x:c>
      <x:c r="I47" s="50" t="str">
        <x:v>测试重点</x:v>
      </x:c>
    </x:row>
    <x:row r="48">
      <x:c r="A48" s="66" t="str">
        <x:v>本质</x:v>
      </x:c>
      <x:c r="B48" s="66" t="str">
        <x:v>设备动作控制流</x:v>
      </x:c>
      <x:c r="C48" s="66" t="str">
        <x:v>强类型数据流DAG</x:v>
      </x:c>
      <x:c r="D48" s="66" t="str">
        <x:v>可持久恢复业务工作流</x:v>
      </x:c>
      <x:c r="E48" s="66" t="str">
        <x:v>驱动源与状态持久化完全不同</x:v>
      </x:c>
      <x:c r="F48" s="66" t="str">
        <x:v>Graph基础/Debug协议</x:v>
      </x:c>
      <x:c r="G48" s="66" t="str">
        <x:v>不同GraphKind明显标识</x:v>
      </x:c>
      <x:c r="H48" s="66" t="str">
        <x:v>不同Compiler/Session</x:v>
      </x:c>
      <x:c r="I48" s="66" t="str">
        <x:v>域语义测试</x:v>
      </x:c>
    </x:row>
    <x:row r="49">
      <x:c r="A49" s="58" t="str">
        <x:v>触发</x:v>
      </x:c>
      <x:c r="B49" s="58" t="str">
        <x:v>Start/事件/上一步完成</x:v>
      </x:c>
      <x:c r="C49" s="58" t="str">
        <x:v>单次Run/Frame/Batch/Stream</x:v>
      </x:c>
      <x:c r="D49" s="58" t="str">
        <x:v>产品Task/外部事件/恢复</x:v>
      </x:c>
      <x:c r="E49" s="58" t="str">
        <x:v>Vision不应靠控制Token串所有数据</x:v>
      </x:c>
      <x:c r="F49" s="58" t="str">
        <x:v>统一Invocation</x:v>
      </x:c>
      <x:c r="G49" s="58" t="str">
        <x:v>起点/入口清晰</x:v>
      </x:c>
      <x:c r="H49" s="58" t="str">
        <x:v>Session start contract</x:v>
      </x:c>
      <x:c r="I49" s="58" t="str">
        <x:v>入口重复触发</x:v>
      </x:c>
    </x:row>
    <x:row r="50">
      <x:c r="A50" s="66" t="str">
        <x:v>并发</x:v>
      </x:c>
      <x:c r="B50" s="66" t="str">
        <x:v>Parallel/Join但受设备资源约束</x:v>
      </x:c>
      <x:c r="C50" s="66" t="str">
        <x:v>DAG就绪并行+CPU/GPU队列</x:v>
      </x:c>
      <x:c r="D50" s="66" t="str">
        <x:v>多Task+单Task内部Parallel</x:v>
      </x:c>
      <x:c r="E50" s="66" t="str">
        <x:v>资源粒度与并发策略不同</x:v>
      </x:c>
      <x:c r="F50" s="66" t="str">
        <x:v>ResourceManager</x:v>
      </x:c>
      <x:c r="G50" s="66" t="str">
        <x:v>并发可视化</x:v>
      </x:c>
      <x:c r="H50" s="66" t="str">
        <x:v>Domain Scheduler</x:v>
      </x:c>
      <x:c r="I50" s="66" t="str">
        <x:v>竞争/死锁/吞吐</x:v>
      </x:c>
    </x:row>
    <x:row r="51">
      <x:c r="A51" s="58" t="str">
        <x:v>等待</x:v>
      </x:c>
      <x:c r="B51" s="58" t="str">
        <x:v>设备到位/IO/命令完成</x:v>
      </x:c>
      <x:c r="C51" s="58" t="str">
        <x:v>依赖数据或Worker完成</x:v>
      </x:c>
      <x:c r="D51" s="58" t="str">
        <x:v>资源/MES/人工/时间/子流程</x:v>
      </x:c>
      <x:c r="E51" s="58" t="str">
        <x:v>Inspection等待可跨秒/分钟并需持久</x:v>
      </x:c>
      <x:c r="F51" s="58" t="str">
        <x:v>Cancellation/Timeout</x:v>
      </x:c>
      <x:c r="G51" s="58" t="str">
        <x:v>等待状态有图标</x:v>
      </x:c>
      <x:c r="H51" s="58" t="str">
        <x:v>等待原因可诊断</x:v>
      </x:c>
      <x:c r="I51" s="58" t="str">
        <x:v>超时/恢复</x:v>
      </x:c>
    </x:row>
    <x:row r="52">
      <x:c r="A52" s="66" t="str">
        <x:v>暂停</x:v>
      </x:c>
      <x:c r="B52" s="66" t="str">
        <x:v>节点边界暂停；物理动作不中途冻结</x:v>
      </x:c>
      <x:c r="C52" s="66" t="str">
        <x:v>节点边界/帧边界暂停</x:v>
      </x:c>
      <x:c r="D52" s="66" t="str">
        <x:v>节点边界/持久等待暂停</x:v>
      </x:c>
      <x:c r="E52" s="66" t="str">
        <x:v>暂停物理语义不同</x:v>
      </x:c>
      <x:c r="F52" s="66" t="str">
        <x:v>DebugSession</x:v>
      </x:c>
      <x:c r="G52" s="66" t="str">
        <x:v>提示真实设备状态</x:v>
      </x:c>
      <x:c r="H52" s="66" t="str">
        <x:v>Domain Debugger</x:v>
      </x:c>
      <x:c r="I52" s="66" t="str">
        <x:v>Pause语义</x:v>
      </x:c>
    </x:row>
    <x:row r="53" ht="28" customHeight="1">
      <x:c r="A53" s="50" t="str">
        <x:v>数据</x:v>
      </x:c>
      <x:c r="B53" s="50" t="str">
        <x:v>位置/IO/设备状态/命令结果</x:v>
      </x:c>
      <x:c r="C53" s="50" t="str">
        <x:v>Image/Region/Detection/Measurement/Volume</x:v>
      </x:c>
      <x:c r="D53" s="50" t="str">
        <x:v>Product/Point/Result/Task Context</x:v>
      </x:c>
      <x:c r="E53" s="50" t="str">
        <x:v>大图与持久业务Context生命周期不同</x:v>
      </x:c>
      <x:c r="F53" s="50" t="str">
        <x:v>TypeSystem/DataValue</x:v>
      </x:c>
      <x:c r="G53" s="50" t="str">
        <x:v>Port/Context viewer</x:v>
      </x:c>
      <x:c r="H53" s="50" t="str">
        <x:v>Scoped runtime data</x:v>
      </x:c>
      <x:c r="I53" s="50" t="str">
        <x:v>内存/序列化</x:v>
      </x:c>
    </x:row>
    <x:row r="54">
      <x:c r="A54" s="58" t="str">
        <x:v>持久恢复</x:v>
      </x:c>
      <x:c r="B54" s="58" t="str">
        <x:v>通常不恢复到运动中间态</x:v>
      </x:c>
      <x:c r="C54" s="58" t="str">
        <x:v>通常按Run重新执行</x:v>
      </x:c>
      <x:c r="D54" s="58" t="str">
        <x:v>必须支持Checkpoint恢复</x:v>
      </x:c>
      <x:c r="E54" s="58" t="str">
        <x:v>只有Inspection是Durable Workflow核心</x:v>
      </x:c>
      <x:c r="F54" s="58" t="str">
        <x:v>Version Manifest</x:v>
      </x:c>
      <x:c r="G54" s="58" t="str">
        <x:v>恢复能力显式显示</x:v>
      </x:c>
      <x:c r="H54" s="58" t="str">
        <x:v>Checkpoint store</x:v>
      </x:c>
      <x:c r="I54" s="58" t="str">
        <x:v>Kill/restart</x:v>
      </x:c>
    </x:row>
    <x:row r="55">
      <x:c r="A55" s="66" t="str">
        <x:v>版本</x:v>
      </x:c>
      <x:c r="B55" s="66" t="str">
        <x:v>Program/Device profile</x:v>
      </x:c>
      <x:c r="C55" s="66" t="str">
        <x:v>Pipeline/Model/Calibration/Plugin</x:v>
      </x:c>
      <x:c r="D55" s="66" t="str">
        <x:v>Flow+Motion+Vision+Recipe+Plugin整体固定</x:v>
      </x:c>
      <x:c r="E55" s="66" t="str">
        <x:v>Inspection需固定依赖集合</x:v>
      </x:c>
      <x:c r="F55" s="66" t="str">
        <x:v>VersionResolver</x:v>
      </x:c>
      <x:c r="G55" s="66" t="str">
        <x:v>Online diff</x:v>
      </x:c>
      <x:c r="H55" s="66" t="str">
        <x:v>Resolved Manifest</x:v>
      </x:c>
      <x:c r="I55" s="66" t="str">
        <x:v>Replay</x:v>
      </x:c>
    </x:row>
    <x:row r="57">
      <x:c r="A57" t="str">
        <x:v>F. 历史 SCADA Variable Graph Nodes（目标统一Variable Runtime）</x:v>
      </x:c>
      <x:c r="B57"/>
      <x:c r="C57"/>
      <x:c r="D57"/>
      <x:c r="E57"/>
      <x:c r="F57"/>
      <x:c r="G57"/>
      <x:c r="H57"/>
      <x:c r="I57"/>
    </x:row>
    <x:row r="58">
      <x:c r="A58" t="str">
        <x:v>节点/规则</x:v>
      </x:c>
      <x:c r="B58" t="str">
        <x:v>定位</x:v>
      </x:c>
      <x:c r="C58" t="str">
        <x:v>数据契约</x:v>
      </x:c>
      <x:c r="D58" t="str">
        <x:v>执行语义</x:v>
      </x:c>
      <x:c r="E58" t="str">
        <x:v>阶段</x:v>
      </x:c>
      <x:c r="F58" t="str">
        <x:v>DesignRef</x:v>
      </x:c>
      <x:c r="G58"/>
      <x:c r="H58"/>
      <x:c r="I58"/>
    </x:row>
    <x:row r="59">
      <x:c r="A59" t="str">
        <x:v>SCADA VariableChanged</x:v>
      </x:c>
      <x:c r="B59" t="str">
        <x:v>事件源节点</x:v>
      </x:c>
      <x:c r="C59" t="str">
        <x:v>VariableReference输入配置；Typed Value/Quality/Timestamp/Sequence/Source输出</x:v>
      </x:c>
      <x:c r="D59" t="str">
        <x:v>订阅统一VariableEngine/IVariableProvider；变更触发Graph</x:v>
      </x:c>
      <x:c r="E59" t="str">
        <x:v>M3</x:v>
      </x:c>
      <x:c r="F59" t="str">
        <x:v>46</x:v>
      </x:c>
      <x:c r="G59"/>
      <x:c r="H59"/>
      <x:c r="I59"/>
    </x:row>
    <x:row r="60">
      <x:c r="A60" t="str">
        <x:v>SCADA ReadVariable</x:v>
      </x:c>
      <x:c r="B60" t="str">
        <x:v>读取节点</x:v>
      </x:c>
      <x:c r="C60" t="str">
        <x:v>VariableReference→DataValue</x:v>
      </x:c>
      <x:c r="D60" t="str">
        <x:v>通过VariableEngine/Provider读取；返回Quality/Source</x:v>
      </x:c>
      <x:c r="E60" t="str">
        <x:v>M3</x:v>
      </x:c>
      <x:c r="F60" t="str">
        <x:v>46</x:v>
      </x:c>
      <x:c r="G60"/>
      <x:c r="H60"/>
      <x:c r="I60"/>
    </x:row>
    <x:row r="61">
      <x:c r="A61" t="str">
        <x:v>SCADA WriteVariable</x:v>
      </x:c>
      <x:c r="B61" t="str">
        <x:v>副作用节点</x:v>
      </x:c>
      <x:c r="C61" t="str">
        <x:v>VariableReference + Typed Value + Reason</x:v>
      </x:c>
      <x:c r="D61" t="str">
        <x:v>必须调用WritePipeline，输出WriteResult/Readback/Diagnostic</x:v>
      </x:c>
      <x:c r="E61" t="str">
        <x:v>M3</x:v>
      </x:c>
      <x:c r="F61" t="str">
        <x:v>46</x:v>
      </x:c>
      <x:c r="G61"/>
      <x:c r="H61"/>
      <x:c r="I61"/>
    </x:row>
    <x:row r="62">
      <x:c r="A62" t="str">
        <x:v>变量节点边界</x:v>
      </x:c>
      <x:c r="B62" t="str">
        <x:v>禁止</x:v>
      </x:c>
      <x:c r="C62" t="str">
        <x:v>Node不得持Legacy VariableManager/Vendor SDK；不得用VariableTable.UpdateVariable冒充设备写入</x:v>
      </x:c>
      <x:c r="D62" t="str">
        <x:v>Graph Validator/Architecture Gate</x:v>
      </x:c>
      <x:c r="E62" t="str">
        <x:v>M3</x:v>
      </x:c>
      <x:c r="F62" t="str">
        <x:v>46</x:v>
      </x:c>
      <x:c r="G62"/>
      <x:c r="H62"/>
      <x:c r="I62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36" hidden="0" customWidth="1"/>
    <x:col min="4" max="4" width="34" hidden="0" customWidth="1"/>
    <x:col min="5" max="5" width="34" hidden="0" customWidth="1"/>
    <x:col min="6" max="6" width="30" hidden="0" customWidth="1"/>
    <x:col min="7" max="7" width="28" hidden="0" customWidth="1"/>
    <x:col min="8" max="8" width="28" hidden="0" customWidth="1"/>
  </x:cols>
  <x:sheetData>
    <x:row r="1" ht="30" customHeight="1">
      <x:c r="A1" s="8" t="str">
        <x:v>Graph 类型系统与数据契约</x:v>
      </x:c>
      <x:c r="B1" s="8"/>
      <x:c r="C1" s="8"/>
      <x:c r="D1" s="8"/>
      <x:c r="E1" s="8"/>
      <x:c r="F1" s="8"/>
      <x:c r="G1" s="8"/>
      <x:c r="H1" s="8"/>
    </x:row>
    <x:row r="2" ht="38" customHeight="1">
      <x:c r="A2" s="16" t="str">
        <x:v>整个CxVisual的数据语言：统一基础类型、DataValue/Quality、Typed Port、大对象Handle/ArtifactRef、Expression/Rule、Runtime Scope与时间/Correlation契约。</x:v>
      </x:c>
      <x:c r="B2" s="16"/>
      <x:c r="C2" s="16"/>
      <x:c r="D2" s="16"/>
      <x:c r="E2" s="16"/>
      <x:c r="F2" s="16"/>
      <x:c r="G2" s="16"/>
      <x:c r="H2" s="16"/>
    </x:row>
    <x:row r="3">
      <x:c r="A3" s="30" t="str">
        <x:v>本页唯一权威</x:v>
      </x:c>
      <x:c r="B3" s="31" t="str">
        <x:v>TypeSystem、Port兼容、DataValue、Handle/Artifact、Expression、Context Scope、Timestamp/Sequence/Correlation。</x:v>
      </x:c>
      <x:c r="C3" s="31"/>
      <x:c r="D3" s="31"/>
      <x:c r="E3" s="31"/>
      <x:c r="F3" s="31"/>
      <x:c r="G3" s="31"/>
      <x:c r="H3" s="31"/>
    </x:row>
    <x:row r="4">
      <x:c r="A4" s="30" t="str">
        <x:v>不在本页维护</x:v>
      </x:c>
      <x:c r="B4" s="31" t="str">
        <x:v>Domain专有Schema字段；它们在27~39定义并注册到TypeSystem。</x:v>
      </x:c>
      <x:c r="C4" s="31"/>
      <x:c r="D4" s="31"/>
      <x:c r="E4" s="31"/>
      <x:c r="F4" s="31"/>
      <x:c r="G4" s="31"/>
      <x:c r="H4" s="31"/>
    </x:row>
    <x:row r="5">
      <x:c r="A5" s="30" t="str">
        <x:v>关联分页</x:v>
      </x:c>
      <x:c r="B5" s="31" t="str">
        <x:v>10_Property元数据Binding；19_Graph编排模型与执行基础；25_Graph性能诊断可观测性。</x:v>
      </x:c>
      <x:c r="C5" s="31"/>
      <x:c r="D5" s="31"/>
      <x:c r="E5" s="31"/>
      <x:c r="F5" s="31"/>
      <x:c r="G5" s="31"/>
      <x:c r="H5" s="31"/>
    </x:row>
    <x:row r="6">
      <x:c r="A6"/>
      <x:c r="B6"/>
      <x:c r="C6"/>
      <x:c r="D6"/>
      <x:c r="E6"/>
      <x:c r="F6"/>
      <x:c r="G6"/>
      <x:c r="H6"/>
    </x:row>
    <x:row r="7" ht="24" customHeight="1">
      <x:c r="A7" s="40" t="str">
        <x:v>A. 基础类型系统</x:v>
      </x:c>
      <x:c r="B7" s="40"/>
      <x:c r="C7" s="40"/>
      <x:c r="D7" s="40"/>
      <x:c r="E7" s="40"/>
      <x:c r="F7" s="40"/>
      <x:c r="G7" s="40"/>
      <x:c r="H7" s="40"/>
    </x:row>
    <x:row r="8" ht="28" customHeight="1">
      <x:c r="A8" s="50" t="str">
        <x:v>类型族</x:v>
      </x:c>
      <x:c r="B8" s="50" t="str">
        <x:v>平台类型示例</x:v>
      </x:c>
      <x:c r="C8" s="50" t="str">
        <x:v>主要用途</x:v>
      </x:c>
      <x:c r="D8" s="50" t="str">
        <x:v>序列化</x:v>
      </x:c>
      <x:c r="E8" s="50" t="str">
        <x:v>Port传递</x:v>
      </x:c>
      <x:c r="F8" s="50" t="str">
        <x:v>质量/时间戳</x:v>
      </x:c>
      <x:c r="G8" s="50" t="str">
        <x:v>跨进程</x:v>
      </x:c>
      <x:c r="H8" s="50" t="str">
        <x:v>规则</x:v>
      </x:c>
    </x:row>
    <x:row r="9">
      <x:c r="A9" s="58" t="str">
        <x:v>Scalar</x:v>
      </x:c>
      <x:c r="B9" s="58" t="str">
        <x:v>Bool/Int32/Int64/Double/Decimal/String</x:v>
      </x:c>
      <x:c r="C9" s="58" t="str">
        <x:v>Tag/参数/测量值</x:v>
      </x:c>
      <x:c r="D9" s="58" t="str">
        <x:v>JSON</x:v>
      </x:c>
      <x:c r="E9" s="58" t="str">
        <x:v>值拷贝</x:v>
      </x:c>
      <x:c r="F9" s="58" t="str">
        <x:v>可包DataValue</x:v>
      </x:c>
      <x:c r="G9" s="58" t="str">
        <x:v>直接</x:v>
      </x:c>
      <x:c r="H9" s="58" t="str">
        <x:v>禁止隐式危险窄化</x:v>
      </x:c>
    </x:row>
    <x:row r="10">
      <x:c r="A10" s="66" t="str">
        <x:v>Time</x:v>
      </x:c>
      <x:c r="B10" s="66" t="str">
        <x:v>DateTime/TimeSpan/Duration</x:v>
      </x:c>
      <x:c r="C10" s="66" t="str">
        <x:v>时间/窗口/超时</x:v>
      </x:c>
      <x:c r="D10" s="66" t="str">
        <x:v>ISO/数值</x:v>
      </x:c>
      <x:c r="E10" s="66" t="str">
        <x:v>值拷贝</x:v>
      </x:c>
      <x:c r="F10" s="66" t="str">
        <x:v>Timestamp</x:v>
      </x:c>
      <x:c r="G10" s="66" t="str">
        <x:v>直接</x:v>
      </x:c>
      <x:c r="H10" s="66" t="str">
        <x:v>统一UTC+显示时区</x:v>
      </x:c>
    </x:row>
    <x:row r="11">
      <x:c r="A11" s="58" t="str">
        <x:v>Enum</x:v>
      </x:c>
      <x:c r="B11" s="58" t="str">
        <x:v>EnumValue(TypeId,Value)</x:v>
      </x:c>
      <x:c r="C11" s="58" t="str">
        <x:v>状态/模式</x:v>
      </x:c>
      <x:c r="D11" s="58" t="str">
        <x:v>稳定TypeId+Value</x:v>
      </x:c>
      <x:c r="E11" s="58" t="str">
        <x:v>值拷贝</x:v>
      </x:c>
      <x:c r="F11" s="58" t="str">
        <x:v>可</x:v>
      </x:c>
      <x:c r="G11" s="58" t="str">
        <x:v>直接</x:v>
      </x:c>
      <x:c r="H11" s="58" t="str">
        <x:v>不能仅存显示文本</x:v>
      </x:c>
    </x:row>
    <x:row r="12">
      <x:c r="A12" s="66" t="str">
        <x:v>Geometry2D</x:v>
      </x:c>
      <x:c r="B12" s="66" t="str">
        <x:v>Point2/Rect2/Vector2/Matrix3/Pose2</x:v>
      </x:c>
      <x:c r="C12" s="66" t="str">
        <x:v>ROI/定位/标定</x:v>
      </x:c>
      <x:c r="D12" s="66" t="str">
        <x:v>平台值对象</x:v>
      </x:c>
      <x:c r="E12" s="66" t="str">
        <x:v>值拷贝</x:v>
      </x:c>
      <x:c r="F12" s="66" t="str">
        <x:v>通常无</x:v>
      </x:c>
      <x:c r="G12" s="66" t="str">
        <x:v>直接</x:v>
      </x:c>
      <x:c r="H12" s="66" t="str">
        <x:v>不引用WPF类型</x:v>
      </x:c>
    </x:row>
    <x:row r="13">
      <x:c r="A13" s="58" t="str">
        <x:v>Geometry3D</x:v>
      </x:c>
      <x:c r="B13" s="58" t="str">
        <x:v>Vector3/Matrix4/Pose3/Box3</x:v>
      </x:c>
      <x:c r="C13" s="58" t="str">
        <x:v>CT/机器人/三维测量</x:v>
      </x:c>
      <x:c r="D13" s="58" t="str">
        <x:v>平台值对象</x:v>
      </x:c>
      <x:c r="E13" s="58" t="str">
        <x:v>值拷贝</x:v>
      </x:c>
      <x:c r="F13" s="58" t="str">
        <x:v>通常无</x:v>
      </x:c>
      <x:c r="G13" s="58" t="str">
        <x:v>直接</x:v>
      </x:c>
      <x:c r="H13" s="58" t="str">
        <x:v>坐标系必须显式</x:v>
      </x:c>
    </x:row>
    <x:row r="14">
      <x:c r="A14" s="66" t="str">
        <x:v>Image2D</x:v>
      </x:c>
      <x:c r="B14" s="66" t="str">
        <x:v>ImageFrame&lt;TPixel&gt;</x:v>
      </x:c>
      <x:c r="C14" s="66" t="str">
        <x:v>XRay/Camera/算法</x:v>
      </x:c>
      <x:c r="D14" s="66" t="str">
        <x:v>资源引用/不直接JSON大数据</x:v>
      </x:c>
      <x:c r="E14" s="66" t="str">
        <x:v>句柄/共享缓冲</x:v>
      </x:c>
      <x:c r="F14" s="66" t="str">
        <x:v>FrameId/Timestamp</x:v>
      </x:c>
      <x:c r="G14" s="66" t="str">
        <x:v>SharedMemory/File/IPC</x:v>
      </x:c>
      <x:c r="H14" s="66" t="str">
        <x:v>所有权与生命周期明确</x:v>
      </x:c>
    </x:row>
    <x:row r="15">
      <x:c r="A15" s="58" t="str">
        <x:v>Volume3D</x:v>
      </x:c>
      <x:c r="B15" s="58" t="str">
        <x:v>VolumeFrame&lt;TVoxel&gt;</x:v>
      </x:c>
      <x:c r="C15" s="58" t="str">
        <x:v>CT体数据</x:v>
      </x:c>
      <x:c r="D15" s="58" t="str">
        <x:v>资源引用</x:v>
      </x:c>
      <x:c r="E15" s="58" t="str">
        <x:v>句柄</x:v>
      </x:c>
      <x:c r="F15" s="58" t="str">
        <x:v>VolumeId/Timestamp</x:v>
      </x:c>
      <x:c r="G15" s="58" t="str">
        <x:v>SharedMemory/File</x:v>
      </x:c>
      <x:c r="H15" s="58" t="str">
        <x:v>禁止跨节点无界复制</x:v>
      </x:c>
    </x:row>
    <x:row r="16">
      <x:c r="A16" s="66" t="str">
        <x:v>Region/Mask</x:v>
      </x:c>
      <x:c r="B16" s="66" t="str">
        <x:v>Region2D/Mask2D</x:v>
      </x:c>
      <x:c r="C16" s="66" t="str">
        <x:v>分割/ROI</x:v>
      </x:c>
      <x:c r="D16" s="66" t="str">
        <x:v>压缩/资源</x:v>
      </x:c>
      <x:c r="E16" s="66" t="str">
        <x:v>引用计数对象</x:v>
      </x:c>
      <x:c r="F16" s="66" t="str">
        <x:v>Frame关联</x:v>
      </x:c>
      <x:c r="G16" s="66" t="str">
        <x:v>IPC可序列化</x:v>
      </x:c>
      <x:c r="H16" s="66" t="str">
        <x:v>坐标必须绑定Image空间</x:v>
      </x:c>
    </x:row>
    <x:row r="17">
      <x:c r="A17" s="58" t="str">
        <x:v>Detection</x:v>
      </x:c>
      <x:c r="B17" s="58" t="str">
        <x:v>DetectionSet/DefectList</x:v>
      </x:c>
      <x:c r="C17" s="58" t="str">
        <x:v>AI/缺陷输出</x:v>
      </x:c>
      <x:c r="D17" s="58" t="str">
        <x:v>结构化JSON/二进制</x:v>
      </x:c>
      <x:c r="E17" s="58" t="str">
        <x:v>值+资源引用</x:v>
      </x:c>
      <x:c r="F17" s="58" t="str">
        <x:v>RunId</x:v>
      </x:c>
      <x:c r="G17" s="58" t="str">
        <x:v>直接</x:v>
      </x:c>
      <x:c r="H17" s="58" t="str">
        <x:v>Box/Mask/Class/Score标准化</x:v>
      </x:c>
    </x:row>
    <x:row r="18">
      <x:c r="A18" s="66" t="str">
        <x:v>Measurement</x:v>
      </x:c>
      <x:c r="B18" s="66" t="str">
        <x:v>MeasurementSet/Table</x:v>
      </x:c>
      <x:c r="C18" s="66" t="str">
        <x:v>传统算法/结果</x:v>
      </x:c>
      <x:c r="D18" s="66" t="str">
        <x:v>结构化</x:v>
      </x:c>
      <x:c r="E18" s="66" t="str">
        <x:v>值传递</x:v>
      </x:c>
      <x:c r="F18" s="66" t="str">
        <x:v>RunId</x:v>
      </x:c>
      <x:c r="G18" s="66" t="str">
        <x:v>直接</x:v>
      </x:c>
      <x:c r="H18" s="66" t="str">
        <x:v>Unit/Quality必需</x:v>
      </x:c>
    </x:row>
    <x:row r="19">
      <x:c r="A19" s="58" t="str">
        <x:v>Product/Inspection</x:v>
      </x:c>
      <x:c r="B19" s="58" t="str">
        <x:v>ProductContext/InspectionContext/ResultContext</x:v>
      </x:c>
      <x:c r="C19" s="58" t="str">
        <x:v>检测流程</x:v>
      </x:c>
      <x:c r="D19" s="58" t="str">
        <x:v>结构化持久化</x:v>
      </x:c>
      <x:c r="E19" s="58" t="str">
        <x:v>上下文引用</x:v>
      </x:c>
      <x:c r="F19" s="58" t="str">
        <x:v>TaskId/CorrelationId</x:v>
      </x:c>
      <x:c r="G19" s="58" t="str">
        <x:v>消息契约</x:v>
      </x:c>
      <x:c r="H19" s="58" t="str">
        <x:v>不可塞UI对象</x:v>
      </x:c>
    </x:row>
    <x:row r="20">
      <x:c r="A20" s="66" t="str">
        <x:v>DeviceRef</x:v>
      </x:c>
      <x:c r="B20" s="66" t="str">
        <x:v>AxisRef/CameraRef/XRayRef/IoRef</x:v>
      </x:c>
      <x:c r="C20" s="66" t="str">
        <x:v>运行资源引用</x:v>
      </x:c>
      <x:c r="D20" s="66" t="str">
        <x:v>稳定Id</x:v>
      </x:c>
      <x:c r="E20" s="66" t="str">
        <x:v>句柄解析</x:v>
      </x:c>
      <x:c r="F20" s="66" t="str">
        <x:v>状态另取</x:v>
      </x:c>
      <x:c r="G20" s="66" t="str">
        <x:v>直接传Id</x:v>
      </x:c>
      <x:c r="H20" s="66" t="str">
        <x:v>Definition与Runtime Handle分离</x:v>
      </x:c>
    </x:row>
    <x:row r="21">
      <x:c r="A21"/>
      <x:c r="B21"/>
      <x:c r="C21"/>
      <x:c r="D21"/>
      <x:c r="E21"/>
      <x:c r="F21"/>
      <x:c r="G21"/>
      <x:c r="H21"/>
    </x:row>
    <x:row r="22" ht="24" customHeight="1">
      <x:c r="A22" s="40" t="str">
        <x:v>B. DataValue / Quality</x:v>
      </x:c>
      <x:c r="B22" s="40"/>
      <x:c r="C22" s="40"/>
      <x:c r="D22" s="40"/>
      <x:c r="E22" s="40"/>
      <x:c r="F22" s="40"/>
      <x:c r="G22" s="40"/>
      <x:c r="H22" s="40"/>
    </x:row>
    <x:row r="23" ht="28" customHeight="1">
      <x:c r="A23" s="50" t="str">
        <x:v>字段</x:v>
      </x:c>
      <x:c r="B23" s="50" t="str">
        <x:v>类型</x:v>
      </x:c>
      <x:c r="C23" s="50" t="str">
        <x:v>含义</x:v>
      </x:c>
      <x:c r="D23" s="50" t="str">
        <x:v>来源</x:v>
      </x:c>
      <x:c r="E23" s="50" t="str">
        <x:v>传播规则</x:v>
      </x:c>
      <x:c r="F23" s="50" t="str">
        <x:v>UI表现</x:v>
      </x:c>
      <x:c r="G23" s="50" t="str">
        <x:v>历史/诊断</x:v>
      </x:c>
      <x:c r="H23" s="50" t="str">
        <x:v>注意</x:v>
      </x:c>
    </x:row>
    <x:row r="24">
      <x:c r="A24" s="58" t="str">
        <x:v>Value</x:v>
      </x:c>
      <x:c r="B24" s="58" t="str">
        <x:v>T</x:v>
      </x:c>
      <x:c r="C24" s="58" t="str">
        <x:v>业务值</x:v>
      </x:c>
      <x:c r="D24" s="58" t="str">
        <x:v>Provider/Node/Action</x:v>
      </x:c>
      <x:c r="E24" s="58" t="str">
        <x:v>按类型规则传播</x:v>
      </x:c>
      <x:c r="F24" s="58" t="str">
        <x:v>正常显示</x:v>
      </x:c>
      <x:c r="G24" s="58" t="str">
        <x:v>可记录摘要</x:v>
      </x:c>
      <x:c r="H24" s="58" t="str">
        <x:v>大对象只引用</x:v>
      </x:c>
    </x:row>
    <x:row r="25">
      <x:c r="A25" s="66" t="str">
        <x:v>Quality</x:v>
      </x:c>
      <x:c r="B25" s="66" t="str">
        <x:v>Good/Uncertain/Bad + Code</x:v>
      </x:c>
      <x:c r="C25" s="66" t="str">
        <x:v>可信度</x:v>
      </x:c>
      <x:c r="D25" s="66" t="str">
        <x:v>通信/算法/设备</x:v>
      </x:c>
      <x:c r="E25" s="66" t="str">
        <x:v>默认向下游传播；节点可声明处理策略</x:v>
      </x:c>
      <x:c r="F25" s="66" t="str">
        <x:v>BadQuality样式</x:v>
      </x:c>
      <x:c r="G25" s="66" t="str">
        <x:v>必须记录Code</x:v>
      </x:c>
      <x:c r="H25" s="66" t="str">
        <x:v>不要用null代替质量</x:v>
      </x:c>
    </x:row>
    <x:row r="26">
      <x:c r="A26" s="58" t="str">
        <x:v>TimestampUtc</x:v>
      </x:c>
      <x:c r="B26" s="58" t="str">
        <x:v>DateTime</x:v>
      </x:c>
      <x:c r="C26" s="58" t="str">
        <x:v>数据时间</x:v>
      </x:c>
      <x:c r="D26" s="58" t="str">
        <x:v>设备/采集/平台</x:v>
      </x:c>
      <x:c r="E26" s="58" t="str">
        <x:v>保持源时间</x:v>
      </x:c>
      <x:c r="F26" s="58" t="str">
        <x:v>本地化显示</x:v>
      </x:c>
      <x:c r="G26" s="58" t="str">
        <x:v>历史主时间</x:v>
      </x:c>
      <x:c r="H26" s="58" t="str">
        <x:v>不要用UI刷新时间替代</x:v>
      </x:c>
    </x:row>
    <x:row r="27">
      <x:c r="A27" s="66" t="str">
        <x:v>SourceTimestampUtc</x:v>
      </x:c>
      <x:c r="B27" s="66" t="str">
        <x:v>DateTime?</x:v>
      </x:c>
      <x:c r="C27" s="66" t="str">
        <x:v>设备原始时间</x:v>
      </x:c>
      <x:c r="D27" s="66" t="str">
        <x:v>PLC/Camera</x:v>
      </x:c>
      <x:c r="E27" s="66" t="str">
        <x:v>保留</x:v>
      </x:c>
      <x:c r="F27" s="66" t="str">
        <x:v>高级诊断</x:v>
      </x:c>
      <x:c r="G27" s="66" t="str">
        <x:v>时钟差分析</x:v>
      </x:c>
      <x:c r="H27" s="66" t="str">
        <x:v>可选</x:v>
      </x:c>
    </x:row>
    <x:row r="28">
      <x:c r="A28" s="58" t="str">
        <x:v>Sequence</x:v>
      </x:c>
      <x:c r="B28" s="58" t="str">
        <x:v>long</x:v>
      </x:c>
      <x:c r="C28" s="58" t="str">
        <x:v>顺序/去重</x:v>
      </x:c>
      <x:c r="D28" s="58" t="str">
        <x:v>Provider/Frame source</x:v>
      </x:c>
      <x:c r="E28" s="58" t="str">
        <x:v>单调性按source</x:v>
      </x:c>
      <x:c r="F28" s="58" t="str">
        <x:v>不显示</x:v>
      </x:c>
      <x:c r="G28" s="58" t="str">
        <x:v>检测丢帧</x:v>
      </x:c>
      <x:c r="H28" s="58" t="str">
        <x:v>跨重连策略明确</x:v>
      </x:c>
    </x:row>
    <x:row r="29">
      <x:c r="A29" s="66" t="str">
        <x:v>CorrelationId</x:v>
      </x:c>
      <x:c r="B29" s="66" t="str">
        <x:v>string/Guid</x:v>
      </x:c>
      <x:c r="C29" s="66" t="str">
        <x:v>一次任务/流程链路</x:v>
      </x:c>
      <x:c r="D29" s="66" t="str">
        <x:v>Runtime</x:v>
      </x:c>
      <x:c r="E29" s="66" t="str">
        <x:v>贯穿Node/Action/Device</x:v>
      </x:c>
      <x:c r="F29" s="66" t="str">
        <x:v>Trace定位</x:v>
      </x:c>
      <x:c r="G29" s="66" t="str">
        <x:v>全链路日志</x:v>
      </x:c>
      <x:c r="H29" s="66" t="str">
        <x:v>关键</x:v>
      </x:c>
    </x:row>
    <x:row r="30">
      <x:c r="A30"/>
      <x:c r="B30"/>
      <x:c r="C30"/>
      <x:c r="D30"/>
      <x:c r="E30"/>
      <x:c r="F30"/>
      <x:c r="G30"/>
      <x:c r="H30"/>
    </x:row>
    <x:row r="31" ht="24" customHeight="1">
      <x:c r="A31" s="40" t="str">
        <x:v>C. Port 兼容与转换</x:v>
      </x:c>
      <x:c r="B31" s="40"/>
      <x:c r="C31" s="40"/>
      <x:c r="D31" s="40"/>
      <x:c r="E31" s="40"/>
      <x:c r="F31" s="40"/>
      <x:c r="G31" s="40"/>
      <x:c r="H31" s="40"/>
    </x:row>
    <x:row r="32" ht="28" customHeight="1">
      <x:c r="A32" s="50" t="str">
        <x:v>规则</x:v>
      </x:c>
      <x:c r="B32" s="50" t="str">
        <x:v>例子</x:v>
      </x:c>
      <x:c r="C32" s="50" t="str">
        <x:v>是否允许自动</x:v>
      </x:c>
      <x:c r="D32" s="50" t="str">
        <x:v>设计器反馈</x:v>
      </x:c>
      <x:c r="E32" s="50" t="str">
        <x:v>编译行为</x:v>
      </x:c>
      <x:c r="F32" s="50" t="str">
        <x:v>Runtime行为</x:v>
      </x:c>
      <x:c r="G32" s="50" t="str">
        <x:v>扩展点</x:v>
      </x:c>
      <x:c r="H32" s="50" t="str">
        <x:v>验收</x:v>
      </x:c>
    </x:row>
    <x:row r="33">
      <x:c r="A33" s="58" t="str">
        <x:v>完全相同</x:v>
      </x:c>
      <x:c r="B33" s="58" t="str">
        <x:v>Double→Double</x:v>
      </x:c>
      <x:c r="C33" s="58" t="str">
        <x:v>是</x:v>
      </x:c>
      <x:c r="D33" s="58" t="str">
        <x:v>正常连接</x:v>
      </x:c>
      <x:c r="E33" s="58" t="str">
        <x:v>直接</x:v>
      </x:c>
      <x:c r="F33" s="58" t="str">
        <x:v>直接</x:v>
      </x:c>
      <x:c r="G33" s="58" t="str">
        <x:v>N/A</x:v>
      </x:c>
      <x:c r="H33" s="58" t="str">
        <x:v>通过</x:v>
      </x:c>
    </x:row>
    <x:row r="34">
      <x:c r="A34" s="66" t="str">
        <x:v>安全扩展</x:v>
      </x:c>
      <x:c r="B34" s="66" t="str">
        <x:v>Int32→Double</x:v>
      </x:c>
      <x:c r="C34" s="66" t="str">
        <x:v>可</x:v>
      </x:c>
      <x:c r="D34" s="66" t="str">
        <x:v>显示转换标识</x:v>
      </x:c>
      <x:c r="E34" s="66" t="str">
        <x:v>插入Coercion Plan</x:v>
      </x:c>
      <x:c r="F34" s="66" t="str">
        <x:v>数值转换</x:v>
      </x:c>
      <x:c r="G34" s="66" t="str">
        <x:v>TypeCoercionRegistry</x:v>
      </x:c>
      <x:c r="H34" s="66" t="str">
        <x:v>边界值</x:v>
      </x:c>
    </x:row>
    <x:row r="35">
      <x:c r="A35" s="58" t="str">
        <x:v>危险窄化</x:v>
      </x:c>
      <x:c r="B35" s="58" t="str">
        <x:v>Double→Int32</x:v>
      </x:c>
      <x:c r="C35" s="58" t="str">
        <x:v>否/需显式Converter</x:v>
      </x:c>
      <x:c r="D35" s="58" t="str">
        <x:v>红色不兼容</x:v>
      </x:c>
      <x:c r="E35" s="58" t="str">
        <x:v>Compile失败</x:v>
      </x:c>
      <x:c r="F35" s="58" t="str">
        <x:v>N/A</x:v>
      </x:c>
      <x:c r="G35" s="58" t="str">
        <x:v>Converter Node</x:v>
      </x:c>
      <x:c r="H35" s="58" t="str">
        <x:v>防精度丢失</x:v>
      </x:c>
    </x:row>
    <x:row r="36">
      <x:c r="A36" s="66" t="str">
        <x:v>结构兼容</x:v>
      </x:c>
      <x:c r="B36" s="66" t="str">
        <x:v>Derived UDT→Base契约</x:v>
      </x:c>
      <x:c r="C36" s="66" t="str">
        <x:v>按Schema规则</x:v>
      </x:c>
      <x:c r="D36" s="66" t="str">
        <x:v>提示版本</x:v>
      </x:c>
      <x:c r="E36" s="66" t="str">
        <x:v>生成字段映射</x:v>
      </x:c>
      <x:c r="F36" s="66" t="str">
        <x:v>映射</x:v>
      </x:c>
      <x:c r="G36" s="66" t="str">
        <x:v>SchemaCompatibility</x:v>
      </x:c>
      <x:c r="H36" s="66" t="str">
        <x:v>版本迁移</x:v>
      </x:c>
    </x:row>
    <x:row r="37">
      <x:c r="A37" s="58" t="str">
        <x:v>Image像素类型</x:v>
      </x:c>
      <x:c r="B37" s="58" t="str">
        <x:v>Gray16→Gray8</x:v>
      </x:c>
      <x:c r="C37" s="58" t="str">
        <x:v>不自动</x:v>
      </x:c>
      <x:c r="D37" s="58" t="str">
        <x:v>建议转换节点</x:v>
      </x:c>
      <x:c r="E37" s="58" t="str">
        <x:v>Compile失败</x:v>
      </x:c>
      <x:c r="F37" s="58" t="str">
        <x:v>N/A</x:v>
      </x:c>
      <x:c r="G37" s="58" t="str">
        <x:v>Image Convert Node</x:v>
      </x:c>
      <x:c r="H37" s="58" t="str">
        <x:v>不静默损失</x:v>
      </x:c>
    </x:row>
    <x:row r="38">
      <x:c r="A38" s="66" t="str">
        <x:v>坐标系</x:v>
      </x:c>
      <x:c r="B38" s="66" t="str">
        <x:v>Pose2@Machine→Pose2@Image</x:v>
      </x:c>
      <x:c r="C38" s="66" t="str">
        <x:v>不自动</x:v>
      </x:c>
      <x:c r="D38" s="66" t="str">
        <x:v>要求Transform节点</x:v>
      </x:c>
      <x:c r="E38" s="66" t="str">
        <x:v>Compile失败</x:v>
      </x:c>
      <x:c r="F38" s="66" t="str">
        <x:v>N/A</x:v>
      </x:c>
      <x:c r="G38" s="66" t="str">
        <x:v>Coordinate Transform</x:v>
      </x:c>
      <x:c r="H38" s="66" t="str">
        <x:v>防坐标误用</x:v>
      </x:c>
    </x:row>
    <x:row r="39">
      <x:c r="A39"/>
      <x:c r="B39"/>
      <x:c r="C39"/>
      <x:c r="D39"/>
      <x:c r="E39"/>
      <x:c r="F39"/>
      <x:c r="G39"/>
      <x:c r="H39"/>
    </x:row>
    <x:row r="40">
      <x:c r="A40"/>
      <x:c r="B40"/>
      <x:c r="C40"/>
      <x:c r="D40"/>
      <x:c r="E40"/>
      <x:c r="F40"/>
      <x:c r="G40"/>
      <x:c r="H40"/>
    </x:row>
    <x:row r="41" ht="24" customHeight="1">
      <x:c r="A41" s="40" t="str">
        <x:v>D. V2.2 专业扩展类型</x:v>
      </x:c>
      <x:c r="B41" s="40"/>
      <x:c r="C41" s="40"/>
      <x:c r="D41" s="40"/>
      <x:c r="E41" s="40"/>
      <x:c r="F41" s="40"/>
      <x:c r="G41" s="40"/>
      <x:c r="H41" s="40"/>
    </x:row>
    <x:row r="42" ht="28" customHeight="1">
      <x:c r="A42" s="50" t="str">
        <x:v>类型族</x:v>
      </x:c>
      <x:c r="B42" s="50" t="str">
        <x:v>平台类型示例</x:v>
      </x:c>
      <x:c r="C42" s="50" t="str">
        <x:v>主要用途</x:v>
      </x:c>
      <x:c r="D42" s="50" t="str">
        <x:v>序列化</x:v>
      </x:c>
      <x:c r="E42" s="50" t="str">
        <x:v>Port/消息传递</x:v>
      </x:c>
      <x:c r="F42" s="50" t="str">
        <x:v>质量/时间戳</x:v>
      </x:c>
      <x:c r="G42" s="50" t="str">
        <x:v>跨进程</x:v>
      </x:c>
      <x:c r="H42" s="50" t="str">
        <x:v>硬规则</x:v>
      </x:c>
    </x:row>
    <x:row r="43">
      <x:c r="A43" s="58" t="str">
        <x:v>Robot</x:v>
      </x:c>
      <x:c r="B43" s="58" t="str">
        <x:v>RobotJointPose/RobotCartesianPose/RobotFrameRef/RobotToolRef/RobotPathRef</x:v>
      </x:c>
      <x:c r="C43" s="58" t="str">
        <x:v>机器人程序/视觉引导/调试</x:v>
      </x:c>
      <x:c r="D43" s="58" t="str">
        <x:v>平台值对象/Stable refs</x:v>
      </x:c>
      <x:c r="E43" s="58" t="str">
        <x:v>值+Ref</x:v>
      </x:c>
      <x:c r="F43" s="58" t="str">
        <x:v>Robot state有Timestamp/Quality</x:v>
      </x:c>
      <x:c r="G43" s="58" t="str">
        <x:v>直接DTO/Id</x:v>
      </x:c>
      <x:c r="H43" s="58" t="str">
        <x:v>必须显式Frame/Unit/Configuration</x:v>
      </x:c>
    </x:row>
    <x:row r="44">
      <x:c r="A44" s="66" t="str">
        <x:v>CT Projection</x:v>
      </x:c>
      <x:c r="B44" s="66" t="str">
        <x:v>ProjectionFrameRef/ProjectionSeriesRef/CTGeometryRef</x:v>
      </x:c>
      <x:c r="C44" s="66" t="str">
        <x:v>CT采集/重建</x:v>
      </x:c>
      <x:c r="D44" s="66" t="str">
        <x:v>metadata+ArtifactRef</x:v>
      </x:c>
      <x:c r="E44" s="66" t="str">
        <x:v>Handle/Ref</x:v>
      </x:c>
      <x:c r="F44" s="66" t="str">
        <x:v>Frame/Series quality+Timestamp</x:v>
      </x:c>
      <x:c r="G44" s="66" t="str">
        <x:v>SharedMemory/File/Artifact</x:v>
      </x:c>
      <x:c r="H44" s="66" t="str">
        <x:v>Series不等于Image[]像素集合</x:v>
      </x:c>
    </x:row>
    <x:row r="45">
      <x:c r="A45" s="58" t="str">
        <x:v>CT Volume</x:v>
      </x:c>
      <x:c r="B45" s="58" t="str">
        <x:v>Volume3DRef/VolumeDataHandle/Region3DRef/Mesh3DRef</x:v>
      </x:c>
      <x:c r="C45" s="58" t="str">
        <x:v>重建/3D算法/Viewer</x:v>
      </x:c>
      <x:c r="D45" s="58" t="str">
        <x:v>metadata+ArtifactRef</x:v>
      </x:c>
      <x:c r="E45" s="58" t="str">
        <x:v>Handle</x:v>
      </x:c>
      <x:c r="F45" s="58" t="str">
        <x:v>RunId/Quality</x:v>
      </x:c>
      <x:c r="G45" s="58" t="str">
        <x:v>SharedMemory/File/Chunk</x:v>
      </x:c>
      <x:c r="H45" s="58" t="str">
        <x:v>GB数据禁止值拷贝</x:v>
      </x:c>
    </x:row>
    <x:row r="46">
      <x:c r="A46" s="66" t="str">
        <x:v>3D Result</x:v>
      </x:c>
      <x:c r="B46" s="66" t="str">
        <x:v>Measurement3DSet/Defect3DSet/Transform3D</x:v>
      </x:c>
      <x:c r="C46" s="66" t="str">
        <x:v>三维测量/缺陷/配准</x:v>
      </x:c>
      <x:c r="D46" s="66" t="str">
        <x:v>结构化</x:v>
      </x:c>
      <x:c r="E46" s="66" t="str">
        <x:v>值+Artifact refs</x:v>
      </x:c>
      <x:c r="F46" s="66" t="str">
        <x:v>RunId/Quality</x:v>
      </x:c>
      <x:c r="G46" s="66" t="str">
        <x:v>直接</x:v>
      </x:c>
      <x:c r="H46" s="66" t="str">
        <x:v>坐标Frame/Unit必需</x:v>
      </x:c>
    </x:row>
    <x:row r="47">
      <x:c r="A47" s="58" t="str">
        <x:v>Operations</x:v>
      </x:c>
      <x:c r="B47" s="58" t="str">
        <x:v>StationId/StationHealth/StationVersionInventory/OpsEvent</x:v>
      </x:c>
      <x:c r="C47" s="58" t="str">
        <x:v>Fleet/Health/版本/事件</x:v>
      </x:c>
      <x:c r="D47" s="58" t="str">
        <x:v>结构化</x:v>
      </x:c>
      <x:c r="E47" s="58" t="str">
        <x:v>消息</x:v>
      </x:c>
      <x:c r="F47" s="58" t="str">
        <x:v>ObservedAt/Source</x:v>
      </x:c>
      <x:c r="G47" s="58" t="str">
        <x:v>Agent protocol</x:v>
      </x:c>
      <x:c r="H47" s="58" t="str">
        <x:v>不携带Domain内部Runtime对象</x:v>
      </x:c>
    </x:row>
    <x:row r="48">
      <x:c r="A48" s="66" t="str">
        <x:v>Remote</x:v>
      </x:c>
      <x:c r="B48" s="66" t="str">
        <x:v>RemoteSessionId/RemoteSessionLease/DebugTargetRef/ArtifactTransferDescriptor</x:v>
      </x:c>
      <x:c r="C48" s="66" t="str">
        <x:v>远程工程/大数据</x:v>
      </x:c>
      <x:c r="D48" s="66" t="str">
        <x:v>结构化/短期Token</x:v>
      </x:c>
      <x:c r="E48" s="66" t="str">
        <x:v>消息</x:v>
      </x:c>
      <x:c r="F48" s="66" t="str">
        <x:v>Issued/Expires/Sequence</x:v>
      </x:c>
      <x:c r="G48" s="66" t="str">
        <x:v>mTLS/API</x:v>
      </x:c>
      <x:c r="H48" s="66" t="str">
        <x:v>Lease短期且Target最终Authorize</x:v>
      </x:c>
    </x:row>
    <x:row r="49">
      <x:c r="A49"/>
      <x:c r="B49"/>
      <x:c r="C49"/>
      <x:c r="D49"/>
      <x:c r="E49"/>
      <x:c r="F49"/>
      <x:c r="G49"/>
      <x:c r="H49"/>
    </x:row>
    <x:row r="50" ht="24" customHeight="1">
      <x:c r="A50" s="40" t="str">
        <x:v>E. Expression / Rule Engine 公共契约</x:v>
      </x:c>
      <x:c r="B50" s="40"/>
      <x:c r="C50" s="40"/>
      <x:c r="D50" s="40"/>
      <x:c r="E50" s="40"/>
      <x:c r="F50" s="40"/>
      <x:c r="G50" s="40"/>
      <x:c r="H50" s="40"/>
    </x:row>
    <x:row r="51" ht="28" customHeight="1">
      <x:c r="A51" s="50" t="str">
        <x:v>主题</x:v>
      </x:c>
      <x:c r="B51" s="50" t="str">
        <x:v>正式规则</x:v>
      </x:c>
      <x:c r="C51" s="50" t="str">
        <x:v>核心对象</x:v>
      </x:c>
      <x:c r="D51" s="50" t="str">
        <x:v>使用位置</x:v>
      </x:c>
      <x:c r="E51" s="50" t="str">
        <x:v>禁止</x:v>
      </x:c>
      <x:c r="F51" s="50" t="str">
        <x:v>验证</x:v>
      </x:c>
      <x:c r="G51" s="50"/>
      <x:c r="H51" s="50"/>
    </x:row>
    <x:row r="52">
      <x:c r="A52" s="58" t="str">
        <x:v>Expression</x:v>
      </x:c>
      <x:c r="B52" s="58" t="str">
        <x:v>表达式编译与执行必须经过统一TypeSystem，不允许各域各写一套字符串eval</x:v>
      </x:c>
      <x:c r="C52" s="58" t="str">
        <x:v>ExpressionDefinition/CompiledExpression</x:v>
      </x:c>
      <x:c r="D52" s="58" t="str">
        <x:v>Binding/Interlock/Wait/Switch/Judge/Parameter</x:v>
      </x:c>
      <x:c r="E52" s="58" t="str">
        <x:v>Runtime到处反射或动态object表达式</x:v>
      </x:c>
      <x:c r="F52" s="58" t="str">
        <x:v>Type/Golden tests</x:v>
      </x:c>
      <x:c r="G52" s="58"/>
      <x:c r="H52" s="58"/>
    </x:row>
    <x:row r="53">
      <x:c r="A53" s="66" t="str">
        <x:v>ExpressionContext</x:v>
      </x:c>
      <x:c r="B53" s="66" t="str">
        <x:v>表达式只能访问显式Scope暴露的变量/参数/函数</x:v>
      </x:c>
      <x:c r="C53" s="66" t="str">
        <x:v>ExpressionContext/FunctionRegistry</x:v>
      </x:c>
      <x:c r="D53" s="66" t="str">
        <x:v>Visual/SCADA/Motion/Inspection</x:v>
      </x:c>
      <x:c r="E53" s="66" t="str">
        <x:v>访问任意全局静态对象</x:v>
      </x:c>
      <x:c r="F53" s="66" t="str">
        <x:v>Security/Determinism tests</x:v>
      </x:c>
      <x:c r="G53" s="66"/>
      <x:c r="H53" s="66"/>
    </x:row>
    <x:row r="54">
      <x:c r="A54" s="58" t="str">
        <x:v>Rule</x:v>
      </x:c>
      <x:c r="B54" s="58" t="str">
        <x:v>复杂布尔规则使用RuleDefinition/RuleEvaluationResult，保留失败原因</x:v>
      </x:c>
      <x:c r="C54" s="58" t="str">
        <x:v>RuleDefinition/RuleResult</x:v>
      </x:c>
      <x:c r="D54" s="58" t="str">
        <x:v>Interlock/Alarm/Judge/Policy</x:v>
      </x:c>
      <x:c r="E54" s="58" t="str">
        <x:v>只返回true/false导致不可诊断</x:v>
      </x:c>
      <x:c r="F54" s="58" t="str">
        <x:v>Rule diagnostics</x:v>
      </x:c>
      <x:c r="G54" s="58"/>
      <x:c r="H54" s="58"/>
    </x:row>
    <x:row r="55">
      <x:c r="A55"/>
      <x:c r="B55"/>
      <x:c r="C55"/>
      <x:c r="D55"/>
      <x:c r="E55"/>
      <x:c r="F55"/>
      <x:c r="G55"/>
      <x:c r="H55"/>
    </x:row>
    <x:row r="56" ht="24" customHeight="1">
      <x:c r="A56" s="40" t="str">
        <x:v>F. Runtime Context / Scope</x:v>
      </x:c>
      <x:c r="B56" s="40"/>
      <x:c r="C56" s="40"/>
      <x:c r="D56" s="40"/>
      <x:c r="E56" s="40"/>
      <x:c r="F56" s="40"/>
      <x:c r="G56" s="40"/>
      <x:c r="H56" s="40"/>
    </x:row>
    <x:row r="57" ht="28" customHeight="1">
      <x:c r="A57" s="50" t="str">
        <x:v>Scope</x:v>
      </x:c>
      <x:c r="B57" s="50" t="str">
        <x:v>内容</x:v>
      </x:c>
      <x:c r="C57" s="50" t="str">
        <x:v>生命周期</x:v>
      </x:c>
      <x:c r="D57" s="50" t="str">
        <x:v>解析顺序/规则</x:v>
      </x:c>
      <x:c r="E57" s="50" t="str">
        <x:v>典型用途</x:v>
      </x:c>
      <x:c r="F57" s="50" t="str">
        <x:v>禁止</x:v>
      </x:c>
      <x:c r="G57" s="50"/>
      <x:c r="H57" s="50"/>
    </x:row>
    <x:row r="58">
      <x:c r="A58" s="66" t="str">
        <x:v>Project</x:v>
      </x:c>
      <x:c r="B58" s="66" t="str">
        <x:v>工程常量/Definition refs</x:v>
      </x:c>
      <x:c r="C58" s="66" t="str">
        <x:v>Project/Release</x:v>
      </x:c>
      <x:c r="D58" s="66" t="str">
        <x:v>只读</x:v>
      </x:c>
      <x:c r="E58" s="66" t="str">
        <x:v>资源/类型/静态配置</x:v>
      </x:c>
      <x:c r="F58" s="66" t="str">
        <x:v>运行值回写Project</x:v>
      </x:c>
      <x:c r="G58" s="66"/>
      <x:c r="H58" s="66"/>
    </x:row>
    <x:row r="59">
      <x:c r="A59" s="58" t="str">
        <x:v>Runtime</x:v>
      </x:c>
      <x:c r="B59" s="58" t="str">
        <x:v>Station/Host/当前用户/设备服务</x:v>
      </x:c>
      <x:c r="C59" s="58" t="str">
        <x:v>Runtime Session</x:v>
      </x:c>
      <x:c r="D59" s="58" t="str">
        <x:v>公共运行服务</x:v>
      </x:c>
      <x:c r="E59" s="58" t="str">
        <x:v>SCADA/Domain host</x:v>
      </x:c>
      <x:c r="F59" s="58" t="str">
        <x:v>static CurrentContext</x:v>
      </x:c>
      <x:c r="G59" s="58"/>
      <x:c r="H59" s="58"/>
    </x:row>
    <x:row r="60">
      <x:c r="A60" s="66" t="str">
        <x:v>Task/Invocation</x:v>
      </x:c>
      <x:c r="B60" s="66" t="str">
        <x:v>Product/Point/Recipe/Correlation/Domain调用参数</x:v>
      </x:c>
      <x:c r="C60" s="66" t="str">
        <x:v>Inspection Task/Domain Invocation</x:v>
      </x:c>
      <x:c r="D60" s="66" t="str">
        <x:v>父→子显式传递</x:v>
      </x:c>
      <x:c r="E60" s="66" t="str">
        <x:v>Inspection→Motion/Vision/CT</x:v>
      </x:c>
      <x:c r="F60" s="66" t="str">
        <x:v>Dictionary无Schema无限扩展</x:v>
      </x:c>
      <x:c r="G60" s="66"/>
      <x:c r="H60" s="66"/>
    </x:row>
    <x:row r="61">
      <x:c r="A61" s="58" t="str">
        <x:v>Node/Local</x:v>
      </x:c>
      <x:c r="B61" s="58" t="str">
        <x:v>Node参数/临时变量</x:v>
      </x:c>
      <x:c r="C61" s="58" t="str">
        <x:v>Node Run</x:v>
      </x:c>
      <x:c r="D61" s="58" t="str">
        <x:v>局部优先</x:v>
      </x:c>
      <x:c r="E61" s="58" t="str">
        <x:v>Loop/Retry/子程序</x:v>
      </x:c>
      <x:c r="F61" s="58" t="str">
        <x:v>跨Run复用脏状态</x:v>
      </x:c>
      <x:c r="G61" s="58"/>
      <x:c r="H61" s="58"/>
    </x:row>
    <x:row r="62">
      <x:c r="A62" s="66" t="str">
        <x:v>DebugOverride</x:v>
      </x:c>
      <x:c r="B62" s="66" t="str">
        <x:v>在线调试临时值</x:v>
      </x:c>
      <x:c r="C62" s="66" t="str">
        <x:v>Debug Session</x:v>
      </x:c>
      <x:c r="D62" s="66" t="str">
        <x:v>最高优先但只在Session范围</x:v>
      </x:c>
      <x:c r="E62" s="66" t="str">
        <x:v>Tuning/Teach/Test</x:v>
      </x:c>
      <x:c r="F62" s="66" t="str">
        <x:v>直接写Definition</x:v>
      </x:c>
      <x:c r="G62" s="66"/>
      <x:c r="H62" s="66"/>
    </x:row>
    <x:row r="63">
      <x:c r="A63"/>
      <x:c r="B63"/>
      <x:c r="C63"/>
      <x:c r="D63"/>
      <x:c r="E63"/>
      <x:c r="F63"/>
      <x:c r="G63"/>
      <x:c r="H63"/>
    </x:row>
    <x:row r="64" ht="24" customHeight="1">
      <x:c r="A64" s="40" t="str">
        <x:v>G. Time / Sequence / Correlation</x:v>
      </x:c>
      <x:c r="B64" s="40"/>
      <x:c r="C64" s="40"/>
      <x:c r="D64" s="40"/>
      <x:c r="E64" s="40"/>
      <x:c r="F64" s="40"/>
      <x:c r="G64" s="40"/>
      <x:c r="H64" s="40"/>
    </x:row>
    <x:row r="65" ht="28" customHeight="1">
      <x:c r="A65" s="50" t="str">
        <x:v>主题</x:v>
      </x:c>
      <x:c r="B65" s="50" t="str">
        <x:v>正式契约</x:v>
      </x:c>
      <x:c r="C65" s="50" t="str">
        <x:v>规则</x:v>
      </x:c>
      <x:c r="D65" s="50" t="str">
        <x:v>用途</x:v>
      </x:c>
      <x:c r="E65" s="50" t="str">
        <x:v>异常处理</x:v>
      </x:c>
      <x:c r="F65" s="50" t="str">
        <x:v>禁止</x:v>
      </x:c>
      <x:c r="G65" s="50"/>
      <x:c r="H65" s="50"/>
    </x:row>
    <x:row r="66">
      <x:c r="A66" s="58" t="str">
        <x:v>Timestamp</x:v>
      </x:c>
      <x:c r="B66" s="58" t="str">
        <x:v>Utc wall-clock + SourceTime</x:v>
      </x:c>
      <x:c r="C66" s="58" t="str">
        <x:v>用于跨系统事件时间，不用于测量短时耗时</x:v>
      </x:c>
      <x:c r="D66" s="58" t="str">
        <x:v>Trace/Frame/Result/Audit</x:v>
      </x:c>
      <x:c r="E66" s="58" t="str">
        <x:v>时钟不同步需标Source/ClockQuality</x:v>
      </x:c>
      <x:c r="F66" s="58" t="str">
        <x:v>只用DateTime.Now且不标来源</x:v>
      </x:c>
      <x:c r="G66" s="58"/>
      <x:c r="H66" s="58"/>
    </x:row>
    <x:row r="67">
      <x:c r="A67" s="66" t="str">
        <x:v>MonotonicTime</x:v>
      </x:c>
      <x:c r="B67" s="66" t="str">
        <x:v>单机单进程单调时钟</x:v>
      </x:c>
      <x:c r="C67" s="66" t="str">
        <x:v>用于Duration/Timeout/性能</x:v>
      </x:c>
      <x:c r="D67" s="66" t="str">
        <x:v>Node timing/Watchdog</x:v>
      </x:c>
      <x:c r="E67" s="66" t="str">
        <x:v>进程重启后不可跨进程比较</x:v>
      </x:c>
      <x:c r="F67" s="66" t="str">
        <x:v>用wall-clock算超时</x:v>
      </x:c>
      <x:c r="G67" s="66"/>
      <x:c r="H67" s="66"/>
    </x:row>
    <x:row r="68">
      <x:c r="A68" s="58" t="str">
        <x:v>Sequence</x:v>
      </x:c>
      <x:c r="B68" s="58" t="str">
        <x:v>每流递增Sequence</x:v>
      </x:c>
      <x:c r="C68" s="58" t="str">
        <x:v>用于Telemetry Gap/重连</x:v>
      </x:c>
      <x:c r="D68" s="58" t="str">
        <x:v>Debug/Agent/Frame stream</x:v>
      </x:c>
      <x:c r="E68" s="58" t="str">
        <x:v>发现Gap后Snapshot恢复</x:v>
      </x:c>
      <x:c r="F68" s="58" t="str">
        <x:v>假设网络绝不丢包</x:v>
      </x:c>
      <x:c r="G68" s="58"/>
      <x:c r="H68" s="58"/>
    </x:row>
    <x:row r="69">
      <x:c r="A69" s="66" t="str">
        <x:v>CorrelationId</x:v>
      </x:c>
      <x:c r="B69" s="66" t="str">
        <x:v>Task→Invocation→Run→Command全链继承</x:v>
      </x:c>
      <x:c r="C69" s="66" t="str">
        <x:v>用于跨域诊断</x:v>
      </x:c>
      <x:c r="D69" s="66" t="str">
        <x:v>E2E/Case/Remote</x:v>
      </x:c>
      <x:c r="E69" s="66" t="str">
        <x:v>子域必须携带父Correlation</x:v>
      </x:c>
      <x:c r="F69" s="66" t="str">
        <x:v>人工靠时间对日志</x:v>
      </x:c>
      <x:c r="G69" s="66"/>
      <x:c r="H69" s="66"/>
    </x:row>
    <x:row r="71">
      <x:c r="A71" t="str">
        <x:v>H. 历史 Variable / Write 数据契约（V6.4继续有效）</x:v>
      </x:c>
      <x:c r="B71"/>
      <x:c r="C71"/>
      <x:c r="D71"/>
      <x:c r="E71"/>
      <x:c r="F71"/>
      <x:c r="G71"/>
      <x:c r="H71"/>
    </x:row>
    <x:row r="72">
      <x:c r="A72" t="str">
        <x:v>类型</x:v>
      </x:c>
      <x:c r="B72" t="str">
        <x:v>字段/语义</x:v>
      </x:c>
      <x:c r="C72" t="str">
        <x:v>定位</x:v>
      </x:c>
      <x:c r="D72" t="str">
        <x:v>规则</x:v>
      </x:c>
      <x:c r="E72" t="str">
        <x:v>DesignRef</x:v>
      </x:c>
      <x:c r="F72"/>
      <x:c r="G72"/>
      <x:c r="H72"/>
    </x:row>
    <x:row r="73">
      <x:c r="A73" t="str">
        <x:v>VariableMetadata</x:v>
      </x:c>
      <x:c r="B73" t="str">
        <x:v>DataTypeId/Access/Unit/Address/ProviderId/SourceKey</x:v>
      </x:c>
      <x:c r="C73" t="str">
        <x:v>工程/设计期元数据，不含瞬时连接对象</x:v>
      </x:c>
      <x:c r="D73" t="str">
        <x:v>与Project VariableDefinition可序列化映射</x:v>
      </x:c>
      <x:c r="E73" t="str">
        <x:v>46</x:v>
      </x:c>
      <x:c r="F73"/>
      <x:c r="G73"/>
      <x:c r="H73"/>
    </x:row>
    <x:row r="74">
      <x:c r="A74" t="str">
        <x:v>VariableValue</x:v>
      </x:c>
      <x:c r="B74" t="str">
        <x:v>Value + Quality + TimestampUtc + Sequence + Source</x:v>
      </x:c>
      <x:c r="C74" t="str">
        <x:v>运行动态值标准语义</x:v>
      </x:c>
      <x:c r="D74" t="str">
        <x:v>Binding/Alarm/Trend/Graph/Watch统一使用</x:v>
      </x:c>
      <x:c r="E74" t="str">
        <x:v>46</x:v>
      </x:c>
      <x:c r="F74"/>
      <x:c r="G74"/>
      <x:c r="H74"/>
    </x:row>
    <x:row r="75">
      <x:c r="A75" t="str">
        <x:v>VariableChangeBatch</x:v>
      </x:c>
      <x:c r="B75" t="str">
        <x:v>ProviderId + ordered changes + batch timestamp</x:v>
      </x:c>
      <x:c r="C75" t="str">
        <x:v>高频订阅批次</x:v>
      </x:c>
      <x:c r="D75" t="str">
        <x:v>支持LatestOnly/All/Sampled策略</x:v>
      </x:c>
      <x:c r="E75" t="str">
        <x:v>46</x:v>
      </x:c>
      <x:c r="F75"/>
      <x:c r="G75"/>
      <x:c r="H75"/>
    </x:row>
    <x:row r="76">
      <x:c r="A76" t="str">
        <x:v>VariableReference</x:v>
      </x:c>
      <x:c r="B76" t="str">
        <x:v>Stable VariableId + optional Provider/Path hints</x:v>
      </x:c>
      <x:c r="C76" t="str">
        <x:v>工程跨模块引用</x:v>
      </x:c>
      <x:c r="D76" t="str">
        <x:v>设备改名不破坏引用</x:v>
      </x:c>
      <x:c r="E76" t="str">
        <x:v>46</x:v>
      </x:c>
      <x:c r="F76"/>
      <x:c r="G76"/>
      <x:c r="H76"/>
    </x:row>
    <x:row r="77">
      <x:c r="A77" t="str">
        <x:v>WriteResult</x:v>
      </x:c>
      <x:c r="B77" t="str">
        <x:v>Accepted/Success/Verified/ActualValue/Quality/Diagnostic/AuditId</x:v>
      </x:c>
      <x:c r="C77" t="str">
        <x:v>写入结果必须区分请求接受、设备成功、回读验证</x:v>
      </x:c>
      <x:c r="D77" t="str">
        <x:v>不得用bool/local cache代替</x:v>
      </x:c>
      <x:c r="E77" t="str">
        <x:v>46</x:v>
      </x:c>
      <x:c r="F77"/>
      <x:c r="G77"/>
      <x:c r="H77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36" hidden="0" customWidth="1"/>
    <x:col min="4" max="4" width="34" hidden="0" customWidth="1"/>
    <x:col min="5" max="5" width="34" hidden="0" customWidth="1"/>
    <x:col min="6" max="6" width="30" hidden="0" customWidth="1"/>
    <x:col min="7" max="7" width="30" hidden="0" customWidth="1"/>
    <x:col min="8" max="8" width="28" hidden="0" customWidth="1"/>
    <x:col min="9" max="9" width="30" hidden="0" customWidth="1"/>
  </x:cols>
  <x:sheetData>
    <x:row r="1" ht="30" customHeight="1">
      <x:c r="A1" s="8" t="str">
        <x:v>Graph 统一 Online Debug 架构</x:v>
      </x:c>
      <x:c r="B1" s="8"/>
      <x:c r="C1" s="8"/>
      <x:c r="D1" s="8"/>
      <x:c r="E1" s="8"/>
      <x:c r="F1" s="8"/>
      <x:c r="G1" s="8"/>
      <x:c r="H1" s="8"/>
      <x:c r="I1" s="8"/>
    </x:row>
    <x:row r="2" ht="38" customHeight="1">
      <x:c r="A2" s="16" t="str">
        <x:v>所有Motion/Robot/Vision/CT/Inspection在线调试唯一公共机制：Studio Debug Client ↔ Runtime Debug Agent，Control/Telemetry/Artifact三通道分离。</x:v>
      </x:c>
      <x:c r="B2" s="16"/>
      <x:c r="C2" s="16"/>
      <x:c r="D2" s="16"/>
      <x:c r="E2" s="16"/>
      <x:c r="F2" s="16"/>
      <x:c r="G2" s="16"/>
      <x:c r="H2" s="16"/>
      <x:c r="I2" s="16"/>
    </x:row>
    <x:row r="3">
      <x:c r="A3" s="30" t="str">
        <x:v>本页唯一权威</x:v>
      </x:c>
      <x:c r="B3" s="31" t="str">
        <x:v>Attach/Handshake/Capability、DebugSession状态机、CommandId/ExpectedState、VersionDiff、Override/Promote、DetachedUnknown、安全与统一调试UI。</x:v>
      </x:c>
      <x:c r="C3" s="31"/>
      <x:c r="D3" s="31"/>
      <x:c r="E3" s="31"/>
      <x:c r="F3" s="31"/>
      <x:c r="G3" s="31"/>
      <x:c r="H3" s="31"/>
      <x:c r="I3" s="31"/>
    </x:row>
    <x:row r="4">
      <x:c r="A4" s="30" t="str">
        <x:v>不在本页维护</x:v>
      </x:c>
      <x:c r="B4" s="31" t="str">
        <x:v>Axis/Jog/Teach、RunNode/Volume、Task Recovery等Domain特有语义；分别见28/30/32/34/36。Remote治理见39。</x:v>
      </x:c>
      <x:c r="C4" s="31"/>
      <x:c r="D4" s="31"/>
      <x:c r="E4" s="31"/>
      <x:c r="F4" s="31"/>
      <x:c r="G4" s="31"/>
      <x:c r="H4" s="31"/>
      <x:c r="I4" s="31"/>
    </x:row>
    <x:row r="5">
      <x:c r="A5" s="30" t="str">
        <x:v>关联分页</x:v>
      </x:c>
      <x:c r="B5" s="31" t="str">
        <x:v>28/30/32/34/36_Domain在线调试；39_RemoteEngineering；14_Security写入审计。</x:v>
      </x:c>
      <x:c r="C5" s="31"/>
      <x:c r="D5" s="31"/>
      <x:c r="E5" s="31"/>
      <x:c r="F5" s="31"/>
      <x:c r="G5" s="31"/>
      <x:c r="H5" s="31"/>
      <x:c r="I5" s="31"/>
    </x:row>
    <x:row r="6">
      <x:c r="A6"/>
      <x:c r="B6"/>
      <x:c r="C6"/>
      <x:c r="D6"/>
      <x:c r="E6"/>
      <x:c r="F6"/>
      <x:c r="G6"/>
      <x:c r="H6"/>
      <x:c r="I6"/>
    </x:row>
    <x:row r="7" ht="24" customHeight="1">
      <x:c r="A7" s="40" t="str">
        <x:v>A. Target / Agent / Control / Telemetry 总体架构</x:v>
      </x:c>
      <x:c r="B7" s="40"/>
      <x:c r="C7" s="40"/>
      <x:c r="D7" s="40"/>
      <x:c r="E7" s="40"/>
      <x:c r="F7" s="40"/>
      <x:c r="G7" s="40"/>
      <x:c r="H7" s="40"/>
      <x:c r="I7" s="40"/>
    </x:row>
    <x:row r="8" ht="24" customHeight="1">
      <x:c r="A8" s="40" t="str">
        <x:v>A. 逻辑组件与职责</x:v>
      </x:c>
      <x:c r="B8" s="40"/>
      <x:c r="C8" s="40"/>
      <x:c r="D8" s="40"/>
      <x:c r="E8" s="40"/>
      <x:c r="F8" s="40"/>
      <x:c r="G8" s="40"/>
      <x:c r="H8" s="40"/>
      <x:c r="I8" s="40"/>
    </x:row>
    <x:row r="9" ht="28" customHeight="1">
      <x:c r="A9" s="50" t="str">
        <x:v>组件</x:v>
      </x:c>
      <x:c r="B9" s="50" t="str">
        <x:v>运行位置</x:v>
      </x:c>
      <x:c r="C9" s="50" t="str">
        <x:v>职责</x:v>
      </x:c>
      <x:c r="D9" s="50" t="str">
        <x:v>主要接口/消息</x:v>
      </x:c>
      <x:c r="E9" s="50" t="str">
        <x:v>依赖</x:v>
      </x:c>
      <x:c r="F9" s="50" t="str">
        <x:v>安全边界</x:v>
      </x:c>
      <x:c r="G9" s="50" t="str">
        <x:v>故障行为</x:v>
      </x:c>
      <x:c r="H9" s="50" t="str">
        <x:v>可替换性</x:v>
      </x:c>
      <x:c r="I9" s="50"/>
    </x:row>
    <x:row r="10">
      <x:c r="A10" s="58" t="str">
        <x:v>Studio Debug UI</x:v>
      </x:c>
      <x:c r="B10" s="58" t="str">
        <x:v>Engineering Station</x:v>
      </x:c>
      <x:c r="C10" s="58" t="str">
        <x:v>顶部Debug条、Watch/Trace/Timeline/Data Viewer/Domain panels</x:v>
      </x:c>
      <x:c r="D10" s="58" t="str">
        <x:v>用户操作→DebugCoordinator</x:v>
      </x:c>
      <x:c r="E10" s="58" t="str">
        <x:v>Studio/Application</x:v>
      </x:c>
      <x:c r="F10" s="58" t="str">
        <x:v>不直接访问设备SDK</x:v>
      </x:c>
      <x:c r="G10" s="58" t="str">
        <x:v>网络断开进入Detached</x:v>
      </x:c>
      <x:c r="H10" s="58" t="str">
        <x:v>高</x:v>
      </x:c>
      <x:c r="I10" s="58"/>
    </x:row>
    <x:row r="11">
      <x:c r="A11" s="66" t="str">
        <x:v>DebugCoordinator</x:v>
      </x:c>
      <x:c r="B11" s="66" t="str">
        <x:v>Engineering Station</x:v>
      </x:c>
      <x:c r="C11" s="66" t="str">
        <x:v>会话编排、Target选择、版本比较、状态机、UI命令可用性</x:v>
      </x:c>
      <x:c r="D11" s="66" t="str">
        <x:v>Attach/Compile/Start/Pause/Step/Stop/Override</x:v>
      </x:c>
      <x:c r="E11" s="66" t="str">
        <x:v>Debug contracts</x:v>
      </x:c>
      <x:c r="F11" s="66" t="str">
        <x:v>执行命令前检查capability/permission</x:v>
      </x:c>
      <x:c r="G11" s="66" t="str">
        <x:v>Agent失败统一Fault/Detach</x:v>
      </x:c>
      <x:c r="H11" s="66" t="str">
        <x:v>高</x:v>
      </x:c>
      <x:c r="I11" s="66"/>
    </x:row>
    <x:row r="12">
      <x:c r="A12" s="58" t="str">
        <x:v>Debug Client</x:v>
      </x:c>
      <x:c r="B12" s="58" t="str">
        <x:v>Engineering Station</x:v>
      </x:c>
      <x:c r="C12" s="58" t="str">
        <x:v>与Target Agent通信，分Control/Telemetry</x:v>
      </x:c>
      <x:c r="D12" s="58" t="str">
        <x:v>IDebugControlChannel/IDebugTelemetryChannel</x:v>
      </x:c>
      <x:c r="E12" s="58" t="str">
        <x:v>Transport abstraction</x:v>
      </x:c>
      <x:c r="F12" s="58" t="str">
        <x:v>认证/加密/超时</x:v>
      </x:c>
      <x:c r="G12" s="58" t="str">
        <x:v>重连不自动重发副作用命令</x:v>
      </x:c>
      <x:c r="H12" s="58" t="str">
        <x:v>高</x:v>
      </x:c>
      <x:c r="I12" s="58"/>
    </x:row>
    <x:row r="13">
      <x:c r="A13" s="66" t="str">
        <x:v>Runtime Debug Agent</x:v>
      </x:c>
      <x:c r="B13" s="66" t="str">
        <x:v>Runtime Station</x:v>
      </x:c>
      <x:c r="C13" s="66" t="str">
        <x:v>暴露安全调试协议、Domain adapter注册、Target状态与版本</x:v>
      </x:c>
      <x:c r="D13" s="66" t="str">
        <x:v>Handshake/Attach/GetSnapshot/Command/Stream</x:v>
      </x:c>
      <x:c r="E13" s="66" t="str">
        <x:v>RuntimePlatform/Security</x:v>
      </x:c>
      <x:c r="F13" s="66" t="str">
        <x:v>生产Policy最终裁决</x:v>
      </x:c>
      <x:c r="G13" s="66" t="str">
        <x:v>Agent故障不应拖垮Runtime主业务</x:v>
      </x:c>
      <x:c r="H13" s="66" t="str">
        <x:v>中</x:v>
      </x:c>
      <x:c r="I13" s="66"/>
    </x:row>
    <x:row r="14">
      <x:c r="A14" s="58" t="str">
        <x:v>Domain Debug Adapter</x:v>
      </x:c>
      <x:c r="B14" s="58" t="str">
        <x:v>Runtime Station</x:v>
      </x:c>
      <x:c r="C14" s="58" t="str">
        <x:v>把统一Debug命令映射到Motion/Vision/Inspection语义</x:v>
      </x:c>
      <x:c r="D14" s="58" t="str">
        <x:v>IDomainDebugAdapter</x:v>
      </x:c>
      <x:c r="E14" s="58" t="str">
        <x:v>Domain Runtime public APIs</x:v>
      </x:c>
      <x:c r="F14" s="58" t="str">
        <x:v>只见公开Session/Debug hooks</x:v>
      </x:c>
      <x:c r="G14" s="58" t="str">
        <x:v>单域故障隔离</x:v>
      </x:c>
      <x:c r="H14" s="58" t="str">
        <x:v>高</x:v>
      </x:c>
      <x:c r="I14" s="58"/>
    </x:row>
    <x:row r="15">
      <x:c r="A15" s="66" t="str">
        <x:v>Telemetry Publisher</x:v>
      </x:c>
      <x:c r="B15" s="66" t="str">
        <x:v>Runtime Station</x:v>
      </x:c>
      <x:c r="C15" s="66" t="str">
        <x:v>节点/变量/设备/资源/性能/结果等观测流</x:v>
      </x:c>
      <x:c r="D15" s="66" t="str">
        <x:v>Trace/Snapshot/DataRef/Health</x:v>
      </x:c>
      <x:c r="E15" s="66" t="str">
        <x:v>Diagnostics/Runtime</x:v>
      </x:c>
      <x:c r="F15" s="66" t="str">
        <x:v>只读、可采样、有界</x:v>
      </x:c>
      <x:c r="G15" s="66" t="str">
        <x:v>背压时降频/丢低优先级事件</x:v>
      </x:c>
      <x:c r="H15" s="66" t="str">
        <x:v>高</x:v>
      </x:c>
      <x:c r="I15" s="66"/>
    </x:row>
    <x:row r="16">
      <x:c r="A16" s="58" t="str">
        <x:v>Deployment/Version Service</x:v>
      </x:c>
      <x:c r="B16" s="58" t="str">
        <x:v>两端</x:v>
      </x:c>
      <x:c r="C16" s="58" t="str">
        <x:v>Active Release/Definition/Plugin/Model版本比较与解析</x:v>
      </x:c>
      <x:c r="D16" s="58" t="str">
        <x:v>GetManifest/Diff/Resolve</x:v>
      </x:c>
      <x:c r="E16" s="58" t="str">
        <x:v>Versioning/Package</x:v>
      </x:c>
      <x:c r="F16" s="58" t="str">
        <x:v>不能调试不兼容协议</x:v>
      </x:c>
      <x:c r="G16" s="58" t="str">
        <x:v>版本不匹配阻止或降级</x:v>
      </x:c>
      <x:c r="H16" s="58" t="str">
        <x:v>中</x:v>
      </x:c>
      <x:c r="I16" s="58"/>
    </x:row>
    <x:row r="17">
      <x:c r="A17" s="66" t="str">
        <x:v>Audit/Security</x:v>
      </x:c>
      <x:c r="B17" s="66" t="str">
        <x:v>Runtime Station</x:v>
      </x:c>
      <x:c r="C17" s="66" t="str">
        <x:v>鉴权、危险操作策略、审计</x:v>
      </x:c>
      <x:c r="D17" s="66" t="str">
        <x:v>Authorize/EvaluatePolicy/WriteAudit</x:v>
      </x:c>
      <x:c r="E17" s="66" t="str">
        <x:v>Security</x:v>
      </x:c>
      <x:c r="F17" s="66" t="str">
        <x:v>最终权威在Target</x:v>
      </x:c>
      <x:c r="G17" s="66" t="str">
        <x:v>安全服务不可用时Fail Closed</x:v>
      </x:c>
      <x:c r="H17" s="66" t="str">
        <x:v>低</x:v>
      </x:c>
      <x:c r="I17" s="66"/>
    </x:row>
    <x:row r="18">
      <x:c r="A18"/>
      <x:c r="B18"/>
      <x:c r="C18"/>
      <x:c r="D18"/>
      <x:c r="E18"/>
      <x:c r="F18"/>
      <x:c r="G18"/>
      <x:c r="H18"/>
      <x:c r="I18"/>
    </x:row>
    <x:row r="19" ht="24" customHeight="1">
      <x:c r="A19" s="40" t="str">
        <x:v>B. Control Plane 与 Telemetry Plane</x:v>
      </x:c>
      <x:c r="B19" s="40"/>
      <x:c r="C19" s="40"/>
      <x:c r="D19" s="40"/>
      <x:c r="E19" s="40"/>
      <x:c r="F19" s="40"/>
      <x:c r="G19" s="40"/>
      <x:c r="H19" s="40"/>
      <x:c r="I19" s="40"/>
    </x:row>
    <x:row r="20" ht="28" customHeight="1">
      <x:c r="A20" s="50" t="str">
        <x:v>通道</x:v>
      </x:c>
      <x:c r="B20" s="50" t="str">
        <x:v>方向</x:v>
      </x:c>
      <x:c r="C20" s="50" t="str">
        <x:v>承载内容</x:v>
      </x:c>
      <x:c r="D20" s="50" t="str">
        <x:v>可靠性要求</x:v>
      </x:c>
      <x:c r="E20" s="50" t="str">
        <x:v>背压策略</x:v>
      </x:c>
      <x:c r="F20" s="50" t="str">
        <x:v>幂等/序号</x:v>
      </x:c>
      <x:c r="G20" s="50" t="str">
        <x:v>权限</x:v>
      </x:c>
      <x:c r="H20" s="50" t="str">
        <x:v>断线策略</x:v>
      </x:c>
      <x:c r="I20" s="50" t="str">
        <x:v>禁止</x:v>
      </x:c>
    </x:row>
    <x:row r="21">
      <x:c r="A21" s="58" t="str">
        <x:v>Control Plane</x:v>
      </x:c>
      <x:c r="B21" s="58" t="str">
        <x:v>Studio→Target</x:v>
      </x:c>
      <x:c r="C21" s="58" t="str">
        <x:v>Attach/Start/Pause/Step/RunTo/Cancel/Reset/Override/Teach等命令</x:v>
      </x:c>
      <x:c r="D21" s="58" t="str">
        <x:v>低吞吐高可靠；明确Ack</x:v>
      </x:c>
      <x:c r="E21" s="58" t="str">
        <x:v>不丢控制命令；超时失败</x:v>
      </x:c>
      <x:c r="F21" s="58" t="str">
        <x:v>CommandId + ExpectedSessionState</x:v>
      </x:c>
      <x:c r="G21" s="58" t="str">
        <x:v>逐命令鉴权</x:v>
      </x:c>
      <x:c r="H21" s="58" t="str">
        <x:v>未知结果命令不得自动重发；查询状态后决定</x:v>
      </x:c>
      <x:c r="I21" s="58" t="str">
        <x:v>把高频Trace塞控制通道</x:v>
      </x:c>
    </x:row>
    <x:row r="22">
      <x:c r="A22" s="66" t="str">
        <x:v>Telemetry Plane</x:v>
      </x:c>
      <x:c r="B22" s="66" t="str">
        <x:v>Target→Studio</x:v>
      </x:c>
      <x:c r="C22" s="66" t="str">
        <x:v>Session/Node/Device/Watch/Trace/Timeline/Performance/DataRef</x:v>
      </x:c>
      <x:c r="D22" s="66" t="str">
        <x:v>高吞吐，可采样/合并</x:v>
      </x:c>
      <x:c r="E22" s="66" t="str">
        <x:v>Ring/DropOldest/降频/按订阅</x:v>
      </x:c>
      <x:c r="F22" s="66" t="str">
        <x:v>Sequence + Timestamp + Correlation</x:v>
      </x:c>
      <x:c r="G22" s="66" t="str">
        <x:v>只读权限/数据脱敏</x:v>
      </x:c>
      <x:c r="H22" s="66" t="str">
        <x:v>断线可丢实时流，重连先Snapshot再增量</x:v>
      </x:c>
      <x:c r="I22" s="66" t="str">
        <x:v>无限缓存</x:v>
      </x:c>
    </x:row>
    <x:row r="23">
      <x:c r="A23" s="58" t="str">
        <x:v>Artifact/Data Channel</x:v>
      </x:c>
      <x:c r="B23" s="58" t="str">
        <x:v>Target↔Studio/Store</x:v>
      </x:c>
      <x:c r="C23" s="58" t="str">
        <x:v>Image/Region/Volume/Artifact/大结果</x:v>
      </x:c>
      <x:c r="D23" s="58" t="str">
        <x:v>按需拉取/分块/超时</x:v>
      </x:c>
      <x:c r="E23" s="58" t="str">
        <x:v>并发/带宽限制</x:v>
      </x:c>
      <x:c r="F23" s="58" t="str">
        <x:v>ArtifactId/Hash</x:v>
      </x:c>
      <x:c r="G23" s="58" t="str">
        <x:v>按对象权限</x:v>
      </x:c>
      <x:c r="H23" s="58" t="str">
        <x:v>失败可重试，不影响主Session</x:v>
      </x:c>
      <x:c r="I23" s="58" t="str">
        <x:v>Telemetry直接推全部大图</x:v>
      </x:c>
    </x:row>
    <x:row r="24">
      <x:c r="A24"/>
      <x:c r="B24"/>
      <x:c r="C24"/>
      <x:c r="D24"/>
      <x:c r="E24"/>
      <x:c r="F24"/>
      <x:c r="G24"/>
      <x:c r="H24"/>
      <x:c r="I24"/>
    </x:row>
    <x:row r="25" ht="24" customHeight="1">
      <x:c r="A25" s="40" t="str">
        <x:v>C. Attach / Online Debug 标准时序</x:v>
      </x:c>
      <x:c r="B25" s="40"/>
      <x:c r="C25" s="40"/>
      <x:c r="D25" s="40"/>
      <x:c r="E25" s="40"/>
      <x:c r="F25" s="40"/>
      <x:c r="G25" s="40"/>
      <x:c r="H25" s="40"/>
      <x:c r="I25" s="40"/>
    </x:row>
    <x:row r="26" ht="28" customHeight="1">
      <x:c r="A26" s="50" t="str">
        <x:v>步骤</x:v>
      </x:c>
      <x:c r="B26" s="50" t="str">
        <x:v>Studio动作</x:v>
      </x:c>
      <x:c r="C26" s="50" t="str">
        <x:v>Target动作</x:v>
      </x:c>
      <x:c r="D26" s="50" t="str">
        <x:v>输出</x:v>
      </x:c>
      <x:c r="E26" s="50" t="str">
        <x:v>失败处理</x:v>
      </x:c>
      <x:c r="F26" s="50" t="str">
        <x:v>安全</x:v>
      </x:c>
      <x:c r="G26" s="50" t="str">
        <x:v>用户看到</x:v>
      </x:c>
      <x:c r="H26" s="50" t="str">
        <x:v>Domain差异</x:v>
      </x:c>
      <x:c r="I26" s="50" t="str">
        <x:v>测试</x:v>
      </x:c>
    </x:row>
    <x:row r="27">
      <x:c r="A27" s="66" t="str">
        <x:v>1 Discover</x:v>
      </x:c>
      <x:c r="B27" s="66" t="str">
        <x:v>选择Target/Profile</x:v>
      </x:c>
      <x:c r="C27" s="66" t="str">
        <x:v>返回StationId/AppVersion/ApiVersion/Capabilities/ActiveRelease</x:v>
      </x:c>
      <x:c r="D27" s="66" t="str">
        <x:v>TargetInfo</x:v>
      </x:c>
      <x:c r="E27" s="66" t="str">
        <x:v>不可达/协议不兼容</x:v>
      </x:c>
      <x:c r="F27" s="66" t="str">
        <x:v>认证前只给最少信息</x:v>
      </x:c>
      <x:c r="G27" s="66" t="str">
        <x:v>目标状态</x:v>
      </x:c>
      <x:c r="H27" s="66" t="str">
        <x:v>无</x:v>
      </x:c>
      <x:c r="I27" s="66" t="str">
        <x:v>网络/协议</x:v>
      </x:c>
    </x:row>
    <x:row r="28">
      <x:c r="A28" s="58" t="str">
        <x:v>2 Authenticate</x:v>
      </x:c>
      <x:c r="B28" s="58" t="str">
        <x:v>提交用户/凭证/证书上下文</x:v>
      </x:c>
      <x:c r="C28" s="58" t="str">
        <x:v>Authorization建立Session principal</x:v>
      </x:c>
      <x:c r="D28" s="58" t="str">
        <x:v>SecurityContext</x:v>
      </x:c>
      <x:c r="E28" s="58" t="str">
        <x:v>认证失败结束</x:v>
      </x:c>
      <x:c r="F28" s="58" t="str">
        <x:v>最小权限</x:v>
      </x:c>
      <x:c r="G28" s="58" t="str">
        <x:v>用户/角色</x:v>
      </x:c>
      <x:c r="H28" s="58" t="str">
        <x:v>无</x:v>
      </x:c>
      <x:c r="I28" s="58" t="str">
        <x:v>auth</x:v>
      </x:c>
    </x:row>
    <x:row r="29">
      <x:c r="A29" s="66" t="str">
        <x:v>3 Handshake</x:v>
      </x:c>
      <x:c r="B29" s="66" t="str">
        <x:v>发送Client Api/Requested domains</x:v>
      </x:c>
      <x:c r="C29" s="66" t="str">
        <x:v>返回支持的DebugCapabilities/limits</x:v>
      </x:c>
      <x:c r="D29" s="66" t="str">
        <x:v>CapabilitySet</x:v>
      </x:c>
      <x:c r="E29" s="66" t="str">
        <x:v>不支持功能禁用</x:v>
      </x:c>
      <x:c r="F29" s="66" t="str">
        <x:v>Target为最终能力源</x:v>
      </x:c>
      <x:c r="G29" s="66" t="str">
        <x:v>工具按钮动态启用</x:v>
      </x:c>
      <x:c r="H29" s="66" t="str">
        <x:v>Motion/Vision/Inspection能力不同</x:v>
      </x:c>
      <x:c r="I29" s="66" t="str">
        <x:v>capability</x:v>
      </x:c>
    </x:row>
    <x:row r="30">
      <x:c r="A30" s="58" t="str">
        <x:v>4 Version Compare</x:v>
      </x:c>
      <x:c r="B30" s="58" t="str">
        <x:v>比较Design Snapshot/Target Active Release/Definition hashes</x:v>
      </x:c>
      <x:c r="C30" s="58" t="str">
        <x:v>返回Active Manifest与可调试Definition版本</x:v>
      </x:c>
      <x:c r="D30" s="58" t="str">
        <x:v>OnlineDiff</x:v>
      </x:c>
      <x:c r="E30" s="58" t="str">
        <x:v>结构/插件/模型不一致明确报告</x:v>
      </x:c>
      <x:c r="F30" s="58" t="str">
        <x:v>禁止静默用错版本</x:v>
      </x:c>
      <x:c r="G30" s="58" t="str">
        <x:v>Online/Offline Diff</x:v>
      </x:c>
      <x:c r="H30" s="58" t="str">
        <x:v>Vision还比较Model/Calibration；Inspection比较依赖集合</x:v>
      </x:c>
      <x:c r="I30" s="58" t="str">
        <x:v>version</x:v>
      </x:c>
    </x:row>
    <x:row r="31">
      <x:c r="A31" s="66" t="str">
        <x:v>5 Select Mode</x:v>
      </x:c>
      <x:c r="B31" s="66" t="str">
        <x:v>Simulation/LiveReadOnly/LiveControlled/Replay/Maintenance(受限)</x:v>
      </x:c>
      <x:c r="C31" s="66" t="str">
        <x:v>评估Target policy</x:v>
      </x:c>
      <x:c r="D31" s="66" t="str">
        <x:v>DebugModeToken</x:v>
      </x:c>
      <x:c r="E31" s="66" t="str">
        <x:v>不允许则拒绝</x:v>
      </x:c>
      <x:c r="F31" s="66" t="str">
        <x:v>RealWrite默认关闭</x:v>
      </x:c>
      <x:c r="G31" s="66" t="str">
        <x:v>模式颜色/风险提示</x:v>
      </x:c>
      <x:c r="H31" s="66" t="str">
        <x:v>Motion可有Teach维护模式</x:v>
      </x:c>
      <x:c r="I31" s="66" t="str">
        <x:v>security</x:v>
      </x:c>
    </x:row>
    <x:row r="32">
      <x:c r="A32" s="58" t="str">
        <x:v>6 Compile/Resolve</x:v>
      </x:c>
      <x:c r="B32" s="58" t="str">
        <x:v>本地或Target编译选定Snapshot</x:v>
      </x:c>
      <x:c r="C32" s="58" t="str">
        <x:v>Target验证资源/设备/插件</x:v>
      </x:c>
      <x:c r="D32" s="58" t="str">
        <x:v>ExecutionPlanId/PlanHash</x:v>
      </x:c>
      <x:c r="E32" s="58" t="str">
        <x:v>Fatal阻止Start</x:v>
      </x:c>
      <x:c r="F32" s="58" t="str">
        <x:v>发布/调试策略</x:v>
      </x:c>
      <x:c r="G32" s="58" t="str">
        <x:v>Compile Report</x:v>
      </x:c>
      <x:c r="H32" s="58" t="str">
        <x:v>各Domain Compiler</x:v>
      </x:c>
      <x:c r="I32" s="58" t="str">
        <x:v>compile</x:v>
      </x:c>
    </x:row>
    <x:row r="33">
      <x:c r="A33" s="66" t="str">
        <x:v>7 Attach/Deploy Debug Plan</x:v>
      </x:c>
      <x:c r="B33" s="66" t="str">
        <x:v>Attach现有Session或创建Debug Session；必要时下发仅调试Plan/Overrides</x:v>
      </x:c>
      <x:c r="C33" s="66" t="str">
        <x:v>创建TargetDebugSession并返回SessionId</x:v>
      </x:c>
      <x:c r="D33" s="66" t="str">
        <x:v>SessionSnapshot</x:v>
      </x:c>
      <x:c r="E33" s="66" t="str">
        <x:v>不得替换生产Active Release除非明确Deploy流程</x:v>
      </x:c>
      <x:c r="F33" s="66" t="str">
        <x:v>隔离Debug plan与Release</x:v>
      </x:c>
      <x:c r="G33" s="66" t="str">
        <x:v>当前状态/版本</x:v>
      </x:c>
      <x:c r="H33" s="66" t="str">
        <x:v>Inspection active task一般Attach而非换结构</x:v>
      </x:c>
      <x:c r="I33" s="66" t="str">
        <x:v>attach</x:v>
      </x:c>
    </x:row>
    <x:row r="34">
      <x:c r="A34" s="58" t="str">
        <x:v>8 Subscribe</x:v>
      </x:c>
      <x:c r="B34" s="58" t="str">
        <x:v>选择Watch/Trace/Device/Data subscriptions</x:v>
      </x:c>
      <x:c r="C34" s="58" t="str">
        <x:v>建立有界Telemetry subscriptions</x:v>
      </x:c>
      <x:c r="D34" s="58" t="str">
        <x:v>InitialSnapshot+Sequence</x:v>
      </x:c>
      <x:c r="E34" s="58" t="str">
        <x:v>过载降频</x:v>
      </x:c>
      <x:c r="F34" s="58" t="str">
        <x:v>只读</x:v>
      </x:c>
      <x:c r="G34" s="58" t="str">
        <x:v>面板开始刷新</x:v>
      </x:c>
      <x:c r="H34" s="58" t="str">
        <x:v>Vision大数据按需</x:v>
      </x:c>
      <x:c r="I34" s="58" t="str">
        <x:v>load</x:v>
      </x:c>
    </x:row>
    <x:row r="35">
      <x:c r="A35" s="66" t="str">
        <x:v>9 Operate</x:v>
      </x:c>
      <x:c r="B35" s="66" t="str">
        <x:v>Start/Step/RunTo/Inspect/Override等</x:v>
      </x:c>
      <x:c r="C35" s="66" t="str">
        <x:v>Domain adapter执行并Ack</x:v>
      </x:c>
      <x:c r="D35" s="66" t="str">
        <x:v>CommandResult+Trace</x:v>
      </x:c>
      <x:c r="E35" s="66" t="str">
        <x:v>超时先查询状态，不盲重试</x:v>
      </x:c>
      <x:c r="F35" s="66" t="str">
        <x:v>逐命令权限/互锁</x:v>
      </x:c>
      <x:c r="G35" s="66" t="str">
        <x:v>当前节点/设备/结果</x:v>
      </x:c>
      <x:c r="H35" s="66" t="str">
        <x:v>域语义不同</x:v>
      </x:c>
      <x:c r="I35" s="66" t="str">
        <x:v>operations</x:v>
      </x:c>
    </x:row>
    <x:row r="36">
      <x:c r="A36" s="58" t="str">
        <x:v>10 Stop/Detach</x:v>
      </x:c>
      <x:c r="B36" s="58" t="str">
        <x:v>Stop/Cancel/Detach</x:v>
      </x:c>
      <x:c r="C36" s="58" t="str">
        <x:v>按策略停Session/清Overrides/清订阅/释放Debug resources</x:v>
      </x:c>
      <x:c r="D36" s="58" t="str">
        <x:v>FinalSnapshot</x:v>
      </x:c>
      <x:c r="E36" s="58" t="str">
        <x:v>Stop失败进入Faulted但继续清理</x:v>
      </x:c>
      <x:c r="F36" s="58" t="str">
        <x:v>危险设备安全策略</x:v>
      </x:c>
      <x:c r="G36" s="58" t="str">
        <x:v>结束报告</x:v>
      </x:c>
      <x:c r="H36" s="58" t="str">
        <x:v>Inspection可保留Task运行仅Detach观察</x:v>
      </x:c>
      <x:c r="I36" s="58" t="str">
        <x:v>cleanup</x:v>
      </x:c>
    </x:row>
    <x:row r="37">
      <x:c r="A37" s="66" t="str">
        <x:v>11 Promote</x:v>
      </x:c>
      <x:c r="B37" s="66" t="str">
        <x:v>用户选择调试参数修改“应用到设计”</x:v>
      </x:c>
      <x:c r="C37" s="66" t="str">
        <x:v>Target只提供Diff，不直接改Project</x:v>
      </x:c>
      <x:c r="D37" s="66" t="str">
        <x:v>ChangeSet</x:v>
      </x:c>
      <x:c r="E37" s="66" t="str">
        <x:v>需要回到Designer Command</x:v>
      </x:c>
      <x:c r="F37" s="66" t="str">
        <x:v>审计修改来源</x:v>
      </x:c>
      <x:c r="G37" s="66" t="str">
        <x:v>差异预览</x:v>
      </x:c>
      <x:c r="H37" s="66" t="str">
        <x:v>结构/参数允许范围不同</x:v>
      </x:c>
      <x:c r="I37" s="66" t="str">
        <x:v>roundtrip</x:v>
      </x:c>
    </x:row>
    <x:row r="38">
      <x:c r="A38"/>
      <x:c r="B38"/>
      <x:c r="C38"/>
      <x:c r="D38"/>
      <x:c r="E38"/>
      <x:c r="F38"/>
      <x:c r="G38"/>
      <x:c r="H38"/>
      <x:c r="I38"/>
    </x:row>
    <x:row r="39" ht="24" customHeight="1">
      <x:c r="A39" s="40" t="str">
        <x:v>D. Debug Session 状态机</x:v>
      </x:c>
      <x:c r="B39" s="40"/>
      <x:c r="C39" s="40"/>
      <x:c r="D39" s="40"/>
      <x:c r="E39" s="40"/>
      <x:c r="F39" s="40"/>
      <x:c r="G39" s="40"/>
      <x:c r="H39" s="40"/>
      <x:c r="I39" s="40"/>
    </x:row>
    <x:row r="40" ht="28" customHeight="1">
      <x:c r="A40" s="50" t="str">
        <x:v>含义</x:v>
      </x:c>
      <x:c r="B40" s="50" t="str">
        <x:v>允许命令</x:v>
      </x:c>
      <x:c r="C40" s="50" t="str">
        <x:v>不允许</x:v>
      </x:c>
      <x:c r="D40" s="50" t="str">
        <x:v>进入条件</x:v>
      </x:c>
      <x:c r="E40" s="50" t="str">
        <x:v>退出</x:v>
      </x:c>
      <x:c r="F40" s="50" t="str">
        <x:v>Target断线</x:v>
      </x:c>
      <x:c r="G40" s="50" t="str">
        <x:v>UI表现</x:v>
      </x:c>
      <x:c r="H40" s="50" t="str">
        <x:v>门禁</x:v>
      </x:c>
      <x:c r="I40" s="50"/>
    </x:row>
    <x:row r="41">
      <x:c r="A41" s="58" t="str">
        <x:v>未连接Target</x:v>
      </x:c>
      <x:c r="B41" s="58" t="str">
        <x:v>Connect</x:v>
      </x:c>
      <x:c r="C41" s="58" t="str">
        <x:v>Start/Step/Write</x:v>
      </x:c>
      <x:c r="D41" s="58" t="str">
        <x:v>无</x:v>
      </x:c>
      <x:c r="E41" s="58" t="str">
        <x:v>Connecting</x:v>
      </x:c>
      <x:c r="F41" s="58" t="str">
        <x:v>保持工程</x:v>
      </x:c>
      <x:c r="G41" s="58" t="str">
        <x:v>灰色</x:v>
      </x:c>
      <x:c r="H41" s="58" t="str">
        <x:v>无设备写</x:v>
      </x:c>
      <x:c r="I41" s="58"/>
    </x:row>
    <x:row r="42">
      <x:c r="A42" s="66" t="str">
        <x:v>握手完成未Attach</x:v>
      </x:c>
      <x:c r="B42" s="66" t="str">
        <x:v>Compare/Compile/Attach</x:v>
      </x:c>
      <x:c r="C42" s="66" t="str">
        <x:v>Domain Run命令</x:v>
      </x:c>
      <x:c r="D42" s="66" t="str">
        <x:v>Handshake成功</x:v>
      </x:c>
      <x:c r="E42" s="66" t="str">
        <x:v>Attached/Disconnect</x:v>
      </x:c>
      <x:c r="F42" s="66" t="str">
        <x:v>回Disconnected</x:v>
      </x:c>
      <x:c r="G42" s="66" t="str">
        <x:v>目标信息</x:v>
      </x:c>
      <x:c r="H42" s="66"/>
      <x:c r="I42" s="66"/>
    </x:row>
    <x:row r="43">
      <x:c r="A43" s="58" t="str">
        <x:v>绑定Definition/Session，尚未运行</x:v>
      </x:c>
      <x:c r="B43" s="58" t="str">
        <x:v>Start/Inspect/Override(按策略)/Detach</x:v>
      </x:c>
      <x:c r="C43" s="58" t="str">
        <x:v>Step(无运行上下文)</x:v>
      </x:c>
      <x:c r="D43" s="58" t="str">
        <x:v>Plan/Session有效</x:v>
      </x:c>
      <x:c r="E43" s="58" t="str">
        <x:v>Running/Detached</x:v>
      </x:c>
      <x:c r="F43" s="58" t="str">
        <x:v>DetachedUnknown</x:v>
      </x:c>
      <x:c r="G43" s="58" t="str">
        <x:v>黄/蓝</x:v>
      </x:c>
      <x:c r="H43" s="58"/>
      <x:c r="I43" s="58"/>
    </x:row>
    <x:row r="44">
      <x:c r="A44" s="66" t="str">
        <x:v>Domain正在执行</x:v>
      </x:c>
      <x:c r="B44" s="66" t="str">
        <x:v>Pause/RunTo/Inspect/Cancel</x:v>
      </x:c>
      <x:c r="C44" s="66" t="str">
        <x:v>结构修改</x:v>
      </x:c>
      <x:c r="D44" s="66" t="str">
        <x:v>Start成功</x:v>
      </x:c>
      <x:c r="E44" s="66" t="str">
        <x:v>Paused/Completed/Faulted/Cancelling</x:v>
      </x:c>
      <x:c r="F44" s="66" t="str">
        <x:v>DetachedRunningUnknown</x:v>
      </x:c>
      <x:c r="G44" s="66" t="str">
        <x:v>绿色活动</x:v>
      </x:c>
      <x:c r="H44" s="66"/>
      <x:c r="I44" s="66"/>
    </x:row>
    <x:row r="45">
      <x:c r="A45" s="58" t="str">
        <x:v>在安全节点/帧/工作流边界暂停</x:v>
      </x:c>
      <x:c r="B45" s="58" t="str">
        <x:v>Step/Continue/RunTo/Inspect/Override</x:v>
      </x:c>
      <x:c r="C45" s="58" t="str">
        <x:v>对执行中物理动作强制冻结</x:v>
      </x:c>
      <x:c r="D45" s="58" t="str">
        <x:v>Domain到达可暂停边界</x:v>
      </x:c>
      <x:c r="E45" s="58" t="str">
        <x:v>Running/Cancel</x:v>
      </x:c>
      <x:c r="F45" s="58" t="str">
        <x:v>DetachedUnknown</x:v>
      </x:c>
      <x:c r="G45" s="58" t="str">
        <x:v>当前节点高亮</x:v>
      </x:c>
      <x:c r="H45" s="58"/>
      <x:c r="I45" s="58"/>
    </x:row>
    <x:row r="46">
      <x:c r="A46" s="66" t="str">
        <x:v>执行正常结束</x:v>
      </x:c>
      <x:c r="B46" s="66" t="str">
        <x:v>Inspect/Restart(新Session)/Detach</x:v>
      </x:c>
      <x:c r="C46" s="66" t="str">
        <x:v>Step当前Session</x:v>
      </x:c>
      <x:c r="D46" s="66" t="str">
        <x:v>Result完成</x:v>
      </x:c>
      <x:c r="E46" s="66" t="str">
        <x:v>Attached/Detached</x:v>
      </x:c>
      <x:c r="F46" s="66" t="str">
        <x:v>可重连看历史</x:v>
      </x:c>
      <x:c r="G46" s="66" t="str">
        <x:v>完成</x:v>
      </x:c>
      <x:c r="H46" s="66"/>
      <x:c r="I46" s="66"/>
    </x:row>
    <x:row r="47">
      <x:c r="A47" s="58" t="str">
        <x:v>域/设备/Worker/流程故障</x:v>
      </x:c>
      <x:c r="B47" s="58" t="str">
        <x:v>Inspect/Reset/Retry(按域)/Cancel/Detach</x:v>
      </x:c>
      <x:c r="C47" s="58" t="str">
        <x:v>盲Continue</x:v>
      </x:c>
      <x:c r="D47" s="58" t="str">
        <x:v>Fault</x:v>
      </x:c>
      <x:c r="E47" s="58" t="str">
        <x:v>Attached/Running/Stopped</x:v>
      </x:c>
      <x:c r="F47" s="58" t="str">
        <x:v>保留故障Snapshot</x:v>
      </x:c>
      <x:c r="G47" s="58" t="str">
        <x:v>红色</x:v>
      </x:c>
      <x:c r="H47" s="58"/>
      <x:c r="I47" s="58"/>
    </x:row>
    <x:row r="48">
      <x:c r="A48" s="66" t="str">
        <x:v>正在取消/安全停止</x:v>
      </x:c>
      <x:c r="B48" s="66" t="str">
        <x:v>Inspect</x:v>
      </x:c>
      <x:c r="C48" s="66" t="str">
        <x:v>Start/Step/Override</x:v>
      </x:c>
      <x:c r="D48" s="66" t="str">
        <x:v>Cancel请求</x:v>
      </x:c>
      <x:c r="E48" s="66" t="str">
        <x:v>Stopped/Faulted</x:v>
      </x:c>
      <x:c r="F48" s="66" t="str">
        <x:v>状态未知需重查</x:v>
      </x:c>
      <x:c r="G48" s="66" t="str">
        <x:v>橙色</x:v>
      </x:c>
      <x:c r="H48" s="66"/>
      <x:c r="I48" s="66"/>
    </x:row>
    <x:row r="49">
      <x:c r="A49" s="58" t="str">
        <x:v>通信丢失且Target可能仍运行</x:v>
      </x:c>
      <x:c r="B49" s="58" t="str">
        <x:v>Reconnect/Query</x:v>
      </x:c>
      <x:c r="C49" s="58" t="str">
        <x:v>新副作用命令</x:v>
      </x:c>
      <x:c r="D49" s="58" t="str">
        <x:v>连接丢失</x:v>
      </x:c>
      <x:c r="E49" s="58" t="str">
        <x:v>Attached/Running/...</x:v>
      </x:c>
      <x:c r="F49" s="58" t="str">
        <x:v>自身</x:v>
      </x:c>
      <x:c r="G49" s="58" t="str">
        <x:v>明显风险提示</x:v>
      </x:c>
      <x:c r="H49" s="58" t="str">
        <x:v>不自动假设已停止</x:v>
      </x:c>
      <x:c r="I49" s="58"/>
    </x:row>
    <x:row r="50">
      <x:c r="A50"/>
      <x:c r="B50"/>
      <x:c r="C50"/>
      <x:c r="D50"/>
      <x:c r="E50"/>
      <x:c r="F50"/>
      <x:c r="G50"/>
      <x:c r="H50"/>
      <x:c r="I50"/>
    </x:row>
    <x:row r="51" ht="24" customHeight="1">
      <x:c r="A51" s="40" t="str">
        <x:v>E. 在线修改 / Override / Hot Tuning 规则</x:v>
      </x:c>
      <x:c r="B51" s="40"/>
      <x:c r="C51" s="40"/>
      <x:c r="D51" s="40"/>
      <x:c r="E51" s="40"/>
      <x:c r="F51" s="40"/>
      <x:c r="G51" s="40"/>
      <x:c r="H51" s="40"/>
      <x:c r="I51" s="40"/>
    </x:row>
    <x:row r="52" ht="28" customHeight="1">
      <x:c r="A52" s="50" t="str">
        <x:v>修改类型</x:v>
      </x:c>
      <x:c r="B52" s="50" t="str">
        <x:v>Simulation</x:v>
      </x:c>
      <x:c r="C52" s="50" t="str">
        <x:v>Live ReadOnly</x:v>
      </x:c>
      <x:c r="D52" s="50" t="str">
        <x:v>Live Controlled</x:v>
      </x:c>
      <x:c r="E52" s="50" t="str">
        <x:v>Run生产</x:v>
      </x:c>
      <x:c r="F52" s="50" t="str">
        <x:v>Target行为</x:v>
      </x:c>
      <x:c r="G52" s="50" t="str">
        <x:v>Promote到工程</x:v>
      </x:c>
      <x:c r="H52" s="50" t="str">
        <x:v>审计</x:v>
      </x:c>
      <x:c r="I52" s="50" t="str">
        <x:v>规则</x:v>
      </x:c>
    </x:row>
    <x:row r="53">
      <x:c r="A53" s="66" t="str">
        <x:v>观察值/Watch</x:v>
      </x:c>
      <x:c r="B53" s="66" t="str">
        <x:v>允许</x:v>
      </x:c>
      <x:c r="C53" s="66" t="str">
        <x:v>允许</x:v>
      </x:c>
      <x:c r="D53" s="66" t="str">
        <x:v>允许</x:v>
      </x:c>
      <x:c r="E53" s="66" t="str">
        <x:v>允许(权限)</x:v>
      </x:c>
      <x:c r="F53" s="66" t="str">
        <x:v>只读</x:v>
      </x:c>
      <x:c r="G53" s="66" t="str">
        <x:v>N/A</x:v>
      </x:c>
      <x:c r="H53" s="66" t="str">
        <x:v>可选</x:v>
      </x:c>
      <x:c r="I53" s="66" t="str">
        <x:v>无副作用</x:v>
      </x:c>
    </x:row>
    <x:row r="54">
      <x:c r="A54" s="58" t="str">
        <x:v>节点参数临时Override</x:v>
      </x:c>
      <x:c r="B54" s="58" t="str">
        <x:v>允许</x:v>
      </x:c>
      <x:c r="C54" s="58" t="str">
        <x:v>通常允许但不执行写</x:v>
      </x:c>
      <x:c r="D54" s="58" t="str">
        <x:v>允许白名单参数</x:v>
      </x:c>
      <x:c r="E54" s="58" t="str">
        <x:v>默认禁</x:v>
      </x:c>
      <x:c r="F54" s="58" t="str">
        <x:v>Session-scoped override layer</x:v>
      </x:c>
      <x:c r="G54" s="58" t="str">
        <x:v>用户确认→生成ChangeSet→Designer Command</x:v>
      </x:c>
      <x:c r="H54" s="58" t="str">
        <x:v>必须记录</x:v>
      </x:c>
      <x:c r="I54" s="58" t="str">
        <x:v>Stop/Detach自动清</x:v>
      </x:c>
    </x:row>
    <x:row r="55">
      <x:c r="A55" s="66" t="str">
        <x:v>结构改图</x:v>
      </x:c>
      <x:c r="B55" s="66" t="str">
        <x:v>允许重新Compile</x:v>
      </x:c>
      <x:c r="C55" s="66" t="str">
        <x:v>不允许影响Target</x:v>
      </x:c>
      <x:c r="D55" s="66" t="str">
        <x:v>Debug Session停止后可下发新Debug Plan</x:v>
      </x:c>
      <x:c r="E55" s="66" t="str">
        <x:v>禁止</x:v>
      </x:c>
      <x:c r="F55" s="66" t="str">
        <x:v>旧Session不Hot换结构</x:v>
      </x:c>
      <x:c r="G55" s="66" t="str">
        <x:v>改Design再Compile</x:v>
      </x:c>
      <x:c r="H55" s="66" t="str">
        <x:v>记录版本</x:v>
      </x:c>
      <x:c r="I55" s="66" t="str">
        <x:v>Active Inspection Task不得结构热换</x:v>
      </x:c>
    </x:row>
    <x:row r="56">
      <x:c r="A56" s="58" t="str">
        <x:v>设备Setpoint/IO</x:v>
      </x:c>
      <x:c r="B56" s="58" t="str">
        <x:v>Simulation provider</x:v>
      </x:c>
      <x:c r="C56" s="58" t="str">
        <x:v>禁止</x:v>
      </x:c>
      <x:c r="D56" s="58" t="str">
        <x:v>显式权限+Interlock+RealWrite</x:v>
      </x:c>
      <x:c r="E56" s="58" t="str">
        <x:v>按运行策略</x:v>
      </x:c>
      <x:c r="F56" s="58" t="str">
        <x:v>走Domain/WritePipeline</x:v>
      </x:c>
      <x:c r="G56" s="58" t="str">
        <x:v>通常不Promote为设计值</x:v>
      </x:c>
      <x:c r="H56" s="58" t="str">
        <x:v>强审计</x:v>
      </x:c>
      <x:c r="I56" s="58" t="str">
        <x:v>不得通过通用Property override绕过</x:v>
      </x:c>
    </x:row>
    <x:row r="57">
      <x:c r="A57" s="66" t="str">
        <x:v>Teach/Jog</x:v>
      </x:c>
      <x:c r="B57" s="66" t="str">
        <x:v>模拟</x:v>
      </x:c>
      <x:c r="C57" s="66" t="str">
        <x:v>禁止</x:v>
      </x:c>
      <x:c r="D57" s="66" t="str">
        <x:v>仅Motion Maintenance Mode</x:v>
      </x:c>
      <x:c r="E57" s="66" t="str">
        <x:v>生产运行禁或独立维护策略</x:v>
      </x:c>
      <x:c r="F57" s="66" t="str">
        <x:v>MotionDebugAdapter+Safety policy</x:v>
      </x:c>
      <x:c r="G57" s="66" t="str">
        <x:v>位置可选择保存到PointTable ChangeSet</x:v>
      </x:c>
      <x:c r="H57" s="66" t="str">
        <x:v>强审计</x:v>
      </x:c>
      <x:c r="I57" s="66" t="str">
        <x:v>与正常Program执行互斥/资源锁定</x:v>
      </x:c>
    </x:row>
    <x:row r="58">
      <x:c r="A58" s="58" t="str">
        <x:v>Vision参数调优</x:v>
      </x:c>
      <x:c r="B58" s="58" t="str">
        <x:v>允许</x:v>
      </x:c>
      <x:c r="C58" s="58" t="str">
        <x:v>可对历史/冻结帧</x:v>
      </x:c>
      <x:c r="D58" s="58" t="str">
        <x:v>允许对Debug Run/Live frame</x:v>
      </x:c>
      <x:c r="E58" s="58" t="str">
        <x:v>生产默认不改Active release</x:v>
      </x:c>
      <x:c r="F58" s="58" t="str">
        <x:v>Vision override layer</x:v>
      </x:c>
      <x:c r="G58" s="58" t="str">
        <x:v>选择参数Promote</x:v>
      </x:c>
      <x:c r="H58" s="58" t="str">
        <x:v>Run/Model/Input记录</x:v>
      </x:c>
      <x:c r="I58" s="58" t="str">
        <x:v>结果必须带override hash</x:v>
      </x:c>
    </x:row>
    <x:row r="59">
      <x:c r="A59" s="66" t="str">
        <x:v>Inspection Context修改</x:v>
      </x:c>
      <x:c r="B59" s="66" t="str">
        <x:v>Simulation允许</x:v>
      </x:c>
      <x:c r="C59" s="66" t="str">
        <x:v>观察</x:v>
      </x:c>
      <x:c r="D59" s="66" t="str">
        <x:v>仅受控测试Task部分字段可改</x:v>
      </x:c>
      <x:c r="E59" s="66" t="str">
        <x:v>生产任务严禁任意篡改</x:v>
      </x:c>
      <x:c r="F59" s="66" t="str">
        <x:v>InspectionDebugPolicy</x:v>
      </x:c>
      <x:c r="G59" s="66" t="str">
        <x:v>通常不Promote，属于测试输入</x:v>
      </x:c>
      <x:c r="H59" s="66" t="str">
        <x:v>强审计</x:v>
      </x:c>
      <x:c r="I59" s="66" t="str">
        <x:v>业务结果标记Debug/Test</x:v>
      </x:c>
    </x:row>
    <x:row r="60">
      <x:c r="A60"/>
      <x:c r="B60"/>
      <x:c r="C60"/>
      <x:c r="D60"/>
      <x:c r="E60"/>
      <x:c r="F60"/>
      <x:c r="G60"/>
      <x:c r="H60"/>
      <x:c r="I60"/>
    </x:row>
    <x:row r="61" ht="24" customHeight="1">
      <x:c r="A61" s="40" t="str">
        <x:v>F. 安全与网络异常原则</x:v>
      </x:c>
      <x:c r="B61" s="40"/>
      <x:c r="C61" s="40"/>
      <x:c r="D61" s="40"/>
      <x:c r="E61" s="40"/>
      <x:c r="F61" s="40"/>
      <x:c r="G61" s="40"/>
      <x:c r="H61" s="40"/>
      <x:c r="I61" s="40"/>
    </x:row>
    <x:row r="62" ht="28" customHeight="1">
      <x:c r="A62" s="50" t="str">
        <x:v>场景</x:v>
      </x:c>
      <x:c r="B62" s="50" t="str">
        <x:v>正确行为</x:v>
      </x:c>
      <x:c r="C62" s="50" t="str">
        <x:v>错误行为</x:v>
      </x:c>
      <x:c r="D62" s="50" t="str">
        <x:v>Studio</x:v>
      </x:c>
      <x:c r="E62" s="50" t="str">
        <x:v>Target</x:v>
      </x:c>
      <x:c r="F62" s="50" t="str">
        <x:v>审计</x:v>
      </x:c>
      <x:c r="G62" s="50" t="str">
        <x:v>恢复</x:v>
      </x:c>
      <x:c r="H62" s="50" t="str">
        <x:v>测试</x:v>
      </x:c>
      <x:c r="I62" s="50"/>
    </x:row>
    <x:row r="63">
      <x:c r="A63" s="58" t="str">
        <x:v>Control Ack超时</x:v>
      </x:c>
      <x:c r="B63" s="58" t="str">
        <x:v>查询CommandId/Session状态后决定，不自动重发副作用</x:v>
      </x:c>
      <x:c r="C63" s="58" t="str">
        <x:v>无脑Retry Move/MES/Write</x:v>
      </x:c>
      <x:c r="D63" s="58" t="str">
        <x:v>显示Unknown/Pending</x:v>
      </x:c>
      <x:c r="E63" s="58" t="str">
        <x:v>保持命令去重记录</x:v>
      </x:c>
      <x:c r="F63" s="58" t="str">
        <x:v>CommandId</x:v>
      </x:c>
      <x:c r="G63" s="58" t="str">
        <x:v>Reconcile</x:v>
      </x:c>
      <x:c r="H63" s="58" t="str">
        <x:v>网络抖动</x:v>
      </x:c>
      <x:c r="I63" s="58"/>
    </x:row>
    <x:row r="64">
      <x:c r="A64" s="66" t="str">
        <x:v>Telemetry丢包</x:v>
      </x:c>
      <x:c r="B64" s="66" t="str">
        <x:v>Snapshot + Sequence补齐可补的状态，Trace允许标Gap</x:v>
      </x:c>
      <x:c r="C64" s="66" t="str">
        <x:v>阻塞Runtime等待UI</x:v>
      </x:c>
      <x:c r="D64" s="66" t="str">
        <x:v>显示数据间断</x:v>
      </x:c>
      <x:c r="E64" s="66" t="str">
        <x:v>继续生产</x:v>
      </x:c>
      <x:c r="F64" s="66" t="str">
        <x:v>Gap event</x:v>
      </x:c>
      <x:c r="G64" s="66" t="str">
        <x:v>重连</x:v>
      </x:c>
      <x:c r="H64" s="66" t="str">
        <x:v>丢包</x:v>
      </x:c>
      <x:c r="I64" s="66"/>
    </x:row>
    <x:row r="65">
      <x:c r="A65" s="58" t="str">
        <x:v>Studio崩溃</x:v>
      </x:c>
      <x:c r="B65" s="58" t="str">
        <x:v>Target Runtime继续按DebugPolicy；LiveControlled可配置超时转安全态</x:v>
      </x:c>
      <x:c r="C65" s="58" t="str">
        <x:v>让设备对象随UI Dispose</x:v>
      </x:c>
      <x:c r="D65" s="58" t="str">
        <x:v>重启可Attach</x:v>
      </x:c>
      <x:c r="E65" s="58" t="str">
        <x:v>Agent监控client lease</x:v>
      </x:c>
      <x:c r="F65" s="58" t="str">
        <x:v>Disconnect cause</x:v>
      </x:c>
      <x:c r="G65" s="58" t="str">
        <x:v>Attach/Stop</x:v>
      </x:c>
      <x:c r="H65" s="58" t="str">
        <x:v>kill studio</x:v>
      </x:c>
      <x:c r="I65" s="58"/>
    </x:row>
    <x:row r="66">
      <x:c r="A66" s="66" t="str">
        <x:v>Agent崩溃</x:v>
      </x:c>
      <x:c r="B66" s="66" t="str">
        <x:v>业务Runtime尽量继续，禁新Debug控制；恢复Agent后重新Attach</x:v>
      </x:c>
      <x:c r="C66" s="66" t="str">
        <x:v>Agent与主执行同故障域无隔离</x:v>
      </x:c>
      <x:c r="D66" s="66" t="str">
        <x:v>提示断开</x:v>
      </x:c>
      <x:c r="E66" s="66" t="str">
        <x:v>Domain sessions保持</x:v>
      </x:c>
      <x:c r="F66" s="66" t="str">
        <x:v>Health event</x:v>
      </x:c>
      <x:c r="G66" s="66" t="str">
        <x:v>重启Agent/Runtime按策略</x:v>
      </x:c>
      <x:c r="H66" s="66" t="str">
        <x:v>fault injection</x:v>
      </x:c>
      <x:c r="I66" s="66"/>
    </x:row>
    <x:row r="67">
      <x:c r="A67" s="58" t="str">
        <x:v>权限过期</x:v>
      </x:c>
      <x:c r="B67" s="58" t="str">
        <x:v>立即拒绝新危险命令；已执行物理命令按安全策略完成/停止</x:v>
      </x:c>
      <x:c r="C67" s="58" t="str">
        <x:v>中途任意中断设备导致危险</x:v>
      </x:c>
      <x:c r="D67" s="58" t="str">
        <x:v>重新认证</x:v>
      </x:c>
      <x:c r="E67" s="58" t="str">
        <x:v>Policy重新评估</x:v>
      </x:c>
      <x:c r="F67" s="58" t="str">
        <x:v>auth expiry</x:v>
      </x:c>
      <x:c r="G67" s="58" t="str">
        <x:v>re-auth</x:v>
      </x:c>
      <x:c r="H67" s="58" t="str">
        <x:v>security</x:v>
      </x:c>
      <x:c r="I67" s="58"/>
    </x:row>
    <x:row r="68">
      <x:c r="A68"/>
      <x:c r="B68"/>
      <x:c r="C68"/>
      <x:c r="D68"/>
      <x:c r="E68"/>
      <x:c r="F68"/>
      <x:c r="G68"/>
      <x:c r="H68"/>
      <x:c r="I68"/>
    </x:row>
    <x:row r="69">
      <x:c r="A69"/>
      <x:c r="B69"/>
      <x:c r="C69"/>
      <x:c r="D69"/>
      <x:c r="E69"/>
      <x:c r="F69"/>
      <x:c r="G69"/>
      <x:c r="H69"/>
      <x:c r="I69"/>
    </x:row>
    <x:row r="70">
      <x:c r="A70"/>
      <x:c r="B70"/>
      <x:c r="C70"/>
      <x:c r="D70"/>
      <x:c r="E70"/>
      <x:c r="F70"/>
      <x:c r="G70"/>
      <x:c r="H70"/>
      <x:c r="I70"/>
    </x:row>
    <x:row r="71" ht="24" customHeight="1">
      <x:c r="A71" s="40" t="str">
        <x:v>H. Studio统一Debug Session / Watch / Timeline / 数据源模式</x:v>
      </x:c>
      <x:c r="B71" s="40"/>
      <x:c r="C71" s="40"/>
      <x:c r="D71" s="40"/>
      <x:c r="E71" s="40"/>
      <x:c r="F71" s="40"/>
      <x:c r="G71" s="40"/>
      <x:c r="H71" s="40"/>
      <x:c r="I71" s="40"/>
    </x:row>
    <x:row r="72" ht="24" customHeight="1">
      <x:c r="A72" s="40" t="str">
        <x:v>A. Debug Session</x:v>
      </x:c>
      <x:c r="B72" s="40"/>
      <x:c r="C72" s="40"/>
      <x:c r="D72" s="40"/>
      <x:c r="E72" s="40"/>
      <x:c r="F72" s="40"/>
      <x:c r="G72" s="40"/>
      <x:c r="H72" s="40"/>
      <x:c r="I72" s="40"/>
    </x:row>
    <x:row r="73" ht="28" customHeight="1">
      <x:c r="A73" s="50" t="str">
        <x:v>对象/服务</x:v>
      </x:c>
      <x:c r="B73" s="50" t="str">
        <x:v>职责</x:v>
      </x:c>
      <x:c r="C73" s="50" t="str">
        <x:v>关键状态</x:v>
      </x:c>
      <x:c r="D73" s="50" t="str">
        <x:v>适用域</x:v>
      </x:c>
      <x:c r="E73" s="50" t="str">
        <x:v>设计器表现</x:v>
      </x:c>
      <x:c r="F73" s="50" t="str">
        <x:v>Runtime接口</x:v>
      </x:c>
      <x:c r="G73" s="50" t="str">
        <x:v>持久化</x:v>
      </x:c>
      <x:c r="H73" s="50"/>
      <x:c r="I73" s="50"/>
    </x:row>
    <x:row r="74">
      <x:c r="A74" s="66" t="str">
        <x:v>DebugSession</x:v>
      </x:c>
      <x:c r="B74" s="66" t="str">
        <x:v>一次调试会话根对象</x:v>
      </x:c>
      <x:c r="C74" s="66" t="str">
        <x:v>SessionId/Mode/Targets/DataSource/WritePolicy/Status</x:v>
      </x:c>
      <x:c r="D74" s="66" t="str">
        <x:v>全部</x:v>
      </x:c>
      <x:c r="E74" s="66" t="str">
        <x:v>顶部Debug条+工具窗</x:v>
      </x:c>
      <x:c r="F74" s="66" t="str">
        <x:v>Attach/Start/Pause/Stop</x:v>
      </x:c>
      <x:c r="G74" s="66" t="str">
        <x:v>会话配置可保存，运行状态不保存</x:v>
      </x:c>
      <x:c r="H74" s="66"/>
      <x:c r="I74" s="66"/>
    </x:row>
    <x:row r="75">
      <x:c r="A75" s="58" t="str">
        <x:v>DebugTarget</x:v>
      </x:c>
      <x:c r="B75" s="58" t="str">
        <x:v>被调试对象引用</x:v>
      </x:c>
      <x:c r="C75" s="58" t="str">
        <x:v>DocumentId/GraphId/PageId/InstanceId</x:v>
      </x:c>
      <x:c r="D75" s="58" t="str">
        <x:v>全部</x:v>
      </x:c>
      <x:c r="E75" s="58" t="str">
        <x:v>文档关联</x:v>
      </x:c>
      <x:c r="F75" s="58" t="str">
        <x:v>Resolve runtime target</x:v>
      </x:c>
      <x:c r="G75" s="58" t="str">
        <x:v>只存引用</x:v>
      </x:c>
      <x:c r="H75" s="58"/>
      <x:c r="I75" s="58"/>
    </x:row>
    <x:row r="76">
      <x:c r="A76" s="66" t="str">
        <x:v>Breakpoint</x:v>
      </x:c>
      <x:c r="B76" s="66" t="str">
        <x:v>节点/动作/事件断点</x:v>
      </x:c>
      <x:c r="C76" s="66" t="str">
        <x:v>TargetId/Condition/HitCount/Enabled</x:v>
      </x:c>
      <x:c r="D76" s="66" t="str">
        <x:v>Motion/Vision/Inspection/Action</x:v>
      </x:c>
      <x:c r="E76" s="66" t="str">
        <x:v>红点/条件编辑</x:v>
      </x:c>
      <x:c r="F76" s="66" t="str">
        <x:v>Debugger service</x:v>
      </x:c>
      <x:c r="G76" s="66" t="str">
        <x:v>可保存到用户/工程策略</x:v>
      </x:c>
      <x:c r="H76" s="66"/>
      <x:c r="I76" s="66"/>
    </x:row>
    <x:row r="77">
      <x:c r="A77" s="58" t="str">
        <x:v>WatchExpression</x:v>
      </x:c>
      <x:c r="B77" s="58" t="str">
        <x:v>变量/属性/上下文/端口查看</x:v>
      </x:c>
      <x:c r="C77" s="58" t="str">
        <x:v>Expression/Target/Format</x:v>
      </x:c>
      <x:c r="D77" s="58" t="str">
        <x:v>全部</x:v>
      </x:c>
      <x:c r="E77" s="58" t="str">
        <x:v>Watch窗</x:v>
      </x:c>
      <x:c r="F77" s="58" t="str">
        <x:v>Evaluate safe expression</x:v>
      </x:c>
      <x:c r="G77" s="58" t="str">
        <x:v>用户设置可保存</x:v>
      </x:c>
      <x:c r="H77" s="58"/>
      <x:c r="I77" s="58"/>
    </x:row>
    <x:row r="78">
      <x:c r="A78" s="66" t="str">
        <x:v>ExecutionTrace</x:v>
      </x:c>
      <x:c r="B78" s="66" t="str">
        <x:v>执行事件流</x:v>
      </x:c>
      <x:c r="C78" s="66" t="str">
        <x:v>Time/Target/State/InputSummary/OutputSummary/Duration/Thread/Resource</x:v>
      </x:c>
      <x:c r="D78" s="66" t="str">
        <x:v>全部</x:v>
      </x:c>
      <x:c r="E78" s="66" t="str">
        <x:v>Timeline/Trace</x:v>
      </x:c>
      <x:c r="F78" s="66" t="str">
        <x:v>Runtime emits</x:v>
      </x:c>
      <x:c r="G78" s="66" t="str">
        <x:v>按策略采样/落盘</x:v>
      </x:c>
      <x:c r="H78" s="66"/>
      <x:c r="I78" s="66"/>
    </x:row>
    <x:row r="79">
      <x:c r="A79" s="58" t="str">
        <x:v>ReplaySource</x:v>
      </x:c>
      <x:c r="B79" s="58" t="str">
        <x:v>历史输入/事件源</x:v>
      </x:c>
      <x:c r="C79" s="58" t="str">
        <x:v>DataSetId/TimeRange/RunManifest</x:v>
      </x:c>
      <x:c r="D79" s="58" t="str">
        <x:v>SCADA/Vision/Inspection</x:v>
      </x:c>
      <x:c r="E79" s="58" t="str">
        <x:v>Replay选择器</x:v>
      </x:c>
      <x:c r="F79" s="58" t="str">
        <x:v>Provider/Source adapter</x:v>
      </x:c>
      <x:c r="G79" s="58" t="str">
        <x:v>样本/历史</x:v>
      </x:c>
      <x:c r="H79" s="58"/>
      <x:c r="I79" s="58"/>
    </x:row>
    <x:row r="80">
      <x:c r="A80"/>
      <x:c r="B80"/>
      <x:c r="C80"/>
      <x:c r="D80"/>
      <x:c r="E80"/>
      <x:c r="F80"/>
      <x:c r="G80"/>
      <x:c r="H80"/>
      <x:c r="I80"/>
    </x:row>
    <x:row r="81" ht="24" customHeight="1">
      <x:c r="A81" s="40" t="str">
        <x:v>B. 统一调试操作</x:v>
      </x:c>
      <x:c r="B81" s="40"/>
      <x:c r="C81" s="40"/>
      <x:c r="D81" s="40"/>
      <x:c r="E81" s="40"/>
      <x:c r="F81" s="40"/>
      <x:c r="G81" s="40"/>
      <x:c r="H81" s="40"/>
      <x:c r="I81" s="40"/>
    </x:row>
    <x:row r="82" ht="28" customHeight="1">
      <x:c r="A82" s="50" t="str">
        <x:v>操作</x:v>
      </x:c>
      <x:c r="B82" s="50" t="str">
        <x:v>Screen/SCADA</x:v>
      </x:c>
      <x:c r="C82" s="50" t="str">
        <x:v>Motion</x:v>
      </x:c>
      <x:c r="D82" s="50" t="str">
        <x:v>Vision</x:v>
      </x:c>
      <x:c r="E82" s="50" t="str">
        <x:v>Inspection</x:v>
      </x:c>
      <x:c r="F82" s="50" t="str">
        <x:v>平台实现</x:v>
      </x:c>
      <x:c r="G82" s="50" t="str">
        <x:v>限制</x:v>
      </x:c>
      <x:c r="H82" s="50" t="str">
        <x:v>验收</x:v>
      </x:c>
      <x:c r="I82" s="50"/>
    </x:row>
    <x:row r="83">
      <x:c r="A83" s="66" t="str">
        <x:v>Start</x:v>
      </x:c>
      <x:c r="B83" s="66" t="str">
        <x:v>启动Runtime Preview</x:v>
      </x:c>
      <x:c r="C83" s="66" t="str">
        <x:v>启动Program</x:v>
      </x:c>
      <x:c r="D83" s="66" t="str">
        <x:v>执行Pipeline</x:v>
      </x:c>
      <x:c r="E83" s="66" t="str">
        <x:v>启动Flow Task</x:v>
      </x:c>
      <x:c r="F83" s="66" t="str">
        <x:v>DebugCoordinator</x:v>
      </x:c>
      <x:c r="G83" s="66" t="str">
        <x:v>先Compile/Validate</x:v>
      </x:c>
      <x:c r="H83" s="66" t="str">
        <x:v>状态一致</x:v>
      </x:c>
      <x:c r="I83" s="66"/>
    </x:row>
    <x:row r="84">
      <x:c r="A84" s="58" t="str">
        <x:v>Pause</x:v>
      </x:c>
      <x:c r="B84" s="58" t="str">
        <x:v>冻结视觉刷新可选/暂停动作链</x:v>
      </x:c>
      <x:c r="C84" s="58" t="str">
        <x:v>节点边界暂停</x:v>
      </x:c>
      <x:c r="D84" s="58" t="str">
        <x:v>节点边界暂停</x:v>
      </x:c>
      <x:c r="E84" s="58" t="str">
        <x:v>可暂停节点调度</x:v>
      </x:c>
      <x:c r="F84" s="58" t="str">
        <x:v>Domain Debugger</x:v>
      </x:c>
      <x:c r="G84" s="58" t="str">
        <x:v>设备硬动作不能假暂停即停止</x:v>
      </x:c>
      <x:c r="H84" s="58" t="str">
        <x:v>语义明确</x:v>
      </x:c>
      <x:c r="I84" s="58"/>
    </x:row>
    <x:row r="85">
      <x:c r="A85" s="66" t="str">
        <x:v>Step Into</x:v>
      </x:c>
      <x:c r="B85" s="66" t="str">
        <x:v>Action/SubFlow</x:v>
      </x:c>
      <x:c r="C85" s="66" t="str">
        <x:v>进入SubProgram</x:v>
      </x:c>
      <x:c r="D85" s="66" t="str">
        <x:v>进入SubPipeline/子图</x:v>
      </x:c>
      <x:c r="E85" s="66" t="str">
        <x:v>进入SubFlow</x:v>
      </x:c>
      <x:c r="F85" s="66" t="str">
        <x:v>Execution stack</x:v>
      </x:c>
      <x:c r="G85" s="66" t="str">
        <x:v>不对不可分割Native算法内部单步</x:v>
      </x:c>
      <x:c r="H85" s="66" t="str">
        <x:v>栈正确</x:v>
      </x:c>
      <x:c r="I85" s="66"/>
    </x:row>
    <x:row r="86">
      <x:c r="A86" s="58" t="str">
        <x:v>Step Over</x:v>
      </x:c>
      <x:c r="B86" s="58" t="str">
        <x:v>下一Action</x:v>
      </x:c>
      <x:c r="C86" s="58" t="str">
        <x:v>完成当前Motion节点</x:v>
      </x:c>
      <x:c r="D86" s="58" t="str">
        <x:v>完成当前Vision节点</x:v>
      </x:c>
      <x:c r="E86" s="58" t="str">
        <x:v>完成当前Workflow节点</x:v>
      </x:c>
      <x:c r="F86" s="58" t="str">
        <x:v>Domain Debugger</x:v>
      </x:c>
      <x:c r="G86" s="58" t="str">
        <x:v>设备命令等待完成/超时</x:v>
      </x:c>
      <x:c r="H86" s="58" t="str">
        <x:v>正确</x:v>
      </x:c>
      <x:c r="I86" s="58"/>
    </x:row>
    <x:row r="87">
      <x:c r="A87" s="66" t="str">
        <x:v>Run To</x:v>
      </x:c>
      <x:c r="B87" s="66" t="str">
        <x:v>对象/事件</x:v>
      </x:c>
      <x:c r="C87" s="66" t="str">
        <x:v>指定节点</x:v>
      </x:c>
      <x:c r="D87" s="66" t="str">
        <x:v>指定节点</x:v>
      </x:c>
      <x:c r="E87" s="66" t="str">
        <x:v>指定节点</x:v>
      </x:c>
      <x:c r="F87" s="66" t="str">
        <x:v>temporary breakpoint</x:v>
      </x:c>
      <x:c r="G87" s="66" t="str">
        <x:v>依赖仍执行</x:v>
      </x:c>
      <x:c r="H87" s="66" t="str">
        <x:v>命中一致</x:v>
      </x:c>
      <x:c r="I87" s="66"/>
    </x:row>
    <x:row r="88">
      <x:c r="A88" s="58" t="str">
        <x:v>Inspect Input/Output</x:v>
      </x:c>
      <x:c r="B88" s="58" t="str">
        <x:v>Resolved properties</x:v>
      </x:c>
      <x:c r="C88" s="58" t="str">
        <x:v>命令参数/设备状态</x:v>
      </x:c>
      <x:c r="D88" s="58" t="str">
        <x:v>图像/ROI/结果</x:v>
      </x:c>
      <x:c r="E88" s="58" t="str">
        <x:v>Context/Result</x:v>
      </x:c>
      <x:c r="F88" s="58" t="str">
        <x:v>Inspector adapters</x:v>
      </x:c>
      <x:c r="G88" s="58" t="str">
        <x:v>大对象延迟加载</x:v>
      </x:c>
      <x:c r="H88" s="58" t="str">
        <x:v>无副作用</x:v>
      </x:c>
      <x:c r="I88" s="58"/>
    </x:row>
    <x:row r="89">
      <x:c r="A89" s="66" t="str">
        <x:v>Force/Simulate</x:v>
      </x:c>
      <x:c r="B89" s="66" t="str">
        <x:v>模拟Tag/状态</x:v>
      </x:c>
      <x:c r="C89" s="66" t="str">
        <x:v>模拟轴/IO/设备</x:v>
      </x:c>
      <x:c r="D89" s="66" t="str">
        <x:v>替换输入Frame/模型结果</x:v>
      </x:c>
      <x:c r="E89" s="66" t="str">
        <x:v>模拟MES/Review</x:v>
      </x:c>
      <x:c r="F89" s="66" t="str">
        <x:v>Simulation Providers</x:v>
      </x:c>
      <x:c r="G89" s="66" t="str">
        <x:v>Run生产默认禁用</x:v>
      </x:c>
      <x:c r="H89" s="66" t="str">
        <x:v>安全</x:v>
      </x:c>
      <x:c r="I89" s="66"/>
    </x:row>
    <x:row r="90">
      <x:c r="A90" s="58" t="str">
        <x:v>Stop/Reset</x:v>
      </x:c>
      <x:c r="B90" s="58" t="str">
        <x:v>清Runtime layers</x:v>
      </x:c>
      <x:c r="C90" s="58" t="str">
        <x:v>取消+安全停止</x:v>
      </x:c>
      <x:c r="D90" s="58" t="str">
        <x:v>取消+释放Buffer/GPU资源</x:v>
      </x:c>
      <x:c r="E90" s="58" t="str">
        <x:v>取消+Checkpoint/资源释放</x:v>
      </x:c>
      <x:c r="F90" s="58" t="str">
        <x:v>DebugCoordinator</x:v>
      </x:c>
      <x:c r="G90" s="58" t="str">
        <x:v>幂等</x:v>
      </x:c>
      <x:c r="H90" s="58" t="str">
        <x:v>100次无泄漏</x:v>
      </x:c>
      <x:c r="I90" s="58"/>
    </x:row>
    <x:row r="91">
      <x:c r="A91"/>
      <x:c r="B91"/>
      <x:c r="C91"/>
      <x:c r="D91"/>
      <x:c r="E91"/>
      <x:c r="F91"/>
      <x:c r="G91"/>
      <x:c r="H91"/>
      <x:c r="I91"/>
    </x:row>
    <x:row r="92" ht="24" customHeight="1">
      <x:c r="A92" s="40" t="str">
        <x:v>C. 数据源模式</x:v>
      </x:c>
      <x:c r="B92" s="40"/>
      <x:c r="C92" s="40"/>
      <x:c r="D92" s="40"/>
      <x:c r="E92" s="40"/>
      <x:c r="F92" s="40"/>
      <x:c r="G92" s="40"/>
      <x:c r="H92" s="40"/>
      <x:c r="I92" s="40"/>
    </x:row>
    <x:row r="93" ht="28" customHeight="1">
      <x:c r="A93" s="50" t="str">
        <x:v>模式</x:v>
      </x:c>
      <x:c r="B93" s="50" t="str">
        <x:v>数据来源</x:v>
      </x:c>
      <x:c r="C93" s="50" t="str">
        <x:v>允许真实设备</x:v>
      </x:c>
      <x:c r="D93" s="50" t="str">
        <x:v>允许真实写</x:v>
      </x:c>
      <x:c r="E93" s="50" t="str">
        <x:v>用途</x:v>
      </x:c>
      <x:c r="F93" s="50" t="str">
        <x:v>风险控制</x:v>
      </x:c>
      <x:c r="G93" s="50" t="str">
        <x:v>典型场景</x:v>
      </x:c>
      <x:c r="H93" s="50"/>
      <x:c r="I93" s="50"/>
    </x:row>
    <x:row r="94">
      <x:c r="A94" s="66" t="str">
        <x:v>Simulation</x:v>
      </x:c>
      <x:c r="B94" s="66" t="str">
        <x:v>SimulationVariable/Motion/Vision/Device providers</x:v>
      </x:c>
      <x:c r="C94" s="66" t="str">
        <x:v>否或虚拟设备</x:v>
      </x:c>
      <x:c r="D94" s="66" t="str">
        <x:v>否</x:v>
      </x:c>
      <x:c r="E94" s="66" t="str">
        <x:v>离线开发/自动测试</x:v>
      </x:c>
      <x:c r="F94" s="66" t="str">
        <x:v>确定性seed/场景</x:v>
      </x:c>
      <x:c r="G94" s="66" t="str">
        <x:v>工程站</x:v>
      </x:c>
      <x:c r="H94" s="66"/>
      <x:c r="I94" s="66"/>
    </x:row>
    <x:row r="95">
      <x:c r="A95" s="58" t="str">
        <x:v>Live ReadOnly</x:v>
      </x:c>
      <x:c r="B95" s="58" t="str">
        <x:v>真实Provider</x:v>
      </x:c>
      <x:c r="C95" s="58" t="str">
        <x:v>是</x:v>
      </x:c>
      <x:c r="D95" s="58" t="str">
        <x:v>否</x:v>
      </x:c>
      <x:c r="E95" s="58" t="str">
        <x:v>现场观察/诊断</x:v>
      </x:c>
      <x:c r="F95" s="58" t="str">
        <x:v>全写入口锁定</x:v>
      </x:c>
      <x:c r="G95" s="58" t="str">
        <x:v>问题复现</x:v>
      </x:c>
      <x:c r="H95" s="58"/>
      <x:c r="I95" s="58"/>
    </x:row>
    <x:row r="96">
      <x:c r="A96" s="66" t="str">
        <x:v>Live Controlled</x:v>
      </x:c>
      <x:c r="B96" s="66" t="str">
        <x:v>真实Provider</x:v>
      </x:c>
      <x:c r="C96" s="66" t="str">
        <x:v>是</x:v>
      </x:c>
      <x:c r="D96" s="66" t="str">
        <x:v>显式开启+权限</x:v>
      </x:c>
      <x:c r="E96" s="66" t="str">
        <x:v>集成调试</x:v>
      </x:c>
      <x:c r="F96" s="66" t="str">
        <x:v>RealWriteEnabled/Interlock/Audit</x:v>
      </x:c>
      <x:c r="G96" s="66" t="str">
        <x:v>联机调试</x:v>
      </x:c>
      <x:c r="H96" s="66"/>
      <x:c r="I96" s="66"/>
    </x:row>
    <x:row r="97">
      <x:c r="A97" s="58" t="str">
        <x:v>Replay</x:v>
      </x:c>
      <x:c r="B97" s="58" t="str">
        <x:v>历史Tag/Frame/Task/Trace</x:v>
      </x:c>
      <x:c r="C97" s="58" t="str">
        <x:v>否</x:v>
      </x:c>
      <x:c r="D97" s="58" t="str">
        <x:v>否</x:v>
      </x:c>
      <x:c r="E97" s="58" t="str">
        <x:v>离线复现/算法回归</x:v>
      </x:c>
      <x:c r="F97" s="58" t="str">
        <x:v>版本Manifest固定</x:v>
      </x:c>
      <x:c r="G97" s="58" t="str">
        <x:v>现场问题回放</x:v>
      </x:c>
      <x:c r="H97" s="58"/>
      <x:c r="I97" s="58"/>
    </x:row>
    <x:row r="98">
      <x:c r="A98"/>
      <x:c r="B98"/>
      <x:c r="C98"/>
      <x:c r="D98"/>
      <x:c r="E98"/>
      <x:c r="F98"/>
      <x:c r="G98"/>
      <x:c r="H98"/>
      <x:c r="I98"/>
    </x:row>
    <x:row r="99" ht="24" customHeight="1">
      <x:c r="A99" s="40" t="str">
        <x:v>D. Debug UI 工具窗</x:v>
      </x:c>
      <x:c r="B99" s="40"/>
      <x:c r="C99" s="40"/>
      <x:c r="D99" s="40"/>
      <x:c r="E99" s="40"/>
      <x:c r="F99" s="40"/>
      <x:c r="G99" s="40"/>
      <x:c r="H99" s="40"/>
      <x:c r="I99" s="40"/>
    </x:row>
    <x:row r="100" ht="28" customHeight="1">
      <x:c r="A100" s="50" t="str">
        <x:v>工具窗</x:v>
      </x:c>
      <x:c r="B100" s="50" t="str">
        <x:v>显示内容</x:v>
      </x:c>
      <x:c r="C100" s="50" t="str">
        <x:v>定位能力</x:v>
      </x:c>
      <x:c r="D100" s="50" t="str">
        <x:v>过滤/搜索</x:v>
      </x:c>
      <x:c r="E100" s="50" t="str">
        <x:v>跨域关联</x:v>
      </x:c>
      <x:c r="F100" s="50" t="str">
        <x:v>性能策略</x:v>
      </x:c>
      <x:c r="G100" s="50" t="str">
        <x:v>Run模式</x:v>
      </x:c>
      <x:c r="H100" s="50" t="str">
        <x:v>备注</x:v>
      </x:c>
      <x:c r="I100" s="50"/>
    </x:row>
    <x:row r="101">
      <x:c r="A101" s="66" t="str">
        <x:v>Watch</x:v>
      </x:c>
      <x:c r="B101" s="66" t="str">
        <x:v>Tag/ResolvedProperty/Context/NodePort</x:v>
      </x:c>
      <x:c r="C101" s="66" t="str">
        <x:v>双击对象/节点</x:v>
      </x:c>
      <x:c r="D101" s="66" t="str">
        <x:v>表达式/名称</x:v>
      </x:c>
      <x:c r="E101" s="66" t="str">
        <x:v>CorrelationId</x:v>
      </x:c>
      <x:c r="F101" s="66" t="str">
        <x:v>刷新限频</x:v>
      </x:c>
      <x:c r="G101" s="66" t="str">
        <x:v>只读</x:v>
      </x:c>
      <x:c r="H101" s="66"/>
      <x:c r="I101" s="66"/>
    </x:row>
    <x:row r="102">
      <x:c r="A102" s="58" t="str">
        <x:v>Trace</x:v>
      </x:c>
      <x:c r="B102" s="58" t="str">
        <x:v>Action/Node/Device/Binding事件</x:v>
      </x:c>
      <x:c r="C102" s="58" t="str">
        <x:v>定位Source</x:v>
      </x:c>
      <x:c r="D102" s="58" t="str">
        <x:v>Code/Module/Duration</x:v>
      </x:c>
      <x:c r="E102" s="58" t="str">
        <x:v>同一Task串联</x:v>
      </x:c>
      <x:c r="F102" s="58" t="str">
        <x:v>RingBuffer+采样</x:v>
      </x:c>
      <x:c r="G102" s="58" t="str">
        <x:v>可保留关键</x:v>
      </x:c>
      <x:c r="H102" s="58"/>
      <x:c r="I102" s="58"/>
    </x:row>
    <x:row r="103">
      <x:c r="A103" s="66" t="str">
        <x:v>Timeline</x:v>
      </x:c>
      <x:c r="B103" s="66" t="str">
        <x:v>并行节点/设备/GPU/IO时间线</x:v>
      </x:c>
      <x:c r="C103" s="66" t="str">
        <x:v>定位慢节点</x:v>
      </x:c>
      <x:c r="D103" s="66" t="str">
        <x:v>Domain/Resource</x:v>
      </x:c>
      <x:c r="E103" s="66" t="str">
        <x:v>Task/Run</x:v>
      </x:c>
      <x:c r="F103" s="66" t="str">
        <x:v>按窗口虚拟化</x:v>
      </x:c>
      <x:c r="G103" s="66" t="str">
        <x:v>诊断可开</x:v>
      </x:c>
      <x:c r="H103" s="66"/>
      <x:c r="I103" s="66"/>
    </x:row>
    <x:row r="104">
      <x:c r="A104" s="58" t="str">
        <x:v>Data Viewer</x:v>
      </x:c>
      <x:c r="B104" s="58" t="str">
        <x:v>Image/Region/Detection/Table/Scalar</x:v>
      </x:c>
      <x:c r="C104" s="58" t="str">
        <x:v>定位Port</x:v>
      </x:c>
      <x:c r="D104" s="58" t="str">
        <x:v>Type/Run</x:v>
      </x:c>
      <x:c r="E104" s="58" t="str">
        <x:v>Vision→Inspection</x:v>
      </x:c>
      <x:c r="F104" s="58" t="str">
        <x:v>大对象懒加载</x:v>
      </x:c>
      <x:c r="G104" s="58" t="str">
        <x:v>默认关闭</x:v>
      </x:c>
      <x:c r="H104" s="58"/>
      <x:c r="I104" s="58"/>
    </x:row>
    <x:row r="105">
      <x:c r="A105" s="66" t="str">
        <x:v>Call/Flow Stack</x:v>
      </x:c>
      <x:c r="B105" s="66" t="str">
        <x:v>SubFlow/SubGraph调用栈</x:v>
      </x:c>
      <x:c r="C105" s="66" t="str">
        <x:v>进入定义</x:v>
      </x:c>
      <x:c r="D105" s="66" t="str">
        <x:v>Target</x:v>
      </x:c>
      <x:c r="E105" s="66" t="str">
        <x:v>Motion/Vision/Inspection</x:v>
      </x:c>
      <x:c r="F105" s="66" t="str">
        <x:v>小</x:v>
      </x:c>
      <x:c r="G105" s="66" t="str">
        <x:v>调试用</x:v>
      </x:c>
      <x:c r="H105" s="66"/>
      <x:c r="I105" s="66"/>
    </x:row>
    <x:row r="106">
      <x:c r="A106" s="58" t="str">
        <x:v>Diagnostics</x:v>
      </x:c>
      <x:c r="B106" s="58" t="str">
        <x:v>Fatal/Warning/Quality/Resource/Security</x:v>
      </x:c>
      <x:c r="C106" s="58" t="str">
        <x:v>打开配置项</x:v>
      </x:c>
      <x:c r="D106" s="58" t="str">
        <x:v>Severity/Code/Object</x:v>
      </x:c>
      <x:c r="E106" s="58" t="str">
        <x:v>全平台</x:v>
      </x:c>
      <x:c r="F106" s="58" t="str">
        <x:v>有界</x:v>
      </x:c>
      <x:c r="G106" s="58" t="str">
        <x:v>运行可用</x:v>
      </x:c>
      <x:c r="H106" s="58" t="str">
        <x:v>核心</x:v>
      </x:c>
      <x:c r="I106" s="58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36" hidden="0" customWidth="1"/>
    <x:col min="4" max="4" width="34" hidden="0" customWidth="1"/>
    <x:col min="5" max="5" width="32" hidden="0" customWidth="1"/>
    <x:col min="6" max="6" width="30" hidden="0" customWidth="1"/>
    <x:col min="7" max="7" width="28" hidden="0" customWidth="1"/>
    <x:col min="8" max="8" width="28" hidden="0" customWidth="1"/>
  </x:cols>
  <x:sheetData>
    <x:row r="1" ht="30" customHeight="1">
      <x:c r="A1" s="8" t="str">
        <x:v>Graph 集成 / Adapter / Worker / Resource Management</x:v>
      </x:c>
      <x:c r="B1" s="8"/>
      <x:c r="C1" s="8"/>
      <x:c r="D1" s="8"/>
      <x:c r="E1" s="8"/>
      <x:c r="F1" s="8"/>
      <x:c r="G1" s="8"/>
      <x:c r="H1" s="8"/>
    </x:row>
    <x:row r="2" ht="38" customHeight="1">
      <x:c r="A2" s="16" t="str">
        <x:v>统一设备、Vendor SDK、Native Worker、外部系统的防腐层与资源调度模型，防止Domain Node直接依赖第三方对象。</x:v>
      </x:c>
      <x:c r="B2" s="16"/>
      <x:c r="C2" s="16"/>
      <x:c r="D2" s="16"/>
      <x:c r="E2" s="16"/>
      <x:c r="F2" s="16"/>
      <x:c r="G2" s="16"/>
      <x:c r="H2" s="16"/>
    </x:row>
    <x:row r="3">
      <x:c r="A3" s="30" t="str">
        <x:v>本页唯一权威</x:v>
      </x:c>
      <x:c r="B3" s="31" t="str">
        <x:v>Provider/Adapter/Capability/Error mapping、ResourceDefinition/Requirement/Lease、Robot/GPU/CT Worker/Station等资源并发规则。</x:v>
      </x:c>
      <x:c r="C3" s="31"/>
      <x:c r="D3" s="31"/>
      <x:c r="E3" s="31"/>
      <x:c r="F3" s="31"/>
      <x:c r="G3" s="31"/>
      <x:c r="H3" s="31"/>
    </x:row>
    <x:row r="4">
      <x:c r="A4" s="30" t="str">
        <x:v>不在本页维护</x:v>
      </x:c>
      <x:c r="B4" s="31" t="str">
        <x:v>具体厂商SDK字段、项目设备地址/点位；见44项目实例规格。</x:v>
      </x:c>
      <x:c r="C4" s="31"/>
      <x:c r="D4" s="31"/>
      <x:c r="E4" s="31"/>
      <x:c r="F4" s="31"/>
      <x:c r="G4" s="31"/>
      <x:c r="H4" s="31"/>
    </x:row>
    <x:row r="5">
      <x:c r="A5" s="30" t="str">
        <x:v>关联分页</x:v>
      </x:c>
      <x:c r="B5" s="31" t="str">
        <x:v>17_SCADA_ICS；18_RuntimeHost；23_GraphRuntime部署可靠性Agent；27_Motion；46_DeviceVariable闭环；47_运控硬件抽象体系。</x:v>
      </x:c>
      <x:c r="C5" s="31"/>
      <x:c r="D5" s="31"/>
      <x:c r="E5" s="31"/>
      <x:c r="F5" s="31"/>
      <x:c r="G5" s="31"/>
      <x:c r="H5" s="31"/>
    </x:row>
    <x:row r="6">
      <x:c r="A6"/>
      <x:c r="B6"/>
      <x:c r="C6"/>
      <x:c r="D6"/>
      <x:c r="E6"/>
      <x:c r="F6"/>
      <x:c r="G6"/>
      <x:c r="H6"/>
    </x:row>
    <x:row r="7" ht="24" customHeight="1">
      <x:c r="A7" s="40" t="str">
        <x:v>A. Integration 契约</x:v>
      </x:c>
      <x:c r="B7" s="40"/>
      <x:c r="C7" s="40"/>
      <x:c r="D7" s="40"/>
      <x:c r="E7" s="40"/>
      <x:c r="F7" s="40"/>
      <x:c r="G7" s="40"/>
      <x:c r="H7" s="40"/>
    </x:row>
    <x:row r="8" ht="28" customHeight="1">
      <x:c r="A8" s="50" t="str">
        <x:v>设备类别</x:v>
      </x:c>
      <x:c r="B8" s="50" t="str">
        <x:v>平台接口</x:v>
      </x:c>
      <x:c r="C8" s="50" t="str">
        <x:v>配置对象</x:v>
      </x:c>
      <x:c r="D8" s="50" t="str">
        <x:v>Runtime Handle</x:v>
      </x:c>
      <x:c r="E8" s="50" t="str">
        <x:v>典型Vendor实现</x:v>
      </x:c>
      <x:c r="F8" s="50" t="str">
        <x:v>状态模型</x:v>
      </x:c>
      <x:c r="G8" s="50" t="str">
        <x:v>错误模型</x:v>
      </x:c>
      <x:c r="H8" s="50"/>
    </x:row>
    <x:row r="9">
      <x:c r="A9" s="58" t="str">
        <x:v>PLC/变量</x:v>
      </x:c>
      <x:c r="B9" s="58" t="str">
        <x:v>IVariableProvider / IVariableWriter</x:v>
      </x:c>
      <x:c r="C9" s="58" t="str">
        <x:v>ConnectionProfile/VariableDefinitions</x:v>
      </x:c>
      <x:c r="D9" s="58" t="str">
        <x:v>ProviderSession</x:v>
      </x:c>
      <x:c r="E9" s="58" t="str">
        <x:v>现有变量池/OPC UA/Modbus等</x:v>
      </x:c>
      <x:c r="F9" s="58" t="str">
        <x:v>Connected/Quality/Latency</x:v>
      </x:c>
      <x:c r="G9" s="58" t="str">
        <x:v>ProviderDiagnostic</x:v>
      </x:c>
      <x:c r="H9" s="58"/>
    </x:row>
    <x:row r="10">
      <x:c r="A10" s="66" t="str">
        <x:v>Motion</x:v>
      </x:c>
      <x:c r="B10" s="66" t="str">
        <x:v>IMotionControllerProvider</x:v>
      </x:c>
      <x:c r="C10" s="66" t="str">
        <x:v>ControllerProfile/AxisDefinitions</x:v>
      </x:c>
      <x:c r="D10" s="66" t="str">
        <x:v>MotionControllerSession/AxisHandle</x:v>
      </x:c>
      <x:c r="E10" s="66" t="str">
        <x:v>运动卡/PLC/EtherCAT控制器</x:v>
      </x:c>
      <x:c r="F10" s="66" t="str">
        <x:v>Servo/Home/Moving/Alarm/Position</x:v>
      </x:c>
      <x:c r="G10" s="66" t="str">
        <x:v>MotionError</x:v>
      </x:c>
      <x:c r="H10" s="66"/>
    </x:row>
    <x:row r="11">
      <x:c r="A11" s="58" t="str">
        <x:v>IO</x:v>
      </x:c>
      <x:c r="B11" s="58" t="str">
        <x:v>IIoProvider</x:v>
      </x:c>
      <x:c r="C11" s="58" t="str">
        <x:v>IoModuleProfile/IoDefinitions</x:v>
      </x:c>
      <x:c r="D11" s="58" t="str">
        <x:v>IoSession</x:v>
      </x:c>
      <x:c r="E11" s="58" t="str">
        <x:v>PLC/IO卡</x:v>
      </x:c>
      <x:c r="F11" s="58" t="str">
        <x:v>Value/Quality</x:v>
      </x:c>
      <x:c r="G11" s="58" t="str">
        <x:v>IoError</x:v>
      </x:c>
      <x:c r="H11" s="58"/>
    </x:row>
    <x:row r="12">
      <x:c r="A12" s="66" t="str">
        <x:v>Camera</x:v>
      </x:c>
      <x:c r="B12" s="66" t="str">
        <x:v>ICameraProvider</x:v>
      </x:c>
      <x:c r="C12" s="66" t="str">
        <x:v>CameraProfile/Trigger/Exposure/Format</x:v>
      </x:c>
      <x:c r="D12" s="66" t="str">
        <x:v>CameraSession</x:v>
      </x:c>
      <x:c r="E12" s="66" t="str">
        <x:v>GigE/GenICam/厂商SDK</x:v>
      </x:c>
      <x:c r="F12" s="66" t="str">
        <x:v>Online/Grabbing/Fps/Temp</x:v>
      </x:c>
      <x:c r="G12" s="66" t="str">
        <x:v>CameraError</x:v>
      </x:c>
      <x:c r="H12" s="66"/>
    </x:row>
    <x:row r="13">
      <x:c r="A13" s="58" t="str">
        <x:v>X-Ray Source</x:v>
      </x:c>
      <x:c r="B13" s="58" t="str">
        <x:v>IXRaySourceProvider</x:v>
      </x:c>
      <x:c r="C13" s="58" t="str">
        <x:v>SourceProfile/kV/uA/Warmup</x:v>
      </x:c>
      <x:c r="D13" s="58" t="str">
        <x:v>XRaySession</x:v>
      </x:c>
      <x:c r="E13" s="58" t="str">
        <x:v>光源SDK/PLC接口</x:v>
      </x:c>
      <x:c r="F13" s="58" t="str">
        <x:v>On/Warmup/Fault/Interlock</x:v>
      </x:c>
      <x:c r="G13" s="58" t="str">
        <x:v>XRayError</x:v>
      </x:c>
      <x:c r="H13" s="58"/>
    </x:row>
    <x:row r="14">
      <x:c r="A14" s="66" t="str">
        <x:v>Detector</x:v>
      </x:c>
      <x:c r="B14" s="66" t="str">
        <x:v>IDetectorProvider</x:v>
      </x:c>
      <x:c r="C14" s="66" t="str">
        <x:v>DetectorProfile/Acquisition/Correction</x:v>
      </x:c>
      <x:c r="D14" s="66" t="str">
        <x:v>DetectorSession</x:v>
      </x:c>
      <x:c r="E14" s="66" t="str">
        <x:v>平板探测器SDK</x:v>
      </x:c>
      <x:c r="F14" s="66" t="str">
        <x:v>Online/Acquire/Fps/Temp</x:v>
      </x:c>
      <x:c r="G14" s="66" t="str">
        <x:v>DetectorError</x:v>
      </x:c>
      <x:c r="H14" s="66"/>
    </x:row>
    <x:row r="15">
      <x:c r="A15" s="58" t="str">
        <x:v>Vision Worker</x:v>
      </x:c>
      <x:c r="B15" s="58" t="str">
        <x:v>IVisionWorker</x:v>
      </x:c>
      <x:c r="C15" s="58" t="str">
        <x:v>WorkerProfile/GPU/Plugins</x:v>
      </x:c>
      <x:c r="D15" s="58" t="str">
        <x:v>WorkerSession</x:v>
      </x:c>
      <x:c r="E15" s="58" t="str">
        <x:v>本进程/子进程/远端GPU节点</x:v>
      </x:c>
      <x:c r="F15" s="58" t="str">
        <x:v>Ready/Busy/Memory/Models</x:v>
      </x:c>
      <x:c r="G15" s="58" t="str">
        <x:v>WorkerError</x:v>
      </x:c>
      <x:c r="H15" s="58"/>
    </x:row>
    <x:row r="16">
      <x:c r="A16" s="66" t="str">
        <x:v>MES/Host</x:v>
      </x:c>
      <x:c r="B16" s="66" t="str">
        <x:v>IMesGateway / IHostActionGateway</x:v>
      </x:c>
      <x:c r="C16" s="66" t="str">
        <x:v>Endpoint/Auth/Retry</x:v>
      </x:c>
      <x:c r="D16" s="66" t="str">
        <x:v>GatewaySession</x:v>
      </x:c>
      <x:c r="E16" s="66" t="str">
        <x:v>HTTP/TCP/数据库/现有系统</x:v>
      </x:c>
      <x:c r="F16" s="66" t="str">
        <x:v>Online/Queue</x:v>
      </x:c>
      <x:c r="G16" s="66" t="str">
        <x:v>GatewayError</x:v>
      </x:c>
      <x:c r="H16" s="66"/>
    </x:row>
    <x:row r="17">
      <x:c r="A17" s="58" t="str">
        <x:v>Historian/DB</x:v>
      </x:c>
      <x:c r="B17" s="58" t="str">
        <x:v>IHistoryStore / IResultStore</x:v>
      </x:c>
      <x:c r="C17" s="58" t="str">
        <x:v>StoreProfile/Retention</x:v>
      </x:c>
      <x:c r="D17" s="58" t="str">
        <x:v>StoreSession</x:v>
      </x:c>
      <x:c r="E17" s="58" t="str">
        <x:v>SQL/文件/时序库</x:v>
      </x:c>
      <x:c r="F17" s="58" t="str">
        <x:v>Online/Queue/Disk</x:v>
      </x:c>
      <x:c r="G17" s="58" t="str">
        <x:v>StoreError</x:v>
      </x:c>
      <x:c r="H17" s="58"/>
    </x:row>
    <x:row r="18">
      <x:c r="A18"/>
      <x:c r="B18"/>
      <x:c r="C18"/>
      <x:c r="D18"/>
      <x:c r="E18"/>
      <x:c r="F18"/>
      <x:c r="G18"/>
      <x:c r="H18"/>
    </x:row>
    <x:row r="19" ht="24" customHeight="1">
      <x:c r="A19" s="40" t="str">
        <x:v>B. 设备生命周期</x:v>
      </x:c>
      <x:c r="B19" s="40"/>
      <x:c r="C19" s="40"/>
      <x:c r="D19" s="40"/>
      <x:c r="E19" s="40"/>
      <x:c r="F19" s="40"/>
      <x:c r="G19" s="40"/>
      <x:c r="H19" s="40"/>
    </x:row>
    <x:row r="20" ht="28" customHeight="1">
      <x:c r="A20" s="50" t="str">
        <x:v>平台动作</x:v>
      </x:c>
      <x:c r="B20" s="50" t="str">
        <x:v>Provider动作</x:v>
      </x:c>
      <x:c r="C20" s="50" t="str">
        <x:v>Runtime可见状态</x:v>
      </x:c>
      <x:c r="D20" s="50" t="str">
        <x:v>失败策略</x:v>
      </x:c>
      <x:c r="E20" s="50" t="str">
        <x:v>诊断</x:v>
      </x:c>
      <x:c r="F20" s="50" t="str">
        <x:v>资源清理</x:v>
      </x:c>
      <x:c r="G20" s="50" t="str">
        <x:v>验收</x:v>
      </x:c>
      <x:c r="H20" s="50"/>
    </x:row>
    <x:row r="21">
      <x:c r="A21" s="66" t="str">
        <x:v>加载Profile/校验版本</x:v>
      </x:c>
      <x:c r="B21" s="66" t="str">
        <x:v>枚举/配置</x:v>
      </x:c>
      <x:c r="C21" s="66" t="str">
        <x:v>Configured</x:v>
      </x:c>
      <x:c r="D21" s="66" t="str">
        <x:v>配置错误阻止Run</x:v>
      </x:c>
      <x:c r="E21" s="66" t="str">
        <x:v>DriverVersion/Capabilities</x:v>
      </x:c>
      <x:c r="F21" s="66" t="str">
        <x:v>无连接</x:v>
      </x:c>
      <x:c r="G21" s="66" t="str">
        <x:v>配置可导出</x:v>
      </x:c>
      <x:c r="H21" s="66"/>
    </x:row>
    <x:row r="22">
      <x:c r="A22" s="58" t="str">
        <x:v>建立Session</x:v>
      </x:c>
      <x:c r="B22" s="58" t="str">
        <x:v>Open/Login/Init</x:v>
      </x:c>
      <x:c r="C22" s="58" t="str">
        <x:v>Connecting→Ready</x:v>
      </x:c>
      <x:c r="D22" s="58" t="str">
        <x:v>Backoff/FailFast</x:v>
      </x:c>
      <x:c r="E22" s="58" t="str">
        <x:v>Elapsed/ErrorCode</x:v>
      </x:c>
      <x:c r="F22" s="58" t="str">
        <x:v>失败Dispose</x:v>
      </x:c>
      <x:c r="G22" s="58" t="str">
        <x:v>反复连接稳定</x:v>
      </x:c>
      <x:c r="H22" s="58"/>
    </x:row>
    <x:row r="23">
      <x:c r="A23" s="66" t="str">
        <x:v>加载配方/模型/参数/校正</x:v>
      </x:c>
      <x:c r="B23" s="66" t="str">
        <x:v>Apply config</x:v>
      </x:c>
      <x:c r="C23" s="66" t="str">
        <x:v>Preparing→Ready</x:v>
      </x:c>
      <x:c r="D23" s="66" t="str">
        <x:v>Retry/降级</x:v>
      </x:c>
      <x:c r="E23" s="66" t="str">
        <x:v>AppliedRevision</x:v>
      </x:c>
      <x:c r="F23" s="66" t="str">
        <x:v>回滚参数可选</x:v>
      </x:c>
      <x:c r="G23" s="66" t="str">
        <x:v>版本一致</x:v>
      </x:c>
      <x:c r="H23" s="66"/>
    </x:row>
    <x:row r="24">
      <x:c r="A24" s="58" t="str">
        <x:v>设备命令/采集/运动</x:v>
      </x:c>
      <x:c r="B24" s="58" t="str">
        <x:v>Vendor call/event</x:v>
      </x:c>
      <x:c r="C24" s="58" t="str">
        <x:v>Busy/Running</x:v>
      </x:c>
      <x:c r="D24" s="58" t="str">
        <x:v>Timeout/Cancel</x:v>
      </x:c>
      <x:c r="E24" s="58" t="str">
        <x:v>CommandId/Latency</x:v>
      </x:c>
      <x:c r="F24" s="58" t="str">
        <x:v>释放buffer/handle</x:v>
      </x:c>
      <x:c r="G24" s="58" t="str">
        <x:v>命令可追踪</x:v>
      </x:c>
      <x:c r="H24" s="58"/>
    </x:row>
    <x:row r="25">
      <x:c r="A25" s="66" t="str">
        <x:v>捕获设备Fault/Disconnect</x:v>
      </x:c>
      <x:c r="B25" s="66" t="str">
        <x:v>Read error/reset</x:v>
      </x:c>
      <x:c r="C25" s="66" t="str">
        <x:v>Faulted/Offline</x:v>
      </x:c>
      <x:c r="D25" s="66" t="str">
        <x:v>隔离/重连/人工</x:v>
      </x:c>
      <x:c r="E25" s="66" t="str">
        <x:v>RootCause/LastGoodState</x:v>
      </x:c>
      <x:c r="F25" s="66" t="str">
        <x:v>阻止新Lease</x:v>
      </x:c>
      <x:c r="G25" s="66" t="str">
        <x:v>故障注入</x:v>
      </x:c>
      <x:c r="H25" s="66"/>
    </x:row>
    <x:row r="26">
      <x:c r="A26" s="58" t="str">
        <x:v>停止订阅/动作/缓冲</x:v>
      </x:c>
      <x:c r="B26" s="58" t="str">
        <x:v>Stop/Close</x:v>
      </x:c>
      <x:c r="C26" s="58" t="str">
        <x:v>Stopped</x:v>
      </x:c>
      <x:c r="D26" s="58" t="str">
        <x:v>幂等</x:v>
      </x:c>
      <x:c r="E26" s="58" t="str">
        <x:v>Leak counters</x:v>
      </x:c>
      <x:c r="F26" s="58" t="str">
        <x:v>完整Dispose</x:v>
      </x:c>
      <x:c r="G26" s="58" t="str">
        <x:v>100次循环</x:v>
      </x:c>
      <x:c r="H26" s="58"/>
    </x:row>
    <x:row r="27">
      <x:c r="A27"/>
      <x:c r="B27"/>
      <x:c r="C27"/>
      <x:c r="D27"/>
      <x:c r="E27"/>
      <x:c r="F27"/>
      <x:c r="G27"/>
      <x:c r="H27"/>
    </x:row>
    <x:row r="28" ht="24" customHeight="1">
      <x:c r="A28" s="40" t="str">
        <x:v>C. Resource Manager</x:v>
      </x:c>
      <x:c r="B28" s="40"/>
      <x:c r="C28" s="40"/>
      <x:c r="D28" s="40"/>
      <x:c r="E28" s="40"/>
      <x:c r="F28" s="40"/>
      <x:c r="G28" s="40"/>
      <x:c r="H28" s="40"/>
    </x:row>
    <x:row r="29" ht="28" customHeight="1">
      <x:c r="A29" s="50" t="str">
        <x:v>概念</x:v>
      </x:c>
      <x:c r="B29" s="50" t="str">
        <x:v>字段/规则</x:v>
      </x:c>
      <x:c r="C29" s="50" t="str">
        <x:v>典型资源</x:v>
      </x:c>
      <x:c r="D29" s="50" t="str">
        <x:v>获取策略</x:v>
      </x:c>
      <x:c r="E29" s="50" t="str">
        <x:v>释放策略</x:v>
      </x:c>
      <x:c r="F29" s="50" t="str">
        <x:v>冲突处理</x:v>
      </x:c>
      <x:c r="G29" s="50" t="str">
        <x:v>诊断</x:v>
      </x:c>
      <x:c r="H29" s="50"/>
    </x:row>
    <x:row r="30">
      <x:c r="A30" s="66" t="str">
        <x:v>ResourceDefinition</x:v>
      </x:c>
      <x:c r="B30" s="66" t="str">
        <x:v>ResourceId/Kind/Capabilities/Concurrency/OwnerScope</x:v>
      </x:c>
      <x:c r="C30" s="66" t="str">
        <x:v>Axis/Camera/XRay/GPU/Robot</x:v>
      </x:c>
      <x:c r="D30" s="66" t="str">
        <x:v>工程加载注册</x:v>
      </x:c>
      <x:c r="E30" s="66" t="str">
        <x:v>项目生命周期</x:v>
      </x:c>
      <x:c r="F30" s="66" t="str">
        <x:v>配置冲突阻止Run</x:v>
      </x:c>
      <x:c r="G30" s="66" t="str">
        <x:v>Resource catalog</x:v>
      </x:c>
      <x:c r="H30" s="66"/>
    </x:row>
    <x:row r="31">
      <x:c r="A31" s="58" t="str">
        <x:v>ResourceRequirement</x:v>
      </x:c>
      <x:c r="B31" s="58" t="str">
        <x:v>ResourceId或Capability Query + AccessMode</x:v>
      </x:c>
      <x:c r="C31" s="58" t="str">
        <x:v>某轴/任意GPU</x:v>
      </x:c>
      <x:c r="D31" s="58" t="str">
        <x:v>Compile时验证</x:v>
      </x:c>
      <x:c r="E31" s="58" t="str">
        <x:v>Node完成后或Graph级</x:v>
      </x:c>
      <x:c r="F31" s="58" t="str">
        <x:v>找不到/多解</x:v>
      </x:c>
      <x:c r="G31" s="58" t="str">
        <x:v>Requirement diagnostic</x:v>
      </x:c>
      <x:c r="H31" s="58"/>
    </x:row>
    <x:row r="32">
      <x:c r="A32" s="66" t="str">
        <x:v>ResourceLease</x:v>
      </x:c>
      <x:c r="B32" s="66" t="str">
        <x:v>LeaseId/Owner/Resource/Mode/AcquiredAt/Timeout</x:v>
      </x:c>
      <x:c r="C32" s="66" t="str">
        <x:v>独占轴/共享只读Tag</x:v>
      </x:c>
      <x:c r="D32" s="66" t="str">
        <x:v>按序获取/超时</x:v>
      </x:c>
      <x:c r="E32" s="66" t="str">
        <x:v>using/dispose语义</x:v>
      </x:c>
      <x:c r="F32" s="66" t="str">
        <x:v>等待/Fail</x:v>
      </x:c>
      <x:c r="G32" s="66" t="str">
        <x:v>Lease trace</x:v>
      </x:c>
      <x:c r="H32" s="66"/>
    </x:row>
    <x:row r="33">
      <x:c r="A33" s="58" t="str">
        <x:v>Concurrency</x:v>
      </x:c>
      <x:c r="B33" s="58" t="str">
        <x:v>Exclusive/SharedRead/Capacity(N)</x:v>
      </x:c>
      <x:c r="C33" s="58" t="str">
        <x:v>Axis exclusive/GPU capacity</x:v>
      </x:c>
      <x:c r="D33" s="58" t="str">
        <x:v>由Manager判定</x:v>
      </x:c>
      <x:c r="E33" s="58" t="str">
        <x:v>计数释放</x:v>
      </x:c>
      <x:c r="F33" s="58" t="str">
        <x:v>防过载</x:v>
      </x:c>
      <x:c r="G33" s="58" t="str">
        <x:v>Queue length</x:v>
      </x:c>
      <x:c r="H33" s="58"/>
    </x:row>
    <x:row r="34">
      <x:c r="A34" s="66" t="str">
        <x:v>Deadlock Avoidance</x:v>
      </x:c>
      <x:c r="B34" s="66" t="str">
        <x:v>统一排序/一次申请集合/禁止任意嵌套长期持锁</x:v>
      </x:c>
      <x:c r="C34" s="66" t="str">
        <x:v>多轴+相机</x:v>
      </x:c>
      <x:c r="D34" s="66" t="str">
        <x:v>Compile/Runtime策略</x:v>
      </x:c>
      <x:c r="E34" s="66" t="str">
        <x:v>异常强制释放</x:v>
      </x:c>
      <x:c r="F34" s="66" t="str">
        <x:v>超时+诊断</x:v>
      </x:c>
      <x:c r="G34" s="66" t="str">
        <x:v>Wait graph</x:v>
      </x:c>
      <x:c r="H34" s="66"/>
    </x:row>
    <x:row r="35">
      <x:c r="A35" s="58" t="str">
        <x:v>Priority/Preemption</x:v>
      </x:c>
      <x:c r="B35" s="58" t="str">
        <x:v>默认不抢占；必要域定义优先级</x:v>
      </x:c>
      <x:c r="C35" s="58" t="str">
        <x:v>报警/安全停止</x:v>
      </x:c>
      <x:c r="D35" s="58" t="str">
        <x:v>仅安全策略允许</x:v>
      </x:c>
      <x:c r="E35" s="58" t="str">
        <x:v>安全停止后释放</x:v>
      </x:c>
      <x:c r="F35" s="58" t="str">
        <x:v>被抢占节点失败/取消</x:v>
      </x:c>
      <x:c r="G35" s="58" t="str">
        <x:v>Preempt trace</x:v>
      </x:c>
      <x:c r="H35" s="58"/>
    </x:row>
    <x:row r="36">
      <x:c r="A36"/>
      <x:c r="B36"/>
      <x:c r="C36"/>
      <x:c r="D36"/>
      <x:c r="E36"/>
      <x:c r="F36"/>
      <x:c r="G36"/>
      <x:c r="H36"/>
    </x:row>
    <x:row r="37" ht="24" customHeight="1">
      <x:c r="A37" s="40" t="str">
        <x:v>D. Adapter 隔离原则</x:v>
      </x:c>
      <x:c r="B37" s="40"/>
      <x:c r="C37" s="40"/>
      <x:c r="D37" s="40"/>
      <x:c r="E37" s="40"/>
      <x:c r="F37" s="40"/>
      <x:c r="G37" s="40"/>
      <x:c r="H37" s="40"/>
    </x:row>
    <x:row r="38" ht="28" customHeight="1">
      <x:c r="A38" s="50" t="str">
        <x:v>规则</x:v>
      </x:c>
      <x:c r="B38" s="50" t="str">
        <x:v>正确做法</x:v>
      </x:c>
      <x:c r="C38" s="50" t="str">
        <x:v>错误做法</x:v>
      </x:c>
      <x:c r="D38" s="50" t="str">
        <x:v>原因</x:v>
      </x:c>
      <x:c r="E38" s="50" t="str">
        <x:v>测试</x:v>
      </x:c>
      <x:c r="F38" s="50" t="str">
        <x:v>版本策略</x:v>
      </x:c>
      <x:c r="G38" s="50" t="str">
        <x:v>部署</x:v>
      </x:c>
      <x:c r="H38" s="50" t="str">
        <x:v>备注</x:v>
      </x:c>
    </x:row>
    <x:row r="39">
      <x:c r="A39" s="66" t="str">
        <x:v>Vendor SDK不入Core</x:v>
      </x:c>
      <x:c r="B39" s="66" t="str">
        <x:v>Integration项目实现Adapter，Core只见接口/DTO</x:v>
      </x:c>
      <x:c r="C39" s="66" t="str">
        <x:v>Element/Node直接引用Vendor类型</x:v>
      </x:c>
      <x:c r="D39" s="66" t="str">
        <x:v>防绑定厂商</x:v>
      </x:c>
      <x:c r="E39" s="66" t="str">
        <x:v>Contract tests</x:v>
      </x:c>
      <x:c r="F39" s="66" t="str">
        <x:v>Adapter单独版本</x:v>
      </x:c>
      <x:c r="G39" s="66" t="str">
        <x:v>Runtime站</x:v>
      </x:c>
      <x:c r="H39" s="66" t="str">
        <x:v>强制</x:v>
      </x:c>
    </x:row>
    <x:row r="40">
      <x:c r="A40" s="58" t="str">
        <x:v>Native崩溃隔离</x:v>
      </x:c>
      <x:c r="B40" s="58" t="str">
        <x:v>高风险算法/相机/驱动可用Worker进程</x:v>
      </x:c>
      <x:c r="C40" s="58" t="str">
        <x:v>所有Native DLL加载主进程</x:v>
      </x:c>
      <x:c r="D40" s="58" t="str">
        <x:v>保护Runtime</x:v>
      </x:c>
      <x:c r="E40" s="58" t="str">
        <x:v>Worker crash test</x:v>
      </x:c>
      <x:c r="F40" s="58" t="str">
        <x:v>协议版本</x:v>
      </x:c>
      <x:c r="G40" s="58" t="str">
        <x:v>本机IPC优先</x:v>
      </x:c>
      <x:c r="H40" s="58" t="str">
        <x:v>按风险选择</x:v>
      </x:c>
    </x:row>
    <x:row r="41">
      <x:c r="A41" s="66" t="str">
        <x:v>Capabilities协商</x:v>
      </x:c>
      <x:c r="B41" s="66" t="str">
        <x:v>Provider返回可用命令/特性</x:v>
      </x:c>
      <x:c r="C41" s="66" t="str">
        <x:v>代码按型号if/else散落</x:v>
      </x:c>
      <x:c r="D41" s="66" t="str">
        <x:v>支持不同设备代际</x:v>
      </x:c>
      <x:c r="E41" s="66" t="str">
        <x:v>Capability tests</x:v>
      </x:c>
      <x:c r="F41" s="66" t="str">
        <x:v>Profile+driver version</x:v>
      </x:c>
      <x:c r="G41" s="66" t="str">
        <x:v>启动握手</x:v>
      </x:c>
      <x:c r="H41" s="66"/>
    </x:row>
    <x:row r="42">
      <x:c r="A42" s="58" t="str">
        <x:v>错误标准化</x:v>
      </x:c>
      <x:c r="B42" s="58" t="str">
        <x:v>Vendor code→PlatformError(Category/Code/Recoverable)</x:v>
      </x:c>
      <x:c r="C42" s="58" t="str">
        <x:v>直接把厂家字符串上抛</x:v>
      </x:c>
      <x:c r="D42" s="58" t="str">
        <x:v>流程策略可统一处理</x:v>
      </x:c>
      <x:c r="E42" s="58" t="str">
        <x:v>Error mapping tests</x:v>
      </x:c>
      <x:c r="F42" s="58" t="str">
        <x:v>映射表版本</x:v>
      </x:c>
      <x:c r="G42" s="58" t="str">
        <x:v>Integration</x:v>
      </x:c>
      <x:c r="H42" s="58"/>
    </x:row>
    <x:row r="43">
      <x:c r="A43"/>
      <x:c r="B43"/>
      <x:c r="C43"/>
      <x:c r="D43"/>
      <x:c r="E43"/>
      <x:c r="F43"/>
      <x:c r="G43"/>
      <x:c r="H43"/>
    </x:row>
    <x:row r="44">
      <x:c r="A44"/>
      <x:c r="B44"/>
      <x:c r="C44"/>
      <x:c r="D44"/>
      <x:c r="E44"/>
      <x:c r="F44"/>
      <x:c r="G44"/>
      <x:c r="H44"/>
    </x:row>
    <x:row r="45" ht="24" customHeight="1">
      <x:c r="A45" s="40" t="str">
        <x:v>E. V2.2 新增专业集成与资源</x:v>
      </x:c>
      <x:c r="B45" s="40"/>
      <x:c r="C45" s="40"/>
      <x:c r="D45" s="40"/>
      <x:c r="E45" s="40"/>
      <x:c r="F45" s="40"/>
      <x:c r="G45" s="40"/>
      <x:c r="H45" s="40"/>
    </x:row>
    <x:row r="46" ht="28" customHeight="1">
      <x:c r="A46" s="50" t="str">
        <x:v>类别</x:v>
      </x:c>
      <x:c r="B46" s="50" t="str">
        <x:v>平台接口/对象</x:v>
      </x:c>
      <x:c r="C46" s="50" t="str">
        <x:v>配置</x:v>
      </x:c>
      <x:c r="D46" s="50" t="str">
        <x:v>Runtime Handle</x:v>
      </x:c>
      <x:c r="E46" s="50" t="str">
        <x:v>资源模型</x:v>
      </x:c>
      <x:c r="F46" s="50" t="str">
        <x:v>状态/错误</x:v>
      </x:c>
      <x:c r="G46" s="50" t="str">
        <x:v>隔离</x:v>
      </x:c>
      <x:c r="H46" s="50"/>
    </x:row>
    <x:row r="47">
      <x:c r="A47" s="66" t="str">
        <x:v>Robot Controller</x:v>
      </x:c>
      <x:c r="B47" s="66" t="str">
        <x:v>IRobotControllerProvider/IRobotController</x:v>
      </x:c>
      <x:c r="C47" s="66" t="str">
        <x:v>RobotControllerProfile/RobotDefinition</x:v>
      </x:c>
      <x:c r="D47" s="66" t="str">
        <x:v>RobotControllerSession</x:v>
      </x:c>
      <x:c r="E47" s="66" t="str">
        <x:v>Robot/ExternalAxis/ToolDevice exclusive</x:v>
      </x:c>
      <x:c r="F47" s="66" t="str">
        <x:v>RobotState/RobotError</x:v>
      </x:c>
      <x:c r="G47" s="66" t="str">
        <x:v>Vendor Adapter；高风险可独立</x:v>
      </x:c>
      <x:c r="H47" s="66"/>
    </x:row>
    <x:row r="48">
      <x:c r="A48" s="58" t="str">
        <x:v>CT Reconstruction Worker</x:v>
      </x:c>
      <x:c r="B48" s="58" t="str">
        <x:v>IReconstructionExecutor/ICTWorkerClient</x:v>
      </x:c>
      <x:c r="C48" s="58" t="str">
        <x:v>CTWorkerProfile/GPU/TempStore/Plugins</x:v>
      </x:c>
      <x:c r="D48" s="58" t="str">
        <x:v>CTWorkerSession/ReconstructionJob</x:v>
      </x:c>
      <x:c r="E48" s="58" t="str">
        <x:v>GPU capacity/Worker slot/TempDisk budget</x:v>
      </x:c>
      <x:c r="F48" s="58" t="str">
        <x:v>WorkerHealth/CTError</x:v>
      </x:c>
      <x:c r="G48" s="58" t="str">
        <x:v>独立Worker强烈建议</x:v>
      </x:c>
      <x:c r="H48" s="58"/>
    </x:row>
    <x:row r="49">
      <x:c r="A49" s="66" t="str">
        <x:v>Volume/Artifact Store</x:v>
      </x:c>
      <x:c r="B49" s="66" t="str">
        <x:v>IVolumeStore/IArtifactStore</x:v>
      </x:c>
      <x:c r="C49" s="66" t="str">
        <x:v>StoreProfile/Retention/Chunk/Compression</x:v>
      </x:c>
      <x:c r="D49" s="66" t="str">
        <x:v>StoreSession</x:v>
      </x:c>
      <x:c r="E49" s="66" t="str">
        <x:v>Disk/Network bandwidth/Cache budget</x:v>
      </x:c>
      <x:c r="F49" s="66" t="str">
        <x:v>StoreHealth/StorageError</x:v>
      </x:c>
      <x:c r="G49" s="66" t="str">
        <x:v>可独立服务</x:v>
      </x:c>
      <x:c r="H49" s="66"/>
    </x:row>
    <x:row r="50">
      <x:c r="A50" s="58" t="str">
        <x:v>Station Agent</x:v>
      </x:c>
      <x:c r="B50" s="58" t="str">
        <x:v>IStationManagementAgent</x:v>
      </x:c>
      <x:c r="C50" s="58" t="str">
        <x:v>StationAgentProfile/Identity/AllowedCapabilities</x:v>
      </x:c>
      <x:c r="D50" s="58" t="str">
        <x:v>AgentSession</x:v>
      </x:c>
      <x:c r="E50" s="58" t="str">
        <x:v>Management job capacity/Artifact bandwidth</x:v>
      </x:c>
      <x:c r="F50" s="58" t="str">
        <x:v>AgentHealth/AgentError</x:v>
      </x:c>
      <x:c r="G50" s="58" t="str">
        <x:v>建议独立于Runtime</x:v>
      </x:c>
      <x:c r="H50" s="58"/>
    </x:row>
    <x:row r="51">
      <x:c r="A51" s="66" t="str">
        <x:v>Operations Center</x:v>
      </x:c>
      <x:c r="B51" s="66" t="str">
        <x:v>IOperationsGateway(站点侧可选)</x:v>
      </x:c>
      <x:c r="C51" s="66" t="str">
        <x:v>CenterEndpoint/Cert/Policy</x:v>
      </x:c>
      <x:c r="D51" s="66" t="str">
        <x:v>OpsConnectionSession</x:v>
      </x:c>
      <x:c r="E51" s="66" t="str">
        <x:v>Telemetry/remote/deploy channels</x:v>
      </x:c>
      <x:c r="F51" s="66" t="str">
        <x:v>OpsConnectionState</x:v>
      </x:c>
      <x:c r="G51" s="66" t="str">
        <x:v>网络管理面</x:v>
      </x:c>
      <x:c r="H51" s="66"/>
    </x:row>
    <x:row r="52">
      <x:c r="A52"/>
      <x:c r="B52"/>
      <x:c r="C52"/>
      <x:c r="D52"/>
      <x:c r="E52"/>
      <x:c r="F52"/>
      <x:c r="G52"/>
      <x:c r="H52"/>
    </x:row>
    <x:row r="53" ht="24" customHeight="1">
      <x:c r="A53" s="40" t="str">
        <x:v>F. 专业资源并发策略</x:v>
      </x:c>
      <x:c r="B53" s="40"/>
      <x:c r="C53" s="40"/>
      <x:c r="D53" s="40"/>
      <x:c r="E53" s="40"/>
      <x:c r="F53" s="40"/>
      <x:c r="G53" s="40"/>
      <x:c r="H53" s="40"/>
    </x:row>
    <x:row r="54" ht="28" customHeight="1">
      <x:c r="A54" s="50" t="str">
        <x:v>资源</x:v>
      </x:c>
      <x:c r="B54" s="50" t="str">
        <x:v>默认模式</x:v>
      </x:c>
      <x:c r="C54" s="50" t="str">
        <x:v>典型Owner</x:v>
      </x:c>
      <x:c r="D54" s="50" t="str">
        <x:v>容量</x:v>
      </x:c>
      <x:c r="E54" s="50" t="str">
        <x:v>竞争策略</x:v>
      </x:c>
      <x:c r="F54" s="50" t="str">
        <x:v>调试表现</x:v>
      </x:c>
      <x:c r="G54" s="50" t="str">
        <x:v>故障/释放</x:v>
      </x:c>
      <x:c r="H54" s="50" t="str">
        <x:v>门禁</x:v>
      </x:c>
    </x:row>
    <x:row r="55">
      <x:c r="A55" s="58" t="str">
        <x:v>Robot</x:v>
      </x:c>
      <x:c r="B55" s="58" t="str">
        <x:v>Exclusive</x:v>
      </x:c>
      <x:c r="C55" s="58" t="str">
        <x:v>Robot Program/Teach Session</x:v>
      </x:c>
      <x:c r="D55" s="58" t="str">
        <x:v>1</x:v>
      </x:c>
      <x:c r="E55" s="58" t="str">
        <x:v>Program与Jog/Teach互斥；外部轴一起申请</x:v>
      </x:c>
      <x:c r="F55" s="58" t="str">
        <x:v>Owner/Mode/Waiters</x:v>
      </x:c>
      <x:c r="G55" s="58" t="str">
        <x:v>失联按Target Policy释放/安全态</x:v>
      </x:c>
      <x:c r="H55" s="58" t="str">
        <x:v>Program占用时禁止Jog</x:v>
      </x:c>
    </x:row>
    <x:row r="56">
      <x:c r="A56" s="66" t="str">
        <x:v>GPU</x:v>
      </x:c>
      <x:c r="B56" s="66" t="str">
        <x:v>Capacity(N)/Budget</x:v>
      </x:c>
      <x:c r="C56" s="66" t="str">
        <x:v>Vision/CT Run/Viewer</x:v>
      </x:c>
      <x:c r="D56" s="66" t="str">
        <x:v>按显存/Worker配置</x:v>
      </x:c>
      <x:c r="E56" s="66" t="str">
        <x:v>队列/模型Cache/Viewer预算</x:v>
      </x:c>
      <x:c r="F56" s="66" t="str">
        <x:v>VRAM/Queue</x:v>
      </x:c>
      <x:c r="G56" s="66" t="str">
        <x:v>OOM失败/重启Worker按策略</x:v>
      </x:c>
      <x:c r="H56" s="66" t="str">
        <x:v>无私自CUDA context</x:v>
      </x:c>
    </x:row>
    <x:row r="57">
      <x:c r="A57" s="58" t="str">
        <x:v>CT Worker Slot</x:v>
      </x:c>
      <x:c r="B57" s="58" t="str">
        <x:v>Capacity(N)</x:v>
      </x:c>
      <x:c r="C57" s="58" t="str">
        <x:v>ReconstructionJob</x:v>
      </x:c>
      <x:c r="D57" s="58" t="str">
        <x:v>按GPU/CPU/内存</x:v>
      </x:c>
      <x:c r="E57" s="58" t="str">
        <x:v>有界Job队列</x:v>
      </x:c>
      <x:c r="F57" s="58" t="str">
        <x:v>Job queue/progress</x:v>
      </x:c>
      <x:c r="G57" s="58" t="str">
        <x:v>Job cancel/worker crash</x:v>
      </x:c>
      <x:c r="H57" s="58" t="str">
        <x:v>无无限Job排队</x:v>
      </x:c>
    </x:row>
    <x:row r="58">
      <x:c r="A58" s="66" t="str">
        <x:v>Temp Disk</x:v>
      </x:c>
      <x:c r="B58" s="66" t="str">
        <x:v>Budget</x:v>
      </x:c>
      <x:c r="C58" s="66" t="str">
        <x:v>CT Job/Artifact staging</x:v>
      </x:c>
      <x:c r="D58" s="66" t="str">
        <x:v>GB配额</x:v>
      </x:c>
      <x:c r="E58" s="66" t="str">
        <x:v>预检+保留阈值</x:v>
      </x:c>
      <x:c r="F58" s="66" t="str">
        <x:v>Used/Free/Job bytes</x:v>
      </x:c>
      <x:c r="G58" s="66" t="str">
        <x:v>清理Job目录/拒绝新任务</x:v>
      </x:c>
      <x:c r="H58" s="66" t="str">
        <x:v>磁盘满不拖垮Runtime</x:v>
      </x:c>
    </x:row>
    <x:row r="59">
      <x:c r="A59" s="58" t="str">
        <x:v>Station Maintenance</x:v>
      </x:c>
      <x:c r="B59" s="58" t="str">
        <x:v>Exclusive capability</x:v>
      </x:c>
      <x:c r="C59" s="58" t="str">
        <x:v>Remote Maintenance/Deployment</x:v>
      </x:c>
      <x:c r="D59" s="58" t="str">
        <x:v>1或策略</x:v>
      </x:c>
      <x:c r="E59" s="58" t="str">
        <x:v>Deployment/Restart/Debug Maintenance冲突管理</x:v>
      </x:c>
      <x:c r="F59" s="58" t="str">
        <x:v>Remote lease</x:v>
      </x:c>
      <x:c r="G59" s="58" t="str">
        <x:v>TTL/Agent restart</x:v>
      </x:c>
      <x:c r="H59" s="58" t="str">
        <x:v>远程维护操作可对账</x:v>
      </x:c>
    </x:row>
    <x:row r="61">
      <x:c r="A61" t="str">
        <x:v>G. 历史 Variable / Fieldbus Integration（V6.4归Automation.Drivers）</x:v>
      </x:c>
      <x:c r="B61"/>
      <x:c r="C61"/>
      <x:c r="D61"/>
      <x:c r="E61"/>
      <x:c r="F61"/>
      <x:c r="G61"/>
      <x:c r="H61"/>
    </x:row>
    <x:row r="62">
      <x:c r="A62" t="str">
        <x:v>契约/模块</x:v>
      </x:c>
      <x:c r="B62" t="str">
        <x:v>定位</x:v>
      </x:c>
      <x:c r="C62" t="str">
        <x:v>关键能力</x:v>
      </x:c>
      <x:c r="D62" t="str">
        <x:v>使用方</x:v>
      </x:c>
      <x:c r="E62" t="str">
        <x:v>DesignRef</x:v>
      </x:c>
      <x:c r="F62"/>
      <x:c r="G62"/>
      <x:c r="H62"/>
    </x:row>
    <x:row r="63">
      <x:c r="A63" t="str">
        <x:v>IVariableProvider</x:v>
      </x:c>
      <x:c r="B63" t="str">
        <x:v>变量Integration入口</x:v>
      </x:c>
      <x:c r="C63" t="str">
        <x:v>Catalog/Metadata/Read/Subscribe/Write/Diagnostics</x:v>
      </x:c>
      <x:c r="D63" t="str">
        <x:v>SCADA/Binding/Graph共用</x:v>
      </x:c>
      <x:c r="E63" t="str">
        <x:v>46</x:v>
      </x:c>
      <x:c r="F63"/>
      <x:c r="G63"/>
      <x:c r="H63"/>
    </x:row>
    <x:row r="64">
      <x:c r="A64" t="str">
        <x:v>DeviceVariableProvider</x:v>
      </x:c>
      <x:c r="B64" t="str">
        <x:v>Legacy ACL Adapter</x:v>
      </x:c>
      <x:c r="C64" t="str">
        <x:v>DeviceVariable/VariableManager→IVariableProvider</x:v>
      </x:c>
      <x:c r="D64" t="str">
        <x:v>现有底层不改上层契约</x:v>
      </x:c>
      <x:c r="E64" t="str">
        <x:v>46</x:v>
      </x:c>
      <x:c r="F64"/>
      <x:c r="G64"/>
      <x:c r="H64"/>
    </x:row>
    <x:row r="65">
      <x:c r="A65" t="str">
        <x:v>IFieldbusMaster</x:v>
      </x:c>
      <x:c r="B65" t="str">
        <x:v>总线能力</x:v>
      </x:c>
      <x:c r="C65" t="str">
        <x:v>Scan/Topology/State/Diagnostics/Cycle capabilities</x:v>
      </x:c>
      <x:c r="D65" t="str">
        <x:v>Motion Integration</x:v>
      </x:c>
      <x:c r="E65" t="str">
        <x:v>47</x:v>
      </x:c>
      <x:c r="F65"/>
      <x:c r="G65"/>
      <x:c r="H65"/>
    </x:row>
    <x:row r="66">
      <x:c r="A66" t="str">
        <x:v>IFieldbusDevice</x:v>
      </x:c>
      <x:c r="B66" t="str">
        <x:v>从站能力</x:v>
      </x:c>
      <x:c r="C66" t="str">
        <x:v>Identity/State/Diagnostics/ProcessData capability</x:v>
      </x:c>
      <x:c r="D66" t="str">
        <x:v>Motion Integration</x:v>
      </x:c>
      <x:c r="E66" t="str">
        <x:v>47</x:v>
      </x:c>
      <x:c r="F66"/>
      <x:c r="G66"/>
      <x:c r="H66"/>
    </x:row>
    <x:row r="67">
      <x:c r="A67" t="str">
        <x:v>Device Registry</x:v>
      </x:c>
      <x:c r="B67" t="str">
        <x:v>硬件注册/Ownership</x:v>
      </x:c>
      <x:c r="C67" t="str">
        <x:v>Provider/Controller拥有对象；按DeviceId/ResourceId注册</x:v>
      </x:c>
      <x:c r="D67" t="str">
        <x:v>Runtime/ResourceManager</x:v>
      </x:c>
      <x:c r="E67" t="str">
        <x:v>47</x:v>
      </x:c>
      <x:c r="F67"/>
      <x:c r="G67"/>
      <x:c r="H67"/>
    </x:row>
    <x:row r="68">
      <x:c r="A68" t="str">
        <x:v>Provider Registry</x:v>
      </x:c>
      <x:c r="B68" t="str">
        <x:v>按ProviderId/Profile创建Adapter</x:v>
      </x:c>
      <x:c r="C68" t="str">
        <x:v>Variable/Industrial Device Provider统一发现方式但不混用业务接口</x:v>
      </x:c>
      <x:c r="D68" t="str">
        <x:v>Plugin/Integration</x:v>
      </x:c>
      <x:c r="E68" t="str">
        <x:v>46/47</x:v>
      </x:c>
      <x:c r="F68"/>
      <x:c r="G68"/>
      <x:c r="H68"/>
    </x:row>
    <x:row r="69">
      <x:c r="A69" t="str">
        <x:v>Adapter boundary</x:v>
      </x:c>
      <x:c r="B69" t="str">
        <x:v>Vendor类型禁入Core/Studio/Graph</x:v>
      </x:c>
      <x:c r="C69" t="str">
        <x:v>SDK对象只存在Integration/Worker内部</x:v>
      </x:c>
      <x:c r="D69" t="str">
        <x:v>Architecture test</x:v>
      </x:c>
      <x:c r="E69" t="str">
        <x:v>46/47</x:v>
      </x:c>
      <x:c r="F69"/>
      <x:c r="G69"/>
      <x:c r="H69"/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36" hidden="0" customWidth="1"/>
    <x:col min="4" max="4" width="34" hidden="0" customWidth="1"/>
    <x:col min="5" max="5" width="32" hidden="0" customWidth="1"/>
    <x:col min="6" max="6" width="30" hidden="0" customWidth="1"/>
    <x:col min="7" max="7" width="28" hidden="0" customWidth="1"/>
    <x:col min="8" max="8" width="28" hidden="0" customWidth="1"/>
  </x:cols>
  <x:sheetData>
    <x:row r="1" ht="30" customHeight="1">
      <x:c r="A1" s="8" t="str">
        <x:v>Graph Runtime 部署 / 可靠性 / Station Agent</x:v>
      </x:c>
      <x:c r="B1" s="8"/>
      <x:c r="C1" s="8"/>
      <x:c r="D1" s="8"/>
      <x:c r="E1" s="8"/>
      <x:c r="F1" s="8"/>
      <x:c r="G1" s="8"/>
      <x:c r="H1" s="8"/>
    </x:row>
    <x:row r="2" ht="38" customHeight="1">
      <x:c r="A2" s="16" t="str">
        <x:v>定义Runtime Host、Worker Supervisor、Watchdog、Deployment、Station Agent、网络分区与本地自治，保证软件从开发机走到长期生产现场。</x:v>
      </x:c>
      <x:c r="B2" s="16"/>
      <x:c r="C2" s="16"/>
      <x:c r="D2" s="16"/>
      <x:c r="E2" s="16"/>
      <x:c r="F2" s="16"/>
      <x:c r="G2" s="16"/>
      <x:c r="H2" s="16"/>
    </x:row>
    <x:row r="3">
      <x:c r="A3" s="30" t="str">
        <x:v>本页唯一权威</x:v>
      </x:c>
      <x:c r="B3" s="31" t="str">
        <x:v>进程拓扑、故障隔离、发布/回滚、Health、Agent、中心离线自治与Unknown状态对账。</x:v>
      </x:c>
      <x:c r="C3" s="31"/>
      <x:c r="D3" s="31"/>
      <x:c r="E3" s="31"/>
      <x:c r="F3" s="31"/>
      <x:c r="G3" s="31"/>
      <x:c r="H3" s="31"/>
    </x:row>
    <x:row r="4">
      <x:c r="A4" s="30" t="str">
        <x:v>不在本页维护</x:v>
      </x:c>
      <x:c r="B4" s="31" t="str">
        <x:v>Domain内部执行逻辑、Operations业务看板与Fleet策略。</x:v>
      </x:c>
      <x:c r="C4" s="31"/>
      <x:c r="D4" s="31"/>
      <x:c r="E4" s="31"/>
      <x:c r="F4" s="31"/>
      <x:c r="G4" s="31"/>
      <x:c r="H4" s="31"/>
    </x:row>
    <x:row r="5">
      <x:c r="A5" s="30" t="str">
        <x:v>关联分页</x:v>
      </x:c>
      <x:c r="B5" s="31" t="str">
        <x:v>18_RuntimeHost与Domain宿主；38_Operations完整开发蓝图；39_RemoteEngineering。</x:v>
      </x:c>
      <x:c r="C5" s="31"/>
      <x:c r="D5" s="31"/>
      <x:c r="E5" s="31"/>
      <x:c r="F5" s="31"/>
      <x:c r="G5" s="31"/>
      <x:c r="H5" s="31"/>
    </x:row>
    <x:row r="6">
      <x:c r="A6"/>
      <x:c r="B6"/>
      <x:c r="C6"/>
      <x:c r="D6"/>
      <x:c r="E6"/>
      <x:c r="F6"/>
      <x:c r="G6"/>
      <x:c r="H6"/>
    </x:row>
    <x:row r="7" ht="24" customHeight="1">
      <x:c r="A7" s="40" t="str">
        <x:v>A. 推荐部署角色</x:v>
      </x:c>
      <x:c r="B7" s="40"/>
      <x:c r="C7" s="40"/>
      <x:c r="D7" s="40"/>
      <x:c r="E7" s="40"/>
      <x:c r="F7" s="40"/>
      <x:c r="G7" s="40"/>
      <x:c r="H7" s="40"/>
    </x:row>
    <x:row r="8" ht="28" customHeight="1">
      <x:c r="A8" s="50" t="str">
        <x:v>角色</x:v>
      </x:c>
      <x:c r="B8" s="50" t="str">
        <x:v>主要进程/模块</x:v>
      </x:c>
      <x:c r="C8" s="50" t="str">
        <x:v>职责</x:v>
      </x:c>
      <x:c r="D8" s="50" t="str">
        <x:v>是否必须独立</x:v>
      </x:c>
      <x:c r="E8" s="50" t="str">
        <x:v>通信</x:v>
      </x:c>
      <x:c r="F8" s="50" t="str">
        <x:v>故障影响</x:v>
      </x:c>
      <x:c r="G8" s="50" t="str">
        <x:v>升级策略</x:v>
      </x:c>
      <x:c r="H8" s="50"/>
    </x:row>
    <x:row r="9">
      <x:c r="A9" s="58" t="str">
        <x:v>Engineering Station</x:v>
      </x:c>
      <x:c r="B9" s="58" t="str">
        <x:v>CxVisual Studio</x:v>
      </x:c>
      <x:c r="C9" s="58" t="str">
        <x:v>设计/调试/验证/发布</x:v>
      </x:c>
      <x:c r="D9" s="58" t="str">
        <x:v>是（工程环境）</x:v>
      </x:c>
      <x:c r="E9" s="58" t="str">
        <x:v>文件/安全管理接口</x:v>
      </x:c>
      <x:c r="F9" s="58" t="str">
        <x:v>不影响生产Runtime</x:v>
      </x:c>
      <x:c r="G9" s="58" t="str">
        <x:v>独立升级</x:v>
      </x:c>
      <x:c r="H9" s="58"/>
    </x:row>
    <x:row r="10">
      <x:c r="A10" s="66" t="str">
        <x:v>Runtime Station</x:v>
      </x:c>
      <x:c r="B10" s="66" t="str">
        <x:v>CxVisual.Runtime.Host</x:v>
      </x:c>
      <x:c r="C10" s="66" t="str">
        <x:v>Visual/SCADA/Inspection主Runtime与Host</x:v>
      </x:c>
      <x:c r="D10" s="66" t="str">
        <x:v>生产建议独立</x:v>
      </x:c>
      <x:c r="E10" s="66" t="str">
        <x:v>本机模块/IPC/设备网</x:v>
      </x:c>
      <x:c r="F10" s="66" t="str">
        <x:v>核心运行</x:v>
      </x:c>
      <x:c r="G10" s="66" t="str">
        <x:v>Release切换/回滚</x:v>
      </x:c>
      <x:c r="H10" s="66"/>
    </x:row>
    <x:row r="11">
      <x:c r="A11" s="58" t="str">
        <x:v>Motion Controller</x:v>
      </x:c>
      <x:c r="B11" s="58" t="str">
        <x:v>PLC/运动控制器/IPC专控</x:v>
      </x:c>
      <x:c r="C11" s="58" t="str">
        <x:v>硬实时运动/IO/安全逻辑</x:v>
      </x:c>
      <x:c r="D11" s="58" t="str">
        <x:v>外部设备</x:v>
      </x:c>
      <x:c r="E11" s="58" t="str">
        <x:v>现场总线/协议</x:v>
      </x:c>
      <x:c r="F11" s="58" t="str">
        <x:v>运动能力受影响</x:v>
      </x:c>
      <x:c r="G11" s="58" t="str">
        <x:v>设备固件/程序管理</x:v>
      </x:c>
      <x:c r="H11" s="58"/>
    </x:row>
    <x:row r="12">
      <x:c r="A12" s="66" t="str">
        <x:v>Vision Worker</x:v>
      </x:c>
      <x:c r="B12" s="66" t="str">
        <x:v>CxVisual.Vision.Worker</x:v>
      </x:c>
      <x:c r="C12" s="66" t="str">
        <x:v>GPU/Native算法执行</x:v>
      </x:c>
      <x:c r="D12" s="66" t="str">
        <x:v>按风险/负载可独立</x:v>
      </x:c>
      <x:c r="E12" s="66" t="str">
        <x:v>本机IPC/共享内存</x:v>
      </x:c>
      <x:c r="F12" s="66" t="str">
        <x:v>算法任务受影响，主Runtime可保持</x:v>
      </x:c>
      <x:c r="G12" s="66" t="str">
        <x:v>独立包/插件模型</x:v>
      </x:c>
      <x:c r="H12" s="66"/>
    </x:row>
    <x:row r="13">
      <x:c r="A13" s="58" t="str">
        <x:v>History/Result Store</x:v>
      </x:c>
      <x:c r="B13" s="58" t="str">
        <x:v>History/Result服务</x:v>
      </x:c>
      <x:c r="C13" s="58" t="str">
        <x:v>历史/结果/Artifact存储</x:v>
      </x:c>
      <x:c r="D13" s="58" t="str">
        <x:v>可同机或服务器</x:v>
      </x:c>
      <x:c r="E13" s="58" t="str">
        <x:v>DB/File/API</x:v>
      </x:c>
      <x:c r="F13" s="58" t="str">
        <x:v>历史/报表受影响</x:v>
      </x:c>
      <x:c r="G13" s="58" t="str">
        <x:v>数据迁移</x:v>
      </x:c>
      <x:c r="H13" s="58"/>
    </x:row>
    <x:row r="14">
      <x:c r="A14" s="66" t="str">
        <x:v>Deployment Service</x:v>
      </x:c>
      <x:c r="B14" s="66" t="str">
        <x:v>发布/设备版本管理</x:v>
      </x:c>
      <x:c r="C14" s="66" t="str">
        <x:v>上传/验证/切换/回滚</x:v>
      </x:c>
      <x:c r="D14" s="66" t="str">
        <x:v>多机时建议独立</x:v>
      </x:c>
      <x:c r="E14" s="66" t="str">
        <x:v>安全管理网</x:v>
      </x:c>
      <x:c r="F14" s="66" t="str">
        <x:v>不影响已运行版本</x:v>
      </x:c>
      <x:c r="G14" s="66" t="str">
        <x:v>服务独立升级</x:v>
      </x:c>
      <x:c r="H14" s="66"/>
    </x:row>
    <x:row r="15">
      <x:c r="A15" s="58" t="str">
        <x:v>Remote Viewer</x:v>
      </x:c>
      <x:c r="B15" s="58" t="str">
        <x:v>只读运维/远程判定客户端</x:v>
      </x:c>
      <x:c r="C15" s="58" t="str">
        <x:v>状态/报警/结果查看/受控复判</x:v>
      </x:c>
      <x:c r="D15" s="58" t="str">
        <x:v>可选</x:v>
      </x:c>
      <x:c r="E15" s="58" t="str">
        <x:v>API</x:v>
      </x:c>
      <x:c r="F15" s="58" t="str">
        <x:v>不影响Runtime</x:v>
      </x:c>
      <x:c r="G15" s="58" t="str">
        <x:v>独立</x:v>
      </x:c>
      <x:c r="H15" s="58"/>
    </x:row>
    <x:row r="16">
      <x:c r="A16"/>
      <x:c r="B16"/>
      <x:c r="C16"/>
      <x:c r="D16"/>
      <x:c r="E16"/>
      <x:c r="F16"/>
      <x:c r="G16"/>
      <x:c r="H16"/>
    </x:row>
    <x:row r="17" ht="24" customHeight="1">
      <x:c r="A17" s="40" t="str">
        <x:v>B. Runtime Profile</x:v>
      </x:c>
      <x:c r="B17" s="40"/>
      <x:c r="C17" s="40"/>
      <x:c r="D17" s="40"/>
      <x:c r="E17" s="40"/>
      <x:c r="F17" s="40"/>
      <x:c r="G17" s="40"/>
      <x:c r="H17" s="40"/>
    </x:row>
    <x:row r="18" ht="28" customHeight="1">
      <x:c r="A18" s="50" t="str">
        <x:v>配置</x:v>
      </x:c>
      <x:c r="B18" s="50" t="str">
        <x:v>内容</x:v>
      </x:c>
      <x:c r="C18" s="50" t="str">
        <x:v>设计期</x:v>
      </x:c>
      <x:c r="D18" s="50" t="str">
        <x:v>发布期</x:v>
      </x:c>
      <x:c r="E18" s="50" t="str">
        <x:v>运行期</x:v>
      </x:c>
      <x:c r="F18" s="50" t="str">
        <x:v>变更策略</x:v>
      </x:c>
      <x:c r="G18" s="50" t="str">
        <x:v>诊断</x:v>
      </x:c>
      <x:c r="H18" s="50" t="str">
        <x:v>示例</x:v>
      </x:c>
    </x:row>
    <x:row r="19">
      <x:c r="A19" s="66" t="str">
        <x:v>RuntimeProfile</x:v>
      </x:c>
      <x:c r="B19" s="66" t="str">
        <x:v>目标设备/Provider/资源/GPU/路径/安全策略/Feature Flags</x:v>
      </x:c>
      <x:c r="C19" s="66" t="str">
        <x:v>选择环境</x:v>
      </x:c>
      <x:c r="D19" s="66" t="str">
        <x:v>Resolve并写Manifest</x:v>
      </x:c>
      <x:c r="E19" s="66" t="str">
        <x:v>只读加载</x:v>
      </x:c>
      <x:c r="F19" s="66" t="str">
        <x:v>切换Profile需重新发布</x:v>
      </x:c>
      <x:c r="G19" s="66" t="str">
        <x:v>ProfileId/Hash</x:v>
      </x:c>
      <x:c r="H19" s="66" t="str">
        <x:v>Lab/Test/Production</x:v>
      </x:c>
    </x:row>
    <x:row r="20">
      <x:c r="A20" s="58" t="str">
        <x:v>EnvironmentVariables</x:v>
      </x:c>
      <x:c r="B20" s="58" t="str">
        <x:v>非业务密钥/路径/Endpoint覆盖</x:v>
      </x:c>
      <x:c r="C20" s="58" t="str">
        <x:v>模板</x:v>
      </x:c>
      <x:c r="D20" s="58" t="str">
        <x:v>部署注入</x:v>
      </x:c>
      <x:c r="E20" s="58" t="str">
        <x:v>只读</x:v>
      </x:c>
      <x:c r="F20" s="58" t="str">
        <x:v>受控</x:v>
      </x:c>
      <x:c r="G20" s="58" t="str">
        <x:v>来源追踪</x:v>
      </x:c>
      <x:c r="H20" s="58" t="str">
        <x:v>MES URL</x:v>
      </x:c>
    </x:row>
    <x:row r="21">
      <x:c r="A21" s="66" t="str">
        <x:v>Secrets</x:v>
      </x:c>
      <x:c r="B21" s="66" t="str">
        <x:v>密码/证书/Token引用</x:v>
      </x:c>
      <x:c r="C21" s="66" t="str">
        <x:v>只保存SecretRef</x:v>
      </x:c>
      <x:c r="D21" s="66" t="str">
        <x:v>部署系统注入</x:v>
      </x:c>
      <x:c r="E21" s="66" t="str">
        <x:v>安全存储读取</x:v>
      </x:c>
      <x:c r="F21" s="66" t="str">
        <x:v>不可写入工程JSON</x:v>
      </x:c>
      <x:c r="G21" s="66" t="str">
        <x:v>访问审计</x:v>
      </x:c>
      <x:c r="H21" s="66" t="str">
        <x:v>DB credential</x:v>
      </x:c>
    </x:row>
    <x:row r="22">
      <x:c r="A22" s="58" t="str">
        <x:v>Feature Flags</x:v>
      </x:c>
      <x:c r="B22" s="58" t="str">
        <x:v>可选模块开关</x:v>
      </x:c>
      <x:c r="C22" s="58" t="str">
        <x:v>配置</x:v>
      </x:c>
      <x:c r="D22" s="58" t="str">
        <x:v>发布固化</x:v>
      </x:c>
      <x:c r="E22" s="58" t="str">
        <x:v>启动读取</x:v>
      </x:c>
      <x:c r="F22" s="58" t="str">
        <x:v>需要验证</x:v>
      </x:c>
      <x:c r="G22" s="58" t="str">
        <x:v>启用列表</x:v>
      </x:c>
      <x:c r="H22" s="58" t="str">
        <x:v>Script/RemoteWrite</x:v>
      </x:c>
    </x:row>
    <x:row r="23">
      <x:c r="A23"/>
      <x:c r="B23"/>
      <x:c r="C23"/>
      <x:c r="D23"/>
      <x:c r="E23"/>
      <x:c r="F23"/>
      <x:c r="G23"/>
      <x:c r="H23"/>
    </x:row>
    <x:row r="24" ht="24" customHeight="1">
      <x:c r="A24" s="40" t="str">
        <x:v>C. 运行可靠性机制</x:v>
      </x:c>
      <x:c r="B24" s="40"/>
      <x:c r="C24" s="40"/>
      <x:c r="D24" s="40"/>
      <x:c r="E24" s="40"/>
      <x:c r="F24" s="40"/>
      <x:c r="G24" s="40"/>
      <x:c r="H24" s="40"/>
    </x:row>
    <x:row r="25" ht="28" customHeight="1">
      <x:c r="A25" s="50" t="str">
        <x:v>机制</x:v>
      </x:c>
      <x:c r="B25" s="50" t="str">
        <x:v>正式规则</x:v>
      </x:c>
      <x:c r="C25" s="50" t="str">
        <x:v>实现落点</x:v>
      </x:c>
      <x:c r="D25" s="50" t="str">
        <x:v>触发条件</x:v>
      </x:c>
      <x:c r="E25" s="50" t="str">
        <x:v>降级/恢复</x:v>
      </x:c>
      <x:c r="F25" s="50" t="str">
        <x:v>诊断指标</x:v>
      </x:c>
      <x:c r="G25" s="50" t="str">
        <x:v>测试</x:v>
      </x:c>
      <x:c r="H25" s="50"/>
    </x:row>
    <x:row r="26">
      <x:c r="A26" s="66" t="str">
        <x:v>Watchdog</x:v>
      </x:c>
      <x:c r="B26" s="66" t="str">
        <x:v>Runtime主循环/关键Worker有Health heartbeat</x:v>
      </x:c>
      <x:c r="C26" s="66" t="str">
        <x:v>HealthMonitor/WorkerSupervisor</x:v>
      </x:c>
      <x:c r="D26" s="66" t="str">
        <x:v>超时/无响应</x:v>
      </x:c>
      <x:c r="E26" s="66" t="str">
        <x:v>Restart worker/进入Faulted</x:v>
      </x:c>
      <x:c r="F26" s="66" t="str">
        <x:v>heartbeat lag</x:v>
      </x:c>
      <x:c r="G26" s="66" t="str">
        <x:v>hang injection</x:v>
      </x:c>
      <x:c r="H26" s="66"/>
    </x:row>
    <x:row r="27">
      <x:c r="A27" s="58" t="str">
        <x:v>Circuit Breaker</x:v>
      </x:c>
      <x:c r="B27" s="58" t="str">
        <x:v>外部MES/DB/设备重复失败后限流</x:v>
      </x:c>
      <x:c r="C27" s="58" t="str">
        <x:v>Integration gateway</x:v>
      </x:c>
      <x:c r="D27" s="58" t="str">
        <x:v>连续错误</x:v>
      </x:c>
      <x:c r="E27" s="58" t="str">
        <x:v>Open→HalfOpen→Closed</x:v>
      </x:c>
      <x:c r="F27" s="58" t="str">
        <x:v>failure rate/state</x:v>
      </x:c>
      <x:c r="G27" s="58" t="str">
        <x:v>故障注入</x:v>
      </x:c>
      <x:c r="H27" s="58"/>
    </x:row>
    <x:row r="28">
      <x:c r="A28" s="66" t="str">
        <x:v>Backpressure</x:v>
      </x:c>
      <x:c r="B28" s="66" t="str">
        <x:v>队列有界；生产者快于消费者时按域策略丢弃/降频/阻塞</x:v>
      </x:c>
      <x:c r="C28" s="66" t="str">
        <x:v>Variable/Vision/History queues</x:v>
      </x:c>
      <x:c r="D28" s="66" t="str">
        <x:v>queue high watermark</x:v>
      </x:c>
      <x:c r="E28" s="66" t="str">
        <x:v>Throttle/DropOldest/Block</x:v>
      </x:c>
      <x:c r="F28" s="66" t="str">
        <x:v>depth/drop count</x:v>
      </x:c>
      <x:c r="G28" s="66" t="str">
        <x:v>压力</x:v>
      </x:c>
      <x:c r="H28" s="66"/>
    </x:row>
    <x:row r="29">
      <x:c r="A29" s="58" t="str">
        <x:v>Store-Forward</x:v>
      </x:c>
      <x:c r="B29" s="58" t="str">
        <x:v>MES/History断网可本地排队</x:v>
      </x:c>
      <x:c r="C29" s="58" t="str">
        <x:v>History/MES gateway</x:v>
      </x:c>
      <x:c r="D29" s="58" t="str">
        <x:v>offline</x:v>
      </x:c>
      <x:c r="E29" s="58" t="str">
        <x:v>恢复后补传</x:v>
      </x:c>
      <x:c r="F29" s="58" t="str">
        <x:v>pending bytes/items</x:v>
      </x:c>
      <x:c r="G29" s="58" t="str">
        <x:v>断网72h</x:v>
      </x:c>
      <x:c r="H29" s="58"/>
    </x:row>
    <x:row r="30">
      <x:c r="A30" s="66" t="str">
        <x:v>Crash Recovery</x:v>
      </x:c>
      <x:c r="B30" s="66" t="str">
        <x:v>检测未完成任务按Checkpoint策略恢复/标记异常</x:v>
      </x:c>
      <x:c r="C30" s="66" t="str">
        <x:v>Inspection Runtime</x:v>
      </x:c>
      <x:c r="D30" s="66" t="str">
        <x:v>进程重启</x:v>
      </x:c>
      <x:c r="E30" s="66" t="str">
        <x:v>Resume/Abort/Manual</x:v>
      </x:c>
      <x:c r="F30" s="66" t="str">
        <x:v>last checkpoint</x:v>
      </x:c>
      <x:c r="G30" s="66" t="str">
        <x:v>kill process</x:v>
      </x:c>
      <x:c r="H30" s="66"/>
    </x:row>
    <x:row r="31">
      <x:c r="A31" s="58" t="str">
        <x:v>Atomic Release Switch</x:v>
      </x:c>
      <x:c r="B31" s="58" t="str">
        <x:v>新包验证通过后切换；失败保持旧版本</x:v>
      </x:c>
      <x:c r="C31" s="58" t="str">
        <x:v>Deployment</x:v>
      </x:c>
      <x:c r="D31" s="58" t="str">
        <x:v>deploy</x:v>
      </x:c>
      <x:c r="E31" s="58" t="str">
        <x:v>rollback</x:v>
      </x:c>
      <x:c r="F31" s="58" t="str">
        <x:v>active/previous version</x:v>
      </x:c>
      <x:c r="G31" s="58" t="str">
        <x:v>坏包/断电</x:v>
      </x:c>
      <x:c r="H31" s="58"/>
    </x:row>
    <x:row r="32">
      <x:c r="A32" s="66" t="str">
        <x:v>Memory/Handle Guard</x:v>
      </x:c>
      <x:c r="B32" s="66" t="str">
        <x:v>对Image/GPU/Native buffer/订阅设置硬上限和泄漏检测</x:v>
      </x:c>
      <x:c r="C32" s="66" t="str">
        <x:v>Runtime Diagnostics</x:v>
      </x:c>
      <x:c r="D32" s="66" t="str">
        <x:v>threshold</x:v>
      </x:c>
      <x:c r="E32" s="66" t="str">
        <x:v>拒绝新任务/重启worker</x:v>
      </x:c>
      <x:c r="F32" s="66" t="str">
        <x:v>bytes/handles/subscriptions</x:v>
      </x:c>
      <x:c r="G32" s="66" t="str">
        <x:v>72h</x:v>
      </x:c>
      <x:c r="H32" s="66"/>
    </x:row>
    <x:row r="33">
      <x:c r="A33" s="58" t="str">
        <x:v>Clock/Time</x:v>
      </x:c>
      <x:c r="B33" s="58" t="str">
        <x:v>多机时间需同步；事件记录UTC并保留source timestamp</x:v>
      </x:c>
      <x:c r="C33" s="58" t="str">
        <x:v>Platform time service</x:v>
      </x:c>
      <x:c r="D33" s="58" t="str">
        <x:v>startup/periodic</x:v>
      </x:c>
      <x:c r="E33" s="58" t="str">
        <x:v>告警时钟漂移</x:v>
      </x:c>
      <x:c r="F33" s="58" t="str">
        <x:v>offset/drift</x:v>
      </x:c>
      <x:c r="G33" s="58" t="str">
        <x:v>模拟偏差</x:v>
      </x:c>
      <x:c r="H33" s="58"/>
    </x:row>
    <x:row r="34">
      <x:c r="A34"/>
      <x:c r="B34"/>
      <x:c r="C34"/>
      <x:c r="D34"/>
      <x:c r="E34"/>
      <x:c r="F34"/>
      <x:c r="G34"/>
      <x:c r="H34"/>
    </x:row>
    <x:row r="35" ht="24" customHeight="1">
      <x:c r="A35" s="40" t="str">
        <x:v>D. 运维可观测性</x:v>
      </x:c>
      <x:c r="B35" s="40"/>
      <x:c r="C35" s="40"/>
      <x:c r="D35" s="40"/>
      <x:c r="E35" s="40"/>
      <x:c r="F35" s="40"/>
      <x:c r="G35" s="40"/>
      <x:c r="H35" s="40"/>
    </x:row>
    <x:row r="36" ht="28" customHeight="1">
      <x:c r="A36" s="50" t="str">
        <x:v>视图</x:v>
      </x:c>
      <x:c r="B36" s="50" t="str">
        <x:v>核心指标</x:v>
      </x:c>
      <x:c r="C36" s="50" t="str">
        <x:v>定位维度</x:v>
      </x:c>
      <x:c r="D36" s="50" t="str">
        <x:v>数据保留</x:v>
      </x:c>
      <x:c r="E36" s="50" t="str">
        <x:v>告警阈值</x:v>
      </x:c>
      <x:c r="F36" s="50" t="str">
        <x:v>用途</x:v>
      </x:c>
      <x:c r="G36" s="50" t="str">
        <x:v>权限</x:v>
      </x:c>
      <x:c r="H36" s="50" t="str">
        <x:v>备注</x:v>
      </x:c>
    </x:row>
    <x:row r="37">
      <x:c r="A37" s="66" t="str">
        <x:v>Runtime Health</x:v>
      </x:c>
      <x:c r="B37" s="66" t="str">
        <x:v>CPU/Memory/Thread/GC/Queue/Subscriptions/FrameRate</x:v>
      </x:c>
      <x:c r="C37" s="66" t="str">
        <x:v>Station/Module</x:v>
      </x:c>
      <x:c r="D37" s="66" t="str">
        <x:v>短期Ring+日志</x:v>
      </x:c>
      <x:c r="E37" s="66" t="str">
        <x:v>可配置</x:v>
      </x:c>
      <x:c r="F37" s="66" t="str">
        <x:v>现场健康</x:v>
      </x:c>
      <x:c r="G37" s="66" t="str">
        <x:v>运维</x:v>
      </x:c>
      <x:c r="H37" s="66"/>
    </x:row>
    <x:row r="38">
      <x:c r="A38" s="58" t="str">
        <x:v>Device Health</x:v>
      </x:c>
      <x:c r="B38" s="58" t="str">
        <x:v>Connection/Latency/Error/LastSuccess</x:v>
      </x:c>
      <x:c r="C38" s="58" t="str">
        <x:v>Device/Provider</x:v>
      </x:c>
      <x:c r="D38" s="58" t="str">
        <x:v>历史摘要</x:v>
      </x:c>
      <x:c r="E38" s="58" t="str">
        <x:v>断线/延迟</x:v>
      </x:c>
      <x:c r="F38" s="58" t="str">
        <x:v>通信定位</x:v>
      </x:c>
      <x:c r="G38" s="58" t="str">
        <x:v>运维/工程师</x:v>
      </x:c>
      <x:c r="H38" s="58"/>
    </x:row>
    <x:row r="39">
      <x:c r="A39" s="66" t="str">
        <x:v>Flow Health</x:v>
      </x:c>
      <x:c r="B39" s="66" t="str">
        <x:v>Active Tasks/Node duration/Retry/Failure</x:v>
      </x:c>
      <x:c r="C39" s="66" t="str">
        <x:v>Flow/Task/Node</x:v>
      </x:c>
      <x:c r="D39" s="66" t="str">
        <x:v>任务历史</x:v>
      </x:c>
      <x:c r="E39" s="66" t="str">
        <x:v>超时/失败率</x:v>
      </x:c>
      <x:c r="F39" s="66" t="str">
        <x:v>节拍/异常</x:v>
      </x:c>
      <x:c r="G39" s="66" t="str">
        <x:v>工程师</x:v>
      </x:c>
      <x:c r="H39" s="66"/>
    </x:row>
    <x:row r="40">
      <x:c r="A40" s="58" t="str">
        <x:v>Vision Health</x:v>
      </x:c>
      <x:c r="B40" s="58" t="str">
        <x:v>GPU/VRAM/Worker/Model load/Node timing</x:v>
      </x:c>
      <x:c r="C40" s="58" t="str">
        <x:v>GPU/Worker/Pipeline</x:v>
      </x:c>
      <x:c r="D40" s="58" t="str">
        <x:v>性能历史</x:v>
      </x:c>
      <x:c r="E40" s="58" t="str">
        <x:v>显存/队列</x:v>
      </x:c>
      <x:c r="F40" s="58" t="str">
        <x:v>算法性能</x:v>
      </x:c>
      <x:c r="G40" s="58" t="str">
        <x:v>算法/工程师</x:v>
      </x:c>
      <x:c r="H40" s="58"/>
    </x:row>
    <x:row r="41">
      <x:c r="A41" s="66" t="str">
        <x:v>Deployment Health</x:v>
      </x:c>
      <x:c r="B41" s="66" t="str">
        <x:v>Version/Hash/LastDeploy/Rollback</x:v>
      </x:c>
      <x:c r="C41" s="66" t="str">
        <x:v>Target</x:v>
      </x:c>
      <x:c r="D41" s="66" t="str">
        <x:v>长期</x:v>
      </x:c>
      <x:c r="E41" s="66" t="str">
        <x:v>版本不一致</x:v>
      </x:c>
      <x:c r="F41" s="66" t="str">
        <x:v>版本治理</x:v>
      </x:c>
      <x:c r="G41" s="66" t="str">
        <x:v>管理员</x:v>
      </x:c>
      <x:c r="H41" s="66"/>
    </x:row>
    <x:row r="42">
      <x:c r="A42"/>
      <x:c r="B42"/>
      <x:c r="C42"/>
      <x:c r="D42"/>
      <x:c r="E42"/>
      <x:c r="F42"/>
      <x:c r="G42"/>
      <x:c r="H42"/>
    </x:row>
    <x:row r="43">
      <x:c r="A43"/>
      <x:c r="B43"/>
      <x:c r="C43"/>
      <x:c r="D43"/>
      <x:c r="E43"/>
      <x:c r="F43"/>
      <x:c r="G43"/>
      <x:c r="H43"/>
    </x:row>
    <x:row r="44" ht="24" customHeight="1">
      <x:c r="A44" s="40" t="str">
        <x:v>E. V2.2 多站点与Operations部署拓扑</x:v>
      </x:c>
      <x:c r="B44" s="40"/>
      <x:c r="C44" s="40"/>
      <x:c r="D44" s="40"/>
      <x:c r="E44" s="40"/>
      <x:c r="F44" s="40"/>
      <x:c r="G44" s="40"/>
      <x:c r="H44" s="40"/>
    </x:row>
    <x:row r="45" ht="28" customHeight="1">
      <x:c r="A45" s="50" t="str">
        <x:v>角色/服务</x:v>
      </x:c>
      <x:c r="B45" s="50" t="str">
        <x:v>推荐位置</x:v>
      </x:c>
      <x:c r="C45" s="50" t="str">
        <x:v>职责</x:v>
      </x:c>
      <x:c r="D45" s="50" t="str">
        <x:v>是否生产依赖</x:v>
      </x:c>
      <x:c r="E45" s="50" t="str">
        <x:v>通信</x:v>
      </x:c>
      <x:c r="F45" s="50" t="str">
        <x:v>故障影响</x:v>
      </x:c>
      <x:c r="G45" s="50" t="str">
        <x:v>恢复/升级</x:v>
      </x:c>
      <x:c r="H45" s="50"/>
    </x:row>
    <x:row r="46">
      <x:c r="A46" s="58" t="str">
        <x:v>Station Agent</x:v>
      </x:c>
      <x:c r="B46" s="58" t="str">
        <x:v>每台Runtime Station，本机独立进程优先</x:v>
      </x:c>
      <x:c r="C46" s="58" t="str">
        <x:v>Inventory/Health/Version/Deployment/Debug/Artifact/Maintenance管理入口</x:v>
      </x:c>
      <x:c r="D46" s="58" t="str">
        <x:v>否</x:v>
      </x:c>
      <x:c r="E46" s="58" t="str">
        <x:v>本机Runtime public API + 中心mTLS/API</x:v>
      </x:c>
      <x:c r="F46" s="58" t="str">
        <x:v>Agent不可用只影响远程管理</x:v>
      </x:c>
      <x:c r="G46" s="58" t="str">
        <x:v>Supervisor重启/独立升级</x:v>
      </x:c>
      <x:c r="H46" s="58"/>
    </x:row>
    <x:row r="47">
      <x:c r="A47" s="66" t="str">
        <x:v>Operations API/Application</x:v>
      </x:c>
      <x:c r="B47" s="66" t="str">
        <x:v>中心服务器/私有网络</x:v>
      </x:c>
      <x:c r="C47" s="66" t="str">
        <x:v>Fleet/Case/Rollout/Remote Session业务API</x:v>
      </x:c>
      <x:c r="D47" s="66" t="str">
        <x:v>否</x:v>
      </x:c>
      <x:c r="E47" s="66" t="str">
        <x:v>DB/Repo/Agents</x:v>
      </x:c>
      <x:c r="F47" s="66" t="str">
        <x:v>中心功能不可用</x:v>
      </x:c>
      <x:c r="G47" s="66" t="str">
        <x:v>HA按规模选做</x:v>
      </x:c>
      <x:c r="H47" s="66"/>
    </x:row>
    <x:row r="48">
      <x:c r="A48" s="58" t="str">
        <x:v>Telemetry/Index</x:v>
      </x:c>
      <x:c r="B48" s="58" t="str">
        <x:v>中心服务器</x:v>
      </x:c>
      <x:c r="C48" s="58" t="str">
        <x:v>Metric/Event/Trace索引与Retention</x:v>
      </x:c>
      <x:c r="D48" s="58" t="str">
        <x:v>否</x:v>
      </x:c>
      <x:c r="E48" s="58" t="str">
        <x:v>Agent streams</x:v>
      </x:c>
      <x:c r="F48" s="58" t="str">
        <x:v>集中历史/搜索受影响</x:v>
      </x:c>
      <x:c r="G48" s="58" t="str">
        <x:v>Queue/StoreForward/恢复</x:v>
      </x:c>
      <x:c r="H48" s="58"/>
    </x:row>
    <x:row r="49">
      <x:c r="A49" s="66" t="str">
        <x:v>Release Repository</x:v>
      </x:c>
      <x:c r="B49" s="66" t="str">
        <x:v>中心/文件服务器/Object Store</x:v>
      </x:c>
      <x:c r="C49" s="66" t="str">
        <x:v>Release/Plugin/Model/Artifact包管理</x:v>
      </x:c>
      <x:c r="D49" s="66" t="str">
        <x:v>部署时需要但不影响已运行版本</x:v>
      </x:c>
      <x:c r="E49" s="66" t="str">
        <x:v>HTTPS/File/Object</x:v>
      </x:c>
      <x:c r="F49" s="66" t="str">
        <x:v>无法新部署/下载</x:v>
      </x:c>
      <x:c r="G49" s="66" t="str">
        <x:v>备份/镜像/Hash</x:v>
      </x:c>
      <x:c r="H49" s="66"/>
    </x:row>
    <x:row r="50">
      <x:c r="A50" s="58" t="str">
        <x:v>Remote Session Broker</x:v>
      </x:c>
      <x:c r="B50" s="58" t="str">
        <x:v>中心DMZ/管理网</x:v>
      </x:c>
      <x:c r="C50" s="58" t="str">
        <x:v>远程工程会话授权/Broker/TTL</x:v>
      </x:c>
      <x:c r="D50" s="58" t="str">
        <x:v>否</x:v>
      </x:c>
      <x:c r="E50" s="58" t="str">
        <x:v>Studio↔Broker↔Station Agent</x:v>
      </x:c>
      <x:c r="F50" s="58" t="str">
        <x:v>远程工程不可用</x:v>
      </x:c>
      <x:c r="G50" s="58" t="str">
        <x:v>重启/重新申请Session</x:v>
      </x:c>
      <x:c r="H50" s="58"/>
    </x:row>
    <x:row r="51">
      <x:c r="A51" s="66" t="str">
        <x:v>Ops UI</x:v>
      </x:c>
      <x:c r="B51" s="66" t="str">
        <x:v>运维客户端/Web</x:v>
      </x:c>
      <x:c r="C51" s="66" t="str">
        <x:v>Dashboard/Version/Deploy/Case/Remote</x:v>
      </x:c>
      <x:c r="D51" s="66" t="str">
        <x:v>否</x:v>
      </x:c>
      <x:c r="E51" s="66" t="str">
        <x:v>Operations APIs</x:v>
      </x:c>
      <x:c r="F51" s="66" t="str">
        <x:v>只影响操作界面</x:v>
      </x:c>
      <x:c r="G51" s="66" t="str">
        <x:v>无状态客户端</x:v>
      </x:c>
      <x:c r="H51" s="66"/>
    </x:row>
    <x:row r="52">
      <x:c r="A52"/>
      <x:c r="B52"/>
      <x:c r="C52"/>
      <x:c r="D52"/>
      <x:c r="E52"/>
      <x:c r="F52"/>
      <x:c r="G52"/>
      <x:c r="H52"/>
    </x:row>
    <x:row r="53" ht="24" customHeight="1">
      <x:c r="A53" s="40" t="str">
        <x:v>F. 网络分区与自治要求</x:v>
      </x:c>
      <x:c r="B53" s="40"/>
      <x:c r="C53" s="40"/>
      <x:c r="D53" s="40"/>
      <x:c r="E53" s="40"/>
      <x:c r="F53" s="40"/>
      <x:c r="G53" s="40"/>
      <x:c r="H53" s="40"/>
    </x:row>
    <x:row r="54" ht="28" customHeight="1">
      <x:c r="A54" s="50" t="str">
        <x:v>故障</x:v>
      </x:c>
      <x:c r="B54" s="50" t="str">
        <x:v>Runtime</x:v>
      </x:c>
      <x:c r="C54" s="50" t="str">
        <x:v>Station Agent</x:v>
      </x:c>
      <x:c r="D54" s="50" t="str">
        <x:v>Operations Center</x:v>
      </x:c>
      <x:c r="E54" s="50" t="str">
        <x:v>数据策略</x:v>
      </x:c>
      <x:c r="F54" s="50" t="str">
        <x:v>安全策略</x:v>
      </x:c>
      <x:c r="G54" s="50" t="str">
        <x:v>恢复</x:v>
      </x:c>
      <x:c r="H54" s="50" t="str">
        <x:v>门禁</x:v>
      </x:c>
    </x:row>
    <x:row r="55">
      <x:c r="A55" s="58" t="str">
        <x:v>中心不可达</x:v>
      </x:c>
      <x:c r="B55" s="58" t="str">
        <x:v>继续本地Run/Alarm/History/Inspection</x:v>
      </x:c>
      <x:c r="C55" s="58" t="str">
        <x:v>本地缓存有限管理Telemetry并backoff</x:v>
      </x:c>
      <x:c r="D55" s="58" t="str">
        <x:v>显示Offline/Stale</x:v>
      </x:c>
      <x:c r="E55" s="58" t="str">
        <x:v>补关键事件/摘要</x:v>
      </x:c>
      <x:c r="F55" s="58" t="str">
        <x:v>拒绝新远程控制</x:v>
      </x:c>
      <x:c r="G55" s="58" t="str">
        <x:v>重连Snapshot+增量</x:v>
      </x:c>
      <x:c r="H55" s="58" t="str">
        <x:v>Partition test</x:v>
      </x:c>
    </x:row>
    <x:row r="56">
      <x:c r="A56" s="66" t="str">
        <x:v>Agent崩溃</x:v>
      </x:c>
      <x:c r="B56" s="66" t="str">
        <x:v>继续业务Runtime</x:v>
      </x:c>
      <x:c r="C56" s="66" t="str">
        <x:v>重启后重新发现本地状态</x:v>
      </x:c>
      <x:c r="D56" s="66" t="str">
        <x:v>Station Management Degraded</x:v>
      </x:c>
      <x:c r="E56" s="66" t="str">
        <x:v>Agent本地状态可重建</x:v>
      </x:c>
      <x:c r="F56" s="66" t="str">
        <x:v>无远程命令</x:v>
      </x:c>
      <x:c r="G56" s="66" t="str">
        <x:v>Supervisor restart</x:v>
      </x:c>
      <x:c r="H56" s="66" t="str">
        <x:v>Agent fault test</x:v>
      </x:c>
    </x:row>
    <x:row r="57">
      <x:c r="A57" s="58" t="str">
        <x:v>部署中断网</x:v>
      </x:c>
      <x:c r="B57" s="58" t="str">
        <x:v>保持当前Active或已Stage状态</x:v>
      </x:c>
      <x:c r="C57" s="58" t="str">
        <x:v>保留JobId/阶段/包Hash</x:v>
      </x:c>
      <x:c r="D57" s="58" t="str">
        <x:v>Rollout Unknown/Pending</x:v>
      </x:c>
      <x:c r="E57" s="58" t="str">
        <x:v>重连Query Job</x:v>
      </x:c>
      <x:c r="F57" s="58" t="str">
        <x:v>不盲重发Switch</x:v>
      </x:c>
      <x:c r="G57" s="58" t="str">
        <x:v>Reconcile/Resume/Rollback</x:v>
      </x:c>
      <x:c r="H57" s="58" t="str">
        <x:v>Deploy fault</x:v>
      </x:c>
    </x:row>
    <x:row r="58">
      <x:c r="A58" s="66" t="str">
        <x:v>远程调试断网</x:v>
      </x:c>
      <x:c r="B58" s="66" t="str">
        <x:v>Domain Runtime按本地Policy继续/安全态</x:v>
      </x:c>
      <x:c r="C58" s="66" t="str">
        <x:v>Debug Session保留/TTL</x:v>
      </x:c>
      <x:c r="D58" s="66" t="str">
        <x:v>Remote session断开</x:v>
      </x:c>
      <x:c r="E58" s="66" t="str">
        <x:v>Trace本地有界保留</x:v>
      </x:c>
      <x:c r="F58" s="66" t="str">
        <x:v>拒绝未知状态副作用重发</x:v>
      </x:c>
      <x:c r="G58" s="66" t="str">
        <x:v>Reconnect Query</x:v>
      </x:c>
      <x:c r="H58" s="66" t="str">
        <x:v>Network E2E</x:v>
      </x:c>
    </x:row>
    <x:row r="59">
      <x:c r="A59" s="58" t="str">
        <x:v>中心DB故障</x:v>
      </x:c>
      <x:c r="B59" s="58" t="str">
        <x:v>无影响</x:v>
      </x:c>
      <x:c r="C59" s="58" t="str">
        <x:v>Agent继续</x:v>
      </x:c>
      <x:c r="D59" s="58" t="str">
        <x:v>查询/写受限</x:v>
      </x:c>
      <x:c r="E59" s="58" t="str">
        <x:v>中心队列/恢复</x:v>
      </x:c>
      <x:c r="F59" s="58" t="str">
        <x:v>高风险管理写Fail Closed</x:v>
      </x:c>
      <x:c r="G59" s="58" t="str">
        <x:v>DB恢复后reconcile</x:v>
      </x:c>
      <x:c r="H59" s="58" t="str">
        <x:v>Ops resilience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36" hidden="0" customWidth="1"/>
    <x:col min="4" max="4" width="34" hidden="0" customWidth="1"/>
    <x:col min="5" max="5" width="32" hidden="0" customWidth="1"/>
    <x:col min="6" max="6" width="30" hidden="0" customWidth="1"/>
    <x:col min="7" max="7" width="28" hidden="0" customWidth="1"/>
    <x:col min="8" max="8" width="28" hidden="0" customWidth="1"/>
  </x:cols>
  <x:sheetData>
    <x:row r="1" ht="30" customHeight="1">
      <x:c r="A1" s="8" t="str">
        <x:v>Graph SDK / Plugin / Extensibility</x:v>
      </x:c>
      <x:c r="B1" s="8"/>
      <x:c r="C1" s="8"/>
      <x:c r="D1" s="8"/>
      <x:c r="E1" s="8"/>
      <x:c r="F1" s="8"/>
      <x:c r="G1" s="8"/>
      <x:c r="H1" s="8"/>
    </x:row>
    <x:row r="2" ht="38" customHeight="1">
      <x:c r="A2" s="16" t="str">
        <x:v>统一Element、Node、Provider、Algorithm、Robot、CT Viewer/Worker、Operations扩展点的Manifest/ApiVersion/Capability/Signature体系。</x:v>
      </x:c>
      <x:c r="B2" s="16"/>
      <x:c r="C2" s="16"/>
      <x:c r="D2" s="16"/>
      <x:c r="E2" s="16"/>
      <x:c r="F2" s="16"/>
      <x:c r="G2" s="16"/>
      <x:c r="H2" s="16"/>
    </x:row>
    <x:row r="3">
      <x:c r="A3" s="30" t="str">
        <x:v>本页唯一权威</x:v>
      </x:c>
      <x:c r="B3" s="31" t="str">
        <x:v>Plugin Manifest、注册机制、扩展接口、版本兼容、隔离、签名与发布门禁。</x:v>
      </x:c>
      <x:c r="C3" s="31"/>
      <x:c r="D3" s="31"/>
      <x:c r="E3" s="31"/>
      <x:c r="F3" s="31"/>
      <x:c r="G3" s="31"/>
      <x:c r="H3" s="31"/>
    </x:row>
    <x:row r="4">
      <x:c r="A4" s="30" t="str">
        <x:v>不在本页维护</x:v>
      </x:c>
      <x:c r="B4" s="31" t="str">
        <x:v>具体Domain功能设计与厂商Adapter实现。</x:v>
      </x:c>
      <x:c r="C4" s="31"/>
      <x:c r="D4" s="31"/>
      <x:c r="E4" s="31"/>
      <x:c r="F4" s="31"/>
      <x:c r="G4" s="31"/>
      <x:c r="H4" s="31"/>
    </x:row>
    <x:row r="5">
      <x:c r="A5" s="30" t="str">
        <x:v>关联分页</x:v>
      </x:c>
      <x:c r="B5" s="31" t="str">
        <x:v>04_Solution与模块依赖；05_平台公共接口与核心类；22_Graph集成与资源管理。</x:v>
      </x:c>
      <x:c r="C5" s="31"/>
      <x:c r="D5" s="31"/>
      <x:c r="E5" s="31"/>
      <x:c r="F5" s="31"/>
      <x:c r="G5" s="31"/>
      <x:c r="H5" s="31"/>
    </x:row>
    <x:row r="6">
      <x:c r="A6"/>
      <x:c r="B6"/>
      <x:c r="C6"/>
      <x:c r="D6"/>
      <x:c r="E6"/>
      <x:c r="F6"/>
      <x:c r="G6"/>
      <x:c r="H6"/>
    </x:row>
    <x:row r="7" ht="24" customHeight="1">
      <x:c r="A7" s="40" t="str">
        <x:v>A. 扩展点目录</x:v>
      </x:c>
      <x:c r="B7" s="40"/>
      <x:c r="C7" s="40"/>
      <x:c r="D7" s="40"/>
      <x:c r="E7" s="40"/>
      <x:c r="F7" s="40"/>
      <x:c r="G7" s="40"/>
      <x:c r="H7" s="40"/>
    </x:row>
    <x:row r="8" ht="28" customHeight="1">
      <x:c r="A8" s="50" t="str">
        <x:v>扩展点</x:v>
      </x:c>
      <x:c r="B8" s="50" t="str">
        <x:v>SDK接口/描述</x:v>
      </x:c>
      <x:c r="C8" s="50" t="str">
        <x:v>注册内容</x:v>
      </x:c>
      <x:c r="D8" s="50" t="str">
        <x:v>运行载荷</x:v>
      </x:c>
      <x:c r="E8" s="50" t="str">
        <x:v>典型插件</x:v>
      </x:c>
      <x:c r="F8" s="50" t="str">
        <x:v>隔离建议</x:v>
      </x:c>
      <x:c r="G8" s="50" t="str">
        <x:v>兼容策略</x:v>
      </x:c>
      <x:c r="H8" s="50"/>
    </x:row>
    <x:row r="9">
      <x:c r="A9" s="58" t="str">
        <x:v>Element/Renderer</x:v>
      </x:c>
      <x:c r="B9" s="58" t="str">
        <x:v>IElementPlugin + ElementDescriptor</x:v>
      </x:c>
      <x:c r="C9" s="58" t="str">
        <x:v>Type/Properties/Factory/Renderer</x:v>
      </x:c>
      <x:c r="D9" s="58" t="str">
        <x:v>WPF/Runtime</x:v>
      </x:c>
      <x:c r="E9" s="58" t="str">
        <x:v>专业显示/行业控件</x:v>
      </x:c>
      <x:c r="F9" s="58" t="str">
        <x:v>UI插件主进程但受边界</x:v>
      </x:c>
      <x:c r="G9" s="58" t="str">
        <x:v>stable TypeId</x:v>
      </x:c>
      <x:c r="H9" s="58"/>
    </x:row>
    <x:row r="10">
      <x:c r="A10" s="66" t="str">
        <x:v>Symbol Library</x:v>
      </x:c>
      <x:c r="B10" s="66" t="str">
        <x:v>SymbolPackageManifest</x:v>
      </x:c>
      <x:c r="C10" s="66" t="str">
        <x:v>Definitions/Resources/Versions</x:v>
      </x:c>
      <x:c r="D10" s="66" t="str">
        <x:v>数据为主</x:v>
      </x:c>
      <x:c r="E10" s="66" t="str">
        <x:v>设备符号库/行业库</x:v>
      </x:c>
      <x:c r="F10" s="66" t="str">
        <x:v>无代码优先</x:v>
      </x:c>
      <x:c r="G10" s="66" t="str">
        <x:v>SemVer/Dependencies</x:v>
      </x:c>
      <x:c r="H10" s="66"/>
    </x:row>
    <x:row r="11">
      <x:c r="A11" s="58" t="str">
        <x:v>Graph Node</x:v>
      </x:c>
      <x:c r="B11" s="58" t="str">
        <x:v>INodePlugin + NodeDescriptor</x:v>
      </x:c>
      <x:c r="C11" s="58" t="str">
        <x:v>Ports/Parameters/Compiler/ExecutorKey</x:v>
      </x:c>
      <x:c r="D11" s="58" t="str">
        <x:v>Domain Runtime</x:v>
      </x:c>
      <x:c r="E11" s="58" t="str">
        <x:v>自定义流程节点</x:v>
      </x:c>
      <x:c r="F11" s="58" t="str">
        <x:v>执行器可进程隔离</x:v>
      </x:c>
      <x:c r="G11" s="58" t="str">
        <x:v>NodeTypeId稳定</x:v>
      </x:c>
      <x:c r="H11" s="58"/>
    </x:row>
    <x:row r="12">
      <x:c r="A12" s="66" t="str">
        <x:v>Vision Algorithm</x:v>
      </x:c>
      <x:c r="B12" s="66" t="str">
        <x:v>IVisionAlgorithmPlugin</x:v>
      </x:c>
      <x:c r="C12" s="66" t="str">
        <x:v>Typed Ports/Parameters/Executor/Model dependencies</x:v>
      </x:c>
      <x:c r="D12" s="66" t="str">
        <x:v>Native/GPU</x:v>
      </x:c>
      <x:c r="E12" s="66" t="str">
        <x:v>Halcon/OpenCV/AI模型</x:v>
      </x:c>
      <x:c r="F12" s="66" t="str">
        <x:v>高风险建议Worker</x:v>
      </x:c>
      <x:c r="G12" s="66" t="str">
        <x:v>ABI/Model version</x:v>
      </x:c>
      <x:c r="H12" s="66"/>
    </x:row>
    <x:row r="13">
      <x:c r="A13" s="58" t="str">
        <x:v>Device Provider</x:v>
      </x:c>
      <x:c r="B13" s="58" t="str">
        <x:v>IDeviceProviderPlugin</x:v>
      </x:c>
      <x:c r="C13" s="58" t="str">
        <x:v>Capabilities/Connection/Commands/Diagnostics</x:v>
      </x:c>
      <x:c r="D13" s="58" t="str">
        <x:v>Vendor SDK</x:v>
      </x:c>
      <x:c r="E13" s="58" t="str">
        <x:v>相机/运动卡/PLC</x:v>
      </x:c>
      <x:c r="F13" s="58" t="str">
        <x:v>Integration/worker</x:v>
      </x:c>
      <x:c r="G13" s="58" t="str">
        <x:v>Driver protocol version</x:v>
      </x:c>
      <x:c r="H13" s="58"/>
    </x:row>
    <x:row r="14">
      <x:c r="A14" s="66" t="str">
        <x:v>Action</x:v>
      </x:c>
      <x:c r="B14" s="66" t="str">
        <x:v>IActionPlugin</x:v>
      </x:c>
      <x:c r="C14" s="66" t="str">
        <x:v>ActionDescriptor/Executor</x:v>
      </x:c>
      <x:c r="D14" s="66" t="str">
        <x:v>Runtime</x:v>
      </x:c>
      <x:c r="E14" s="66" t="str">
        <x:v>宿主业务动作</x:v>
      </x:c>
      <x:c r="F14" s="66" t="str">
        <x:v>主进程受控</x:v>
      </x:c>
      <x:c r="G14" s="66" t="str">
        <x:v>ActionTypeId</x:v>
      </x:c>
      <x:c r="H14" s="66"/>
    </x:row>
    <x:row r="15">
      <x:c r="A15" s="58" t="str">
        <x:v>Store</x:v>
      </x:c>
      <x:c r="B15" s="58" t="str">
        <x:v>IHistoryStore/IResultStore</x:v>
      </x:c>
      <x:c r="C15" s="58" t="str">
        <x:v>StoreDescriptor/Factory</x:v>
      </x:c>
      <x:c r="D15" s="58" t="str">
        <x:v>后台服务</x:v>
      </x:c>
      <x:c r="E15" s="58" t="str">
        <x:v>SQL/文件/时序库</x:v>
      </x:c>
      <x:c r="F15" s="58" t="str">
        <x:v>可独立进程</x:v>
      </x:c>
      <x:c r="G15" s="58" t="str">
        <x:v>Schema capability</x:v>
      </x:c>
      <x:c r="H15" s="58"/>
    </x:row>
    <x:row r="16">
      <x:c r="A16" s="66" t="str">
        <x:v>Report</x:v>
      </x:c>
      <x:c r="B16" s="66" t="str">
        <x:v>IReportExporter</x:v>
      </x:c>
      <x:c r="C16" s="66" t="str">
        <x:v>Format/Options</x:v>
      </x:c>
      <x:c r="D16" s="66" t="str">
        <x:v>后台任务</x:v>
      </x:c>
      <x:c r="E16" s="66" t="str">
        <x:v>PDF/Excel/CSV</x:v>
      </x:c>
      <x:c r="F16" s="66" t="str">
        <x:v>可独立</x:v>
      </x:c>
      <x:c r="G16" s="66" t="str">
        <x:v>Exporter version</x:v>
      </x:c>
      <x:c r="H16" s="66"/>
    </x:row>
    <x:row r="17">
      <x:c r="A17"/>
      <x:c r="B17"/>
      <x:c r="C17"/>
      <x:c r="D17"/>
      <x:c r="E17"/>
      <x:c r="F17"/>
      <x:c r="G17"/>
      <x:c r="H17"/>
    </x:row>
    <x:row r="18" ht="24" customHeight="1">
      <x:c r="A18" s="40" t="str">
        <x:v>B. Plugin Manifest</x:v>
      </x:c>
      <x:c r="B18" s="40"/>
      <x:c r="C18" s="40"/>
      <x:c r="D18" s="40"/>
      <x:c r="E18" s="40"/>
      <x:c r="F18" s="40"/>
      <x:c r="G18" s="40"/>
      <x:c r="H18" s="40"/>
    </x:row>
    <x:row r="19" ht="28" customHeight="1">
      <x:c r="A19" s="50" t="str">
        <x:v>字段</x:v>
      </x:c>
      <x:c r="B19" s="50" t="str">
        <x:v>用途</x:v>
      </x:c>
      <x:c r="C19" s="50" t="str">
        <x:v>示例</x:v>
      </x:c>
      <x:c r="D19" s="50" t="str">
        <x:v>加载时校验</x:v>
      </x:c>
      <x:c r="E19" s="50" t="str">
        <x:v>发布处理</x:v>
      </x:c>
      <x:c r="F19" s="50" t="str">
        <x:v>冲突策略</x:v>
      </x:c>
      <x:c r="G19" s="50" t="str">
        <x:v>安全</x:v>
      </x:c>
      <x:c r="H19" s="50" t="str">
        <x:v>备注</x:v>
      </x:c>
    </x:row>
    <x:row r="20">
      <x:c r="A20" s="58" t="str">
        <x:v>PluginId</x:v>
      </x:c>
      <x:c r="B20" s="58" t="str">
        <x:v>稳定唯一标识</x:v>
      </x:c>
      <x:c r="C20" s="58" t="str">
        <x:v>com.company.vision.xxx</x:v>
      </x:c>
      <x:c r="D20" s="58" t="str">
        <x:v>唯一/格式</x:v>
      </x:c>
      <x:c r="E20" s="58" t="str">
        <x:v>写Manifest</x:v>
      </x:c>
      <x:c r="F20" s="58" t="str">
        <x:v>重复拒绝</x:v>
      </x:c>
      <x:c r="G20" s="58" t="str">
        <x:v>签名主体关联</x:v>
      </x:c>
      <x:c r="H20" s="58" t="str">
        <x:v>不可用DLL名替代</x:v>
      </x:c>
    </x:row>
    <x:row r="21">
      <x:c r="A21" s="66" t="str">
        <x:v>Version</x:v>
      </x:c>
      <x:c r="B21" s="66" t="str">
        <x:v>插件版本</x:v>
      </x:c>
      <x:c r="C21" s="66" t="str">
        <x:v>2.1.0</x:v>
      </x:c>
      <x:c r="D21" s="66" t="str">
        <x:v>SemVer</x:v>
      </x:c>
      <x:c r="E21" s="66" t="str">
        <x:v>锁ResolvedVersion</x:v>
      </x:c>
      <x:c r="F21" s="66" t="str">
        <x:v>不兼容拒绝/隔离</x:v>
      </x:c>
      <x:c r="G21" s="66" t="str">
        <x:v>版本审计</x:v>
      </x:c>
      <x:c r="H21" s="66"/>
    </x:row>
    <x:row r="22">
      <x:c r="A22" s="58" t="str">
        <x:v>ApiVersion</x:v>
      </x:c>
      <x:c r="B22" s="58" t="str">
        <x:v>目标CxVisual SDK契约</x:v>
      </x:c>
      <x:c r="C22" s="58" t="str">
        <x:v>2.x</x:v>
      </x:c>
      <x:c r="D22" s="58" t="str">
        <x:v>范围兼容</x:v>
      </x:c>
      <x:c r="E22" s="58" t="str">
        <x:v>发布校验</x:v>
      </x:c>
      <x:c r="F22" s="58" t="str">
        <x:v>不匹配拒绝</x:v>
      </x:c>
      <x:c r="G22" s="58" t="str">
        <x:v>防崩溃</x:v>
      </x:c>
      <x:c r="H22" s="58"/>
    </x:row>
    <x:row r="23">
      <x:c r="A23" s="66" t="str">
        <x:v>Dependencies</x:v>
      </x:c>
      <x:c r="B23" s="66" t="str">
        <x:v>其他插件/Native/Model依赖</x:v>
      </x:c>
      <x:c r="C23" s="66" t="str">
        <x:v>pluginA&gt;=1.2</x:v>
      </x:c>
      <x:c r="D23" s="66" t="str">
        <x:v>依赖图</x:v>
      </x:c>
      <x:c r="E23" s="66" t="str">
        <x:v>收集/校验</x:v>
      </x:c>
      <x:c r="F23" s="66" t="str">
        <x:v>冲突报告</x:v>
      </x:c>
      <x:c r="G23" s="66" t="str">
        <x:v>Hash验证</x:v>
      </x:c>
      <x:c r="H23" s="66"/>
    </x:row>
    <x:row r="24">
      <x:c r="A24" s="58" t="str">
        <x:v>EntryPoints</x:v>
      </x:c>
      <x:c r="B24" s="58" t="str">
        <x:v>注册模块</x:v>
      </x:c>
      <x:c r="C24" s="58" t="str">
        <x:v>Element/Node/Provider...</x:v>
      </x:c>
      <x:c r="D24" s="58" t="str">
        <x:v>接口类型</x:v>
      </x:c>
      <x:c r="E24" s="58" t="str">
        <x:v>记录</x:v>
      </x:c>
      <x:c r="F24" s="58" t="str">
        <x:v>缺失失败</x:v>
      </x:c>
      <x:c r="G24" s="58" t="str">
        <x:v>白名单</x:v>
      </x:c>
      <x:c r="H24" s="58"/>
    </x:row>
    <x:row r="25">
      <x:c r="A25" s="66" t="str">
        <x:v>Capabilities</x:v>
      </x:c>
      <x:c r="B25" s="66" t="str">
        <x:v>需要的权限/资源</x:v>
      </x:c>
      <x:c r="C25" s="66" t="str">
        <x:v>GPU/File/Network/DeviceWrite</x:v>
      </x:c>
      <x:c r="D25" s="66" t="str">
        <x:v>策略校验</x:v>
      </x:c>
      <x:c r="E25" s="66" t="str">
        <x:v>写入包</x:v>
      </x:c>
      <x:c r="F25" s="66" t="str">
        <x:v>超权限禁用</x:v>
      </x:c>
      <x:c r="G25" s="66" t="str">
        <x:v>最小权限</x:v>
      </x:c>
      <x:c r="H25" s="66"/>
    </x:row>
    <x:row r="26">
      <x:c r="A26" s="58" t="str">
        <x:v>Signature/Hash</x:v>
      </x:c>
      <x:c r="B26" s="58" t="str">
        <x:v>完整性</x:v>
      </x:c>
      <x:c r="C26" s="58" t="str">
        <x:v>cert/hash</x:v>
      </x:c>
      <x:c r="D26" s="58" t="str">
        <x:v>校验</x:v>
      </x:c>
      <x:c r="E26" s="58" t="str">
        <x:v>包签名</x:v>
      </x:c>
      <x:c r="F26" s="58" t="str">
        <x:v>失败拒绝生产加载</x:v>
      </x:c>
      <x:c r="G26" s="58" t="str">
        <x:v>强制生产策略</x:v>
      </x:c>
      <x:c r="H26" s="58"/>
    </x:row>
    <x:row r="27">
      <x:c r="A27"/>
      <x:c r="B27"/>
      <x:c r="C27"/>
      <x:c r="D27"/>
      <x:c r="E27"/>
      <x:c r="F27"/>
      <x:c r="G27"/>
      <x:c r="H27"/>
    </x:row>
    <x:row r="28" ht="24" customHeight="1">
      <x:c r="A28" s="40" t="str">
        <x:v>C. 版本与兼容</x:v>
      </x:c>
      <x:c r="B28" s="40"/>
      <x:c r="C28" s="40"/>
      <x:c r="D28" s="40"/>
      <x:c r="E28" s="40"/>
      <x:c r="F28" s="40"/>
      <x:c r="G28" s="40"/>
      <x:c r="H28" s="40"/>
    </x:row>
    <x:row r="29" ht="28" customHeight="1">
      <x:c r="A29" s="50" t="str">
        <x:v>主题</x:v>
      </x:c>
      <x:c r="B29" s="50" t="str">
        <x:v>规则</x:v>
      </x:c>
      <x:c r="C29" s="50" t="str">
        <x:v>开发期</x:v>
      </x:c>
      <x:c r="D29" s="50" t="str">
        <x:v>发布期</x:v>
      </x:c>
      <x:c r="E29" s="50" t="str">
        <x:v>运行期</x:v>
      </x:c>
      <x:c r="F29" s="50" t="str">
        <x:v>迁移</x:v>
      </x:c>
      <x:c r="G29" s="50" t="str">
        <x:v>诊断</x:v>
      </x:c>
      <x:c r="H29" s="50" t="str">
        <x:v>门禁</x:v>
      </x:c>
    </x:row>
    <x:row r="30">
      <x:c r="A30" s="66" t="str">
        <x:v>Contract Stability</x:v>
      </x:c>
      <x:c r="B30" s="66" t="str">
        <x:v>Core SDK接口按主版本治理</x:v>
      </x:c>
      <x:c r="C30" s="66" t="str">
        <x:v>Obsolete而非随意删除</x:v>
      </x:c>
      <x:c r="D30" s="66" t="str">
        <x:v>锁ApiVersion</x:v>
      </x:c>
      <x:c r="E30" s="66" t="str">
        <x:v>只加载兼容插件</x:v>
      </x:c>
      <x:c r="F30" s="66" t="str">
        <x:v>Migration Guide</x:v>
      </x:c>
      <x:c r="G30" s="66" t="str">
        <x:v>ApiMismatch</x:v>
      </x:c>
      <x:c r="H30" s="66" t="str">
        <x:v>架构评审</x:v>
      </x:c>
    </x:row>
    <x:row r="31">
      <x:c r="A31" s="58" t="str">
        <x:v>TypeId/NodeTypeId</x:v>
      </x:c>
      <x:c r="B31" s="58" t="str">
        <x:v>一旦持久化不可随类名变化</x:v>
      </x:c>
      <x:c r="C31" s="58" t="str">
        <x:v>Alias支持重构</x:v>
      </x:c>
      <x:c r="D31" s="58" t="str">
        <x:v>包内锁定</x:v>
      </x:c>
      <x:c r="E31" s="58" t="str">
        <x:v>Registry解析</x:v>
      </x:c>
      <x:c r="F31" s="58" t="str">
        <x:v>Alias/Migration</x:v>
      </x:c>
      <x:c r="G31" s="58" t="str">
        <x:v>MissingType</x:v>
      </x:c>
      <x:c r="H31" s="58" t="str">
        <x:v>Golden工程</x:v>
      </x:c>
    </x:row>
    <x:row r="32">
      <x:c r="A32" s="66" t="str">
        <x:v>Definition Assets</x:v>
      </x:c>
      <x:c r="B32" s="66" t="str">
        <x:v>Symbol/SubGraph/Model版本独立于插件代码</x:v>
      </x:c>
      <x:c r="C32" s="66" t="str">
        <x:v>项目可固定版本</x:v>
      </x:c>
      <x:c r="D32" s="66" t="str">
        <x:v>Resolve依赖</x:v>
      </x:c>
      <x:c r="E32" s="66" t="str">
        <x:v>按Manifest加载</x:v>
      </x:c>
      <x:c r="F32" s="66" t="str">
        <x:v>显式升级</x:v>
      </x:c>
      <x:c r="G32" s="66" t="str">
        <x:v>VersionConflict</x:v>
      </x:c>
      <x:c r="H32" s="66" t="str">
        <x:v>升级报告</x:v>
      </x:c>
    </x:row>
    <x:row r="33">
      <x:c r="A33" s="58" t="str">
        <x:v>Native Dependency</x:v>
      </x:c>
      <x:c r="B33" s="58" t="str">
        <x:v>必须声明架构/版本/加载路径</x:v>
      </x:c>
      <x:c r="C33" s="58" t="str">
        <x:v>开发环境检查</x:v>
      </x:c>
      <x:c r="D33" s="58" t="str">
        <x:v>收集或声明外置</x:v>
      </x:c>
      <x:c r="E33" s="58" t="str">
        <x:v>隔离加载</x:v>
      </x:c>
      <x:c r="F33" s="58" t="str">
        <x:v>升级测试</x:v>
      </x:c>
      <x:c r="G33" s="58" t="str">
        <x:v>NativeLoadError</x:v>
      </x:c>
      <x:c r="H33" s="58" t="str">
        <x:v>生产验证</x:v>
      </x:c>
    </x:row>
    <x:row r="34">
      <x:c r="A34" s="66" t="str">
        <x:v>Removal</x:v>
      </x:c>
      <x:c r="B34" s="66" t="str">
        <x:v>插件移除不能破坏工程数据</x:v>
      </x:c>
      <x:c r="C34" s="66" t="str">
        <x:v>Unknown保底</x:v>
      </x:c>
      <x:c r="D34" s="66" t="str">
        <x:v>发布前阻止未满足依赖</x:v>
      </x:c>
      <x:c r="E34" s="66" t="str">
        <x:v>运行拒绝相关功能</x:v>
      </x:c>
      <x:c r="F34" s="66" t="str">
        <x:v>恢复插件后可还原</x:v>
      </x:c>
      <x:c r="G34" s="66" t="str">
        <x:v>MissingPlugin</x:v>
      </x:c>
      <x:c r="H34" s="66" t="str">
        <x:v>RoundTrip保真</x:v>
      </x:c>
    </x:row>
    <x:row r="35">
      <x:c r="A35"/>
      <x:c r="B35"/>
      <x:c r="C35"/>
      <x:c r="D35"/>
      <x:c r="E35"/>
      <x:c r="F35"/>
      <x:c r="G35"/>
      <x:c r="H35"/>
    </x:row>
    <x:row r="36" ht="24" customHeight="1">
      <x:c r="A36" s="40" t="str">
        <x:v>D. 平台扩展开发规范</x:v>
      </x:c>
      <x:c r="B36" s="40"/>
      <x:c r="C36" s="40"/>
      <x:c r="D36" s="40"/>
      <x:c r="E36" s="40"/>
      <x:c r="F36" s="40"/>
      <x:c r="G36" s="40"/>
      <x:c r="H36" s="40"/>
    </x:row>
    <x:row r="37" ht="28" customHeight="1">
      <x:c r="A37" s="50" t="str">
        <x:v>规则</x:v>
      </x:c>
      <x:c r="B37" s="50" t="str">
        <x:v>要求</x:v>
      </x:c>
      <x:c r="C37" s="50" t="str">
        <x:v>原因</x:v>
      </x:c>
      <x:c r="D37" s="50" t="str">
        <x:v>正确示例</x:v>
      </x:c>
      <x:c r="E37" s="50" t="str">
        <x:v>错误示例</x:v>
      </x:c>
      <x:c r="F37" s="50" t="str">
        <x:v>自动门禁</x:v>
      </x:c>
      <x:c r="G37" s="50" t="str">
        <x:v>文档要求</x:v>
      </x:c>
      <x:c r="H37" s="50"/>
    </x:row>
    <x:row r="38">
      <x:c r="A38" s="58" t="str">
        <x:v>注册而非switch</x:v>
      </x:c>
      <x:c r="B38" s="58" t="str">
        <x:v>新类型通过Descriptor/Registry进入平台</x:v>
      </x:c>
      <x:c r="C38" s="58" t="str">
        <x:v>保持开放封闭</x:v>
      </x:c>
      <x:c r="D38" s="58" t="str">
        <x:v>Register(NodeDescriptor)</x:v>
      </x:c>
      <x:c r="E38" s="58" t="str">
        <x:v>if(typeName==...)散落</x:v>
      </x:c>
      <x:c r="F38" s="58" t="str">
        <x:v>Registry coverage test</x:v>
      </x:c>
      <x:c r="G38" s="58" t="str">
        <x:v>SDK样例</x:v>
      </x:c>
      <x:c r="H38" s="58"/>
    </x:row>
    <x:row r="39">
      <x:c r="A39" s="66" t="str">
        <x:v>配置与运行分离</x:v>
      </x:c>
      <x:c r="B39" s="66" t="str">
        <x:v>Plugin Core Model不保存Runtime句柄</x:v>
      </x:c>
      <x:c r="C39" s="66" t="str">
        <x:v>可序列化/可测试</x:v>
      </x:c>
      <x:c r="D39" s="66" t="str">
        <x:v>CameraNodeConfig + Executor</x:v>
      </x:c>
      <x:c r="E39" s="66" t="str">
        <x:v>Config里存Camera对象</x:v>
      </x:c>
      <x:c r="F39" s="66" t="str">
        <x:v>Serialization test</x:v>
      </x:c>
      <x:c r="G39" s="66" t="str">
        <x:v>Contract doc</x:v>
      </x:c>
      <x:c r="H39" s="66"/>
    </x:row>
    <x:row r="40">
      <x:c r="A40" s="58" t="str">
        <x:v>异常隔离</x:v>
      </x:c>
      <x:c r="B40" s="58" t="str">
        <x:v>所有插件异常转Diagnostic/Result</x:v>
      </x:c>
      <x:c r="C40" s="58" t="str">
        <x:v>主程序稳定</x:v>
      </x:c>
      <x:c r="D40" s="58" t="str">
        <x:v>Executor boundary try/catch</x:v>
      </x:c>
      <x:c r="E40" s="58" t="str">
        <x:v>异常穿透UI主线程</x:v>
      </x:c>
      <x:c r="F40" s="58" t="str">
        <x:v>Fault injection</x:v>
      </x:c>
      <x:c r="G40" s="58" t="str">
        <x:v>Error codes</x:v>
      </x:c>
      <x:c r="H40" s="58"/>
    </x:row>
    <x:row r="41">
      <x:c r="A41" s="66" t="str">
        <x:v>资源有界</x:v>
      </x:c>
      <x:c r="B41" s="66" t="str">
        <x:v>缓存/线程/队列/Native/GPU资源必须可Dispose且有上限</x:v>
      </x:c>
      <x:c r="C41" s="66" t="str">
        <x:v>长期稳定</x:v>
      </x:c>
      <x:c r="D41" s="66" t="str">
        <x:v>IAsync/IDisposable pattern</x:v>
      </x:c>
      <x:c r="E41" s="66" t="str">
        <x:v>static无限缓存</x:v>
      </x:c>
      <x:c r="F41" s="66" t="str">
        <x:v>Soak test</x:v>
      </x:c>
      <x:c r="G41" s="66" t="str">
        <x:v>Lifecycle doc</x:v>
      </x:c>
      <x:c r="H41" s="66"/>
    </x:row>
    <x:row r="42">
      <x:c r="A42" s="58" t="str">
        <x:v>样例工程</x:v>
      </x:c>
      <x:c r="B42" s="58" t="str">
        <x:v>每类SDK必须有最小可运行Sample + Tests</x:v>
      </x:c>
      <x:c r="C42" s="58" t="str">
        <x:v>指导生态开发</x:v>
      </x:c>
      <x:c r="D42" s="58" t="str">
        <x:v>SampleNodePlugin</x:v>
      </x:c>
      <x:c r="E42" s="58" t="str">
        <x:v>只有接口无示例</x:v>
      </x:c>
      <x:c r="F42" s="58" t="str">
        <x:v>CI sample build</x:v>
      </x:c>
      <x:c r="G42" s="58" t="str">
        <x:v>README/API</x:v>
      </x:c>
      <x:c r="H42" s="58"/>
    </x:row>
    <x:row r="43">
      <x:c r="A43"/>
      <x:c r="B43"/>
      <x:c r="C43"/>
      <x:c r="D43"/>
      <x:c r="E43"/>
      <x:c r="F43"/>
      <x:c r="G43"/>
      <x:c r="H43"/>
    </x:row>
    <x:row r="44">
      <x:c r="A44"/>
      <x:c r="B44"/>
      <x:c r="C44"/>
      <x:c r="D44"/>
      <x:c r="E44"/>
      <x:c r="F44"/>
      <x:c r="G44"/>
      <x:c r="H44"/>
    </x:row>
    <x:row r="45" ht="24" customHeight="1">
      <x:c r="A45" s="40" t="str">
        <x:v>E. V2.2 专业扩展SDK</x:v>
      </x:c>
      <x:c r="B45" s="40"/>
      <x:c r="C45" s="40"/>
      <x:c r="D45" s="40"/>
      <x:c r="E45" s="40"/>
      <x:c r="F45" s="40"/>
      <x:c r="G45" s="40"/>
      <x:c r="H45" s="40"/>
    </x:row>
    <x:row r="46" ht="28" customHeight="1">
      <x:c r="A46" s="50" t="str">
        <x:v>扩展点</x:v>
      </x:c>
      <x:c r="B46" s="50" t="str">
        <x:v>SDK接口/描述</x:v>
      </x:c>
      <x:c r="C46" s="50" t="str">
        <x:v>注册内容</x:v>
      </x:c>
      <x:c r="D46" s="50" t="str">
        <x:v>运行载荷</x:v>
      </x:c>
      <x:c r="E46" s="50" t="str">
        <x:v>典型插件</x:v>
      </x:c>
      <x:c r="F46" s="50" t="str">
        <x:v>隔离建议</x:v>
      </x:c>
      <x:c r="G46" s="50" t="str">
        <x:v>兼容策略</x:v>
      </x:c>
      <x:c r="H46" s="50"/>
    </x:row>
    <x:row r="47">
      <x:c r="A47" s="66" t="str">
        <x:v>Robot Provider</x:v>
      </x:c>
      <x:c r="B47" s="66" t="str">
        <x:v>IRobotControllerPlugin + RobotCapabilityDescriptor</x:v>
      </x:c>
      <x:c r="C47" s="66" t="str">
        <x:v>品牌/型号/命令/状态/Path能力/IO/外部轴</x:v>
      </x:c>
      <x:c r="D47" s="66" t="str">
        <x:v>Vendor SDK/Controller Session</x:v>
      </x:c>
      <x:c r="E47" s="66" t="str">
        <x:v>ABB/FANUC/KUKA/安川等Adapter</x:v>
      </x:c>
      <x:c r="F47" s="66" t="str">
        <x:v>Integration独立；高风险可进Worker</x:v>
      </x:c>
      <x:c r="G47" s="66" t="str">
        <x:v>DriverProtocolVersion/Capability</x:v>
      </x:c>
      <x:c r="H47" s="66"/>
    </x:row>
    <x:row r="48">
      <x:c r="A48" s="58" t="str">
        <x:v>Robot Process Node</x:v>
      </x:c>
      <x:c r="B48" s="58" t="str">
        <x:v>IRobotProcessNodePlugin</x:v>
      </x:c>
      <x:c r="C48" s="58" t="str">
        <x:v>工艺Node Descriptor/参数/资源/ExecutorKey</x:v>
      </x:c>
      <x:c r="D48" s="58" t="str">
        <x:v>Robot Runtime</x:v>
      </x:c>
      <x:c r="E48" s="58" t="str">
        <x:v>焊接/涂胶/螺丝/抓取工艺</x:v>
      </x:c>
      <x:c r="F48" s="58" t="str">
        <x:v>按第三方依赖选择</x:v>
      </x:c>
      <x:c r="G48" s="58" t="str">
        <x:v>NodeTypeId/ApiVersion</x:v>
      </x:c>
      <x:c r="H48" s="58"/>
    </x:row>
    <x:row r="49">
      <x:c r="A49" s="66" t="str">
        <x:v>CT Reconstruction</x:v>
      </x:c>
      <x:c r="B49" s="66" t="str">
        <x:v>IReconstructionPlugin</x:v>
      </x:c>
      <x:c r="C49" s="66" t="str">
        <x:v>输入Projection/Geometry/Params/输出Volume/Resource hints</x:v>
      </x:c>
      <x:c r="D49" s="66" t="str">
        <x:v>CT Worker/Native/GPU</x:v>
      </x:c>
      <x:c r="E49" s="66" t="str">
        <x:v>RTK/ASTRA/自研FBP/FDK/SART</x:v>
      </x:c>
      <x:c r="F49" s="66" t="str">
        <x:v>Worker进程强烈建议</x:v>
      </x:c>
      <x:c r="G49" s="66" t="str">
        <x:v>Plugin/ABI/AlgorithmVersion</x:v>
      </x:c>
      <x:c r="H49" s="66"/>
    </x:row>
    <x:row r="50">
      <x:c r="A50" s="58" t="str">
        <x:v>3D Algorithm</x:v>
      </x:c>
      <x:c r="B50" s="58" t="str">
        <x:v>I3DAlgorithmPlugin</x:v>
      </x:c>
      <x:c r="C50" s="58" t="str">
        <x:v>Volume/Region/Mesh typed ports + params</x:v>
      </x:c>
      <x:c r="D50" s="58" t="str">
        <x:v>CT Worker</x:v>
      </x:c>
      <x:c r="E50" s="58" t="str">
        <x:v>3D segmentation/registration/measure</x:v>
      </x:c>
      <x:c r="F50" s="58" t="str">
        <x:v>Worker/GPU</x:v>
      </x:c>
      <x:c r="G50" s="58" t="str">
        <x:v>DataType/ApiVersion</x:v>
      </x:c>
      <x:c r="H50" s="58"/>
    </x:row>
    <x:row r="51">
      <x:c r="A51" s="66" t="str">
        <x:v>CT Viewer</x:v>
      </x:c>
      <x:c r="B51" s="66" t="str">
        <x:v>IVolumeViewerPlugin</x:v>
      </x:c>
      <x:c r="C51" s="66" t="str">
        <x:v>DataType/Viewer capability/LOD/Overlay</x:v>
      </x:c>
      <x:c r="D51" s="66" t="str">
        <x:v>Studio Viewer</x:v>
      </x:c>
      <x:c r="E51" s="66" t="str">
        <x:v>VTK/OpenGL/自研3D viewer</x:v>
      </x:c>
      <x:c r="F51" s="66" t="str">
        <x:v>UI进程；只读Handle</x:v>
      </x:c>
      <x:c r="G51" s="66" t="str">
        <x:v>ViewerApiVersion</x:v>
      </x:c>
      <x:c r="H51" s="66"/>
    </x:row>
    <x:row r="52">
      <x:c r="A52" s="58" t="str">
        <x:v>Ops Notification</x:v>
      </x:c>
      <x:c r="B52" s="58" t="str">
        <x:v>IOpsNotificationPlugin</x:v>
      </x:c>
      <x:c r="C52" s="58" t="str">
        <x:v>Event filter/channel/template</x:v>
      </x:c>
      <x:c r="D52" s="58" t="str">
        <x:v>中心服务</x:v>
      </x:c>
      <x:c r="E52" s="58" t="str">
        <x:v>邮件/企业IM/工单</x:v>
      </x:c>
      <x:c r="F52" s="58" t="str">
        <x:v>中心服务隔离</x:v>
      </x:c>
      <x:c r="G52" s="58" t="str">
        <x:v>ApiVersion/SecretRef</x:v>
      </x:c>
      <x:c r="H52" s="58"/>
    </x:row>
    <x:row r="53">
      <x:c r="A53" s="66" t="str">
        <x:v>Ops Storage/Index</x:v>
      </x:c>
      <x:c r="B53" s="66" t="str">
        <x:v>IOpsTelemetryStore/IArtifactStore</x:v>
      </x:c>
      <x:c r="C53" s="66" t="str">
        <x:v>metric/event/index/artifact capabilities</x:v>
      </x:c>
      <x:c r="D53" s="66" t="str">
        <x:v>中心存储服务</x:v>
      </x:c>
      <x:c r="E53" s="66" t="str">
        <x:v>SQL/时序库/Object Store</x:v>
      </x:c>
      <x:c r="F53" s="66" t="str">
        <x:v>独立服务</x:v>
      </x:c>
      <x:c r="G53" s="66" t="str">
        <x:v>Store schema capability</x:v>
      </x:c>
      <x:c r="H53" s="66"/>
    </x:row>
    <x:row r="54">
      <x:c r="A54" s="58" t="str">
        <x:v>Station Maintenance Action</x:v>
      </x:c>
      <x:c r="B54" s="58" t="str">
        <x:v>IStationMaintenanceActionPlugin</x:v>
      </x:c>
      <x:c r="C54" s="58" t="str">
        <x:v>窄Capability/参数/权限/结果</x:v>
      </x:c>
      <x:c r="D54" s="58" t="str">
        <x:v>Station Agent</x:v>
      </x:c>
      <x:c r="E54" s="58" t="str">
        <x:v>厂商诊断/受控重启/缓存清理</x:v>
      </x:c>
      <x:c r="F54" s="58" t="str">
        <x:v>严格白名单</x:v>
      </x:c>
      <x:c r="G54" s="58" t="str">
        <x:v>ActionTypeId/Policy</x:v>
      </x:c>
      <x:c r="H54" s="58"/>
    </x:row>
    <x:row r="55">
      <x:c r="A55"/>
      <x:c r="B55"/>
      <x:c r="C55"/>
      <x:c r="D55"/>
      <x:c r="E55"/>
      <x:c r="F55"/>
      <x:c r="G55"/>
      <x:c r="H55"/>
    </x:row>
    <x:row r="56" ht="24" customHeight="1">
      <x:c r="A56" s="40" t="str">
        <x:v>F. 专业插件发布门禁</x:v>
      </x:c>
      <x:c r="B56" s="40"/>
      <x:c r="C56" s="40"/>
      <x:c r="D56" s="40"/>
      <x:c r="E56" s="40"/>
      <x:c r="F56" s="40"/>
      <x:c r="G56" s="40"/>
      <x:c r="H56" s="40"/>
    </x:row>
    <x:row r="57" ht="28" customHeight="1">
      <x:c r="A57" s="50" t="str">
        <x:v>门禁</x:v>
      </x:c>
      <x:c r="B57" s="50" t="str">
        <x:v>Robot</x:v>
      </x:c>
      <x:c r="C57" s="50" t="str">
        <x:v>CT/3D</x:v>
      </x:c>
      <x:c r="D57" s="50" t="str">
        <x:v>Operations</x:v>
      </x:c>
      <x:c r="E57" s="50" t="str">
        <x:v>共同要求</x:v>
      </x:c>
      <x:c r="F57" s="50" t="str">
        <x:v>失败处理</x:v>
      </x:c>
      <x:c r="G57" s="50" t="str">
        <x:v>证据</x:v>
      </x:c>
      <x:c r="H57" s="50"/>
    </x:row>
    <x:row r="58">
      <x:c r="A58" s="66" t="str">
        <x:v>Contract</x:v>
      </x:c>
      <x:c r="B58" s="66" t="str">
        <x:v>Robot Capability/State/Command合同</x:v>
      </x:c>
      <x:c r="C58" s="66" t="str">
        <x:v>Typed Data/Recon/Viewer合同</x:v>
      </x:c>
      <x:c r="D58" s="66" t="str">
        <x:v>Agent/Ops API合同</x:v>
      </x:c>
      <x:c r="E58" s="66" t="str">
        <x:v>ApiVersion兼容</x:v>
      </x:c>
      <x:c r="F58" s="66" t="str">
        <x:v>拒绝加载/降级</x:v>
      </x:c>
      <x:c r="G58" s="66" t="str">
        <x:v>Contract report</x:v>
      </x:c>
      <x:c r="H58" s="66"/>
    </x:row>
    <x:row r="59">
      <x:c r="A59" s="58" t="str">
        <x:v>Isolation</x:v>
      </x:c>
      <x:c r="B59" s="58" t="str">
        <x:v>Vendor SDK不进Core</x:v>
      </x:c>
      <x:c r="C59" s="58" t="str">
        <x:v>Native/GPU Worker隔离</x:v>
      </x:c>
      <x:c r="D59" s="58" t="str">
        <x:v>中心Adapter服务隔离</x:v>
      </x:c>
      <x:c r="E59" s="58" t="str">
        <x:v>异常不穿透主流程</x:v>
      </x:c>
      <x:c r="F59" s="58" t="str">
        <x:v>禁用插件/重启Worker</x:v>
      </x:c>
      <x:c r="G59" s="58" t="str">
        <x:v>Crash tests</x:v>
      </x:c>
      <x:c r="H59" s="58"/>
    </x:row>
    <x:row r="60">
      <x:c r="A60" s="66" t="str">
        <x:v>Version</x:v>
      </x:c>
      <x:c r="B60" s="66" t="str">
        <x:v>Driver/Firmware/Profile关系</x:v>
      </x:c>
      <x:c r="C60" s="66" t="str">
        <x:v>Algorithm/Model/Calibration/ABI</x:v>
      </x:c>
      <x:c r="D60" s="66" t="str">
        <x:v>Agent/Protocol/Store schema</x:v>
      </x:c>
      <x:c r="E60" s="66" t="str">
        <x:v>Manifest锁ResolvedVersion</x:v>
      </x:c>
      <x:c r="F60" s="66" t="str">
        <x:v>发布前冲突报告</x:v>
      </x:c>
      <x:c r="G60" s="66" t="str">
        <x:v>Compatibility report</x:v>
      </x:c>
      <x:c r="H60" s="66"/>
    </x:row>
    <x:row r="61">
      <x:c r="A61" s="58" t="str">
        <x:v>Security</x:v>
      </x:c>
      <x:c r="B61" s="58" t="str">
        <x:v>危险Robot动作权限</x:v>
      </x:c>
      <x:c r="C61" s="58" t="str">
        <x:v>Artifact/模型/文件权限</x:v>
      </x:c>
      <x:c r="D61" s="58" t="str">
        <x:v>Remote/Maintenance capability权限</x:v>
      </x:c>
      <x:c r="E61" s="58" t="str">
        <x:v>Signature/Capabilities/Least privilege</x:v>
      </x:c>
      <x:c r="F61" s="58" t="str">
        <x:v>生产禁用不可信插件</x:v>
      </x:c>
      <x:c r="G61" s="58" t="str">
        <x:v>Security report</x:v>
      </x:c>
      <x:c r="H61" s="58"/>
    </x:row>
    <x:row r="62">
      <x:c r="A62" s="66" t="str">
        <x:v>Soak</x:v>
      </x:c>
      <x:c r="B62" s="66" t="str">
        <x:v>长时状态/重连</x:v>
      </x:c>
      <x:c r="C62" s="66" t="str">
        <x:v>GPU/内存/Handle/临时文件</x:v>
      </x:c>
      <x:c r="D62" s="66" t="str">
        <x:v>Telemetry/队列/数据库</x:v>
      </x:c>
      <x:c r="E62" s="66" t="str">
        <x:v>有界资源/Dispose</x:v>
      </x:c>
      <x:c r="F62" s="66" t="str">
        <x:v>阻断生产发布</x:v>
      </x:c>
      <x:c r="G62" s="66" t="str">
        <x:v>Soak report</x:v>
      </x:c>
      <x:c r="H62" s="66"/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36" hidden="0" customWidth="1"/>
    <x:col min="4" max="4" width="34" hidden="0" customWidth="1"/>
    <x:col min="5" max="5" width="32" hidden="0" customWidth="1"/>
    <x:col min="6" max="6" width="30" hidden="0" customWidth="1"/>
    <x:col min="7" max="7" width="28" hidden="0" customWidth="1"/>
    <x:col min="8" max="8" width="28" hidden="0" customWidth="1"/>
  </x:cols>
  <x:sheetData>
    <x:row r="1" ht="30" customHeight="1">
      <x:c r="A1" s="8" t="str">
        <x:v>Graph 性能 / 诊断 / 可观测性</x:v>
      </x:c>
      <x:c r="B1" s="8"/>
      <x:c r="C1" s="8"/>
      <x:c r="D1" s="8"/>
      <x:c r="E1" s="8"/>
      <x:c r="F1" s="8"/>
      <x:c r="G1" s="8"/>
      <x:c r="H1" s="8"/>
    </x:row>
    <x:row r="2" ht="38" customHeight="1">
      <x:c r="A2" s="16" t="str">
        <x:v>统一线程、队列、缓存、Backpressure、Trace、Health、Metrics、Correlation与降级模型，覆盖Visual/SCADA及所有Domain。</x:v>
      </x:c>
      <x:c r="B2" s="16"/>
      <x:c r="C2" s="16"/>
      <x:c r="D2" s="16"/>
      <x:c r="E2" s="16"/>
      <x:c r="F2" s="16"/>
      <x:c r="G2" s="16"/>
      <x:c r="H2" s="16"/>
    </x:row>
    <x:row r="3">
      <x:c r="A3" s="30" t="str">
        <x:v>本页唯一权威</x:v>
      </x:c>
      <x:c r="B3" s="31" t="str">
        <x:v>线程模型、性能预算、Trace/Diagnostic、Bounded Queue、Soak指标以及Robot/CT/Operations专业性能指标。</x:v>
      </x:c>
      <x:c r="C3" s="31"/>
      <x:c r="D3" s="31"/>
      <x:c r="E3" s="31"/>
      <x:c r="F3" s="31"/>
      <x:c r="G3" s="31"/>
      <x:c r="H3" s="31"/>
    </x:row>
    <x:row r="4">
      <x:c r="A4" s="30" t="str">
        <x:v>不在本页维护</x:v>
      </x:c>
      <x:c r="B4" s="31" t="str">
        <x:v>项目具体UPH/图像尺寸/站点数阈值；见44项目实例规格。</x:v>
      </x:c>
      <x:c r="C4" s="31"/>
      <x:c r="D4" s="31"/>
      <x:c r="E4" s="31"/>
      <x:c r="F4" s="31"/>
      <x:c r="G4" s="31"/>
      <x:c r="H4" s="31"/>
    </x:row>
    <x:row r="5">
      <x:c r="A5" s="30" t="str">
        <x:v>关联分页</x:v>
      </x:c>
      <x:c r="B5" s="31" t="str">
        <x:v>20_Graph类型系统与数据契约；23_GraphRuntime部署可靠性Agent；26_Graph平台测试与架构门禁。</x:v>
      </x:c>
      <x:c r="C5" s="31"/>
      <x:c r="D5" s="31"/>
      <x:c r="E5" s="31"/>
      <x:c r="F5" s="31"/>
      <x:c r="G5" s="31"/>
      <x:c r="H5" s="31"/>
    </x:row>
    <x:row r="6">
      <x:c r="A6"/>
      <x:c r="B6"/>
      <x:c r="C6"/>
      <x:c r="D6"/>
      <x:c r="E6"/>
      <x:c r="F6"/>
      <x:c r="G6"/>
      <x:c r="H6"/>
    </x:row>
    <x:row r="7" ht="24" customHeight="1">
      <x:c r="A7" s="40" t="str">
        <x:v>A. 线程与调度模型</x:v>
      </x:c>
      <x:c r="B7" s="40"/>
      <x:c r="C7" s="40"/>
      <x:c r="D7" s="40"/>
      <x:c r="E7" s="40"/>
      <x:c r="F7" s="40"/>
      <x:c r="G7" s="40"/>
      <x:c r="H7" s="40"/>
    </x:row>
    <x:row r="8" ht="28" customHeight="1">
      <x:c r="A8" s="50" t="str">
        <x:v>模块/场景</x:v>
      </x:c>
      <x:c r="B8" s="50" t="str">
        <x:v>执行线程</x:v>
      </x:c>
      <x:c r="C8" s="50" t="str">
        <x:v>状态归属</x:v>
      </x:c>
      <x:c r="D8" s="50" t="str">
        <x:v>同步策略</x:v>
      </x:c>
      <x:c r="E8" s="50" t="str">
        <x:v>UI提交策略</x:v>
      </x:c>
      <x:c r="F8" s="50" t="str">
        <x:v>性能措施</x:v>
      </x:c>
      <x:c r="G8" s="50" t="str">
        <x:v>禁止做法</x:v>
      </x:c>
      <x:c r="H8" s="50" t="str">
        <x:v>测试</x:v>
      </x:c>
    </x:row>
    <x:row r="9">
      <x:c r="A9" s="58" t="str">
        <x:v>WinForms/WPF Host创建</x:v>
      </x:c>
      <x:c r="B9" s="58" t="str">
        <x:v>WinForms STA UI线程</x:v>
      </x:c>
      <x:c r="C9" s="58" t="str">
        <x:v>HostControl/CxVisualRuntimeView</x:v>
      </x:c>
      <x:c r="D9" s="58" t="str">
        <x:v>无需跨线程</x:v>
      </x:c>
      <x:c r="E9" s="58" t="str">
        <x:v>ElementHost.Child同线程</x:v>
      </x:c>
      <x:c r="F9" s="58" t="str">
        <x:v>延迟加载复杂页面</x:v>
      </x:c>
      <x:c r="G9" s="58" t="str">
        <x:v>后台线程new WPF Visual</x:v>
      </x:c>
      <x:c r="H9" s="58" t="str">
        <x:v>嵌入反复创建/销毁</x:v>
      </x:c>
    </x:row>
    <x:row r="10">
      <x:c r="A10" s="66" t="str">
        <x:v>Designer鼠标交互</x:v>
      </x:c>
      <x:c r="B10" s="66" t="str">
        <x:v>WPF UI线程</x:v>
      </x:c>
      <x:c r="C10" s="66" t="str">
        <x:v>Tool/PreviewSession</x:v>
      </x:c>
      <x:c r="D10" s="66" t="str">
        <x:v>单线程</x:v>
      </x:c>
      <x:c r="E10" s="66" t="str">
        <x:v>直接预览Visual；结束Command</x:v>
      </x:c>
      <x:c r="F10" s="66" t="str">
        <x:v>MouseMove只做轻计算</x:v>
      </x:c>
      <x:c r="G10" s="66" t="str">
        <x:v>MouseMove序列化/IO</x:v>
      </x:c>
      <x:c r="H10" s="66" t="str">
        <x:v>高速拖动</x:v>
      </x:c>
    </x:row>
    <x:row r="11">
      <x:c r="A11" s="58" t="str">
        <x:v>Project Snapshot</x:v>
      </x:c>
      <x:c r="B11" s="58" t="str">
        <x:v>UI线程短暂</x:v>
      </x:c>
      <x:c r="C11" s="58" t="str">
        <x:v>Project immutable snapshot</x:v>
      </x:c>
      <x:c r="D11" s="58" t="str">
        <x:v>文档写锁/编辑暂停极短</x:v>
      </x:c>
      <x:c r="E11" s="58" t="str">
        <x:v>无</x:v>
      </x:c>
      <x:c r="F11" s="58" t="str">
        <x:v>只复制必要对象</x:v>
      </x:c>
      <x:c r="G11" s="58" t="str">
        <x:v>UI线程打ZIP</x:v>
      </x:c>
      <x:c r="H11" s="58" t="str">
        <x:v>大工程保存</x:v>
      </x:c>
    </x:row>
    <x:row r="12">
      <x:c r="A12" s="66" t="str">
        <x:v>JSON/ZIP Save</x:v>
      </x:c>
      <x:c r="B12" s="66" t="str">
        <x:v>后台工作线程</x:v>
      </x:c>
      <x:c r="C12" s="66" t="str">
        <x:v>Snapshot</x:v>
      </x:c>
      <x:c r="D12" s="66" t="str">
        <x:v>无Model写</x:v>
      </x:c>
      <x:c r="E12" s="66" t="str">
        <x:v>完成后UI通知</x:v>
      </x:c>
      <x:c r="F12" s="66" t="str">
        <x:v>流式、只写dirty资源</x:v>
      </x:c>
      <x:c r="G12" s="66" t="str">
        <x:v>直接覆盖正式文件</x:v>
      </x:c>
      <x:c r="H12" s="66" t="str">
        <x:v>断电/失败注入</x:v>
      </x:c>
    </x:row>
    <x:row r="13">
      <x:c r="A13" s="58" t="str">
        <x:v>SVG Analyze/Import</x:v>
      </x:c>
      <x:c r="B13" s="58" t="str">
        <x:v>后台解析+UI提交</x:v>
      </x:c>
      <x:c r="C13" s="58" t="str">
        <x:v>ImportPlan</x:v>
      </x:c>
      <x:c r="D13" s="58" t="str">
        <x:v>取消Token</x:v>
      </x:c>
      <x:c r="E13" s="58" t="str">
        <x:v>最终Command在UI提交</x:v>
      </x:c>
      <x:c r="F13" s="58" t="str">
        <x:v>安全限制、可取消</x:v>
      </x:c>
      <x:c r="G13" s="58" t="str">
        <x:v>UI线程解析大SVG</x:v>
      </x:c>
      <x:c r="H13" s="58" t="str">
        <x:v>复杂SVG样本</x:v>
      </x:c>
    </x:row>
    <x:row r="14">
      <x:c r="A14" s="66" t="str">
        <x:v>Variable Provider回调</x:v>
      </x:c>
      <x:c r="B14" s="66" t="str">
        <x:v>Provider/通信线程</x:v>
      </x:c>
      <x:c r="C14" s="66" t="str">
        <x:v>Provider cache/VariableEngine</x:v>
      </x:c>
      <x:c r="D14" s="66" t="str">
        <x:v>批量batch/最小锁</x:v>
      </x:c>
      <x:c r="E14" s="66" t="str">
        <x:v>不直接UI</x:v>
      </x:c>
      <x:c r="F14" s="66" t="str">
        <x:v>合并订阅、批量值</x:v>
      </x:c>
      <x:c r="G14" s="66" t="str">
        <x:v>每Tag Dispatcher.BeginInvoke</x:v>
      </x:c>
      <x:c r="H14" s="66" t="str">
        <x:v>高频10k变量</x:v>
      </x:c>
    </x:row>
    <x:row r="15">
      <x:c r="A15" s="58" t="str">
        <x:v>Binding Evaluate</x:v>
      </x:c>
      <x:c r="B15" s="58" t="str">
        <x:v>后台Runtime worker</x:v>
      </x:c>
      <x:c r="C15" s="58" t="str">
        <x:v>RuntimePropertyStore</x:v>
      </x:c>
      <x:c r="D15" s="58" t="str">
        <x:v>分区/批量；避免粗全局锁</x:v>
      </x:c>
      <x:c r="E15" s="58" t="str">
        <x:v>只把dirty visual batch Post到UI</x:v>
      </x:c>
      <x:c r="F15" s="58" t="str">
        <x:v>Compiled plan、值相等不更新</x:v>
      </x:c>
      <x:c r="G15" s="58" t="str">
        <x:v>每binding独立Task</x:v>
      </x:c>
      <x:c r="H15" s="58" t="str">
        <x:v>吞吐/延迟</x:v>
      </x:c>
    </x:row>
    <x:row r="16">
      <x:c r="A16" s="66" t="str">
        <x:v>Renderer Update</x:v>
      </x:c>
      <x:c r="B16" s="66" t="str">
        <x:v>WPF UI线程</x:v>
      </x:c>
      <x:c r="C16" s="66" t="str">
        <x:v>VisualHandle/Scene</x:v>
      </x:c>
      <x:c r="D16" s="66" t="str">
        <x:v>UI单线程</x:v>
      </x:c>
      <x:c r="E16" s="66" t="str">
        <x:v>批量Update</x:v>
      </x:c>
      <x:c r="F16" s="66" t="str">
        <x:v>dirty分类、Freeze、缓存</x:v>
      </x:c>
      <x:c r="G16" s="66" t="str">
        <x:v>后台改DependencyObject</x:v>
      </x:c>
      <x:c r="H16" s="66" t="str">
        <x:v>500元素刷新</x:v>
      </x:c>
    </x:row>
    <x:row r="17">
      <x:c r="A17" s="58" t="str">
        <x:v>Animation</x:v>
      </x:c>
      <x:c r="B17" s="58" t="str">
        <x:v>WPF UI scheduler</x:v>
      </x:c>
      <x:c r="C17" s="58" t="str">
        <x:v>AnimationScheduler</x:v>
      </x:c>
      <x:c r="D17" s="58" t="str">
        <x:v>单ticker</x:v>
      </x:c>
      <x:c r="E17" s="58" t="str">
        <x:v>可见对象批量更新</x:v>
      </x:c>
      <x:c r="F17" s="58" t="str">
        <x:v>隐藏页暂停绘制</x:v>
      </x:c>
      <x:c r="G17" s="58" t="str">
        <x:v>每对象一个DispatcherTimer</x:v>
      </x:c>
      <x:c r="H17" s="58" t="str">
        <x:v>100动画老化</x:v>
      </x:c>
    </x:row>
    <x:row r="18">
      <x:c r="A18" s="66" t="str">
        <x:v>Chart sampling</x:v>
      </x:c>
      <x:c r="B18" s="66" t="str">
        <x:v>后台/Provider线程</x:v>
      </x:c>
      <x:c r="C18" s="66" t="str">
        <x:v>ring buffer</x:v>
      </x:c>
      <x:c r="D18" s="66" t="str">
        <x:v>lock-free/短锁</x:v>
      </x:c>
      <x:c r="E18" s="66" t="str">
        <x:v>绘制按较低周期UI刷新</x:v>
      </x:c>
      <x:c r="F18" s="66" t="str">
        <x:v>采样/绘制分离、downsample</x:v>
      </x:c>
      <x:c r="G18" s="66" t="str">
        <x:v>每采样点立即InvalidatePlot</x:v>
      </x:c>
      <x:c r="H18" s="66" t="str">
        <x:v>高频趋势</x:v>
      </x:c>
    </x:row>
    <x:row r="19">
      <x:c r="A19" s="58" t="str">
        <x:v>History Write</x:v>
      </x:c>
      <x:c r="B19" s="58" t="str">
        <x:v>后台队列</x:v>
      </x:c>
      <x:c r="C19" s="58" t="str">
        <x:v>store-forward queue</x:v>
      </x:c>
      <x:c r="D19" s="58" t="str">
        <x:v>单writer/batch transaction</x:v>
      </x:c>
      <x:c r="E19" s="58" t="str">
        <x:v>无</x:v>
      </x:c>
      <x:c r="F19" s="58" t="str">
        <x:v>批量写、重试、容量上限</x:v>
      </x:c>
      <x:c r="G19" s="58" t="str">
        <x:v>通信线程同步DB写</x:v>
      </x:c>
      <x:c r="H19" s="58" t="str">
        <x:v>断DB恢复</x:v>
      </x:c>
    </x:row>
    <x:row r="20">
      <x:c r="A20" s="66" t="str">
        <x:v>History Query</x:v>
      </x:c>
      <x:c r="B20" s="66" t="str">
        <x:v>后台可取消</x:v>
      </x:c>
      <x:c r="C20" s="66" t="str">
        <x:v>query session</x:v>
      </x:c>
      <x:c r="D20" s="66" t="str">
        <x:v>CancellationToken</x:v>
      </x:c>
      <x:c r="E20" s="66" t="str">
        <x:v>分页结果/最终图表批量提交</x:v>
      </x:c>
      <x:c r="F20" s="66" t="str">
        <x:v>pixel-aware downsample</x:v>
      </x:c>
      <x:c r="G20" s="66" t="str">
        <x:v>UI线程查询大范围</x:v>
      </x:c>
      <x:c r="H20" s="66" t="str">
        <x:v>取消/超时</x:v>
      </x:c>
    </x:row>
    <x:row r="21">
      <x:c r="A21" s="58" t="str">
        <x:v>Report Generate</x:v>
      </x:c>
      <x:c r="B21" s="58" t="str">
        <x:v>后台Job</x:v>
      </x:c>
      <x:c r="C21" s="58" t="str">
        <x:v>ReportJob</x:v>
      </x:c>
      <x:c r="D21" s="58" t="str">
        <x:v>队列/取消</x:v>
      </x:c>
      <x:c r="E21" s="58" t="str">
        <x:v>进度通知</x:v>
      </x:c>
      <x:c r="F21" s="58" t="str">
        <x:v>流式导出</x:v>
      </x:c>
      <x:c r="G21" s="58" t="str">
        <x:v>UI阻塞打印/导出</x:v>
      </x:c>
      <x:c r="H21" s="58" t="str">
        <x:v>大报表</x:v>
      </x:c>
    </x:row>
    <x:row r="22">
      <x:c r="A22" s="66" t="str">
        <x:v>Audit Write</x:v>
      </x:c>
      <x:c r="B22" s="66" t="str">
        <x:v>后台可靠队列</x:v>
      </x:c>
      <x:c r="C22" s="66" t="str">
        <x:v>AuditService</x:v>
      </x:c>
      <x:c r="D22" s="66" t="str">
        <x:v>顺序/flush</x:v>
      </x:c>
      <x:c r="E22" s="66" t="str">
        <x:v>仅失败状态通知</x:v>
      </x:c>
      <x:c r="F22" s="66" t="str">
        <x:v>批量+落盘策略</x:v>
      </x:c>
      <x:c r="G22" s="66" t="str">
        <x:v>UI同步远程审计</x:v>
      </x:c>
      <x:c r="H22" s="66" t="str">
        <x:v>高频操作</x:v>
      </x:c>
    </x:row>
    <x:row r="23">
      <x:c r="A23" s="58" t="str">
        <x:v>Plugin Load</x:v>
      </x:c>
      <x:c r="B23" s="58" t="str">
        <x:v>启动/显式操作线程</x:v>
      </x:c>
      <x:c r="C23" s="58" t="str">
        <x:v>PluginHost</x:v>
      </x:c>
      <x:c r="D23" s="58" t="str">
        <x:v>串行注册</x:v>
      </x:c>
      <x:c r="E23" s="58" t="str">
        <x:v>注册完成后UI刷新工具箱</x:v>
      </x:c>
      <x:c r="F23" s="58" t="str">
        <x:v>缓存metadata</x:v>
      </x:c>
      <x:c r="G23" s="58" t="str">
        <x:v>运行中随意跨线程改Registry</x:v>
      </x:c>
      <x:c r="H23" s="58" t="str">
        <x:v>缺插件/坏插件</x:v>
      </x:c>
    </x:row>
    <x:row r="24">
      <x:c r="A24" s="66" t="str">
        <x:v>Runtime Stop</x:v>
      </x:c>
      <x:c r="B24" s="66" t="str">
        <x:v>调用线程协调+等待worker</x:v>
      </x:c>
      <x:c r="C24" s="66" t="str">
        <x:v>Runtime session</x:v>
      </x:c>
      <x:c r="D24" s="66" t="str">
        <x:v>先停止输入→取消worker→Dispose subscription→UI detach</x:v>
      </x:c>
      <x:c r="E24" s="66" t="str">
        <x:v>最终UI清Scene</x:v>
      </x:c>
      <x:c r="F24" s="66" t="str">
        <x:v>幂等/超时保护</x:v>
      </x:c>
      <x:c r="G24" s="66" t="str">
        <x:v>先销毁UI后仍回调</x:v>
      </x:c>
      <x:c r="H24" s="66" t="str">
        <x:v>反复Start/Stop</x:v>
      </x:c>
    </x:row>
    <x:row r="25">
      <x:c r="A25"/>
      <x:c r="B25"/>
      <x:c r="C25"/>
      <x:c r="D25"/>
      <x:c r="E25"/>
      <x:c r="F25"/>
      <x:c r="G25"/>
      <x:c r="H25"/>
    </x:row>
    <x:row r="26">
      <x:c r="A26"/>
      <x:c r="B26"/>
      <x:c r="C26"/>
      <x:c r="D26"/>
      <x:c r="E26"/>
      <x:c r="F26"/>
      <x:c r="G26"/>
      <x:c r="H26"/>
    </x:row>
    <x:row r="27" ht="24" customHeight="1">
      <x:c r="A27" s="40" t="str">
        <x:v>B. 异常 / Diagnostic / 日志 / 审计 / 降级</x:v>
      </x:c>
      <x:c r="B27" s="40"/>
      <x:c r="C27" s="40"/>
      <x:c r="D27" s="40"/>
      <x:c r="E27" s="40"/>
      <x:c r="F27" s="40"/>
      <x:c r="G27" s="40"/>
      <x:c r="H27" s="40"/>
    </x:row>
    <x:row r="28" ht="28" customHeight="1">
      <x:c r="A28" s="50" t="str">
        <x:v>机制/类</x:v>
      </x:c>
      <x:c r="B28" s="50" t="str">
        <x:v>用途</x:v>
      </x:c>
      <x:c r="C28" s="50" t="str">
        <x:v>数据结构</x:v>
      </x:c>
      <x:c r="D28" s="50" t="str">
        <x:v>处理策略</x:v>
      </x:c>
      <x:c r="E28" s="50" t="str">
        <x:v>用户可见</x:v>
      </x:c>
      <x:c r="F28" s="50" t="str">
        <x:v>日志/诊断</x:v>
      </x:c>
      <x:c r="G28" s="50" t="str">
        <x:v>static部分</x:v>
      </x:c>
      <x:c r="H28" s="50" t="str">
        <x:v>禁止</x:v>
      </x:c>
    </x:row>
    <x:row r="29">
      <x:c r="A29" s="58" t="str">
        <x:v>DiagnosticRecord</x:v>
      </x:c>
      <x:c r="B29" s="58" t="str">
        <x:v>统一设计/运行诊断</x:v>
      </x:c>
      <x:c r="C29" s="58" t="str">
        <x:v>Code/Level/Module/PageId/ElementId/VariableId/Message/Detail/Resolution/AffectsPublish</x:v>
      </x:c>
      <x:c r="D29" s="58" t="str">
        <x:v>收集而非立即弹窗；严重级别决定阻止保存/发布/运行</x:v>
      </x:c>
      <x:c r="E29" s="58" t="str">
        <x:v>OutputPanel可定位</x:v>
      </x:c>
      <x:c r="F29" s="58" t="str">
        <x:v>DiagnosticSink</x:v>
      </x:c>
      <x:c r="G29" s="58" t="str">
        <x:v>DiagnosticCodes</x:v>
      </x:c>
      <x:c r="H29" s="58" t="str">
        <x:v>只输出一段字符串无上下文</x:v>
      </x:c>
    </x:row>
    <x:row r="30">
      <x:c r="A30" s="66" t="str">
        <x:v>Result&lt;T&gt; / OperationResult</x:v>
      </x:c>
      <x:c r="B30" s="66" t="str">
        <x:v>可预期失败返回</x:v>
      </x:c>
      <x:c r="C30" s="66" t="str">
        <x:v>Success/Value/Errors/Warnings</x:v>
      </x:c>
      <x:c r="D30" s="66" t="str">
        <x:v>文件导入/校验/动作/写入优先结果对象</x:v>
      </x:c>
      <x:c r="E30" s="66" t="str">
        <x:v>友好消息</x:v>
      </x:c>
      <x:c r="F30" s="66" t="str">
        <x:v>可转Diagnostic</x:v>
      </x:c>
      <x:c r="G30" s="66" t="str">
        <x:v>Result helper可static factory</x:v>
      </x:c>
      <x:c r="H30" s="66" t="str">
        <x:v>把业务失败都throw</x:v>
      </x:c>
    </x:row>
    <x:row r="31">
      <x:c r="A31" s="58" t="str">
        <x:v>Exception</x:v>
      </x:c>
      <x:c r="B31" s="58" t="str">
        <x:v>不可预期程序错误</x:v>
      </x:c>
      <x:c r="C31" s="58" t="str">
        <x:v>Exception + context</x:v>
      </x:c>
      <x:c r="D31" s="58" t="str">
        <x:v>边界捕获、记录、隔离；不要空catch</x:v>
      </x:c>
      <x:c r="E31" s="58" t="str">
        <x:v>必要时非模态提示/错误页</x:v>
      </x:c>
      <x:c r="F31" s="58" t="str">
        <x:v>结构化Error log</x:v>
      </x:c>
      <x:c r="G31" s="58" t="str">
        <x:v>ThrowHelper</x:v>
      </x:c>
      <x:c r="H31" s="58" t="str">
        <x:v>吞异常继续造成数据损坏</x:v>
      </x:c>
    </x:row>
    <x:row r="32">
      <x:c r="A32" s="66" t="str">
        <x:v>UnknownElementModel</x:v>
      </x:c>
      <x:c r="B32" s="66" t="str">
        <x:v>未知typeId兼容</x:v>
      </x:c>
      <x:c r="C32" s="66" t="str">
        <x:v>原始JObject/TypeId/Bounds metadata</x:v>
      </x:c>
      <x:c r="D32" s="66" t="str">
        <x:v>工程仍打开，显示MissingElementRenderer</x:v>
      </x:c>
      <x:c r="E32" s="66" t="str">
        <x:v>红色占位</x:v>
      </x:c>
      <x:c r="F32" s="66" t="str">
        <x:v>CXV-SCHEMA-*</x:v>
      </x:c>
      <x:c r="G32" s="66" t="str">
        <x:v>无</x:v>
      </x:c>
      <x:c r="H32" s="66" t="str">
        <x:v>反序列化直接失败整个工程</x:v>
      </x:c>
    </x:row>
    <x:row r="33">
      <x:c r="A33" s="58" t="str">
        <x:v>MissingResource</x:v>
      </x:c>
      <x:c r="B33" s="58" t="str">
        <x:v>资源缺失</x:v>
      </x:c>
      <x:c r="C33" s="58" t="str">
        <x:v>ResourceId/path/hash</x:v>
      </x:c>
      <x:c r="D33" s="58" t="str">
        <x:v>placeholder + diagnostic；发布Strict阻止</x:v>
      </x:c>
      <x:c r="E33" s="58" t="str">
        <x:v>占位图</x:v>
      </x:c>
      <x:c r="F33" s="58" t="str">
        <x:v>CXV-RES-*</x:v>
      </x:c>
      <x:c r="G33" s="58" t="str">
        <x:v>无</x:v>
      </x:c>
      <x:c r="H33" s="58" t="str">
        <x:v>NullReference</x:v>
      </x:c>
    </x:row>
    <x:row r="34">
      <x:c r="A34" s="66" t="str">
        <x:v>BadQuality</x:v>
      </x:c>
      <x:c r="B34" s="66" t="str">
        <x:v>变量质量异常</x:v>
      </x:c>
      <x:c r="C34" s="66" t="str">
        <x:v>Quality/lastGood/time/reason</x:v>
      </x:c>
      <x:c r="D34" s="66" t="str">
        <x:v>按Binding QualityPolicy: fallback/lastGood/unknown style</x:v>
      </x:c>
      <x:c r="E34" s="66" t="str">
        <x:v>BadQuality overlay</x:v>
      </x:c>
      <x:c r="F34" s="66" t="str">
        <x:v>Binding trace</x:v>
      </x:c>
      <x:c r="G34" s="66" t="str">
        <x:v>QualityRules</x:v>
      </x:c>
      <x:c r="H34" s="66" t="str">
        <x:v>把0当真实值</x:v>
      </x:c>
    </x:row>
    <x:row r="35">
      <x:c r="A35" s="58" t="str">
        <x:v>Binding error</x:v>
      </x:c>
      <x:c r="B35" s="58" t="str">
        <x:v>解析/类型/循环/表达式异常</x:v>
      </x:c>
      <x:c r="C35" s="58" t="str">
        <x:v>bindingId/target/source/error</x:v>
      </x:c>
      <x:c r="D35" s="58" t="str">
        <x:v>单Binding禁用/回退，不影响页面其他对象</x:v>
      </x:c>
      <x:c r="E35" s="58" t="str">
        <x:v>属性/Output错误</x:v>
      </x:c>
      <x:c r="F35" s="58" t="str">
        <x:v>CXV-BIND-*</x:v>
      </x:c>
      <x:c r="G35" s="58" t="str">
        <x:v>format helpers</x:v>
      </x:c>
      <x:c r="H35" s="58" t="str">
        <x:v>异常冒泡崩Runtime</x:v>
      </x:c>
    </x:row>
    <x:row r="36">
      <x:c r="A36" s="66" t="str">
        <x:v>SVG compatibility</x:v>
      </x:c>
      <x:c r="B36" s="66" t="str">
        <x:v>不支持/降级项</x:v>
      </x:c>
      <x:c r="C36" s="66" t="str">
        <x:v>element id/feature/action</x:v>
      </x:c>
      <x:c r="D36" s="66" t="str">
        <x:v>ImportPlan前报告；可整体SVG/栅格/跳过</x:v>
      </x:c>
      <x:c r="E36" s="66" t="str">
        <x:v>向导清单</x:v>
      </x:c>
      <x:c r="F36" s="66" t="str">
        <x:v>CXV-SVG-*</x:v>
      </x:c>
      <x:c r="G36" s="66" t="str">
        <x:v>attribute names</x:v>
      </x:c>
      <x:c r="H36" s="66" t="str">
        <x:v>静默丢样式</x:v>
      </x:c>
    </x:row>
    <x:row r="37">
      <x:c r="A37" s="58" t="str">
        <x:v>Write failure</x:v>
      </x:c>
      <x:c r="B37" s="58" t="str">
        <x:v>真实写入失败</x:v>
      </x:c>
      <x:c r="C37" s="58" t="str">
        <x:v>request/permission/policy/provider/readback</x:v>
      </x:c>
      <x:c r="D37" s="58" t="str">
        <x:v>ActionResult失败 + Audit + UI feedback</x:v>
      </x:c>
      <x:c r="E37" s="58" t="str">
        <x:v>明确成功/失败</x:v>
      </x:c>
      <x:c r="F37" s="58" t="str">
        <x:v>CXV-WRITE-* + Audit</x:v>
      </x:c>
      <x:c r="G37" s="58" t="str">
        <x:v>类型/范围check static</x:v>
      </x:c>
      <x:c r="H37" s="58" t="str">
        <x:v>失败后仍显示假成功</x:v>
      </x:c>
    </x:row>
    <x:row r="38">
      <x:c r="A38" s="66" t="str">
        <x:v>Plugin fault</x:v>
      </x:c>
      <x:c r="B38" s="66" t="str">
        <x:v>插件加载/执行异常</x:v>
      </x:c>
      <x:c r="C38" s="66" t="str">
        <x:v>pluginId/version/type/error</x:v>
      </x:c>
      <x:c r="D38" s="66" t="str">
        <x:v>隔离插件；相关元素placeholder；不影响主程序</x:v>
      </x:c>
      <x:c r="E38" s="66" t="str">
        <x:v>错误列表</x:v>
      </x:c>
      <x:c r="F38" s="66" t="str">
        <x:v>CXV-PLUGIN-*</x:v>
      </x:c>
      <x:c r="G38" s="66" t="str">
        <x:v>version helper</x:v>
      </x:c>
      <x:c r="H38" s="66" t="str">
        <x:v>插件异常终止设备主程序</x:v>
      </x:c>
    </x:row>
    <x:row r="39">
      <x:c r="A39" s="58" t="str">
        <x:v>Project save failure</x:v>
      </x:c>
      <x:c r="B39" s="58" t="str">
        <x:v>保存链路失败</x:v>
      </x:c>
      <x:c r="C39" s="58" t="str">
        <x:v>stage/path/temp/exception</x:v>
      </x:c>
      <x:c r="D39" s="58" t="str">
        <x:v>正式旧文件保持不变，保留/清理tmp按阶段</x:v>
      </x:c>
      <x:c r="E39" s="58" t="str">
        <x:v>保存失败提示</x:v>
      </x:c>
      <x:c r="F39" s="58" t="str">
        <x:v>CXV-SAVE-*</x:v>
      </x:c>
      <x:c r="G39" s="58" t="str">
        <x:v>Path/Hash helpers</x:v>
      </x:c>
      <x:c r="H39" s="58" t="str">
        <x:v>先删旧文件再写新</x:v>
      </x:c>
    </x:row>
    <x:row r="40">
      <x:c r="A40" s="66" t="str">
        <x:v>Runtime fault</x:v>
      </x:c>
      <x:c r="B40" s="66" t="str">
        <x:v>运行核心异常</x:v>
      </x:c>
      <x:c r="C40" s="66" t="str">
        <x:v>status/module/context</x:v>
      </x:c>
      <x:c r="D40" s="66" t="str">
        <x:v>进入Faulted或局部降级，Stop可用</x:v>
      </x:c>
      <x:c r="E40" s="66" t="str">
        <x:v>状态条/宿主回调</x:v>
      </x:c>
      <x:c r="F40" s="66" t="str">
        <x:v>CXV-RT-*</x:v>
      </x:c>
      <x:c r="G40" s="66" t="str">
        <x:v>transition rules</x:v>
      </x:c>
      <x:c r="H40" s="66" t="str">
        <x:v>卡在半启动状态</x:v>
      </x:c>
    </x:row>
    <x:row r="41">
      <x:c r="A41" s="58" t="str">
        <x:v>ILoggerEx</x:v>
      </x:c>
      <x:c r="B41" s="58" t="str">
        <x:v>结构化普通日志</x:v>
      </x:c>
      <x:c r="C41" s="58" t="str">
        <x:v>LogEventId/Category/Message/Properties</x:v>
      </x:c>
      <x:c r="D41" s="58" t="str">
        <x:v>不同等级/滚动/脱敏</x:v>
      </x:c>
      <x:c r="E41" s="58" t="str">
        <x:v>通常不弹窗</x:v>
      </x:c>
      <x:c r="F41" s="58" t="str">
        <x:v>File/company logger</x:v>
      </x:c>
      <x:c r="G41" s="58" t="str">
        <x:v>LogEventIds</x:v>
      </x:c>
      <x:c r="H41" s="58" t="str">
        <x:v>业务代码依赖static logger</x:v>
      </x:c>
    </x:row>
    <x:row r="42">
      <x:c r="A42" s="66" t="str">
        <x:v>AuditEvent</x:v>
      </x:c>
      <x:c r="B42" s="66" t="str">
        <x:v>安全不可变事件</x:v>
      </x:c>
      <x:c r="C42" s="66" t="str">
        <x:v>User/Action/Resource/Before/Target/Readback/Reason/Result/Version</x:v>
      </x:c>
      <x:c r="D42" s="66" t="str">
        <x:v>可靠追加，普通用户不可修改</x:v>
      </x:c>
      <x:c r="E42" s="66" t="str">
        <x:v>审计界面</x:v>
      </x:c>
      <x:c r="F42" s="66" t="str">
        <x:v>独立AuditStore</x:v>
      </x:c>
      <x:c r="G42" s="66" t="str">
        <x:v>AuditCodes</x:v>
      </x:c>
      <x:c r="H42" s="66" t="str">
        <x:v>用普通debug日志代替审计</x:v>
      </x:c>
    </x:row>
    <x:row r="43">
      <x:c r="A43" s="58" t="str">
        <x:v>CxVisualLog static Facade</x:v>
      </x:c>
      <x:c r="B43" s="58" t="str">
        <x:v>可选给遗留/边界方便调用</x:v>
      </x:c>
      <x:c r="C43" s="58" t="str">
        <x:v>底层可Configure(ILoggerEx)</x:v>
      </x:c>
      <x:c r="D43" s="58" t="str">
        <x:v>只允许Host/Adapter少量使用；Core仍注入ILoggerEx</x:v>
      </x:c>
      <x:c r="E43" s="58" t="str">
        <x:v>无</x:v>
      </x:c>
      <x:c r="F43" s="58" t="str">
        <x:v>转发到底层</x:v>
      </x:c>
      <x:c r="G43" s="58" t="str">
        <x:v>本身static facade</x:v>
      </x:c>
      <x:c r="H43" s="58" t="str">
        <x:v>把它当全局ServiceLocator</x:v>
      </x:c>
    </x:row>
    <x:row r="44">
      <x:c r="A44"/>
      <x:c r="B44"/>
      <x:c r="C44"/>
      <x:c r="D44"/>
      <x:c r="E44"/>
      <x:c r="F44"/>
      <x:c r="G44"/>
      <x:c r="H44"/>
    </x:row>
    <x:row r="45">
      <x:c r="A45"/>
      <x:c r="B45"/>
      <x:c r="C45"/>
      <x:c r="D45"/>
      <x:c r="E45"/>
      <x:c r="F45"/>
      <x:c r="G45"/>
      <x:c r="H45"/>
    </x:row>
    <x:row r="46" ht="24" customHeight="1">
      <x:c r="A46" s="40" t="str">
        <x:v>C. 初始性能 / 老化预算（基准机验证后再冻结具体阈值）</x:v>
      </x:c>
      <x:c r="B46" s="40"/>
      <x:c r="C46" s="40"/>
      <x:c r="D46" s="40"/>
      <x:c r="E46" s="40"/>
      <x:c r="F46" s="40"/>
      <x:c r="G46" s="40"/>
      <x:c r="H46" s="40"/>
    </x:row>
    <x:row r="47" ht="28" customHeight="1">
      <x:c r="A47" s="50" t="str">
        <x:v>子系统</x:v>
      </x:c>
      <x:c r="B47" s="50" t="str">
        <x:v>场景</x:v>
      </x:c>
      <x:c r="C47" s="50" t="str">
        <x:v>实现基线</x:v>
      </x:c>
      <x:c r="D47" s="50" t="str">
        <x:v>禁止</x:v>
      </x:c>
      <x:c r="E47" s="50" t="str">
        <x:v>验收</x:v>
      </x:c>
      <x:c r="F47" s="50"/>
      <x:c r="G47" s="50"/>
      <x:c r="H47" s="50"/>
    </x:row>
    <x:row r="48">
      <x:c r="A48" s="66" t="str">
        <x:v>Designer交互</x:v>
      </x:c>
      <x:c r="B48" s="66" t="str">
        <x:v>拖动/缩放/选择</x:v>
      </x:c>
      <x:c r="C48" s="66" t="str">
        <x:v>UI线程每帧轻计算+Visual Preview</x:v>
      </x:c>
      <x:c r="D48" s="66" t="str">
        <x:v>MouseMove无IO/序列化/网络</x:v>
      </x:c>
      <x:c r="E48" s="66" t="str">
        <x:v>快速连续操作不卡顿</x:v>
      </x:c>
      <x:c r="F48" s="66"/>
      <x:c r="G48" s="66"/>
      <x:c r="H48" s="66"/>
    </x:row>
    <x:row r="49">
      <x:c r="A49" s="58" t="str">
        <x:v>Scene</x:v>
      </x:c>
      <x:c r="B49" s="58" t="str">
        <x:v>500元素基线/2000元素压力</x:v>
      </x:c>
      <x:c r="C49" s="58" t="str">
        <x:v>矢量不FrameworkElement泛滥；dirty增量更新</x:v>
      </x:c>
      <x:c r="D49" s="58" t="str">
        <x:v>全量重建仅必要时</x:v>
      </x:c>
      <x:c r="E49" s="58" t="str">
        <x:v>固定样本Benchmark</x:v>
      </x:c>
      <x:c r="F49" s="58"/>
      <x:c r="G49" s="58"/>
      <x:c r="H49" s="58"/>
    </x:row>
    <x:row r="50">
      <x:c r="A50" s="66" t="str">
        <x:v>Variables</x:v>
      </x:c>
      <x:c r="B50" s="66" t="str">
        <x:v>10k依赖压力</x:v>
      </x:c>
      <x:c r="C50" s="66" t="str">
        <x:v>Provider批量回调+共享订阅+Binding dirty queue</x:v>
      </x:c>
      <x:c r="D50" s="66" t="str">
        <x:v>每Binding不独立Task</x:v>
      </x:c>
      <x:c r="E50" s="66" t="str">
        <x:v>吞吐/延迟/CPU记录</x:v>
      </x:c>
      <x:c r="F50" s="66"/>
      <x:c r="G50" s="66"/>
      <x:c r="H50" s="66"/>
    </x:row>
    <x:row r="51">
      <x:c r="A51" s="58" t="str">
        <x:v>Animation</x:v>
      </x:c>
      <x:c r="B51" s="58" t="str">
        <x:v>100活动动画压力</x:v>
      </x:c>
      <x:c r="C51" s="58" t="str">
        <x:v>单Scheduler，隐藏页暂停</x:v>
      </x:c>
      <x:c r="D51" s="58" t="str">
        <x:v>每对象不独立Timer</x:v>
      </x:c>
      <x:c r="E51" s="58" t="str">
        <x:v>72h无Timer/订阅增长</x:v>
      </x:c>
      <x:c r="F51" s="58"/>
      <x:c r="G51" s="58"/>
      <x:c r="H51" s="58"/>
    </x:row>
    <x:row r="52">
      <x:c r="A52" s="66" t="str">
        <x:v>Charts</x:v>
      </x:c>
      <x:c r="B52" s="66" t="str">
        <x:v>多曲线长时间滚动</x:v>
      </x:c>
      <x:c r="C52" s="66" t="str">
        <x:v>RingBuffer+Downsample+低频UI刷新</x:v>
      </x:c>
      <x:c r="D52" s="66" t="str">
        <x:v>不无限Append</x:v>
      </x:c>
      <x:c r="E52" s="66" t="str">
        <x:v>内存稳定</x:v>
      </x:c>
      <x:c r="F52" s="66"/>
      <x:c r="G52" s="66"/>
      <x:c r="H52" s="66"/>
    </x:row>
    <x:row r="53">
      <x:c r="A53" s="58" t="str">
        <x:v>Save</x:v>
      </x:c>
      <x:c r="B53" s="58" t="str">
        <x:v>大工程保存</x:v>
      </x:c>
      <x:c r="C53" s="58" t="str">
        <x:v>UI只取Snapshot，IO后台</x:v>
      </x:c>
      <x:c r="D53" s="58" t="str">
        <x:v>不直接覆盖正式工程</x:v>
      </x:c>
      <x:c r="E53" s="58" t="str">
        <x:v>故障注入旧文件可开</x:v>
      </x:c>
      <x:c r="F53" s="58"/>
      <x:c r="G53" s="58"/>
      <x:c r="H53" s="58"/>
    </x:row>
    <x:row r="54">
      <x:c r="A54" s="66" t="str">
        <x:v>Runtime</x:v>
      </x:c>
      <x:c r="B54" s="66" t="str">
        <x:v>Start/Stop反复</x:v>
      </x:c>
      <x:c r="C54" s="66" t="str">
        <x:v>幂等Stop，Subscription/Timer/Cache均释放</x:v>
      </x:c>
      <x:c r="D54" s="66" t="str">
        <x:v>Stop后零回调</x:v>
      </x:c>
      <x:c r="E54" s="66" t="str">
        <x:v>100次循环测试</x:v>
      </x:c>
      <x:c r="F54" s="66"/>
      <x:c r="G54" s="66"/>
      <x:c r="H54" s="66"/>
    </x:row>
    <x:row r="55">
      <x:c r="A55"/>
      <x:c r="B55"/>
      <x:c r="C55"/>
      <x:c r="D55"/>
      <x:c r="E55"/>
      <x:c r="F55"/>
      <x:c r="G55"/>
      <x:c r="H55"/>
    </x:row>
    <x:row r="56">
      <x:c r="A56"/>
      <x:c r="B56"/>
      <x:c r="C56"/>
      <x:c r="D56"/>
      <x:c r="E56"/>
      <x:c r="F56"/>
      <x:c r="G56"/>
      <x:c r="H56"/>
    </x:row>
    <x:row r="57" ht="24" customHeight="1">
      <x:c r="A57" s="40" t="str">
        <x:v>E. Graph / Motion / Vision / Inspection 性能与容量指标</x:v>
      </x:c>
      <x:c r="B57" s="40"/>
      <x:c r="C57" s="40"/>
      <x:c r="D57" s="40"/>
      <x:c r="E57" s="40"/>
      <x:c r="F57" s="40"/>
      <x:c r="G57" s="40"/>
      <x:c r="H57" s="40"/>
    </x:row>
    <x:row r="58" ht="28" customHeight="1">
      <x:c r="A58" s="50" t="str">
        <x:v>指标域</x:v>
      </x:c>
      <x:c r="B58" s="50" t="str">
        <x:v>指标</x:v>
      </x:c>
      <x:c r="C58" s="50" t="str">
        <x:v>建议观测值</x:v>
      </x:c>
      <x:c r="D58" s="50" t="str">
        <x:v>限制/阈值来源</x:v>
      </x:c>
      <x:c r="E58" s="50" t="str">
        <x:v>运行策略</x:v>
      </x:c>
      <x:c r="F58" s="50" t="str">
        <x:v>诊断维度</x:v>
      </x:c>
      <x:c r="G58" s="50" t="str">
        <x:v>测试</x:v>
      </x:c>
      <x:c r="H58" s="50"/>
    </x:row>
    <x:row r="59">
      <x:c r="A59" s="58" t="str">
        <x:v>Graph Designer</x:v>
      </x:c>
      <x:c r="B59" s="58" t="str">
        <x:v>节点/连接数量、HitTest、搜索、布局刷新</x:v>
      </x:c>
      <x:c r="C59" s="58" t="str">
        <x:v>NodeCount/ConnectionCount/EditLatency</x:v>
      </x:c>
      <x:c r="D59" s="58" t="str">
        <x:v>项目基准定义</x:v>
      </x:c>
      <x:c r="E59" s="58" t="str">
        <x:v>视口虚拟化/索引/批更新</x:v>
      </x:c>
      <x:c r="F59" s="58" t="str">
        <x:v>GraphId/Document</x:v>
      </x:c>
      <x:c r="G59" s="58" t="str">
        <x:v>1000节点基准</x:v>
      </x:c>
      <x:c r="H59" s="58"/>
    </x:row>
    <x:row r="60">
      <x:c r="A60" s="66" t="str">
        <x:v>Graph Runtime</x:v>
      </x:c>
      <x:c r="B60" s="66" t="str">
        <x:v>Node queue/wait/run time</x:v>
      </x:c>
      <x:c r="C60" s="66" t="str">
        <x:v>QueueMs/RunMs/ActiveNodes</x:v>
      </x:c>
      <x:c r="D60" s="66" t="str">
        <x:v>Domain策略</x:v>
      </x:c>
      <x:c r="E60" s="66" t="str">
        <x:v>有界队列/取消</x:v>
      </x:c>
      <x:c r="F60" s="66" t="str">
        <x:v>Session/Node/Resource</x:v>
      </x:c>
      <x:c r="G60" s="66" t="str">
        <x:v>并发图测试</x:v>
      </x:c>
      <x:c r="H60" s="66"/>
    </x:row>
    <x:row r="61">
      <x:c r="A61" s="58" t="str">
        <x:v>Motion</x:v>
      </x:c>
      <x:c r="B61" s="58" t="str">
        <x:v>命令发送/完成延迟、等待抖动</x:v>
      </x:c>
      <x:c r="C61" s="58" t="str">
        <x:v>CommandLatency/WaitJitter</x:v>
      </x:c>
      <x:c r="D61" s="58" t="str">
        <x:v>设备能力/非硬实时</x:v>
      </x:c>
      <x:c r="E61" s="58" t="str">
        <x:v>事件完成优先，避免高频轮询</x:v>
      </x:c>
      <x:c r="F61" s="58" t="str">
        <x:v>Axis/Controller/Node</x:v>
      </x:c>
      <x:c r="G61" s="58" t="str">
        <x:v>Simulation+实机</x:v>
      </x:c>
      <x:c r="H61" s="58"/>
    </x:row>
    <x:row r="62">
      <x:c r="A62" s="66" t="str">
        <x:v>Vision</x:v>
      </x:c>
      <x:c r="B62" s="66" t="str">
        <x:v>吞吐/单节点/CPU/GPU/VRAM/Buffer</x:v>
      </x:c>
      <x:c r="C62" s="66" t="str">
        <x:v>FPS/NodeMs/VRAM/PoolBytes</x:v>
      </x:c>
      <x:c r="D62" s="66" t="str">
        <x:v>项目图像尺寸/模型</x:v>
      </x:c>
      <x:c r="E62" s="66" t="str">
        <x:v>DAG并行/GPU队列/Buffer Pool</x:v>
      </x:c>
      <x:c r="F62" s="66" t="str">
        <x:v>Pipeline/Node/GPU</x:v>
      </x:c>
      <x:c r="G62" s="66" t="str">
        <x:v>Golden+Stress</x:v>
      </x:c>
      <x:c r="H62" s="66"/>
    </x:row>
    <x:row r="63">
      <x:c r="A63" s="58" t="str">
        <x:v>Inspection</x:v>
      </x:c>
      <x:c r="B63" s="58" t="str">
        <x:v>产品节拍/点位耗时/重测率/等待外部系统</x:v>
      </x:c>
      <x:c r="C63" s="58" t="str">
        <x:v>CycleTime/NodeTime/Retry/Wait</x:v>
      </x:c>
      <x:c r="D63" s="58" t="str">
        <x:v>产品UPH目标</x:v>
      </x:c>
      <x:c r="E63" s="58" t="str">
        <x:v>关键路径分析</x:v>
      </x:c>
      <x:c r="F63" s="58" t="str">
        <x:v>Task/Point/Node</x:v>
      </x:c>
      <x:c r="G63" s="58" t="str">
        <x:v>Scenario benchmark</x:v>
      </x:c>
      <x:c r="H63" s="58"/>
    </x:row>
    <x:row r="64">
      <x:c r="A64" s="66" t="str">
        <x:v>ResourceManager</x:v>
      </x:c>
      <x:c r="B64" s="66" t="str">
        <x:v>Lease等待/冲突/队列</x:v>
      </x:c>
      <x:c r="C64" s="66" t="str">
        <x:v>WaitMs/Contention/QueueLen</x:v>
      </x:c>
      <x:c r="D64" s="66" t="str">
        <x:v>资源能力</x:v>
      </x:c>
      <x:c r="E64" s="66" t="str">
        <x:v>公平/超时/容量</x:v>
      </x:c>
      <x:c r="F64" s="66" t="str">
        <x:v>Resource/Owner</x:v>
      </x:c>
      <x:c r="G64" s="66" t="str">
        <x:v>冲突压力</x:v>
      </x:c>
      <x:c r="H64" s="66"/>
    </x:row>
    <x:row r="65">
      <x:c r="A65" s="58" t="str">
        <x:v>Debug Trace</x:v>
      </x:c>
      <x:c r="B65" s="58" t="str">
        <x:v>Trace产生率/丢弃/内存</x:v>
      </x:c>
      <x:c r="C65" s="58" t="str">
        <x:v>EventsPerSec/Drop/Bytes</x:v>
      </x:c>
      <x:c r="D65" s="58" t="str">
        <x:v>Debug策略</x:v>
      </x:c>
      <x:c r="E65" s="58" t="str">
        <x:v>采样/RingBuffer/按需大数据</x:v>
      </x:c>
      <x:c r="F65" s="58" t="str">
        <x:v>Session/Module</x:v>
      </x:c>
      <x:c r="G65" s="58" t="str">
        <x:v>长时Debug</x:v>
      </x:c>
      <x:c r="H65" s="58"/>
    </x:row>
    <x:row r="66">
      <x:c r="A66"/>
      <x:c r="B66"/>
      <x:c r="C66"/>
      <x:c r="D66"/>
      <x:c r="E66"/>
      <x:c r="F66"/>
      <x:c r="G66"/>
      <x:c r="H66"/>
    </x:row>
    <x:row r="67">
      <x:c r="A67"/>
      <x:c r="B67"/>
      <x:c r="C67"/>
      <x:c r="D67"/>
      <x:c r="E67"/>
      <x:c r="F67"/>
      <x:c r="G67"/>
      <x:c r="H67"/>
    </x:row>
    <x:row r="68" ht="24" customHeight="1">
      <x:c r="A68" s="40" t="str">
        <x:v>F. V2.2 Robot / CT / Operations 性能与容量指标</x:v>
      </x:c>
      <x:c r="B68" s="40"/>
      <x:c r="C68" s="40"/>
      <x:c r="D68" s="40"/>
      <x:c r="E68" s="40"/>
      <x:c r="F68" s="40"/>
      <x:c r="G68" s="40"/>
      <x:c r="H68" s="40"/>
    </x:row>
    <x:row r="69" ht="28" customHeight="1">
      <x:c r="A69" s="50" t="str">
        <x:v>指标域</x:v>
      </x:c>
      <x:c r="B69" s="50" t="str">
        <x:v>指标</x:v>
      </x:c>
      <x:c r="C69" s="50" t="str">
        <x:v>建议观测值</x:v>
      </x:c>
      <x:c r="D69" s="50" t="str">
        <x:v>限制/阈值来源</x:v>
      </x:c>
      <x:c r="E69" s="50" t="str">
        <x:v>运行策略</x:v>
      </x:c>
      <x:c r="F69" s="50" t="str">
        <x:v>诊断维度</x:v>
      </x:c>
      <x:c r="G69" s="50" t="str">
        <x:v>测试</x:v>
      </x:c>
      <x:c r="H69" s="50"/>
    </x:row>
    <x:row r="70">
      <x:c r="A70" s="66" t="str">
        <x:v>Robot</x:v>
      </x:c>
      <x:c r="B70" s="66" t="str">
        <x:v>Controller command latency/state refresh/path segment duration</x:v>
      </x:c>
      <x:c r="C70" s="66" t="str">
        <x:v>CommandMs/StateHz/PathMs</x:v>
      </x:c>
      <x:c r="D70" s="66" t="str">
        <x:v>控制器能力/工艺节拍</x:v>
      </x:c>
      <x:c r="E70" s="66" t="str">
        <x:v>事件优先+UI降频</x:v>
      </x:c>
      <x:c r="F70" s="66" t="str">
        <x:v>Robot/Controller/Segment</x:v>
      </x:c>
      <x:c r="G70" s="66" t="str">
        <x:v>real controller/latency</x:v>
      </x:c>
      <x:c r="H70" s="66"/>
    </x:row>
    <x:row r="71">
      <x:c r="A71" s="58" t="str">
        <x:v>Robot Vision Guidance</x:v>
      </x:c>
      <x:c r="B71" s="58" t="str">
        <x:v>Vision→Transform→Validate→Command链路时延</x:v>
      </x:c>
      <x:c r="C71" s="58" t="str">
        <x:v>GuidanceLatency/SourceAge</x:v>
      </x:c>
      <x:c r="D71" s="58" t="str">
        <x:v>工艺容许时效</x:v>
      </x:c>
      <x:c r="E71" s="58" t="str">
        <x:v>Quality/Age gate</x:v>
      </x:c>
      <x:c r="F71" s="58" t="str">
        <x:v>Task/Run/Robot</x:v>
      </x:c>
      <x:c r="G71" s="58" t="str">
        <x:v>E2E</x:v>
      </x:c>
      <x:c r="H71" s="58"/>
    </x:row>
    <x:row r="72">
      <x:c r="A72" s="66" t="str">
        <x:v>CT Reconstruction</x:v>
      </x:c>
      <x:c r="B72" s="66" t="str">
        <x:v>Recon总耗时/阶段耗时/Projection IO/GPU/VRAM/CPU</x:v>
      </x:c>
      <x:c r="C72" s="66" t="str">
        <x:v>ReconMs/StageMs/GBps/VRAM</x:v>
      </x:c>
      <x:c r="D72" s="66" t="str">
        <x:v>体素尺寸/投影数/UPH</x:v>
      </x:c>
      <x:c r="E72" s="66" t="str">
        <x:v>有界Job queue/GPU budget</x:v>
      </x:c>
      <x:c r="F72" s="66" t="str">
        <x:v>Run/Job/Worker/GPU</x:v>
      </x:c>
      <x:c r="G72" s="66" t="str">
        <x:v>golden+perf</x:v>
      </x:c>
      <x:c r="H72" s="66"/>
    </x:row>
    <x:row r="73">
      <x:c r="A73" s="58" t="str">
        <x:v>CT Volume</x:v>
      </x:c>
      <x:c r="B73" s="58" t="str">
        <x:v>Volume bytes/cache/chunk request/MPR latency/Viewer FPS</x:v>
      </x:c>
      <x:c r="C73" s="58" t="str">
        <x:v>GB/HitRate/ChunkMs/FPS</x:v>
      </x:c>
      <x:c r="D73" s="58" t="str">
        <x:v>体数据尺寸/用户体验</x:v>
      </x:c>
      <x:c r="E73" s="58" t="str">
        <x:v>LOD/LRU/ROI/按需</x:v>
      </x:c>
      <x:c r="F73" s="58" t="str">
        <x:v>Volume/Viewer/Store</x:v>
      </x:c>
      <x:c r="G73" s="58" t="str">
        <x:v>GB volume stress</x:v>
      </x:c>
      <x:c r="H73" s="58"/>
    </x:row>
    <x:row r="74">
      <x:c r="A74" s="66" t="str">
        <x:v>CT Temp/Artifact</x:v>
      </x:c>
      <x:c r="B74" s="66" t="str">
        <x:v>临时盘/Artifact写入/压缩/网络</x:v>
      </x:c>
      <x:c r="C74" s="66" t="str">
        <x:v>TempGB/WriteMBps/Pending</x:v>
      </x:c>
      <x:c r="D74" s="66" t="str">
        <x:v>磁盘/Retention</x:v>
      </x:c>
      <x:c r="E74" s="66" t="str">
        <x:v>预检/配额/异步</x:v>
      </x:c>
      <x:c r="F74" s="66" t="str">
        <x:v>Job/Store</x:v>
      </x:c>
      <x:c r="G74" s="66" t="str">
        <x:v>disk full/network</x:v>
      </x:c>
      <x:c r="H74" s="66"/>
    </x:row>
    <x:row r="75">
      <x:c r="A75" s="58" t="str">
        <x:v>Operations Fleet</x:v>
      </x:c>
      <x:c r="B75" s="58" t="str">
        <x:v>Station count/heartbeat/metric ingest/index query</x:v>
      </x:c>
      <x:c r="C75" s="58" t="str">
        <x:v>Stations/EventsPerSec/QueryMs</x:v>
      </x:c>
      <x:c r="D75" s="58" t="str">
        <x:v>部署规模</x:v>
      </x:c>
      <x:c r="E75" s="58" t="str">
        <x:v>sampling/partition/batch</x:v>
      </x:c>
      <x:c r="F75" s="58" t="str">
        <x:v>Site/Station/Service</x:v>
      </x:c>
      <x:c r="G75" s="58" t="str">
        <x:v>multi-agent load</x:v>
      </x:c>
      <x:c r="H75" s="58"/>
    </x:row>
    <x:row r="76">
      <x:c r="A76" s="66" t="str">
        <x:v>Remote Engineering</x:v>
      </x:c>
      <x:c r="B76" s="66" t="str">
        <x:v>Control RTT/Telemetry lag/Artifact bandwidth/session count</x:v>
      </x:c>
      <x:c r="C76" s="66" t="str">
        <x:v>RTT/Lag/MBps/Sessions</x:v>
      </x:c>
      <x:c r="D76" s="66" t="str">
        <x:v>现场网络</x:v>
      </x:c>
      <x:c r="E76" s="66" t="str">
        <x:v>控制与Telemetry分离/大数据限流</x:v>
      </x:c>
      <x:c r="F76" s="66" t="str">
        <x:v>Session/Station</x:v>
      </x:c>
      <x:c r="G76" s="66" t="str">
        <x:v>network impairment</x:v>
      </x:c>
      <x:c r="H76" s="66"/>
    </x:row>
    <x:row r="77">
      <x:c r="A77" s="58" t="str">
        <x:v>Fleet Deployment</x:v>
      </x:c>
      <x:c r="B77" s="58" t="str">
        <x:v>Package upload/parallel targets/switch/verify time</x:v>
      </x:c>
      <x:c r="C77" s="58" t="str">
        <x:v>MBps/Targets/DeployMs</x:v>
      </x:c>
      <x:c r="D77" s="58" t="str">
        <x:v>维护窗口</x:v>
      </x:c>
      <x:c r="E77" s="58" t="str">
        <x:v>ring/canary/parallel limit</x:v>
      </x:c>
      <x:c r="F77" s="58" t="str">
        <x:v>Rollout/Station</x:v>
      </x:c>
      <x:c r="G77" s="58" t="str">
        <x:v>rollout load</x:v>
      </x:c>
      <x:c r="H77" s="58"/>
    </x:row>
    <x:row r="79">
      <x:c r="A79" t="str">
        <x:v>G. 历史 Variable / Hardware 可观测性（V6.4继续有效）</x:v>
      </x:c>
      <x:c r="B79"/>
      <x:c r="C79"/>
      <x:c r="D79"/>
      <x:c r="E79"/>
      <x:c r="F79"/>
      <x:c r="G79"/>
      <x:c r="H79"/>
    </x:row>
    <x:row r="80">
      <x:c r="A80" t="str">
        <x:v>指标</x:v>
      </x:c>
      <x:c r="B80" t="str">
        <x:v>定义</x:v>
      </x:c>
      <x:c r="C80" t="str">
        <x:v>观测值</x:v>
      </x:c>
      <x:c r="D80" t="str">
        <x:v>目标/阈值</x:v>
      </x:c>
      <x:c r="E80" t="str">
        <x:v>超限策略</x:v>
      </x:c>
      <x:c r="F80" t="str">
        <x:v>DesignRef</x:v>
      </x:c>
      <x:c r="G80"/>
      <x:c r="H80"/>
    </x:row>
    <x:row r="81">
      <x:c r="A81" t="str">
        <x:v>Variable provider callback→dispatcher P99</x:v>
      </x:c>
      <x:c r="B81" t="str">
        <x:v>Provider回调必须快速返回，不执行UI/重计算</x:v>
      </x:c>
      <x:c r="C81" t="str">
        <x:v>callback p99/lag</x:v>
      </x:c>
      <x:c r="D81" t="str">
        <x:v>现场基准后冻结</x:v>
      </x:c>
      <x:c r="E81" t="str">
        <x:v>超限告警/采样</x:v>
      </x:c>
      <x:c r="F81" t="str">
        <x:v>46</x:v>
      </x:c>
      <x:c r="G81"/>
      <x:c r="H81"/>
    </x:row>
    <x:row r="82">
      <x:c r="A82" t="str">
        <x:v>Variable dispatcher queue</x:v>
      </x:c>
      <x:c r="B82" t="str">
        <x:v>每订阅者有界；支持LatestOnly合并</x:v>
      </x:c>
      <x:c r="C82" t="str">
        <x:v>queue length/drop/coalesce count</x:v>
      </x:c>
      <x:c r="D82" t="str">
        <x:v>0无界增长</x:v>
      </x:c>
      <x:c r="E82" t="str">
        <x:v>达到阈值降采样/隔离</x:v>
      </x:c>
      <x:c r="F82" t="str">
        <x:v>46</x:v>
      </x:c>
      <x:c r="G82"/>
      <x:c r="H82"/>
    </x:row>
    <x:row r="83">
      <x:c r="A83" t="str">
        <x:v>Variable age</x:v>
      </x:c>
      <x:c r="B83" t="str">
        <x:v>now-TimestampUtc按点/组统计</x:v>
      </x:c>
      <x:c r="C83" t="str">
        <x:v>p95/p99 age</x:v>
      </x:c>
      <x:c r="D83" t="str">
        <x:v>按工艺要求</x:v>
      </x:c>
      <x:c r="E83" t="str">
        <x:v>Stale触发Quality/Diagnostic</x:v>
      </x:c>
      <x:c r="F83" t="str">
        <x:v>46</x:v>
      </x:c>
      <x:c r="G83"/>
      <x:c r="H83"/>
    </x:row>
    <x:row r="84">
      <x:c r="A84" t="str">
        <x:v>Provider reconnect</x:v>
      </x:c>
      <x:c r="B84" t="str">
        <x:v>断线→重连耗时与失败次数</x:v>
      </x:c>
      <x:c r="C84" t="str">
        <x:v>reconnect latency/attempts</x:v>
      </x:c>
      <x:c r="D84" t="str">
        <x:v>项目配置</x:v>
      </x:c>
      <x:c r="E84" t="str">
        <x:v>CircuitBreaker/Backoff</x:v>
      </x:c>
      <x:c r="F84" t="str">
        <x:v>46</x:v>
      </x:c>
      <x:c r="G84"/>
      <x:c r="H84"/>
    </x:row>
    <x:row r="85">
      <x:c r="A85" t="str">
        <x:v>Hardware diagnostics</x:v>
      </x:c>
      <x:c r="B85" t="str">
        <x:v>Controller/PLC/Fieldbus/Axis/IO/Safety health</x:v>
      </x:c>
      <x:c r="C85" t="str">
        <x:v>fault rate/state age/command latency</x:v>
      </x:c>
      <x:c r="D85" t="str">
        <x:v>设备能力基线</x:v>
      </x:c>
      <x:c r="E85" t="str">
        <x:v>超时/断线降级</x:v>
      </x:c>
      <x:c r="F85" t="str">
        <x:v>47</x:v>
      </x:c>
      <x:c r="G85"/>
      <x:c r="H85"/>
    </x:row>
    <x:row r="86">
      <x:c r="A86" t="str">
        <x:v>Slow subscriber isolation</x:v>
      </x:c>
      <x:c r="B86" t="str">
        <x:v>Trend/UI/Remote不能阻塞Binding/Alarm关键消费</x:v>
      </x:c>
      <x:c r="C86" t="str">
        <x:v>subscriber lag/drop</x:v>
      </x:c>
      <x:c r="D86" t="str">
        <x:v>关键/非关键策略分级</x:v>
      </x:c>
      <x:c r="E86" t="str">
        <x:v>隔离队列/LatestOnly</x:v>
      </x:c>
      <x:c r="F86" t="str">
        <x:v>46</x:v>
      </x:c>
      <x:c r="G86"/>
      <x:c r="H86"/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38" hidden="0" customWidth="1"/>
    <x:col min="4" max="4" width="30" hidden="0" customWidth="1"/>
    <x:col min="5" max="5" width="32" hidden="0" customWidth="1"/>
    <x:col min="6" max="6" width="28" hidden="0" customWidth="1"/>
    <x:col min="7" max="7" width="24" hidden="0" customWidth="1"/>
    <x:col min="8" max="8" width="28" hidden="0" customWidth="1"/>
    <x:col min="9" max="9" width="28" hidden="0" customWidth="1"/>
  </x:cols>
  <x:sheetData>
    <x:row r="1" ht="30" customHeight="1">
      <x:c r="A1" s="8" t="str">
        <x:v>Graph 平台测试与架构门禁</x:v>
      </x:c>
      <x:c r="B1" s="8"/>
      <x:c r="C1" s="8"/>
      <x:c r="D1" s="8"/>
      <x:c r="E1" s="8"/>
      <x:c r="F1" s="8"/>
      <x:c r="G1" s="8"/>
      <x:c r="H1" s="8"/>
      <x:c r="I1" s="8"/>
    </x:row>
    <x:row r="2" ht="38" customHeight="1">
      <x:c r="A2" s="16" t="str">
        <x:v>全平台唯一EVIDENCE规则：定义Unit/Contract/Integration/UI/Golden/Fault/Performance/Soak/Recovery/Deployment/Architecture证据。</x:v>
      </x:c>
      <x:c r="B2" s="16"/>
      <x:c r="C2" s="16"/>
      <x:c r="D2" s="16"/>
      <x:c r="E2" s="16"/>
      <x:c r="F2" s="16"/>
      <x:c r="G2" s="16"/>
      <x:c r="H2" s="16"/>
      <x:c r="I2" s="16"/>
    </x:row>
    <x:row r="3">
      <x:c r="A3" s="30" t="str">
        <x:v>本页唯一权威</x:v>
      </x:c>
      <x:c r="B3" s="31" t="str">
        <x:v>Graph及所有Domain共同质量门禁、RC证据、Robot/CT/Ops专项测试。</x:v>
      </x:c>
      <x:c r="C3" s="31"/>
      <x:c r="D3" s="31"/>
      <x:c r="E3" s="31"/>
      <x:c r="F3" s="31"/>
      <x:c r="G3" s="31"/>
      <x:c r="H3" s="31"/>
      <x:c r="I3" s="31"/>
    </x:row>
    <x:row r="4">
      <x:c r="A4" s="30" t="str">
        <x:v>不在本页维护</x:v>
      </x:c>
      <x:c r="B4" s="31" t="str">
        <x:v>开发步骤（见42）、真实状态（见41）、项目验收阈值（见44）。</x:v>
      </x:c>
      <x:c r="C4" s="31"/>
      <x:c r="D4" s="31"/>
      <x:c r="E4" s="31"/>
      <x:c r="F4" s="31"/>
      <x:c r="G4" s="31"/>
      <x:c r="H4" s="31"/>
      <x:c r="I4" s="31"/>
    </x:row>
    <x:row r="5">
      <x:c r="A5" s="30" t="str">
        <x:v>关联分页</x:v>
      </x:c>
      <x:c r="B5" s="31" t="str">
        <x:v>40_开发实施路线；41_开发追踪矩阵；42_开发Playbook；44_项目实例规格与ADR治理。</x:v>
      </x:c>
      <x:c r="C5" s="31"/>
      <x:c r="D5" s="31"/>
      <x:c r="E5" s="31"/>
      <x:c r="F5" s="31"/>
      <x:c r="G5" s="31"/>
      <x:c r="H5" s="31"/>
      <x:c r="I5" s="31"/>
    </x:row>
    <x:row r="6">
      <x:c r="A6"/>
      <x:c r="B6"/>
      <x:c r="C6"/>
      <x:c r="D6"/>
      <x:c r="E6"/>
      <x:c r="F6"/>
      <x:c r="G6"/>
      <x:c r="H6"/>
      <x:c r="I6"/>
    </x:row>
    <x:row r="7" ht="28" customHeight="1">
      <x:c r="A7" s="50" t="str">
        <x:v>测试域</x:v>
      </x:c>
      <x:c r="B7" s="50" t="str">
        <x:v>范围</x:v>
      </x:c>
      <x:c r="C7" s="50" t="str">
        <x:v>重点场景</x:v>
      </x:c>
      <x:c r="D7" s="50" t="str">
        <x:v>测试工具/替身</x:v>
      </x:c>
      <x:c r="E7" s="50" t="str">
        <x:v>通过门禁</x:v>
      </x:c>
      <x:c r="F7" s="50" t="str">
        <x:v>阻断级别</x:v>
      </x:c>
      <x:c r="G7" s="50" t="str">
        <x:v>证据</x:v>
      </x:c>
      <x:c r="H7" s="50" t="str">
        <x:v>备注</x:v>
      </x:c>
      <x:c r="I7" s="50"/>
    </x:row>
    <x:row r="8">
      <x:c r="A8" s="58" t="str">
        <x:v>Architecture</x:v>
      </x:c>
      <x:c r="B8" s="58" t="str">
        <x:v>项目引用/SDK边界/Core纯净/Domain隔离</x:v>
      </x:c>
      <x:c r="C8" s="58" t="str">
        <x:v>Core无WPF/Vendor/Roslyn；Graph不依赖Motion/Vision内部；Runtime不依赖Designer</x:v>
      </x:c>
      <x:c r="D8" s="58" t="str">
        <x:v>reference analyzer/reflection</x:v>
      </x:c>
      <x:c r="E8" s="58" t="str">
        <x:v>0违规</x:v>
      </x:c>
      <x:c r="F8" s="58" t="str">
        <x:v>P0</x:v>
      </x:c>
      <x:c r="G8" s="58" t="str">
        <x:v>Architecture report</x:v>
      </x:c>
      <x:c r="H8" s="58"/>
      <x:c r="I8" s="58"/>
    </x:row>
    <x:row r="9">
      <x:c r="A9" s="66" t="str">
        <x:v>Schema</x:v>
      </x:c>
      <x:c r="B9" s="66" t="str">
        <x:v>Project/Visual/Graph/Domain/Plugin多态Schema</x:v>
      </x:c>
      <x:c r="C9" s="66" t="str">
        <x:v>RoundTrip/Golden/Unknown/Migration/Stable TypeId/NodeTypeId</x:v>
      </x:c>
      <x:c r="D9" s="66" t="str">
        <x:v>golden projects</x:v>
      </x:c>
      <x:c r="E9" s="66" t="str">
        <x:v>语义一致且未知数据保真</x:v>
      </x:c>
      <x:c r="F9" s="66" t="str">
        <x:v>P0</x:v>
      </x:c>
      <x:c r="G9" s="66" t="str">
        <x:v>Migration report</x:v>
      </x:c>
      <x:c r="H9" s="66"/>
      <x:c r="I9" s="66"/>
    </x:row>
    <x:row r="10">
      <x:c r="A10" s="58" t="str">
        <x:v>Command</x:v>
      </x:c>
      <x:c r="B10" s="58" t="str">
        <x:v>Visual+Graph编辑事务</x:v>
      </x:c>
      <x:c r="C10" s="58" t="str">
        <x:v>Element/Group/Symbol/Graph node/connect/batch edit Execute→Undo→Redo</x:v>
      </x:c>
      <x:c r="D10" s="58" t="str">
        <x:v>test builders</x:v>
      </x:c>
      <x:c r="E10" s="58" t="str">
        <x:v>Undo完全恢复模型/索引/UI状态</x:v>
      </x:c>
      <x:c r="F10" s="58" t="str">
        <x:v>P0</x:v>
      </x:c>
      <x:c r="G10" s="58" t="str">
        <x:v>Command tests</x:v>
      </x:c>
      <x:c r="H10" s="58"/>
      <x:c r="I10" s="58"/>
    </x:row>
    <x:row r="11">
      <x:c r="A11" s="66" t="str">
        <x:v>Visual UI</x:v>
      </x:c>
      <x:c r="B11" s="66" t="str">
        <x:v>Screen/Symbol/Property/Layer/Search/Preview</x:v>
      </x:c>
      <x:c r="C11" s="66" t="str">
        <x:v>绘制、选择、Group→Symbol、搜索定位、绑定/状态/动画</x:v>
      </x:c>
      <x:c r="D11" s="66" t="str">
        <x:v>FlaUI/internal automation</x:v>
      </x:c>
      <x:c r="E11" s="66" t="str">
        <x:v>关键交互无阻断</x:v>
      </x:c>
      <x:c r="F11" s="66" t="str">
        <x:v>P0</x:v>
      </x:c>
      <x:c r="G11" s="66" t="str">
        <x:v>UI smoke</x:v>
      </x:c>
      <x:c r="H11" s="66"/>
      <x:c r="I11" s="66"/>
    </x:row>
    <x:row r="12">
      <x:c r="A12" s="58" t="str">
        <x:v>SCADA</x:v>
      </x:c>
      <x:c r="B12" s="58" t="str">
        <x:v>Variable/Binding/Alarm/History/Write</x:v>
      </x:c>
      <x:c r="C12" s="58" t="str">
        <x:v>断线重连、共享订阅、Quality、报警确认/抑制、写权限</x:v>
      </x:c>
      <x:c r="D12" s="58" t="str">
        <x:v>FakeProvider/FakeClock</x:v>
      </x:c>
      <x:c r="E12" s="58" t="str">
        <x:v>无订阅泄漏；安全写不可绕过</x:v>
      </x:c>
      <x:c r="F12" s="58" t="str">
        <x:v>P0</x:v>
      </x:c>
      <x:c r="G12" s="58" t="str">
        <x:v>Integration report</x:v>
      </x:c>
      <x:c r="H12" s="58"/>
      <x:c r="I12" s="58"/>
    </x:row>
    <x:row r="13">
      <x:c r="A13" s="66" t="str">
        <x:v>Graph Core</x:v>
      </x:c>
      <x:c r="B13" s="66" t="str">
        <x:v>Node/Port/Connection/Validator/Compiler</x:v>
      </x:c>
      <x:c r="C13" s="66" t="str">
        <x:v>类型不兼容、缺端口、循环、SubGraph、Plugin node缺失</x:v>
      </x:c>
      <x:c r="D13" s="66" t="str">
        <x:v>graph corpus</x:v>
      </x:c>
      <x:c r="E13" s="66" t="str">
        <x:v>非法图明确失败；合法图Plan稳定</x:v>
      </x:c>
      <x:c r="F13" s="66" t="str">
        <x:v>P0</x:v>
      </x:c>
      <x:c r="G13" s="66" t="str">
        <x:v>Graph tests</x:v>
      </x:c>
      <x:c r="H13" s="66"/>
      <x:c r="I13" s="66"/>
    </x:row>
    <x:row r="14">
      <x:c r="A14" s="58" t="str">
        <x:v>Type System</x:v>
      </x:c>
      <x:c r="B14" s="58" t="str">
        <x:v>Scalar/Geometry/Image/Context/Coercion</x:v>
      </x:c>
      <x:c r="C14" s="58" t="str">
        <x:v>安全扩展/危险窄化/坐标系/像素类型</x:v>
      </x:c>
      <x:c r="D14" s="58" t="str">
        <x:v>contract tests</x:v>
      </x:c>
      <x:c r="E14" s="58" t="str">
        <x:v>兼容矩阵明确</x:v>
      </x:c>
      <x:c r="F14" s="58" t="str">
        <x:v>P0</x:v>
      </x:c>
      <x:c r="G14" s="58" t="str">
        <x:v>Type report</x:v>
      </x:c>
      <x:c r="H14" s="58"/>
      <x:c r="I14" s="58"/>
    </x:row>
    <x:row r="15">
      <x:c r="A15" s="66" t="str">
        <x:v>Unified Debug</x:v>
      </x:c>
      <x:c r="B15" s="66" t="str">
        <x:v>Breakpoint/Watch/Trace/Simulation/Live/Replay</x:v>
      </x:c>
      <x:c r="C15" s="66" t="str">
        <x:v>暂停/单步/RunTo/Stop/Correlation/真实写锁</x:v>
      </x:c>
      <x:c r="D15" s="66" t="str">
        <x:v>Fake domains</x:v>
      </x:c>
      <x:c r="E15" s="66" t="str">
        <x:v>多域语义一致；Stop无残留</x:v>
      </x:c>
      <x:c r="F15" s="66" t="str">
        <x:v>P0</x:v>
      </x:c>
      <x:c r="G15" s="66" t="str">
        <x:v>Debug report</x:v>
      </x:c>
      <x:c r="H15" s="66"/>
      <x:c r="I15" s="66"/>
    </x:row>
    <x:row r="16">
      <x:c r="A16" s="58" t="str">
        <x:v>Resource Manager</x:v>
      </x:c>
      <x:c r="B16" s="58" t="str">
        <x:v>Lease/Concurrency/Deadlock/Timeout</x:v>
      </x:c>
      <x:c r="C16" s="58" t="str">
        <x:v>轴+相机+GPU争用、取消、异常释放</x:v>
      </x:c>
      <x:c r="D16" s="58" t="str">
        <x:v>resource simulator</x:v>
      </x:c>
      <x:c r="E16" s="58" t="str">
        <x:v>无死锁/泄漏；冲突可解释</x:v>
      </x:c>
      <x:c r="F16" s="58" t="str">
        <x:v>P0</x:v>
      </x:c>
      <x:c r="G16" s="58" t="str">
        <x:v>Concurrency report</x:v>
      </x:c>
      <x:c r="H16" s="58"/>
      <x:c r="I16" s="58"/>
    </x:row>
    <x:row r="17">
      <x:c r="A17" s="66" t="str">
        <x:v>Motion</x:v>
      </x:c>
      <x:c r="B17" s="66" t="str">
        <x:v>Program/Interlock/Adapter/Debug</x:v>
      </x:c>
      <x:c r="C17" s="66" t="str">
        <x:v>Home/Move/Wait/IO/Parallel/Timeout/Cancel/设备报警</x:v>
      </x:c>
      <x:c r="D17" s="66" t="str">
        <x:v>Motion simulator + test controller</x:v>
      </x:c>
      <x:c r="E17" s="66" t="str">
        <x:v>软实时编排正确；硬实时边界不越界</x:v>
      </x:c>
      <x:c r="F17" s="66" t="str">
        <x:v>P0</x:v>
      </x:c>
      <x:c r="G17" s="66" t="str">
        <x:v>Motion report</x:v>
      </x:c>
      <x:c r="H17" s="66"/>
      <x:c r="I17" s="66"/>
    </x:row>
    <x:row r="18">
      <x:c r="A18" s="58" t="str">
        <x:v>Vision Golden</x:v>
      </x:c>
      <x:c r="B18" s="58" t="str">
        <x:v>算法Pipeline</x:v>
      </x:c>
      <x:c r="C18" s="58" t="str">
        <x:v>固定输入/版本→固定输出；传统+AI融合</x:v>
      </x:c>
      <x:c r="D18" s="58" t="str">
        <x:v>Golden images/volumes</x:v>
      </x:c>
      <x:c r="E18" s="58" t="str">
        <x:v>结果/容差满足基准</x:v>
      </x:c>
      <x:c r="F18" s="58" t="str">
        <x:v>P0</x:v>
      </x:c>
      <x:c r="G18" s="58" t="str">
        <x:v>Golden report</x:v>
      </x:c>
      <x:c r="H18" s="58"/>
      <x:c r="I18" s="58"/>
    </x:row>
    <x:row r="19">
      <x:c r="A19" s="66" t="str">
        <x:v>Vision Performance</x:v>
      </x:c>
      <x:c r="B19" s="66" t="str">
        <x:v>大图/GPU/Buffer/Worker</x:v>
      </x:c>
      <x:c r="C19" s="66" t="str">
        <x:v>高分辨率图、并行节点、显存压力、Worker crash</x:v>
      </x:c>
      <x:c r="D19" s="66" t="str">
        <x:v>perf harness</x:v>
      </x:c>
      <x:c r="E19" s="66" t="str">
        <x:v>无无界复制/泄漏；崩溃隔离</x:v>
      </x:c>
      <x:c r="F19" s="66" t="str">
        <x:v>P0</x:v>
      </x:c>
      <x:c r="G19" s="66" t="str">
        <x:v>Perf/Crash report</x:v>
      </x:c>
      <x:c r="H19" s="66"/>
      <x:c r="I19" s="66"/>
    </x:row>
    <x:row r="20">
      <x:c r="A20" s="58" t="str">
        <x:v>Inspection Scenario</x:v>
      </x:c>
      <x:c r="B20" s="58" t="str">
        <x:v>产品业务流程</x:v>
      </x:c>
      <x:c r="C20" s="58" t="str">
        <x:v>多点位/NG复测/人工复判/MES断网/分支/超时</x:v>
      </x:c>
      <x:c r="D20" s="58" t="str">
        <x:v>scenario harness</x:v>
      </x:c>
      <x:c r="E20" s="58" t="str">
        <x:v>流程结果与期望一致</x:v>
      </x:c>
      <x:c r="F20" s="58" t="str">
        <x:v>P0</x:v>
      </x:c>
      <x:c r="G20" s="58" t="str">
        <x:v>Scenario report</x:v>
      </x:c>
      <x:c r="H20" s="58"/>
      <x:c r="I20" s="58"/>
    </x:row>
    <x:row r="21">
      <x:c r="A21" s="66" t="str">
        <x:v>Inspection Recovery</x:v>
      </x:c>
      <x:c r="B21" s="66" t="str">
        <x:v>Checkpoint/Idempotency/Compensation</x:v>
      </x:c>
      <x:c r="C21" s="66" t="str">
        <x:v>任意关键节点kill进程/断电模拟后恢复</x:v>
      </x:c>
      <x:c r="D21" s="66" t="str">
        <x:v>fault injection</x:v>
      </x:c>
      <x:c r="E21" s="66" t="str">
        <x:v>不重复MES/文件/设备副作用</x:v>
      </x:c>
      <x:c r="F21" s="66" t="str">
        <x:v>P0</x:v>
      </x:c>
      <x:c r="G21" s="66" t="str">
        <x:v>Recovery report</x:v>
      </x:c>
      <x:c r="H21" s="66"/>
      <x:c r="I21" s="66"/>
    </x:row>
    <x:row r="22">
      <x:c r="A22" s="58" t="str">
        <x:v>Plugin SDK</x:v>
      </x:c>
      <x:c r="B22" s="58" t="str">
        <x:v>Element/Node/Algorithm/Provider插件</x:v>
      </x:c>
      <x:c r="C22" s="58" t="str">
        <x:v>安装/缺失/版本冲突/异常/卸载/签名</x:v>
      </x:c>
      <x:c r="D22" s="58" t="str">
        <x:v>sample plugins</x:v>
      </x:c>
      <x:c r="E22" s="58" t="str">
        <x:v>主程序稳定；错误可诊断</x:v>
      </x:c>
      <x:c r="F22" s="58" t="str">
        <x:v>P1</x:v>
      </x:c>
      <x:c r="G22" s="58" t="str">
        <x:v>Plugin report</x:v>
      </x:c>
      <x:c r="H22" s="58"/>
      <x:c r="I22" s="58"/>
    </x:row>
    <x:row r="23">
      <x:c r="A23" s="66" t="str">
        <x:v>Deployment</x:v>
      </x:c>
      <x:c r="B23" s="66" t="str">
        <x:v>Package/Manifest/Target/Switch/Rollback</x:v>
      </x:c>
      <x:c r="C23" s="66" t="str">
        <x:v>坏包/Hash错/断网/切换失败/旧版本回滚</x:v>
      </x:c>
      <x:c r="D23" s="66" t="str">
        <x:v>deployment simulator</x:v>
      </x:c>
      <x:c r="E23" s="66" t="str">
        <x:v>失败保持旧版本运行</x:v>
      </x:c>
      <x:c r="F23" s="66" t="str">
        <x:v>P0</x:v>
      </x:c>
      <x:c r="G23" s="66" t="str">
        <x:v>Deploy report</x:v>
      </x:c>
      <x:c r="H23" s="66"/>
      <x:c r="I23" s="66"/>
    </x:row>
    <x:row r="24">
      <x:c r="A24" s="58" t="str">
        <x:v>Security</x:v>
      </x:c>
      <x:c r="B24" s="58" t="str">
        <x:v>Authorization/Write/Interlock/Script/Secrets</x:v>
      </x:c>
      <x:c r="C24" s="58" t="str">
        <x:v>所有写入口、脚本、Debug Live、危险设备动作</x:v>
      </x:c>
      <x:c r="D24" s="58" t="str">
        <x:v>FakeAuth/audit</x:v>
      </x:c>
      <x:c r="E24" s="58" t="str">
        <x:v>越权0写入；审计完整</x:v>
      </x:c>
      <x:c r="F24" s="58" t="str">
        <x:v>P0</x:v>
      </x:c>
      <x:c r="G24" s="58" t="str">
        <x:v>Security report</x:v>
      </x:c>
      <x:c r="H24" s="58"/>
      <x:c r="I24" s="58"/>
    </x:row>
    <x:row r="25">
      <x:c r="A25" s="66" t="str">
        <x:v>Performance</x:v>
      </x:c>
      <x:c r="B25" s="66" t="str">
        <x:v>Designer/SCADA/Graph/Vision/Flow</x:v>
      </x:c>
      <x:c r="C25" s="66" t="str">
        <x:v>500/2000视觉元素、1000 Graph节点、10k Tags、Vision吞吐、Flow节拍</x:v>
      </x:c>
      <x:c r="D25" s="66" t="str">
        <x:v>benchmark harness</x:v>
      </x:c>
      <x:c r="E25" s="66" t="str">
        <x:v>定义项目阈值且版本不回退</x:v>
      </x:c>
      <x:c r="F25" s="66" t="str">
        <x:v>P1</x:v>
      </x:c>
      <x:c r="G25" s="66" t="str">
        <x:v>Performance trend</x:v>
      </x:c>
      <x:c r="H25" s="66"/>
      <x:c r="I25" s="66"/>
    </x:row>
    <x:row r="26">
      <x:c r="A26" s="58" t="str">
        <x:v>Soak</x:v>
      </x:c>
      <x:c r="B26" s="58" t="str">
        <x:v>全Runtime长期运行</x:v>
      </x:c>
      <x:c r="C26" s="58" t="str">
        <x:v>变量/动画/报警/History/Vision/Inspection/Worker/断线重连</x:v>
      </x:c>
      <x:c r="D26" s="58" t="str">
        <x:v>72h automated scenario</x:v>
      </x:c>
      <x:c r="E26" s="58" t="str">
        <x:v>内存/线程/句柄/订阅/队列无趋势增长</x:v>
      </x:c>
      <x:c r="F26" s="58" t="str">
        <x:v>P0</x:v>
      </x:c>
      <x:c r="G26" s="58" t="str">
        <x:v>Soak report</x:v>
      </x:c>
      <x:c r="H26" s="58"/>
      <x:c r="I26" s="58"/>
    </x:row>
    <x:row r="27">
      <x:c r="A27" s="66" t="str">
        <x:v>Build</x:v>
      </x:c>
      <x:c r="B27" s="66" t="str">
        <x:v>全Solution</x:v>
      </x:c>
      <x:c r="C27" s="66" t="str">
        <x:v>VS2022 + .NET Framework 4.8 Debug/Release</x:v>
      </x:c>
      <x:c r="D27" s="66" t="str">
        <x:v>MSBuild/build.cmd</x:v>
      </x:c>
      <x:c r="E27" s="66" t="str">
        <x:v>0 Error</x:v>
      </x:c>
      <x:c r="F27" s="66" t="str">
        <x:v>P0</x:v>
      </x:c>
      <x:c r="G27" s="66" t="str">
        <x:v>Build log</x:v>
      </x:c>
      <x:c r="H27" s="66"/>
      <x:c r="I27" s="66"/>
    </x:row>
    <x:row r="28">
      <x:c r="A28" s="58" t="str">
        <x:v>Release Reproducibility</x:v>
      </x:c>
      <x:c r="B28" s="58" t="str">
        <x:v>Snapshot→Manifest→Package→Runtime</x:v>
      </x:c>
      <x:c r="C28" s="58" t="str">
        <x:v>相同ReleaseManifest可在目标环境重现依赖版本</x:v>
      </x:c>
      <x:c r="D28" s="58" t="str">
        <x:v>release harness</x:v>
      </x:c>
      <x:c r="E28" s="58" t="str">
        <x:v>版本/Hash完全可追溯</x:v>
      </x:c>
      <x:c r="F28" s="58" t="str">
        <x:v>P0</x:v>
      </x:c>
      <x:c r="G28" s="58" t="str">
        <x:v>Release manifest</x:v>
      </x:c>
      <x:c r="H28" s="58"/>
      <x:c r="I28" s="58"/>
    </x:row>
    <x:row r="29">
      <x:c r="A29" s="66" t="str">
        <x:v>Robot</x:v>
      </x:c>
      <x:c r="B29" s="66" t="str">
        <x:v>Frame/Tool/Path/Adapter/Debug</x:v>
      </x:c>
      <x:c r="C29" s="66" t="str">
        <x:v>多品牌Capability、Move/Jog/Teach、Frame变换、报警、Vision guidance</x:v>
      </x:c>
      <x:c r="D29" s="66" t="str">
        <x:v>Robot simulator + test controller</x:v>
      </x:c>
      <x:c r="E29" s="66" t="str">
        <x:v>不越过控制器安全/实时边界；状态/错误标准化</x:v>
      </x:c>
      <x:c r="F29" s="66" t="str">
        <x:v>P0</x:v>
      </x:c>
      <x:c r="G29" s="66" t="str">
        <x:v>Robot integration report</x:v>
      </x:c>
      <x:c r="H29" s="66"/>
      <x:c r="I29" s="66"/>
    </x:row>
    <x:row r="30">
      <x:c r="A30" s="58" t="str">
        <x:v>Robot Safety</x:v>
      </x:c>
      <x:c r="B30" s="58" t="str">
        <x:v>Maintenance/Interlock/Resource/Remote</x:v>
      </x:c>
      <x:c r="C30" s="58" t="str">
        <x:v>Program占轴时Jog、错误Mode、失联、危险动作审批</x:v>
      </x:c>
      <x:c r="D30" s="58" t="str">
        <x:v>Fake controller/security</x:v>
      </x:c>
      <x:c r="E30" s="58" t="str">
        <x:v>未授权0危险命令；断线不误判</x:v>
      </x:c>
      <x:c r="F30" s="58" t="str">
        <x:v>P0</x:v>
      </x:c>
      <x:c r="G30" s="58" t="str">
        <x:v>Robot safety report</x:v>
      </x:c>
      <x:c r="H30" s="58"/>
      <x:c r="I30" s="58"/>
    </x:row>
    <x:row r="31">
      <x:c r="A31" s="66" t="str">
        <x:v>CT Data/Geometry</x:v>
      </x:c>
      <x:c r="B31" s="66" t="str">
        <x:v>ProjectionSeries/CTGeometry/Volume3D</x:v>
      </x:c>
      <x:c r="C31" s="66" t="str">
        <x:v>缺帧/角度/坐标/单位/Calibration/大数据Handle</x:v>
      </x:c>
      <x:c r="D31" s="66" t="str">
        <x:v>CT sample builders</x:v>
      </x:c>
      <x:c r="E31" s="66" t="str">
        <x:v>Schema/几何语义正确；大数据不复制失控</x:v>
      </x:c>
      <x:c r="F31" s="66" t="str">
        <x:v>P0</x:v>
      </x:c>
      <x:c r="G31" s="66" t="str">
        <x:v>CT contract report</x:v>
      </x:c>
      <x:c r="H31" s="66"/>
      <x:c r="I31" s="66"/>
    </x:row>
    <x:row r="32">
      <x:c r="A32" s="58" t="str">
        <x:v>CT Golden</x:v>
      </x:c>
      <x:c r="B32" s="58" t="str">
        <x:v>Reconstruction/3D algorithms</x:v>
      </x:c>
      <x:c r="C32" s="58" t="str">
        <x:v>固定投影→Volume/Measurement/Segmentation质量基准</x:v>
      </x:c>
      <x:c r="D32" s="58" t="str">
        <x:v>Golden projection/volume datasets</x:v>
      </x:c>
      <x:c r="E32" s="58" t="str">
        <x:v>质量指标与容差满足基准</x:v>
      </x:c>
      <x:c r="F32" s="58" t="str">
        <x:v>P0</x:v>
      </x:c>
      <x:c r="G32" s="58" t="str">
        <x:v>CT golden report</x:v>
      </x:c>
      <x:c r="H32" s="58"/>
      <x:c r="I32" s="58"/>
    </x:row>
    <x:row r="33">
      <x:c r="A33" s="66" t="str">
        <x:v>CT Performance</x:v>
      </x:c>
      <x:c r="B33" s="66" t="str">
        <x:v>Recon/GPU/Volume/Viewer/Artifact</x:v>
      </x:c>
      <x:c r="C33" s="66" t="str">
        <x:v>大Volume/多Job/GPU OOM/临时盘/Viewer/Worker crash</x:v>
      </x:c>
      <x:c r="D33" s="66" t="str">
        <x:v>CT perf harness</x:v>
      </x:c>
      <x:c r="E33" s="66" t="str">
        <x:v>内存/显存/磁盘/队列有界；Worker隔离</x:v>
      </x:c>
      <x:c r="F33" s="66" t="str">
        <x:v>P0</x:v>
      </x:c>
      <x:c r="G33" s="66" t="str">
        <x:v>CT perf/crash report</x:v>
      </x:c>
      <x:c r="H33" s="66"/>
      <x:c r="I33" s="66"/>
    </x:row>
    <x:row r="34">
      <x:c r="A34" s="58" t="str">
        <x:v>CT Cross-domain</x:v>
      </x:c>
      <x:c r="B34" s="58" t="str">
        <x:v>Motion acquire→Projection→Recon→Inspection</x:v>
      </x:c>
      <x:c r="C34" s="58" t="str">
        <x:v>设备断线/采集缺帧/重建失败/复测</x:v>
      </x:c>
      <x:c r="D34" s="58" t="str">
        <x:v>E2E scenario</x:v>
      </x:c>
      <x:c r="E34" s="58" t="str">
        <x:v>Correlation/版本/结果/恢复链贯通</x:v>
      </x:c>
      <x:c r="F34" s="58" t="str">
        <x:v>P0</x:v>
      </x:c>
      <x:c r="G34" s="58" t="str">
        <x:v>CT E2E report</x:v>
      </x:c>
      <x:c r="H34" s="58"/>
      <x:c r="I34" s="58"/>
    </x:row>
    <x:row r="35">
      <x:c r="A35" s="66" t="str">
        <x:v>Operations Fleet</x:v>
      </x:c>
      <x:c r="B35" s="66" t="str">
        <x:v>Agent/Health/Version/Events</x:v>
      </x:c>
      <x:c r="C35" s="66" t="str">
        <x:v>多Station上线/离线/Agent crash/中心宕机</x:v>
      </x:c>
      <x:c r="D35" s="66" t="str">
        <x:v>multi-agent harness</x:v>
      </x:c>
      <x:c r="E35" s="66" t="str">
        <x:v>中心故障不影响本地生产</x:v>
      </x:c>
      <x:c r="F35" s="66" t="str">
        <x:v>P0</x:v>
      </x:c>
      <x:c r="G35" s="66" t="str">
        <x:v>Fleet resilience report</x:v>
      </x:c>
      <x:c r="H35" s="66"/>
      <x:c r="I35" s="66"/>
    </x:row>
    <x:row r="36">
      <x:c r="A36" s="58" t="str">
        <x:v>Fleet Deployment</x:v>
      </x:c>
      <x:c r="B36" s="58" t="str">
        <x:v>Canary/Ring/Stage/Switch/Verify/Rollback</x:v>
      </x:c>
      <x:c r="C36" s="58" t="str">
        <x:v>网络分区/坏包/部分站点失败/回滚</x:v>
      </x:c>
      <x:c r="D36" s="58" t="str">
        <x:v>deployment lab</x:v>
      </x:c>
      <x:c r="E36" s="58" t="str">
        <x:v>未知状态可对账；本地Atomic switch</x:v>
      </x:c>
      <x:c r="F36" s="58" t="str">
        <x:v>P0</x:v>
      </x:c>
      <x:c r="G36" s="58" t="str">
        <x:v>Fleet deployment report</x:v>
      </x:c>
      <x:c r="H36" s="58"/>
      <x:c r="I36" s="58"/>
    </x:row>
    <x:row r="37">
      <x:c r="A37" s="66" t="str">
        <x:v>Remote Engineering</x:v>
      </x:c>
      <x:c r="B37" s="66" t="str">
        <x:v>Approval/Lease/Broker/Debug/Artifact</x:v>
      </x:c>
      <x:c r="C37" s="66" t="str">
        <x:v>只读默认、Live Controlled、TTL、断线、权限过期、大数据限流</x:v>
      </x:c>
      <x:c r="D37" s="66" t="str">
        <x:v>security/network harness</x:v>
      </x:c>
      <x:c r="E37" s="66" t="str">
        <x:v>中心不能绕过Target；副作用命令不盲重发</x:v>
      </x:c>
      <x:c r="F37" s="66" t="str">
        <x:v>P0</x:v>
      </x:c>
      <x:c r="G37" s="66" t="str">
        <x:v>Remote security report</x:v>
      </x:c>
      <x:c r="H37" s="66"/>
      <x:c r="I37" s="66"/>
    </x:row>
    <x:row r="38">
      <x:c r="A38" s="58" t="str">
        <x:v>Documentation Governance</x:v>
      </x:c>
      <x:c r="B38" s="58" t="str">
        <x:v>功能/架构/路线/追踪/术语一致性</x:v>
      </x:c>
      <x:c r="C38" s="58" t="str">
        <x:v>02/03/23/24/领域页/58与Solution/API一致</x:v>
      </x:c>
      <x:c r="D38" s="58" t="str">
        <x:v>review/check scripts</x:v>
      </x:c>
      <x:c r="E38" s="58" t="str">
        <x:v>无双轨阶段/旧术语/遗漏追踪</x:v>
      </x:c>
      <x:c r="F38" s="58" t="str">
        <x:v>P1</x:v>
      </x:c>
      <x:c r="G38" s="58" t="str">
        <x:v>Documentation review</x:v>
      </x:c>
      <x:c r="H38" s="58"/>
      <x:c r="I38" s="58"/>
    </x:row>
    <x:row r="39">
      <x:c r="A39"/>
      <x:c r="B39"/>
      <x:c r="C39"/>
      <x:c r="D39"/>
      <x:c r="E39"/>
      <x:c r="F39"/>
      <x:c r="G39"/>
      <x:c r="H39"/>
      <x:c r="I39"/>
    </x:row>
    <x:row r="40" ht="24" customHeight="1">
      <x:c r="A40" s="40" t="str">
        <x:v>RC必须收集的最终证据</x:v>
      </x:c>
      <x:c r="B40" s="40"/>
      <x:c r="C40" s="40"/>
      <x:c r="D40" s="40"/>
      <x:c r="E40" s="40"/>
      <x:c r="F40" s="40"/>
      <x:c r="G40" s="40"/>
      <x:c r="H40" s="40"/>
      <x:c r="I40" s="40"/>
    </x:row>
    <x:row r="41" ht="28" customHeight="1">
      <x:c r="A41" s="50" t="str">
        <x:v>证据</x:v>
      </x:c>
      <x:c r="B41" s="50" t="str">
        <x:v>内容</x:v>
      </x:c>
      <x:c r="C41" s="50" t="str">
        <x:v>来源</x:v>
      </x:c>
      <x:c r="D41" s="50" t="str">
        <x:v>必须</x:v>
      </x:c>
      <x:c r="E41" s="50" t="str">
        <x:v>失败处理</x:v>
      </x:c>
      <x:c r="F41" s="50" t="str">
        <x:v>签署角色</x:v>
      </x:c>
      <x:c r="G41" s="50" t="str">
        <x:v>存档周期</x:v>
      </x:c>
      <x:c r="H41" s="50" t="str">
        <x:v>关联版本</x:v>
      </x:c>
      <x:c r="I41" s="50" t="str">
        <x:v>说明</x:v>
      </x:c>
    </x:row>
    <x:row r="42">
      <x:c r="A42" s="66" t="str">
        <x:v>Build Log</x:v>
      </x:c>
      <x:c r="B42" s="66" t="str">
        <x:v>Debug/Release完整编译</x:v>
      </x:c>
      <x:c r="C42" s="66" t="str">
        <x:v>CI/Windows build</x:v>
      </x:c>
      <x:c r="D42" s="66" t="str">
        <x:v>是</x:v>
      </x:c>
      <x:c r="E42" s="66" t="str">
        <x:v>阻断RC</x:v>
      </x:c>
      <x:c r="F42" s="66" t="str">
        <x:v>平台负责人</x:v>
      </x:c>
      <x:c r="G42" s="66" t="str">
        <x:v>长期</x:v>
      </x:c>
      <x:c r="H42" s="66" t="str">
        <x:v>App/Commit</x:v>
      </x:c>
      <x:c r="I42" s="66"/>
    </x:row>
    <x:row r="43">
      <x:c r="A43" s="58" t="str">
        <x:v>Automated Test Report</x:v>
      </x:c>
      <x:c r="B43" s="58" t="str">
        <x:v>所有P0/P1自动测试</x:v>
      </x:c>
      <x:c r="C43" s="58" t="str">
        <x:v>CI</x:v>
      </x:c>
      <x:c r="D43" s="58" t="str">
        <x:v>是</x:v>
      </x:c>
      <x:c r="E43" s="58" t="str">
        <x:v>阻断RC</x:v>
      </x:c>
      <x:c r="F43" s="58" t="str">
        <x:v>QA</x:v>
      </x:c>
      <x:c r="G43" s="58" t="str">
        <x:v>长期</x:v>
      </x:c>
      <x:c r="H43" s="58" t="str">
        <x:v>Release</x:v>
      </x:c>
      <x:c r="I43" s="58"/>
    </x:row>
    <x:row r="44">
      <x:c r="A44" s="66" t="str">
        <x:v>UI Smoke Report</x:v>
      </x:c>
      <x:c r="B44" s="66" t="str">
        <x:v>Studio/Runtime/WinForms关键链路</x:v>
      </x:c>
      <x:c r="C44" s="66" t="str">
        <x:v>UI automation</x:v>
      </x:c>
      <x:c r="D44" s="66" t="str">
        <x:v>是</x:v>
      </x:c>
      <x:c r="E44" s="66" t="str">
        <x:v>阻断RC</x:v>
      </x:c>
      <x:c r="F44" s="66" t="str">
        <x:v>QA/UI</x:v>
      </x:c>
      <x:c r="G44" s="66" t="str">
        <x:v>长期</x:v>
      </x:c>
      <x:c r="H44" s="66" t="str">
        <x:v>Release</x:v>
      </x:c>
      <x:c r="I44" s="66"/>
    </x:row>
    <x:row r="45">
      <x:c r="A45" s="58" t="str">
        <x:v>Performance Report</x:v>
      </x:c>
      <x:c r="B45" s="58" t="str">
        <x:v>关键阈值与趋势</x:v>
      </x:c>
      <x:c r="C45" s="58" t="str">
        <x:v>Benchmarks</x:v>
      </x:c>
      <x:c r="D45" s="58" t="str">
        <x:v>是</x:v>
      </x:c>
      <x:c r="E45" s="58" t="str">
        <x:v>P1回归需处理</x:v>
      </x:c>
      <x:c r="F45" s="58" t="str">
        <x:v>性能Owner</x:v>
      </x:c>
      <x:c r="G45" s="58" t="str">
        <x:v>长期</x:v>
      </x:c>
      <x:c r="H45" s="58" t="str">
        <x:v>Release</x:v>
      </x:c>
      <x:c r="I45" s="58"/>
    </x:row>
    <x:row r="46">
      <x:c r="A46" s="66" t="str">
        <x:v>72h Soak Report</x:v>
      </x:c>
      <x:c r="B46" s="66" t="str">
        <x:v>长期稳定性</x:v>
      </x:c>
      <x:c r="C46" s="66" t="str">
        <x:v>Soak harness</x:v>
      </x:c>
      <x:c r="D46" s="66" t="str">
        <x:v>是</x:v>
      </x:c>
      <x:c r="E46" s="66" t="str">
        <x:v>阻断RC</x:v>
      </x:c>
      <x:c r="F46" s="66" t="str">
        <x:v>QA</x:v>
      </x:c>
      <x:c r="G46" s="66" t="str">
        <x:v>长期</x:v>
      </x:c>
      <x:c r="H46" s="66" t="str">
        <x:v>Release</x:v>
      </x:c>
      <x:c r="I46" s="66"/>
    </x:row>
    <x:row r="47">
      <x:c r="A47" s="58" t="str">
        <x:v>Recovery/Deployment Report</x:v>
      </x:c>
      <x:c r="B47" s="58" t="str">
        <x:v>恢复/回滚演练</x:v>
      </x:c>
      <x:c r="C47" s="58" t="str">
        <x:v>Fault/Deployment tests</x:v>
      </x:c>
      <x:c r="D47" s="58" t="str">
        <x:v>是</x:v>
      </x:c>
      <x:c r="E47" s="58" t="str">
        <x:v>阻断RC</x:v>
      </x:c>
      <x:c r="F47" s="58" t="str">
        <x:v>现场/QA</x:v>
      </x:c>
      <x:c r="G47" s="58" t="str">
        <x:v>长期</x:v>
      </x:c>
      <x:c r="H47" s="58" t="str">
        <x:v>Release</x:v>
      </x:c>
      <x:c r="I47" s="58"/>
    </x:row>
    <x:row r="49">
      <x:c r="A49" t="str">
        <x:v>H. 历史 E2E / Architecture Gates（V6.4增补见49）</x:v>
      </x:c>
      <x:c r="B49"/>
      <x:c r="C49"/>
      <x:c r="D49"/>
      <x:c r="E49"/>
      <x:c r="F49"/>
      <x:c r="G49"/>
      <x:c r="H49"/>
      <x:c r="I49"/>
    </x:row>
    <x:row r="50">
      <x:c r="A50" t="str">
        <x:v>Gate ID</x:v>
      </x:c>
      <x:c r="B50" t="str">
        <x:v>范围</x:v>
      </x:c>
      <x:c r="C50" t="str">
        <x:v>验证对象</x:v>
      </x:c>
      <x:c r="D50" t="str">
        <x:v>测试类型</x:v>
      </x:c>
      <x:c r="E50" t="str">
        <x:v>通过标准</x:v>
      </x:c>
      <x:c r="F50" t="str">
        <x:v>优先级</x:v>
      </x:c>
      <x:c r="G50" t="str">
        <x:v>阶段</x:v>
      </x:c>
      <x:c r="H50" t="str">
        <x:v>DesignRef</x:v>
      </x:c>
      <x:c r="I50" t="str">
        <x:v>备注</x:v>
      </x:c>
    </x:row>
    <x:row r="51">
      <x:c r="A51" t="str">
        <x:v>VAR-E2E-01</x:v>
      </x:c>
      <x:c r="B51" t="str">
        <x:v>DeviceVariable→Project Variables</x:v>
      </x:c>
      <x:c r="C51" t="str">
        <x:v>同步、稳定VariableId、改名</x:v>
      </x:c>
      <x:c r="D51" t="str">
        <x:v>RoundTrip/Integration</x:v>
      </x:c>
      <x:c r="E51" t="str">
        <x:v>变量同步后改设备名，Binding仍解析</x:v>
      </x:c>
      <x:c r="F51" t="str">
        <x:v>P0</x:v>
      </x:c>
      <x:c r="G51" t="str">
        <x:v>M2</x:v>
      </x:c>
      <x:c r="H51" t="str">
        <x:v>46</x:v>
      </x:c>
      <x:c r="I51"/>
    </x:row>
    <x:row r="52">
      <x:c r="A52" t="str">
        <x:v>VAR-E2E-02</x:v>
      </x:c>
      <x:c r="B52" t="str">
        <x:v>DeviceVariable→Binding→Element Runtime</x:v>
      </x:c>
      <x:c r="C52" t="str">
        <x:v>选择/拖变量、运行刷新</x:v>
      </x:c>
      <x:c r="D52" t="str">
        <x:v>UI+Runtime</x:v>
      </x:c>
      <x:c r="E52" t="str">
        <x:v>Quality/Value变化正确驱动图元</x:v>
      </x:c>
      <x:c r="F52" t="str">
        <x:v>P0</x:v>
      </x:c>
      <x:c r="G52" t="str">
        <x:v>M2</x:v>
      </x:c>
      <x:c r="H52" t="str">
        <x:v>46</x:v>
      </x:c>
      <x:c r="I52"/>
    </x:row>
    <x:row r="53">
      <x:c r="A53" t="str">
        <x:v>VAR-E2E-03</x:v>
      </x:c>
      <x:c r="B53" t="str">
        <x:v>DeviceVariable→Alarm/Trend/State</x:v>
      </x:c>
      <x:c r="C53" t="str">
        <x:v>同一VariableReference/VariableValue</x:v>
      </x:c>
      <x:c r="D53" t="str">
        <x:v>Integration</x:v>
      </x:c>
      <x:c r="E53" t="str">
        <x:v>Quality/Timestamp一致</x:v>
      </x:c>
      <x:c r="F53" t="str">
        <x:v>P0</x:v>
      </x:c>
      <x:c r="G53" t="str">
        <x:v>M2</x:v>
      </x:c>
      <x:c r="H53" t="str">
        <x:v>46</x:v>
      </x:c>
      <x:c r="I53"/>
    </x:row>
    <x:row r="54">
      <x:c r="A54" t="str">
        <x:v>VAR-E2E-04</x:v>
      </x:c>
      <x:c r="B54" t="str">
        <x:v>DeviceVariable→SCADA Graph</x:v>
      </x:c>
      <x:c r="C54" t="str">
        <x:v>VariableChanged/Read/Write节点</x:v>
      </x:c>
      <x:c r="D54" t="str">
        <x:v>Graph integration</x:v>
      </x:c>
      <x:c r="E54" t="str">
        <x:v>不直连Legacy Manager；写经Pipeline</x:v>
      </x:c>
      <x:c r="F54" t="str">
        <x:v>P0</x:v>
      </x:c>
      <x:c r="G54" t="str">
        <x:v>M3</x:v>
      </x:c>
      <x:c r="H54" t="str">
        <x:v>46</x:v>
      </x:c>
      <x:c r="I54"/>
    </x:row>
    <x:row r="55">
      <x:c r="A55" t="str">
        <x:v>VAR-E2E-05</x:v>
      </x:c>
      <x:c r="B55" t="str">
        <x:v>Quality/Offline/Reconnect</x:v>
      </x:c>
      <x:c r="C55" t="str">
        <x:v>断线、BadQuality、重连、Sequence</x:v>
      </x:c>
      <x:c r="D55" t="str">
        <x:v>Fault injection</x:v>
      </x:c>
      <x:c r="E55" t="str">
        <x:v>引用不丢、恢复后继续订阅</x:v>
      </x:c>
      <x:c r="F55" t="str">
        <x:v>P0</x:v>
      </x:c>
      <x:c r="G55" t="str">
        <x:v>M2</x:v>
      </x:c>
      <x:c r="H55" t="str">
        <x:v>46</x:v>
      </x:c>
      <x:c r="I55"/>
    </x:row>
    <x:row r="56">
      <x:c r="A56" t="str">
        <x:v>VAR-E2E-06</x:v>
      </x:c>
      <x:c r="B56" t="str">
        <x:v>Controlled Write</x:v>
      </x:c>
      <x:c r="C56" t="str">
        <x:v>权限/类型/范围/Interlock/Audit/Write/Readback</x:v>
      </x:c>
      <x:c r="D56" t="str">
        <x:v>Security integration</x:v>
      </x:c>
      <x:c r="E56" t="str">
        <x:v>本地Update不被视为设备成功</x:v>
      </x:c>
      <x:c r="F56" t="str">
        <x:v>P0</x:v>
      </x:c>
      <x:c r="G56" t="str">
        <x:v>M2~M3</x:v>
      </x:c>
      <x:c r="H56" t="str">
        <x:v>46</x:v>
      </x:c>
      <x:c r="I56"/>
    </x:row>
    <x:row r="57">
      <x:c r="A57" t="str">
        <x:v>VAR-E2E-07</x:v>
      </x:c>
      <x:c r="B57" t="str">
        <x:v>Save/Reopen offline</x:v>
      </x:c>
      <x:c r="C57" t="str">
        <x:v>Provider离线保存/重开</x:v>
      </x:c>
      <x:c r="D57" t="str">
        <x:v>Serialization</x:v>
      </x:c>
      <x:c r="E57" t="str">
        <x:v>VariableId/Reference保持</x:v>
      </x:c>
      <x:c r="F57" t="str">
        <x:v>P0</x:v>
      </x:c>
      <x:c r="G57" t="str">
        <x:v>M2</x:v>
      </x:c>
      <x:c r="H57" t="str">
        <x:v>46</x:v>
      </x:c>
      <x:c r="I57"/>
    </x:row>
    <x:row r="58">
      <x:c r="A58" t="str">
        <x:v>UI-E2E-01</x:v>
      </x:c>
      <x:c r="B58" t="str">
        <x:v>Contextual Ribbon切换</x:v>
      </x:c>
      <x:c r="C58" t="str">
        <x:v>HMI/SCADA/Graph/Motion/Robot/Vision/CT/Inspection</x:v>
      </x:c>
      <x:c r="D58" t="str">
        <x:v>UI Smoke</x:v>
      </x:c>
      <x:c r="E58" t="str">
        <x:v>页签显隐/命令Enable/订阅释放正确</x:v>
      </x:c>
      <x:c r="F58" t="str">
        <x:v>P0</x:v>
      </x:c>
      <x:c r="G58" t="str">
        <x:v>M1~M6</x:v>
      </x:c>
      <x:c r="H58" t="str">
        <x:v>45</x:v>
      </x:c>
      <x:c r="I58"/>
    </x:row>
    <x:row r="59">
      <x:c r="A59" t="str">
        <x:v>HW-ARCH-01</x:v>
      </x:c>
      <x:c r="B59" t="str">
        <x:v>硬件接口边界</x:v>
      </x:c>
      <x:c r="C59" t="str">
        <x:v>Vendor SDK不进入Core/Studio/Graph</x:v>
      </x:c>
      <x:c r="D59" t="str">
        <x:v>Architecture</x:v>
      </x:c>
      <x:c r="E59" t="str">
        <x:v>接口分类与依赖通过</x:v>
      </x:c>
      <x:c r="F59" t="str">
        <x:v>P0</x:v>
      </x:c>
      <x:c r="G59" t="str">
        <x:v>M4</x:v>
      </x:c>
      <x:c r="H59" t="str">
        <x:v>47</x:v>
      </x:c>
      <x:c r="I59"/>
    </x:row>
    <x:row r="60">
      <x:c r="A60" t="str">
        <x:v>HW-E2E-01</x:v>
      </x:c>
      <x:c r="B60" t="str">
        <x:v>Controller/Fieldbus/Axis/IO/Safety生命周期</x:v>
      </x:c>
      <x:c r="C60" t="str">
        <x:v>Create/Connect/Register/Run/Stop/Dispose/Fault</x:v>
      </x:c>
      <x:c r="D60" t="str">
        <x:v>Device integration</x:v>
      </x:c>
      <x:c r="E60" t="str">
        <x:v>资源不泄漏，Safety/Interlock不可绕过</x:v>
      </x:c>
      <x:c r="F60" t="str">
        <x:v>P0</x:v>
      </x:c>
      <x:c r="G60" t="str">
        <x:v>M4</x:v>
      </x:c>
      <x:c r="H60" t="str">
        <x:v>47</x:v>
      </x:c>
      <x:c r="I60"/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42" hidden="0" customWidth="1"/>
    <x:col min="4" max="4" width="34" hidden="0" customWidth="1"/>
    <x:col min="5" max="5" width="32" hidden="0" customWidth="1"/>
    <x:col min="6" max="6" width="32" hidden="0" customWidth="1"/>
    <x:col min="7" max="7" width="30" hidden="0" customWidth="1"/>
    <x:col min="8" max="8" width="28" hidden="0" customWidth="1"/>
    <x:col min="9" max="9" width="30" hidden="0" customWidth="1"/>
  </x:cols>
  <x:sheetData>
    <x:row r="1" ht="30" customHeight="1">
      <x:c r="A1" s="137" t="str">
        <x:v>Automation / Motion Orchestration — V6.4 完整开发蓝图</x:v>
      </x:c>
      <x:c r="B1" s="137"/>
      <x:c r="C1" s="137"/>
      <x:c r="D1" s="137"/>
      <x:c r="E1" s="137"/>
      <x:c r="F1" s="137"/>
      <x:c r="G1" s="137"/>
      <x:c r="H1" s="137"/>
      <x:c r="I1" s="137"/>
    </x:row>
    <x:row r="2" ht="38" customHeight="1">
      <x:c r="A2" s="16" t="str">
        <x:v>Motion 是 Automation 内专业能力族：CxVisual负责编排“何时让哪个设备做什么并等待什么结果”；伺服闭环、EtherCAT周期、位置比较与Safety Loop下沉控制器/PLC/专用硬件。</x:v>
      </x:c>
      <x:c r="B2" s="16"/>
      <x:c r="C2" s="16"/>
      <x:c r="D2" s="16"/>
      <x:c r="E2" s="16"/>
      <x:c r="F2" s="16"/>
      <x:c r="G2" s="16"/>
      <x:c r="H2" s="16"/>
      <x:c r="I2" s="16"/>
    </x:row>
    <x:row r="3">
      <x:c r="A3" s="30" t="str">
        <x:v>本页唯一权威</x:v>
      </x:c>
      <x:c r="B3" s="31" t="str">
        <x:v>Motion Definition/Point/Coord/Node、Validate/Compile/ExecutionPlan、专业Runtime、Controller/PLC/IO/Trigger/Resource/Interlock与Driver边界。</x:v>
      </x:c>
      <x:c r="C3" s="31"/>
      <x:c r="D3" s="31"/>
      <x:c r="E3" s="31"/>
      <x:c r="F3" s="31"/>
      <x:c r="G3" s="31"/>
      <x:c r="H3" s="31"/>
      <x:c r="I3" s="31"/>
    </x:row>
    <x:row r="4">
      <x:c r="A4" s="30" t="str">
        <x:v>不在本页维护</x:v>
      </x:c>
      <x:c r="B4" s="31" t="str">
        <x:v>通用Graph/Type/Debug/Integration/Reliability机制（见19~26）；实机在线调试操作（见28）；真实进度（见41）。</x:v>
      </x:c>
      <x:c r="C4" s="31"/>
      <x:c r="D4" s="31"/>
      <x:c r="E4" s="31"/>
      <x:c r="F4" s="31"/>
      <x:c r="G4" s="31"/>
      <x:c r="H4" s="31"/>
      <x:c r="I4" s="31"/>
    </x:row>
    <x:row r="5">
      <x:c r="A5" s="30" t="str">
        <x:v>关联分页</x:v>
      </x:c>
      <x:c r="B5" s="31" t="str">
        <x:v>19~26_Graph Execution Platform；28_Motion在线调试；29_Robot完整开发蓝图；37_跨域执行E2E；47_运控硬件抽象体系。</x:v>
      </x:c>
      <x:c r="C5" s="31"/>
      <x:c r="D5" s="31"/>
      <x:c r="E5" s="31"/>
      <x:c r="F5" s="31"/>
      <x:c r="G5" s="31"/>
      <x:c r="H5" s="31"/>
      <x:c r="I5" s="31"/>
    </x:row>
    <x:row r="6">
      <x:c r="A6"/>
      <x:c r="B6"/>
      <x:c r="C6"/>
      <x:c r="D6"/>
      <x:c r="E6"/>
      <x:c r="F6"/>
      <x:c r="G6"/>
      <x:c r="H6"/>
      <x:c r="I6"/>
    </x:row>
    <x:row r="7" ht="24" customHeight="1">
      <x:c r="A7" s="40" t="str">
        <x:v>A. 领域定位与边界</x:v>
      </x:c>
      <x:c r="B7" s="40"/>
      <x:c r="C7" s="40"/>
      <x:c r="D7" s="40"/>
      <x:c r="E7" s="40"/>
      <x:c r="F7" s="40"/>
      <x:c r="G7" s="40"/>
      <x:c r="H7" s="40"/>
      <x:c r="I7" s="40"/>
    </x:row>
    <x:row r="8" ht="28" customHeight="1">
      <x:c r="A8" s="50" t="str">
        <x:v>主题</x:v>
      </x:c>
      <x:c r="B8" s="50" t="str">
        <x:v>正式定位</x:v>
      </x:c>
      <x:c r="C8" s="50" t="str">
        <x:v>边界</x:v>
      </x:c>
      <x:c r="D8" s="50"/>
      <x:c r="E8" s="50"/>
      <x:c r="F8" s="50"/>
      <x:c r="G8" s="50"/>
      <x:c r="H8" s="50"/>
      <x:c r="I8" s="50"/>
    </x:row>
    <x:row r="9">
      <x:c r="A9" s="58" t="str">
        <x:v>执行语义</x:v>
      </x:c>
      <x:c r="B9" s="58" t="str">
        <x:v>ControlFlow / device orchestration</x:v>
      </x:c>
      <x:c r="C9" s="58" t="str">
        <x:v>节点之间主要传控制状态、参数与MotionResult</x:v>
      </x:c>
      <x:c r="D9" s="58"/>
      <x:c r="E9" s="58"/>
      <x:c r="F9" s="58"/>
      <x:c r="G9" s="58"/>
      <x:c r="H9" s="58"/>
      <x:c r="I9" s="58"/>
    </x:row>
    <x:row r="10">
      <x:c r="A10" s="66" t="str">
        <x:v>负责</x:v>
      </x:c>
      <x:c r="B10" s="66" t="str">
        <x:v>Axis/IO/Device/Point/Coord/Resource/Interlock/Scan/Trigger/Program</x:v>
      </x:c>
      <x:c r="C10" s="66" t="str">
        <x:v>面向软实时工业动作编排</x:v>
      </x:c>
      <x:c r="D10" s="66"/>
      <x:c r="E10" s="66"/>
      <x:c r="F10" s="66"/>
      <x:c r="G10" s="66"/>
      <x:c r="H10" s="66"/>
      <x:c r="I10" s="66"/>
    </x:row>
    <x:row r="11">
      <x:c r="A11" s="58" t="str">
        <x:v>不负责</x:v>
      </x:c>
      <x:c r="B11" s="58" t="str">
        <x:v>伺服闭环、硬件急停、安全PLC、控制器高频插补</x:v>
      </x:c>
      <x:c r="C11" s="58" t="str">
        <x:v>这些必须下沉硬件/控制器</x:v>
      </x:c>
      <x:c r="D11" s="58"/>
      <x:c r="E11" s="58"/>
      <x:c r="F11" s="58"/>
      <x:c r="G11" s="58"/>
      <x:c r="H11" s="58"/>
      <x:c r="I11" s="58"/>
    </x:row>
    <x:row r="12">
      <x:c r="A12" s="66" t="str">
        <x:v>专业扩展</x:v>
      </x:c>
      <x:c r="B12" s="66" t="str">
        <x:v>Robot 作为 Automation 内专业能力，复用 Motion ControlFlow/Resource/Interlock/Debug 公共契约</x:v>
      </x:c>
      <x:c r="C12" s="66" t="str">
        <x:v>见29/30</x:v>
      </x:c>
      <x:c r="D12" s="66"/>
      <x:c r="E12" s="66"/>
      <x:c r="F12" s="66"/>
      <x:c r="G12" s="66"/>
      <x:c r="H12" s="66"/>
      <x:c r="I12" s="66"/>
    </x:row>
    <x:row r="13">
      <x:c r="A13"/>
      <x:c r="B13"/>
      <x:c r="C13"/>
      <x:c r="D13"/>
      <x:c r="E13"/>
      <x:c r="F13"/>
      <x:c r="G13"/>
      <x:c r="H13"/>
      <x:c r="I13"/>
    </x:row>
    <x:row r="14" ht="24" customHeight="1">
      <x:c r="A14" s="40" t="str">
        <x:v>A. Motion Studio 完整功能展望</x:v>
      </x:c>
      <x:c r="B14" s="40"/>
      <x:c r="C14" s="40"/>
      <x:c r="D14" s="40"/>
      <x:c r="E14" s="40"/>
      <x:c r="F14" s="40"/>
      <x:c r="G14" s="40"/>
      <x:c r="H14" s="40"/>
      <x:c r="I14" s="40"/>
    </x:row>
    <x:row r="15" ht="28" customHeight="1">
      <x:c r="A15" s="50" t="str">
        <x:v>功能区</x:v>
      </x:c>
      <x:c r="B15" s="50" t="str">
        <x:v>核心能力</x:v>
      </x:c>
      <x:c r="C15" s="50" t="str">
        <x:v>具体功能</x:v>
      </x:c>
      <x:c r="D15" s="50" t="str">
        <x:v>主要对象</x:v>
      </x:c>
      <x:c r="E15" s="50" t="str">
        <x:v>UI形态</x:v>
      </x:c>
      <x:c r="F15" s="50" t="str">
        <x:v>运行关联</x:v>
      </x:c>
      <x:c r="G15" s="50" t="str">
        <x:v>权限/安全</x:v>
      </x:c>
      <x:c r="H15" s="50"/>
      <x:c r="I15" s="50"/>
    </x:row>
    <x:row r="16">
      <x:c r="A16" s="58" t="str">
        <x:v>工程导航</x:v>
      </x:c>
      <x:c r="B16" s="58" t="str">
        <x:v>Motion程序与设备资源管理</x:v>
      </x:c>
      <x:c r="C16" s="58" t="str">
        <x:v>Program/SubProgram/PointTable/Axis/IO/Device/CoordSystem/Resource分类、搜索、引用查找</x:v>
      </x:c>
      <x:c r="D16" s="58" t="str">
        <x:v>MotionProgram/AxisDefinition/ResourceRef</x:v>
      </x:c>
      <x:c r="E16" s="58" t="str">
        <x:v>Project Tree + Search</x:v>
      </x:c>
      <x:c r="F16" s="58" t="str">
        <x:v>Definition resolve</x:v>
      </x:c>
      <x:c r="G16" s="58" t="str">
        <x:v>编辑权限</x:v>
      </x:c>
      <x:c r="H16" s="58"/>
      <x:c r="I16" s="58"/>
    </x:row>
    <x:row r="17">
      <x:c r="A17" s="66" t="str">
        <x:v>节点工具箱</x:v>
      </x:c>
      <x:c r="B17" s="66" t="str">
        <x:v>标准动作与控制节点</x:v>
      </x:c>
      <x:c r="C17" s="66" t="str">
        <x:v>Axis/IO/Device/Wait/Logic/Parallel/SubProgram/Trigger/Scan/Resource节点分类、搜索、收藏</x:v>
      </x:c>
      <x:c r="D17" s="66" t="str">
        <x:v>MotionNodeDescriptor</x:v>
      </x:c>
      <x:c r="E17" s="66" t="str">
        <x:v>Node Catalog</x:v>
      </x:c>
      <x:c r="F17" s="66" t="str">
        <x:v>Compiler/Executor</x:v>
      </x:c>
      <x:c r="G17" s="66" t="str">
        <x:v>危险节点标识</x:v>
      </x:c>
      <x:c r="H17" s="66"/>
      <x:c r="I17" s="66"/>
    </x:row>
    <x:row r="18">
      <x:c r="A18" s="58" t="str">
        <x:v>Motion画布</x:v>
      </x:c>
      <x:c r="B18" s="58" t="str">
        <x:v>可视化控制流</x:v>
      </x:c>
      <x:c r="C18" s="58" t="str">
        <x:v>拖放、连线、框选、Group、注释、折叠、SubProgram、对齐、自动布局、MiniMap</x:v>
      </x:c>
      <x:c r="D18" s="58" t="str">
        <x:v>MotionProgram</x:v>
      </x:c>
      <x:c r="E18" s="58" t="str">
        <x:v>Graph Canvas</x:v>
      </x:c>
      <x:c r="F18" s="58" t="str">
        <x:v>MotionPlan</x:v>
      </x:c>
      <x:c r="G18" s="58" t="str">
        <x:v>编辑态</x:v>
      </x:c>
      <x:c r="H18" s="58"/>
      <x:c r="I18" s="58"/>
    </x:row>
    <x:row r="19">
      <x:c r="A19" s="66" t="str">
        <x:v>属性参数</x:v>
      </x:c>
      <x:c r="B19" s="66" t="str">
        <x:v>节点参数工程化</x:v>
      </x:c>
      <x:c r="C19" s="66" t="str">
        <x:v>常量/变量/表达式/Recipe/Graph参数绑定；单位/范围/默认值/校验</x:v>
      </x:c>
      <x:c r="D19" s="66" t="str">
        <x:v>Node Parameters</x:v>
      </x:c>
      <x:c r="E19" s="66" t="str">
        <x:v>Inspector</x:v>
      </x:c>
      <x:c r="F19" s="66" t="str">
        <x:v>Compile/Runtime params</x:v>
      </x:c>
      <x:c r="G19" s="66" t="str">
        <x:v>危险参数提示</x:v>
      </x:c>
      <x:c r="H19" s="66"/>
      <x:c r="I19" s="66"/>
    </x:row>
    <x:row r="20">
      <x:c r="A20" s="58" t="str">
        <x:v>点位表</x:v>
      </x:c>
      <x:c r="B20" s="58" t="str">
        <x:v>设备位置/工艺点管理</x:v>
      </x:c>
      <x:c r="C20" s="58" t="str">
        <x:v>PointId/Name/Axis positions/CoordSystem/SpeedProfile/Teach source/Comment/Version</x:v>
      </x:c>
      <x:c r="D20" s="58" t="str">
        <x:v>MotionPointTable</x:v>
      </x:c>
      <x:c r="E20" s="58" t="str">
        <x:v>Grid Editor</x:v>
      </x:c>
      <x:c r="F20" s="58" t="str">
        <x:v>MoveToPoint</x:v>
      </x:c>
      <x:c r="G20" s="58" t="str">
        <x:v>Teach需受控</x:v>
      </x:c>
      <x:c r="H20" s="58"/>
      <x:c r="I20" s="58"/>
    </x:row>
    <x:row r="21">
      <x:c r="A21" s="66" t="str">
        <x:v>坐标系</x:v>
      </x:c>
      <x:c r="B21" s="66" t="str">
        <x:v>机器/产品/相机等坐标变换</x:v>
      </x:c>
      <x:c r="C21" s="66" t="str">
        <x:v>父子坐标、偏置、标定版本、Pose变换、坐标可视化</x:v>
      </x:c>
      <x:c r="D21" s="66" t="str">
        <x:v>CoordinateSystem</x:v>
      </x:c>
      <x:c r="E21" s="66" t="str">
        <x:v>Tree + Transform Editor</x:v>
      </x:c>
      <x:c r="F21" s="66" t="str">
        <x:v>Position resolve</x:v>
      </x:c>
      <x:c r="G21" s="66" t="str">
        <x:v>版本/权限</x:v>
      </x:c>
      <x:c r="H21" s="66"/>
      <x:c r="I21" s="66"/>
    </x:row>
    <x:row r="22">
      <x:c r="A22" s="58" t="str">
        <x:v>速度/动作模板</x:v>
      </x:c>
      <x:c r="B22" s="58" t="str">
        <x:v>Profile复用</x:v>
      </x:c>
      <x:c r="C22" s="58" t="str">
        <x:v>Speed/Accel/Decel/Jerk/Tolerance/Timeout模板；产品参数覆盖</x:v>
      </x:c>
      <x:c r="D22" s="58" t="str">
        <x:v>MotionProfile</x:v>
      </x:c>
      <x:c r="E22" s="58" t="str">
        <x:v>Library/Inspector</x:v>
      </x:c>
      <x:c r="F22" s="58" t="str">
        <x:v>Node Plan</x:v>
      </x:c>
      <x:c r="G22" s="58" t="str">
        <x:v>限值策略</x:v>
      </x:c>
      <x:c r="H22" s="58"/>
      <x:c r="I22" s="58"/>
    </x:row>
    <x:row r="23">
      <x:c r="A23" s="66" t="str">
        <x:v>设备资源</x:v>
      </x:c>
      <x:c r="B23" s="66" t="str">
        <x:v>轴/IO/相机/XRay/机器人等</x:v>
      </x:c>
      <x:c r="C23" s="66" t="str">
        <x:v>在线状态、Capabilities、资源占用、引用关系、驱动版本</x:v>
      </x:c>
      <x:c r="D23" s="66" t="str">
        <x:v>ResourceDefinition/DeviceRef</x:v>
      </x:c>
      <x:c r="E23" s="66" t="str">
        <x:v>Resource/Device Panel</x:v>
      </x:c>
      <x:c r="F23" s="66" t="str">
        <x:v>ResourceManager</x:v>
      </x:c>
      <x:c r="G23" s="66" t="str">
        <x:v>只读/维护权限</x:v>
      </x:c>
      <x:c r="H23" s="66"/>
      <x:c r="I23" s="66"/>
    </x:row>
    <x:row r="24">
      <x:c r="A24" s="58" t="str">
        <x:v>互锁安全</x:v>
      </x:c>
      <x:c r="B24" s="58" t="str">
        <x:v>动作前置条件</x:v>
      </x:c>
      <x:c r="C24" s="58" t="str">
        <x:v>Mode/Permission/SafetyDoor/XRayInterlock/AxisServo/Fixture/Custom rules</x:v>
      </x:c>
      <x:c r="D24" s="58" t="str">
        <x:v>InterlockDefinition</x:v>
      </x:c>
      <x:c r="E24" s="58" t="str">
        <x:v>Interlock Editor</x:v>
      </x:c>
      <x:c r="F24" s="58" t="str">
        <x:v>IInterlockService</x:v>
      </x:c>
      <x:c r="G24" s="58" t="str">
        <x:v>不可绕过</x:v>
      </x:c>
      <x:c r="H24" s="58"/>
      <x:c r="I24" s="58"/>
    </x:row>
    <x:row r="25">
      <x:c r="A25" s="66" t="str">
        <x:v>编译验证</x:v>
      </x:c>
      <x:c r="B25" s="66" t="str">
        <x:v>发布前静态检查</x:v>
      </x:c>
      <x:c r="C25" s="66" t="str">
        <x:v>断线、不可达、无Timeout、资源冲突、死循环、设备缺失、单位错误、危险动作无Interlock</x:v>
      </x:c>
      <x:c r="D25" s="66" t="str">
        <x:v>MotionValidator</x:v>
      </x:c>
      <x:c r="E25" s="66" t="str">
        <x:v>Problems</x:v>
      </x:c>
      <x:c r="F25" s="66" t="str">
        <x:v>MotionCompiler</x:v>
      </x:c>
      <x:c r="G25" s="66" t="str">
        <x:v>Fatal阻止运行</x:v>
      </x:c>
      <x:c r="H25" s="66"/>
      <x:c r="I25" s="66"/>
    </x:row>
    <x:row r="26">
      <x:c r="A26" s="58" t="str">
        <x:v>仿真</x:v>
      </x:c>
      <x:c r="B26" s="58" t="str">
        <x:v>无设备执行</x:v>
      </x:c>
      <x:c r="C26" s="58" t="str">
        <x:v>虚拟轴/IO/设备状态模型、运动时间估算、故障注入、Scenario</x:v>
      </x:c>
      <x:c r="D26" s="58" t="str">
        <x:v>MotionSimulationProfile</x:v>
      </x:c>
      <x:c r="E26" s="58" t="str">
        <x:v>Simulation Panel</x:v>
      </x:c>
      <x:c r="F26" s="58" t="str">
        <x:v>Sim providers</x:v>
      </x:c>
      <x:c r="G26" s="58" t="str">
        <x:v>无真实写</x:v>
      </x:c>
      <x:c r="H26" s="58"/>
      <x:c r="I26" s="58"/>
    </x:row>
    <x:row r="27">
      <x:c r="A27" s="66" t="str">
        <x:v>在线调试</x:v>
      </x:c>
      <x:c r="B27" s="66" t="str">
        <x:v>连接实机Runtime</x:v>
      </x:c>
      <x:c r="C27" s="66" t="str">
        <x:v>Attach、版本比较、状态监控、断点/单步/RunTo、Teach/Jog、临时参数Override、Trace</x:v>
      </x:c>
      <x:c r="D27" s="66" t="str">
        <x:v>MotionDebugSession</x:v>
      </x:c>
      <x:c r="E27" s="66" t="str">
        <x:v>Debug Workspace</x:v>
      </x:c>
      <x:c r="F27" s="66" t="str">
        <x:v>MotionRuntimeSession</x:v>
      </x:c>
      <x:c r="G27" s="66" t="str">
        <x:v>强安全策略</x:v>
      </x:c>
      <x:c r="H27" s="66"/>
      <x:c r="I27" s="66"/>
    </x:row>
    <x:row r="28">
      <x:c r="A28" s="58" t="str">
        <x:v>运行监控</x:v>
      </x:c>
      <x:c r="B28" s="58" t="str">
        <x:v>生产执行可视化</x:v>
      </x:c>
      <x:c r="C28" s="58" t="str">
        <x:v>当前程序/节点、轴状态、资源、互锁、等待原因、Command/Alarm Timeline</x:v>
      </x:c>
      <x:c r="D28" s="58" t="str">
        <x:v>MotionRuntimeSnapshot</x:v>
      </x:c>
      <x:c r="E28" s="58" t="str">
        <x:v>Runtime Monitor</x:v>
      </x:c>
      <x:c r="F28" s="58" t="str">
        <x:v>Motion runtime</x:v>
      </x:c>
      <x:c r="G28" s="58" t="str">
        <x:v>运行只读为主</x:v>
      </x:c>
      <x:c r="H28" s="58"/>
      <x:c r="I28" s="58"/>
    </x:row>
    <x:row r="29">
      <x:c r="A29" s="66" t="str">
        <x:v>版本与发布</x:v>
      </x:c>
      <x:c r="B29" s="66" t="str">
        <x:v>可重现运控程序</x:v>
      </x:c>
      <x:c r="C29" s="66" t="str">
        <x:v>Definition版本、PointTable/Profile版本、ControllerProfile、Diff、依赖、发布锁定</x:v>
      </x:c>
      <x:c r="D29" s="66" t="str">
        <x:v>MotionReleaseManifest</x:v>
      </x:c>
      <x:c r="E29" s="66" t="str">
        <x:v>Version/Publish</x:v>
      </x:c>
      <x:c r="F29" s="66" t="str">
        <x:v>Resolved Program</x:v>
      </x:c>
      <x:c r="G29" s="66" t="str">
        <x:v>审批策略</x:v>
      </x:c>
      <x:c r="H29" s="66"/>
      <x:c r="I29" s="66"/>
    </x:row>
    <x:row r="30">
      <x:c r="A30"/>
      <x:c r="B30"/>
      <x:c r="C30"/>
      <x:c r="D30"/>
      <x:c r="E30"/>
      <x:c r="F30"/>
      <x:c r="G30"/>
      <x:c r="H30"/>
      <x:c r="I30"/>
    </x:row>
    <x:row r="31" ht="24" customHeight="1">
      <x:c r="A31" s="40" t="str">
        <x:v>B. Motion 分层代码蓝图</x:v>
      </x:c>
      <x:c r="B31" s="40"/>
      <x:c r="C31" s="40"/>
      <x:c r="D31" s="40"/>
      <x:c r="E31" s="40"/>
      <x:c r="F31" s="40"/>
      <x:c r="G31" s="40"/>
      <x:c r="H31" s="40"/>
      <x:c r="I31" s="40"/>
    </x:row>
    <x:row r="32" ht="28" customHeight="1">
      <x:c r="A32" s="50" t="str">
        <x:v>层</x:v>
      </x:c>
      <x:c r="B32" s="50" t="str">
        <x:v>建议模块</x:v>
      </x:c>
      <x:c r="C32" s="50" t="str">
        <x:v>核心对象/接口</x:v>
      </x:c>
      <x:c r="D32" s="50" t="str">
        <x:v>职责</x:v>
      </x:c>
      <x:c r="E32" s="50" t="str">
        <x:v>输入</x:v>
      </x:c>
      <x:c r="F32" s="50" t="str">
        <x:v>输出</x:v>
      </x:c>
      <x:c r="G32" s="50" t="str">
        <x:v>UI依赖</x:v>
      </x:c>
      <x:c r="H32" s="50" t="str">
        <x:v>Vendor依赖</x:v>
      </x:c>
      <x:c r="I32" s="50" t="str">
        <x:v>开发原则</x:v>
      </x:c>
    </x:row>
    <x:row r="33">
      <x:c r="A33" s="58" t="str">
        <x:v>Designer.Wpf</x:v>
      </x:c>
      <x:c r="B33" s="58" t="str">
        <x:v>CxVisual.Workbenches.Presentation.Wpf / Automation.Motion</x:v>
      </x:c>
      <x:c r="C33" s="58" t="str">
        <x:v>MotionDesignerView/AxisPanel/IoPanel/PointTableView/InterlockEditor</x:v>
      </x:c>
      <x:c r="D33" s="58" t="str">
        <x:v>交互与可视化</x:v>
      </x:c>
      <x:c r="E33" s="58" t="str">
        <x:v>ViewModels/Metadata</x:v>
      </x:c>
      <x:c r="F33" s="58" t="str">
        <x:v>Commands/User intents</x:v>
      </x:c>
      <x:c r="G33" s="58" t="str">
        <x:v>WPF</x:v>
      </x:c>
      <x:c r="H33" s="58" t="str">
        <x:v>无</x:v>
      </x:c>
      <x:c r="I33" s="58" t="str">
        <x:v>不直接执行设备</x:v>
      </x:c>
    </x:row>
    <x:row r="34">
      <x:c r="A34" s="66" t="str">
        <x:v>Application</x:v>
      </x:c>
      <x:c r="B34" s="66" t="str">
        <x:v>CxVisual.Automation / Motion</x:v>
      </x:c>
      <x:c r="C34" s="66" t="str">
        <x:v>MotionAuthoringService/MotionSelection/PointTableService/TeachChangeSetService</x:v>
      </x:c>
      <x:c r="D34" s="66" t="str">
        <x:v>编辑用例、Command编排、在线/离线Diff</x:v>
      </x:c>
      <x:c r="E34" s="66" t="str">
        <x:v>Definition/Services</x:v>
      </x:c>
      <x:c r="F34" s="66" t="str">
        <x:v>Commands/ChangeSet</x:v>
      </x:c>
      <x:c r="G34" s="66" t="str">
        <x:v>无</x:v>
      </x:c>
      <x:c r="H34" s="66" t="str">
        <x:v>无</x:v>
      </x:c>
      <x:c r="I34" s="66" t="str">
        <x:v>可单测</x:v>
      </x:c>
    </x:row>
    <x:row r="35">
      <x:c r="A35" s="58" t="str">
        <x:v>Core</x:v>
      </x:c>
      <x:c r="B35" s="58" t="str">
        <x:v>CxVisual.Automation / Motion</x:v>
      </x:c>
      <x:c r="C35" s="58" t="str">
        <x:v>MotionProgram/AxisDefinition/CoordinateSystem/MotionNode configs/Interlock refs</x:v>
      </x:c>
      <x:c r="D35" s="58" t="str">
        <x:v>领域配置与契约</x:v>
      </x:c>
      <x:c r="E35" s="58" t="str">
        <x:v>用户配置</x:v>
      </x:c>
      <x:c r="F35" s="58" t="str">
        <x:v>Definition</x:v>
      </x:c>
      <x:c r="G35" s="58" t="str">
        <x:v>无</x:v>
      </x:c>
      <x:c r="H35" s="58" t="str">
        <x:v>无</x:v>
      </x:c>
      <x:c r="I35" s="58" t="str">
        <x:v>纯POCO/稳定Schema</x:v>
      </x:c>
    </x:row>
    <x:row r="36">
      <x:c r="A36" s="66" t="str">
        <x:v>Metadata</x:v>
      </x:c>
      <x:c r="B36" s="66" t="str">
        <x:v>Motion.Core/Metadata</x:v>
      </x:c>
      <x:c r="C36" s="66" t="str">
        <x:v>MotionNodeDescriptor/ParameterMetadata/Capability</x:v>
      </x:c>
      <x:c r="D36" s="66" t="str">
        <x:v>Toolbox/Inspector/Validator契约</x:v>
      </x:c>
      <x:c r="E36" s="66" t="str">
        <x:v>注册</x:v>
      </x:c>
      <x:c r="F36" s="66" t="str">
        <x:v>Catalog</x:v>
      </x:c>
      <x:c r="G36" s="66" t="str">
        <x:v>无</x:v>
      </x:c>
      <x:c r="H36" s="66" t="str">
        <x:v>无</x:v>
      </x:c>
      <x:c r="I36" s="66" t="str">
        <x:v>NodeTypeId稳定</x:v>
      </x:c>
    </x:row>
    <x:row r="37">
      <x:c r="A37" s="58" t="str">
        <x:v>Validation</x:v>
      </x:c>
      <x:c r="B37" s="58" t="str">
        <x:v>CxVisual.Automation / Motion</x:v>
      </x:c>
      <x:c r="C37" s="58" t="str">
        <x:v>MotionValidator/RuleSet</x:v>
      </x:c>
      <x:c r="D37" s="58" t="str">
        <x:v>静态结构/资源/危险动作规则</x:v>
      </x:c>
      <x:c r="E37" s="58" t="str">
        <x:v>Definition+ProjectContext</x:v>
      </x:c>
      <x:c r="F37" s="58" t="str">
        <x:v>ValidationReport</x:v>
      </x:c>
      <x:c r="G37" s="58" t="str">
        <x:v>无</x:v>
      </x:c>
      <x:c r="H37" s="58" t="str">
        <x:v>无</x:v>
      </x:c>
      <x:c r="I37" s="58" t="str">
        <x:v>Fatal明确定位</x:v>
      </x:c>
    </x:row>
    <x:row r="38">
      <x:c r="A38" s="66" t="str">
        <x:v>Compiler</x:v>
      </x:c>
      <x:c r="B38" s="66" t="str">
        <x:v>CxVisual.Automation / Motion</x:v>
      </x:c>
      <x:c r="C38" s="66" t="str">
        <x:v>MotionCompiler/MotionPlanBuilder</x:v>
      </x:c>
      <x:c r="D38" s="66" t="str">
        <x:v>解析表达式/设备/资源/坐标/互锁，生成不可变Plan</x:v>
      </x:c>
      <x:c r="E38" s="66" t="str">
        <x:v>Resolved Definition</x:v>
      </x:c>
      <x:c r="F38" s="66" t="str">
        <x:v>MotionExecutionPlan</x:v>
      </x:c>
      <x:c r="G38" s="66" t="str">
        <x:v>无</x:v>
      </x:c>
      <x:c r="H38" s="66" t="str">
        <x:v>无</x:v>
      </x:c>
      <x:c r="I38" s="66" t="str">
        <x:v>运行不反复解释设计树</x:v>
      </x:c>
    </x:row>
    <x:row r="39">
      <x:c r="A39" s="58" t="str">
        <x:v>Runtime</x:v>
      </x:c>
      <x:c r="B39" s="58" t="str">
        <x:v>CxVisual.Automation / Motion</x:v>
      </x:c>
      <x:c r="C39" s="58" t="str">
        <x:v>MotionRuntimeSession/MotionScheduler/MotionNodeRunner</x:v>
      </x:c>
      <x:c r="D39" s="58" t="str">
        <x:v>控制流/节点状态/取消/暂停边界/结果</x:v>
      </x:c>
      <x:c r="E39" s="58" t="str">
        <x:v>MotionPlan+RuntimeContext</x:v>
      </x:c>
      <x:c r="F39" s="58" t="str">
        <x:v>MotionResult/Trace</x:v>
      </x:c>
      <x:c r="G39" s="58" t="str">
        <x:v>无</x:v>
      </x:c>
      <x:c r="H39" s="58" t="str">
        <x:v>只经接口</x:v>
      </x:c>
      <x:c r="I39" s="58" t="str">
        <x:v>软实时</x:v>
      </x:c>
    </x:row>
    <x:row r="40">
      <x:c r="A40" s="66" t="str">
        <x:v>Safety/Resource</x:v>
      </x:c>
      <x:c r="B40" s="66" t="str">
        <x:v>Runtime.Core + Motion.Runtime</x:v>
      </x:c>
      <x:c r="C40" s="66" t="str">
        <x:v>ResourceManager/IInterlockService/MotionWritePolicy</x:v>
      </x:c>
      <x:c r="D40" s="66" t="str">
        <x:v>Lease、互锁、危险动作策略</x:v>
      </x:c>
      <x:c r="E40" s="66" t="str">
        <x:v>Node request/Runtime state</x:v>
      </x:c>
      <x:c r="F40" s="66" t="str">
        <x:v>Permit/Denied/Lease</x:v>
      </x:c>
      <x:c r="G40" s="66" t="str">
        <x:v>无</x:v>
      </x:c>
      <x:c r="H40" s="66" t="str">
        <x:v>无</x:v>
      </x:c>
      <x:c r="I40" s="66" t="str">
        <x:v>所有动作必经</x:v>
      </x:c>
    </x:row>
    <x:row r="41">
      <x:c r="A41" s="58" t="str">
        <x:v>Integration</x:v>
      </x:c>
      <x:c r="B41" s="58" t="str">
        <x:v>CxVisual.Automation.Drivers / Motion</x:v>
      </x:c>
      <x:c r="C41" s="58" t="str">
        <x:v>IMotionController/IIoProvider/IDeviceCommandExecutor adapters</x:v>
      </x:c>
      <x:c r="D41" s="58" t="str">
        <x:v>映射平台命令到厂商SDK</x:v>
      </x:c>
      <x:c r="E41" s="58" t="str">
        <x:v>Motion command DTO</x:v>
      </x:c>
      <x:c r="F41" s="58" t="str">
        <x:v>Platform result/state</x:v>
      </x:c>
      <x:c r="G41" s="58" t="str">
        <x:v>无</x:v>
      </x:c>
      <x:c r="H41" s="58" t="str">
        <x:v>有</x:v>
      </x:c>
      <x:c r="I41" s="58" t="str">
        <x:v>Vendor隔离</x:v>
      </x:c>
    </x:row>
    <x:row r="42">
      <x:c r="A42" s="66" t="str">
        <x:v>Debug</x:v>
      </x:c>
      <x:c r="B42" s="66" t="str">
        <x:v>CxVisual.Automation / Motion</x:v>
      </x:c>
      <x:c r="C42" s="66" t="str">
        <x:v>MotionDebugAdapter/MotionSnapshotProvider</x:v>
      </x:c>
      <x:c r="D42" s="66" t="str">
        <x:v>Step/RunTo/Teach/Jog/Axis/IO/Resource snapshot</x:v>
      </x:c>
      <x:c r="E42" s="66" t="str">
        <x:v>Debug commands</x:v>
      </x:c>
      <x:c r="F42" s="66" t="str">
        <x:v>Debug events/snapshots</x:v>
      </x:c>
      <x:c r="G42" s="66" t="str">
        <x:v>无</x:v>
      </x:c>
      <x:c r="H42" s="66" t="str">
        <x:v>只经runtime/integration接口</x:v>
      </x:c>
      <x:c r="I42" s="66" t="str">
        <x:v>接21页统一Debug Agent</x:v>
      </x:c>
    </x:row>
    <x:row r="43">
      <x:c r="A43" s="58" t="str">
        <x:v>Tests</x:v>
      </x:c>
      <x:c r="B43" s="58" t="str">
        <x:v>CxVisual.Automation / Motion</x:v>
      </x:c>
      <x:c r="C43" s="58" t="str">
        <x:v>Simulator/FakeController/Scenario/Contract tests</x:v>
      </x:c>
      <x:c r="D43" s="58" t="str">
        <x:v>验证Node/Plan/Runtime/Adapter</x:v>
      </x:c>
      <x:c r="E43" s="58" t="str">
        <x:v>Fixtures</x:v>
      </x:c>
      <x:c r="F43" s="58" t="str">
        <x:v>Reports</x:v>
      </x:c>
      <x:c r="G43" s="58" t="str">
        <x:v>无</x:v>
      </x:c>
      <x:c r="H43" s="58" t="str">
        <x:v>Fake</x:v>
      </x:c>
      <x:c r="I43" s="58" t="str">
        <x:v>每节点有正/异常/取消测试</x:v>
      </x:c>
    </x:row>
    <x:row r="44">
      <x:c r="A44"/>
      <x:c r="B44"/>
      <x:c r="C44"/>
      <x:c r="D44"/>
      <x:c r="E44"/>
      <x:c r="F44"/>
      <x:c r="G44"/>
      <x:c r="H44"/>
      <x:c r="I44"/>
    </x:row>
    <x:row r="45" ht="24" customHeight="1">
      <x:c r="A45" s="40" t="str">
        <x:v>C. Motion 节点完整分类</x:v>
      </x:c>
      <x:c r="B45" s="40"/>
      <x:c r="C45" s="40"/>
      <x:c r="D45" s="40"/>
      <x:c r="E45" s="40"/>
      <x:c r="F45" s="40"/>
      <x:c r="G45" s="40"/>
      <x:c r="H45" s="40"/>
      <x:c r="I45" s="40"/>
    </x:row>
    <x:row r="46" ht="28" customHeight="1">
      <x:c r="A46" s="50" t="str">
        <x:v>类别</x:v>
      </x:c>
      <x:c r="B46" s="50" t="str">
        <x:v>节点/能力</x:v>
      </x:c>
      <x:c r="C46" s="50" t="str">
        <x:v>输入</x:v>
      </x:c>
      <x:c r="D46" s="50" t="str">
        <x:v>关键参数</x:v>
      </x:c>
      <x:c r="E46" s="50" t="str">
        <x:v>完成条件</x:v>
      </x:c>
      <x:c r="F46" s="50" t="str">
        <x:v>Runtime Executor</x:v>
      </x:c>
      <x:c r="G46" s="50" t="str">
        <x:v>异常</x:v>
      </x:c>
      <x:c r="H46" s="50" t="str">
        <x:v>在线调试重点</x:v>
      </x:c>
      <x:c r="I46" s="50" t="str">
        <x:v>边界</x:v>
      </x:c>
    </x:row>
    <x:row r="47">
      <x:c r="A47" s="66" t="str">
        <x:v>轴基础</x:v>
      </x:c>
      <x:c r="B47" s="66" t="str">
        <x:v>Home / ServoOn / ServoOff / Stop</x:v>
      </x:c>
      <x:c r="C47" s="66" t="str">
        <x:v>AxisRef</x:v>
      </x:c>
      <x:c r="D47" s="66" t="str">
        <x:v>Mode/Timeout</x:v>
      </x:c>
      <x:c r="E47" s="66" t="str">
        <x:v>设备确认状态</x:v>
      </x:c>
      <x:c r="F47" s="66" t="str">
        <x:v>AxisCommandExecutor</x:v>
      </x:c>
      <x:c r="G47" s="66" t="str">
        <x:v>Alarm/Timeout/Interlock</x:v>
      </x:c>
      <x:c r="H47" s="66" t="str">
        <x:v>状态/命令/响应</x:v>
      </x:c>
      <x:c r="I47" s="66" t="str">
        <x:v>急停不靠软件</x:v>
      </x:c>
    </x:row>
    <x:row r="48">
      <x:c r="A48" s="58" t="str">
        <x:v>定位</x:v>
      </x:c>
      <x:c r="B48" s="58" t="str">
        <x:v>MoveAbs / MoveRel / MoveToPoint</x:v>
      </x:c>
      <x:c r="C48" s="58" t="str">
        <x:v>AxisRef+Target</x:v>
      </x:c>
      <x:c r="D48" s="58" t="str">
        <x:v>Vel/Acc/Dec/Jerk/Tolerance/Coord/Timeout</x:v>
      </x:c>
      <x:c r="E48" s="58" t="str">
        <x:v>InPosition+StableTime</x:v>
      </x:c>
      <x:c r="F48" s="58" t="str">
        <x:v>MoveExecutor</x:v>
      </x:c>
      <x:c r="G48" s="58" t="str">
        <x:v>Limit/Servo/Timeout</x:v>
      </x:c>
      <x:c r="H48" s="58" t="str">
        <x:v>目标/实际/误差曲线</x:v>
      </x:c>
      <x:c r="I48" s="58" t="str">
        <x:v>插补在控制器</x:v>
      </x:c>
    </x:row>
    <x:row r="49">
      <x:c r="A49" s="66" t="str">
        <x:v>多轴</x:v>
      </x:c>
      <x:c r="B49" s="66" t="str">
        <x:v>MoveGroup / MovePose / SyncMove</x:v>
      </x:c>
      <x:c r="C49" s="66" t="str">
        <x:v>AxisGroup/Pose</x:v>
      </x:c>
      <x:c r="D49" s="66" t="str">
        <x:v>Profile/Coord/Timeout</x:v>
      </x:c>
      <x:c r="E49" s="66" t="str">
        <x:v>Group in position</x:v>
      </x:c>
      <x:c r="F49" s="66" t="str">
        <x:v>GroupMoveExecutor</x:v>
      </x:c>
      <x:c r="G49" s="66" t="str">
        <x:v>Axis fault/Sync fault</x:v>
      </x:c>
      <x:c r="H49" s="66" t="str">
        <x:v>各轴状态/同步误差</x:v>
      </x:c>
      <x:c r="I49" s="66" t="str">
        <x:v>控制器支持能力协商</x:v>
      </x:c>
    </x:row>
    <x:row r="50">
      <x:c r="A50" s="58" t="str">
        <x:v>连续扫描</x:v>
      </x:c>
      <x:c r="B50" s="58" t="str">
        <x:v>ScanMove / MoveAndTrigger / PositionCompare</x:v>
      </x:c>
      <x:c r="C50" s="58" t="str">
        <x:v>Axis/Trigger config</x:v>
      </x:c>
      <x:c r="D50" s="58" t="str">
        <x:v>Start/End/Speed/Trigger positions</x:v>
      </x:c>
      <x:c r="E50" s="58" t="str">
        <x:v>Scan complete</x:v>
      </x:c>
      <x:c r="F50" s="58" t="str">
        <x:v>ScanOrchestrationExecutor</x:v>
      </x:c>
      <x:c r="G50" s="58" t="str">
        <x:v>Lost trigger/axis fault</x:v>
      </x:c>
      <x:c r="H50" s="58" t="str">
        <x:v>Position/trigger timeline</x:v>
      </x:c>
      <x:c r="I50" s="58" t="str">
        <x:v>高频触发尽量下沉控制器</x:v>
      </x:c>
    </x:row>
    <x:row r="51">
      <x:c r="A51" s="66" t="str">
        <x:v>IO</x:v>
      </x:c>
      <x:c r="B51" s="66" t="str">
        <x:v>SetDO / PulseDO / SetAO / WaitDI / WaitAI</x:v>
      </x:c>
      <x:c r="C51" s="66" t="str">
        <x:v>IoRef/Value</x:v>
      </x:c>
      <x:c r="D51" s="66" t="str">
        <x:v>Debounce/Verify/Timeout</x:v>
      </x:c>
      <x:c r="E51" s="66" t="str">
        <x:v>回读/条件满足</x:v>
      </x:c>
      <x:c r="F51" s="66" t="str">
        <x:v>IoExecutor</x:v>
      </x:c>
      <x:c r="G51" s="66" t="str">
        <x:v>WriteFail/Timeout</x:v>
      </x:c>
      <x:c r="H51" s="66" t="str">
        <x:v>实时IO面板</x:v>
      </x:c>
      <x:c r="I51" s="66" t="str">
        <x:v>安全IO不由普通IO节点替代</x:v>
      </x:c>
    </x:row>
    <x:row r="52">
      <x:c r="A52" s="58" t="str">
        <x:v>设备</x:v>
      </x:c>
      <x:c r="B52" s="58" t="str">
        <x:v>CameraTrigger / XRayOnOff / DetectorAcquire / RobotCommand / Cylinder</x:v>
      </x:c>
      <x:c r="C52" s="58" t="str">
        <x:v>DeviceRef</x:v>
      </x:c>
      <x:c r="D52" s="58" t="str">
        <x:v>Command params/Timeout</x:v>
      </x:c>
      <x:c r="E52" s="58" t="str">
        <x:v>设备Ack/Result</x:v>
      </x:c>
      <x:c r="F52" s="58" t="str">
        <x:v>DeviceCommandExecutor</x:v>
      </x:c>
      <x:c r="G52" s="58" t="str">
        <x:v>Offline/Fault/Interlock</x:v>
      </x:c>
      <x:c r="H52" s="58" t="str">
        <x:v>设备状态/命令详情</x:v>
      </x:c>
      <x:c r="I52" s="58" t="str">
        <x:v>高危动作策略</x:v>
      </x:c>
    </x:row>
    <x:row r="53">
      <x:c r="A53" s="66" t="str">
        <x:v>等待</x:v>
      </x:c>
      <x:c r="B53" s="66" t="str">
        <x:v>Delay / WaitState / WaitExpression / WaitPosition</x:v>
      </x:c>
      <x:c r="C53" s="66" t="str">
        <x:v>Condition/Data</x:v>
      </x:c>
      <x:c r="D53" s="66" t="str">
        <x:v>Timeout/StableTime</x:v>
      </x:c>
      <x:c r="E53" s="66" t="str">
        <x:v>条件满足</x:v>
      </x:c>
      <x:c r="F53" s="66" t="str">
        <x:v>WaitExecutor</x:v>
      </x:c>
      <x:c r="G53" s="66" t="str">
        <x:v>Timeout/Cancel</x:v>
      </x:c>
      <x:c r="H53" s="66" t="str">
        <x:v>等待原因/剩余时间</x:v>
      </x:c>
      <x:c r="I53" s="66" t="str">
        <x:v>禁止无限等待</x:v>
      </x:c>
    </x:row>
    <x:row r="54">
      <x:c r="A54" s="58" t="str">
        <x:v>控制</x:v>
      </x:c>
      <x:c r="B54" s="58" t="str">
        <x:v>Sequence / Parallel / Join / If / Switch / Loop / Retry</x:v>
      </x:c>
      <x:c r="C54" s="58" t="str">
        <x:v>Control/Data</x:v>
      </x:c>
      <x:c r="D54" s="58" t="str">
        <x:v>Policy/MaxCount/JoinPolicy</x:v>
      </x:c>
      <x:c r="E54" s="58" t="str">
        <x:v>控制规则完成</x:v>
      </x:c>
      <x:c r="F54" s="58" t="str">
        <x:v>ControlFlowExecutor</x:v>
      </x:c>
      <x:c r="G54" s="58" t="str">
        <x:v>Branch fault/Limit</x:v>
      </x:c>
      <x:c r="H54" s="58" t="str">
        <x:v>活动分支/循环次数</x:v>
      </x:c>
      <x:c r="I54" s="58" t="str">
        <x:v>Loop必须有界或可取消</x:v>
      </x:c>
    </x:row>
    <x:row r="55" ht="28" customHeight="1">
      <x:c r="A55" s="50" t="str">
        <x:v>资源</x:v>
      </x:c>
      <x:c r="B55" s="50" t="str">
        <x:v>AcquireResource / ReleaseResource / ScopedResource</x:v>
      </x:c>
      <x:c r="C55" s="50" t="str">
        <x:v>ResourceRequirement</x:v>
      </x:c>
      <x:c r="D55" s="50" t="str">
        <x:v>Mode/Timeout</x:v>
      </x:c>
      <x:c r="E55" s="50" t="str">
        <x:v>Lease acquired/released</x:v>
      </x:c>
      <x:c r="F55" s="50" t="str">
        <x:v>ResourceExecutor</x:v>
      </x:c>
      <x:c r="G55" s="50" t="str">
        <x:v>Contention/Timeout</x:v>
      </x:c>
      <x:c r="H55" s="50" t="str">
        <x:v>Owner/Wait graph</x:v>
      </x:c>
      <x:c r="I55" s="50" t="str">
        <x:v>优先使用编译期声明</x:v>
      </x:c>
    </x:row>
    <x:row r="56">
      <x:c r="A56" s="66" t="str">
        <x:v>子程序</x:v>
      </x:c>
      <x:c r="B56" s="66" t="str">
        <x:v>CallMotion / Return</x:v>
      </x:c>
      <x:c r="C56" s="66" t="str">
        <x:v>ProgramRef/Params</x:v>
      </x:c>
      <x:c r="D56" s="66" t="str">
        <x:v>Version/Timeout</x:v>
      </x:c>
      <x:c r="E56" s="66" t="str">
        <x:v>SubProgram完成</x:v>
      </x:c>
      <x:c r="F56" s="66" t="str">
        <x:v>SubProgramExecutor</x:v>
      </x:c>
      <x:c r="G56" s="66" t="str">
        <x:v>Nested fault</x:v>
      </x:c>
      <x:c r="H56" s="66" t="str">
        <x:v>调用栈</x:v>
      </x:c>
      <x:c r="I56" s="66" t="str">
        <x:v>版本固定</x:v>
      </x:c>
    </x:row>
    <x:row r="57">
      <x:c r="A57" s="58" t="str">
        <x:v>参数/上下文</x:v>
      </x:c>
      <x:c r="B57" s="58" t="str">
        <x:v>SetLocal / Calculate / LoadProfile</x:v>
      </x:c>
      <x:c r="C57" s="58" t="str">
        <x:v>Values</x:v>
      </x:c>
      <x:c r="D57" s="58" t="str">
        <x:v>Expression/Profile</x:v>
      </x:c>
      <x:c r="E57" s="58" t="str">
        <x:v>赋值完成</x:v>
      </x:c>
      <x:c r="F57" s="58" t="str">
        <x:v>ContextExecutor</x:v>
      </x:c>
      <x:c r="G57" s="58" t="str">
        <x:v>Eval error</x:v>
      </x:c>
      <x:c r="H57" s="58" t="str">
        <x:v>Watch</x:v>
      </x:c>
      <x:c r="I57" s="58" t="str">
        <x:v>不直接改Project</x:v>
      </x:c>
    </x:row>
    <x:row r="58">
      <x:c r="A58" s="66" t="str">
        <x:v>诊断</x:v>
      </x:c>
      <x:c r="B58" s="66" t="str">
        <x:v>Assert / TraceMarker / MeasureTime</x:v>
      </x:c>
      <x:c r="C58" s="66" t="str">
        <x:v>Condition/Message</x:v>
      </x:c>
      <x:c r="D58" s="66" t="str">
        <x:v>Severity</x:v>
      </x:c>
      <x:c r="E58" s="66" t="str">
        <x:v>完成/失败</x:v>
      </x:c>
      <x:c r="F58" s="66" t="str">
        <x:v>DiagnosticExecutor</x:v>
      </x:c>
      <x:c r="G58" s="66" t="str">
        <x:v>Assertion fail</x:v>
      </x:c>
      <x:c r="H58" s="66" t="str">
        <x:v>Trace节点</x:v>
      </x:c>
      <x:c r="I58" s="66" t="str">
        <x:v>发布可按策略保留</x:v>
      </x:c>
    </x:row>
    <x:row r="59">
      <x:c r="A59"/>
      <x:c r="B59"/>
      <x:c r="C59"/>
      <x:c r="D59"/>
      <x:c r="E59"/>
      <x:c r="F59"/>
      <x:c r="G59"/>
      <x:c r="H59"/>
      <x:c r="I59"/>
    </x:row>
    <x:row r="60" ht="24" customHeight="1">
      <x:c r="A60" s="40" t="str">
        <x:v>D. Motion Runtime 状态与执行契约</x:v>
      </x:c>
      <x:c r="B60" s="40"/>
      <x:c r="C60" s="40"/>
      <x:c r="D60" s="40"/>
      <x:c r="E60" s="40"/>
      <x:c r="F60" s="40"/>
      <x:c r="G60" s="40"/>
      <x:c r="H60" s="40"/>
      <x:c r="I60" s="40"/>
    </x:row>
    <x:row r="61" ht="28" customHeight="1">
      <x:c r="A61" s="50" t="str">
        <x:v>层次</x:v>
      </x:c>
      <x:c r="B61" s="50" t="str">
        <x:v>状态/阶段</x:v>
      </x:c>
      <x:c r="C61" s="50" t="str">
        <x:v>允许行为</x:v>
      </x:c>
      <x:c r="D61" s="50" t="str">
        <x:v>节点状态</x:v>
      </x:c>
      <x:c r="E61" s="50" t="str">
        <x:v>设备命令</x:v>
      </x:c>
      <x:c r="F61" s="50" t="str">
        <x:v>取消/暂停</x:v>
      </x:c>
      <x:c r="G61" s="50" t="str">
        <x:v>Telemetry</x:v>
      </x:c>
      <x:c r="H61" s="50" t="str">
        <x:v>持久化</x:v>
      </x:c>
      <x:c r="I61" s="50" t="str">
        <x:v>规则</x:v>
      </x:c>
    </x:row>
    <x:row r="62">
      <x:c r="A62" s="58" t="str">
        <x:v>Program Session</x:v>
      </x:c>
      <x:c r="B62" s="58" t="str">
        <x:v>Created→Validated→Ready</x:v>
      </x:c>
      <x:c r="C62" s="58" t="str">
        <x:v>Start/Inspect</x:v>
      </x:c>
      <x:c r="D62" s="58" t="str">
        <x:v>Idle</x:v>
      </x:c>
      <x:c r="E62" s="58" t="str">
        <x:v>无</x:v>
      </x:c>
      <x:c r="F62" s="58" t="str">
        <x:v>可Stop</x:v>
      </x:c>
      <x:c r="G62" s="58" t="str">
        <x:v>Plan/version/resources</x:v>
      </x:c>
      <x:c r="H62" s="58" t="str">
        <x:v>否</x:v>
      </x:c>
      <x:c r="I62" s="58" t="str">
        <x:v>Start前资源/依赖可预检</x:v>
      </x:c>
    </x:row>
    <x:row r="63">
      <x:c r="A63" s="66" t="str">
        <x:v>Program Session</x:v>
      </x:c>
      <x:c r="B63" s="66" t="str">
        <x:v>AcquiringResources</x:v>
      </x:c>
      <x:c r="C63" s="66" t="str">
        <x:v>Wait/Cancel</x:v>
      </x:c>
      <x:c r="D63" s="66" t="str">
        <x:v>WaitingResource</x:v>
      </x:c>
      <x:c r="E63" s="66" t="str">
        <x:v>无或资源准备</x:v>
      </x:c>
      <x:c r="F63" s="66" t="str">
        <x:v>Cancel</x:v>
      </x:c>
      <x:c r="G63" s="66" t="str">
        <x:v>Resource waits</x:v>
      </x:c>
      <x:c r="H63" s="66" t="str">
        <x:v>否</x:v>
      </x:c>
      <x:c r="I63" s="66" t="str">
        <x:v>超时可配置</x:v>
      </x:c>
    </x:row>
    <x:row r="64">
      <x:c r="A64" s="58" t="str">
        <x:v>Program Session</x:v>
      </x:c>
      <x:c r="B64" s="58" t="str">
        <x:v>Running</x:v>
      </x:c>
      <x:c r="C64" s="58" t="str">
        <x:v>执行/RunTo/Inspect</x:v>
      </x:c>
      <x:c r="D64" s="58" t="str">
        <x:v>Preparing/Executing/Waiting/Completed</x:v>
      </x:c>
      <x:c r="E64" s="58" t="str">
        <x:v>可有in-flight command</x:v>
      </x:c>
      <x:c r="F64" s="58" t="str">
        <x:v>Cancel；Pause只在安全边界生效</x:v>
      </x:c>
      <x:c r="G64" s="58" t="str">
        <x:v>Current node/device/timing</x:v>
      </x:c>
      <x:c r="H64" s="58" t="str">
        <x:v>否</x:v>
      </x:c>
      <x:c r="I64" s="58" t="str">
        <x:v>不要冻结厂商API线程</x:v>
      </x:c>
    </x:row>
    <x:row r="65">
      <x:c r="A65" s="66" t="str">
        <x:v>Program Session</x:v>
      </x:c>
      <x:c r="B65" s="66" t="str">
        <x:v>PauseRequested</x:v>
      </x:c>
      <x:c r="C65" s="66" t="str">
        <x:v>继续当前不可中断动作直到Boundary</x:v>
      </x:c>
      <x:c r="D65" s="66" t="str">
        <x:v>Executing/Waiting</x:v>
      </x:c>
      <x:c r="E65" s="66" t="str">
        <x:v>按节点策略完成/安全停</x:v>
      </x:c>
      <x:c r="F65" s="66" t="str">
        <x:v>Cancel优先</x:v>
      </x:c>
      <x:c r="G65" s="66" t="str">
        <x:v>Pause pending</x:v>
      </x:c>
      <x:c r="H65" s="66" t="str">
        <x:v>否</x:v>
      </x:c>
      <x:c r="I65" s="66" t="str">
        <x:v>UI必须显示“请求暂停”而非已暂停</x:v>
      </x:c>
    </x:row>
    <x:row r="66">
      <x:c r="A66" s="58" t="str">
        <x:v>Program Session</x:v>
      </x:c>
      <x:c r="B66" s="58" t="str">
        <x:v>PausedAtBoundary</x:v>
      </x:c>
      <x:c r="C66" s="58" t="str">
        <x:v>Step/Continue/RunTo/Inspect/Override</x:v>
      </x:c>
      <x:c r="D66" s="58" t="str">
        <x:v>Paused</x:v>
      </x:c>
      <x:c r="E66" s="58" t="str">
        <x:v>无新命令</x:v>
      </x:c>
      <x:c r="F66" s="58" t="str">
        <x:v>Cancel</x:v>
      </x:c>
      <x:c r="G66" s="58" t="str">
        <x:v>完整Snapshot</x:v>
      </x:c>
      <x:c r="H66" s="58" t="str">
        <x:v>否</x:v>
      </x:c>
      <x:c r="I66" s="58" t="str">
        <x:v>节点边界暂停</x:v>
      </x:c>
    </x:row>
    <x:row r="67">
      <x:c r="A67" s="66" t="str">
        <x:v>Program Session</x:v>
      </x:c>
      <x:c r="B67" s="66" t="str">
        <x:v>Cancelling</x:v>
      </x:c>
      <x:c r="C67" s="66" t="str">
        <x:v>只Inspect</x:v>
      </x:c>
      <x:c r="D67" s="66" t="str">
        <x:v>Cancelling</x:v>
      </x:c>
      <x:c r="E67" s="66" t="str">
        <x:v>发送安全Stop/Cancel</x:v>
      </x:c>
      <x:c r="F67" s="66" t="str">
        <x:v>幂等</x:v>
      </x:c>
      <x:c r="G67" s="66" t="str">
        <x:v>Cancel progress</x:v>
      </x:c>
      <x:c r="H67" s="66" t="str">
        <x:v>否</x:v>
      </x:c>
      <x:c r="I67" s="66" t="str">
        <x:v>急停另有硬件路径</x:v>
      </x:c>
    </x:row>
    <x:row r="68">
      <x:c r="A68" s="58" t="str">
        <x:v>Program Session</x:v>
      </x:c>
      <x:c r="B68" s="58" t="str">
        <x:v>Completed/Faulted/Stopped</x:v>
      </x:c>
      <x:c r="C68" s="58" t="str">
        <x:v>Inspect/Restart/Reset</x:v>
      </x:c>
      <x:c r="D68" s="58" t="str">
        <x:v>Final</x:v>
      </x:c>
      <x:c r="E68" s="58" t="str">
        <x:v>无</x:v>
      </x:c>
      <x:c r="F68" s="58" t="str">
        <x:v>N/A</x:v>
      </x:c>
      <x:c r="G68" s="58" t="str">
        <x:v>Final result/fault</x:v>
      </x:c>
      <x:c r="H68" s="58" t="str">
        <x:v>Trace可保存</x:v>
      </x:c>
      <x:c r="I68" s="58" t="str">
        <x:v>新执行新SessionId</x:v>
      </x:c>
    </x:row>
    <x:row r="69">
      <x:c r="A69" s="66" t="str">
        <x:v>Node Run</x:v>
      </x:c>
      <x:c r="B69" s="66" t="str">
        <x:v>Prepare→Authorize→Acquire→Start→Await→Verify→Release→Result</x:v>
      </x:c>
      <x:c r="C69" s="66" t="str">
        <x:v>节点Runner固定骨架</x:v>
      </x:c>
      <x:c r="D69" s="66" t="str">
        <x:v>NodeRunState</x:v>
      </x:c>
      <x:c r="E69" s="66" t="str">
        <x:v>Domain command</x:v>
      </x:c>
      <x:c r="F69" s="66" t="str">
        <x:v>Cancellation token-like</x:v>
      </x:c>
      <x:c r="G69" s="66" t="str">
        <x:v>NodeRunId/Attempt/Timing</x:v>
      </x:c>
      <x:c r="H69" s="66" t="str">
        <x:v>Trace</x:v>
      </x:c>
      <x:c r="I69" s="66" t="str">
        <x:v>危险节点不得跳过Authorize/Interlock</x:v>
      </x:c>
    </x:row>
    <x:row r="70">
      <x:c r="A70"/>
      <x:c r="B70"/>
      <x:c r="C70"/>
      <x:c r="D70"/>
      <x:c r="E70"/>
      <x:c r="F70"/>
      <x:c r="G70"/>
      <x:c r="H70"/>
      <x:c r="I70"/>
    </x:row>
    <x:row r="71" ht="24" customHeight="1">
      <x:c r="A71" s="40" t="str">
        <x:v>E. 线程、实时与性能边界</x:v>
      </x:c>
      <x:c r="B71" s="40"/>
      <x:c r="C71" s="40"/>
      <x:c r="D71" s="40"/>
      <x:c r="E71" s="40"/>
      <x:c r="F71" s="40"/>
      <x:c r="G71" s="40"/>
      <x:c r="H71" s="40"/>
      <x:c r="I71" s="40"/>
    </x:row>
    <x:row r="72" ht="28" customHeight="1">
      <x:c r="A72" s="50" t="str">
        <x:v>主题</x:v>
      </x:c>
      <x:c r="B72" s="50" t="str">
        <x:v>CxVisual负责</x:v>
      </x:c>
      <x:c r="C72" s="50" t="str">
        <x:v>控制器/硬件负责</x:v>
      </x:c>
      <x:c r="D72" s="50" t="str">
        <x:v>实现建议</x:v>
      </x:c>
      <x:c r="E72" s="50" t="str">
        <x:v>性能目标</x:v>
      </x:c>
      <x:c r="F72" s="50" t="str">
        <x:v>Debug注意</x:v>
      </x:c>
      <x:c r="G72" s="50" t="str">
        <x:v>测试</x:v>
      </x:c>
      <x:c r="H72" s="50" t="str">
        <x:v>禁止</x:v>
      </x:c>
      <x:c r="I72" s="50" t="str">
        <x:v>备注</x:v>
      </x:c>
    </x:row>
    <x:row r="73">
      <x:c r="A73" s="58" t="str">
        <x:v>调度频率</x:v>
      </x:c>
      <x:c r="B73" s="58" t="str">
        <x:v>节点级/事件级软实时调度</x:v>
      </x:c>
      <x:c r="C73" s="58" t="str">
        <x:v>伺服周期/总线周期</x:v>
      </x:c>
      <x:c r="D73" s="58" t="str">
        <x:v>Async completion/event + 有界poll fallback</x:v>
      </x:c>
      <x:c r="E73" s="58" t="str">
        <x:v>流程开销远小于设备动作周期</x:v>
      </x:c>
      <x:c r="F73" s="58" t="str">
        <x:v>Debug trace不能阻塞调度</x:v>
      </x:c>
      <x:c r="G73" s="58" t="str">
        <x:v>Latency benchmark</x:v>
      </x:c>
      <x:c r="H73" s="58" t="str">
        <x:v>1ms C# Timer闭环</x:v>
      </x:c>
      <x:c r="I73" s="58"/>
    </x:row>
    <x:row r="74">
      <x:c r="A74" s="66" t="str">
        <x:v>位置状态</x:v>
      </x:c>
      <x:c r="B74" s="66" t="str">
        <x:v>订阅/采样显示、WaitPosition判定</x:v>
      </x:c>
      <x:c r="C74" s="66" t="str">
        <x:v>真实位置闭环</x:v>
      </x:c>
      <x:c r="D74" s="66" t="str">
        <x:v>Provider cache + sampling policy</x:v>
      </x:c>
      <x:c r="E74" s="66" t="str">
        <x:v>按项目要求10~100Hz UI/更高内部状态按能力</x:v>
      </x:c>
      <x:c r="F74" s="66" t="str">
        <x:v>UI降频</x:v>
      </x:c>
      <x:c r="G74" s="66" t="str">
        <x:v>状态压力</x:v>
      </x:c>
      <x:c r="H74" s="66" t="str">
        <x:v>每次UI读取直接SDK</x:v>
      </x:c>
      <x:c r="I74" s="66"/>
    </x:row>
    <x:row r="75">
      <x:c r="A75" s="58" t="str">
        <x:v>扫描触发</x:v>
      </x:c>
      <x:c r="B75" s="58" t="str">
        <x:v>配置/开始/结束/结果协调</x:v>
      </x:c>
      <x:c r="C75" s="58" t="str">
        <x:v>高速位置比较/触发脉冲</x:v>
      </x:c>
      <x:c r="D75" s="58" t="str">
        <x:v>能力允许时下沉PositionCompare</x:v>
      </x:c>
      <x:c r="E75" s="58" t="str">
        <x:v>不丢触发</x:v>
      </x:c>
      <x:c r="F75" s="58" t="str">
        <x:v>Timeline查看</x:v>
      </x:c>
      <x:c r="G75" s="58" t="str">
        <x:v>trigger simulation</x:v>
      </x:c>
      <x:c r="H75" s="58" t="str">
        <x:v>Windows线程逐点触发高速采图</x:v>
      </x:c>
      <x:c r="I75" s="58"/>
    </x:row>
    <x:row r="76">
      <x:c r="A76" s="66" t="str">
        <x:v>多资源</x:v>
      </x:c>
      <x:c r="B76" s="66" t="str">
        <x:v>声明/Lease/顺序/超时</x:v>
      </x:c>
      <x:c r="C76" s="66" t="str">
        <x:v>硬件互锁</x:v>
      </x:c>
      <x:c r="D76" s="66" t="str">
        <x:v>统一ResourceManager</x:v>
      </x:c>
      <x:c r="E76" s="66" t="str">
        <x:v>无死锁</x:v>
      </x:c>
      <x:c r="F76" s="66" t="str">
        <x:v>显示Wait graph</x:v>
      </x:c>
      <x:c r="G76" s="66" t="str">
        <x:v>concurrency</x:v>
      </x:c>
      <x:c r="H76" s="66" t="str">
        <x:v>各节点lock对象</x:v>
      </x:c>
      <x:c r="I76" s="66"/>
    </x:row>
    <x:row r="77">
      <x:c r="A77" s="58" t="str">
        <x:v>异常</x:v>
      </x:c>
      <x:c r="B77" s="58" t="str">
        <x:v>标准化错误/Retry/Cancel/SafeStop</x:v>
      </x:c>
      <x:c r="C77" s="58" t="str">
        <x:v>驱动/安全PLC最终动作</x:v>
      </x:c>
      <x:c r="D77" s="58" t="str">
        <x:v>PlatformError + policy</x:v>
      </x:c>
      <x:c r="E77" s="58" t="str">
        <x:v>故障可定位</x:v>
      </x:c>
      <x:c r="F77" s="58" t="str">
        <x:v>保留最后命令快照</x:v>
      </x:c>
      <x:c r="G77" s="58" t="str">
        <x:v>fault injection</x:v>
      </x:c>
      <x:c r="H77" s="58" t="str">
        <x:v>吞异常</x:v>
      </x:c>
      <x:c r="I77" s="58"/>
    </x:row>
    <x:row r="79">
      <x:c r="A79" s="76" t="str">
        <x:v>F. 历史完整机台硬件抽象（V6.4已归Automation）</x:v>
      </x:c>
      <x:c r="B79" s="76"/>
      <x:c r="C79" s="76"/>
      <x:c r="D79" s="76"/>
      <x:c r="E79" s="76"/>
      <x:c r="F79" s="76"/>
      <x:c r="G79" s="76"/>
      <x:c r="H79" s="76"/>
      <x:c r="I79" s="76"/>
    </x:row>
    <x:row r="80">
      <x:c r="A80" s="76" t="str">
        <x:v>主题</x:v>
      </x:c>
      <x:c r="B80" s="76" t="str">
        <x:v>正式设计</x:v>
      </x:c>
      <x:c r="C80" s="76" t="str">
        <x:v>关键边界</x:v>
      </x:c>
      <x:c r="D80" s="76" t="str">
        <x:v>DesignRef</x:v>
      </x:c>
      <x:c r="E80" s="76"/>
      <x:c r="F80" s="76"/>
      <x:c r="G80" s="76"/>
      <x:c r="H80" s="76"/>
      <x:c r="I80" s="76"/>
    </x:row>
    <x:row r="81">
      <x:c r="A81" s="76" t="str">
        <x:v>抽象总则</x:v>
      </x:c>
      <x:c r="B81" s="76" t="str">
        <x:v>完整机台硬件按 Controller / PLC / Fieldbus / Axis-Actuator / Pneumatic / IO / Feedback-Sensor / Trigger / Safety / Aux / Process Device 分层</x:v>
      </x:c>
      <x:c r="C81" s="76" t="str">
        <x:v>所有Vendor SDK只在Integration Adapter；Graph/Studio只依赖公开Contract</x:v>
      </x:c>
      <x:c r="D81" s="76" t="str">
        <x:v>47</x:v>
      </x:c>
      <x:c r="E81" s="76"/>
      <x:c r="F81" s="76"/>
      <x:c r="G81" s="76"/>
      <x:c r="H81" s="76"/>
      <x:c r="I81" s="76"/>
    </x:row>
    <x:row r="82">
      <x:c r="A82" s="76" t="str">
        <x:v>设备根能力</x:v>
      </x:c>
      <x:c r="B82" s="76" t="str">
        <x:v>IIndustrialDevice用于生命周期/State/Diagnostics/Capabilities；叶子Channel/Resource不强制各自拥有连接</x:v>
      </x:c>
      <x:c r="C82" s="76" t="str">
        <x:v>Provider/Controller拥有底层SDK句柄</x:v>
      </x:c>
      <x:c r="D82" s="76" t="str">
        <x:v>47</x:v>
      </x:c>
      <x:c r="E82" s="76"/>
      <x:c r="F82" s="76"/>
      <x:c r="G82" s="76"/>
      <x:c r="H82" s="76"/>
      <x:c r="I82" s="76"/>
    </x:row>
    <x:row r="83">
      <x:c r="A83" s="76" t="str">
        <x:v>控制核心</x:v>
      </x:c>
      <x:c r="B83" s="76" t="str">
        <x:v>IMotionController、IPlcDevice、IFieldbusMaster/IFieldbusDevice</x:v>
      </x:c>
      <x:c r="C83" s="76" t="str">
        <x:v>运动卡/PLC/EtherCAT拓扑与诊断独立表达</x:v>
      </x:c>
      <x:c r="D83" s="76" t="str">
        <x:v>47</x:v>
      </x:c>
      <x:c r="E83" s="76"/>
      <x:c r="F83" s="76"/>
      <x:c r="G83" s="76"/>
      <x:c r="H83" s="76"/>
      <x:c r="I83" s="76"/>
    </x:row>
    <x:row r="84">
      <x:c r="A84" s="76" t="str">
        <x:v>运动资源</x:v>
      </x:c>
      <x:c r="B84" s="76" t="str">
        <x:v>IAxis为逻辑轴；伺服驱动器/电机/直线/步进/DD通常聚合到Axis；电动缸可IAxis/IActuator；VFD单独接口</x:v>
      </x:c>
      <x:c r="C84" s="76" t="str">
        <x:v>ResourceManager以axis:{id}等稳定ResourceId管理</x:v>
      </x:c>
      <x:c r="D84" s="76" t="str">
        <x:v>47</x:v>
      </x:c>
      <x:c r="E84" s="76"/>
      <x:c r="F84" s="76"/>
      <x:c r="G84" s="76"/>
      <x:c r="H84" s="76"/>
      <x:c r="I84" s="76"/>
    </x:row>
    <x:row r="85">
      <x:c r="A85" s="76" t="str">
        <x:v>气动/真空</x:v>
      </x:c>
      <x:c r="B85" s="76" t="str">
        <x:v>ICylinder/IValve/IValveManifold/IVacuum</x:v>
      </x:c>
      <x:c r="C85" s="76" t="str">
        <x:v>命令、到位反馈、压力/真空状态进入统一诊断和Timeout</x:v>
      </x:c>
      <x:c r="D85" s="76" t="str">
        <x:v>47</x:v>
      </x:c>
      <x:c r="E85" s="76"/>
      <x:c r="F85" s="76"/>
      <x:c r="G85" s="76"/>
      <x:c r="H85" s="76"/>
      <x:c r="I85" s="76"/>
    </x:row>
    <x:row r="86">
      <x:c r="A86" s="76" t="str">
        <x:v>IO/反馈</x:v>
      </x:c>
      <x:c r="B86" s="76" t="str">
        <x:v>DI/DO/AI/AO + IPositionFeedback/ISensor/IForceSensor/ITorqueSensor/IPressureSensor</x:v>
      </x:c>
      <x:c r="C86" s="76" t="str">
        <x:v>每次动态值携带Quality/Timestamp；写出走Policy</x:v>
      </x:c>
      <x:c r="D86" s="76" t="str">
        <x:v>47</x:v>
      </x:c>
      <x:c r="E86" s="76"/>
      <x:c r="F86" s="76"/>
      <x:c r="G86" s="76"/>
      <x:c r="H86" s="76"/>
      <x:c r="I86" s="76"/>
    </x:row>
    <x:row r="87">
      <x:c r="A87" s="76" t="str">
        <x:v>触发</x:v>
      </x:c>
      <x:c r="B87" s="76" t="str">
        <x:v>ITriggerIO/IPositionTrigger</x:v>
      </x:c>
      <x:c r="C87" s="76" t="str">
        <x:v>相机触发、X-Ray曝光同步、Position Compare优先硬件执行</x:v>
      </x:c>
      <x:c r="D87" s="76" t="str">
        <x:v>47</x:v>
      </x:c>
      <x:c r="E87" s="76"/>
      <x:c r="F87" s="76"/>
      <x:c r="G87" s="76"/>
      <x:c r="H87" s="76"/>
      <x:c r="I87" s="76"/>
    </x:row>
    <x:row r="88">
      <x:c r="A88" s="76" t="str">
        <x:v>安全</x:v>
      </x:c>
      <x:c r="B88" s="76" t="str">
        <x:v>ISafetyInput/ISafetyDevice/ISafetyController</x:v>
      </x:c>
      <x:c r="C88" s="76" t="str">
        <x:v>EStop/安全门/光栅/Pilz/Safety PLC与普通IO严格分层</x:v>
      </x:c>
      <x:c r="D88" s="76" t="str">
        <x:v>47</x:v>
      </x:c>
      <x:c r="E88" s="76"/>
      <x:c r="F88" s="76"/>
      <x:c r="G88" s="76"/>
      <x:c r="H88" s="76"/>
      <x:c r="I88" s="76"/>
    </x:row>
    <x:row r="89">
      <x:c r="A89" s="76" t="str">
        <x:v>辅助/工艺</x:v>
      </x:c>
      <x:c r="B89" s="76" t="str">
        <x:v>ILock/ISignalTower/IXraySource/IDetector/ICamera</x:v>
      </x:c>
      <x:c r="C89" s="76" t="str">
        <x:v>门锁/三色灯/高压源/探测器/相机纳入Resource/Interlock/Diagnostics</x:v>
      </x:c>
      <x:c r="D89" s="76" t="str">
        <x:v>47</x:v>
      </x:c>
      <x:c r="E89" s="76"/>
      <x:c r="F89" s="76"/>
      <x:c r="G89" s="76"/>
      <x:c r="H89" s="76"/>
      <x:c r="I89" s="76"/>
    </x:row>
    <x:row r="90">
      <x:c r="A90" s="76" t="str">
        <x:v>Ownership</x:v>
      </x:c>
      <x:c r="B90" s="76" t="str">
        <x:v>Provider→Controller/Master→Axis/Channel/Device形成明确父子所有权；Stop/Dispose反向释放</x:v>
      </x:c>
      <x:c r="C90" s="76" t="str">
        <x:v>不得每个Axis/IO重复Dispose共享SDK连接</x:v>
      </x:c>
      <x:c r="D90" s="76" t="str">
        <x:v>47</x:v>
      </x:c>
      <x:c r="E90" s="76"/>
      <x:c r="F90" s="76"/>
      <x:c r="G90" s="76"/>
      <x:c r="H90" s="76"/>
      <x:c r="I90" s="76"/>
    </x:row>
    <x:row r="91">
      <x:c r="A91" s="76" t="str">
        <x:v>Robot关系</x:v>
      </x:c>
      <x:c r="B91" s="76" t="str">
        <x:v>Robot复用Motion的Resource/Interlock/Device/Debug安全契约并增加RobotController/Frame/Tool/Path/Teach</x:v>
      </x:c>
      <x:c r="C91" s="76" t="str">
        <x:v>组合/调用优先，不通过深继承复制Motion Runtime</x:v>
      </x:c>
      <x:c r="D91" s="76" t="str">
        <x:v>29/47</x:v>
      </x:c>
      <x:c r="E91" s="76"/>
      <x:c r="F91" s="76"/>
      <x:c r="G91" s="76"/>
      <x:c r="H91" s="76"/>
      <x:c r="I91" s="76"/>
    </x:row>
    <x:row r="92">
      <x:c r="A92" s="76" t="str">
        <x:v>CT关系</x:v>
      </x:c>
      <x:c r="B92" s="76" t="str">
        <x:v>CT采集依赖Motion/Robot控制Axis/XRay/Detector/Trigger；CT3D只消费Projection/Geometry/Calibration契约</x:v>
      </x:c>
      <x:c r="C92" s="76" t="str">
        <x:v>实时扫描闭环不进入CT Runtime</x:v>
      </x:c>
      <x:c r="D92" s="76" t="str">
        <x:v>33/47</x:v>
      </x:c>
      <x:c r="E92" s="76"/>
      <x:c r="F92" s="76"/>
      <x:c r="G92" s="76"/>
      <x:c r="H92" s="76"/>
      <x:c r="I92" s="76"/>
    </x:row>
    <x:row r="93">
      <x:c r="A93" s="118" t="str">
        <x:v>J. V6.4 Case-Driven 工业实用覆盖</x:v>
      </x:c>
      <x:c r="B93" s="118"/>
      <x:c r="C93" s="118"/>
      <x:c r="D93" s="118"/>
      <x:c r="E93" s="118"/>
      <x:c r="F93" s="118"/>
      <x:c r="G93" s="118"/>
      <x:c r="H93" s="118"/>
      <x:c r="I93" s="118"/>
    </x:row>
    <x:row r="94">
      <x:c r="A94" s="119" t="str">
        <x:v>能力</x:v>
      </x:c>
      <x:c r="B94" s="119" t="str">
        <x:v>V6.4状态</x:v>
      </x:c>
      <x:c r="C94" s="119" t="str">
        <x:v>实现/Case</x:v>
      </x:c>
      <x:c r="D94" s="119" t="str">
        <x:v>硬实时边界</x:v>
      </x:c>
      <x:c r="E94" s="119" t="str">
        <x:v>未认证项</x:v>
      </x:c>
      <x:c r="F94" s="119" t="str">
        <x:v>Owner</x:v>
      </x:c>
      <x:c r="G94" s="119" t="str">
        <x:v>优先级</x:v>
      </x:c>
      <x:c r="H94" s="119" t="str">
        <x:v>证据</x:v>
      </x:c>
      <x:c r="I94" s="119" t="str">
        <x:v>备注</x:v>
      </x:c>
    </x:row>
    <x:row r="95">
      <x:c r="A95" s="117" t="str">
        <x:v>Axis/Home/MoveAbs/MoveRel/Stop/Jog</x:v>
      </x:c>
      <x:c r="B95" s="117" t="str">
        <x:v>已覆盖</x:v>
      </x:c>
      <x:c r="C95" s="117" t="str">
        <x:v>Loopback/Simulation + production facade</x:v>
      </x:c>
      <x:c r="D95" s="117" t="str">
        <x:v>轨迹/伺服闭环在控制器</x:v>
      </x:c>
      <x:c r="E95" s="117" t="str">
        <x:v>真实运动卡</x:v>
      </x:c>
      <x:c r="F95" s="117" t="str">
        <x:v>Automation/Motion</x:v>
      </x:c>
      <x:c r="G95" s="117" t="str">
        <x:v>P0</x:v>
      </x:c>
      <x:c r="H95" s="117" t="str">
        <x:v>V6.4 coverage</x:v>
      </x:c>
      <x:c r="I95" s="117" t="str"/>
    </x:row>
    <x:row r="96">
      <x:c r="A96" s="117" t="str">
        <x:v>WaitPosition / DI / DO / Pulse</x:v>
      </x:c>
      <x:c r="B96" s="117" t="str">
        <x:v>已覆盖</x:v>
      </x:c>
      <x:c r="C96" s="117" t="str">
        <x:v>Timeout/Cancel/安全入口</x:v>
      </x:c>
      <x:c r="D96" s="117" t="str">
        <x:v>高速IO/脉冲下沉</x:v>
      </x:c>
      <x:c r="E96" s="117" t="str">
        <x:v>真实IO时序</x:v>
      </x:c>
      <x:c r="F96" s="117" t="str">
        <x:v>Automation/Motion</x:v>
      </x:c>
      <x:c r="G96" s="117" t="str">
        <x:v>P0</x:v>
      </x:c>
      <x:c r="H96" s="117" t="str">
        <x:v>Case</x:v>
      </x:c>
      <x:c r="I96" s="117" t="str"/>
    </x:row>
    <x:row r="97">
      <x:c r="A97" s="117" t="str">
        <x:v>MultiAxis</x:v>
      </x:c>
      <x:c r="B97" s="117" t="str">
        <x:v>编排层已覆盖</x:v>
      </x:c>
      <x:c r="C97" s="117" t="str">
        <x:v>多轴命令/资源</x:v>
      </x:c>
      <x:c r="D97" s="117" t="str">
        <x:v>插补下沉</x:v>
      </x:c>
      <x:c r="E97" s="117" t="str">
        <x:v>控制器能力映射</x:v>
      </x:c>
      <x:c r="F97" s="117" t="str">
        <x:v>Automation/Motion</x:v>
      </x:c>
      <x:c r="G97" s="117" t="str">
        <x:v>P0</x:v>
      </x:c>
      <x:c r="H97" s="117" t="str">
        <x:v>Case</x:v>
      </x:c>
      <x:c r="I97" s="117" t="str"/>
    </x:row>
    <x:row r="98">
      <x:c r="A98" s="117" t="str">
        <x:v>ResourceLease / Interlock</x:v>
      </x:c>
      <x:c r="B98" s="117" t="str">
        <x:v>已覆盖并修复自锁问题</x:v>
      </x:c>
      <x:c r="C98" s="117" t="str">
        <x:v>同Session Owner避免二次获取；竞争Timeout</x:v>
      </x:c>
      <x:c r="D98" s="117" t="str">
        <x:v>Safety仍由硬件</x:v>
      </x:c>
      <x:c r="E98" s="117" t="str">
        <x:v>复杂资源图</x:v>
      </x:c>
      <x:c r="F98" s="117" t="str">
        <x:v>Platform Resource + Automation</x:v>
      </x:c>
      <x:c r="G98" s="117" t="str">
        <x:v>P0</x:v>
      </x:c>
      <x:c r="H98" s="117" t="str">
        <x:v>Case</x:v>
      </x:c>
      <x:c r="I98" s="117" t="str"/>
    </x:row>
    <x:row r="99">
      <x:c r="A99" s="117" t="str">
        <x:v>MotionProgram Validate/Compile</x:v>
      </x:c>
      <x:c r="B99" s="117" t="str">
        <x:v>已覆盖</x:v>
      </x:c>
      <x:c r="C99" s="117" t="str">
        <x:v>Definition→Validate→Compile→ExecutionPlan</x:v>
      </x:c>
      <x:c r="D99" s="117" t="str">
        <x:v>—</x:v>
      </x:c>
      <x:c r="E99" s="117" t="str">
        <x:v>更复杂SubProgram/Loop实机</x:v>
      </x:c>
      <x:c r="F99" s="117" t="str">
        <x:v>Automation/Motion</x:v>
      </x:c>
      <x:c r="G99" s="117" t="str">
        <x:v>P0</x:v>
      </x:c>
      <x:c r="H99" s="117" t="str">
        <x:v>V64MotionProgramCompileAndParallelRuntimeCase</x:v>
      </x:c>
      <x:c r="I99" s="117" t="str"/>
    </x:row>
    <x:row r="100">
      <x:c r="A100" s="117" t="str">
        <x:v>Sequence / Parallel</x:v>
      </x:c>
      <x:c r="B100" s="117" t="str">
        <x:v>专业Runtime已覆盖</x:v>
      </x:c>
      <x:c r="C100" s="117" t="str">
        <x:v>domain-native runtime</x:v>
      </x:c>
      <x:c r="D100" s="117" t="str">
        <x:v>不回退万能GraphExecutor</x:v>
      </x:c>
      <x:c r="E100" s="117" t="str">
        <x:v>更多Join/Retry组合</x:v>
      </x:c>
      <x:c r="F100" s="117" t="str">
        <x:v>Automation/Motion</x:v>
      </x:c>
      <x:c r="G100" s="117" t="str">
        <x:v>P0</x:v>
      </x:c>
      <x:c r="H100" s="117" t="str">
        <x:v>Case</x:v>
      </x:c>
      <x:c r="I100" s="117" t="str"/>
    </x:row>
    <x:row r="101">
      <x:c r="A101" s="117" t="str">
        <x:v>Teach/PointTable/Coordinate/Profile</x:v>
      </x:c>
      <x:c r="B101" s="117" t="str">
        <x:v>模型已具备</x:v>
      </x:c>
      <x:c r="C101" s="117" t="str">
        <x:v>维护Case/定义</x:v>
      </x:c>
      <x:c r="D101" s="117" t="str">
        <x:v>Teach/Jog必须Maintenance+Lease+Interlock</x:v>
      </x:c>
      <x:c r="E101" s="117" t="str">
        <x:v>实机点位/坐标</x:v>
      </x:c>
      <x:c r="F101" s="117" t="str">
        <x:v>Automation/Motion</x:v>
      </x:c>
      <x:c r="G101" s="117" t="str">
        <x:v>P1</x:v>
      </x:c>
      <x:c r="H101" s="117" t="str">
        <x:v>设计+Case</x:v>
      </x:c>
      <x:c r="I101" s="117" t="str"/>
    </x:row>
    <x:row r="102">
      <x:c r="A102" s="117" t="str">
        <x:v>Scan / PositionCompare</x:v>
      </x:c>
      <x:c r="B102" s="117" t="str">
        <x:v>边界已具备</x:v>
      </x:c>
      <x:c r="C102" s="117" t="str">
        <x:v>硬件支持时下沉；软件fallback仅低速仿真</x:v>
      </x:c>
      <x:c r="D102" s="117" t="str">
        <x:v>必须下沉实时硬件</x:v>
      </x:c>
      <x:c r="E102" s="117" t="str">
        <x:v>真实控制器认证</x:v>
      </x:c>
      <x:c r="F102" s="117" t="str">
        <x:v>Automation.Drivers</x:v>
      </x:c>
      <x:c r="G102" s="117" t="str">
        <x:v>P0</x:v>
      </x:c>
      <x:c r="H102" s="117" t="str">
        <x:v>设计</x:v>
      </x:c>
      <x:c r="I102" s="117" t="str"/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34" hidden="0" customWidth="1"/>
    <x:col min="4" max="4" width="30" hidden="0" customWidth="1"/>
    <x:col min="5" max="5" width="30" hidden="0" customWidth="1"/>
    <x:col min="6" max="6" width="28" hidden="0" customWidth="1"/>
    <x:col min="7" max="7" width="30" hidden="0" customWidth="1"/>
    <x:col min="8" max="8" width="28" hidden="0" customWidth="1"/>
    <x:col min="9" max="9" width="28" hidden="0" customWidth="1"/>
    <x:col min="10" max="10" width="30" hidden="0" customWidth="1"/>
  </x:cols>
  <x:sheetData>
    <x:row r="1" ht="30" customHeight="1">
      <x:c r="A1" s="8" t="str">
        <x:v>Motion Online Debug / Teach / Live Commissioning</x:v>
      </x:c>
      <x:c r="B1" s="8"/>
      <x:c r="C1" s="8"/>
      <x:c r="D1" s="8"/>
      <x:c r="E1" s="8"/>
      <x:c r="F1" s="8"/>
      <x:c r="G1" s="8"/>
      <x:c r="H1" s="8"/>
      <x:c r="I1" s="8"/>
      <x:c r="J1" s="8"/>
    </x:row>
    <x:row r="2" ht="38" customHeight="1">
      <x:c r="A2" s="16" t="str">
        <x:v>只定义Motion特有在线调试语义；公共Agent、三通道、VersionDiff、Override/Promote、断线状态全部引用21。</x:v>
      </x:c>
      <x:c r="B2" s="16"/>
      <x:c r="C2" s="16"/>
      <x:c r="D2" s="16"/>
      <x:c r="E2" s="16"/>
      <x:c r="F2" s="16"/>
      <x:c r="G2" s="16"/>
      <x:c r="H2" s="16"/>
      <x:c r="I2" s="16"/>
      <x:c r="J2" s="16"/>
    </x:row>
    <x:row r="3">
      <x:c r="A3" s="30" t="str">
        <x:v>本页唯一权威</x:v>
      </x:c>
      <x:c r="B3" s="31" t="str">
        <x:v>Axis/IO/Device/Interlock/Resource监视、PauseBoundary、Step/RunTo、Jog、Teach、受控写、故障诊断与恢复。</x:v>
      </x:c>
      <x:c r="C3" s="31"/>
      <x:c r="D3" s="31"/>
      <x:c r="E3" s="31"/>
      <x:c r="F3" s="31"/>
      <x:c r="G3" s="31"/>
      <x:c r="H3" s="31"/>
      <x:c r="I3" s="31"/>
      <x:c r="J3" s="31"/>
    </x:row>
    <x:row r="4">
      <x:c r="A4" s="30" t="str">
        <x:v>不在本页维护</x:v>
      </x:c>
      <x:c r="B4" s="31" t="str">
        <x:v>Debug Agent协议与公共状态机（见21）、生产远程会话治理（见39）。</x:v>
      </x:c>
      <x:c r="C4" s="31"/>
      <x:c r="D4" s="31"/>
      <x:c r="E4" s="31"/>
      <x:c r="F4" s="31"/>
      <x:c r="G4" s="31"/>
      <x:c r="H4" s="31"/>
      <x:c r="I4" s="31"/>
      <x:c r="J4" s="31"/>
    </x:row>
    <x:row r="5">
      <x:c r="A5" s="30" t="str">
        <x:v>关联分页</x:v>
      </x:c>
      <x:c r="B5" s="31" t="str">
        <x:v>21_Graph统一OnlineDebug架构；27_Motion完整开发蓝图；30_Robot在线调试；47_运控硬件抽象体系。</x:v>
      </x:c>
      <x:c r="C5" s="31"/>
      <x:c r="D5" s="31"/>
      <x:c r="E5" s="31"/>
      <x:c r="F5" s="31"/>
      <x:c r="G5" s="31"/>
      <x:c r="H5" s="31"/>
      <x:c r="I5" s="31"/>
      <x:c r="J5" s="31"/>
    </x:row>
    <x:row r="6">
      <x:c r="A6"/>
      <x:c r="B6"/>
      <x:c r="C6"/>
      <x:c r="D6"/>
      <x:c r="E6"/>
      <x:c r="F6"/>
      <x:c r="G6"/>
      <x:c r="H6"/>
      <x:c r="I6"/>
      <x:c r="J6"/>
    </x:row>
    <x:row r="7" ht="24" customHeight="1">
      <x:c r="A7" s="40" t="str">
        <x:v>A. Motion Online Debug 工作台</x:v>
      </x:c>
      <x:c r="B7" s="40"/>
      <x:c r="C7" s="40"/>
      <x:c r="D7" s="40"/>
      <x:c r="E7" s="40"/>
      <x:c r="F7" s="40"/>
      <x:c r="G7" s="40"/>
      <x:c r="H7" s="40"/>
      <x:c r="I7" s="40"/>
      <x:c r="J7" s="40"/>
    </x:row>
    <x:row r="8" ht="28" customHeight="1">
      <x:c r="A8" s="50" t="str">
        <x:v>区域</x:v>
      </x:c>
      <x:c r="B8" s="50" t="str">
        <x:v>显示/操作</x:v>
      </x:c>
      <x:c r="C8" s="50" t="str">
        <x:v>主要对象</x:v>
      </x:c>
      <x:c r="D8" s="50" t="str">
        <x:v>刷新方式</x:v>
      </x:c>
      <x:c r="E8" s="50" t="str">
        <x:v>控制命令</x:v>
      </x:c>
      <x:c r="F8" s="50" t="str">
        <x:v>权限</x:v>
      </x:c>
      <x:c r="G8" s="50" t="str">
        <x:v>异常表现</x:v>
      </x:c>
      <x:c r="H8" s="50" t="str">
        <x:v>与设计态联动</x:v>
      </x:c>
      <x:c r="I8" s="50"/>
      <x:c r="J8" s="50"/>
    </x:row>
    <x:row r="9">
      <x:c r="A9" s="58" t="str">
        <x:v>Graph Canvas</x:v>
      </x:c>
      <x:c r="B9" s="58" t="str">
        <x:v>当前节点/即将执行/完成/失败/等待/断点/活动分支</x:v>
      </x:c>
      <x:c r="C9" s="58" t="str">
        <x:v>MotionProgram + RuntimeSnapshot</x:v>
      </x:c>
      <x:c r="D9" s="58" t="str">
        <x:v>Telemetry增量</x:v>
      </x:c>
      <x:c r="E9" s="58" t="str">
        <x:v>RunTo/Breakpoint/Select</x:v>
      </x:c>
      <x:c r="F9" s="58" t="str">
        <x:v>Debug</x:v>
      </x:c>
      <x:c r="G9" s="58" t="str">
        <x:v>故障节点红色+原因</x:v>
      </x:c>
      <x:c r="H9" s="58" t="str">
        <x:v>双击回Definition/Node</x:v>
      </x:c>
      <x:c r="I9" s="58"/>
      <x:c r="J9" s="58"/>
    </x:row>
    <x:row r="10">
      <x:c r="A10" s="66" t="str">
        <x:v>Axis Monitor</x:v>
      </x:c>
      <x:c r="B10" s="66" t="str">
        <x:v>Servo/Home/Position/Velocity/CommandPos/Error/Limit/Alarm/Following Error</x:v>
      </x:c>
      <x:c r="C10" s="66" t="str">
        <x:v>AxisRuntimeSnapshot</x:v>
      </x:c>
      <x:c r="D10" s="66" t="str">
        <x:v>高频内部、UI降频</x:v>
      </x:c>
      <x:c r="E10" s="66" t="str">
        <x:v>Reset(受限)/Stop/Jog/Teach</x:v>
      </x:c>
      <x:c r="F10" s="66" t="str">
        <x:v>Maintenance/Debug</x:v>
      </x:c>
      <x:c r="G10" s="66" t="str">
        <x:v>质量Bad/Offline/Alarm</x:v>
      </x:c>
      <x:c r="H10" s="66" t="str">
        <x:v>选择AxisDefinition</x:v>
      </x:c>
      <x:c r="I10" s="66"/>
      <x:c r="J10" s="66"/>
    </x:row>
    <x:row r="11">
      <x:c r="A11" s="58" t="str">
        <x:v>IO Monitor</x:v>
      </x:c>
      <x:c r="B11" s="58" t="str">
        <x:v>DI/DO/AI/AO/Quality/Force状态</x:v>
      </x:c>
      <x:c r="C11" s="58" t="str">
        <x:v>IoRuntimeSnapshot</x:v>
      </x:c>
      <x:c r="D11" s="58" t="str">
        <x:v>订阅+降频</x:v>
      </x:c>
      <x:c r="E11" s="58" t="str">
        <x:v>受控Set/Force/Release</x:v>
      </x:c>
      <x:c r="F11" s="58" t="str">
        <x:v>危险IO权限</x:v>
      </x:c>
      <x:c r="G11" s="58" t="str">
        <x:v>强制值醒目标识</x:v>
      </x:c>
      <x:c r="H11" s="58" t="str">
        <x:v>定位IoDefinition/Node</x:v>
      </x:c>
      <x:c r="I11" s="58"/>
      <x:c r="J11" s="58"/>
    </x:row>
    <x:row r="12">
      <x:c r="A12" s="66" t="str">
        <x:v>Device Panel</x:v>
      </x:c>
      <x:c r="B12" s="66" t="str">
        <x:v>Camera/XRay/Detector/Robot/Cylinder状态与最近命令</x:v>
      </x:c>
      <x:c r="C12" s="66" t="str">
        <x:v>DeviceRuntimeSnapshot</x:v>
      </x:c>
      <x:c r="D12" s="66" t="str">
        <x:v>事件+低频状态</x:v>
      </x:c>
      <x:c r="E12" s="66" t="str">
        <x:v>Test Command(受限)</x:v>
      </x:c>
      <x:c r="F12" s="66" t="str">
        <x:v>设备级权限/互锁</x:v>
      </x:c>
      <x:c r="G12" s="66" t="str">
        <x:v>Offline/Fault/Interlock</x:v>
      </x:c>
      <x:c r="H12" s="66" t="str">
        <x:v>定位Device Profile</x:v>
      </x:c>
      <x:c r="I12" s="66"/>
      <x:c r="J12" s="66"/>
    </x:row>
    <x:row r="13">
      <x:c r="A13" s="58" t="str">
        <x:v>Point/Teach Panel</x:v>
      </x:c>
      <x:c r="B13" s="58" t="str">
        <x:v>当前坐标/选点/教导值/差值/坐标系</x:v>
      </x:c>
      <x:c r="C13" s="58" t="str">
        <x:v>PointTable/Axis states</x:v>
      </x:c>
      <x:c r="D13" s="58" t="str">
        <x:v>按轴状态</x:v>
      </x:c>
      <x:c r="E13" s="58" t="str">
        <x:v>Teach Current / Save as ChangeSet</x:v>
      </x:c>
      <x:c r="F13" s="58" t="str">
        <x:v>Maintenance</x:v>
      </x:c>
      <x:c r="G13" s="58" t="str">
        <x:v>超限/坐标无效</x:v>
      </x:c>
      <x:c r="H13" s="58" t="str">
        <x:v>Promote到PointTable Command</x:v>
      </x:c>
      <x:c r="I13" s="58"/>
      <x:c r="J13" s="58"/>
    </x:row>
    <x:row r="14">
      <x:c r="A14" s="66" t="str">
        <x:v>Resource Panel</x:v>
      </x:c>
      <x:c r="B14" s="66" t="str">
        <x:v>Lease owner/waiters/mode/timeout</x:v>
      </x:c>
      <x:c r="C14" s="66" t="str">
        <x:v>ResourceManager Snapshot</x:v>
      </x:c>
      <x:c r="D14" s="66" t="str">
        <x:v>事件</x:v>
      </x:c>
      <x:c r="E14" s="66" t="str">
        <x:v>可请求释放仅维护模式</x:v>
      </x:c>
      <x:c r="F14" s="66" t="str">
        <x:v>Admin/Maintenance</x:v>
      </x:c>
      <x:c r="G14" s="66" t="str">
        <x:v>死锁风险/长等待</x:v>
      </x:c>
      <x:c r="H14" s="66" t="str">
        <x:v>定位ResourceRequirement</x:v>
      </x:c>
      <x:c r="I14" s="66"/>
      <x:c r="J14" s="66"/>
    </x:row>
    <x:row r="15">
      <x:c r="A15" s="58" t="str">
        <x:v>Interlock Panel</x:v>
      </x:c>
      <x:c r="B15" s="58" t="str">
        <x:v>每条规则当前值/来源/结果/Bypass状态</x:v>
      </x:c>
      <x:c r="C15" s="58" t="str">
        <x:v>InterlockSnapshot</x:v>
      </x:c>
      <x:c r="D15" s="58" t="str">
        <x:v>事件/按需</x:v>
      </x:c>
      <x:c r="E15" s="58" t="str">
        <x:v>Bypass仅明确策略</x:v>
      </x:c>
      <x:c r="F15" s="58" t="str">
        <x:v>高权限+审计</x:v>
      </x:c>
      <x:c r="G15" s="58" t="str">
        <x:v>Fail rule红色</x:v>
      </x:c>
      <x:c r="H15" s="58" t="str">
        <x:v>打开Interlock Editor</x:v>
      </x:c>
      <x:c r="I15" s="58"/>
      <x:c r="J15" s="58"/>
    </x:row>
    <x:row r="16">
      <x:c r="A16" s="66" t="str">
        <x:v>Watch/Trace</x:v>
      </x:c>
      <x:c r="B16" s="66" t="str">
        <x:v>参数、局部变量、命令、状态、Timing、Correlation</x:v>
      </x:c>
      <x:c r="C16" s="66" t="str">
        <x:v>DebugSession</x:v>
      </x:c>
      <x:c r="D16" s="66" t="str">
        <x:v>订阅/采样</x:v>
      </x:c>
      <x:c r="E16" s="66" t="str">
        <x:v>AddWatch/TraceMarker</x:v>
      </x:c>
      <x:c r="F16" s="66" t="str">
        <x:v>Debug</x:v>
      </x:c>
      <x:c r="G16" s="66" t="str">
        <x:v>Gap/Drop标记</x:v>
      </x:c>
      <x:c r="H16" s="66" t="str">
        <x:v>定位Node/Parameter</x:v>
      </x:c>
      <x:c r="I16" s="66"/>
      <x:c r="J16" s="66"/>
    </x:row>
    <x:row r="17">
      <x:c r="A17" s="58" t="str">
        <x:v>Timeline</x:v>
      </x:c>
      <x:c r="B17" s="58" t="str">
        <x:v>节点、设备命令、轴运动、IO、触发、资源等待</x:v>
      </x:c>
      <x:c r="C17" s="58" t="str">
        <x:v>ExecutionTrace</x:v>
      </x:c>
      <x:c r="D17" s="58" t="str">
        <x:v>流式</x:v>
      </x:c>
      <x:c r="E17" s="58" t="str">
        <x:v>缩放/过滤</x:v>
      </x:c>
      <x:c r="F17" s="58" t="str">
        <x:v>只读</x:v>
      </x:c>
      <x:c r="G17" s="58" t="str">
        <x:v>时序断点/超时</x:v>
      </x:c>
      <x:c r="H17" s="58" t="str">
        <x:v>定位节点</x:v>
      </x:c>
      <x:c r="I17" s="58"/>
      <x:c r="J17" s="58"/>
    </x:row>
    <x:row r="18">
      <x:c r="A18" s="66" t="str">
        <x:v>Online Diff</x:v>
      </x:c>
      <x:c r="B18" s="66" t="str">
        <x:v>Design Snapshot vs Target Active/Attached Plan vs Session Overrides</x:v>
      </x:c>
      <x:c r="C18" s="66" t="str">
        <x:v>Version/Diff model</x:v>
      </x:c>
      <x:c r="D18" s="66" t="str">
        <x:v>按需</x:v>
      </x:c>
      <x:c r="E18" s="66" t="str">
        <x:v>Compile/Attach/Promote</x:v>
      </x:c>
      <x:c r="F18" s="66" t="str">
        <x:v>工程师</x:v>
      </x:c>
      <x:c r="G18" s="66" t="str">
        <x:v>不兼容项阻止</x:v>
      </x:c>
      <x:c r="H18" s="66" t="str">
        <x:v>生成ChangeSet</x:v>
      </x:c>
      <x:c r="I18" s="66"/>
      <x:c r="J18" s="66"/>
    </x:row>
    <x:row r="19">
      <x:c r="A19"/>
      <x:c r="B19"/>
      <x:c r="C19"/>
      <x:c r="D19"/>
      <x:c r="E19"/>
      <x:c r="F19"/>
      <x:c r="G19"/>
      <x:c r="H19"/>
      <x:c r="I19"/>
      <x:c r="J19"/>
    </x:row>
    <x:row r="20" ht="24" customHeight="1">
      <x:c r="A20" s="40" t="str">
        <x:v>B. 调试模式与允许操作矩阵</x:v>
      </x:c>
      <x:c r="B20" s="40"/>
      <x:c r="C20" s="40"/>
      <x:c r="D20" s="40"/>
      <x:c r="E20" s="40"/>
      <x:c r="F20" s="40"/>
      <x:c r="G20" s="40"/>
      <x:c r="H20" s="40"/>
      <x:c r="I20" s="40"/>
      <x:c r="J20" s="40"/>
    </x:row>
    <x:row r="21" ht="28" customHeight="1">
      <x:c r="A21" s="50" t="str">
        <x:v>模式</x:v>
      </x:c>
      <x:c r="B21" s="50" t="str">
        <x:v>真实设备</x:v>
      </x:c>
      <x:c r="C21" s="50" t="str">
        <x:v>真实写</x:v>
      </x:c>
      <x:c r="D21" s="50" t="str">
        <x:v>Start Program</x:v>
      </x:c>
      <x:c r="E21" s="50" t="str">
        <x:v>Step/RunTo</x:v>
      </x:c>
      <x:c r="F21" s="50" t="str">
        <x:v>Jog/Teach</x:v>
      </x:c>
      <x:c r="G21" s="50" t="str">
        <x:v>参数Override</x:v>
      </x:c>
      <x:c r="H21" s="50" t="str">
        <x:v>结构更新</x:v>
      </x:c>
      <x:c r="I21" s="50" t="str">
        <x:v>适用场景</x:v>
      </x:c>
      <x:c r="J21" s="50" t="str">
        <x:v>强制策略</x:v>
      </x:c>
    </x:row>
    <x:row r="22">
      <x:c r="A22" s="58" t="str">
        <x:v>Offline Simulation</x:v>
      </x:c>
      <x:c r="B22" s="58" t="str">
        <x:v>虚拟</x:v>
      </x:c>
      <x:c r="C22" s="58" t="str">
        <x:v>否</x:v>
      </x:c>
      <x:c r="D22" s="58" t="str">
        <x:v>允许</x:v>
      </x:c>
      <x:c r="E22" s="58" t="str">
        <x:v>允许</x:v>
      </x:c>
      <x:c r="F22" s="58" t="str">
        <x:v>模拟</x:v>
      </x:c>
      <x:c r="G22" s="58" t="str">
        <x:v>允许</x:v>
      </x:c>
      <x:c r="H22" s="58" t="str">
        <x:v>停止后重新Compile</x:v>
      </x:c>
      <x:c r="I22" s="58" t="str">
        <x:v>开发/自动测试</x:v>
      </x:c>
      <x:c r="J22" s="58" t="str">
        <x:v>确定性Scenario</x:v>
      </x:c>
    </x:row>
    <x:row r="23">
      <x:c r="A23" s="66" t="str">
        <x:v>Connected Observe</x:v>
      </x:c>
      <x:c r="B23" s="66" t="str">
        <x:v>真实</x:v>
      </x:c>
      <x:c r="C23" s="66" t="str">
        <x:v>否</x:v>
      </x:c>
      <x:c r="D23" s="66" t="str">
        <x:v>Attach已有/只观察</x:v>
      </x:c>
      <x:c r="E23" s="66" t="str">
        <x:v>不控制已有生产Session或仅受限</x:v>
      </x:c>
      <x:c r="F23" s="66" t="str">
        <x:v>禁止</x:v>
      </x:c>
      <x:c r="G23" s="66" t="str">
        <x:v>只读</x:v>
      </x:c>
      <x:c r="H23" s="66" t="str">
        <x:v>禁止</x:v>
      </x:c>
      <x:c r="I23" s="66" t="str">
        <x:v>现场问题观察</x:v>
      </x:c>
      <x:c r="J23" s="66" t="str">
        <x:v>Target仍生产运行</x:v>
      </x:c>
    </x:row>
    <x:row r="24">
      <x:c r="A24" s="58" t="str">
        <x:v>Live Controlled Debug</x:v>
      </x:c>
      <x:c r="B24" s="58" t="str">
        <x:v>真实</x:v>
      </x:c>
      <x:c r="C24" s="58" t="str">
        <x:v>显式开启</x:v>
      </x:c>
      <x:c r="D24" s="58" t="str">
        <x:v>允许Debug Session</x:v>
      </x:c>
      <x:c r="E24" s="58" t="str">
        <x:v>允许节点边界</x:v>
      </x:c>
      <x:c r="F24" s="58" t="str">
        <x:v>默认禁止Jog与Program并行</x:v>
      </x:c>
      <x:c r="G24" s="58" t="str">
        <x:v>白名单参数</x:v>
      </x:c>
      <x:c r="H24" s="58" t="str">
        <x:v>停止Session后可新Plan</x:v>
      </x:c>
      <x:c r="I24" s="58" t="str">
        <x:v>集成调试</x:v>
      </x:c>
      <x:c r="J24" s="58" t="str">
        <x:v>Permission+Interlock+Audit</x:v>
      </x:c>
    </x:row>
    <x:row r="25">
      <x:c r="A25" s="66" t="str">
        <x:v>Maintenance Teach</x:v>
      </x:c>
      <x:c r="B25" s="66" t="str">
        <x:v>真实</x:v>
      </x:c>
      <x:c r="C25" s="66" t="str">
        <x:v>允许受控</x:v>
      </x:c>
      <x:c r="D25" s="66" t="str">
        <x:v>正常Program通常停止</x:v>
      </x:c>
      <x:c r="E25" s="66" t="str">
        <x:v>N/A</x:v>
      </x:c>
      <x:c r="F25" s="66" t="str">
        <x:v>允许Jog/Teach</x:v>
      </x:c>
      <x:c r="G25" s="66" t="str">
        <x:v>点位/速度临时值</x:v>
      </x:c>
      <x:c r="H25" s="66" t="str">
        <x:v>结构编辑仍离线</x:v>
      </x:c>
      <x:c r="I25" s="66" t="str">
        <x:v>点位标定/设备调试</x:v>
      </x:c>
      <x:c r="J25" s="66" t="str">
        <x:v>独占资源+安全门/模式</x:v>
      </x:c>
    </x:row>
    <x:row r="26">
      <x:c r="A26" s="58" t="str">
        <x:v>Production Run Monitor</x:v>
      </x:c>
      <x:c r="B26" s="58" t="str">
        <x:v>真实</x:v>
      </x:c>
      <x:c r="C26" s="58" t="str">
        <x:v>按生产策略</x:v>
      </x:c>
      <x:c r="D26" s="58" t="str">
        <x:v>生产系统控制</x:v>
      </x:c>
      <x:c r="E26" s="58" t="str">
        <x:v>通常只读</x:v>
      </x:c>
      <x:c r="F26" s="58" t="str">
        <x:v>禁止</x:v>
      </x:c>
      <x:c r="G26" s="58" t="str">
        <x:v>禁止或只读</x:v>
      </x:c>
      <x:c r="H26" s="58" t="str">
        <x:v>禁止</x:v>
      </x:c>
      <x:c r="I26" s="58" t="str">
        <x:v>运行监控</x:v>
      </x:c>
      <x:c r="J26" s="58" t="str">
        <x:v>最小权限</x:v>
      </x:c>
    </x:row>
    <x:row r="27">
      <x:c r="A27"/>
      <x:c r="B27"/>
      <x:c r="C27"/>
      <x:c r="D27"/>
      <x:c r="E27"/>
      <x:c r="F27"/>
      <x:c r="G27"/>
      <x:c r="H27"/>
      <x:c r="I27"/>
      <x:c r="J27"/>
    </x:row>
    <x:row r="28" ht="24" customHeight="1">
      <x:c r="A28" s="40" t="str">
        <x:v>C. Breakpoint / Step / Pause 语义</x:v>
      </x:c>
      <x:c r="B28" s="40"/>
      <x:c r="C28" s="40"/>
      <x:c r="D28" s="40"/>
      <x:c r="E28" s="40"/>
      <x:c r="F28" s="40"/>
      <x:c r="G28" s="40"/>
      <x:c r="H28" s="40"/>
      <x:c r="I28" s="40"/>
      <x:c r="J28" s="40"/>
    </x:row>
    <x:row r="29" ht="28" customHeight="1">
      <x:c r="A29" s="50" t="str">
        <x:v>操作</x:v>
      </x:c>
      <x:c r="B29" s="50" t="str">
        <x:v>触发时机</x:v>
      </x:c>
      <x:c r="C29" s="50" t="str">
        <x:v>如果节点尚未发命令</x:v>
      </x:c>
      <x:c r="D29" s="50" t="str">
        <x:v>如果物理命令已发出</x:v>
      </x:c>
      <x:c r="E29" s="50" t="str">
        <x:v>到达暂停点</x:v>
      </x:c>
      <x:c r="F29" s="50" t="str">
        <x:v>UI状态</x:v>
      </x:c>
      <x:c r="G29" s="50" t="str">
        <x:v>不允许的误解</x:v>
      </x:c>
      <x:c r="H29" s="50" t="str">
        <x:v>测试</x:v>
      </x:c>
      <x:c r="I29" s="50" t="str">
        <x:v>备注</x:v>
      </x:c>
      <x:c r="J29" s="50"/>
    </x:row>
    <x:row r="30">
      <x:c r="A30" s="66" t="str">
        <x:v>Breakpoint Before</x:v>
      </x:c>
      <x:c r="B30" s="66" t="str">
        <x:v>Node Prepare前</x:v>
      </x:c>
      <x:c r="C30" s="66" t="str">
        <x:v>直接PausedAtBoundary</x:v>
      </x:c>
      <x:c r="D30" s="66" t="str">
        <x:v>不会发生</x:v>
      </x:c>
      <x:c r="E30" s="66" t="str">
        <x:v>当前节点未开始</x:v>
      </x:c>
      <x:c r="F30" s="66" t="str">
        <x:v>黄色边框</x:v>
      </x:c>
      <x:c r="G30" s="66" t="str">
        <x:v>断点命中不等于设备Stop</x:v>
      </x:c>
      <x:c r="H30" s="66" t="str">
        <x:v>before tests</x:v>
      </x:c>
      <x:c r="I30" s="66" t="str">
        <x:v>最安全</x:v>
      </x:c>
      <x:c r="J30" s="66"/>
    </x:row>
    <x:row r="31">
      <x:c r="A31" s="58" t="str">
        <x:v>Breakpoint After</x:v>
      </x:c>
      <x:c r="B31" s="58" t="str">
        <x:v>Node完成/Verify后</x:v>
      </x:c>
      <x:c r="C31" s="58" t="str">
        <x:v>执行节点</x:v>
      </x:c>
      <x:c r="D31" s="58" t="str">
        <x:v>等待命令自然完成或节点策略SafeStop</x:v>
      </x:c>
      <x:c r="E31" s="58" t="str">
        <x:v>下一节点前暂停</x:v>
      </x:c>
      <x:c r="F31" s="58" t="str">
        <x:v>完成节点绿色</x:v>
      </x:c>
      <x:c r="G31" s="58" t="str">
        <x:v>不能在Move中间冻结控制器</x:v>
      </x:c>
      <x:c r="H31" s="58" t="str">
        <x:v>after tests</x:v>
      </x:c>
      <x:c r="I31" s="58"/>
      <x:c r="J31" s="58"/>
    </x:row>
    <x:row r="32">
      <x:c r="A32" s="66" t="str">
        <x:v>Pause</x:v>
      </x:c>
      <x:c r="B32" s="66" t="str">
        <x:v>用户请求</x:v>
      </x:c>
      <x:c r="C32" s="66" t="str">
        <x:v>下一安全Boundary暂停</x:v>
      </x:c>
      <x:c r="D32" s="66" t="str">
        <x:v>当前命令按节点Cancellation/PausePolicy执行</x:v>
      </x:c>
      <x:c r="E32" s="66" t="str">
        <x:v>Boundary后Paused</x:v>
      </x:c>
      <x:c r="F32" s="66" t="str">
        <x:v>PauseRequested→Paused</x:v>
      </x:c>
      <x:c r="G32" s="66" t="str">
        <x:v>按钮按下不应立即显示Paused</x:v>
      </x:c>
      <x:c r="H32" s="66" t="str">
        <x:v>in-flight tests</x:v>
      </x:c>
      <x:c r="I32" s="66"/>
      <x:c r="J32" s="66"/>
    </x:row>
    <x:row r="33">
      <x:c r="A33" s="58" t="str">
        <x:v>Step Over</x:v>
      </x:c>
      <x:c r="B33" s="58" t="str">
        <x:v>PausedAtBoundary</x:v>
      </x:c>
      <x:c r="C33" s="58" t="str">
        <x:v>执行当前节点及必要内部等待</x:v>
      </x:c>
      <x:c r="D33" s="58" t="str">
        <x:v>等待完成/失败</x:v>
      </x:c>
      <x:c r="E33" s="58" t="str">
        <x:v>下一Boundary暂停</x:v>
      </x:c>
      <x:c r="F33" s="58" t="str">
        <x:v>Step running</x:v>
      </x:c>
      <x:c r="G33" s="58" t="str">
        <x:v>不是单个控制周期</x:v>
      </x:c>
      <x:c r="H33" s="58" t="str">
        <x:v>step tests</x:v>
      </x:c>
      <x:c r="I33" s="58"/>
      <x:c r="J33" s="58"/>
    </x:row>
    <x:row r="34">
      <x:c r="A34" s="66" t="str">
        <x:v>Step Into</x:v>
      </x:c>
      <x:c r="B34" s="66" t="str">
        <x:v>CallMotion/SubProgram前</x:v>
      </x:c>
      <x:c r="C34" s="66" t="str">
        <x:v>进入子程序首Boundary</x:v>
      </x:c>
      <x:c r="D34" s="66" t="str">
        <x:v>子程序执行按规则</x:v>
      </x:c>
      <x:c r="E34" s="66" t="str">
        <x:v>子调用内部暂停</x:v>
      </x:c>
      <x:c r="F34" s="66" t="str">
        <x:v>Call stack变化</x:v>
      </x:c>
      <x:c r="G34" s="66" t="str">
        <x:v>普通Move无内部单步</x:v>
      </x:c>
      <x:c r="H34" s="66" t="str">
        <x:v>subprogram tests</x:v>
      </x:c>
      <x:c r="I34" s="66"/>
      <x:c r="J34" s="66"/>
    </x:row>
    <x:row r="35">
      <x:c r="A35" s="58" t="str">
        <x:v>Run To</x:v>
      </x:c>
      <x:c r="B35" s="58" t="str">
        <x:v>设置临时Breakpoint</x:v>
      </x:c>
      <x:c r="C35" s="58" t="str">
        <x:v>连续执行</x:v>
      </x:c>
      <x:c r="D35" s="58" t="str">
        <x:v>在安全Boundary命中</x:v>
      </x:c>
      <x:c r="E35" s="58" t="str">
        <x:v>目标前暂停</x:v>
      </x:c>
      <x:c r="F35" s="58" t="str">
        <x:v>Target highlight</x:v>
      </x:c>
      <x:c r="G35" s="58" t="str">
        <x:v>不是跳过中间节点</x:v>
      </x:c>
      <x:c r="H35" s="58" t="str">
        <x:v>runto tests</x:v>
      </x:c>
      <x:c r="I35" s="58"/>
      <x:c r="J35" s="58"/>
    </x:row>
    <x:row r="36">
      <x:c r="A36" s="66" t="str">
        <x:v>Cancel</x:v>
      </x:c>
      <x:c r="B36" s="66" t="str">
        <x:v>任意可取消状态</x:v>
      </x:c>
      <x:c r="C36" s="66" t="str">
        <x:v>不启动节点/清理</x:v>
      </x:c>
      <x:c r="D36" s="66" t="str">
        <x:v>发安全Cancel/Stop并等待Ack</x:v>
      </x:c>
      <x:c r="E36" s="66" t="str">
        <x:v>Stopped/Faulted</x:v>
      </x:c>
      <x:c r="F36" s="66" t="str">
        <x:v>Cancelling</x:v>
      </x:c>
      <x:c r="G36" s="66" t="str">
        <x:v>不等于硬件急停</x:v>
      </x:c>
      <x:c r="H36" s="66" t="str">
        <x:v>cancel tests</x:v>
      </x:c>
      <x:c r="I36" s="66"/>
      <x:c r="J36" s="66"/>
    </x:row>
    <x:row r="37">
      <x:c r="A37"/>
      <x:c r="B37"/>
      <x:c r="C37"/>
      <x:c r="D37"/>
      <x:c r="E37"/>
      <x:c r="F37"/>
      <x:c r="G37"/>
      <x:c r="H37"/>
      <x:c r="I37"/>
      <x:c r="J37"/>
    </x:row>
    <x:row r="38" ht="24" customHeight="1">
      <x:c r="A38" s="40" t="str">
        <x:v>D. Jog / Teach / Manual Device Operation</x:v>
      </x:c>
      <x:c r="B38" s="40"/>
      <x:c r="C38" s="40"/>
      <x:c r="D38" s="40"/>
      <x:c r="E38" s="40"/>
      <x:c r="F38" s="40"/>
      <x:c r="G38" s="40"/>
      <x:c r="H38" s="40"/>
      <x:c r="I38" s="40"/>
      <x:c r="J38" s="40"/>
    </x:row>
    <x:row r="39" ht="28" customHeight="1">
      <x:c r="A39" s="50" t="str">
        <x:v>能力</x:v>
      </x:c>
      <x:c r="B39" s="50" t="str">
        <x:v>前置条件</x:v>
      </x:c>
      <x:c r="C39" s="50" t="str">
        <x:v>操作</x:v>
      </x:c>
      <x:c r="D39" s="50" t="str">
        <x:v>Runtime路径</x:v>
      </x:c>
      <x:c r="E39" s="50" t="str">
        <x:v>资源/互锁</x:v>
      </x:c>
      <x:c r="F39" s="50" t="str">
        <x:v>结果</x:v>
      </x:c>
      <x:c r="G39" s="50" t="str">
        <x:v>Promote</x:v>
      </x:c>
      <x:c r="H39" s="50" t="str">
        <x:v>审计</x:v>
      </x:c>
      <x:c r="I39" s="50" t="str">
        <x:v>禁止</x:v>
      </x:c>
      <x:c r="J39" s="50"/>
    </x:row>
    <x:row r="40">
      <x:c r="A40" s="58" t="str">
        <x:v>Jog Axis</x:v>
      </x:c>
      <x:c r="B40" s="58" t="str">
        <x:v>Maintenance Mode+独占Axis Lease+Safety ready</x:v>
      </x:c>
      <x:c r="C40" s="58" t="str">
        <x:v>Press/hold或步进Jog</x:v>
      </x:c>
      <x:c r="D40" s="58" t="str">
        <x:v>MotionDebugAdapter→IMotionController.Jog</x:v>
      </x:c>
      <x:c r="E40" s="58" t="str">
        <x:v>Interlock/SoftLimit/Mode</x:v>
      </x:c>
      <x:c r="F40" s="58" t="str">
        <x:v>Jog snapshot</x:v>
      </x:c>
      <x:c r="G40" s="58" t="str">
        <x:v>不直接写Program</x:v>
      </x:c>
      <x:c r="H40" s="58" t="str">
        <x:v>User/Axis/Direction/Speed/Duration</x:v>
      </x:c>
      <x:c r="I40" s="58" t="str">
        <x:v>Program并行占轴时Jog</x:v>
      </x:c>
      <x:c r="J40" s="58"/>
    </x:row>
    <x:row r="41">
      <x:c r="A41" s="66" t="str">
        <x:v>Move to Point</x:v>
      </x:c>
      <x:c r="B41" s="66" t="str">
        <x:v>Maintenance/Debug + Point valid</x:v>
      </x:c>
      <x:c r="C41" s="66" t="str">
        <x:v>选择点位→预检查→执行</x:v>
      </x:c>
      <x:c r="D41" s="66" t="str">
        <x:v>临时MotionPlan/Command</x:v>
      </x:c>
      <x:c r="E41" s="66" t="str">
        <x:v>Axis resources/Interlock</x:v>
      </x:c>
      <x:c r="F41" s="66" t="str">
        <x:v>MotionResult</x:v>
      </x:c>
      <x:c r="G41" s="66" t="str">
        <x:v>N/A</x:v>
      </x:c>
      <x:c r="H41" s="66" t="str">
        <x:v>PointId/Params</x:v>
      </x:c>
      <x:c r="I41" s="66" t="str">
        <x:v>跳过预检</x:v>
      </x:c>
      <x:c r="J41" s="66"/>
    </x:row>
    <x:row r="42">
      <x:c r="A42" s="58" t="str">
        <x:v>Teach Current Position</x:v>
      </x:c>
      <x:c r="B42" s="58" t="str">
        <x:v>轴稳定/坐标有效</x:v>
      </x:c>
      <x:c r="C42" s="58" t="str">
        <x:v>读取实际位置→生成候选值</x:v>
      </x:c>
      <x:c r="D42" s="58" t="str">
        <x:v>Snapshot only</x:v>
      </x:c>
      <x:c r="E42" s="58" t="str">
        <x:v>无运动命令</x:v>
      </x:c>
      <x:c r="F42" s="58" t="str">
        <x:v>TeachValue</x:v>
      </x:c>
      <x:c r="G42" s="58" t="str">
        <x:v>用户确认→ChangeSet→PointTable Command</x:v>
      </x:c>
      <x:c r="H42" s="58" t="str">
        <x:v>Before/After</x:v>
      </x:c>
      <x:c r="I42" s="58" t="str">
        <x:v>自动写Project</x:v>
      </x:c>
      <x:c r="J42" s="58"/>
    </x:row>
    <x:row r="43">
      <x:c r="A43" s="66" t="str">
        <x:v>Set DO/Test Device</x:v>
      </x:c>
      <x:c r="B43" s="66" t="str">
        <x:v>对应设备资源可用</x:v>
      </x:c>
      <x:c r="C43" s="66" t="str">
        <x:v>测试命令</x:v>
      </x:c>
      <x:c r="D43" s="66" t="str">
        <x:v>DeviceCommandExecutor</x:v>
      </x:c>
      <x:c r="E43" s="66" t="str">
        <x:v>Permission/Interlock/WritePolicy</x:v>
      </x:c>
      <x:c r="F43" s="66" t="str">
        <x:v>CommandResult</x:v>
      </x:c>
      <x:c r="G43" s="66" t="str">
        <x:v>通常不Promote</x:v>
      </x:c>
      <x:c r="H43" s="66" t="str">
        <x:v>强审计</x:v>
      </x:c>
      <x:c r="I43" s="66" t="str">
        <x:v>通用Property写绕过Domain策略</x:v>
      </x:c>
      <x:c r="J43" s="66"/>
    </x:row>
    <x:row r="44">
      <x:c r="A44" s="58" t="str">
        <x:v>Reset Alarm</x:v>
      </x:c>
      <x:c r="B44" s="58" t="str">
        <x:v>设备支持且安全条件满足</x:v>
      </x:c>
      <x:c r="C44" s="58" t="str">
        <x:v>Reset</x:v>
      </x:c>
      <x:c r="D44" s="58" t="str">
        <x:v>Adapter capability command</x:v>
      </x:c>
      <x:c r="E44" s="58" t="str">
        <x:v>Permission/Device policy</x:v>
      </x:c>
      <x:c r="F44" s="58" t="str">
        <x:v>DeviceState</x:v>
      </x:c>
      <x:c r="G44" s="58" t="str">
        <x:v>N/A</x:v>
      </x:c>
      <x:c r="H44" s="58" t="str">
        <x:v>记录</x:v>
      </x:c>
      <x:c r="I44" s="58" t="str">
        <x:v>自动循环Reset</x:v>
      </x:c>
      <x:c r="J44" s="58"/>
    </x:row>
    <x:row r="45">
      <x:c r="A45"/>
      <x:c r="B45"/>
      <x:c r="C45"/>
      <x:c r="D45"/>
      <x:c r="E45"/>
      <x:c r="F45"/>
      <x:c r="G45"/>
      <x:c r="H45"/>
      <x:c r="I45"/>
      <x:c r="J45"/>
    </x:row>
    <x:row r="46" ht="24" customHeight="1">
      <x:c r="A46" s="40" t="str">
        <x:v>E. Online Parameter Override 与回写设计</x:v>
      </x:c>
      <x:c r="B46" s="40"/>
      <x:c r="C46" s="40"/>
      <x:c r="D46" s="40"/>
      <x:c r="E46" s="40"/>
      <x:c r="F46" s="40"/>
      <x:c r="G46" s="40"/>
      <x:c r="H46" s="40"/>
      <x:c r="I46" s="40"/>
      <x:c r="J46" s="40"/>
    </x:row>
    <x:row r="47" ht="28" customHeight="1">
      <x:c r="A47" s="50" t="str">
        <x:v>对象</x:v>
      </x:c>
      <x:c r="B47" s="50" t="str">
        <x:v>可在线Override</x:v>
      </x:c>
      <x:c r="C47" s="50" t="str">
        <x:v>生效范围</x:v>
      </x:c>
      <x:c r="D47" s="50" t="str">
        <x:v>何时应用</x:v>
      </x:c>
      <x:c r="E47" s="50" t="str">
        <x:v>是否影响Active Release</x:v>
      </x:c>
      <x:c r="F47" s="50" t="str">
        <x:v>停止后</x:v>
      </x:c>
      <x:c r="G47" s="50" t="str">
        <x:v>回写工程方式</x:v>
      </x:c>
      <x:c r="H47" s="50" t="str">
        <x:v>版本/审计</x:v>
      </x:c>
      <x:c r="I47" s="50" t="str">
        <x:v>规则</x:v>
      </x:c>
      <x:c r="J47" s="50"/>
    </x:row>
    <x:row r="48">
      <x:c r="A48" s="66" t="str">
        <x:v>Move速度/加速度</x:v>
      </x:c>
      <x:c r="B48" s="66" t="str">
        <x:v>是(白名单/限值内)</x:v>
      </x:c>
      <x:c r="C48" s="66" t="str">
        <x:v>当前Debug Session/后续节点</x:v>
      </x:c>
      <x:c r="D48" s="66" t="str">
        <x:v>节点Prepare时解析</x:v>
      </x:c>
      <x:c r="E48" s="66" t="str">
        <x:v>否</x:v>
      </x:c>
      <x:c r="F48" s="66" t="str">
        <x:v>清除</x:v>
      </x:c>
      <x:c r="G48" s="66" t="str">
        <x:v>Promote ChangeSet</x:v>
      </x:c>
      <x:c r="H48" s="66" t="str">
        <x:v>记录原值/新值/User</x:v>
      </x:c>
      <x:c r="I48" s="66" t="str">
        <x:v>不得改变硬件安全上限</x:v>
      </x:c>
      <x:c r="J48" s="66"/>
    </x:row>
    <x:row r="49">
      <x:c r="A49" s="58" t="str">
        <x:v>Target/Point参数</x:v>
      </x:c>
      <x:c r="B49" s="58" t="str">
        <x:v>可，视策略</x:v>
      </x:c>
      <x:c r="C49" s="58" t="str">
        <x:v>Session local</x:v>
      </x:c>
      <x:c r="D49" s="58" t="str">
        <x:v>节点Prepare</x:v>
      </x:c>
      <x:c r="E49" s="58" t="str">
        <x:v>否</x:v>
      </x:c>
      <x:c r="F49" s="58" t="str">
        <x:v>清除</x:v>
      </x:c>
      <x:c r="G49" s="58" t="str">
        <x:v>Teach/Promote到PointTable或Node param</x:v>
      </x:c>
      <x:c r="H49" s="58" t="str">
        <x:v>记录Coord/version</x:v>
      </x:c>
      <x:c r="I49" s="58" t="str">
        <x:v>运行中节点已发命令不追改</x:v>
      </x:c>
      <x:c r="J49" s="58"/>
    </x:row>
    <x:row r="50">
      <x:c r="A50" s="66" t="str">
        <x:v>Timeout/Tolerance</x:v>
      </x:c>
      <x:c r="B50" s="66" t="str">
        <x:v>可，限范围</x:v>
      </x:c>
      <x:c r="C50" s="66" t="str">
        <x:v>Session</x:v>
      </x:c>
      <x:c r="D50" s="66" t="str">
        <x:v>后续节点</x:v>
      </x:c>
      <x:c r="E50" s="66" t="str">
        <x:v>否</x:v>
      </x:c>
      <x:c r="F50" s="66" t="str">
        <x:v>清除</x:v>
      </x:c>
      <x:c r="G50" s="66" t="str">
        <x:v>Promote</x:v>
      </x:c>
      <x:c r="H50" s="66" t="str">
        <x:v>记录</x:v>
      </x:c>
      <x:c r="I50" s="66" t="str">
        <x:v>影响流程但非安全极限</x:v>
      </x:c>
      <x:c r="J50" s="66"/>
    </x:row>
    <x:row r="51">
      <x:c r="A51" s="58" t="str">
        <x:v>Interlock规则</x:v>
      </x:c>
      <x:c r="B51" s="58" t="str">
        <x:v>Simulation可；Live一般不可临时改逻辑</x:v>
      </x:c>
      <x:c r="C51" s="58" t="str">
        <x:v>按模式</x:v>
      </x:c>
      <x:c r="D51" s="58" t="str">
        <x:v>重新Compile或Policy配置</x:v>
      </x:c>
      <x:c r="E51" s="58" t="str">
        <x:v>不应偷偷改</x:v>
      </x:c>
      <x:c r="F51" s="58" t="str">
        <x:v>N/A</x:v>
      </x:c>
      <x:c r="G51" s="58" t="str">
        <x:v>回Designer正式修改/审批</x:v>
      </x:c>
      <x:c r="H51" s="58" t="str">
        <x:v>强审计</x:v>
      </x:c>
      <x:c r="I51" s="58" t="str">
        <x:v>Bypass是独立受控动作，不等于改规则</x:v>
      </x:c>
      <x:c r="J51" s="58"/>
    </x:row>
    <x:row r="52">
      <x:c r="A52" s="66" t="str">
        <x:v>Device profile</x:v>
      </x:c>
      <x:c r="B52" s="66" t="str">
        <x:v>少量调试参数可由Provider支持</x:v>
      </x:c>
      <x:c r="C52" s="66" t="str">
        <x:v>Provider debug scope</x:v>
      </x:c>
      <x:c r="D52" s="66" t="str">
        <x:v>Prepare/explicit apply</x:v>
      </x:c>
      <x:c r="E52" s="66" t="str">
        <x:v>否</x:v>
      </x:c>
      <x:c r="F52" s="66" t="str">
        <x:v>恢复或重连</x:v>
      </x:c>
      <x:c r="G52" s="66" t="str">
        <x:v>Profile ChangeSet</x:v>
      </x:c>
      <x:c r="H52" s="66" t="str">
        <x:v>Driver/version</x:v>
      </x:c>
      <x:c r="I52" s="66" t="str">
        <x:v>连接/固件关键参数不Hot改</x:v>
      </x:c>
      <x:c r="J52" s="66"/>
    </x:row>
    <x:row r="53">
      <x:c r="A53"/>
      <x:c r="B53"/>
      <x:c r="C53"/>
      <x:c r="D53"/>
      <x:c r="E53"/>
      <x:c r="F53"/>
      <x:c r="G53"/>
      <x:c r="H53"/>
      <x:c r="I53"/>
      <x:c r="J53"/>
    </x:row>
    <x:row r="54" ht="24" customHeight="1">
      <x:c r="A54" s="40" t="str">
        <x:v>F. 故障诊断与恢复</x:v>
      </x:c>
      <x:c r="B54" s="40"/>
      <x:c r="C54" s="40"/>
      <x:c r="D54" s="40"/>
      <x:c r="E54" s="40"/>
      <x:c r="F54" s="40"/>
      <x:c r="G54" s="40"/>
      <x:c r="H54" s="40"/>
      <x:c r="I54" s="40"/>
      <x:c r="J54" s="40"/>
    </x:row>
    <x:row r="55" ht="28" customHeight="1">
      <x:c r="A55" s="50" t="str">
        <x:v>故障</x:v>
      </x:c>
      <x:c r="B55" s="50" t="str">
        <x:v>在线显示</x:v>
      </x:c>
      <x:c r="C55" s="50" t="str">
        <x:v>Studio可操作</x:v>
      </x:c>
      <x:c r="D55" s="50" t="str">
        <x:v>Target策略</x:v>
      </x:c>
      <x:c r="E55" s="50" t="str">
        <x:v>是否可Retry</x:v>
      </x:c>
      <x:c r="F55" s="50" t="str">
        <x:v>恢复前检查</x:v>
      </x:c>
      <x:c r="G55" s="50" t="str">
        <x:v>Trace证据</x:v>
      </x:c>
      <x:c r="H55" s="50" t="str">
        <x:v>测试</x:v>
      </x:c>
      <x:c r="I55" s="50" t="str">
        <x:v>备注</x:v>
      </x:c>
      <x:c r="J55" s="50"/>
    </x:row>
    <x:row r="56">
      <x:c r="A56" s="58" t="str">
        <x:v>Axis Alarm/Limit</x:v>
      </x:c>
      <x:c r="B56" s="58" t="str">
        <x:v>轴面板+节点Fault</x:v>
      </x:c>
      <x:c r="C56" s="58" t="str">
        <x:v>Inspect/Reset(策略)/Cancel</x:v>
      </x:c>
      <x:c r="D56" s="58" t="str">
        <x:v>阻止后续Motion节点</x:v>
      </x:c>
      <x:c r="E56" s="58" t="str">
        <x:v>按错误分类</x:v>
      </x:c>
      <x:c r="F56" s="58" t="str">
        <x:v>Servo/Limit/Home/Interlock</x:v>
      </x:c>
      <x:c r="G56" s="58" t="str">
        <x:v>Command+Axis state</x:v>
      </x:c>
      <x:c r="H56" s="58" t="str">
        <x:v>sim fault</x:v>
      </x:c>
      <x:c r="I56" s="58"/>
      <x:c r="J56" s="58"/>
    </x:row>
    <x:row r="57">
      <x:c r="A57" s="66" t="str">
        <x:v>Device Offline</x:v>
      </x:c>
      <x:c r="B57" s="66" t="str">
        <x:v>设备Panel Offline</x:v>
      </x:c>
      <x:c r="C57" s="66" t="str">
        <x:v>Reconnect/Cancel/Retry</x:v>
      </x:c>
      <x:c r="D57" s="66" t="str">
        <x:v>Resource unavailable</x:v>
      </x:c>
      <x:c r="E57" s="66" t="str">
        <x:v>可</x:v>
      </x:c>
      <x:c r="F57" s="66" t="str">
        <x:v>Connection/Capability</x:v>
      </x:c>
      <x:c r="G57" s="66" t="str">
        <x:v>provider trace</x:v>
      </x:c>
      <x:c r="H57" s="66" t="str">
        <x:v>disconnect</x:v>
      </x:c>
      <x:c r="I57" s="66"/>
      <x:c r="J57" s="66"/>
    </x:row>
    <x:row r="58">
      <x:c r="A58" s="58" t="str">
        <x:v>Interlock Fail</x:v>
      </x:c>
      <x:c r="B58" s="58" t="str">
        <x:v>FailedRule明细</x:v>
      </x:c>
      <x:c r="C58" s="58" t="str">
        <x:v>Inspect/等待/授权Bypass(极少)</x:v>
      </x:c>
      <x:c r="D58" s="58" t="str">
        <x:v>不发设备命令</x:v>
      </x:c>
      <x:c r="E58" s="58" t="str">
        <x:v>规则变化后可重新执行节点</x:v>
      </x:c>
      <x:c r="F58" s="58" t="str">
        <x:v>Rule values</x:v>
      </x:c>
      <x:c r="G58" s="58" t="str">
        <x:v>interlock trace</x:v>
      </x:c>
      <x:c r="H58" s="58" t="str">
        <x:v>fault injection</x:v>
      </x:c>
      <x:c r="I58" s="58"/>
      <x:c r="J58" s="58"/>
    </x:row>
    <x:row r="59">
      <x:c r="A59" s="66" t="str">
        <x:v>Resource Timeout</x:v>
      </x:c>
      <x:c r="B59" s="66" t="str">
        <x:v>Resource wait graph</x:v>
      </x:c>
      <x:c r="C59" s="66" t="str">
        <x:v>Cancel/Retry</x:v>
      </x:c>
      <x:c r="D59" s="66" t="str">
        <x:v>节点未执行</x:v>
      </x:c>
      <x:c r="E59" s="66" t="str">
        <x:v>可</x:v>
      </x:c>
      <x:c r="F59" s="66" t="str">
        <x:v>Owner/queue/deadlock</x:v>
      </x:c>
      <x:c r="G59" s="66" t="str">
        <x:v>lease trace</x:v>
      </x:c>
      <x:c r="H59" s="66" t="str">
        <x:v>contention</x:v>
      </x:c>
      <x:c r="I59" s="66"/>
      <x:c r="J59" s="66"/>
    </x:row>
    <x:row r="60">
      <x:c r="A60" s="58" t="str">
        <x:v>Control Channel Lost</x:v>
      </x:c>
      <x:c r="B60" s="58" t="str">
        <x:v>DetachedUnknown</x:v>
      </x:c>
      <x:c r="C60" s="58" t="str">
        <x:v>Reconnect/Query/安全Stop(若策略允许)</x:v>
      </x:c>
      <x:c r="D60" s="58" t="str">
        <x:v>继续/安全态按DebugPolicy</x:v>
      </x:c>
      <x:c r="E60" s="58" t="str">
        <x:v>N/A</x:v>
      </x:c>
      <x:c r="F60" s="58" t="str">
        <x:v>Session/CommandId reconcile</x:v>
      </x:c>
      <x:c r="G60" s="58" t="str">
        <x:v>disconnect cause</x:v>
      </x:c>
      <x:c r="H60" s="58" t="str">
        <x:v>network</x:v>
      </x:c>
      <x:c r="I60" s="58" t="str">
        <x:v>不能盲重发Move</x:v>
      </x:c>
      <x:c r="J60" s="58"/>
    </x:row>
    <x:row r="61">
      <x:c r="A61" s="66" t="str">
        <x:v>Studio Crash</x:v>
      </x:c>
      <x:c r="B61" s="66" t="str">
        <x:v>重新Attach</x:v>
      </x:c>
      <x:c r="C61" s="66" t="str">
        <x:v>Inspect/Stop</x:v>
      </x:c>
      <x:c r="D61" s="66" t="str">
        <x:v>Runtime独立继续</x:v>
      </x:c>
      <x:c r="E61" s="66" t="str">
        <x:v>N/A</x:v>
      </x:c>
      <x:c r="F61" s="66" t="str">
        <x:v>client lease/policy</x:v>
      </x:c>
      <x:c r="G61" s="66" t="str">
        <x:v>agent health</x:v>
      </x:c>
      <x:c r="H61" s="66" t="str">
        <x:v>kill studio</x:v>
      </x:c>
      <x:c r="I61" s="66"/>
      <x:c r="J61" s="66"/>
    </x:row>
    <x:row r="63">
      <x:c r="A63" t="str">
        <x:v>G. 历史 Hardware Diagnostics / Commissioning（V6.4继续有效）</x:v>
      </x:c>
      <x:c r="B63"/>
      <x:c r="C63"/>
      <x:c r="D63"/>
      <x:c r="E63"/>
      <x:c r="F63"/>
      <x:c r="G63"/>
      <x:c r="H63"/>
      <x:c r="I63"/>
      <x:c r="J63"/>
    </x:row>
    <x:row r="64">
      <x:c r="A64" t="str">
        <x:v>工作区</x:v>
      </x:c>
      <x:c r="B64" t="str">
        <x:v>对象范围</x:v>
      </x:c>
      <x:c r="C64" t="str">
        <x:v>观察/诊断</x:v>
      </x:c>
      <x:c r="D64" t="str">
        <x:v>受控操作规则</x:v>
      </x:c>
      <x:c r="E64" t="str">
        <x:v>DesignRef</x:v>
      </x:c>
      <x:c r="F64"/>
      <x:c r="G64"/>
      <x:c r="H64"/>
      <x:c r="I64"/>
      <x:c r="J64"/>
    </x:row>
    <x:row r="65">
      <x:c r="A65" t="str">
        <x:v>Hardware Tree</x:v>
      </x:c>
      <x:c r="B65" t="str">
        <x:v>Controller/PLC/Fieldbus/Axis/Actuator/IO/Sensor/Trigger/Safety/Process按层级展示</x:v>
      </x:c>
      <x:c r="C65" t="str">
        <x:v>状态/Quality/Fault/Capabilities/Owner</x:v>
      </x:c>
      <x:c r="D65" t="str">
        <x:v>只读默认</x:v>
      </x:c>
      <x:c r="E65" t="str">
        <x:v>47</x:v>
      </x:c>
      <x:c r="F65"/>
      <x:c r="G65"/>
      <x:c r="H65"/>
      <x:c r="I65"/>
      <x:c r="J65"/>
    </x:row>
    <x:row r="66">
      <x:c r="A66" t="str">
        <x:v>Controller Diagnostics</x:v>
      </x:c>
      <x:c r="B66" t="str">
        <x:v>IMotionController/IPlcDevice/IFieldbusMaster</x:v>
      </x:c>
      <x:c r="C66" t="str">
        <x:v>连接/模式/周期/错误/拓扑</x:v>
      </x:c>
      <x:c r="D66" t="str">
        <x:v>控制命令经Policy</x:v>
      </x:c>
      <x:c r="E66" t="str">
        <x:v>47</x:v>
      </x:c>
      <x:c r="F66"/>
      <x:c r="G66"/>
      <x:c r="H66"/>
      <x:c r="I66"/>
      <x:c r="J66"/>
    </x:row>
    <x:row r="67">
      <x:c r="A67" t="str">
        <x:v>Axis Diagnostics</x:v>
      </x:c>
      <x:c r="B67" t="str">
        <x:v>IAxis</x:v>
      </x:c>
      <x:c r="C67" t="str">
        <x:v>ServoOn/Homed/Command/Actual/Velocity/Alarm/Limit/FollowingError</x:v>
      </x:c>
      <x:c r="D67" t="str">
        <x:v>Jog/Move需Mode+Auth+Lease+Interlock</x:v>
      </x:c>
      <x:c r="E67" t="str">
        <x:v>47</x:v>
      </x:c>
      <x:c r="F67"/>
      <x:c r="G67"/>
      <x:c r="H67"/>
      <x:c r="I67"/>
      <x:c r="J67"/>
    </x:row>
    <x:row r="68">
      <x:c r="A68" t="str">
        <x:v>IO Diagnostics</x:v>
      </x:c>
      <x:c r="B68" t="str">
        <x:v>DI/DO/AI/AO</x:v>
      </x:c>
      <x:c r="C68" t="str">
        <x:v>Value/Quality/Timestamp/Force state</x:v>
      </x:c>
      <x:c r="D68" t="str">
        <x:v>输出写受权限与审计</x:v>
      </x:c>
      <x:c r="E68" t="str">
        <x:v>47</x:v>
      </x:c>
      <x:c r="F68"/>
      <x:c r="G68"/>
      <x:c r="H68"/>
      <x:c r="I68"/>
      <x:c r="J68"/>
    </x:row>
    <x:row r="69">
      <x:c r="A69" t="str">
        <x:v>Sensor Diagnostics</x:v>
      </x:c>
      <x:c r="B69" t="str">
        <x:v>Position/Force/Torque/Pressure/Generic Sensor</x:v>
      </x:c>
      <x:c r="C69" t="str">
        <x:v>Value/Quality/Range/Calibration/Age</x:v>
      </x:c>
      <x:c r="D69" t="str">
        <x:v>只读为主</x:v>
      </x:c>
      <x:c r="E69" t="str">
        <x:v>47</x:v>
      </x:c>
      <x:c r="F69"/>
      <x:c r="G69"/>
      <x:c r="H69"/>
      <x:c r="I69"/>
      <x:c r="J69"/>
    </x:row>
    <x:row r="70">
      <x:c r="A70" t="str">
        <x:v>Trigger Diagnostics</x:v>
      </x:c>
      <x:c r="B70" t="str">
        <x:v>ITriggerIO/IPositionTrigger</x:v>
      </x:c>
      <x:c r="C70" t="str">
        <x:v>armed/counter/compare table/timing</x:v>
      </x:c>
      <x:c r="D70" t="str">
        <x:v>高速执行下沉控制器</x:v>
      </x:c>
      <x:c r="E70" t="str">
        <x:v>47</x:v>
      </x:c>
      <x:c r="F70"/>
      <x:c r="G70"/>
      <x:c r="H70"/>
      <x:c r="I70"/>
      <x:c r="J70"/>
    </x:row>
    <x:row r="71">
      <x:c r="A71" t="str">
        <x:v>Safety Diagnostics</x:v>
      </x:c>
      <x:c r="B71" t="str">
        <x:v>ISafetyInput/Device/Controller</x:v>
      </x:c>
      <x:c r="C71" t="str">
        <x:v>EStop/Door/Curtain/SafetyPLC state</x:v>
      </x:c>
      <x:c r="D71" t="str">
        <x:v>平台只能观察/请求允许的安全操作，不模拟Safety</x:v>
      </x:c>
      <x:c r="E71" t="str">
        <x:v>47</x:v>
      </x:c>
      <x:c r="F71"/>
      <x:c r="G71"/>
      <x:c r="H71"/>
      <x:c r="I71"/>
      <x:c r="J71"/>
    </x:row>
    <x:row r="72">
      <x:c r="A72" t="str">
        <x:v>Process Diagnostics</x:v>
      </x:c>
      <x:c r="B72" t="str">
        <x:v>IXraySource/IDetector/ICamera</x:v>
      </x:c>
      <x:c r="C72" t="str">
        <x:v>Ready/Fault/Temperature/Exposure/Acquisition/Trigger</x:v>
      </x:c>
      <x:c r="D72" t="str">
        <x:v>危险工艺动作走Resource/Interlock/Policy</x:v>
      </x:c>
      <x:c r="E72" t="str">
        <x:v>47</x:v>
      </x:c>
      <x:c r="F72"/>
      <x:c r="G72"/>
      <x:c r="H72"/>
      <x:c r="I72"/>
      <x:c r="J72"/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40" hidden="0" customWidth="1"/>
    <x:col min="4" max="4" width="32" hidden="0" customWidth="1"/>
    <x:col min="5" max="5" width="30" hidden="0" customWidth="1"/>
    <x:col min="6" max="6" width="30" hidden="0" customWidth="1"/>
    <x:col min="7" max="7" width="30" hidden="0" customWidth="1"/>
    <x:col min="8" max="8" width="28" hidden="0" customWidth="1"/>
    <x:col min="9" max="9" width="30" hidden="0" customWidth="1"/>
  </x:cols>
  <x:sheetData>
    <x:row r="1" ht="30" customHeight="1">
      <x:c r="A1" s="137" t="str">
        <x:v>Automation / Robot — V6.4 完整开发蓝图</x:v>
      </x:c>
      <x:c r="B1" s="137"/>
      <x:c r="C1" s="137"/>
      <x:c r="D1" s="137"/>
      <x:c r="E1" s="137"/>
      <x:c r="F1" s="137"/>
      <x:c r="G1" s="137"/>
      <x:c r="H1" s="137"/>
      <x:c r="I1" s="137"/>
    </x:row>
    <x:row r="2" ht="38" customHeight="1">
      <x:c r="A2" s="16" t="str">
        <x:v>Robot 是 Automation 内专业能力族：复用Platform Resource/Command/Diagnostics与Automation设备/Interlock/资源治理，但拥有Frame/Tool/WorkObject/Pose/Path/Teach等机器人专业模型；不再作为独立一级Workbench或独立物理Project族。</x:v>
      </x:c>
      <x:c r="B2" s="16"/>
      <x:c r="C2" s="16"/>
      <x:c r="D2" s="16"/>
      <x:c r="E2" s="16"/>
      <x:c r="F2" s="16"/>
      <x:c r="G2" s="16"/>
      <x:c r="H2" s="16"/>
      <x:c r="I2" s="16"/>
    </x:row>
    <x:row r="3">
      <x:c r="A3" s="30" t="str">
        <x:v>本页唯一权威</x:v>
      </x:c>
      <x:c r="B3" s="31" t="str">
        <x:v>RobotDefinition/Frame/Tool/WorkObject/Pose/Path/RobotProgram、编译/Runtime/Provider、Teach/Jog/Interlock/Simulation边界。</x:v>
      </x:c>
      <x:c r="C3" s="31"/>
      <x:c r="D3" s="31"/>
      <x:c r="E3" s="31"/>
      <x:c r="F3" s="31"/>
      <x:c r="G3" s="31"/>
      <x:c r="H3" s="31"/>
      <x:c r="I3" s="31"/>
    </x:row>
    <x:row r="4">
      <x:c r="A4" s="30" t="str">
        <x:v>不在本页维护</x:v>
      </x:c>
      <x:c r="B4" s="31" t="str">
        <x:v>Motion公共控制流（见27）、统一Debug（见21）、实机Robot调试（见30）、品牌项目规格（见44）。</x:v>
      </x:c>
      <x:c r="C4" s="31"/>
      <x:c r="D4" s="31"/>
      <x:c r="E4" s="31"/>
      <x:c r="F4" s="31"/>
      <x:c r="G4" s="31"/>
      <x:c r="H4" s="31"/>
      <x:c r="I4" s="31"/>
    </x:row>
    <x:row r="5">
      <x:c r="A5" s="30" t="str">
        <x:v>关联分页</x:v>
      </x:c>
      <x:c r="B5" s="31" t="str">
        <x:v>27_Motion完整开发蓝图；30_Robot在线调试；37_跨域执行E2E；45_StudioShell与Ribbon基线；47_运控硬件抽象体系。</x:v>
      </x:c>
      <x:c r="C5" s="31"/>
      <x:c r="D5" s="31"/>
      <x:c r="E5" s="31"/>
      <x:c r="F5" s="31"/>
      <x:c r="G5" s="31"/>
      <x:c r="H5" s="31"/>
      <x:c r="I5" s="31"/>
    </x:row>
    <x:row r="6">
      <x:c r="A6"/>
      <x:c r="B6"/>
      <x:c r="C6"/>
      <x:c r="D6"/>
      <x:c r="E6"/>
      <x:c r="F6"/>
      <x:c r="G6"/>
      <x:c r="H6"/>
      <x:c r="I6"/>
    </x:row>
    <x:row r="7" ht="24" customHeight="1">
      <x:c r="A7" s="40" t="str">
        <x:v>A. 领域定位与边界</x:v>
      </x:c>
      <x:c r="B7" s="40"/>
      <x:c r="C7" s="40"/>
      <x:c r="D7" s="40"/>
      <x:c r="E7" s="40"/>
      <x:c r="F7" s="40"/>
      <x:c r="G7" s="40"/>
      <x:c r="H7" s="40"/>
      <x:c r="I7" s="40"/>
    </x:row>
    <x:row r="8" ht="28" customHeight="1">
      <x:c r="A8" s="50" t="str">
        <x:v>主题</x:v>
      </x:c>
      <x:c r="B8" s="50" t="str">
        <x:v>正式定位</x:v>
      </x:c>
      <x:c r="C8" s="50" t="str">
        <x:v>边界</x:v>
      </x:c>
      <x:c r="D8" s="50"/>
      <x:c r="E8" s="50"/>
      <x:c r="F8" s="50"/>
      <x:c r="G8" s="50"/>
      <x:c r="H8" s="50"/>
      <x:c r="I8" s="50"/>
    </x:row>
    <x:row r="9">
      <x:c r="A9" s="58" t="str">
        <x:v>归属</x:v>
      </x:c>
      <x:c r="B9" s="58" t="str">
        <x:v>Motion专业扩展</x:v>
      </x:c>
      <x:c r="C9" s="58" t="str">
        <x:v>复用ControlFlow/Resource/Interlock/Debug/Version/Provider</x:v>
      </x:c>
      <x:c r="D9" s="58"/>
      <x:c r="E9" s="58"/>
      <x:c r="F9" s="58"/>
      <x:c r="G9" s="58"/>
      <x:c r="H9" s="58"/>
      <x:c r="I9" s="58"/>
    </x:row>
    <x:row r="10">
      <x:c r="A10" s="66" t="str">
        <x:v>负责</x:v>
      </x:c>
      <x:c r="B10" s="66" t="str">
        <x:v>Robot Frame/Tool/WorkObject/Pose/Path/IO/ExternalAxis/Vision Guidance</x:v>
      </x:c>
      <x:c r="C10" s="66" t="str">
        <x:v>平台负责工程化编排与监督</x:v>
      </x:c>
      <x:c r="D10" s="66"/>
      <x:c r="E10" s="66"/>
      <x:c r="F10" s="66"/>
      <x:c r="G10" s="66"/>
      <x:c r="H10" s="66"/>
      <x:c r="I10" s="66"/>
    </x:row>
    <x:row r="11">
      <x:c r="A11" s="58" t="str">
        <x:v>不负责</x:v>
      </x:c>
      <x:c r="B11" s="58" t="str">
        <x:v>厂商控制器实时插补、安全功能、认证示教器</x:v>
      </x:c>
      <x:c r="C11" s="58" t="str">
        <x:v>Windows/.NET不承担机器人安全实时内核</x:v>
      </x:c>
      <x:c r="D11" s="58"/>
      <x:c r="E11" s="58"/>
      <x:c r="F11" s="58"/>
      <x:c r="G11" s="58"/>
      <x:c r="H11" s="58"/>
      <x:c r="I11" s="58"/>
    </x:row>
    <x:row r="12">
      <x:c r="A12"/>
      <x:c r="B12"/>
      <x:c r="C12"/>
      <x:c r="D12"/>
      <x:c r="E12"/>
      <x:c r="F12"/>
      <x:c r="G12"/>
      <x:c r="H12"/>
      <x:c r="I12"/>
    </x:row>
    <x:row r="13" ht="24" customHeight="1">
      <x:c r="A13" s="40" t="str">
        <x:v>A. Robot Studio 完整功能展望</x:v>
      </x:c>
      <x:c r="B13" s="40"/>
      <x:c r="C13" s="40"/>
      <x:c r="D13" s="40"/>
      <x:c r="E13" s="40"/>
      <x:c r="F13" s="40"/>
      <x:c r="G13" s="40"/>
      <x:c r="H13" s="40"/>
      <x:c r="I13" s="40"/>
    </x:row>
    <x:row r="14" ht="28" customHeight="1">
      <x:c r="A14" s="50" t="str">
        <x:v>功能区</x:v>
      </x:c>
      <x:c r="B14" s="50" t="str">
        <x:v>核心能力</x:v>
      </x:c>
      <x:c r="C14" s="50" t="str">
        <x:v>具体功能</x:v>
      </x:c>
      <x:c r="D14" s="50" t="str">
        <x:v>主要对象</x:v>
      </x:c>
      <x:c r="E14" s="50" t="str">
        <x:v>UI形态</x:v>
      </x:c>
      <x:c r="F14" s="50" t="str">
        <x:v>Runtime关联</x:v>
      </x:c>
      <x:c r="G14" s="50" t="str">
        <x:v>安全/边界</x:v>
      </x:c>
      <x:c r="H14" s="50" t="str">
        <x:v>扩展</x:v>
      </x:c>
      <x:c r="I14" s="50"/>
    </x:row>
    <x:row r="15">
      <x:c r="A15" s="66" t="str">
        <x:v>机器人资源</x:v>
      </x:c>
      <x:c r="B15" s="66" t="str">
        <x:v>控制器/机器人/外部轴配置</x:v>
      </x:c>
      <x:c r="C15" s="66" t="str">
        <x:v>Robot model/controller profile/joints/limits/capabilities/external axes/IO</x:v>
      </x:c>
      <x:c r="D15" s="66" t="str">
        <x:v>RobotDefinition/RobotControllerProfile</x:v>
      </x:c>
      <x:c r="E15" s="66" t="str">
        <x:v>Device Explorer</x:v>
      </x:c>
      <x:c r="F15" s="66" t="str">
        <x:v>IRobotController</x:v>
      </x:c>
      <x:c r="G15" s="66" t="str">
        <x:v>Capabilities来自Adapter</x:v>
      </x:c>
      <x:c r="H15" s="66" t="str">
        <x:v>多品牌</x:v>
      </x:c>
      <x:c r="I15" s="66"/>
    </x:row>
    <x:row r="16">
      <x:c r="A16" s="58" t="str">
        <x:v>Frame体系</x:v>
      </x:c>
      <x:c r="B16" s="58" t="str">
        <x:v>World/Base/Tool/WorkObject/User/Camera frames</x:v>
      </x:c>
      <x:c r="C16" s="58" t="str">
        <x:v>父子关系/Pose/标定来源/版本/坐标转换</x:v>
      </x:c>
      <x:c r="D16" s="58" t="str">
        <x:v>RobotFrame/Transform3D</x:v>
      </x:c>
      <x:c r="E16" s="58" t="str">
        <x:v>Frame Tree + 3D axes</x:v>
      </x:c>
      <x:c r="F16" s="58" t="str">
        <x:v>Pose resolve</x:v>
      </x:c>
      <x:c r="G16" s="58" t="str">
        <x:v>单位/版本明确</x:v>
      </x:c>
      <x:c r="H16" s="58" t="str">
        <x:v>视觉标定</x:v>
      </x:c>
      <x:c r="I16" s="58"/>
    </x:row>
    <x:row r="17">
      <x:c r="A17" s="66" t="str">
        <x:v>Tool管理</x:v>
      </x:c>
      <x:c r="B17" s="66" t="str">
        <x:v>TCP/工具参数</x:v>
      </x:c>
      <x:c r="C17" s="66" t="str">
        <x:v>TCP pose/payload/COG/inertia/tool IO/version</x:v>
      </x:c>
      <x:c r="D17" s="66" t="str">
        <x:v>RobotTool</x:v>
      </x:c>
      <x:c r="E17" s="66" t="str">
        <x:v>Tool Editor</x:v>
      </x:c>
      <x:c r="F17" s="66" t="str">
        <x:v>SetTool/Path resolve</x:v>
      </x:c>
      <x:c r="G17" s="66" t="str">
        <x:v>真正安全载荷限制由控制器</x:v>
      </x:c>
      <x:c r="H17" s="66" t="str">
        <x:v>工具库</x:v>
      </x:c>
      <x:c r="I17" s="66"/>
    </x:row>
    <x:row r="18">
      <x:c r="A18" s="58" t="str">
        <x:v>WorkObject管理</x:v>
      </x:c>
      <x:c r="B18" s="58" t="str">
        <x:v>工件/夹具坐标</x:v>
      </x:c>
      <x:c r="C18" s="58" t="str">
        <x:v>WorkObject pose/reference/calibration/version</x:v>
      </x:c>
      <x:c r="D18" s="58" t="str">
        <x:v>WorkObject</x:v>
      </x:c>
      <x:c r="E18" s="58" t="str">
        <x:v>WorkObject Editor</x:v>
      </x:c>
      <x:c r="F18" s="58" t="str">
        <x:v>Path resolve</x:v>
      </x:c>
      <x:c r="G18" s="58" t="str">
        <x:v>与产品/Recipe绑定</x:v>
      </x:c>
      <x:c r="H18" s="58" t="str">
        <x:v>工装库</x:v>
      </x:c>
      <x:c r="I18" s="58"/>
    </x:row>
    <x:row r="19">
      <x:c r="A19" s="66" t="str">
        <x:v>Pose点位</x:v>
      </x:c>
      <x:c r="B19" s="66" t="str">
        <x:v>关节/笛卡尔点位</x:v>
      </x:c>
      <x:c r="C19" s="66" t="str">
        <x:v>JointPose/CartesianPose/configuration/turns/reference frame/comment/version</x:v>
      </x:c>
      <x:c r="D19" s="66" t="str">
        <x:v>RobotPose/RobotPointTable</x:v>
      </x:c>
      <x:c r="E19" s="66" t="str">
        <x:v>Point Table + 3D marker</x:v>
      </x:c>
      <x:c r="F19" s="66" t="str">
        <x:v>Move nodes</x:v>
      </x:c>
      <x:c r="G19" s="66" t="str">
        <x:v>Teach受控</x:v>
      </x:c>
      <x:c r="H19" s="66" t="str">
        <x:v>点位模板</x:v>
      </x:c>
      <x:c r="I19" s="66"/>
    </x:row>
    <x:row r="20">
      <x:c r="A20" s="58" t="str">
        <x:v>路径编辑</x:v>
      </x:c>
      <x:c r="B20" s="58" t="str">
        <x:v>PTP/LIN/CIRC/Spline/Path segments</x:v>
      </x:c>
      <x:c r="C20" s="58" t="str">
        <x:v>速度/加速度/Zone/Blend/Tool/WorkObject/姿态/工艺参数</x:v>
      </x:c>
      <x:c r="D20" s="58" t="str">
        <x:v>RobotPath/PathSegment</x:v>
      </x:c>
      <x:c r="E20" s="58" t="str">
        <x:v>Graph + 3D Path View</x:v>
      </x:c>
      <x:c r="F20" s="58" t="str">
        <x:v>RobotPlan</x:v>
      </x:c>
      <x:c r="G20" s="58" t="str">
        <x:v>轨迹实际插补由控制器</x:v>
      </x:c>
      <x:c r="H20" s="58" t="str">
        <x:v>路径插件</x:v>
      </x:c>
      <x:c r="I20" s="58"/>
    </x:row>
    <x:row r="21">
      <x:c r="A21" s="66" t="str">
        <x:v>可达性检查</x:v>
      </x:c>
      <x:c r="B21" s="66" t="str">
        <x:v>点位/路径可执行性</x:v>
      </x:c>
      <x:c r="C21" s="66" t="str">
        <x:v>controller capability validate/optional kinematics plugin/joint limit/singularity proximity</x:v>
      </x:c>
      <x:c r="D21" s="66" t="str">
        <x:v>ReachabilityResult</x:v>
      </x:c>
      <x:c r="E21" s="66" t="str">
        <x:v>Validation panel</x:v>
      </x:c>
      <x:c r="F21" s="66" t="str">
        <x:v>Compile/Preflight</x:v>
      </x:c>
      <x:c r="G21" s="66" t="str">
        <x:v>不是安全碰撞认证</x:v>
      </x:c>
      <x:c r="H21" s="66" t="str">
        <x:v>仿真插件</x:v>
      </x:c>
      <x:c r="I21" s="66"/>
    </x:row>
    <x:row r="22">
      <x:c r="A22" s="58" t="str">
        <x:v>工艺动作</x:v>
      </x:c>
      <x:c r="B22" s="58" t="str">
        <x:v>抓取/放置/焊接/涂胶/螺丝/检测姿态等</x:v>
      </x:c>
      <x:c r="C22" s="58" t="str">
        <x:v>Robot move + IO/device command/subprogram</x:v>
      </x:c>
      <x:c r="D22" s="58" t="str">
        <x:v>RobotProcessNode</x:v>
      </x:c>
      <x:c r="E22" s="58" t="str">
        <x:v>Node Catalog</x:v>
      </x:c>
      <x:c r="F22" s="58" t="str">
        <x:v>Motion/Robot Runtime</x:v>
      </x:c>
      <x:c r="G22" s="58" t="str">
        <x:v>危险动作互锁</x:v>
      </x:c>
      <x:c r="H22" s="58" t="str">
        <x:v>工艺插件</x:v>
      </x:c>
      <x:c r="I22" s="58"/>
    </x:row>
    <x:row r="23">
      <x:c r="A23" s="66" t="str">
        <x:v>机器人IO</x:v>
      </x:c>
      <x:c r="B23" s="66" t="str">
        <x:v>Robot DI/DO/Registers/Signals</x:v>
      </x:c>
      <x:c r="C23" s="66" t="str">
        <x:v>handshake/wait/set/pulse/trigger</x:v>
      </x:c>
      <x:c r="D23" s="66" t="str">
        <x:v>RobotIoRef</x:v>
      </x:c>
      <x:c r="E23" s="66" t="str">
        <x:v>IO panel</x:v>
      </x:c>
      <x:c r="F23" s="66" t="str">
        <x:v>IRobotController</x:v>
      </x:c>
      <x:c r="G23" s="66" t="str">
        <x:v>写入权限/互锁</x:v>
      </x:c>
      <x:c r="H23" s="66" t="str">
        <x:v>厂商信号映射</x:v>
      </x:c>
      <x:c r="I23" s="66"/>
    </x:row>
    <x:row r="24">
      <x:c r="A24" s="58" t="str">
        <x:v>外部轴协调</x:v>
      </x:c>
      <x:c r="B24" s="58" t="str">
        <x:v>机器人+转台/滑台</x:v>
      </x:c>
      <x:c r="C24" s="58" t="str">
        <x:v>external axis ref/sync group/path parameter</x:v>
      </x:c>
      <x:c r="D24" s="58" t="str">
        <x:v>RobotExternalAxis</x:v>
      </x:c>
      <x:c r="E24" s="58" t="str">
        <x:v>Coordination Editor</x:v>
      </x:c>
      <x:c r="F24" s="58" t="str">
        <x:v>Robot/Motion Runtime</x:v>
      </x:c>
      <x:c r="G24" s="58" t="str">
        <x:v>是否支持同步由Capability决定</x:v>
      </x:c>
      <x:c r="H24" s="58" t="str">
        <x:v>焊接/扫描</x:v>
      </x:c>
      <x:c r="I24" s="58"/>
    </x:row>
    <x:row r="25">
      <x:c r="A25" s="66" t="str">
        <x:v>视觉引导</x:v>
      </x:c>
      <x:c r="B25" s="66" t="str">
        <x:v>视觉定位结果驱动Pose/Path</x:v>
      </x:c>
      <x:c r="C25" s="66" t="str">
        <x:v>Vision Pose→Frame Transform→Offset→Validate→Move</x:v>
      </x:c>
      <x:c r="D25" s="66" t="str">
        <x:v>VisionGuidanceConfig</x:v>
      </x:c>
      <x:c r="E25" s="66" t="str">
        <x:v>Mapping/Preview</x:v>
      </x:c>
      <x:c r="F25" s="66" t="str">
        <x:v>Inspection/Motion invocation</x:v>
      </x:c>
      <x:c r="G25" s="66" t="str">
        <x:v>变换/时间/质量检查</x:v>
      </x:c>
      <x:c r="H25" s="66" t="str">
        <x:v>Hand-eye</x:v>
      </x:c>
      <x:c r="I25" s="66"/>
    </x:row>
    <x:row r="26">
      <x:c r="A26" s="58" t="str">
        <x:v>手眼标定</x:v>
      </x:c>
      <x:c r="B26" s="58" t="str">
        <x:v>Camera↔Robot frame calibration</x:v>
      </x:c>
      <x:c r="C26" s="58" t="str">
        <x:v>Eye-in-hand/Eye-to-hand sample collection/solve/version/quality</x:v>
      </x:c>
      <x:c r="D26" s="58" t="str">
        <x:v>HandEyeCalibration</x:v>
      </x:c>
      <x:c r="E26" s="58" t="str">
        <x:v>Calibration Wizard</x:v>
      </x:c>
      <x:c r="F26" s="58" t="str">
        <x:v>Pose transform</x:v>
      </x:c>
      <x:c r="G26" s="58" t="str">
        <x:v>算法结果需质量指标</x:v>
      </x:c>
      <x:c r="H26" s="58" t="str">
        <x:v>Vision plugin</x:v>
      </x:c>
      <x:c r="I26" s="58"/>
    </x:row>
    <x:row r="27">
      <x:c r="A27" s="66" t="str">
        <x:v>程序复用</x:v>
      </x:c>
      <x:c r="B27" s="66" t="str">
        <x:v>SubProgram/工艺模板/参数化</x:v>
      </x:c>
      <x:c r="C27" s="66" t="str">
        <x:v>parameters/path refs/tool/workobject/resource declarations</x:v>
      </x:c>
      <x:c r="D27" s="66" t="str">
        <x:v>RobotProgram</x:v>
      </x:c>
      <x:c r="E27" s="66" t="str">
        <x:v>Library</x:v>
      </x:c>
      <x:c r="F27" s="66" t="str">
        <x:v>CallMotion/Robot</x:v>
      </x:c>
      <x:c r="G27" s="66" t="str">
        <x:v>版本固定</x:v>
      </x:c>
      <x:c r="H27" s="66" t="str">
        <x:v>模板库</x:v>
      </x:c>
      <x:c r="I27" s="66"/>
    </x:row>
    <x:row r="28">
      <x:c r="A28" s="58" t="str">
        <x:v>在线调试</x:v>
      </x:c>
      <x:c r="B28" s="58" t="str">
        <x:v>实机状态/Jog/Teach/Step/RunTo/Path preview/Override</x:v>
      </x:c>
      <x:c r="C28" s="58" t="str">
        <x:v>RobotDebugSession</x:v>
      </x:c>
      <x:c r="D28" s="58" t="str">
        <x:v>Robot Debug Workspace</x:v>
      </x:c>
      <x:c r="E28" s="58" t="str">
        <x:v>RobotRuntime/Adapter</x:v>
      </x:c>
      <x:c r="F28" s="58" t="str">
        <x:v>受控模式，不能替代安全示教器</x:v>
      </x:c>
      <x:c r="G28" s="58" t="str">
        <x:v>39 Agent</x:v>
      </x:c>
      <x:c r="H28" s="58" t="str">
        <x:v>P0</x:v>
      </x:c>
      <x:c r="I28" s="58"/>
    </x:row>
    <x:row r="29">
      <x:c r="A29" s="66" t="str">
        <x:v>离线仿真</x:v>
      </x:c>
      <x:c r="B29" s="66" t="str">
        <x:v>可选机器人模型/路径预览/节拍估算</x:v>
      </x:c>
      <x:c r="C29" s="66" t="str">
        <x:v>joint/cartesian animation/reachability plugin/basic collision hints</x:v>
      </x:c>
      <x:c r="D29" s="66" t="str">
        <x:v>RobotSimulationProfile</x:v>
      </x:c>
      <x:c r="E29" s="66" t="str">
        <x:v>3D simulation</x:v>
      </x:c>
      <x:c r="F29" s="66" t="str">
        <x:v>Simulation provider</x:v>
      </x:c>
      <x:c r="G29" s="66" t="str">
        <x:v>仿真结果非安全认证</x:v>
      </x:c>
      <x:c r="H29" s="66" t="str">
        <x:v>第三方仿真</x:v>
      </x:c>
      <x:c r="I29" s="66"/>
    </x:row>
    <x:row r="30">
      <x:c r="A30" s="58" t="str">
        <x:v>版本/发布</x:v>
      </x:c>
      <x:c r="B30" s="58" t="str">
        <x:v>Robot program/tool/frame/path/controller profile固化</x:v>
      </x:c>
      <x:c r="C30" s="58" t="str">
        <x:v>RobotReleaseManifest</x:v>
      </x:c>
      <x:c r="D30" s="58" t="str">
        <x:v>Version/Publish</x:v>
      </x:c>
      <x:c r="E30" s="58" t="str">
        <x:v>Resolved Robot Plan</x:v>
      </x:c>
      <x:c r="F30" s="58" t="str">
        <x:v>Robot Runtime</x:v>
      </x:c>
      <x:c r="G30" s="58" t="str">
        <x:v>Active task版本固定</x:v>
      </x:c>
      <x:c r="H30" s="58" t="str">
        <x:v>部署</x:v>
      </x:c>
      <x:c r="I30" s="58"/>
    </x:row>
    <x:row r="31">
      <x:c r="A31"/>
      <x:c r="B31"/>
      <x:c r="C31"/>
      <x:c r="D31"/>
      <x:c r="E31"/>
      <x:c r="F31"/>
      <x:c r="G31"/>
      <x:c r="H31"/>
      <x:c r="I31"/>
    </x:row>
    <x:row r="32" ht="24" customHeight="1">
      <x:c r="A32" s="40" t="str">
        <x:v>B. Robot 分层代码蓝图</x:v>
      </x:c>
      <x:c r="B32" s="40"/>
      <x:c r="C32" s="40"/>
      <x:c r="D32" s="40"/>
      <x:c r="E32" s="40"/>
      <x:c r="F32" s="40"/>
      <x:c r="G32" s="40"/>
      <x:c r="H32" s="40"/>
      <x:c r="I32" s="40"/>
    </x:row>
    <x:row r="33" ht="28" customHeight="1">
      <x:c r="A33" s="50" t="str">
        <x:v>层</x:v>
      </x:c>
      <x:c r="B33" s="50" t="str">
        <x:v>建议模块</x:v>
      </x:c>
      <x:c r="C33" s="50" t="str">
        <x:v>核心对象/接口</x:v>
      </x:c>
      <x:c r="D33" s="50" t="str">
        <x:v>职责</x:v>
      </x:c>
      <x:c r="E33" s="50" t="str">
        <x:v>输入</x:v>
      </x:c>
      <x:c r="F33" s="50" t="str">
        <x:v>输出</x:v>
      </x:c>
      <x:c r="G33" s="50" t="str">
        <x:v>UI依赖</x:v>
      </x:c>
      <x:c r="H33" s="50" t="str">
        <x:v>Vendor依赖</x:v>
      </x:c>
      <x:c r="I33" s="50" t="str">
        <x:v>边界/门禁</x:v>
      </x:c>
    </x:row>
    <x:row r="34">
      <x:c r="A34" s="66" t="str">
        <x:v>Designer.Wpf</x:v>
      </x:c>
      <x:c r="B34" s="66" t="str">
        <x:v>CxVisual.Workbenches.Presentation.Wpf / Automation.Robot</x:v>
      </x:c>
      <x:c r="C34" s="66" t="str">
        <x:v>RobotDesignerView/FrameTree/PointTable/Path3DView/ToolEditor</x:v>
      </x:c>
      <x:c r="D34" s="66" t="str">
        <x:v>机器人程序/路径/坐标可视化编辑</x:v>
      </x:c>
      <x:c r="E34" s="66" t="str">
        <x:v>ViewModels</x:v>
      </x:c>
      <x:c r="F34" s="66" t="str">
        <x:v>Commands/User intents</x:v>
      </x:c>
      <x:c r="G34" s="66" t="str">
        <x:v>WPF/3D viewer</x:v>
      </x:c>
      <x:c r="H34" s="66" t="str">
        <x:v>无</x:v>
      </x:c>
      <x:c r="I34" s="66" t="str">
        <x:v>不直接调用控制器SDK</x:v>
      </x:c>
    </x:row>
    <x:row r="35">
      <x:c r="A35" s="58" t="str">
        <x:v>Application</x:v>
      </x:c>
      <x:c r="B35" s="58" t="str">
        <x:v>CxVisual.Automation / Robot</x:v>
      </x:c>
      <x:c r="C35" s="58" t="str">
        <x:v>RobotAuthoringService/TeachService/PathService/CalibrationWorkflow</x:v>
      </x:c>
      <x:c r="D35" s="58" t="str">
        <x:v>编辑/Teach ChangeSet/路径/标定用例</x:v>
      </x:c>
      <x:c r="E35" s="58" t="str">
        <x:v>Definitions/Services</x:v>
      </x:c>
      <x:c r="F35" s="58" t="str">
        <x:v>Commands/ChangeSets</x:v>
      </x:c>
      <x:c r="G35" s="58" t="str">
        <x:v>无</x:v>
      </x:c>
      <x:c r="H35" s="58" t="str">
        <x:v>无</x:v>
      </x:c>
      <x:c r="I35" s="58" t="str">
        <x:v>可单测</x:v>
      </x:c>
    </x:row>
    <x:row r="36">
      <x:c r="A36" s="66" t="str">
        <x:v>Core</x:v>
      </x:c>
      <x:c r="B36" s="66" t="str">
        <x:v>CxVisual.Automation / Robot</x:v>
      </x:c>
      <x:c r="C36" s="66" t="str">
        <x:v>RobotDefinition/RobotPose/Frame/Tool/WorkObject/Path/Process node configs</x:v>
      </x:c>
      <x:c r="D36" s="66" t="str">
        <x:v>专业定义</x:v>
      </x:c>
      <x:c r="E36" s="66" t="str">
        <x:v>工程配置</x:v>
      </x:c>
      <x:c r="F36" s="66" t="str">
        <x:v>Definitions</x:v>
      </x:c>
      <x:c r="G36" s="66" t="str">
        <x:v>无</x:v>
      </x:c>
      <x:c r="H36" s="66" t="str">
        <x:v>无</x:v>
      </x:c>
      <x:c r="I36" s="66" t="str">
        <x:v>不保存Vendor robot object</x:v>
      </x:c>
    </x:row>
    <x:row r="37">
      <x:c r="A37" s="58" t="str">
        <x:v>Metadata</x:v>
      </x:c>
      <x:c r="B37" s="58" t="str">
        <x:v>CxVisual.Automation / Robot</x:v>
      </x:c>
      <x:c r="C37" s="58" t="str">
        <x:v>RobotNodeDescriptor/CapabilityDescriptor/PathSegmentDescriptor</x:v>
      </x:c>
      <x:c r="D37" s="58" t="str">
        <x:v>Toolbox/Inspector/Catalog</x:v>
      </x:c>
      <x:c r="E37" s="58" t="str">
        <x:v>注册</x:v>
      </x:c>
      <x:c r="F37" s="58" t="str">
        <x:v>Catalog</x:v>
      </x:c>
      <x:c r="G37" s="58" t="str">
        <x:v>无</x:v>
      </x:c>
      <x:c r="H37" s="58" t="str">
        <x:v>无</x:v>
      </x:c>
      <x:c r="I37" s="58" t="str">
        <x:v>Stable TypeId</x:v>
      </x:c>
    </x:row>
    <x:row r="38">
      <x:c r="A38" s="66" t="str">
        <x:v>Validation</x:v>
      </x:c>
      <x:c r="B38" s="66" t="str">
        <x:v>CxVisual.Automation / Robot</x:v>
      </x:c>
      <x:c r="C38" s="66" t="str">
        <x:v>RobotValidator/FrameRule/PoseRule/CapabilityRule</x:v>
      </x:c>
      <x:c r="D38" s="66" t="str">
        <x:v>Frame/Tool/Path/Capability/资源静态检查</x:v>
      </x:c>
      <x:c r="E38" s="66" t="str">
        <x:v>Definition+Project</x:v>
      </x:c>
      <x:c r="F38" s="66" t="str">
        <x:v>ValidationReport</x:v>
      </x:c>
      <x:c r="G38" s="66" t="str">
        <x:v>无</x:v>
      </x:c>
      <x:c r="H38" s="66" t="str">
        <x:v>无</x:v>
      </x:c>
      <x:c r="I38" s="66" t="str">
        <x:v>不能把可达性猜测当安全验证</x:v>
      </x:c>
    </x:row>
    <x:row r="39">
      <x:c r="A39" s="58" t="str">
        <x:v>Compiler</x:v>
      </x:c>
      <x:c r="B39" s="58" t="str">
        <x:v>CxVisual.Automation / Robot</x:v>
      </x:c>
      <x:c r="C39" s="58" t="str">
        <x:v>RobotCompiler/RobotPlanBuilder</x:v>
      </x:c>
      <x:c r="D39" s="58" t="str">
        <x:v>解析Frame/Tool/WorkObject/Path/Robot Capability/Resources</x:v>
      </x:c>
      <x:c r="E39" s="58" t="str">
        <x:v>Resolved Robot Program</x:v>
      </x:c>
      <x:c r="F39" s="58" t="str">
        <x:v>RobotExecutionPlan</x:v>
      </x:c>
      <x:c r="G39" s="58" t="str">
        <x:v>无</x:v>
      </x:c>
      <x:c r="H39" s="58" t="str">
        <x:v>无</x:v>
      </x:c>
      <x:c r="I39" s="58" t="str">
        <x:v>复用Motion ControlFlow</x:v>
      </x:c>
    </x:row>
    <x:row r="40">
      <x:c r="A40" s="66" t="str">
        <x:v>Runtime</x:v>
      </x:c>
      <x:c r="B40" s="66" t="str">
        <x:v>CxVisual.Automation / Robot</x:v>
      </x:c>
      <x:c r="C40" s="66" t="str">
        <x:v>RobotRuntimeSession/RobotNodeRunner</x:v>
      </x:c>
      <x:c r="D40" s="66" t="str">
        <x:v>节点控制流、等待、取消、状态</x:v>
      </x:c>
      <x:c r="E40" s="66" t="str">
        <x:v>Plan+RuntimeContext</x:v>
      </x:c>
      <x:c r="F40" s="66" t="str">
        <x:v>MotionResult/RobotResult</x:v>
      </x:c>
      <x:c r="G40" s="66" t="str">
        <x:v>无</x:v>
      </x:c>
      <x:c r="H40" s="66" t="str">
        <x:v>经IRobotController</x:v>
      </x:c>
      <x:c r="I40" s="66" t="str">
        <x:v>不做实时插补</x:v>
      </x:c>
    </x:row>
    <x:row r="41">
      <x:c r="A41" s="58" t="str">
        <x:v>Integration</x:v>
      </x:c>
      <x:c r="B41" s="58" t="str">
        <x:v>CxVisual.Automation.Drivers / Robot</x:v>
      </x:c>
      <x:c r="C41" s="58" t="str">
        <x:v>IRobotController/RobotAdapter/RobotStateMapper</x:v>
      </x:c>
      <x:c r="D41" s="58" t="str">
        <x:v>厂商控制器适配</x:v>
      </x:c>
      <x:c r="E41" s="58" t="str">
        <x:v>Platform commands</x:v>
      </x:c>
      <x:c r="F41" s="58" t="str">
        <x:v>RobotState/PlatformError</x:v>
      </x:c>
      <x:c r="G41" s="58" t="str">
        <x:v>无</x:v>
      </x:c>
      <x:c r="H41" s="58" t="str">
        <x:v>ABB/FANUC/KUKA/安川等SDK可适配</x:v>
      </x:c>
      <x:c r="I41" s="58" t="str">
        <x:v>Capabilities隔离品牌差异</x:v>
      </x:c>
    </x:row>
    <x:row r="42">
      <x:c r="A42" s="66" t="str">
        <x:v>Debug</x:v>
      </x:c>
      <x:c r="B42" s="66" t="str">
        <x:v>CxVisual.Automation / Robot</x:v>
      </x:c>
      <x:c r="C42" s="66" t="str">
        <x:v>RobotDebugAdapter/RobotSnapshotProvider/TeachCoordinator</x:v>
      </x:c>
      <x:c r="D42" s="66" t="str">
        <x:v>在线观察/Jog/Teach/Step/Path状态</x:v>
      </x:c>
      <x:c r="E42" s="66" t="str">
        <x:v>Debug commands</x:v>
      </x:c>
      <x:c r="F42" s="66" t="str">
        <x:v>Snapshots/Trace</x:v>
      </x:c>
      <x:c r="G42" s="66" t="str">
        <x:v>无</x:v>
      </x:c>
      <x:c r="H42" s="66" t="str">
        <x:v>通过Runtime/Adapter</x:v>
      </x:c>
      <x:c r="I42" s="66" t="str">
        <x:v>Target安全权威</x:v>
      </x:c>
    </x:row>
    <x:row r="43">
      <x:c r="A43" s="58" t="str">
        <x:v>Simulation</x:v>
      </x:c>
      <x:c r="B43" s="58" t="str">
        <x:v>CxVisual.Simulation / Robot</x:v>
      </x:c>
      <x:c r="C43" s="58" t="str">
        <x:v>IRobotSimulationProvider/ReachabilityPlugin</x:v>
      </x:c>
      <x:c r="D43" s="58" t="str">
        <x:v>离线运动预览/可达性/节拍估算</x:v>
      </x:c>
      <x:c r="E43" s="58" t="str">
        <x:v>Robot plan</x:v>
      </x:c>
      <x:c r="F43" s="58" t="str">
        <x:v>Simulation result</x:v>
      </x:c>
      <x:c r="G43" s="58" t="str">
        <x:v>3D viewer</x:v>
      </x:c>
      <x:c r="H43" s="58" t="str">
        <x:v>可选第三方库</x:v>
      </x:c>
      <x:c r="I43" s="58" t="str">
        <x:v>不能宣称等于控制器/安全仿真</x:v>
      </x:c>
    </x:row>
    <x:row r="44">
      <x:c r="A44" s="66" t="str">
        <x:v>Tests</x:v>
      </x:c>
      <x:c r="B44" s="66" t="str">
        <x:v>CxVisual.Automation / Robot</x:v>
      </x:c>
      <x:c r="C44" s="66" t="str">
        <x:v>Contract/Frame/Path/Adapter/Debug/Safety tests</x:v>
      </x:c>
      <x:c r="D44" s="66" t="str">
        <x:v>平台行为验证</x:v>
      </x:c>
      <x:c r="E44" s="66" t="str">
        <x:v>Fixtures</x:v>
      </x:c>
      <x:c r="F44" s="66" t="str">
        <x:v>Reports</x:v>
      </x:c>
      <x:c r="G44" s="66" t="str">
        <x:v>无</x:v>
      </x:c>
      <x:c r="H44" s="66" t="str">
        <x:v>Fake/real adapter</x:v>
      </x:c>
      <x:c r="I44" s="66" t="str">
        <x:v>不同品牌Adapter做合同测试</x:v>
      </x:c>
    </x:row>
    <x:row r="45">
      <x:c r="A45"/>
      <x:c r="B45"/>
      <x:c r="C45"/>
      <x:c r="D45"/>
      <x:c r="E45"/>
      <x:c r="F45"/>
      <x:c r="G45"/>
      <x:c r="H45"/>
      <x:c r="I45"/>
    </x:row>
    <x:row r="46" ht="24" customHeight="1">
      <x:c r="A46" s="40" t="str">
        <x:v>C. Robot专业数据模型</x:v>
      </x:c>
      <x:c r="B46" s="40"/>
      <x:c r="C46" s="40"/>
      <x:c r="D46" s="40"/>
      <x:c r="E46" s="40"/>
      <x:c r="F46" s="40"/>
      <x:c r="G46" s="40"/>
      <x:c r="H46" s="40"/>
      <x:c r="I46" s="40"/>
    </x:row>
    <x:row r="47" ht="28" customHeight="1">
      <x:c r="A47" s="50" t="str">
        <x:v>对象</x:v>
      </x:c>
      <x:c r="B47" s="50" t="str">
        <x:v>关键字段</x:v>
      </x:c>
      <x:c r="C47" s="50" t="str">
        <x:v>作用</x:v>
      </x:c>
      <x:c r="D47" s="50" t="str">
        <x:v>持久化</x:v>
      </x:c>
      <x:c r="E47" s="50" t="str">
        <x:v>运行解析</x:v>
      </x:c>
      <x:c r="F47" s="50" t="str">
        <x:v>坐标/单位</x:v>
      </x:c>
      <x:c r="G47" s="50" t="str">
        <x:v>版本</x:v>
      </x:c>
      <x:c r="H47" s="50" t="str">
        <x:v>在线调试</x:v>
      </x:c>
      <x:c r="I47" s="50" t="str">
        <x:v>禁止</x:v>
      </x:c>
    </x:row>
    <x:row r="48">
      <x:c r="A48" s="58" t="str">
        <x:v>RobotJointPose</x:v>
      </x:c>
      <x:c r="B48" s="58" t="str">
        <x:v>J1..Jn/ExternalAxes/Configuration</x:v>
      </x:c>
      <x:c r="C48" s="58" t="str">
        <x:v>关节位姿</x:v>
      </x:c>
      <x:c r="D48" s="58" t="str">
        <x:v>JSON</x:v>
      </x:c>
      <x:c r="E48" s="58" t="str">
        <x:v>controller command</x:v>
      </x:c>
      <x:c r="F48" s="58" t="str">
        <x:v>deg/mm按轴</x:v>
      </x:c>
      <x:c r="G48" s="58" t="str">
        <x:v>Point version</x:v>
      </x:c>
      <x:c r="H48" s="58" t="str">
        <x:v>Actual vs target</x:v>
      </x:c>
      <x:c r="I48" s="58" t="str">
        <x:v>厂商Joint对象进Core</x:v>
      </x:c>
    </x:row>
    <x:row r="49">
      <x:c r="A49" s="66" t="str">
        <x:v>RobotCartesianPose</x:v>
      </x:c>
      <x:c r="B49" s="66" t="str">
        <x:v>Position/Quaternion or Rotation/FrameRef/Configuration/ExternalAxes</x:v>
      </x:c>
      <x:c r="C49" s="66" t="str">
        <x:v>笛卡尔位姿</x:v>
      </x:c>
      <x:c r="D49" s="66" t="str">
        <x:v>JSON</x:v>
      </x:c>
      <x:c r="E49" s="66" t="str">
        <x:v>TransformResolver→controller target</x:v>
      </x:c>
      <x:c r="F49" s="66" t="str">
        <x:v>mm + orientation</x:v>
      </x:c>
      <x:c r="G49" s="66" t="str">
        <x:v>Point version</x:v>
      </x:c>
      <x:c r="H49" s="66" t="str">
        <x:v>Pose compare</x:v>
      </x:c>
      <x:c r="I49" s="66" t="str">
        <x:v>WPF Matrix3D</x:v>
      </x:c>
    </x:row>
    <x:row r="50">
      <x:c r="A50" s="58" t="str">
        <x:v>RobotFrame</x:v>
      </x:c>
      <x:c r="B50" s="58" t="str">
        <x:v>Id/Parent/Pose/Kind/CalibrationRef</x:v>
      </x:c>
      <x:c r="C50" s="58" t="str">
        <x:v>坐标系树</x:v>
      </x:c>
      <x:c r="D50" s="58" t="str">
        <x:v>JSON</x:v>
      </x:c>
      <x:c r="E50" s="58" t="str">
        <x:v>Transform chain</x:v>
      </x:c>
      <x:c r="F50" s="58" t="str">
        <x:v>mm/deg</x:v>
      </x:c>
      <x:c r="G50" s="58" t="str">
        <x:v>Frame version</x:v>
      </x:c>
      <x:c r="H50" s="58" t="str">
        <x:v>Resolved transform</x:v>
      </x:c>
      <x:c r="I50" s="58" t="str">
        <x:v>用Name作引用</x:v>
      </x:c>
    </x:row>
    <x:row r="51">
      <x:c r="A51" s="66" t="str">
        <x:v>RobotTool</x:v>
      </x:c>
      <x:c r="B51" s="66" t="str">
        <x:v>TCP/Payload/COG/Inertia/IoMapping</x:v>
      </x:c>
      <x:c r="C51" s="66" t="str">
        <x:v>工具定义</x:v>
      </x:c>
      <x:c r="D51" s="66" t="str">
        <x:v>JSON</x:v>
      </x:c>
      <x:c r="E51" s="66" t="str">
        <x:v>SetTool/Path plan</x:v>
      </x:c>
      <x:c r="F51" s="66" t="str">
        <x:v>mm/kg</x:v>
      </x:c>
      <x:c r="G51" s="66" t="str">
        <x:v>Tool version</x:v>
      </x:c>
      <x:c r="H51" s="66" t="str">
        <x:v>Active tool state</x:v>
      </x:c>
      <x:c r="I51" s="66" t="str">
        <x:v>把控制器Handle保存工程</x:v>
      </x:c>
    </x:row>
    <x:row r="52">
      <x:c r="A52" s="58" t="str">
        <x:v>WorkObject</x:v>
      </x:c>
      <x:c r="B52" s="58" t="str">
        <x:v>FrameRef/Pose/ProductMapping</x:v>
      </x:c>
      <x:c r="C52" s="58" t="str">
        <x:v>工件/夹具</x:v>
      </x:c>
      <x:c r="D52" s="58" t="str">
        <x:v>JSON</x:v>
      </x:c>
      <x:c r="E52" s="58" t="str">
        <x:v>Path resolve</x:v>
      </x:c>
      <x:c r="F52" s="58" t="str">
        <x:v>mm/deg</x:v>
      </x:c>
      <x:c r="G52" s="58" t="str">
        <x:v>WObj version</x:v>
      </x:c>
      <x:c r="H52" s="58" t="str">
        <x:v>Active workobject</x:v>
      </x:c>
      <x:c r="I52" s="58" t="str">
        <x:v>无版本</x:v>
      </x:c>
    </x:row>
    <x:row r="53">
      <x:c r="A53" s="66" t="str">
        <x:v>RobotPath</x:v>
      </x:c>
      <x:c r="B53" s="66" t="str">
        <x:v>Segments/Tool/WorkObject/Speed/Zone/ProcessParams</x:v>
      </x:c>
      <x:c r="C53" s="66" t="str">
        <x:v>路径定义</x:v>
      </x:c>
      <x:c r="D53" s="66" t="str">
        <x:v>JSON</x:v>
      </x:c>
      <x:c r="E53" s="66" t="str">
        <x:v>RobotPlan</x:v>
      </x:c>
      <x:c r="F53" s="66" t="str">
        <x:v>mm/deg/time</x:v>
      </x:c>
      <x:c r="G53" s="66" t="str">
        <x:v>Path version</x:v>
      </x:c>
      <x:c r="H53" s="66" t="str">
        <x:v>Current segment</x:v>
      </x:c>
      <x:c r="I53" s="66" t="str">
        <x:v>直接保存厂商二进制程序作唯一源</x:v>
      </x:c>
    </x:row>
    <x:row r="54">
      <x:c r="A54" s="58" t="str">
        <x:v>RobotState</x:v>
      </x:c>
      <x:c r="B54" s="58" t="str">
        <x:v>Mode/Servo/Joints/Pose/Speed/ProgramState/Alarm/SafetySummary</x:v>
      </x:c>
      <x:c r="C54" s="58" t="str">
        <x:v>Runtime状态</x:v>
      </x:c>
      <x:c r="D54" s="58" t="str">
        <x:v>否</x:v>
      </x:c>
      <x:c r="E54" s="58" t="str">
        <x:v>Provider snapshot</x:v>
      </x:c>
      <x:c r="F54" s="58" t="str">
        <x:v>typed values</x:v>
      </x:c>
      <x:c r="G54" s="58" t="str">
        <x:v>runtime</x:v>
      </x:c>
      <x:c r="H54" s="58" t="str">
        <x:v>Online monitor</x:v>
      </x:c>
      <x:c r="I54" s="58" t="str">
        <x:v>写回Definition</x:v>
      </x:c>
    </x:row>
    <x:row r="55">
      <x:c r="A55" s="66" t="str">
        <x:v>VisionGuidanceResult</x:v>
      </x:c>
      <x:c r="B55" s="66" t="str">
        <x:v>Pose/Frame/Quality/Timestamp/SourceRun</x:v>
      </x:c>
      <x:c r="C55" s="66" t="str">
        <x:v>视觉引导输入</x:v>
      </x:c>
      <x:c r="D55" s="66" t="str">
        <x:v>Task/Run data</x:v>
      </x:c>
      <x:c r="E55" s="66" t="str">
        <x:v>Transform/validate</x:v>
      </x:c>
      <x:c r="F55" s="66" t="str">
        <x:v>mm/deg</x:v>
      </x:c>
      <x:c r="G55" s="66" t="str">
        <x:v>Vision manifest</x:v>
      </x:c>
      <x:c r="H55" s="66" t="str">
        <x:v>Overlay/offset compare</x:v>
      </x:c>
      <x:c r="I55" s="66" t="str">
        <x:v>忽略Quality/Timestamp</x:v>
      </x:c>
    </x:row>
    <x:row r="56">
      <x:c r="A56"/>
      <x:c r="B56"/>
      <x:c r="C56"/>
      <x:c r="D56"/>
      <x:c r="E56"/>
      <x:c r="F56"/>
      <x:c r="G56"/>
      <x:c r="H56"/>
      <x:c r="I56"/>
    </x:row>
    <x:row r="57" ht="24" customHeight="1">
      <x:c r="A57" s="40" t="str">
        <x:v>D. Robot节点完整分类</x:v>
      </x:c>
      <x:c r="B57" s="40"/>
      <x:c r="C57" s="40"/>
      <x:c r="D57" s="40"/>
      <x:c r="E57" s="40"/>
      <x:c r="F57" s="40"/>
      <x:c r="G57" s="40"/>
      <x:c r="H57" s="40"/>
      <x:c r="I57" s="40"/>
    </x:row>
    <x:row r="58" ht="28" customHeight="1">
      <x:c r="A58" s="50" t="str">
        <x:v>类别</x:v>
      </x:c>
      <x:c r="B58" s="50" t="str">
        <x:v>节点/能力</x:v>
      </x:c>
      <x:c r="C58" s="50" t="str">
        <x:v>输入</x:v>
      </x:c>
      <x:c r="D58" s="50" t="str">
        <x:v>关键参数</x:v>
      </x:c>
      <x:c r="E58" s="50" t="str">
        <x:v>完成条件</x:v>
      </x:c>
      <x:c r="F58" s="50" t="str">
        <x:v>Executor</x:v>
      </x:c>
      <x:c r="G58" s="50" t="str">
        <x:v>异常/质量</x:v>
      </x:c>
      <x:c r="H58" s="50" t="str">
        <x:v>Debug重点</x:v>
      </x:c>
      <x:c r="I58" s="50" t="str">
        <x:v>边界</x:v>
      </x:c>
    </x:row>
    <x:row r="59">
      <x:c r="A59" s="58" t="str">
        <x:v>基础</x:v>
      </x:c>
      <x:c r="B59" s="58" t="str">
        <x:v>SetTool/SetWorkObject/SetSpeed/SetZone</x:v>
      </x:c>
      <x:c r="C59" s="58" t="str">
        <x:v>RobotRef/config</x:v>
      </x:c>
      <x:c r="D59" s="58" t="str">
        <x:v>refs/profile</x:v>
      </x:c>
      <x:c r="E59" s="58" t="str">
        <x:v>controller ack</x:v>
      </x:c>
      <x:c r="F59" s="58" t="str">
        <x:v>RobotConfigExecutor</x:v>
      </x:c>
      <x:c r="G59" s="58" t="str">
        <x:v>unsupported/capability</x:v>
      </x:c>
      <x:c r="H59" s="58" t="str">
        <x:v>active config</x:v>
      </x:c>
      <x:c r="I59" s="58" t="str">
        <x:v>配置能力按Controller</x:v>
      </x:c>
    </x:row>
    <x:row r="60">
      <x:c r="A60" s="66" t="str">
        <x:v>运动</x:v>
      </x:c>
      <x:c r="B60" s="66" t="str">
        <x:v>MoveJ/PTP</x:v>
      </x:c>
      <x:c r="C60" s="66" t="str">
        <x:v>RobotRef+Joint/Cartesian target</x:v>
      </x:c>
      <x:c r="D60" s="66" t="str">
        <x:v>speed/acc/zone/tool/frame/timeout</x:v>
      </x:c>
      <x:c r="E60" s="66" t="str">
        <x:v>motion complete/in position</x:v>
      </x:c>
      <x:c r="F60" s="66" t="str">
        <x:v>RobotMoveExecutor</x:v>
      </x:c>
      <x:c r="G60" s="66" t="str">
        <x:v>limit/singularity/controller fault</x:v>
      </x:c>
      <x:c r="H60" s="66" t="str">
        <x:v>target/actual/path state</x:v>
      </x:c>
      <x:c r="I60" s="66" t="str">
        <x:v>插补在控制器</x:v>
      </x:c>
    </x:row>
    <x:row r="61">
      <x:c r="A61" s="58" t="str">
        <x:v>运动</x:v>
      </x:c>
      <x:c r="B61" s="58" t="str">
        <x:v>MoveL/LIN</x:v>
      </x:c>
      <x:c r="C61" s="58" t="str">
        <x:v>Cartesian target</x:v>
      </x:c>
      <x:c r="D61" s="58" t="str">
        <x:v>speed/zone/tool/workobject</x:v>
      </x:c>
      <x:c r="E61" s="58" t="str">
        <x:v>motion complete</x:v>
      </x:c>
      <x:c r="F61" s="58" t="str">
        <x:v>RobotMoveExecutor</x:v>
      </x:c>
      <x:c r="G61" s="58" t="str">
        <x:v>unreachable/path fault</x:v>
      </x:c>
      <x:c r="H61" s="58" t="str">
        <x:v>path progress</x:v>
      </x:c>
      <x:c r="I61" s="58" t="str">
        <x:v>Capability required</x:v>
      </x:c>
    </x:row>
    <x:row r="62">
      <x:c r="A62" s="66" t="str">
        <x:v>运动</x:v>
      </x:c>
      <x:c r="B62" s="66" t="str">
        <x:v>MoveC/CIRC/Spline</x:v>
      </x:c>
      <x:c r="C62" s="66" t="str">
        <x:v>via/end/path</x:v>
      </x:c>
      <x:c r="D62" s="66" t="str">
        <x:v>speed/zone/orientation policy</x:v>
      </x:c>
      <x:c r="E62" s="66" t="str">
        <x:v>complete</x:v>
      </x:c>
      <x:c r="F62" s="66" t="str">
        <x:v>RobotPathExecutor</x:v>
      </x:c>
      <x:c r="G62" s="66" t="str">
        <x:v>unsupported/path fault</x:v>
      </x:c>
      <x:c r="H62" s="66" t="str">
        <x:v>segment state</x:v>
      </x:c>
      <x:c r="I62" s="66" t="str">
        <x:v>Controller support</x:v>
      </x:c>
    </x:row>
    <x:row r="63">
      <x:c r="A63" s="58" t="str">
        <x:v>路径</x:v>
      </x:c>
      <x:c r="B63" s="58" t="str">
        <x:v>ExecutePath</x:v>
      </x:c>
      <x:c r="C63" s="58" t="str">
        <x:v>RobotPathRef</x:v>
      </x:c>
      <x:c r="D63" s="58" t="str">
        <x:v>params/overrides</x:v>
      </x:c>
      <x:c r="E63" s="58" t="str">
        <x:v>path complete</x:v>
      </x:c>
      <x:c r="F63" s="58" t="str">
        <x:v>RobotPathExecutor</x:v>
      </x:c>
      <x:c r="G63" s="58" t="str">
        <x:v>segment fault</x:v>
      </x:c>
      <x:c r="H63" s="58" t="str">
        <x:v>3D path/current segment</x:v>
      </x:c>
      <x:c r="I63" s="58" t="str">
        <x:v>不由C#周期插值</x:v>
      </x:c>
    </x:row>
    <x:row r="64">
      <x:c r="A64" s="66" t="str">
        <x:v>IO/握手</x:v>
      </x:c>
      <x:c r="B64" s="66" t="str">
        <x:v>SetRobotDO/WaitRobotDI/SetRegister/WaitSignal</x:v>
      </x:c>
      <x:c r="C64" s="66" t="str">
        <x:v>RobotIoRef/value</x:v>
      </x:c>
      <x:c r="D64" s="66" t="str">
        <x:v>timeout/debounce</x:v>
      </x:c>
      <x:c r="E64" s="66" t="str">
        <x:v>ack/condition</x:v>
      </x:c>
      <x:c r="F64" s="66" t="str">
        <x:v>RobotIoExecutor</x:v>
      </x:c>
      <x:c r="G64" s="66" t="str">
        <x:v>offline/timeout</x:v>
      </x:c>
      <x:c r="H64" s="66" t="str">
        <x:v>signal panel</x:v>
      </x:c>
      <x:c r="I64" s="66" t="str">
        <x:v>安全信号除外</x:v>
      </x:c>
    </x:row>
    <x:row r="65">
      <x:c r="A65" s="58" t="str">
        <x:v>外部轴</x:v>
      </x:c>
      <x:c r="B65" s="58" t="str">
        <x:v>MoveRobotWithExternalAxis</x:v>
      </x:c>
      <x:c r="C65" s="58" t="str">
        <x:v>Robot+AxisGroup</x:v>
      </x:c>
      <x:c r="D65" s="58" t="str">
        <x:v>coordination profile</x:v>
      </x:c>
      <x:c r="E65" s="58" t="str">
        <x:v>complete</x:v>
      </x:c>
      <x:c r="F65" s="58" t="str">
        <x:v>CoordinatedMoveExecutor</x:v>
      </x:c>
      <x:c r="G65" s="58" t="str">
        <x:v>capability/sync fault</x:v>
      </x:c>
      <x:c r="H65" s="58" t="str">
        <x:v>robot+axis timeline</x:v>
      </x:c>
      <x:c r="I65" s="58" t="str">
        <x:v>仅控制器支持时</x:v>
      </x:c>
    </x:row>
    <x:row r="66">
      <x:c r="A66" s="66" t="str">
        <x:v>视觉引导</x:v>
      </x:c>
      <x:c r="B66" s="66" t="str">
        <x:v>ApplyVisionOffset/MoveToVisionPose</x:v>
      </x:c>
      <x:c r="C66" s="66" t="str">
        <x:v>VisionGuidanceResult</x:v>
      </x:c>
      <x:c r="D66" s="66" t="str">
        <x:v>frame mapping/quality/age limits</x:v>
      </x:c>
      <x:c r="E66" s="66" t="str">
        <x:v>validation+move complete</x:v>
      </x:c>
      <x:c r="F66" s="66" t="str">
        <x:v>VisionGuidanceExecutor</x:v>
      </x:c>
      <x:c r="G66" s="66" t="str">
        <x:v>stale/bad quality/transform error</x:v>
      </x:c>
      <x:c r="H66" s="66" t="str">
        <x:v>pose before/after</x:v>
      </x:c>
      <x:c r="I66" s="66" t="str">
        <x:v>先验证再移动</x:v>
      </x:c>
    </x:row>
    <x:row r="67">
      <x:c r="A67" s="58" t="str">
        <x:v>工艺</x:v>
      </x:c>
      <x:c r="B67" s="58" t="str">
        <x:v>Grip/Release/ProcessOnOff/DeviceCommand</x:v>
      </x:c>
      <x:c r="C67" s="58" t="str">
        <x:v>Robot/Device refs</x:v>
      </x:c>
      <x:c r="D67" s="58" t="str">
        <x:v>process params/interlocks</x:v>
      </x:c>
      <x:c r="E67" s="58" t="str">
        <x:v>device+robot condition</x:v>
      </x:c>
      <x:c r="F67" s="58" t="str">
        <x:v>RobotProcessExecutor</x:v>
      </x:c>
      <x:c r="G67" s="58" t="str">
        <x:v>interlock/device fault</x:v>
      </x:c>
      <x:c r="H67" s="58" t="str">
        <x:v>process state</x:v>
      </x:c>
      <x:c r="I67" s="58" t="str">
        <x:v>工艺插件化</x:v>
      </x:c>
    </x:row>
    <x:row r="68">
      <x:c r="A68" s="66" t="str">
        <x:v>控制</x:v>
      </x:c>
      <x:c r="B68" s="66" t="str">
        <x:v>Wait/If/Switch/Loop/Parallel/SubProgram/Retry</x:v>
      </x:c>
      <x:c r="C68" s="66" t="str">
        <x:v>control/data</x:v>
      </x:c>
      <x:c r="D68" s="66" t="str">
        <x:v>policy</x:v>
      </x:c>
      <x:c r="E68" s="66" t="str">
        <x:v>flow condition</x:v>
      </x:c>
      <x:c r="F68" s="66" t="str">
        <x:v>Motion control executors</x:v>
      </x:c>
      <x:c r="G68" s="66" t="str">
        <x:v>timeout/branch</x:v>
      </x:c>
      <x:c r="H68" s="66" t="str">
        <x:v>call stack</x:v>
      </x:c>
      <x:c r="I68" s="66" t="str">
        <x:v>复用Motion</x:v>
      </x:c>
    </x:row>
    <x:row r="69">
      <x:c r="A69"/>
      <x:c r="B69"/>
      <x:c r="C69"/>
      <x:c r="D69"/>
      <x:c r="E69"/>
      <x:c r="F69"/>
      <x:c r="G69"/>
      <x:c r="H69"/>
      <x:c r="I69"/>
    </x:row>
    <x:row r="70" ht="24" customHeight="1">
      <x:c r="A70" s="40" t="str">
        <x:v>E. 机器人安全/实时边界</x:v>
      </x:c>
      <x:c r="B70" s="40"/>
      <x:c r="C70" s="40"/>
      <x:c r="D70" s="40"/>
      <x:c r="E70" s="40"/>
      <x:c r="F70" s="40"/>
      <x:c r="G70" s="40"/>
      <x:c r="H70" s="40"/>
      <x:c r="I70" s="40"/>
    </x:row>
    <x:row r="71" ht="28" customHeight="1">
      <x:c r="A71" s="50" t="str">
        <x:v>主题</x:v>
      </x:c>
      <x:c r="B71" s="50" t="str">
        <x:v>CxVisual负责</x:v>
      </x:c>
      <x:c r="C71" s="50" t="str">
        <x:v>控制器/安全系统负责</x:v>
      </x:c>
      <x:c r="D71" s="50" t="str">
        <x:v>在线调试规则</x:v>
      </x:c>
      <x:c r="E71" s="50" t="str">
        <x:v>验证</x:v>
      </x:c>
      <x:c r="F71" s="50" t="str">
        <x:v>失败行为</x:v>
      </x:c>
      <x:c r="G71" s="50" t="str">
        <x:v>审计</x:v>
      </x:c>
      <x:c r="H71" s="50" t="str">
        <x:v>禁止</x:v>
      </x:c>
      <x:c r="I71" s="50" t="str">
        <x:v>测试</x:v>
      </x:c>
    </x:row>
    <x:row r="72">
      <x:c r="A72" s="58" t="str">
        <x:v>安全模式</x:v>
      </x:c>
      <x:c r="B72" s="58" t="str">
        <x:v>读取Mode/许可并限制命令</x:v>
      </x:c>
      <x:c r="C72" s="58" t="str">
        <x:v>安全门、速度限制、安全区、急停认证逻辑</x:v>
      </x:c>
      <x:c r="D72" s="58" t="str">
        <x:v>Maintenance/Teach命令必须Target Policy允许</x:v>
      </x:c>
      <x:c r="E72" s="58" t="str">
        <x:v>Mode/Capability</x:v>
      </x:c>
      <x:c r="F72" s="58" t="str">
        <x:v>Denied</x:v>
      </x:c>
      <x:c r="G72" s="58" t="str">
        <x:v>User/Mode/Command</x:v>
      </x:c>
      <x:c r="H72" s="58" t="str">
        <x:v>绕过控制器安全模式</x:v>
      </x:c>
      <x:c r="I72" s="58" t="str">
        <x:v>security</x:v>
      </x:c>
    </x:row>
    <x:row r="73">
      <x:c r="A73" s="66" t="str">
        <x:v>Jog/Teach</x:v>
      </x:c>
      <x:c r="B73" s="66" t="str">
        <x:v>请求受控Jog/读取Pose/生成ChangeSet</x:v>
      </x:c>
      <x:c r="C73" s="66" t="str">
        <x:v>实际Jog实时控制与安全速度</x:v>
      </x:c>
      <x:c r="D73" s="66" t="str">
        <x:v>只有允许模式/独占Resource下可用</x:v>
      </x:c>
      <x:c r="E73" s="66" t="str">
        <x:v>Interlock/Resource</x:v>
      </x:c>
      <x:c r="F73" s="66" t="str">
        <x:v>拒绝或安全停止</x:v>
      </x:c>
      <x:c r="G73" s="66" t="str">
        <x:v>强审计</x:v>
      </x:c>
      <x:c r="H73" s="66" t="str">
        <x:v>把CxVisual当认证Teach Pendant</x:v>
      </x:c>
      <x:c r="I73" s="66" t="str">
        <x:v>jog safety</x:v>
      </x:c>
    </x:row>
    <x:row r="74">
      <x:c r="A74" s="58" t="str">
        <x:v>路径执行</x:v>
      </x:c>
      <x:c r="B74" s="58" t="str">
        <x:v>下发高层目标/程序并监视</x:v>
      </x:c>
      <x:c r="C74" s="58" t="str">
        <x:v>轨迹规划/插补/伺服/厂商安全检查</x:v>
      </x:c>
      <x:c r="D74" s="58" t="str">
        <x:v>Step只在路径/节点可暂停边界</x:v>
      </x:c>
      <x:c r="E74" s="58" t="str">
        <x:v>Controller state</x:v>
      </x:c>
      <x:c r="F74" s="58" t="str">
        <x:v>按Adapter error</x:v>
      </x:c>
      <x:c r="G74" s="58" t="str">
        <x:v>Command trace</x:v>
      </x:c>
      <x:c r="H74" s="58" t="str">
        <x:v>Windows逐插值点控制机器人</x:v>
      </x:c>
      <x:c r="I74" s="58" t="str">
        <x:v>path integration</x:v>
      </x:c>
    </x:row>
    <x:row r="75">
      <x:c r="A75" s="66" t="str">
        <x:v>碰撞</x:v>
      </x:c>
      <x:c r="B75" s="66" t="str">
        <x:v>可做离线提示/插件检查</x:v>
      </x:c>
      <x:c r="C75" s="66" t="str">
        <x:v>安全碰撞检测/力限/保护停</x:v>
      </x:c>
      <x:c r="D75" s="66" t="str">
        <x:v>调试提示不等于安全保证</x:v>
      </x:c>
      <x:c r="E75" s="66" t="str">
        <x:v>Simulation report</x:v>
      </x:c>
      <x:c r="F75" s="66" t="str">
        <x:v>警告/阻止按项目策略</x:v>
      </x:c>
      <x:c r="G75" s="66" t="str">
        <x:v>记录模型/插件版本</x:v>
      </x:c>
      <x:c r="H75" s="66" t="str">
        <x:v>宣称平台碰撞检查具安全认证</x:v>
      </x:c>
      <x:c r="I75" s="66" t="str">
        <x:v>simulation</x:v>
      </x:c>
    </x:row>
    <x:row r="76">
      <x:c r="A76" s="58" t="str">
        <x:v>Vision-guided move</x:v>
      </x:c>
      <x:c r="B76" s="58" t="str">
        <x:v>做数据质量/时间/坐标转换/偏置验证</x:v>
      </x:c>
      <x:c r="C76" s="58" t="str">
        <x:v>实际运动安全限制</x:v>
      </x:c>
      <x:c r="D76" s="58" t="str">
        <x:v>Bad/Stale Vision结果禁止动作</x:v>
      </x:c>
      <x:c r="E76" s="58" t="str">
        <x:v>Quality/Timestamp/Frame</x:v>
      </x:c>
      <x:c r="F76" s="58" t="str">
        <x:v>Denied</x:v>
      </x:c>
      <x:c r="G76" s="58" t="str">
        <x:v>SourceRunId</x:v>
      </x:c>
      <x:c r="H76" s="58" t="str">
        <x:v>视觉坐标不校验直接移动</x:v>
      </x:c>
      <x:c r="I76" s="58" t="str">
        <x:v>E2E</x:v>
      </x:c>
    </x:row>
    <x:row r="78">
      <x:c r="A78" t="str">
        <x:v>F. 历史 Motion Family Reuse / Robot Context（V6.4改为Automation能力复用）</x:v>
      </x:c>
      <x:c r="B78"/>
      <x:c r="C78"/>
      <x:c r="D78"/>
      <x:c r="E78"/>
      <x:c r="F78"/>
      <x:c r="G78"/>
      <x:c r="H78"/>
      <x:c r="I78"/>
    </x:row>
    <x:row r="79">
      <x:c r="A79" t="str">
        <x:v>主题</x:v>
      </x:c>
      <x:c r="B79" t="str">
        <x:v>正式设计</x:v>
      </x:c>
      <x:c r="C79" t="str">
        <x:v>关键对象/能力</x:v>
      </x:c>
      <x:c r="D79" t="str">
        <x:v>边界</x:v>
      </x:c>
      <x:c r="E79" t="str">
        <x:v>DesignRef</x:v>
      </x:c>
      <x:c r="F79"/>
      <x:c r="G79"/>
      <x:c r="H79"/>
      <x:c r="I79"/>
    </x:row>
    <x:row r="80">
      <x:c r="A80" t="str">
        <x:v>家族复用</x:v>
      </x:c>
      <x:c r="B80" t="str">
        <x:v>Robot属于Motion专业家族</x:v>
      </x:c>
      <x:c r="C80" t="str">
        <x:v>复用Resource/Interlock/Device/Debug/Write安全公共Contract</x:v>
      </x:c>
      <x:c r="D80" t="str">
        <x:v>通过组合/调用，不要求RobotRuntime继承MotionRuntime</x:v>
      </x:c>
      <x:c r="E80" t="str">
        <x:v>03/47</x:v>
      </x:c>
      <x:c r="F80"/>
      <x:c r="G80"/>
      <x:c r="H80"/>
      <x:c r="I80"/>
    </x:row>
    <x:row r="81">
      <x:c r="A81" t="str">
        <x:v>专业对象</x:v>
      </x:c>
      <x:c r="B81" t="str">
        <x:v>Robot独有模型</x:v>
      </x:c>
      <x:c r="C81" t="str">
        <x:v>RobotDefinition/Controller/Joint/TCP-Tool/Base/Frame/WorkObject/Home/ExternalAxis/SafetyStatus</x:v>
      </x:c>
      <x:c r="D81" t="str">
        <x:v>保持独立专业语义</x:v>
      </x:c>
      <x:c r="E81" t="str">
        <x:v>45</x:v>
      </x:c>
      <x:c r="F81"/>
      <x:c r="G81"/>
      <x:c r="H81"/>
      <x:c r="I81"/>
    </x:row>
    <x:row r="82">
      <x:c r="A82" t="str">
        <x:v>路径</x:v>
      </x:c>
      <x:c r="B82" t="str">
        <x:v>Path模型</x:v>
      </x:c>
      <x:c r="C82" t="str">
        <x:v>Point/Pose/PTP/LIN/CIRC/Spline/Validate/Preview</x:v>
      </x:c>
      <x:c r="D82" t="str">
        <x:v>路径编译输出RobotExecutionPlan</x:v>
      </x:c>
      <x:c r="E82" t="str">
        <x:v>45</x:v>
      </x:c>
      <x:c r="F82"/>
      <x:c r="G82"/>
      <x:c r="H82"/>
      <x:c r="I82"/>
    </x:row>
    <x:row r="83">
      <x:c r="A83" t="str">
        <x:v>示教</x:v>
      </x:c>
      <x:c r="B83" t="str">
        <x:v>Teach模型</x:v>
      </x:c>
      <x:c r="C83" t="str">
        <x:v>Jog/TeachPoint/SetTCP/SetFrame/OnlinePosition</x:v>
      </x:c>
      <x:c r="D83" t="str">
        <x:v>必须Maintenance/Teach + Authorization + Exclusive Lease</x:v>
      </x:c>
      <x:c r="E83" t="str">
        <x:v>45</x:v>
      </x:c>
      <x:c r="F83"/>
      <x:c r="G83"/>
      <x:c r="H83"/>
      <x:c r="I83"/>
    </x:row>
    <x:row r="84">
      <x:c r="A84" t="str">
        <x:v>Contextual Ribbon</x:v>
      </x:c>
      <x:c r="B84" t="str">
        <x:v>机器人/路径/示教</x:v>
      </x:c>
      <x:c r="C84" t="str">
        <x:v>由活动Robot Workspace动态显示</x:v>
      </x:c>
      <x:c r="D84" t="str">
        <x:v>不是永久一级菜单</x:v>
      </x:c>
      <x:c r="E84" t="str">
        <x:v>45</x:v>
      </x:c>
      <x:c r="F84"/>
      <x:c r="G84"/>
      <x:c r="H84"/>
      <x:c r="I84"/>
    </x:row>
    <x:row r="85">
      <x:c r="A85" t="str">
        <x:v>硬件关系</x:v>
      </x:c>
      <x:c r="B85" t="str">
        <x:v>Robot Controller Adapter</x:v>
      </x:c>
      <x:c r="C85" t="str">
        <x:v>可拥有External Axis/IO并通过Motion Resource协调</x:v>
      </x:c>
      <x:c r="D85" t="str">
        <x:v>Vendor SDK仅Integration</x:v>
      </x:c>
      <x:c r="E85" t="str">
        <x:v>47</x:v>
      </x:c>
      <x:c r="F85"/>
      <x:c r="G85"/>
      <x:c r="H85"/>
      <x:c r="I85"/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34" hidden="0" customWidth="1"/>
    <x:col min="4" max="4" width="30" hidden="0" customWidth="1"/>
    <x:col min="5" max="5" width="30" hidden="0" customWidth="1"/>
    <x:col min="6" max="6" width="28" hidden="0" customWidth="1"/>
    <x:col min="7" max="7" width="30" hidden="0" customWidth="1"/>
    <x:col min="8" max="8" width="28" hidden="0" customWidth="1"/>
    <x:col min="9" max="9" width="28" hidden="0" customWidth="1"/>
  </x:cols>
  <x:sheetData>
    <x:row r="1" ht="30" customHeight="1">
      <x:c r="A1" s="8" t="str">
        <x:v>Automation / Robot — Online Debug / Teach / Path Commissioning</x:v>
      </x:c>
      <x:c r="B1" s="8"/>
      <x:c r="C1" s="8"/>
      <x:c r="D1" s="8"/>
      <x:c r="E1" s="8"/>
      <x:c r="F1" s="8"/>
      <x:c r="G1" s="8"/>
      <x:c r="H1" s="8"/>
      <x:c r="I1" s="8"/>
    </x:row>
    <x:row r="2" ht="38" customHeight="1">
      <x:c r="A2" s="16" t="str">
        <x:v>只定义Robot特有在线调试；公共Debug协议见21，Motion/设备治理见28/47；Target Runtime最终裁决Mode/Permission/Lease/Interlock。</x:v>
      </x:c>
      <x:c r="B2" s="16"/>
      <x:c r="C2" s="16"/>
      <x:c r="D2" s="16"/>
      <x:c r="E2" s="16"/>
      <x:c r="F2" s="16"/>
      <x:c r="G2" s="16"/>
      <x:c r="H2" s="16"/>
      <x:c r="I2" s="16"/>
    </x:row>
    <x:row r="3">
      <x:c r="A3" s="30" t="str">
        <x:v>本页唯一权威</x:v>
      </x:c>
      <x:c r="B3" s="31" t="str">
        <x:v>Robot Status、Joint/Cartesian Monitor、Path Step/RunTo、Jog/Teach、Frame/Tool在线验证、Vision Guidance与断线恢复。</x:v>
      </x:c>
      <x:c r="C3" s="31"/>
      <x:c r="D3" s="31"/>
      <x:c r="E3" s="31"/>
      <x:c r="F3" s="31"/>
      <x:c r="G3" s="31"/>
      <x:c r="H3" s="31"/>
      <x:c r="I3" s="31"/>
    </x:row>
    <x:row r="4">
      <x:c r="A4" s="30" t="str">
        <x:v>不在本页维护</x:v>
      </x:c>
      <x:c r="B4" s="31" t="str">
        <x:v>通用Debug协议（见21）、Motion通用设备调试（见28）、远程会话治理（见39）。</x:v>
      </x:c>
      <x:c r="C4" s="31"/>
      <x:c r="D4" s="31"/>
      <x:c r="E4" s="31"/>
      <x:c r="F4" s="31"/>
      <x:c r="G4" s="31"/>
      <x:c r="H4" s="31"/>
      <x:c r="I4" s="31"/>
    </x:row>
    <x:row r="5">
      <x:c r="A5" s="30" t="str">
        <x:v>关联分页</x:v>
      </x:c>
      <x:c r="B5" s="31" t="str">
        <x:v>21_Graph统一OnlineDebug架构；28_Motion在线调试；29_Robot完整开发蓝图；45_StudioShell与Ribbon基线。</x:v>
      </x:c>
      <x:c r="C5" s="31"/>
      <x:c r="D5" s="31"/>
      <x:c r="E5" s="31"/>
      <x:c r="F5" s="31"/>
      <x:c r="G5" s="31"/>
      <x:c r="H5" s="31"/>
      <x:c r="I5" s="31"/>
    </x:row>
    <x:row r="6">
      <x:c r="A6"/>
      <x:c r="B6"/>
      <x:c r="C6"/>
      <x:c r="D6"/>
      <x:c r="E6"/>
      <x:c r="F6"/>
      <x:c r="G6"/>
      <x:c r="H6"/>
      <x:c r="I6"/>
    </x:row>
    <x:row r="7" ht="24" customHeight="1">
      <x:c r="A7" s="40" t="str">
        <x:v>A. Robot Debug工作台</x:v>
      </x:c>
      <x:c r="B7" s="40"/>
      <x:c r="C7" s="40"/>
      <x:c r="D7" s="40"/>
      <x:c r="E7" s="40"/>
      <x:c r="F7" s="40"/>
      <x:c r="G7" s="40"/>
      <x:c r="H7" s="40"/>
      <x:c r="I7" s="40"/>
    </x:row>
    <x:row r="8" ht="28" customHeight="1">
      <x:c r="A8" s="50" t="str">
        <x:v>区域</x:v>
      </x:c>
      <x:c r="B8" s="50" t="str">
        <x:v>显示/操作</x:v>
      </x:c>
      <x:c r="C8" s="50" t="str">
        <x:v>主要对象</x:v>
      </x:c>
      <x:c r="D8" s="50" t="str">
        <x:v>数据来源</x:v>
      </x:c>
      <x:c r="E8" s="50" t="str">
        <x:v>控制操作</x:v>
      </x:c>
      <x:c r="F8" s="50" t="str">
        <x:v>权限/模式</x:v>
      </x:c>
      <x:c r="G8" s="50" t="str">
        <x:v>异常表现</x:v>
      </x:c>
      <x:c r="H8" s="50" t="str">
        <x:v>联动</x:v>
      </x:c>
      <x:c r="I8" s="50"/>
    </x:row>
    <x:row r="9">
      <x:c r="A9" s="58" t="str">
        <x:v>Robot Status</x:v>
      </x:c>
      <x:c r="B9" s="58" t="str">
        <x:v>Mode/Servo/Program/Alarm/SafetySummary/Active Tool/WorkObject</x:v>
      </x:c>
      <x:c r="C9" s="58" t="str">
        <x:v>RobotState</x:v>
      </x:c>
      <x:c r="D9" s="58" t="str">
        <x:v>Adapter telemetry</x:v>
      </x:c>
      <x:c r="E9" s="58" t="str">
        <x:v>Reset(受限)/Stop/Inspect</x:v>
      </x:c>
      <x:c r="F9" s="58" t="str">
        <x:v>Observe/Debug/Maintenance</x:v>
      </x:c>
      <x:c r="G9" s="58" t="str">
        <x:v>Fault/Denied</x:v>
      </x:c>
      <x:c r="H9" s="58" t="str">
        <x:v>RobotDefinition</x:v>
      </x:c>
      <x:c r="I9" s="58"/>
    </x:row>
    <x:row r="10">
      <x:c r="A10" s="66" t="str">
        <x:v>Joint Monitor</x:v>
      </x:c>
      <x:c r="B10" s="66" t="str">
        <x:v>J1..Jn/外部轴 Target/Actual/Velocity/Limit</x:v>
      </x:c>
      <x:c r="C10" s="66" t="str">
        <x:v>RobotJointState</x:v>
      </x:c>
      <x:c r="D10" s="66" t="str">
        <x:v>Telemetry</x:v>
      </x:c>
      <x:c r="E10" s="66" t="str">
        <x:v>Jog Joint/Teach Joint Pose</x:v>
      </x:c>
      <x:c r="F10" s="66" t="str">
        <x:v>Maintenance</x:v>
      </x:c>
      <x:c r="G10" s="66" t="str">
        <x:v>Limit/BadQuality</x:v>
      </x:c>
      <x:c r="H10" s="66" t="str">
        <x:v>Pose/Point Table</x:v>
      </x:c>
      <x:c r="I10" s="66"/>
    </x:row>
    <x:row r="11">
      <x:c r="A11" s="58" t="str">
        <x:v>Cartesian Monitor</x:v>
      </x:c>
      <x:c r="B11" s="58" t="str">
        <x:v>XYZ+Orientation/Frame/Tool/Config</x:v>
      </x:c>
      <x:c r="C11" s="58" t="str">
        <x:v>RobotCartesianState</x:v>
      </x:c>
      <x:c r="D11" s="58" t="str">
        <x:v>Telemetry</x:v>
      </x:c>
      <x:c r="E11" s="58" t="str">
        <x:v>Jog Cartesian/Teach Pose/MoveToPose</x:v>
      </x:c>
      <x:c r="F11" s="58" t="str">
        <x:v>Maintenance</x:v>
      </x:c>
      <x:c r="G11" s="58" t="str">
        <x:v>Frame invalid/Singularity proximity</x:v>
      </x:c>
      <x:c r="H11" s="58" t="str">
        <x:v>Frame Tree/PointTable</x:v>
      </x:c>
      <x:c r="I11" s="58"/>
    </x:row>
    <x:row r="12">
      <x:c r="A12" s="66" t="str">
        <x:v>Frame Tree</x:v>
      </x:c>
      <x:c r="B12" s="66" t="str">
        <x:v>World/Base/Tool/WorkObject/User/Camera resolved transforms</x:v>
      </x:c>
      <x:c r="C12" s="66" t="str">
        <x:v>RobotFrameSnapshot</x:v>
      </x:c>
      <x:c r="D12" s="66" t="str">
        <x:v>Definition+Runtime</x:v>
      </x:c>
      <x:c r="E12" s="66" t="str">
        <x:v>Select/Compare/Debug offset</x:v>
      </x:c>
      <x:c r="F12" s="66" t="str">
        <x:v>ReadOnly/Debug</x:v>
      </x:c>
      <x:c r="G12" s="66" t="str">
        <x:v>Missing calibration</x:v>
      </x:c>
      <x:c r="H12" s="66" t="str">
        <x:v>Frame Editor</x:v>
      </x:c>
      <x:c r="I12" s="66"/>
    </x:row>
    <x:row r="13">
      <x:c r="A13" s="58" t="str">
        <x:v>Tool/WorkObject</x:v>
      </x:c>
      <x:c r="B13" s="58" t="str">
        <x:v>Active vs Design Tool/WorkObject、TCP/Payload</x:v>
      </x:c>
      <x:c r="C13" s="58" t="str">
        <x:v>RobotConfigSnapshot</x:v>
      </x:c>
      <x:c r="D13" s="58" t="str">
        <x:v>Runtime</x:v>
      </x:c>
      <x:c r="E13" s="58" t="str">
        <x:v>Set active config(受限)</x:v>
      </x:c>
      <x:c r="F13" s="58" t="str">
        <x:v>Maintenance/Debug</x:v>
      </x:c>
      <x:c r="G13" s="58" t="str">
        <x:v>Mismatch</x:v>
      </x:c>
      <x:c r="H13" s="58" t="str">
        <x:v>Tool/WorkObject Editor</x:v>
      </x:c>
      <x:c r="I13" s="58"/>
    </x:row>
    <x:row r="14">
      <x:c r="A14" s="66" t="str">
        <x:v>Path View</x:v>
      </x:c>
      <x:c r="B14" s="66" t="str">
        <x:v>设计路径、当前segment、机器人当前位置/姿态、外部轴</x:v>
      </x:c>
      <x:c r="C14" s="66" t="str">
        <x:v>RobotPath + Runtime progress</x:v>
      </x:c>
      <x:c r="D14" s="66" t="str">
        <x:v>Runtime + 3D viewer</x:v>
      </x:c>
      <x:c r="E14" s="66" t="str">
        <x:v>RunTo segment/Preview/Inspect</x:v>
      </x:c>
      <x:c r="F14" s="66" t="str">
        <x:v>Debug</x:v>
      </x:c>
      <x:c r="G14" s="66" t="str">
        <x:v>Path fault</x:v>
      </x:c>
      <x:c r="H14" s="66" t="str">
        <x:v>Path Editor</x:v>
      </x:c>
      <x:c r="I14" s="66"/>
    </x:row>
    <x:row r="15">
      <x:c r="A15" s="58" t="str">
        <x:v>Signals</x:v>
      </x:c>
      <x:c r="B15" s="58" t="str">
        <x:v>Robot IO/Registers/handshake/quality</x:v>
      </x:c>
      <x:c r="C15" s="58" t="str">
        <x:v>RobotSignalSnapshot</x:v>
      </x:c>
      <x:c r="D15" s="58" t="str">
        <x:v>Provider</x:v>
      </x:c>
      <x:c r="E15" s="58" t="str">
        <x:v>Set/Test(受限)</x:v>
      </x:c>
      <x:c r="F15" s="58" t="str">
        <x:v>Debug/Maintenance</x:v>
      </x:c>
      <x:c r="G15" s="58" t="str">
        <x:v>Force/Offline</x:v>
      </x:c>
      <x:c r="H15" s="58" t="str">
        <x:v>IO mapping</x:v>
      </x:c>
      <x:c r="I15" s="58"/>
    </x:row>
    <x:row r="16">
      <x:c r="A16" s="66" t="str">
        <x:v>Resource/Interlock</x:v>
      </x:c>
      <x:c r="B16" s="66" t="str">
        <x:v>Robot/ExternalAxis/Tool device Lease + failed rules</x:v>
      </x:c>
      <x:c r="C16" s="66" t="str">
        <x:v>Resource/Interlock snapshot</x:v>
      </x:c>
      <x:c r="D16" s="66" t="str">
        <x:v>Runtime</x:v>
      </x:c>
      <x:c r="E16" s="66" t="str">
        <x:v>Inspect/authorized bypass</x:v>
      </x:c>
      <x:c r="F16" s="66" t="str">
        <x:v>高权限</x:v>
      </x:c>
      <x:c r="G16" s="66" t="str">
        <x:v>Denied/Wait</x:v>
      </x:c>
      <x:c r="H16" s="66" t="str">
        <x:v>Motion resource panel</x:v>
      </x:c>
      <x:c r="I16" s="66"/>
    </x:row>
    <x:row r="17">
      <x:c r="A17" s="58" t="str">
        <x:v>Vision Guidance</x:v>
      </x:c>
      <x:c r="B17" s="58" t="str">
        <x:v>SourceRun/Pose/Frame/Quality/Age/Transform/Offset/Final target</x:v>
      </x:c>
      <x:c r="C17" s="58" t="str">
        <x:v>VisionGuidanceSnapshot</x:v>
      </x:c>
      <x:c r="D17" s="58" t="str">
        <x:v>Vision+Inspection correlation</x:v>
      </x:c>
      <x:c r="E17" s="58" t="str">
        <x:v>Preview target/Execute test move(受限)</x:v>
      </x:c>
      <x:c r="F17" s="58" t="str">
        <x:v>Debug/Test only</x:v>
      </x:c>
      <x:c r="G17" s="58" t="str">
        <x:v>Stale/BadQuality/Frame mismatch</x:v>
      </x:c>
      <x:c r="H17" s="58" t="str">
        <x:v>Vision Debug/Calibration</x:v>
      </x:c>
      <x:c r="I17" s="58"/>
    </x:row>
    <x:row r="18">
      <x:c r="A18" s="66" t="str">
        <x:v>Timeline</x:v>
      </x:c>
      <x:c r="B18" s="66" t="str">
        <x:v>Program/Path segment/Controller command/IO/Vision/Resource events</x:v>
      </x:c>
      <x:c r="C18" s="66" t="str">
        <x:v>ExecutionTrace</x:v>
      </x:c>
      <x:c r="D18" s="66" t="str">
        <x:v>Telemetry</x:v>
      </x:c>
      <x:c r="E18" s="66" t="str">
        <x:v>Filter/Jump</x:v>
      </x:c>
      <x:c r="F18" s="66" t="str">
        <x:v>只读</x:v>
      </x:c>
      <x:c r="G18" s="66" t="str">
        <x:v>Gap/Timeout</x:v>
      </x:c>
      <x:c r="H18" s="66" t="str">
        <x:v>Graph/Path/Invocation</x:v>
      </x:c>
      <x:c r="I18" s="66"/>
    </x:row>
    <x:row r="19">
      <x:c r="A19" s="58" t="str">
        <x:v>Online Diff</x:v>
      </x:c>
      <x:c r="B19" s="58" t="str">
        <x:v>Design vs Target Robot Program/Frames/Tools/Points/Controller Profile</x:v>
      </x:c>
      <x:c r="C19" s="58" t="str">
        <x:v>OnlineVersionDiff</x:v>
      </x:c>
      <x:c r="D19" s="58" t="str">
        <x:v>Version service</x:v>
      </x:c>
      <x:c r="E19" s="58" t="str">
        <x:v>Compare/Promote</x:v>
      </x:c>
      <x:c r="F19" s="58" t="str">
        <x:v>工程师</x:v>
      </x:c>
      <x:c r="G19" s="58" t="str">
        <x:v>Incompatible</x:v>
      </x:c>
      <x:c r="H19" s="58" t="str">
        <x:v>Version/Designer</x:v>
      </x:c>
      <x:c r="I19" s="58"/>
    </x:row>
    <x:row r="20">
      <x:c r="A20"/>
      <x:c r="B20"/>
      <x:c r="C20"/>
      <x:c r="D20"/>
      <x:c r="E20"/>
      <x:c r="F20"/>
      <x:c r="G20"/>
      <x:c r="H20"/>
      <x:c r="I20"/>
    </x:row>
    <x:row r="21" ht="24" customHeight="1">
      <x:c r="A21" s="40" t="str">
        <x:v>B. 调试模式矩阵</x:v>
      </x:c>
      <x:c r="B21" s="40"/>
      <x:c r="C21" s="40"/>
      <x:c r="D21" s="40"/>
      <x:c r="E21" s="40"/>
      <x:c r="F21" s="40"/>
      <x:c r="G21" s="40"/>
      <x:c r="H21" s="40"/>
      <x:c r="I21" s="40"/>
    </x:row>
    <x:row r="22" ht="28" customHeight="1">
      <x:c r="A22" s="50" t="str">
        <x:v>模式</x:v>
      </x:c>
      <x:c r="B22" s="50" t="str">
        <x:v>真实机器人</x:v>
      </x:c>
      <x:c r="C22" s="50" t="str">
        <x:v>运行Program</x:v>
      </x:c>
      <x:c r="D22" s="50" t="str">
        <x:v>Jog/Teach</x:v>
      </x:c>
      <x:c r="E22" s="50" t="str">
        <x:v>路径单步</x:v>
      </x:c>
      <x:c r="F22" s="50" t="str">
        <x:v>参数Override</x:v>
      </x:c>
      <x:c r="G22" s="50" t="str">
        <x:v>结构更新</x:v>
      </x:c>
      <x:c r="H22" s="50" t="str">
        <x:v>典型场景</x:v>
      </x:c>
      <x:c r="I22" s="50" t="str">
        <x:v>强制约束</x:v>
      </x:c>
    </x:row>
    <x:row r="23">
      <x:c r="A23" s="66" t="str">
        <x:v>Offline Simulation</x:v>
      </x:c>
      <x:c r="B23" s="66" t="str">
        <x:v>虚拟</x:v>
      </x:c>
      <x:c r="C23" s="66" t="str">
        <x:v>允许</x:v>
      </x:c>
      <x:c r="D23" s="66" t="str">
        <x:v>模拟</x:v>
      </x:c>
      <x:c r="E23" s="66" t="str">
        <x:v>允许</x:v>
      </x:c>
      <x:c r="F23" s="66" t="str">
        <x:v>允许</x:v>
      </x:c>
      <x:c r="G23" s="66" t="str">
        <x:v>Stop后Compile</x:v>
      </x:c>
      <x:c r="H23" s="66" t="str">
        <x:v>开发/节拍预估</x:v>
      </x:c>
      <x:c r="I23" s="66" t="str">
        <x:v>仿真非安全验证</x:v>
      </x:c>
    </x:row>
    <x:row r="24">
      <x:c r="A24" s="58" t="str">
        <x:v>Connected Observe</x:v>
      </x:c>
      <x:c r="B24" s="58" t="str">
        <x:v>真实</x:v>
      </x:c>
      <x:c r="C24" s="58" t="str">
        <x:v>仅观察现有</x:v>
      </x:c>
      <x:c r="D24" s="58" t="str">
        <x:v>禁止</x:v>
      </x:c>
      <x:c r="E24" s="58" t="str">
        <x:v>禁止控制生产session</x:v>
      </x:c>
      <x:c r="F24" s="58" t="str">
        <x:v>只读</x:v>
      </x:c>
      <x:c r="G24" s="58" t="str">
        <x:v>禁止</x:v>
      </x:c>
      <x:c r="H24" s="58" t="str">
        <x:v>现场观察</x:v>
      </x:c>
      <x:c r="I24" s="58" t="str">
        <x:v>不干扰Controller</x:v>
      </x:c>
    </x:row>
    <x:row r="25">
      <x:c r="A25" s="66" t="str">
        <x:v>Live Controlled Debug</x:v>
      </x:c>
      <x:c r="B25" s="66" t="str">
        <x:v>真实</x:v>
      </x:c>
      <x:c r="C25" s="66" t="str">
        <x:v>Debug Session</x:v>
      </x:c>
      <x:c r="D25" s="66" t="str">
        <x:v>通常Program执行时Jog禁止</x:v>
      </x:c>
      <x:c r="E25" s="66" t="str">
        <x:v>节点/路径边界Step</x:v>
      </x:c>
      <x:c r="F25" s="66" t="str">
        <x:v>白名单</x:v>
      </x:c>
      <x:c r="G25" s="66" t="str">
        <x:v>停止Session后新Plan</x:v>
      </x:c>
      <x:c r="H25" s="66" t="str">
        <x:v>联机调试</x:v>
      </x:c>
      <x:c r="I25" s="66" t="str">
        <x:v>Permission+Mode+Interlock+Resource</x:v>
      </x:c>
    </x:row>
    <x:row r="26">
      <x:c r="A26" s="58" t="str">
        <x:v>Maintenance Teach</x:v>
      </x:c>
      <x:c r="B26" s="58" t="str">
        <x:v>真实</x:v>
      </x:c>
      <x:c r="C26" s="58" t="str">
        <x:v>正常Program停止</x:v>
      </x:c>
      <x:c r="D26" s="58" t="str">
        <x:v>允许受控Jog/Teach</x:v>
      </x:c>
      <x:c r="E26" s="58" t="str">
        <x:v>N/A</x:v>
      </x:c>
      <x:c r="F26" s="58" t="str">
        <x:v>点位/速度临时值</x:v>
      </x:c>
      <x:c r="G26" s="58" t="str">
        <x:v>结构编辑离线</x:v>
      </x:c>
      <x:c r="H26" s="58" t="str">
        <x:v>点位/Tool/Frame标定</x:v>
      </x:c>
      <x:c r="I26" s="58" t="str">
        <x:v>独占Robot/外部轴资源</x:v>
      </x:c>
    </x:row>
    <x:row r="27">
      <x:c r="A27" s="66" t="str">
        <x:v>Production Monitor</x:v>
      </x:c>
      <x:c r="B27" s="66" t="str">
        <x:v>真实</x:v>
      </x:c>
      <x:c r="C27" s="66" t="str">
        <x:v>生产系统控制</x:v>
      </x:c>
      <x:c r="D27" s="66" t="str">
        <x:v>禁止</x:v>
      </x:c>
      <x:c r="E27" s="66" t="str">
        <x:v>只读</x:v>
      </x:c>
      <x:c r="F27" s="66" t="str">
        <x:v>禁止</x:v>
      </x:c>
      <x:c r="G27" s="66" t="str">
        <x:v>禁止</x:v>
      </x:c>
      <x:c r="H27" s="66" t="str">
        <x:v>生产运行</x:v>
      </x:c>
      <x:c r="I27" s="66" t="str">
        <x:v>最小权限</x:v>
      </x:c>
    </x:row>
    <x:row r="28">
      <x:c r="A28"/>
      <x:c r="B28"/>
      <x:c r="C28"/>
      <x:c r="D28"/>
      <x:c r="E28"/>
      <x:c r="F28"/>
      <x:c r="G28"/>
      <x:c r="H28"/>
      <x:c r="I28"/>
    </x:row>
    <x:row r="29" ht="24" customHeight="1">
      <x:c r="A29" s="40" t="str">
        <x:v>C. Jog / Teach / Path调试语义</x:v>
      </x:c>
      <x:c r="B29" s="40"/>
      <x:c r="C29" s="40"/>
      <x:c r="D29" s="40"/>
      <x:c r="E29" s="40"/>
      <x:c r="F29" s="40"/>
      <x:c r="G29" s="40"/>
      <x:c r="H29" s="40"/>
      <x:c r="I29" s="40"/>
    </x:row>
    <x:row r="30" ht="28" customHeight="1">
      <x:c r="A30" s="50" t="str">
        <x:v>能力</x:v>
      </x:c>
      <x:c r="B30" s="50" t="str">
        <x:v>前置条件</x:v>
      </x:c>
      <x:c r="C30" s="50" t="str">
        <x:v>平台动作</x:v>
      </x:c>
      <x:c r="D30" s="50" t="str">
        <x:v>控制器动作</x:v>
      </x:c>
      <x:c r="E30" s="50" t="str">
        <x:v>完成/停止</x:v>
      </x:c>
      <x:c r="F30" s="50" t="str">
        <x:v>Promote</x:v>
      </x:c>
      <x:c r="G30" s="50" t="str">
        <x:v>审计</x:v>
      </x:c>
      <x:c r="H30" s="50" t="str">
        <x:v>测试</x:v>
      </x:c>
      <x:c r="I30" s="50" t="str">
        <x:v>规则</x:v>
      </x:c>
    </x:row>
    <x:row r="31">
      <x:c r="A31" s="58" t="str">
        <x:v>Joint Jog</x:v>
      </x:c>
      <x:c r="B31" s="58" t="str">
        <x:v>Maintenance Mode+Servo ready+独占Lease</x:v>
      </x:c>
      <x:c r="C31" s="58" t="str">
        <x:v>发送方向/速度/hold request</x:v>
      </x:c>
      <x:c r="D31" s="58" t="str">
        <x:v>控制器执行实时Jog</x:v>
      </x:c>
      <x:c r="E31" s="58" t="str">
        <x:v>Release/Stop/Fault</x:v>
      </x:c>
      <x:c r="F31" s="58" t="str">
        <x:v>不Promote</x:v>
      </x:c>
      <x:c r="G31" s="58" t="str">
        <x:v>User/Joint/Speed/Duration</x:v>
      </x:c>
      <x:c r="H31" s="58" t="str">
        <x:v>jog safety</x:v>
      </x:c>
      <x:c r="I31" s="58" t="str">
        <x:v>CxVisual不生成高频插值</x:v>
      </x:c>
    </x:row>
    <x:row r="32">
      <x:c r="A32" s="66" t="str">
        <x:v>Cartesian Jog</x:v>
      </x:c>
      <x:c r="B32" s="66" t="str">
        <x:v>Frame/Tool有效+控制器支持</x:v>
      </x:c>
      <x:c r="C32" s="66" t="str">
        <x:v>发送axis/direction/speed frame request</x:v>
      </x:c>
      <x:c r="D32" s="66" t="str">
        <x:v>控制器执行</x:v>
      </x:c>
      <x:c r="E32" s="66" t="str">
        <x:v>Release/Stop/Fault</x:v>
      </x:c>
      <x:c r="F32" s="66" t="str">
        <x:v>不Promote</x:v>
      </x:c>
      <x:c r="G32" s="66" t="str">
        <x:v>Frame/Tool/User</x:v>
      </x:c>
      <x:c r="H32" s="66" t="str">
        <x:v>jog frame</x:v>
      </x:c>
      <x:c r="I32" s="66"/>
    </x:row>
    <x:row r="33">
      <x:c r="A33" s="58" t="str">
        <x:v>Teach Joint Pose</x:v>
      </x:c>
      <x:c r="B33" s="58" t="str">
        <x:v>稳定/无运动</x:v>
      </x:c>
      <x:c r="C33" s="58" t="str">
        <x:v>读取实际Joint pose生成候选</x:v>
      </x:c>
      <x:c r="D33" s="58" t="str">
        <x:v>返回实际状态</x:v>
      </x:c>
      <x:c r="E33" s="58" t="str">
        <x:v>候选值产生</x:v>
      </x:c>
      <x:c r="F33" s="58" t="str">
        <x:v>ChangeSet→PointTable</x:v>
      </x:c>
      <x:c r="G33" s="58" t="str">
        <x:v>Before/After/Source</x:v>
      </x:c>
      <x:c r="H33" s="58" t="str">
        <x:v>teach</x:v>
      </x:c>
      <x:c r="I33" s="58" t="str">
        <x:v>不自动写工程</x:v>
      </x:c>
    </x:row>
    <x:row r="34">
      <x:c r="A34" s="66" t="str">
        <x:v>Teach Cartesian Pose</x:v>
      </x:c>
      <x:c r="B34" s="66" t="str">
        <x:v>Frame/Tool明确</x:v>
      </x:c>
      <x:c r="C34" s="66" t="str">
        <x:v>读取Actual pose→转换到选定Frame</x:v>
      </x:c>
      <x:c r="D34" s="66" t="str">
        <x:v>返回Pose/config</x:v>
      </x:c>
      <x:c r="E34" s="66" t="str">
        <x:v>候选值</x:v>
      </x:c>
      <x:c r="F34" s="66" t="str">
        <x:v>ChangeSet</x:v>
      </x:c>
      <x:c r="G34" s="66" t="str">
        <x:v>Frame/Tool版本</x:v>
      </x:c>
      <x:c r="H34" s="66" t="str">
        <x:v>transform tests</x:v>
      </x:c>
      <x:c r="I34" s="66" t="str">
        <x:v>必须记录Frame</x:v>
      </x:c>
    </x:row>
    <x:row r="35">
      <x:c r="A35" s="58" t="str">
        <x:v>Move To Point</x:v>
      </x:c>
      <x:c r="B35" s="58" t="str">
        <x:v>Point有效/预检/资源/Interlock</x:v>
      </x:c>
      <x:c r="C35" s="58" t="str">
        <x:v>构造临时RobotPlan并执行</x:v>
      </x:c>
      <x:c r="D35" s="58" t="str">
        <x:v>控制器执行路径</x:v>
      </x:c>
      <x:c r="E35" s="58" t="str">
        <x:v>complete/fault/cancel</x:v>
      </x:c>
      <x:c r="F35" s="58" t="str">
        <x:v>N/A</x:v>
      </x:c>
      <x:c r="G35" s="58" t="str">
        <x:v>Point/Plan/Command</x:v>
      </x:c>
      <x:c r="H35" s="58" t="str">
        <x:v>integration</x:v>
      </x:c>
      <x:c r="I35" s="58" t="str">
        <x:v>危险动作需二次确认按策略</x:v>
      </x:c>
    </x:row>
    <x:row r="36">
      <x:c r="A36" s="66" t="str">
        <x:v>Step Path</x:v>
      </x:c>
      <x:c r="B36" s="66" t="str">
        <x:v>Paused at segment/node boundary</x:v>
      </x:c>
      <x:c r="C36" s="66" t="str">
        <x:v>执行当前segment/节点</x:v>
      </x:c>
      <x:c r="D36" s="66" t="str">
        <x:v>控制器按完整命令完成</x:v>
      </x:c>
      <x:c r="E36" s="66" t="str">
        <x:v>下一Boundary</x:v>
      </x:c>
      <x:c r="F36" s="66" t="str">
        <x:v>N/A</x:v>
      </x:c>
      <x:c r="G36" s="66" t="str">
        <x:v>SegmentId</x:v>
      </x:c>
      <x:c r="H36" s="66" t="str">
        <x:v>step tests</x:v>
      </x:c>
      <x:c r="I36" s="66" t="str">
        <x:v>不能对正在插补的轨迹做伪逐周期Step</x:v>
      </x:c>
    </x:row>
    <x:row r="37">
      <x:c r="A37" s="58" t="str">
        <x:v>Run To Segment</x:v>
      </x:c>
      <x:c r="B37" s="58" t="str">
        <x:v>设置临时Boundary</x:v>
      </x:c>
      <x:c r="C37" s="58" t="str">
        <x:v>正常执行中间segment</x:v>
      </x:c>
      <x:c r="D37" s="58" t="str">
        <x:v>控制器执行</x:v>
      </x:c>
      <x:c r="E37" s="58" t="str">
        <x:v>目标segment前/后暂停</x:v>
      </x:c>
      <x:c r="F37" s="58" t="str">
        <x:v>N/A</x:v>
      </x:c>
      <x:c r="G37" s="58" t="str">
        <x:v>Target segment</x:v>
      </x:c>
      <x:c r="H37" s="58" t="str">
        <x:v>runto</x:v>
      </x:c>
      <x:c r="I37" s="58" t="str">
        <x:v>不跳过中间动作</x:v>
      </x:c>
    </x:row>
    <x:row r="38">
      <x:c r="A38"/>
      <x:c r="B38"/>
      <x:c r="C38"/>
      <x:c r="D38"/>
      <x:c r="E38"/>
      <x:c r="F38"/>
      <x:c r="G38"/>
      <x:c r="H38"/>
      <x:c r="I38"/>
    </x:row>
    <x:row r="39" ht="24" customHeight="1">
      <x:c r="A39" s="40" t="str">
        <x:v>D. Frame / Tool / Vision引导在线验证</x:v>
      </x:c>
      <x:c r="B39" s="40"/>
      <x:c r="C39" s="40"/>
      <x:c r="D39" s="40"/>
      <x:c r="E39" s="40"/>
      <x:c r="F39" s="40"/>
      <x:c r="G39" s="40"/>
      <x:c r="H39" s="40"/>
      <x:c r="I39" s="40"/>
    </x:row>
    <x:row r="40" ht="28" customHeight="1">
      <x:c r="A40" s="50" t="str">
        <x:v>对象</x:v>
      </x:c>
      <x:c r="B40" s="50" t="str">
        <x:v>在线检查</x:v>
      </x:c>
      <x:c r="C40" s="50" t="str">
        <x:v>可Override</x:v>
      </x:c>
      <x:c r="D40" s="50" t="str">
        <x:v>风险控制</x:v>
      </x:c>
      <x:c r="E40" s="50" t="str">
        <x:v>执行前验证</x:v>
      </x:c>
      <x:c r="F40" s="50" t="str">
        <x:v>Debug表现</x:v>
      </x:c>
      <x:c r="G40" s="50" t="str">
        <x:v>Promote</x:v>
      </x:c>
      <x:c r="H40" s="50" t="str">
        <x:v>测试</x:v>
      </x:c>
      <x:c r="I40" s="50" t="str">
        <x:v>规则</x:v>
      </x:c>
    </x:row>
    <x:row r="41">
      <x:c r="A41" s="66" t="str">
        <x:v>Frame</x:v>
      </x:c>
      <x:c r="B41" s="66" t="str">
        <x:v>Resolved transform链/版本/来源</x:v>
      </x:c>
      <x:c r="C41" s="66" t="str">
        <x:v>Test Session offset可选</x:v>
      </x:c>
      <x:c r="D41" s="66" t="str">
        <x:v>超限/断链阻止</x:v>
      </x:c>
      <x:c r="E41" s="66" t="str">
        <x:v>Parent/Unit/Calibration valid</x:v>
      </x:c>
      <x:c r="F41" s="66" t="str">
        <x:v>坐标轴/数值Diff</x:v>
      </x:c>
      <x:c r="G41" s="66" t="str">
        <x:v>ChangeSet</x:v>
      </x:c>
      <x:c r="H41" s="66" t="str">
        <x:v>transform</x:v>
      </x:c>
      <x:c r="I41" s="66"/>
    </x:row>
    <x:row r="42">
      <x:c r="A42" s="58" t="str">
        <x:v>Tool TCP</x:v>
      </x:c>
      <x:c r="B42" s="58" t="str">
        <x:v>Active vs Design/TCP/Payload</x:v>
      </x:c>
      <x:c r="C42" s="58" t="str">
        <x:v>Debug scope可选</x:v>
      </x:c>
      <x:c r="D42" s="58" t="str">
        <x:v>控制器能力/负载限制</x:v>
      </x:c>
      <x:c r="E42" s="58" t="str">
        <x:v>Tool compatible/active</x:v>
      </x:c>
      <x:c r="F42" s="58" t="str">
        <x:v>TCP marker/Diff</x:v>
      </x:c>
      <x:c r="G42" s="58" t="str">
        <x:v>正式Tool版本</x:v>
      </x:c>
      <x:c r="H42" s="58" t="str">
        <x:v>tool tests</x:v>
      </x:c>
      <x:c r="I42" s="58" t="str">
        <x:v>平台不替代控制器负载安全</x:v>
      </x:c>
    </x:row>
    <x:row r="43">
      <x:c r="A43" s="66" t="str">
        <x:v>WorkObject</x:v>
      </x:c>
      <x:c r="B43" s="66" t="str">
        <x:v>Resolved pose/Product mapping</x:v>
      </x:c>
      <x:c r="C43" s="66" t="str">
        <x:v>Debug offset可选</x:v>
      </x:c>
      <x:c r="D43" s="66" t="str">
        <x:v>版本/产品匹配</x:v>
      </x:c>
      <x:c r="E43" s="66" t="str">
        <x:v>Frame chain valid</x:v>
      </x:c>
      <x:c r="F43" s="66" t="str">
        <x:v>Overlay/Diff</x:v>
      </x:c>
      <x:c r="G43" s="66" t="str">
        <x:v>ChangeSet</x:v>
      </x:c>
      <x:c r="H43" s="66" t="str">
        <x:v>wobj tests</x:v>
      </x:c>
      <x:c r="I43" s="66"/>
    </x:row>
    <x:row r="44">
      <x:c r="A44" s="58" t="str">
        <x:v>Vision Pose</x:v>
      </x:c>
      <x:c r="B44" s="58" t="str">
        <x:v>SourceRun/Quality/Timestamp/Frame</x:v>
      </x:c>
      <x:c r="C44" s="58" t="str">
        <x:v>Test Task offset</x:v>
      </x:c>
      <x:c r="D44" s="58" t="str">
        <x:v>Stale/BadQuality/异常偏移阻止</x:v>
      </x:c>
      <x:c r="E44" s="58" t="str">
        <x:v>Quality&gt;=policy/age/frame/transform/limits</x:v>
      </x:c>
      <x:c r="F44" s="58" t="str">
        <x:v>source→transform→target链</x:v>
      </x:c>
      <x:c r="G44" s="58" t="str">
        <x:v>算法/映射修改回Vision/Inspection</x:v>
      </x:c>
      <x:c r="H44" s="58" t="str">
        <x:v>vision-guided E2E</x:v>
      </x:c>
      <x:c r="I44" s="58" t="str">
        <x:v>绝不只看XYZ数值直接Move</x:v>
      </x:c>
    </x:row>
    <x:row r="45">
      <x:c r="A45" s="66" t="str">
        <x:v>External Axis</x:v>
      </x:c>
      <x:c r="B45" s="66" t="str">
        <x:v>Robot+Axis状态/Coordination capability</x:v>
      </x:c>
      <x:c r="C45" s="66" t="str">
        <x:v>少量目标参数</x:v>
      </x:c>
      <x:c r="D45" s="66" t="str">
        <x:v>资源/Capability</x:v>
      </x:c>
      <x:c r="E45" s="66" t="str">
        <x:v>Controller supports sync</x:v>
      </x:c>
      <x:c r="F45" s="66" t="str">
        <x:v>联合Timeline</x:v>
      </x:c>
      <x:c r="G45" s="66" t="str">
        <x:v>Program change</x:v>
      </x:c>
      <x:c r="H45" s="66" t="str">
        <x:v>sync tests</x:v>
      </x:c>
      <x:c r="I45" s="66" t="str">
        <x:v>不支持时禁止伪同步</x:v>
      </x:c>
    </x:row>
    <x:row r="46">
      <x:c r="A46"/>
      <x:c r="B46"/>
      <x:c r="C46"/>
      <x:c r="D46"/>
      <x:c r="E46"/>
      <x:c r="F46"/>
      <x:c r="G46"/>
      <x:c r="H46"/>
      <x:c r="I46"/>
    </x:row>
    <x:row r="47" ht="24" customHeight="1">
      <x:c r="A47" s="40" t="str">
        <x:v>E. 断线/故障与恢复</x:v>
      </x:c>
      <x:c r="B47" s="40"/>
      <x:c r="C47" s="40"/>
      <x:c r="D47" s="40"/>
      <x:c r="E47" s="40"/>
      <x:c r="F47" s="40"/>
      <x:c r="G47" s="40"/>
      <x:c r="H47" s="40"/>
      <x:c r="I47" s="40"/>
    </x:row>
    <x:row r="48" ht="28" customHeight="1">
      <x:c r="A48" s="50" t="str">
        <x:v>故障</x:v>
      </x:c>
      <x:c r="B48" s="50" t="str">
        <x:v>Studio显示</x:v>
      </x:c>
      <x:c r="C48" s="50" t="str">
        <x:v>Target/Controller行为</x:v>
      </x:c>
      <x:c r="D48" s="50" t="str">
        <x:v>可操作</x:v>
      </x:c>
      <x:c r="E48" s="50" t="str">
        <x:v>重连后</x:v>
      </x:c>
      <x:c r="F48" s="50" t="str">
        <x:v>证据</x:v>
      </x:c>
      <x:c r="G48" s="50" t="str">
        <x:v>是否Retry</x:v>
      </x:c>
      <x:c r="H48" s="50" t="str">
        <x:v>测试</x:v>
      </x:c>
      <x:c r="I48" s="50" t="str">
        <x:v>备注</x:v>
      </x:c>
    </x:row>
    <x:row r="49">
      <x:c r="A49" s="58" t="str">
        <x:v>Debug Client断线</x:v>
      </x:c>
      <x:c r="B49" s="58" t="str">
        <x:v>DetachedUnknown</x:v>
      </x:c>
      <x:c r="C49" s="58" t="str">
        <x:v>Controller/Runtime按Policy继续/安全态</x:v>
      </x:c>
      <x:c r="D49" s="58" t="str">
        <x:v>Reconnect/Query；不盲重发Move</x:v>
      </x:c>
      <x:c r="E49" s="58" t="str">
        <x:v>读取Program/Command state</x:v>
      </x:c>
      <x:c r="F49" s="58" t="str">
        <x:v>CommandId/RobotState</x:v>
      </x:c>
      <x:c r="G49" s="58" t="str">
        <x:v>N/A</x:v>
      </x:c>
      <x:c r="H49" s="58" t="str">
        <x:v>network</x:v>
      </x:c>
      <x:c r="I49" s="58"/>
    </x:row>
    <x:row r="50">
      <x:c r="A50" s="66" t="str">
        <x:v>Controller Offline</x:v>
      </x:c>
      <x:c r="B50" s="66" t="str">
        <x:v>Robot Offline</x:v>
      </x:c>
      <x:c r="C50" s="66" t="str">
        <x:v>当前命令按Adapter fault</x:v>
      </x:c>
      <x:c r="D50" s="66" t="str">
        <x:v>Cancel/等待Reconnect/人工</x:v>
      </x:c>
      <x:c r="E50" s="66" t="str">
        <x:v>重新Capabilities/State握手</x:v>
      </x:c>
      <x:c r="F50" s="66" t="str">
        <x:v>provider trace</x:v>
      </x:c>
      <x:c r="G50" s="66" t="str">
        <x:v>视Policy</x:v>
      </x:c>
      <x:c r="H50" s="66" t="str">
        <x:v>disconnect</x:v>
      </x:c>
      <x:c r="I50" s="66"/>
    </x:row>
    <x:row r="51">
      <x:c r="A51" s="58" t="str">
        <x:v>Robot Alarm</x:v>
      </x:c>
      <x:c r="B51" s="58" t="str">
        <x:v>Fault + alarm code/state</x:v>
      </x:c>
      <x:c r="C51" s="58" t="str">
        <x:v>控制器进入自身故障状态</x:v>
      </x:c>
      <x:c r="D51" s="58" t="str">
        <x:v>Inspect/Reset(受限)/Abort</x:v>
      </x:c>
      <x:c r="E51" s="58" t="str">
        <x:v>重新验证Servo/Mode/Position</x:v>
      </x:c>
      <x:c r="F51" s="58" t="str">
        <x:v>Alarm+last command</x:v>
      </x:c>
      <x:c r="G51" s="58" t="str">
        <x:v>视错误</x:v>
      </x:c>
      <x:c r="H51" s="58" t="str">
        <x:v>alarm</x:v>
      </x:c>
      <x:c r="I51" s="58"/>
    </x:row>
    <x:row r="52">
      <x:c r="A52" s="66" t="str">
        <x:v>Path fault/Unreachable</x:v>
      </x:c>
      <x:c r="B52" s="66" t="str">
        <x:v>Node/Segment Fault</x:v>
      </x:c>
      <x:c r="C52" s="66" t="str">
        <x:v>控制器拒绝/停止</x:v>
      </x:c>
      <x:c r="D52" s="66" t="str">
        <x:v>Inspect/modify Design/Test override</x:v>
      </x:c>
      <x:c r="E52" s="66" t="str">
        <x:v>新Plan</x:v>
      </x:c>
      <x:c r="F52" s="66" t="str">
        <x:v>Target/Pose/Frame/Controller error</x:v>
      </x:c>
      <x:c r="G52" s="66" t="str">
        <x:v>新Attempt</x:v>
      </x:c>
      <x:c r="H52" s="66" t="str">
        <x:v>path fault</x:v>
      </x:c>
      <x:c r="I52" s="66"/>
    </x:row>
    <x:row r="53">
      <x:c r="A53" s="58" t="str">
        <x:v>Vision guidance invalid</x:v>
      </x:c>
      <x:c r="B53" s="58" t="str">
        <x:v>Move未发出</x:v>
      </x:c>
      <x:c r="C53" s="58" t="str">
        <x:v>无动作</x:v>
      </x:c>
      <x:c r="D53" s="58" t="str">
        <x:v>Inspect Vision/Frame/Quality</x:v>
      </x:c>
      <x:c r="E53" s="58" t="str">
        <x:v>重新Run Vision或人工</x:v>
      </x:c>
      <x:c r="F53" s="58" t="str">
        <x:v>SourceRun/Quality/Transform</x:v>
      </x:c>
      <x:c r="G53" s="58" t="str">
        <x:v>可</x:v>
      </x:c>
      <x:c r="H53" s="58" t="str">
        <x:v>quality</x:v>
      </x:c>
      <x:c r="I53" s="58" t="str">
        <x:v>安全优先</x:v>
      </x:c>
    </x:row>
    <x:row r="54">
      <x:c r="A54" s="66" t="str">
        <x:v>Teach session lost</x:v>
      </x:c>
      <x:c r="B54" s="66" t="str">
        <x:v>Maintenance session lost</x:v>
      </x:c>
      <x:c r="C54" s="66" t="str">
        <x:v>停止新Jog命令；controller自身hold/stop行为按策略</x:v>
      </x:c>
      <x:c r="D54" s="66" t="str">
        <x:v>Reconnect/确认Robot静止</x:v>
      </x:c>
      <x:c r="E54" s="66" t="str">
        <x:v>清Session overrides</x:v>
      </x:c>
      <x:c r="F54" s="66" t="str">
        <x:v>Audit/lease state</x:v>
      </x:c>
      <x:c r="G54" s="66" t="str">
        <x:v>N/A</x:v>
      </x:c>
      <x:c r="H54" s="66" t="str">
        <x:v>client crash</x:v>
      </x:c>
      <x:c r="I54" s="66"/>
    </x:row>
    <x:row r="56">
      <x:c r="A56" t="str">
        <x:v>F. 历史 Robot Contextual Debug UI（V6.4继续有效）</x:v>
      </x:c>
      <x:c r="B56"/>
      <x:c r="C56"/>
      <x:c r="D56"/>
      <x:c r="E56"/>
      <x:c r="F56"/>
      <x:c r="G56"/>
      <x:c r="H56"/>
      <x:c r="I56"/>
    </x:row>
    <x:row r="57">
      <x:c r="A57" t="str">
        <x:v>上下文页签</x:v>
      </x:c>
      <x:c r="B57" t="str">
        <x:v>主要区域</x:v>
      </x:c>
      <x:c r="C57" t="str">
        <x:v>Debug能力</x:v>
      </x:c>
      <x:c r="D57" t="str">
        <x:v>安全/写策略</x:v>
      </x:c>
      <x:c r="E57" t="str">
        <x:v>DesignRef</x:v>
      </x:c>
      <x:c r="F57"/>
      <x:c r="G57"/>
      <x:c r="H57"/>
      <x:c r="I57"/>
    </x:row>
    <x:row r="58">
      <x:c r="A58" t="str">
        <x:v>机器人</x:v>
      </x:c>
      <x:c r="B58" t="str">
        <x:v>Controller/Joint/Pose/Frame/Tool/ExternalAxis/Safety</x:v>
      </x:c>
      <x:c r="C58" t="str">
        <x:v>状态快照/Mode/Servo/Alarm/Actual/Target</x:v>
      </x:c>
      <x:c r="D58" t="str">
        <x:v>默认只读；受控命令Auth+Interlock+Lease</x:v>
      </x:c>
      <x:c r="E58" t="str">
        <x:v>45</x:v>
      </x:c>
      <x:c r="F58"/>
      <x:c r="G58"/>
      <x:c r="H58"/>
      <x:c r="I58"/>
    </x:row>
    <x:row r="59">
      <x:c r="A59" t="str">
        <x:v>路径</x:v>
      </x:c>
      <x:c r="B59" t="str">
        <x:v>Point/Path/CurrentSegment/Preview</x:v>
      </x:c>
      <x:c r="C59" t="str">
        <x:v>RunTo/Segment状态/目标-实际/路径预览</x:v>
      </x:c>
      <x:c r="D59" t="str">
        <x:v>Preview不是安全验证</x:v>
      </x:c>
      <x:c r="E59" t="str">
        <x:v>45</x:v>
      </x:c>
      <x:c r="F59"/>
      <x:c r="G59"/>
      <x:c r="H59"/>
      <x:c r="I59"/>
    </x:row>
    <x:row r="60">
      <x:c r="A60" t="str">
        <x:v>示教</x:v>
      </x:c>
      <x:c r="B60" t="str">
        <x:v>Jog/Teach Point/Set TCP/Set Frame/Online Position</x:v>
      </x:c>
      <x:c r="C60" t="str">
        <x:v>进入Teach/Maintenance Session</x:v>
      </x:c>
      <x:c r="D60" t="str">
        <x:v>Target最终裁决；Promote后才写工程Definition</x:v>
      </x:c>
      <x:c r="E60" t="str">
        <x:v>45</x:v>
      </x:c>
      <x:c r="F60"/>
      <x:c r="G60"/>
      <x:c r="H60"/>
      <x:c r="I60"/>
    </x:row>
    <x:row r="61">
      <x:c r="A61" t="str">
        <x:v>统一诊断</x:v>
      </x:c>
      <x:c r="B61" t="str">
        <x:v>Watch/Trace/Timeline/Resource/Correlation</x:v>
      </x:c>
      <x:c r="C61" t="str">
        <x:v>跨Motion/Robot/Vision Guidance</x:v>
      </x:c>
      <x:c r="D61" t="str">
        <x:v>共用Studio Dock</x:v>
      </x:c>
      <x:c r="E61" t="str">
        <x:v>45</x:v>
      </x:c>
      <x:c r="F61"/>
      <x:c r="G61"/>
      <x:c r="H61"/>
      <x:c r="I61"/>
    </x:row>
    <x:row r="62">
      <x:c r="A62" t="str">
        <x:v>Context切换</x:v>
      </x:c>
      <x:c r="B62" t="str">
        <x:v>活动Robot Document决定页签</x:v>
      </x:c>
      <x:c r="C62" t="str">
        <x:v>切走隐藏并释放UI订阅</x:v>
      </x:c>
      <x:c r="D62" t="str">
        <x:v>不建独立Robot Studio</x:v>
      </x:c>
      <x:c r="E62" t="str">
        <x:v>45</x:v>
      </x:c>
      <x:c r="F62"/>
      <x:c r="G62"/>
      <x:c r="H62"/>
      <x:c r="I62"/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42" hidden="0" customWidth="1"/>
    <x:col min="4" max="4" width="34" hidden="0" customWidth="1"/>
    <x:col min="5" max="5" width="32" hidden="0" customWidth="1"/>
    <x:col min="6" max="6" width="32" hidden="0" customWidth="1"/>
    <x:col min="7" max="7" width="30" hidden="0" customWidth="1"/>
    <x:col min="8" max="8" width="28" hidden="0" customWidth="1"/>
    <x:col min="9" max="9" width="30" hidden="0" customWidth="1"/>
  </x:cols>
  <x:sheetData>
    <x:row r="1" ht="30" customHeight="1">
      <x:c r="A1" s="8" t="str">
        <x:v>Vision Pipeline — 完整开发蓝图</x:v>
      </x:c>
      <x:c r="B1" s="8"/>
      <x:c r="C1" s="8"/>
      <x:c r="D1" s="8"/>
      <x:c r="E1" s="8"/>
      <x:c r="F1" s="8"/>
      <x:c r="G1" s="8"/>
      <x:c r="H1" s="8"/>
      <x:c r="I1" s="8"/>
    </x:row>
    <x:row r="2" ht="38" customHeight="1">
      <x:c r="A2" s="16" t="str">
        <x:v>Vision Domain HOW权威页：覆盖Typed DAG、ROI/Sample/Model/Calibration、传统算法/AI、GPU/Worker、大对象生命周期、Batch/Golden。</x:v>
      </x:c>
      <x:c r="B2" s="16"/>
      <x:c r="C2" s="16"/>
      <x:c r="D2" s="16"/>
      <x:c r="E2" s="16"/>
      <x:c r="F2" s="16"/>
      <x:c r="G2" s="16"/>
      <x:c r="H2" s="16"/>
      <x:c r="I2" s="16"/>
    </x:row>
    <x:row r="3">
      <x:c r="A3" s="30" t="str">
        <x:v>本页唯一权威</x:v>
      </x:c>
      <x:c r="B3" s="31" t="str">
        <x:v>Vision Studio、Typed Ports/DataHandle、Compiler/Scheduler、Algorithm Adapter、GPU/Worker、Memory/Artifact、Quality与测试。</x:v>
      </x:c>
      <x:c r="C3" s="31"/>
      <x:c r="D3" s="31"/>
      <x:c r="E3" s="31"/>
      <x:c r="F3" s="31"/>
      <x:c r="G3" s="31"/>
      <x:c r="H3" s="31"/>
      <x:c r="I3" s="31"/>
    </x:row>
    <x:row r="4">
      <x:c r="A4" s="30" t="str">
        <x:v>不在本页维护</x:v>
      </x:c>
      <x:c r="B4" s="31" t="str">
        <x:v>公共Graph/Type/Debug/Resource机制（见19~26）；Live Tuning（见32）；CT/3D专业扩展（见33）。</x:v>
      </x:c>
      <x:c r="C4" s="31"/>
      <x:c r="D4" s="31"/>
      <x:c r="E4" s="31"/>
      <x:c r="F4" s="31"/>
      <x:c r="G4" s="31"/>
      <x:c r="H4" s="31"/>
      <x:c r="I4" s="31"/>
    </x:row>
    <x:row r="5">
      <x:c r="A5" s="30" t="str">
        <x:v>关联分页</x:v>
      </x:c>
      <x:c r="B5" s="31" t="str">
        <x:v>19~26_Graph平台；32_Vision在线调试；33_CT3D完整开发蓝图；37_跨域执行E2E；45_StudioShell与Ribbon基线。</x:v>
      </x:c>
      <x:c r="C5" s="31"/>
      <x:c r="D5" s="31"/>
      <x:c r="E5" s="31"/>
      <x:c r="F5" s="31"/>
      <x:c r="G5" s="31"/>
      <x:c r="H5" s="31"/>
      <x:c r="I5" s="31"/>
    </x:row>
    <x:row r="6">
      <x:c r="A6"/>
      <x:c r="B6"/>
      <x:c r="C6"/>
      <x:c r="D6"/>
      <x:c r="E6"/>
      <x:c r="F6"/>
      <x:c r="G6"/>
      <x:c r="H6"/>
      <x:c r="I6"/>
    </x:row>
    <x:row r="7" ht="24" customHeight="1">
      <x:c r="A7" s="40" t="str">
        <x:v>A. 领域定位与边界</x:v>
      </x:c>
      <x:c r="B7" s="40"/>
      <x:c r="C7" s="40"/>
      <x:c r="D7" s="40"/>
      <x:c r="E7" s="40"/>
      <x:c r="F7" s="40"/>
      <x:c r="G7" s="40"/>
      <x:c r="H7" s="40"/>
      <x:c r="I7" s="40"/>
    </x:row>
    <x:row r="8" ht="28" customHeight="1">
      <x:c r="A8" s="50" t="str">
        <x:v>主题</x:v>
      </x:c>
      <x:c r="B8" s="50" t="str">
        <x:v>正式定位</x:v>
      </x:c>
      <x:c r="C8" s="50" t="str">
        <x:v>边界</x:v>
      </x:c>
      <x:c r="D8" s="50"/>
      <x:c r="E8" s="50"/>
      <x:c r="F8" s="50"/>
      <x:c r="G8" s="50"/>
      <x:c r="H8" s="50"/>
      <x:c r="I8" s="50"/>
    </x:row>
    <x:row r="9">
      <x:c r="A9" s="58" t="str">
        <x:v>执行语义</x:v>
      </x:c>
      <x:c r="B9" s="58" t="str">
        <x:v>TypedDataFlow</x:v>
      </x:c>
      <x:c r="C9" s="58" t="str">
        <x:v>Port之间传Image/Region/Detection/Measurement等强类型数据</x:v>
      </x:c>
      <x:c r="D9" s="58"/>
      <x:c r="E9" s="58"/>
      <x:c r="F9" s="58"/>
      <x:c r="G9" s="58"/>
      <x:c r="H9" s="58"/>
      <x:c r="I9" s="58"/>
    </x:row>
    <x:row r="10">
      <x:c r="A10" s="66" t="str">
        <x:v>负责</x:v>
      </x:c>
      <x:c r="B10" s="66" t="str">
        <x:v>Sample/ROI/Model/Calibration/传统算法/AI/GPU/Worker/Golden/Streaming</x:v>
      </x:c>
      <x:c r="C10" s="66" t="str">
        <x:v>算法工程平台</x:v>
      </x:c>
      <x:c r="D10" s="66"/>
      <x:c r="E10" s="66"/>
      <x:c r="F10" s="66"/>
      <x:c r="G10" s="66"/>
      <x:c r="H10" s="66"/>
      <x:c r="I10" s="66"/>
    </x:row>
    <x:row r="11">
      <x:c r="A11" s="58" t="str">
        <x:v>不负责</x:v>
      </x:c>
      <x:c r="B11" s="58" t="str">
        <x:v>产品Task/MES/复测业务</x:v>
      </x:c>
      <x:c r="C11" s="58" t="str">
        <x:v>这些由Inspection组织</x:v>
      </x:c>
      <x:c r="D11" s="58"/>
      <x:c r="E11" s="58"/>
      <x:c r="F11" s="58"/>
      <x:c r="G11" s="58"/>
      <x:c r="H11" s="58"/>
      <x:c r="I11" s="58"/>
    </x:row>
    <x:row r="12">
      <x:c r="A12" s="66" t="str">
        <x:v>专业扩展</x:v>
      </x:c>
      <x:c r="B12" s="66" t="str">
        <x:v>CT3D 与 Vision 平级；可共享 Platform 的 DataHandle/Graph基础/Diagnostics/Worker模式，不依赖 Vision 内部 Runtime</x:v>
      </x:c>
      <x:c r="C12" s="66" t="str">
        <x:v>见33/34</x:v>
      </x:c>
      <x:c r="D12" s="66"/>
      <x:c r="E12" s="66"/>
      <x:c r="F12" s="66"/>
      <x:c r="G12" s="66"/>
      <x:c r="H12" s="66"/>
      <x:c r="I12" s="66"/>
    </x:row>
    <x:row r="13">
      <x:c r="A13"/>
      <x:c r="B13"/>
      <x:c r="C13"/>
      <x:c r="D13"/>
      <x:c r="E13"/>
      <x:c r="F13"/>
      <x:c r="G13"/>
      <x:c r="H13"/>
      <x:c r="I13"/>
    </x:row>
    <x:row r="14" ht="24" customHeight="1">
      <x:c r="A14" s="40" t="str">
        <x:v>A. Vision Studio 完整功能展望</x:v>
      </x:c>
      <x:c r="B14" s="40"/>
      <x:c r="C14" s="40"/>
      <x:c r="D14" s="40"/>
      <x:c r="E14" s="40"/>
      <x:c r="F14" s="40"/>
      <x:c r="G14" s="40"/>
      <x:c r="H14" s="40"/>
      <x:c r="I14" s="40"/>
    </x:row>
    <x:row r="15" ht="28" customHeight="1">
      <x:c r="A15" s="50" t="str">
        <x:v>功能区</x:v>
      </x:c>
      <x:c r="B15" s="50" t="str">
        <x:v>核心能力</x:v>
      </x:c>
      <x:c r="C15" s="50" t="str">
        <x:v>具体功能</x:v>
      </x:c>
      <x:c r="D15" s="50" t="str">
        <x:v>主要对象</x:v>
      </x:c>
      <x:c r="E15" s="50" t="str">
        <x:v>UI形态</x:v>
      </x:c>
      <x:c r="F15" s="50" t="str">
        <x:v>运行关联</x:v>
      </x:c>
      <x:c r="G15" s="50" t="str">
        <x:v>性能/资源</x:v>
      </x:c>
      <x:c r="H15" s="50"/>
      <x:c r="I15" s="50"/>
    </x:row>
    <x:row r="16">
      <x:c r="A16" s="58" t="str">
        <x:v>Pipeline导航</x:v>
      </x:c>
      <x:c r="B16" s="58" t="str">
        <x:v>算法流程管理</x:v>
      </x:c>
      <x:c r="C16" s="58" t="str">
        <x:v>Pipeline/SubPipeline/版本/依赖/引用查找/搜索/模板</x:v>
      </x:c>
      <x:c r="D16" s="58" t="str">
        <x:v>VisionPipeline</x:v>
      </x:c>
      <x:c r="E16" s="58" t="str">
        <x:v>Project Tree + Search</x:v>
      </x:c>
      <x:c r="F16" s="58" t="str">
        <x:v>Definition resolve</x:v>
      </x:c>
      <x:c r="G16" s="58" t="str">
        <x:v>轻量</x:v>
      </x:c>
      <x:c r="H16" s="58"/>
      <x:c r="I16" s="58"/>
    </x:row>
    <x:row r="17">
      <x:c r="A17" s="66" t="str">
        <x:v>节点工具箱</x:v>
      </x:c>
      <x:c r="B17" s="66" t="str">
        <x:v>算法节点Catalog</x:v>
      </x:c>
      <x:c r="C17" s="66" t="str">
        <x:v>输入/预处理/标定/传统/AI/3D/结果/输出/自定义插件分类、搜索、收藏</x:v>
      </x:c>
      <x:c r="D17" s="66" t="str">
        <x:v>VisionAlgorithmDescriptor</x:v>
      </x:c>
      <x:c r="E17" s="66" t="str">
        <x:v>Node Catalog</x:v>
      </x:c>
      <x:c r="F17" s="66" t="str">
        <x:v>Compiler/Executor</x:v>
      </x:c>
      <x:c r="G17" s="66" t="str">
        <x:v>Catalog lazy load</x:v>
      </x:c>
      <x:c r="H17" s="66"/>
      <x:c r="I17" s="66"/>
    </x:row>
    <x:row r="18">
      <x:c r="A18" s="58" t="str">
        <x:v>Vision画布</x:v>
      </x:c>
      <x:c r="B18" s="58" t="str">
        <x:v>Typed DAG编辑</x:v>
      </x:c>
      <x:c r="C18" s="58" t="str">
        <x:v>拖放、连线、Group、注释、SubPipeline、自动布局、MiniMap、连接类型提示</x:v>
      </x:c>
      <x:c r="D18" s="58" t="str">
        <x:v>VisionPipeline</x:v>
      </x:c>
      <x:c r="E18" s="58" t="str">
        <x:v>Graph Canvas</x:v>
      </x:c>
      <x:c r="F18" s="58" t="str">
        <x:v>VisionPlan</x:v>
      </x:c>
      <x:c r="G18" s="58" t="str">
        <x:v>大图不进入画布状态</x:v>
      </x:c>
      <x:c r="H18" s="58"/>
      <x:c r="I18" s="58"/>
    </x:row>
    <x:row r="19">
      <x:c r="A19" s="66" t="str">
        <x:v>属性参数</x:v>
      </x:c>
      <x:c r="B19" s="66" t="str">
        <x:v>算法参数工程化</x:v>
      </x:c>
      <x:c r="C19" s="66" t="str">
        <x:v>类型/单位/范围/枚举/表达式/Recipe/变量/模型/标定引用；参数搜索与高级模式</x:v>
      </x:c>
      <x:c r="D19" s="66" t="str">
        <x:v>Algorithm Parameters</x:v>
      </x:c>
      <x:c r="E19" s="66" t="str">
        <x:v>Inspector</x:v>
      </x:c>
      <x:c r="F19" s="66" t="str">
        <x:v>NodePlan</x:v>
      </x:c>
      <x:c r="G19" s="66" t="str">
        <x:v>参数元数据缓存</x:v>
      </x:c>
      <x:c r="H19" s="66"/>
      <x:c r="I19" s="66"/>
    </x:row>
    <x:row r="20">
      <x:c r="A20" s="58" t="str">
        <x:v>ROI/几何编辑</x:v>
      </x:c>
      <x:c r="B20" s="58" t="str">
        <x:v>可视化ROI/Region/Pose编辑</x:v>
      </x:c>
      <x:c r="C20" s="58" t="str">
        <x:v>矩形/圆/多边形/线/点/多ROI/相对ROI/坐标系/跟随定位</x:v>
      </x:c>
      <x:c r="D20" s="58" t="str">
        <x:v>Geometry/ROI models</x:v>
      </x:c>
      <x:c r="E20" s="58" t="str">
        <x:v>Image Canvas Overlay</x:v>
      </x:c>
      <x:c r="F20" s="58" t="str">
        <x:v>算法输入</x:v>
      </x:c>
      <x:c r="G20" s="58" t="str">
        <x:v>只存平台几何值对象</x:v>
      </x:c>
      <x:c r="H20" s="58"/>
      <x:c r="I20" s="58"/>
    </x:row>
    <x:row r="21">
      <x:c r="A21" s="66" t="str">
        <x:v>样本管理</x:v>
      </x:c>
      <x:c r="B21" s="66" t="str">
        <x:v>离线数据集与分类</x:v>
      </x:c>
      <x:c r="C21" s="66" t="str">
        <x:v>样本导入/标签/分组/版本/缺陷类别/产品/点位/Golden集合</x:v>
      </x:c>
      <x:c r="D21" s="66" t="str">
        <x:v>SampleSet</x:v>
      </x:c>
      <x:c r="E21" s="66" t="str">
        <x:v>Sample Explorer</x:v>
      </x:c>
      <x:c r="F21" s="66" t="str">
        <x:v>Replay/Batch</x:v>
      </x:c>
      <x:c r="G21" s="66" t="str">
        <x:v>大文件索引/懒加载</x:v>
      </x:c>
      <x:c r="H21" s="66"/>
      <x:c r="I21" s="66"/>
    </x:row>
    <x:row r="22">
      <x:c r="A22" s="58" t="str">
        <x:v>模型管理</x:v>
      </x:c>
      <x:c r="B22" s="58" t="str">
        <x:v>AI模型生命周期</x:v>
      </x:c>
      <x:c r="C22" s="58" t="str">
        <x:v>ONNX/TensorRT/模型元数据/Input shape/Class map/版本/Hash/预热策略</x:v>
      </x:c>
      <x:c r="D22" s="58" t="str">
        <x:v>ModelArtifact</x:v>
      </x:c>
      <x:c r="E22" s="58" t="str">
        <x:v>Model Manager</x:v>
      </x:c>
      <x:c r="F22" s="58" t="str">
        <x:v>Worker/Runtime</x:v>
      </x:c>
      <x:c r="G22" s="58" t="str">
        <x:v>显存/缓存</x:v>
      </x:c>
      <x:c r="H22" s="58"/>
      <x:c r="I22" s="58"/>
    </x:row>
    <x:row r="23">
      <x:c r="A23" s="66" t="str">
        <x:v>标定管理</x:v>
      </x:c>
      <x:c r="B23" s="66" t="str">
        <x:v>相机/XRay/几何校正</x:v>
      </x:c>
      <x:c r="C23" s="66" t="str">
        <x:v>FlatField/DarkField/Geometric/Pixel/Coordinate/CAD calibration版本与适用条件</x:v>
      </x:c>
      <x:c r="D23" s="66" t="str">
        <x:v>CalibrationArtifact</x:v>
      </x:c>
      <x:c r="E23" s="66" t="str">
        <x:v>Calibration Manager</x:v>
      </x:c>
      <x:c r="F23" s="66" t="str">
        <x:v>Runtime resolve</x:v>
      </x:c>
      <x:c r="G23" s="66" t="str">
        <x:v>大文件内容寻址</x:v>
      </x:c>
      <x:c r="H23" s="66"/>
      <x:c r="I23" s="66"/>
    </x:row>
    <x:row r="24">
      <x:c r="A24" s="58" t="str">
        <x:v>中间数据Viewer</x:v>
      </x:c>
      <x:c r="B24" s="58" t="str">
        <x:v>节点/端口数据可视化</x:v>
      </x:c>
      <x:c r="C24" s="58" t="str">
        <x:v>Image/Region/Mask/Detection/Measurement/Table/Histogram/Profile/3D Slice/Volume摘要</x:v>
      </x:c>
      <x:c r="D24" s="58" t="str">
        <x:v>VisionDataHandle</x:v>
      </x:c>
      <x:c r="E24" s="58" t="str">
        <x:v>Dock/Data Viewer</x:v>
      </x:c>
      <x:c r="F24" s="58" t="str">
        <x:v>Debug</x:v>
      </x:c>
      <x:c r="G24" s="58" t="str">
        <x:v>按需拉取/懒加载</x:v>
      </x:c>
      <x:c r="H24" s="58"/>
      <x:c r="I24" s="58"/>
    </x:row>
    <x:row r="25">
      <x:c r="A25" s="66" t="str">
        <x:v>性能分析</x:v>
      </x:c>
      <x:c r="B25" s="66" t="str">
        <x:v>Pipeline性能剖析</x:v>
      </x:c>
      <x:c r="C25" s="66" t="str">
        <x:v>节点耗时/队列/CPU/GPU/VRAM/Buffer/Cache/Worker/Frame drop</x:v>
      </x:c>
      <x:c r="D25" s="66" t="str">
        <x:v>VisionTrace/Health</x:v>
      </x:c>
      <x:c r="E25" s="66" t="str">
        <x:v>Timeline/Profiler</x:v>
      </x:c>
      <x:c r="F25" s="66" t="str">
        <x:v>Runtime</x:v>
      </x:c>
      <x:c r="G25" s="66" t="str">
        <x:v>有界Telemetry</x:v>
      </x:c>
      <x:c r="H25" s="66"/>
      <x:c r="I25" s="66"/>
    </x:row>
    <x:row r="26">
      <x:c r="A26" s="58" t="str">
        <x:v>批量测试</x:v>
      </x:c>
      <x:c r="B26" s="58" t="str">
        <x:v>数据集回归</x:v>
      </x:c>
      <x:c r="C26" s="58" t="str">
        <x:v>对SampleSet批量执行、统计Pass/Fail/缺陷指标/耗时、版本对比</x:v>
      </x:c>
      <x:c r="D26" s="58" t="str">
        <x:v>BatchRunDefinition</x:v>
      </x:c>
      <x:c r="E26" s="58" t="str">
        <x:v>Batch Test Workspace</x:v>
      </x:c>
      <x:c r="F26" s="58" t="str">
        <x:v>VisionRuntime</x:v>
      </x:c>
      <x:c r="G26" s="58" t="str">
        <x:v>资源调度</x:v>
      </x:c>
      <x:c r="H26" s="58"/>
      <x:c r="I26" s="58"/>
    </x:row>
    <x:row r="27">
      <x:c r="A27" s="66" t="str">
        <x:v>Golden回归</x:v>
      </x:c>
      <x:c r="B27" s="66" t="str">
        <x:v>算法质量门禁</x:v>
      </x:c>
      <x:c r="C27" s="66" t="str">
        <x:v>固定输入/版本/容差/期望Detection/Measurement/图像摘要</x:v>
      </x:c>
      <x:c r="D27" s="66" t="str">
        <x:v>GoldenCase</x:v>
      </x:c>
      <x:c r="E27" s="66" t="str">
        <x:v>QA panel</x:v>
      </x:c>
      <x:c r="F27" s="66" t="str">
        <x:v>CI/Runtime replay</x:v>
      </x:c>
      <x:c r="G27" s="66" t="str">
        <x:v>可复现</x:v>
      </x:c>
      <x:c r="H27" s="66"/>
      <x:c r="I27" s="66"/>
    </x:row>
    <x:row r="28">
      <x:c r="A28" s="58" t="str">
        <x:v>在线调试</x:v>
      </x:c>
      <x:c r="B28" s="58" t="str">
        <x:v>Live frame调试</x:v>
      </x:c>
      <x:c r="C28" s="58" t="str">
        <x:v>Freeze/SingleShot/Continuous/RunTo/RunNode/Bypass/Override/A-B Compare/Replay</x:v>
      </x:c>
      <x:c r="D28" s="58" t="str">
        <x:v>VisionDebugSession</x:v>
      </x:c>
      <x:c r="E28" s="58" t="str">
        <x:v>Debug Workspace</x:v>
      </x:c>
      <x:c r="F28" s="58" t="str">
        <x:v>VisionRuntime/Worker</x:v>
      </x:c>
      <x:c r="G28" s="58" t="str">
        <x:v>GPU/带宽</x:v>
      </x:c>
      <x:c r="H28" s="58"/>
      <x:c r="I28" s="58"/>
    </x:row>
    <x:row r="29">
      <x:c r="A29" s="66" t="str">
        <x:v>发布部署</x:v>
      </x:c>
      <x:c r="B29" s="66" t="str">
        <x:v>Pipeline+模型+插件固化</x:v>
      </x:c>
      <x:c r="C29" s="66" t="str">
        <x:v>Resolved Pipeline/Model/Calibration/Algorithm plugin/Worker capabilities/Hash</x:v>
      </x:c>
      <x:c r="D29" s="66" t="str">
        <x:v>VisionReleaseManifest</x:v>
      </x:c>
      <x:c r="E29" s="66" t="str">
        <x:v>Version/Publish</x:v>
      </x:c>
      <x:c r="F29" s="66" t="str">
        <x:v>Vision Worker</x:v>
      </x:c>
      <x:c r="G29" s="66" t="str">
        <x:v>模型/插件依赖</x:v>
      </x:c>
      <x:c r="H29" s="66"/>
      <x:c r="I29" s="66"/>
    </x:row>
    <x:row r="30">
      <x:c r="A30"/>
      <x:c r="B30"/>
      <x:c r="C30"/>
      <x:c r="D30"/>
      <x:c r="E30"/>
      <x:c r="F30"/>
      <x:c r="G30"/>
      <x:c r="H30"/>
      <x:c r="I30"/>
    </x:row>
    <x:row r="31" ht="24" customHeight="1">
      <x:c r="A31" s="40" t="str">
        <x:v>B. Vision 分层代码蓝图</x:v>
      </x:c>
      <x:c r="B31" s="40"/>
      <x:c r="C31" s="40"/>
      <x:c r="D31" s="40"/>
      <x:c r="E31" s="40"/>
      <x:c r="F31" s="40"/>
      <x:c r="G31" s="40"/>
      <x:c r="H31" s="40"/>
      <x:c r="I31" s="40"/>
    </x:row>
    <x:row r="32" ht="28" customHeight="1">
      <x:c r="A32" s="50" t="str">
        <x:v>层</x:v>
      </x:c>
      <x:c r="B32" s="50" t="str">
        <x:v>建议模块</x:v>
      </x:c>
      <x:c r="C32" s="50" t="str">
        <x:v>核心对象/接口</x:v>
      </x:c>
      <x:c r="D32" s="50" t="str">
        <x:v>职责</x:v>
      </x:c>
      <x:c r="E32" s="50" t="str">
        <x:v>输入</x:v>
      </x:c>
      <x:c r="F32" s="50" t="str">
        <x:v>输出</x:v>
      </x:c>
      <x:c r="G32" s="50" t="str">
        <x:v>UI依赖</x:v>
      </x:c>
      <x:c r="H32" s="50" t="str">
        <x:v>Native/GPU依赖</x:v>
      </x:c>
      <x:c r="I32" s="50" t="str">
        <x:v>开发原则</x:v>
      </x:c>
    </x:row>
    <x:row r="33">
      <x:c r="A33" s="58" t="str">
        <x:v>Designer.Wpf</x:v>
      </x:c>
      <x:c r="B33" s="58" t="str">
        <x:v>CxVisual.Vision.Designer.Wpf</x:v>
      </x:c>
      <x:c r="C33" s="58" t="str">
        <x:v>VisionDesignerView/ImageCanvas/DataViewer/ModelManager/Profiler</x:v>
      </x:c>
      <x:c r="D33" s="58" t="str">
        <x:v>图编辑、ROI、数据查看、参数调试</x:v>
      </x:c>
      <x:c r="E33" s="58" t="str">
        <x:v>ViewModels/Metadata</x:v>
      </x:c>
      <x:c r="F33" s="58" t="str">
        <x:v>Commands/User intents</x:v>
      </x:c>
      <x:c r="G33" s="58" t="str">
        <x:v>WPF</x:v>
      </x:c>
      <x:c r="H33" s="58" t="str">
        <x:v>无</x:v>
      </x:c>
      <x:c r="I33" s="58" t="str">
        <x:v>UI不拥有算法Buffer</x:v>
      </x:c>
    </x:row>
    <x:row r="34">
      <x:c r="A34" s="66" t="str">
        <x:v>Application</x:v>
      </x:c>
      <x:c r="B34" s="66" t="str">
        <x:v>CxVisual.Vision.Application</x:v>
      </x:c>
      <x:c r="C34" s="66" t="str">
        <x:v>VisionAuthoringService/SampleService/ParameterOverrideService/BatchRunService</x:v>
      </x:c>
      <x:c r="D34" s="66" t="str">
        <x:v>编辑用例、样本/版本/批量调试编排</x:v>
      </x:c>
      <x:c r="E34" s="66" t="str">
        <x:v>Definitions/Stores</x:v>
      </x:c>
      <x:c r="F34" s="66" t="str">
        <x:v>Commands/ChangeSets/Run specs</x:v>
      </x:c>
      <x:c r="G34" s="66" t="str">
        <x:v>无</x:v>
      </x:c>
      <x:c r="H34" s="66" t="str">
        <x:v>无</x:v>
      </x:c>
      <x:c r="I34" s="66" t="str">
        <x:v>可单测</x:v>
      </x:c>
    </x:row>
    <x:row r="35">
      <x:c r="A35" s="58" t="str">
        <x:v>Core</x:v>
      </x:c>
      <x:c r="B35" s="58" t="str">
        <x:v>CxVisual.Vision.Core</x:v>
      </x:c>
      <x:c r="C35" s="58" t="str">
        <x:v>VisionPipeline/Vision types/Algorithm descriptors/Artifact refs</x:v>
      </x:c>
      <x:c r="D35" s="58" t="str">
        <x:v>领域配置与公共数据契约</x:v>
      </x:c>
      <x:c r="E35" s="58" t="str">
        <x:v>工程配置</x:v>
      </x:c>
      <x:c r="F35" s="58" t="str">
        <x:v>Definition/Contracts</x:v>
      </x:c>
      <x:c r="G35" s="58" t="str">
        <x:v>无</x:v>
      </x:c>
      <x:c r="H35" s="58" t="str">
        <x:v>无</x:v>
      </x:c>
      <x:c r="I35" s="58" t="str">
        <x:v>纯POCO/平台类型</x:v>
      </x:c>
    </x:row>
    <x:row r="36">
      <x:c r="A36" s="66" t="str">
        <x:v>Validation</x:v>
      </x:c>
      <x:c r="B36" s="66" t="str">
        <x:v>Vision.Core/Validation</x:v>
      </x:c>
      <x:c r="C36" s="66" t="str">
        <x:v>VisionValidator/TypeRule/ModelRule/CalibrationRule</x:v>
      </x:c>
      <x:c r="D36" s="66" t="str">
        <x:v>DAG/类型/模型/资源/参数校验</x:v>
      </x:c>
      <x:c r="E36" s="66" t="str">
        <x:v>Definition+Project</x:v>
      </x:c>
      <x:c r="F36" s="66" t="str">
        <x:v>ValidationReport</x:v>
      </x:c>
      <x:c r="G36" s="66" t="str">
        <x:v>无</x:v>
      </x:c>
      <x:c r="H36" s="66" t="str">
        <x:v>无</x:v>
      </x:c>
      <x:c r="I36" s="66" t="str">
        <x:v>运行前发现错误</x:v>
      </x:c>
    </x:row>
    <x:row r="37">
      <x:c r="A37" s="58" t="str">
        <x:v>Compiler</x:v>
      </x:c>
      <x:c r="B37" s="58" t="str">
        <x:v>CxVisual.Vision.Runtime</x:v>
      </x:c>
      <x:c r="C37" s="58" t="str">
        <x:v>VisionCompiler/VisionPlanBuilder</x:v>
      </x:c>
      <x:c r="D37" s="58" t="str">
        <x:v>拓扑排序、端口绑定、Executor/Model/Calibration/Resource解析</x:v>
      </x:c>
      <x:c r="E37" s="58" t="str">
        <x:v>Resolved Pipeline</x:v>
      </x:c>
      <x:c r="F37" s="58" t="str">
        <x:v>VisionExecutionPlan</x:v>
      </x:c>
      <x:c r="G37" s="58" t="str">
        <x:v>无</x:v>
      </x:c>
      <x:c r="H37" s="58" t="str">
        <x:v>无</x:v>
      </x:c>
      <x:c r="I37" s="58" t="str">
        <x:v>Plan不可变/Hash稳定</x:v>
      </x:c>
    </x:row>
    <x:row r="38">
      <x:c r="A38" s="66" t="str">
        <x:v>Scheduler</x:v>
      </x:c>
      <x:c r="B38" s="66" t="str">
        <x:v>CxVisual.Vision.Runtime</x:v>
      </x:c>
      <x:c r="C38" s="66" t="str">
        <x:v>VisionScheduler/NodeRunCoordinator</x:v>
      </x:c>
      <x:c r="D38" s="66" t="str">
        <x:v>依赖就绪调度、CPU/GPU/Worker队列、取消</x:v>
      </x:c>
      <x:c r="E38" s="66" t="str">
        <x:v>VisionPlan+RunContext</x:v>
      </x:c>
      <x:c r="F38" s="66" t="str">
        <x:v>NodeRunResult/VisionResult</x:v>
      </x:c>
      <x:c r="G38" s="66" t="str">
        <x:v>无</x:v>
      </x:c>
      <x:c r="H38" s="66" t="str">
        <x:v>只经资源/Worker接口</x:v>
      </x:c>
      <x:c r="I38" s="66" t="str">
        <x:v>Typed DataFlow</x:v>
      </x:c>
    </x:row>
    <x:row r="39">
      <x:c r="A39" s="58" t="str">
        <x:v>Memory</x:v>
      </x:c>
      <x:c r="B39" s="58" t="str">
        <x:v>Vision.Runtime/Memory</x:v>
      </x:c>
      <x:c r="C39" s="58" t="str">
        <x:v>VisionDataHandle/BufferPool/SharedMemoryHandle/ArtifactHandle</x:v>
      </x:c>
      <x:c r="D39" s="58" t="str">
        <x:v>大对象生命周期、零/少复制、池化</x:v>
      </x:c>
      <x:c r="E39" s="58" t="str">
        <x:v>Frame/Node outputs</x:v>
      </x:c>
      <x:c r="F39" s="58" t="str">
        <x:v>Handles</x:v>
      </x:c>
      <x:c r="G39" s="58" t="str">
        <x:v>无</x:v>
      </x:c>
      <x:c r="H39" s="58" t="str">
        <x:v>可能Native memory</x:v>
      </x:c>
      <x:c r="I39" s="58" t="str">
        <x:v>Owner/Lifetime显式</x:v>
      </x:c>
    </x:row>
    <x:row r="40">
      <x:c r="A40" s="66" t="str">
        <x:v>GPU/Worker</x:v>
      </x:c>
      <x:c r="B40" s="66" t="str">
        <x:v>Vision.Runtime/Worker</x:v>
      </x:c>
      <x:c r="C40" s="66" t="str">
        <x:v>GpuResourceManager/IVisionWorkerClient/ModelCache</x:v>
      </x:c>
      <x:c r="D40" s="66" t="str">
        <x:v>GPU队列、显存预算、模型加载、进程隔离</x:v>
      </x:c>
      <x:c r="E40" s="66" t="str">
        <x:v>Execution requests</x:v>
      </x:c>
      <x:c r="F40" s="66" t="str">
        <x:v>Typed outputs/health</x:v>
      </x:c>
      <x:c r="G40" s="66" t="str">
        <x:v>无</x:v>
      </x:c>
      <x:c r="H40" s="66" t="str">
        <x:v>有</x:v>
      </x:c>
      <x:c r="I40" s="66" t="str">
        <x:v>崩溃域隔离</x:v>
      </x:c>
    </x:row>
    <x:row r="41">
      <x:c r="A41" s="58" t="str">
        <x:v>Integration</x:v>
      </x:c>
      <x:c r="B41" s="58" t="str">
        <x:v>Vision.Adapters</x:v>
      </x:c>
      <x:c r="C41" s="58" t="str">
        <x:v>IVisionAlgorithmExecutor adapters</x:v>
      </x:c>
      <x:c r="D41" s="58" t="str">
        <x:v>OpenCV/Halcon/ONNX/TensorRT/自研算法封装</x:v>
      </x:c>
      <x:c r="E41" s="58" t="str">
        <x:v>Typed inputs/params</x:v>
      </x:c>
      <x:c r="F41" s="58" t="str">
        <x:v>Typed outputs/PlatformError</x:v>
      </x:c>
      <x:c r="G41" s="58" t="str">
        <x:v>无</x:v>
      </x:c>
      <x:c r="H41" s="58" t="str">
        <x:v>有</x:v>
      </x:c>
      <x:c r="I41" s="58" t="str">
        <x:v>第三方类型不进Core</x:v>
      </x:c>
    </x:row>
    <x:row r="42">
      <x:c r="A42" s="66" t="str">
        <x:v>Debug</x:v>
      </x:c>
      <x:c r="B42" s="66" t="str">
        <x:v>Vision.Debug</x:v>
      </x:c>
      <x:c r="C42" s="66" t="str">
        <x:v>VisionDebugAdapter/DataSnapshotService/RunCompareService</x:v>
      </x:c>
      <x:c r="D42" s="66" t="str">
        <x:v>RunTo/端口数据/Override/Replay/A-B/性能</x:v>
      </x:c>
      <x:c r="E42" s="66" t="str">
        <x:v>Debug commands</x:v>
      </x:c>
      <x:c r="F42" s="66" t="str">
        <x:v>Snapshots/Artifacts/Trace</x:v>
      </x:c>
      <x:c r="G42" s="66" t="str">
        <x:v>无</x:v>
      </x:c>
      <x:c r="H42" s="66" t="str">
        <x:v>通过Runtime/Worker</x:v>
      </x:c>
      <x:c r="I42" s="66" t="str">
        <x:v>接21页统一Debug Agent</x:v>
      </x:c>
    </x:row>
    <x:row r="43">
      <x:c r="A43" s="58" t="str">
        <x:v>Tests</x:v>
      </x:c>
      <x:c r="B43" s="58" t="str">
        <x:v>Vision.Tests</x:v>
      </x:c>
      <x:c r="C43" s="58" t="str">
        <x:v>Golden/Batch/Performance/Leak/WorkerCrash tests</x:v>
      </x:c>
      <x:c r="D43" s="58" t="str">
        <x:v>质量、性能、可重现、崩溃隔离</x:v>
      </x:c>
      <x:c r="E43" s="58" t="str">
        <x:v>Samples</x:v>
      </x:c>
      <x:c r="F43" s="58" t="str">
        <x:v>Reports</x:v>
      </x:c>
      <x:c r="G43" s="58" t="str">
        <x:v>无</x:v>
      </x:c>
      <x:c r="H43" s="58" t="str">
        <x:v>Fake/real adapters</x:v>
      </x:c>
      <x:c r="I43" s="58" t="str">
        <x:v>算法节点必须有Golden/异常测试</x:v>
      </x:c>
    </x:row>
    <x:row r="44">
      <x:c r="A44"/>
      <x:c r="B44"/>
      <x:c r="C44"/>
      <x:c r="D44"/>
      <x:c r="E44"/>
      <x:c r="F44"/>
      <x:c r="G44"/>
      <x:c r="H44"/>
      <x:c r="I44"/>
    </x:row>
    <x:row r="45" ht="24" customHeight="1">
      <x:c r="A45" s="40" t="str">
        <x:v>C. Vision 节点与数据类型完整分类</x:v>
      </x:c>
      <x:c r="B45" s="40"/>
      <x:c r="C45" s="40"/>
      <x:c r="D45" s="40"/>
      <x:c r="E45" s="40"/>
      <x:c r="F45" s="40"/>
      <x:c r="G45" s="40"/>
      <x:c r="H45" s="40"/>
      <x:c r="I45" s="40"/>
    </x:row>
    <x:row r="46" ht="28" customHeight="1">
      <x:c r="A46" s="50" t="str">
        <x:v>类别</x:v>
      </x:c>
      <x:c r="B46" s="50" t="str">
        <x:v>典型节点</x:v>
      </x:c>
      <x:c r="C46" s="50" t="str">
        <x:v>主要输入</x:v>
      </x:c>
      <x:c r="D46" s="50" t="str">
        <x:v>主要输出</x:v>
      </x:c>
      <x:c r="E46" s="50" t="str">
        <x:v>关键元数据</x:v>
      </x:c>
      <x:c r="F46" s="50" t="str">
        <x:v>执行资源</x:v>
      </x:c>
      <x:c r="G46" s="50" t="str">
        <x:v>失败/质量</x:v>
      </x:c>
      <x:c r="H46" s="50" t="str">
        <x:v>Debug Viewer</x:v>
      </x:c>
      <x:c r="I46" s="50" t="str">
        <x:v>边界</x:v>
      </x:c>
    </x:row>
    <x:row r="47">
      <x:c r="A47" s="66" t="str">
        <x:v>输入</x:v>
      </x:c>
      <x:c r="B47" s="66" t="str">
        <x:v>CameraFrame/FileImage/SharedMemory/ImageFromInspection</x:v>
      </x:c>
      <x:c r="C47" s="66" t="str">
        <x:v>SourceRef/Context</x:v>
      </x:c>
      <x:c r="D47" s="66" t="str">
        <x:v>Image2D/Volume3D</x:v>
      </x:c>
      <x:c r="E47" s="66" t="str">
        <x:v>PixelFormat/Size/FrameId/Timestamp</x:v>
      </x:c>
      <x:c r="F47" s="66" t="str">
        <x:v>IO/Camera</x:v>
      </x:c>
      <x:c r="G47" s="66" t="str">
        <x:v>BadQuality/Timeout</x:v>
      </x:c>
      <x:c r="H47" s="66" t="str">
        <x:v>Image/metadata</x:v>
      </x:c>
      <x:c r="I47" s="66" t="str">
        <x:v>源生命周期明确</x:v>
      </x:c>
    </x:row>
    <x:row r="48">
      <x:c r="A48" s="58" t="str">
        <x:v>预处理</x:v>
      </x:c>
      <x:c r="B48" s="58" t="str">
        <x:v>Crop/Resize/Rotate/Gamma/Normalize/CLAHE/Median/Gaussian/FlatField</x:v>
      </x:c>
      <x:c r="C48" s="58" t="str">
        <x:v>Image/ROI</x:v>
      </x:c>
      <x:c r="D48" s="58" t="str">
        <x:v>Image</x:v>
      </x:c>
      <x:c r="E48" s="58" t="str">
        <x:v>ROI/Interpolation/Kernel/Calibration</x:v>
      </x:c>
      <x:c r="F48" s="58" t="str">
        <x:v>CPU/GPU</x:v>
      </x:c>
      <x:c r="G48" s="58" t="str">
        <x:v>Parameter/Data quality</x:v>
      </x:c>
      <x:c r="H48" s="58" t="str">
        <x:v>Before/After/Histogram</x:v>
      </x:c>
      <x:c r="I48" s="58" t="str">
        <x:v>优先复用Buffer</x:v>
      </x:c>
    </x:row>
    <x:row r="49">
      <x:c r="A49" s="66" t="str">
        <x:v>几何定位</x:v>
      </x:c>
      <x:c r="B49" s="66" t="str">
        <x:v>TemplateMatch/Edge/Line/Circle/Pose/CADAlign</x:v>
      </x:c>
      <x:c r="C49" s="66" t="str">
        <x:v>Image/ROI</x:v>
      </x:c>
      <x:c r="D49" s="66" t="str">
        <x:v>Pose/Geometry/Score</x:v>
      </x:c>
      <x:c r="E49" s="66" t="str">
        <x:v>CoordSystem/Model/Threshold</x:v>
      </x:c>
      <x:c r="F49" s="66" t="str">
        <x:v>CPU/GPU/Native</x:v>
      </x:c>
      <x:c r="G49" s="66" t="str">
        <x:v>NoMatch/LowScore</x:v>
      </x:c>
      <x:c r="H49" s="66" t="str">
        <x:v>Overlay</x:v>
      </x:c>
      <x:c r="I49" s="66" t="str">
        <x:v>坐标系显式</x:v>
      </x:c>
    </x:row>
    <x:row r="50">
      <x:c r="A50" s="58" t="str">
        <x:v>Region分析</x:v>
      </x:c>
      <x:c r="B50" s="58" t="str">
        <x:v>Threshold/Morphology/Blob/ConnectedComponent</x:v>
      </x:c>
      <x:c r="C50" s="58" t="str">
        <x:v>Image/ROI</x:v>
      </x:c>
      <x:c r="D50" s="58" t="str">
        <x:v>Region/BlobSet</x:v>
      </x:c>
      <x:c r="E50" s="58" t="str">
        <x:v>Threshold/StructElem/Filter</x:v>
      </x:c>
      <x:c r="F50" s="58" t="str">
        <x:v>CPU/GPU</x:v>
      </x:c>
      <x:c r="G50" s="58" t="str">
        <x:v>Empty/Overflow</x:v>
      </x:c>
      <x:c r="H50" s="58" t="str">
        <x:v>Mask/Region</x:v>
      </x:c>
      <x:c r="I50" s="58" t="str">
        <x:v>Region绑定Image空间</x:v>
      </x:c>
    </x:row>
    <x:row r="51">
      <x:c r="A51" s="66" t="str">
        <x:v>测量</x:v>
      </x:c>
      <x:c r="B51" s="66" t="str">
        <x:v>Width/Distance/Area/Gray/Profile/Metrology</x:v>
      </x:c>
      <x:c r="C51" s="66" t="str">
        <x:v>Image/Region/Geometry</x:v>
      </x:c>
      <x:c r="D51" s="66" t="str">
        <x:v>MeasurementSet</x:v>
      </x:c>
      <x:c r="E51" s="66" t="str">
        <x:v>Unit/Calibration/Tolerance</x:v>
      </x:c>
      <x:c r="F51" s="66" t="str">
        <x:v>CPU/Native</x:v>
      </x:c>
      <x:c r="G51" s="66" t="str">
        <x:v>OutOfRange/BadCalibration</x:v>
      </x:c>
      <x:c r="H51" s="66" t="str">
        <x:v>Overlay/Table/Profile</x:v>
      </x:c>
      <x:c r="I51" s="66" t="str">
        <x:v>Unit必需</x:v>
      </x:c>
    </x:row>
    <x:row r="52">
      <x:c r="A52" s="58" t="str">
        <x:v>AI</x:v>
      </x:c>
      <x:c r="B52" s="58" t="str">
        <x:v>Classification/Detection/Segmentation/OCR/Anomaly</x:v>
      </x:c>
      <x:c r="C52" s="58" t="str">
        <x:v>Image</x:v>
      </x:c>
      <x:c r="D52" s="58" t="str">
        <x:v>Class/DetectionSet/Mask/Text</x:v>
      </x:c>
      <x:c r="E52" s="58" t="str">
        <x:v>ModelId/Version/InputShape/ClassMap/Threshold</x:v>
      </x:c>
      <x:c r="F52" s="58" t="str">
        <x:v>GPU/Worker</x:v>
      </x:c>
      <x:c r="G52" s="58" t="str">
        <x:v>ModelError/LowConfidence</x:v>
      </x:c>
      <x:c r="H52" s="58" t="str">
        <x:v>Boxes/Mask/Score</x:v>
      </x:c>
      <x:c r="I52" s="58" t="str">
        <x:v>模型版本固定</x:v>
      </x:c>
    </x:row>
    <x:row r="53">
      <x:c r="A53" s="66" t="str">
        <x:v>3D/CT</x:v>
      </x:c>
      <x:c r="B53" s="66" t="str">
        <x:v>VolumeInput/Slice/Filter/Registration/Segmentation/Measure3D</x:v>
      </x:c>
      <x:c r="C53" s="66" t="str">
        <x:v>Volume3D/Pose</x:v>
      </x:c>
      <x:c r="D53" s="66" t="str">
        <x:v>Volume/Region3D/Measurement</x:v>
      </x:c>
      <x:c r="E53" s="66" t="str">
        <x:v>Spacing/Orientation/ROI/Model</x:v>
      </x:c>
      <x:c r="F53" s="66" t="str">
        <x:v>CPU/GPU/Worker</x:v>
      </x:c>
      <x:c r="G53" s="66" t="str">
        <x:v>Memory/Registration fail</x:v>
      </x:c>
      <x:c r="H53" s="66" t="str">
        <x:v>Slice/3D summary</x:v>
      </x:c>
      <x:c r="I53" s="66" t="str">
        <x:v>大体数据不复制</x:v>
      </x:c>
    </x:row>
    <x:row r="54">
      <x:c r="A54" s="58" t="str">
        <x:v>融合</x:v>
      </x:c>
      <x:c r="B54" s="58" t="str">
        <x:v>Merge/Associate/Track/NMS/Filter/Rule/Aggregate</x:v>
      </x:c>
      <x:c r="C54" s="58" t="str">
        <x:v>Detection/Measurement/Context</x:v>
      </x:c>
      <x:c r="D54" s="58" t="str">
        <x:v>Detection/Result/Bool/Table</x:v>
      </x:c>
      <x:c r="E54" s="58" t="str">
        <x:v>Strategy/Priority</x:v>
      </x:c>
      <x:c r="F54" s="58" t="str">
        <x:v>CPU</x:v>
      </x:c>
      <x:c r="G54" s="58" t="str">
        <x:v>Conflict/Empty</x:v>
      </x:c>
      <x:c r="H54" s="58" t="str">
        <x:v>Overlay/Table</x:v>
      </x:c>
      <x:c r="I54" s="58" t="str">
        <x:v>复杂业务判定可上移Inspection</x:v>
      </x:c>
    </x:row>
    <x:row r="55">
      <x:c r="A55" s="66" t="str">
        <x:v>输出</x:v>
      </x:c>
      <x:c r="B55" s="66" t="str">
        <x:v>ResultOutput/ArtifactSave/DebugSnapshot/PublishMetric</x:v>
      </x:c>
      <x:c r="C55" s="66" t="str">
        <x:v>Any typed data</x:v>
      </x:c>
      <x:c r="D55" s="66" t="str">
        <x:v>VisionResult/ArtifactRef</x:v>
      </x:c>
      <x:c r="E55" s="66" t="str">
        <x:v>Retention/Format/Compression</x:v>
      </x:c>
      <x:c r="F55" s="66" t="str">
        <x:v>IO/Store</x:v>
      </x:c>
      <x:c r="G55" s="66" t="str">
        <x:v>StoreFail</x:v>
      </x:c>
      <x:c r="H55" s="66" t="str">
        <x:v>Result tree</x:v>
      </x:c>
      <x:c r="I55" s="66" t="str">
        <x:v>异步持久化</x:v>
      </x:c>
    </x:row>
    <x:row r="56">
      <x:c r="A56"/>
      <x:c r="B56"/>
      <x:c r="C56"/>
      <x:c r="D56"/>
      <x:c r="E56"/>
      <x:c r="F56"/>
      <x:c r="G56"/>
      <x:c r="H56"/>
      <x:c r="I56"/>
    </x:row>
    <x:row r="57" ht="24" customHeight="1">
      <x:c r="A57" s="40" t="str">
        <x:v>D. Vision 运行模式与调度</x:v>
      </x:c>
      <x:c r="B57" s="40"/>
      <x:c r="C57" s="40"/>
      <x:c r="D57" s="40"/>
      <x:c r="E57" s="40"/>
      <x:c r="F57" s="40"/>
      <x:c r="G57" s="40"/>
      <x:c r="H57" s="40"/>
      <x:c r="I57" s="40"/>
    </x:row>
    <x:row r="58" ht="28" customHeight="1">
      <x:c r="A58" s="50" t="str">
        <x:v>模式</x:v>
      </x:c>
      <x:c r="B58" s="50" t="str">
        <x:v>触发</x:v>
      </x:c>
      <x:c r="C58" s="50" t="str">
        <x:v>输入策略</x:v>
      </x:c>
      <x:c r="D58" s="50" t="str">
        <x:v>调度方式</x:v>
      </x:c>
      <x:c r="E58" s="50" t="str">
        <x:v>队列/背压</x:v>
      </x:c>
      <x:c r="F58" s="50" t="str">
        <x:v>结果策略</x:v>
      </x:c>
      <x:c r="G58" s="50" t="str">
        <x:v>在线调试</x:v>
      </x:c>
      <x:c r="H58" s="50" t="str">
        <x:v>典型用途</x:v>
      </x:c>
      <x:c r="I58" s="50" t="str">
        <x:v>规则</x:v>
      </x:c>
    </x:row>
    <x:row r="59">
      <x:c r="A59" s="58" t="str">
        <x:v>SingleShot</x:v>
      </x:c>
      <x:c r="B59" s="58" t="str">
        <x:v>显式Run</x:v>
      </x:c>
      <x:c r="C59" s="58" t="str">
        <x:v>单Frame/一次Context</x:v>
      </x:c>
      <x:c r="D59" s="58" t="str">
        <x:v>DAG执行一次</x:v>
      </x:c>
      <x:c r="E59" s="58" t="str">
        <x:v>无持续队列</x:v>
      </x:c>
      <x:c r="F59" s="58" t="str">
        <x:v>返回完整VisionResult</x:v>
      </x:c>
      <x:c r="G59" s="58" t="str">
        <x:v>最完整</x:v>
      </x:c>
      <x:c r="H59" s="58" t="str">
        <x:v>单产品点位检测</x:v>
      </x:c>
      <x:c r="I59" s="58" t="str">
        <x:v>默认Inspection调用方式</x:v>
      </x:c>
    </x:row>
    <x:row r="60">
      <x:c r="A60" s="66" t="str">
        <x:v>Batch</x:v>
      </x:c>
      <x:c r="B60" s="66" t="str">
        <x:v>SampleSet/批量任务</x:v>
      </x:c>
      <x:c r="C60" s="66" t="str">
        <x:v>N个独立样本</x:v>
      </x:c>
      <x:c r="D60" s="66" t="str">
        <x:v>多样本受资源限制并行</x:v>
      </x:c>
      <x:c r="E60" s="66" t="str">
        <x:v>Batch queue有界</x:v>
      </x:c>
      <x:c r="F60" s="66" t="str">
        <x:v>统计+每样本结果</x:v>
      </x:c>
      <x:c r="G60" s="66" t="str">
        <x:v>可抽样Inspect</x:v>
      </x:c>
      <x:c r="H60" s="66" t="str">
        <x:v>离线回归/调参</x:v>
      </x:c>
      <x:c r="I60" s="66" t="str">
        <x:v>同一版本Manifest</x:v>
      </x:c>
    </x:row>
    <x:row r="61">
      <x:c r="A61" s="58" t="str">
        <x:v>Streaming</x:v>
      </x:c>
      <x:c r="B61" s="58" t="str">
        <x:v>连续Frame源</x:v>
      </x:c>
      <x:c r="C61" s="58" t="str">
        <x:v>Frame queue/Latest/EveryN/Trigger</x:v>
      </x:c>
      <x:c r="D61" s="58" t="str">
        <x:v>跨Frame pipeline受资源限制</x:v>
      </x:c>
      <x:c r="E61" s="58" t="str">
        <x:v>DropOldest/LatestOnly/Block按策略</x:v>
      </x:c>
      <x:c r="F61" s="58" t="str">
        <x:v>连续事件/结果</x:v>
      </x:c>
      <x:c r="G61" s="58" t="str">
        <x:v>支持Freeze/SingleShot切换</x:v>
      </x:c>
      <x:c r="H61" s="58" t="str">
        <x:v>监控/连续检测</x:v>
      </x:c>
      <x:c r="I61" s="58" t="str">
        <x:v>必须声明Backpressure</x:v>
      </x:c>
    </x:row>
    <x:row r="62">
      <x:c r="A62" s="66" t="str">
        <x:v>SubPipeline</x:v>
      </x:c>
      <x:c r="B62" s="66" t="str">
        <x:v>父Pipeline调用</x:v>
      </x:c>
      <x:c r="C62" s="66" t="str">
        <x:v>Typed parameters</x:v>
      </x:c>
      <x:c r="D62" s="66" t="str">
        <x:v>作为Compiled subplan</x:v>
      </x:c>
      <x:c r="E62" s="66" t="str">
        <x:v>继承父Run资源</x:v>
      </x:c>
      <x:c r="F62" s="66" t="str">
        <x:v>Typed outputs</x:v>
      </x:c>
      <x:c r="G62" s="66" t="str">
        <x:v>Step Into</x:v>
      </x:c>
      <x:c r="H62" s="66" t="str">
        <x:v>算法复用</x:v>
      </x:c>
      <x:c r="I62" s="66" t="str">
        <x:v>Version pinned</x:v>
      </x:c>
    </x:row>
    <x:row r="63">
      <x:c r="A63" s="58" t="str">
        <x:v>Remote Worker</x:v>
      </x:c>
      <x:c r="B63" s="58" t="str">
        <x:v>本地Plan发执行请求</x:v>
      </x:c>
      <x:c r="C63" s="58" t="str">
        <x:v>Handle/SharedMemory/IPC</x:v>
      </x:c>
      <x:c r="D63" s="58" t="str">
        <x:v>Worker内部DAG或节点执行</x:v>
      </x:c>
      <x:c r="E63" s="58" t="str">
        <x:v>IPC/Worker queue有界</x:v>
      </x:c>
      <x:c r="F63" s="58" t="str">
        <x:v>结果+ArtifactRef</x:v>
      </x:c>
      <x:c r="G63" s="58" t="str">
        <x:v>远程Data Viewer按需拉取</x:v>
      </x:c>
      <x:c r="H63" s="58" t="str">
        <x:v>GPU隔离</x:v>
      </x:c>
      <x:c r="I63" s="58" t="str">
        <x:v>Worker capability握手</x:v>
      </x:c>
    </x:row>
    <x:row r="64">
      <x:c r="A64"/>
      <x:c r="B64"/>
      <x:c r="C64"/>
      <x:c r="D64"/>
      <x:c r="E64"/>
      <x:c r="F64"/>
      <x:c r="G64"/>
      <x:c r="H64"/>
      <x:c r="I64"/>
    </x:row>
    <x:row r="65" ht="24" customHeight="1">
      <x:c r="A65" s="40" t="str">
        <x:v>E. 数据生命周期 / 内存 / GPU 硬规则</x:v>
      </x:c>
      <x:c r="B65" s="40"/>
      <x:c r="C65" s="40"/>
      <x:c r="D65" s="40"/>
      <x:c r="E65" s="40"/>
      <x:c r="F65" s="40"/>
      <x:c r="G65" s="40"/>
      <x:c r="H65" s="40"/>
      <x:c r="I65" s="40"/>
    </x:row>
    <x:row r="66" ht="28" customHeight="1">
      <x:c r="A66" s="50" t="str">
        <x:v>主题</x:v>
      </x:c>
      <x:c r="B66" s="50" t="str">
        <x:v>正式规则</x:v>
      </x:c>
      <x:c r="C66" s="50" t="str">
        <x:v>实现</x:v>
      </x:c>
      <x:c r="D66" s="50" t="str">
        <x:v>调试影响</x:v>
      </x:c>
      <x:c r="E66" s="50" t="str">
        <x:v>性能收益</x:v>
      </x:c>
      <x:c r="F66" s="50" t="str">
        <x:v>失败行为</x:v>
      </x:c>
      <x:c r="G66" s="50" t="str">
        <x:v>测试</x:v>
      </x:c>
      <x:c r="H66" s="50" t="str">
        <x:v>禁止</x:v>
      </x:c>
      <x:c r="I66" s="50"/>
    </x:row>
    <x:row r="67">
      <x:c r="A67" s="66" t="str">
        <x:v>Image/Volume所有权</x:v>
      </x:c>
      <x:c r="B67" s="66" t="str">
        <x:v>每个VisionDataHandle有Owner/Lifetime；Consumer完成后引用释放</x:v>
      </x:c>
      <x:c r="C67" s="66" t="str">
        <x:v>RefCount/Lease/Pool</x:v>
      </x:c>
      <x:c r="D67" s="66" t="str">
        <x:v>Viewer持调试引用需有上限</x:v>
      </x:c>
      <x:c r="E67" s="66" t="str">
        <x:v>避免大GC/复制</x:v>
      </x:c>
      <x:c r="F67" s="66" t="str">
        <x:v>泄漏阈值触发Diagnostic/拒绝新任务</x:v>
      </x:c>
      <x:c r="G67" s="66" t="str">
        <x:v>Leak/72h</x:v>
      </x:c>
      <x:c r="H67" s="66" t="str">
        <x:v>byte[]在节点间随意Clone</x:v>
      </x:c>
      <x:c r="I67" s="66"/>
    </x:row>
    <x:row r="68">
      <x:c r="A68" s="58" t="str">
        <x:v>SharedMemory</x:v>
      </x:c>
      <x:c r="B68" s="58" t="str">
        <x:v>跨进程大图优先共享内存/文件映射+Descriptor</x:v>
      </x:c>
      <x:c r="C68" s="58" t="str">
        <x:v>SharedMemoryHandle</x:v>
      </x:c>
      <x:c r="D68" s="58" t="str">
        <x:v>Debug Viewer映射只读</x:v>
      </x:c>
      <x:c r="E68" s="58" t="str">
        <x:v>减少IPC复制</x:v>
      </x:c>
      <x:c r="F68" s="58" t="str">
        <x:v>Owner crash需回收/TTL</x:v>
      </x:c>
      <x:c r="G68" s="58" t="str">
        <x:v>worker crash</x:v>
      </x:c>
      <x:c r="H68" s="58" t="str">
        <x:v>把像素JSON传输</x:v>
      </x:c>
      <x:c r="I68" s="58"/>
    </x:row>
    <x:row r="69">
      <x:c r="A69" s="66" t="str">
        <x:v>GPU显存</x:v>
      </x:c>
      <x:c r="B69" s="66" t="str">
        <x:v>模型与Tensor缓存受预算和LRU/Pin策略控制</x:v>
      </x:c>
      <x:c r="C69" s="66" t="str">
        <x:v>GpuResourceManager</x:v>
      </x:c>
      <x:c r="D69" s="66" t="str">
        <x:v>Profiler显示VRAM/Model cache</x:v>
      </x:c>
      <x:c r="E69" s="66" t="str">
        <x:v>避免OOM</x:v>
      </x:c>
      <x:c r="F69" s="66" t="str">
        <x:v>资源不足排队/降级/失败按策略</x:v>
      </x:c>
      <x:c r="G69" s="66" t="str">
        <x:v>GPU stress</x:v>
      </x:c>
      <x:c r="H69" s="66" t="str">
        <x:v>每节点私自new CUDA context</x:v>
      </x:c>
      <x:c r="I69" s="66"/>
    </x:row>
    <x:row r="70">
      <x:c r="A70" s="58" t="str">
        <x:v>Intermediate Retention</x:v>
      </x:c>
      <x:c r="B70" s="58" t="str">
        <x:v>运行默认只保留必要输出；Debug按选中节点/策略Pin中间数据</x:v>
      </x:c>
      <x:c r="C70" s="58" t="str">
        <x:v>RetentionPolicy</x:v>
      </x:c>
      <x:c r="D70" s="58" t="str">
        <x:v>RunTo/Data Viewer需要可临时保留</x:v>
      </x:c>
      <x:c r="E70" s="58" t="str">
        <x:v>内存可控</x:v>
      </x:c>
      <x:c r="F70" s="58" t="str">
        <x:v>超预算淘汰低优先级Artifact</x:v>
      </x:c>
      <x:c r="G70" s="58" t="str">
        <x:v>debug stress</x:v>
      </x:c>
      <x:c r="H70" s="58" t="str">
        <x:v>默认保存所有中间图</x:v>
      </x:c>
      <x:c r="I70" s="58"/>
    </x:row>
    <x:row r="71">
      <x:c r="A71" s="66" t="str">
        <x:v>Artifact持久化</x:v>
      </x:c>
      <x:c r="B71" s="66" t="str">
        <x:v>原图/缺陷图/中间结果按Result/Debug/QA策略异步写Store</x:v>
      </x:c>
      <x:c r="C71" s="66" t="str">
        <x:v>ArtifactStore</x:v>
      </x:c>
      <x:c r="D71" s="66" t="str">
        <x:v>Viewer使用ArtifactRef</x:v>
      </x:c>
      <x:c r="E71" s="66" t="str">
        <x:v>不阻塞主Pipeline</x:v>
      </x:c>
      <x:c r="F71" s="66" t="str">
        <x:v>Store失败记录但按业务策略决定是否Fail</x:v>
      </x:c>
      <x:c r="G71" s="66" t="str">
        <x:v>IO fault</x:v>
      </x:c>
      <x:c r="H71" s="66" t="str">
        <x:v>节点同步写大文件阻塞</x:v>
      </x:c>
      <x:c r="I71" s="66"/>
    </x:row>
    <x:row r="73">
      <x:c r="A73" t="str">
        <x:v>F. 历史 CT3D复用边界（V6.4已改为CT3D平级Workbench）</x:v>
      </x:c>
      <x:c r="B73"/>
      <x:c r="C73"/>
      <x:c r="D73"/>
      <x:c r="E73"/>
      <x:c r="F73"/>
      <x:c r="G73"/>
      <x:c r="H73"/>
      <x:c r="I73"/>
    </x:row>
    <x:row r="74">
      <x:c r="A74" t="str">
        <x:v>主题</x:v>
      </x:c>
      <x:c r="B74" t="str">
        <x:v>正式规则</x:v>
      </x:c>
      <x:c r="C74" t="str">
        <x:v>边界</x:v>
      </x:c>
      <x:c r="D74" t="str">
        <x:v>DesignRef</x:v>
      </x:c>
      <x:c r="E74"/>
      <x:c r="F74"/>
      <x:c r="G74"/>
      <x:c r="H74"/>
      <x:c r="I74"/>
    </x:row>
    <x:row r="75">
      <x:c r="A75" t="str">
        <x:v>CT3D家族复用</x:v>
      </x:c>
      <x:c r="B75" t="str">
        <x:v>CT/3D作为Vision专业扩展复用TypedDataFlow/DataHandle/GPU/Worker/Debug</x:v>
      </x:c>
      <x:c r="C75" t="str">
        <x:v>通过公共Contract组合，不要求继承VisionRuntime</x:v>
      </x:c>
      <x:c r="D75" t="str">
        <x:v>33/45</x:v>
      </x:c>
      <x:c r="E75"/>
      <x:c r="F75"/>
      <x:c r="G75"/>
      <x:c r="H75"/>
      <x:c r="I75"/>
    </x:row>
    <x:row r="76">
      <x:c r="A76" t="str">
        <x:v>专业隔离</x:v>
      </x:c>
      <x:c r="B76" t="str">
        <x:v>Vision不得依赖CT3D专业类型；CT3D可依赖Vision稳定Contract</x:v>
      </x:c>
      <x:c r="C76" t="str">
        <x:v>保持依赖单向</x:v>
      </x:c>
      <x:c r="D76" t="str">
        <x:v>03</x:v>
      </x:c>
      <x:c r="E76"/>
      <x:c r="F76"/>
      <x:c r="G76"/>
      <x:c r="H76"/>
      <x:c r="I76"/>
    </x:row>
    <x:row r="77">
      <x:c r="A77" t="str">
        <x:v>数据边界</x:v>
      </x:c>
      <x:c r="B77" t="str">
        <x:v>Projection/Volume/Mesh使用Handle/ArtifactRef；Project不保存大体数据</x:v>
      </x:c>
      <x:c r="C77" t="str">
        <x:v>Viewer按需/LOD/Chunk</x:v>
      </x:c>
      <x:c r="D77" t="str">
        <x:v>33</x:v>
      </x:c>
      <x:c r="E77"/>
      <x:c r="F77"/>
      <x:c r="G77"/>
      <x:c r="H77"/>
      <x:c r="I77"/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34" hidden="0" customWidth="1"/>
    <x:col min="4" max="4" width="30" hidden="0" customWidth="1"/>
    <x:col min="5" max="5" width="30" hidden="0" customWidth="1"/>
    <x:col min="6" max="6" width="28" hidden="0" customWidth="1"/>
    <x:col min="7" max="7" width="30" hidden="0" customWidth="1"/>
    <x:col min="8" max="8" width="28" hidden="0" customWidth="1"/>
    <x:col min="9" max="9" width="28" hidden="0" customWidth="1"/>
  </x:cols>
  <x:sheetData>
    <x:row r="1" ht="30" customHeight="1">
      <x:c r="A1" s="8" t="str">
        <x:v>Vision Online Debug / Live Tuning / Replay</x:v>
      </x:c>
      <x:c r="B1" s="8"/>
      <x:c r="C1" s="8"/>
      <x:c r="D1" s="8"/>
      <x:c r="E1" s="8"/>
      <x:c r="F1" s="8"/>
      <x:c r="G1" s="8"/>
      <x:c r="H1" s="8"/>
      <x:c r="I1" s="8"/>
    </x:row>
    <x:row r="2" ht="38" customHeight="1">
      <x:c r="A2" s="16" t="str">
        <x:v>只定义Vision特有调试语义：Frame Freeze、RunNode/RunTo/RunFrom、Pin Intermediate、参数Tuning、A/B Compare、GPU/Worker诊断。</x:v>
      </x:c>
      <x:c r="B2" s="16"/>
      <x:c r="C2" s="16"/>
      <x:c r="D2" s="16"/>
      <x:c r="E2" s="16"/>
      <x:c r="F2" s="16"/>
      <x:c r="G2" s="16"/>
      <x:c r="H2" s="16"/>
      <x:c r="I2" s="16"/>
    </x:row>
    <x:row r="3">
      <x:c r="A3" s="30" t="str">
        <x:v>本页唯一权威</x:v>
      </x:c>
      <x:c r="B3" s="31" t="str">
        <x:v>Vision Debug Workspace、Live/Replay模式、局部Plan执行、Session Override/Promote、Streaming/Worker/GPU故障调试。</x:v>
      </x:c>
      <x:c r="C3" s="31"/>
      <x:c r="D3" s="31"/>
      <x:c r="E3" s="31"/>
      <x:c r="F3" s="31"/>
      <x:c r="G3" s="31"/>
      <x:c r="H3" s="31"/>
      <x:c r="I3" s="31"/>
    </x:row>
    <x:row r="4">
      <x:c r="A4" s="30" t="str">
        <x:v>不在本页维护</x:v>
      </x:c>
      <x:c r="B4" s="31" t="str">
        <x:v>公共Debug Agent与三通道（见21）、CT大体数据调试（见34）。</x:v>
      </x:c>
      <x:c r="C4" s="31"/>
      <x:c r="D4" s="31"/>
      <x:c r="E4" s="31"/>
      <x:c r="F4" s="31"/>
      <x:c r="G4" s="31"/>
      <x:c r="H4" s="31"/>
      <x:c r="I4" s="31"/>
    </x:row>
    <x:row r="5">
      <x:c r="A5" s="30" t="str">
        <x:v>关联分页</x:v>
      </x:c>
      <x:c r="B5" s="31" t="str">
        <x:v>21_Graph统一OnlineDebug架构；31_Vision完整开发蓝图；34_CT3D在线调试；39_RemoteEngineering。</x:v>
      </x:c>
      <x:c r="C5" s="31"/>
      <x:c r="D5" s="31"/>
      <x:c r="E5" s="31"/>
      <x:c r="F5" s="31"/>
      <x:c r="G5" s="31"/>
      <x:c r="H5" s="31"/>
      <x:c r="I5" s="31"/>
    </x:row>
    <x:row r="6">
      <x:c r="A6"/>
      <x:c r="B6"/>
      <x:c r="C6"/>
      <x:c r="D6"/>
      <x:c r="E6"/>
      <x:c r="F6"/>
      <x:c r="G6"/>
      <x:c r="H6"/>
      <x:c r="I6"/>
    </x:row>
    <x:row r="7" ht="24" customHeight="1">
      <x:c r="A7" s="40" t="str">
        <x:v>A. Vision Debug 工作台</x:v>
      </x:c>
      <x:c r="B7" s="40"/>
      <x:c r="C7" s="40"/>
      <x:c r="D7" s="40"/>
      <x:c r="E7" s="40"/>
      <x:c r="F7" s="40"/>
      <x:c r="G7" s="40"/>
      <x:c r="H7" s="40"/>
      <x:c r="I7" s="40"/>
    </x:row>
    <x:row r="8" ht="28" customHeight="1">
      <x:c r="A8" s="50" t="str">
        <x:v>区域</x:v>
      </x:c>
      <x:c r="B8" s="50" t="str">
        <x:v>显示/操作</x:v>
      </x:c>
      <x:c r="C8" s="50" t="str">
        <x:v>主要对象</x:v>
      </x:c>
      <x:c r="D8" s="50" t="str">
        <x:v>数据来源</x:v>
      </x:c>
      <x:c r="E8" s="50" t="str">
        <x:v>刷新/保留</x:v>
      </x:c>
      <x:c r="F8" s="50" t="str">
        <x:v>控制操作</x:v>
      </x:c>
      <x:c r="G8" s="50" t="str">
        <x:v>性能策略</x:v>
      </x:c>
      <x:c r="H8" s="50" t="str">
        <x:v>与设计态联动</x:v>
      </x:c>
      <x:c r="I8" s="50"/>
    </x:row>
    <x:row r="9">
      <x:c r="A9" s="58" t="str">
        <x:v>Pipeline Canvas</x:v>
      </x:c>
      <x:c r="B9" s="58" t="str">
        <x:v>当前执行/完成/失败/CacheHit/被Bypass节点、RunTo目标、并行分支</x:v>
      </x:c>
      <x:c r="C9" s="58" t="str">
        <x:v>VisionRuntimeSnapshot</x:v>
      </x:c>
      <x:c r="D9" s="58" t="str">
        <x:v>Telemetry</x:v>
      </x:c>
      <x:c r="E9" s="58" t="str">
        <x:v>增量状态</x:v>
      </x:c>
      <x:c r="F9" s="58" t="str">
        <x:v>RunTo/Breakpoint/Select</x:v>
      </x:c>
      <x:c r="G9" s="58" t="str">
        <x:v>轻量</x:v>
      </x:c>
      <x:c r="H9" s="58" t="str">
        <x:v>双击Node/Parameter</x:v>
      </x:c>
      <x:c r="I9" s="58"/>
    </x:row>
    <x:row r="10">
      <x:c r="A10" s="66" t="str">
        <x:v>Live Input</x:v>
      </x:c>
      <x:c r="B10" s="66" t="str">
        <x:v>相机/XRay实时帧、Freeze、SingleShot、Frame metadata</x:v>
      </x:c>
      <x:c r="C10" s="66" t="str">
        <x:v>ImageFrame/DataHandle</x:v>
      </x:c>
      <x:c r="D10" s="66" t="str">
        <x:v>Live Source/Replay</x:v>
      </x:c>
      <x:c r="E10" s="66" t="str">
        <x:v>Latest/selected frame</x:v>
      </x:c>
      <x:c r="F10" s="66" t="str">
        <x:v>Freeze/Capture/Choose Replay</x:v>
      </x:c>
      <x:c r="G10" s="66" t="str">
        <x:v>只显示降采样预览</x:v>
      </x:c>
      <x:c r="H10" s="66" t="str">
        <x:v>绑定Input node</x:v>
      </x:c>
      <x:c r="I10" s="66"/>
    </x:row>
    <x:row r="11">
      <x:c r="A11" s="58" t="str">
        <x:v>Input/Output Viewer</x:v>
      </x:c>
      <x:c r="B11" s="58" t="str">
        <x:v>选中Node/Port输入输出</x:v>
      </x:c>
      <x:c r="C11" s="58" t="str">
        <x:v>VisionDataHandle</x:v>
      </x:c>
      <x:c r="D11" s="58" t="str">
        <x:v>Runtime/Artifact channel</x:v>
      </x:c>
      <x:c r="E11" s="58" t="str">
        <x:v>按需拉取/Pin</x:v>
      </x:c>
      <x:c r="F11" s="58" t="str">
        <x:v>Inspect/Pin/Export Debug Artifact</x:v>
      </x:c>
      <x:c r="G11" s="58" t="str">
        <x:v>大图懒加载</x:v>
      </x:c>
      <x:c r="H11" s="58" t="str">
        <x:v>定位Port/类型</x:v>
      </x:c>
      <x:c r="I11" s="58"/>
    </x:row>
    <x:row r="12">
      <x:c r="A12" s="66" t="str">
        <x:v>Overlay Viewer</x:v>
      </x:c>
      <x:c r="B12" s="66" t="str">
        <x:v>ROI/Region/Mask/Detection/Geometry/Measurement叠加</x:v>
      </x:c>
      <x:c r="C12" s="66" t="str">
        <x:v>Typed outputs</x:v>
      </x:c>
      <x:c r="D12" s="66" t="str">
        <x:v>Runtime</x:v>
      </x:c>
      <x:c r="E12" s="66" t="str">
        <x:v>按当前Frame</x:v>
      </x:c>
      <x:c r="F12" s="66" t="str">
        <x:v>图层开关/测量/像素查看</x:v>
      </x:c>
      <x:c r="G12" s="66" t="str">
        <x:v>只渲染可视范围</x:v>
      </x:c>
      <x:c r="H12" s="66" t="str">
        <x:v>ROI/参数联动</x:v>
      </x:c>
      <x:c r="I12" s="66"/>
    </x:row>
    <x:row r="13">
      <x:c r="A13" s="58" t="str">
        <x:v>Parameter Tuning</x:v>
      </x:c>
      <x:c r="B13" s="58" t="str">
        <x:v>Design值/Session Override/Resolved值三列</x:v>
      </x:c>
      <x:c r="C13" s="58" t="str">
        <x:v>Parameter metadata/Override layer</x:v>
      </x:c>
      <x:c r="D13" s="58" t="str">
        <x:v>Debug Session</x:v>
      </x:c>
      <x:c r="E13" s="58" t="str">
        <x:v>按变更</x:v>
      </x:c>
      <x:c r="F13" s="58" t="str">
        <x:v>Set/Clear Override/A-B</x:v>
      </x:c>
      <x:c r="G13" s="58" t="str">
        <x:v>不触发自动全Pipeline除非策略</x:v>
      </x:c>
      <x:c r="H13" s="58" t="str">
        <x:v>Promote ChangeSet</x:v>
      </x:c>
      <x:c r="I13" s="58"/>
    </x:row>
    <x:row r="14">
      <x:c r="A14" s="66" t="str">
        <x:v>Model/Calibration Panel</x:v>
      </x:c>
      <x:c r="B14" s="66" t="str">
        <x:v>Resolved Model/Calibration/Plugin版本、加载状态、Hash</x:v>
      </x:c>
      <x:c r="C14" s="66" t="str">
        <x:v>ResolvedManifest</x:v>
      </x:c>
      <x:c r="D14" s="66" t="str">
        <x:v>Target/Worker</x:v>
      </x:c>
      <x:c r="E14" s="66" t="str">
        <x:v>低频</x:v>
      </x:c>
      <x:c r="F14" s="66" t="str">
        <x:v>选择Debug模型版本(允许时)</x:v>
      </x:c>
      <x:c r="G14" s="66" t="str">
        <x:v>模型加载受GPU预算</x:v>
      </x:c>
      <x:c r="H14" s="66" t="str">
        <x:v>Promote版本引用</x:v>
      </x:c>
      <x:c r="I14" s="66"/>
    </x:row>
    <x:row r="15">
      <x:c r="A15" s="58" t="str">
        <x:v>Performance Timeline</x:v>
      </x:c>
      <x:c r="B15" s="58" t="str">
        <x:v>每Node Queue/Run/Wait/Copy/GPU/Worker耗时</x:v>
      </x:c>
      <x:c r="C15" s="58" t="str">
        <x:v>ExecutionTrace</x:v>
      </x:c>
      <x:c r="D15" s="58" t="str">
        <x:v>Telemetry</x:v>
      </x:c>
      <x:c r="E15" s="58" t="str">
        <x:v>Ring/窗口</x:v>
      </x:c>
      <x:c r="F15" s="58" t="str">
        <x:v>Filter/Compare Run</x:v>
      </x:c>
      <x:c r="G15" s="58" t="str">
        <x:v>有界采样</x:v>
      </x:c>
      <x:c r="H15" s="58" t="str">
        <x:v>性能问题定位Node</x:v>
      </x:c>
      <x:c r="I15" s="58"/>
    </x:row>
    <x:row r="16">
      <x:c r="A16" s="66" t="str">
        <x:v>Memory/GPU Panel</x:v>
      </x:c>
      <x:c r="B16" s="66" t="str">
        <x:v>CPU buffer/GPU VRAM/model cache/worker queue/handles</x:v>
      </x:c>
      <x:c r="C16" s="66" t="str">
        <x:v>VisionHealth</x:v>
      </x:c>
      <x:c r="D16" s="66" t="str">
        <x:v>Health telemetry</x:v>
      </x:c>
      <x:c r="E16" s="66" t="str">
        <x:v>1~2Hz</x:v>
      </x:c>
      <x:c r="F16" s="66" t="str">
        <x:v>Clear debug pins/diagnose</x:v>
      </x:c>
      <x:c r="G16" s="66" t="str">
        <x:v>不高频</x:v>
      </x:c>
      <x:c r="H16" s="66" t="str">
        <x:v>无</x:v>
      </x:c>
      <x:c r="I16" s="66"/>
    </x:row>
    <x:row r="17">
      <x:c r="A17" s="58" t="str">
        <x:v>Result Panel</x:v>
      </x:c>
      <x:c r="B17" s="58" t="str">
        <x:v>VisionResult/Defects/Measurements/Quality/Decision摘要</x:v>
      </x:c>
      <x:c r="C17" s="58" t="str">
        <x:v>VisionResult</x:v>
      </x:c>
      <x:c r="D17" s="58" t="str">
        <x:v>Runtime</x:v>
      </x:c>
      <x:c r="E17" s="58" t="str">
        <x:v>每Run</x:v>
      </x:c>
      <x:c r="F17" s="58" t="str">
        <x:v>Compare/Export</x:v>
      </x:c>
      <x:c r="G17" s="58" t="str">
        <x:v>轻量</x:v>
      </x:c>
      <x:c r="H17" s="58" t="str">
        <x:v>结果规则/节点定位</x:v>
      </x:c>
      <x:c r="I17" s="58"/>
    </x:row>
    <x:row r="18">
      <x:c r="A18" s="66" t="str">
        <x:v>Run Compare</x:v>
      </x:c>
      <x:c r="B18" s="66" t="str">
        <x:v>A/B两个Run或两个版本参数对比</x:v>
      </x:c>
      <x:c r="C18" s="66" t="str">
        <x:v>RunManifest/VisionResult</x:v>
      </x:c>
      <x:c r="D18" s="66" t="str">
        <x:v>Result store</x:v>
      </x:c>
      <x:c r="E18" s="66" t="str">
        <x:v>按需</x:v>
      </x:c>
      <x:c r="F18" s="66" t="str">
        <x:v>Set baseline/Compare</x:v>
      </x:c>
      <x:c r="G18" s="66" t="str">
        <x:v>离线为主</x:v>
      </x:c>
      <x:c r="H18" s="66" t="str">
        <x:v>生成参数/版本差异</x:v>
      </x:c>
      <x:c r="I18" s="66"/>
    </x:row>
    <x:row r="19">
      <x:c r="A19"/>
      <x:c r="B19"/>
      <x:c r="C19"/>
      <x:c r="D19"/>
      <x:c r="E19"/>
      <x:c r="F19"/>
      <x:c r="G19"/>
      <x:c r="H19"/>
      <x:c r="I19"/>
    </x:row>
    <x:row r="20" ht="24" customHeight="1">
      <x:c r="A20" s="40" t="str">
        <x:v>B. Vision Debug 模式</x:v>
      </x:c>
      <x:c r="B20" s="40"/>
      <x:c r="C20" s="40"/>
      <x:c r="D20" s="40"/>
      <x:c r="E20" s="40"/>
      <x:c r="F20" s="40"/>
      <x:c r="G20" s="40"/>
      <x:c r="H20" s="40"/>
      <x:c r="I20" s="40"/>
    </x:row>
    <x:row r="21" ht="28" customHeight="1">
      <x:c r="A21" s="50" t="str">
        <x:v>模式</x:v>
      </x:c>
      <x:c r="B21" s="50" t="str">
        <x:v>输入</x:v>
      </x:c>
      <x:c r="C21" s="50" t="str">
        <x:v>执行方式</x:v>
      </x:c>
      <x:c r="D21" s="50" t="str">
        <x:v>真实设备</x:v>
      </x:c>
      <x:c r="E21" s="50" t="str">
        <x:v>参数Override</x:v>
      </x:c>
      <x:c r="F21" s="50" t="str">
        <x:v>模型切换</x:v>
      </x:c>
      <x:c r="G21" s="50" t="str">
        <x:v>中间数据</x:v>
      </x:c>
      <x:c r="H21" s="50" t="str">
        <x:v>用途</x:v>
      </x:c>
      <x:c r="I21" s="50" t="str">
        <x:v>限制</x:v>
      </x:c>
    </x:row>
    <x:row r="22">
      <x:c r="A22" s="58" t="str">
        <x:v>Offline Sample</x:v>
      </x:c>
      <x:c r="B22" s="58" t="str">
        <x:v>SampleSet/File/Artifact</x:v>
      </x:c>
      <x:c r="C22" s="58" t="str">
        <x:v>SingleShot/Batch</x:v>
      </x:c>
      <x:c r="D22" s="58" t="str">
        <x:v>否</x:v>
      </x:c>
      <x:c r="E22" s="58" t="str">
        <x:v>允许</x:v>
      </x:c>
      <x:c r="F22" s="58" t="str">
        <x:v>允许Debug版本</x:v>
      </x:c>
      <x:c r="G22" s="58" t="str">
        <x:v>全量可选</x:v>
      </x:c>
      <x:c r="H22" s="58" t="str">
        <x:v>算法开发/回归</x:v>
      </x:c>
      <x:c r="I22" s="58" t="str">
        <x:v>与现场设备无关</x:v>
      </x:c>
    </x:row>
    <x:row r="23">
      <x:c r="A23" s="66" t="str">
        <x:v>Replay Run</x:v>
      </x:c>
      <x:c r="B23" s="66" t="str">
        <x:v>历史Frame+RunManifest</x:v>
      </x:c>
      <x:c r="C23" s="66" t="str">
        <x:v>SingleShot/RunTo</x:v>
      </x:c>
      <x:c r="D23" s="66" t="str">
        <x:v>否</x:v>
      </x:c>
      <x:c r="E23" s="66" t="str">
        <x:v>允许但记录新Manifest</x:v>
      </x:c>
      <x:c r="F23" s="66" t="str">
        <x:v>可选</x:v>
      </x:c>
      <x:c r="G23" s="66" t="str">
        <x:v>全量可选</x:v>
      </x:c>
      <x:c r="H23" s="66" t="str">
        <x:v>现场问题复现</x:v>
      </x:c>
      <x:c r="I23" s="66" t="str">
        <x:v>需历史输入/依赖版本可得</x:v>
      </x:c>
    </x:row>
    <x:row r="24">
      <x:c r="A24" s="58" t="str">
        <x:v>Live Freeze</x:v>
      </x:c>
      <x:c r="B24" s="58" t="str">
        <x:v>真实源但冻结某Frame</x:v>
      </x:c>
      <x:c r="C24" s="58" t="str">
        <x:v>SingleShot/RunTo/RunNode</x:v>
      </x:c>
      <x:c r="D24" s="58" t="str">
        <x:v>只读采集或受控触发</x:v>
      </x:c>
      <x:c r="E24" s="58" t="str">
        <x:v>允许</x:v>
      </x:c>
      <x:c r="F24" s="58" t="str">
        <x:v>允许Debug scope</x:v>
      </x:c>
      <x:c r="G24" s="58" t="str">
        <x:v>丰富</x:v>
      </x:c>
      <x:c r="H24" s="58" t="str">
        <x:v>在线调参</x:v>
      </x:c>
      <x:c r="I24" s="58" t="str">
        <x:v>冻结Frame与设备继续运行分离</x:v>
      </x:c>
    </x:row>
    <x:row r="25">
      <x:c r="A25" s="66" t="str">
        <x:v>Live SingleShot</x:v>
      </x:c>
      <x:c r="B25" s="66" t="str">
        <x:v>每次用户触发采一帧/一次Pipeline</x:v>
      </x:c>
      <x:c r="C25" s="66" t="str">
        <x:v>真实</x:v>
      </x:c>
      <x:c r="D25" s="66" t="str">
        <x:v>是</x:v>
      </x:c>
      <x:c r="E25" s="66" t="str">
        <x:v>允许白名单</x:v>
      </x:c>
      <x:c r="F25" s="66" t="str">
        <x:v>允许Debug scope</x:v>
      </x:c>
      <x:c r="G25" s="66" t="str">
        <x:v>丰富</x:v>
      </x:c>
      <x:c r="H25" s="66" t="str">
        <x:v>联机调试</x:v>
      </x:c>
      <x:c r="I25" s="66" t="str">
        <x:v>触发/曝光等设备写需权限</x:v>
      </x:c>
    </x:row>
    <x:row r="26">
      <x:c r="A26" s="58" t="str">
        <x:v>Live Continuous</x:v>
      </x:c>
      <x:c r="B26" s="58" t="str">
        <x:v>连续Frame</x:v>
      </x:c>
      <x:c r="C26" s="58" t="str">
        <x:v>Streaming/每帧或采样执行</x:v>
      </x:c>
      <x:c r="D26" s="58" t="str">
        <x:v>是</x:v>
      </x:c>
      <x:c r="E26" s="58" t="str">
        <x:v>受限、通常从下一Frame生效</x:v>
      </x:c>
      <x:c r="F26" s="58" t="str">
        <x:v>谨慎/需重载</x:v>
      </x:c>
      <x:c r="G26" s="58" t="str">
        <x:v>选择节点Pin</x:v>
      </x:c>
      <x:c r="H26" s="58" t="str">
        <x:v>性能/稳定性调试</x:v>
      </x:c>
      <x:c r="I26" s="58" t="str">
        <x:v>必须Backpressure/防止调试Viewer拖慢生产</x:v>
      </x:c>
    </x:row>
    <x:row r="27">
      <x:c r="A27" s="66" t="str">
        <x:v>Production Observe</x:v>
      </x:c>
      <x:c r="B27" s="66" t="str">
        <x:v>生产Pipeline</x:v>
      </x:c>
      <x:c r="C27" s="66" t="str">
        <x:v>Attach只观察</x:v>
      </x:c>
      <x:c r="D27" s="66" t="str">
        <x:v>是</x:v>
      </x:c>
      <x:c r="E27" s="66" t="str">
        <x:v>禁止</x:v>
      </x:c>
      <x:c r="F27" s="66" t="str">
        <x:v>禁止</x:v>
      </x:c>
      <x:c r="G27" s="66" t="str">
        <x:v>按策略极少</x:v>
      </x:c>
      <x:c r="H27" s="66" t="str">
        <x:v>现场监控</x:v>
      </x:c>
      <x:c r="I27" s="66" t="str">
        <x:v>不能改变Active Release</x:v>
      </x:c>
    </x:row>
    <x:row r="28">
      <x:c r="A28"/>
      <x:c r="B28"/>
      <x:c r="C28"/>
      <x:c r="D28"/>
      <x:c r="E28"/>
      <x:c r="F28"/>
      <x:c r="G28"/>
      <x:c r="H28"/>
      <x:c r="I28"/>
    </x:row>
    <x:row r="29" ht="24" customHeight="1">
      <x:c r="A29" s="40" t="str">
        <x:v>C. 节点级调试操作语义</x:v>
      </x:c>
      <x:c r="B29" s="40"/>
      <x:c r="C29" s="40"/>
      <x:c r="D29" s="40"/>
      <x:c r="E29" s="40"/>
      <x:c r="F29" s="40"/>
      <x:c r="G29" s="40"/>
      <x:c r="H29" s="40"/>
      <x:c r="I29" s="40"/>
    </x:row>
    <x:row r="30" ht="28" customHeight="1">
      <x:c r="A30" s="50" t="str">
        <x:v>操作</x:v>
      </x:c>
      <x:c r="B30" s="50" t="str">
        <x:v>前置条件</x:v>
      </x:c>
      <x:c r="C30" s="50" t="str">
        <x:v>执行范围</x:v>
      </x:c>
      <x:c r="D30" s="50" t="str">
        <x:v>数据处理</x:v>
      </x:c>
      <x:c r="E30" s="50" t="str">
        <x:v>Runtime行为</x:v>
      </x:c>
      <x:c r="F30" s="50" t="str">
        <x:v>UI反馈</x:v>
      </x:c>
      <x:c r="G30" s="50" t="str">
        <x:v>Override影响</x:v>
      </x:c>
      <x:c r="H30" s="50" t="str">
        <x:v>测试</x:v>
      </x:c>
      <x:c r="I30" s="50" t="str">
        <x:v>规则</x:v>
      </x:c>
    </x:row>
    <x:row r="31">
      <x:c r="A31" s="58" t="str">
        <x:v>Run Pipeline</x:v>
      </x:c>
      <x:c r="B31" s="58" t="str">
        <x:v>输入已选择/可获取</x:v>
      </x:c>
      <x:c r="C31" s="58" t="str">
        <x:v>整图</x:v>
      </x:c>
      <x:c r="D31" s="58" t="str">
        <x:v>正常Retention</x:v>
      </x:c>
      <x:c r="E31" s="58" t="str">
        <x:v>新RunSession</x:v>
      </x:c>
      <x:c r="F31" s="58" t="str">
        <x:v>全图状态</x:v>
      </x:c>
      <x:c r="G31" s="58" t="str">
        <x:v>使用当前Session Overrides</x:v>
      </x:c>
      <x:c r="H31" s="58" t="str">
        <x:v>Golden</x:v>
      </x:c>
      <x:c r="I31" s="58" t="str">
        <x:v>每次Run有RunId</x:v>
      </x:c>
    </x:row>
    <x:row r="32">
      <x:c r="A32" s="66" t="str">
        <x:v>Run To Here</x:v>
      </x:c>
      <x:c r="B32" s="66" t="str">
        <x:v>目标Node可达</x:v>
      </x:c>
      <x:c r="C32" s="66" t="str">
        <x:v>输入→目标Node依赖子图</x:v>
      </x:c>
      <x:c r="D32" s="66" t="str">
        <x:v>目标路径中间结果可保留</x:v>
      </x:c>
      <x:c r="E32" s="66" t="str">
        <x:v>裁剪ExecutionPlan</x:v>
      </x:c>
      <x:c r="F32" s="66" t="str">
        <x:v>目标高亮/Timeline</x:v>
      </x:c>
      <x:c r="G32" s="66" t="str">
        <x:v>使用Overrides</x:v>
      </x:c>
      <x:c r="H32" s="66" t="str">
        <x:v>dependency tests</x:v>
      </x:c>
      <x:c r="I32" s="66" t="str">
        <x:v>不执行无关后继节点</x:v>
      </x:c>
    </x:row>
    <x:row r="33">
      <x:c r="A33" s="58" t="str">
        <x:v>Run Node</x:v>
      </x:c>
      <x:c r="B33" s="58" t="str">
        <x:v>该Node所有输入已有有效DataHandle</x:v>
      </x:c>
      <x:c r="C33" s="58" t="str">
        <x:v>仅该Node</x:v>
      </x:c>
      <x:c r="D33" s="58" t="str">
        <x:v>复用选定输入快照</x:v>
      </x:c>
      <x:c r="E33" s="58" t="str">
        <x:v>临时NodeRun</x:v>
      </x:c>
      <x:c r="F33" s="58" t="str">
        <x:v>输入输出并排</x:v>
      </x:c>
      <x:c r="G33" s="58" t="str">
        <x:v>使用该Node override</x:v>
      </x:c>
      <x:c r="H33" s="58" t="str">
        <x:v>node tests</x:v>
      </x:c>
      <x:c r="I33" s="58" t="str">
        <x:v>不能凭空制造缺失输入</x:v>
      </x:c>
    </x:row>
    <x:row r="34">
      <x:c r="A34" s="66" t="str">
        <x:v>Run From Here</x:v>
      </x:c>
      <x:c r="B34" s="66" t="str">
        <x:v>选定Node已有输出快照</x:v>
      </x:c>
      <x:c r="C34" s="66" t="str">
        <x:v>该Node后继子图</x:v>
      </x:c>
      <x:c r="D34" s="66" t="str">
        <x:v>复用Pin的数据</x:v>
      </x:c>
      <x:c r="E34" s="66" t="str">
        <x:v>构造partial context</x:v>
      </x:c>
      <x:c r="F34" s="66" t="str">
        <x:v>下游状态</x:v>
      </x:c>
      <x:c r="G34" s="66" t="str">
        <x:v>使用当前Overrides</x:v>
      </x:c>
      <x:c r="H34" s="66" t="str">
        <x:v>partial plan</x:v>
      </x:c>
      <x:c r="I34" s="66" t="str">
        <x:v>必须标记数据来源/版本</x:v>
      </x:c>
    </x:row>
    <x:row r="35">
      <x:c r="A35" s="58" t="str">
        <x:v>Bypass Node</x:v>
      </x:c>
      <x:c r="B35" s="58" t="str">
        <x:v>Node支持Bypass且类型可直通/定义替代输出</x:v>
      </x:c>
      <x:c r="C35" s="58" t="str">
        <x:v>影响当前Session/Run</x:v>
      </x:c>
      <x:c r="D35" s="58" t="str">
        <x:v>按Bypass contract</x:v>
      </x:c>
      <x:c r="E35" s="58" t="str">
        <x:v>Plan override</x:v>
      </x:c>
      <x:c r="F35" s="58" t="str">
        <x:v>节点灰色</x:v>
      </x:c>
      <x:c r="G35" s="58" t="str">
        <x:v>Session层</x:v>
      </x:c>
      <x:c r="H35" s="58" t="str">
        <x:v>bypass tests</x:v>
      </x:c>
      <x:c r="I35" s="58" t="str">
        <x:v>不是所有节点都能Bypass</x:v>
      </x:c>
    </x:row>
    <x:row r="36">
      <x:c r="A36" s="66" t="str">
        <x:v>Disable Branch</x:v>
      </x:c>
      <x:c r="B36" s="66" t="str">
        <x:v>Debug专用且Validator认可</x:v>
      </x:c>
      <x:c r="C36" s="66" t="str">
        <x:v>目标分支</x:v>
      </x:c>
      <x:c r="D36" s="66" t="str">
        <x:v>下游可能缺输入</x:v>
      </x:c>
      <x:c r="E36" s="66" t="str">
        <x:v>重新Compile debug plan</x:v>
      </x:c>
      <x:c r="F36" s="66" t="str">
        <x:v>警告受影响节点</x:v>
      </x:c>
      <x:c r="G36" s="66" t="str">
        <x:v>Session结构Override</x:v>
      </x:c>
      <x:c r="H36" s="66" t="str">
        <x:v>negative tests</x:v>
      </x:c>
      <x:c r="I36" s="66" t="str">
        <x:v>Production禁</x:v>
      </x:c>
    </x:row>
    <x:row r="37">
      <x:c r="A37" s="58" t="str">
        <x:v>Break Before/After</x:v>
      </x:c>
      <x:c r="B37" s="58" t="str">
        <x:v>Node boundary</x:v>
      </x:c>
      <x:c r="C37" s="58" t="str">
        <x:v>当前Run</x:v>
      </x:c>
      <x:c r="D37" s="58" t="str">
        <x:v>保留必要输入/输出</x:v>
      </x:c>
      <x:c r="E37" s="58" t="str">
        <x:v>暂停Scheduler派发新节点</x:v>
      </x:c>
      <x:c r="F37" s="58" t="str">
        <x:v>红/黄断点</x:v>
      </x:c>
      <x:c r="G37" s="58" t="str">
        <x:v>不改变参数</x:v>
      </x:c>
      <x:c r="H37" s="58" t="str">
        <x:v>debug tests</x:v>
      </x:c>
      <x:c r="I37" s="58" t="str">
        <x:v>已在GPU执行的Kernel不强停</x:v>
      </x:c>
    </x:row>
    <x:row r="38">
      <x:c r="A38" s="66" t="str">
        <x:v>Pin Data</x:v>
      </x:c>
      <x:c r="B38" s="66" t="str">
        <x:v>选中Port/Node output</x:v>
      </x:c>
      <x:c r="C38" s="66" t="str">
        <x:v>仅数据生命周期</x:v>
      </x:c>
      <x:c r="D38" s="66" t="str">
        <x:v>增加Debug引用/Artifact</x:v>
      </x:c>
      <x:c r="E38" s="66" t="str">
        <x:v>不改变算法</x:v>
      </x:c>
      <x:c r="F38" s="66" t="str">
        <x:v>Pin图标</x:v>
      </x:c>
      <x:c r="G38" s="66" t="str">
        <x:v>无</x:v>
      </x:c>
      <x:c r="H38" s="66" t="str">
        <x:v>memory tests</x:v>
      </x:c>
      <x:c r="I38" s="66" t="str">
        <x:v>有数量/内存上限</x:v>
      </x:c>
    </x:row>
    <x:row r="39">
      <x:c r="A39"/>
      <x:c r="B39"/>
      <x:c r="C39"/>
      <x:c r="D39"/>
      <x:c r="E39"/>
      <x:c r="F39"/>
      <x:c r="G39"/>
      <x:c r="H39"/>
      <x:c r="I39"/>
    </x:row>
    <x:row r="40" ht="24" customHeight="1">
      <x:c r="A40" s="40" t="str">
        <x:v>D. 参数调优 / Promote 闭环</x:v>
      </x:c>
      <x:c r="B40" s="40"/>
      <x:c r="C40" s="40"/>
      <x:c r="D40" s="40"/>
      <x:c r="E40" s="40"/>
      <x:c r="F40" s="40"/>
      <x:c r="G40" s="40"/>
      <x:c r="H40" s="40"/>
      <x:c r="I40" s="40"/>
    </x:row>
    <x:row r="41" ht="28" customHeight="1">
      <x:c r="A41" s="50" t="str">
        <x:v>步骤</x:v>
      </x:c>
      <x:c r="B41" s="50" t="str">
        <x:v>Studio动作</x:v>
      </x:c>
      <x:c r="C41" s="50" t="str">
        <x:v>Runtime动作</x:v>
      </x:c>
      <x:c r="D41" s="50" t="str">
        <x:v>结果</x:v>
      </x:c>
      <x:c r="E41" s="50" t="str">
        <x:v>版本/追踪</x:v>
      </x:c>
      <x:c r="F41" s="50" t="str">
        <x:v>失败处理</x:v>
      </x:c>
      <x:c r="G41" s="50" t="str">
        <x:v>对工程影响</x:v>
      </x:c>
      <x:c r="H41" s="50" t="str">
        <x:v>安全/资源</x:v>
      </x:c>
      <x:c r="I41" s="50" t="str">
        <x:v>验收</x:v>
      </x:c>
    </x:row>
    <x:row r="42">
      <x:c r="A42" s="58" t="str">
        <x:v>1 Select</x:v>
      </x:c>
      <x:c r="B42" s="58" t="str">
        <x:v>选择Node参数</x:v>
      </x:c>
      <x:c r="C42" s="58" t="str">
        <x:v>返回Design/Resolved/Allowed range</x:v>
      </x:c>
      <x:c r="D42" s="58" t="str">
        <x:v>ParameterSnapshot</x:v>
      </x:c>
      <x:c r="E42" s="58" t="str">
        <x:v>Run/Plan hash</x:v>
      </x:c>
      <x:c r="F42" s="58" t="str">
        <x:v>不兼容参数只读</x:v>
      </x:c>
      <x:c r="G42" s="58" t="str">
        <x:v>无</x:v>
      </x:c>
      <x:c r="H42" s="58" t="str">
        <x:v>Metadata限制</x:v>
      </x:c>
      <x:c r="I42" s="58" t="str">
        <x:v>值一致</x:v>
      </x:c>
    </x:row>
    <x:row r="43">
      <x:c r="A43" s="66" t="str">
        <x:v>2 Override</x:v>
      </x:c>
      <x:c r="B43" s="66" t="str">
        <x:v>输入新值</x:v>
      </x:c>
      <x:c r="C43" s="66" t="str">
        <x:v>写Session Override layer并验证</x:v>
      </x:c>
      <x:c r="D43" s="66" t="str">
        <x:v>OverrideAck</x:v>
      </x:c>
      <x:c r="E43" s="66" t="str">
        <x:v>OverrideSetId/User/Time</x:v>
      </x:c>
      <x:c r="F43" s="66" t="str">
        <x:v>越界拒绝</x:v>
      </x:c>
      <x:c r="G43" s="66" t="str">
        <x:v>无</x:v>
      </x:c>
      <x:c r="H43" s="66" t="str">
        <x:v>GPU/Model重载提示</x:v>
      </x:c>
      <x:c r="I43" s="66" t="str">
        <x:v>不污染Definition</x:v>
      </x:c>
    </x:row>
    <x:row r="44">
      <x:c r="A44" s="58" t="str">
        <x:v>3 Re-run</x:v>
      </x:c>
      <x:c r="B44" s="58" t="str">
        <x:v>Run Node/RunTo/Pipeline</x:v>
      </x:c>
      <x:c r="C44" s="58" t="str">
        <x:v>按新值生成RunManifest</x:v>
      </x:c>
      <x:c r="D44" s="58" t="str">
        <x:v>VisionResult</x:v>
      </x:c>
      <x:c r="E44" s="58" t="str">
        <x:v>记录Overrides hash</x:v>
      </x:c>
      <x:c r="F44" s="58" t="str">
        <x:v>算法失败保留旧Definition</x:v>
      </x:c>
      <x:c r="G44" s="58" t="str">
        <x:v>无</x:v>
      </x:c>
      <x:c r="H44" s="58" t="str">
        <x:v>资源可用</x:v>
      </x:c>
      <x:c r="I44" s="58" t="str">
        <x:v>可复现</x:v>
      </x:c>
    </x:row>
    <x:row r="45">
      <x:c r="A45" s="66" t="str">
        <x:v>4 Compare</x:v>
      </x:c>
      <x:c r="B45" s="66" t="str">
        <x:v>与Baseline Run比较</x:v>
      </x:c>
      <x:c r="C45" s="66" t="str">
        <x:v>Result/Timing diff</x:v>
      </x:c>
      <x:c r="D45" s="66" t="str">
        <x:v>CompareReport</x:v>
      </x:c>
      <x:c r="E45" s="66" t="str">
        <x:v>两侧Manifest</x:v>
      </x:c>
      <x:c r="F45" s="66" t="str">
        <x:v>数据缺失明确</x:v>
      </x:c>
      <x:c r="G45" s="66" t="str">
        <x:v>无</x:v>
      </x:c>
      <x:c r="H45" s="66" t="str">
        <x:v>N/A</x:v>
      </x:c>
      <x:c r="I45" s="66" t="str">
        <x:v>差异正确</x:v>
      </x:c>
    </x:row>
    <x:row r="46">
      <x:c r="A46" s="58" t="str">
        <x:v>5 Promote</x:v>
      </x:c>
      <x:c r="B46" s="58" t="str">
        <x:v>勾选需要正式保存的Override</x:v>
      </x:c>
      <x:c r="C46" s="58" t="str">
        <x:v>Target只返回ChangeSet，不写工程</x:v>
      </x:c>
      <x:c r="D46" s="58" t="str">
        <x:v>ParameterChangeSet</x:v>
      </x:c>
      <x:c r="E46" s="58" t="str">
        <x:v>来源Run/Node/旧新值</x:v>
      </x:c>
      <x:c r="F46" s="58" t="str">
        <x:v>冲突要求重新基于当前Definition</x:v>
      </x:c>
      <x:c r="G46" s="58" t="str">
        <x:v>Designer Command修改工程</x:v>
      </x:c>
      <x:c r="H46" s="58" t="str">
        <x:v>权限/审计</x:v>
      </x:c>
      <x:c r="I46" s="58" t="str">
        <x:v>Undo可逆</x:v>
      </x:c>
    </x:row>
    <x:row r="47">
      <x:c r="A47" s="66" t="str">
        <x:v>6 Validate/Publish</x:v>
      </x:c>
      <x:c r="B47" s="66" t="str">
        <x:v>正式Compile/Golden/Regression</x:v>
      </x:c>
      <x:c r="C47" s="66" t="str">
        <x:v>新Definition进入正常发布链</x:v>
      </x:c>
      <x:c r="D47" s="66" t="str">
        <x:v>New Release</x:v>
      </x:c>
      <x:c r="E47" s="66" t="str">
        <x:v>新Version/Hash</x:v>
      </x:c>
      <x:c r="F47" s="66" t="str">
        <x:v>测试失败不发布</x:v>
      </x:c>
      <x:c r="G47" s="66" t="str">
        <x:v>正式工程变化</x:v>
      </x:c>
      <x:c r="H47" s="66" t="str">
        <x:v>发布门禁</x:v>
      </x:c>
      <x:c r="I47" s="66" t="str">
        <x:v>Active生产不被Debug偷偷改变</x:v>
      </x:c>
    </x:row>
    <x:row r="48">
      <x:c r="A48"/>
      <x:c r="B48"/>
      <x:c r="C48"/>
      <x:c r="D48"/>
      <x:c r="E48"/>
      <x:c r="F48"/>
      <x:c r="G48"/>
      <x:c r="H48"/>
      <x:c r="I48"/>
    </x:row>
    <x:row r="49" ht="24" customHeight="1">
      <x:c r="A49" s="40" t="str">
        <x:v>E. Streaming / Worker / GPU 在线调试规则</x:v>
      </x:c>
      <x:c r="B49" s="40"/>
      <x:c r="C49" s="40"/>
      <x:c r="D49" s="40"/>
      <x:c r="E49" s="40"/>
      <x:c r="F49" s="40"/>
      <x:c r="G49" s="40"/>
      <x:c r="H49" s="40"/>
      <x:c r="I49" s="40"/>
    </x:row>
    <x:row r="50" ht="28" customHeight="1">
      <x:c r="A50" s="50" t="str">
        <x:v>主题</x:v>
      </x:c>
      <x:c r="B50" s="50" t="str">
        <x:v>正式规则</x:v>
      </x:c>
      <x:c r="C50" s="50" t="str">
        <x:v>Studio显示</x:v>
      </x:c>
      <x:c r="D50" s="50" t="str">
        <x:v>Runtime策略</x:v>
      </x:c>
      <x:c r="E50" s="50" t="str">
        <x:v>过载时</x:v>
      </x:c>
      <x:c r="F50" s="50" t="str">
        <x:v>Debug限制</x:v>
      </x:c>
      <x:c r="G50" s="50" t="str">
        <x:v>诊断</x:v>
      </x:c>
      <x:c r="H50" s="50" t="str">
        <x:v>测试</x:v>
      </x:c>
      <x:c r="I50" s="50" t="str">
        <x:v>禁止</x:v>
      </x:c>
    </x:row>
    <x:row r="51">
      <x:c r="A51" s="58" t="str">
        <x:v>Frame Queue</x:v>
      </x:c>
      <x:c r="B51" s="58" t="str">
        <x:v>Streaming必须声明LatestOnly/DropOldest/Block/EveryN/Trigger策略</x:v>
      </x:c>
      <x:c r="C51" s="58" t="str">
        <x:v>Queue depth/Drop count</x:v>
      </x:c>
      <x:c r="D51" s="58" t="str">
        <x:v>有界队列</x:v>
      </x:c>
      <x:c r="E51" s="58" t="str">
        <x:v>按策略丢/降频/背压</x:v>
      </x:c>
      <x:c r="F51" s="58" t="str">
        <x:v>Debug Viewer不得隐式改生产策略</x:v>
      </x:c>
      <x:c r="G51" s="58" t="str">
        <x:v>Frame sequence</x:v>
      </x:c>
      <x:c r="H51" s="58" t="str">
        <x:v>stress</x:v>
      </x:c>
      <x:c r="I51" s="58" t="str">
        <x:v>无限队列</x:v>
      </x:c>
    </x:row>
    <x:row r="52">
      <x:c r="A52" s="66" t="str">
        <x:v>Freeze</x:v>
      </x:c>
      <x:c r="B52" s="66" t="str">
        <x:v>Freeze只冻结Debugger选定输入，不应默认暂停相机/生产采集</x:v>
      </x:c>
      <x:c r="C52" s="66" t="str">
        <x:v>Frozen Frame badge</x:v>
      </x:c>
      <x:c r="D52" s="66" t="str">
        <x:v>复制Handle引用/ArtifactRef</x:v>
      </x:c>
      <x:c r="E52" s="66" t="str">
        <x:v>超Retention转Artifact</x:v>
      </x:c>
      <x:c r="F52" s="66" t="str">
        <x:v>明确来源Run/Frame</x:v>
      </x:c>
      <x:c r="G52" s="66" t="str">
        <x:v>FrameId/SourceTime</x:v>
      </x:c>
      <x:c r="H52" s="66" t="str">
        <x:v>live tests</x:v>
      </x:c>
      <x:c r="I52" s="66" t="str">
        <x:v>把Freeze等同Stop camera</x:v>
      </x:c>
    </x:row>
    <x:row r="53">
      <x:c r="A53" s="58" t="str">
        <x:v>Model Reload</x:v>
      </x:c>
      <x:c r="B53" s="58" t="str">
        <x:v>Debug切模型需检查兼容/显存/Worker capability</x:v>
      </x:c>
      <x:c r="C53" s="58" t="str">
        <x:v>Loading/VRAM</x:v>
      </x:c>
      <x:c r="D53" s="58" t="str">
        <x:v>预加载→原子切debug scope</x:v>
      </x:c>
      <x:c r="E53" s="58" t="str">
        <x:v>加载失败回旧模型</x:v>
      </x:c>
      <x:c r="F53" s="58" t="str">
        <x:v>Production Active不受影响</x:v>
      </x:c>
      <x:c r="G53" s="58" t="str">
        <x:v>Model hash/load ms</x:v>
      </x:c>
      <x:c r="H53" s="58" t="str">
        <x:v>GPU tests</x:v>
      </x:c>
      <x:c r="I53" s="58" t="str">
        <x:v>半加载状态直接执行</x:v>
      </x:c>
    </x:row>
    <x:row r="54">
      <x:c r="A54" s="66" t="str">
        <x:v>Worker Restart</x:v>
      </x:c>
      <x:c r="B54" s="66" t="str">
        <x:v>Worker崩溃Agent标Fault并可重启</x:v>
      </x:c>
      <x:c r="C54" s="66" t="str">
        <x:v>Worker health</x:v>
      </x:c>
      <x:c r="D54" s="66" t="str">
        <x:v>取消受影响Run、回收handles、重载模型</x:v>
      </x:c>
      <x:c r="E54" s="66" t="str">
        <x:v>新Run排队/失败按策略</x:v>
      </x:c>
      <x:c r="F54" s="66" t="str">
        <x:v>不静默续执行旧Run</x:v>
      </x:c>
      <x:c r="G54" s="66" t="str">
        <x:v>Crash reason</x:v>
      </x:c>
      <x:c r="H54" s="66" t="str">
        <x:v>crash tests</x:v>
      </x:c>
      <x:c r="I54" s="66" t="str">
        <x:v>主Runtime随Worker一起崩</x:v>
      </x:c>
    </x:row>
    <x:row r="55">
      <x:c r="A55" s="58" t="str">
        <x:v>Artifact Pull</x:v>
      </x:c>
      <x:c r="B55" s="58" t="str">
        <x:v>大图/Volume按需请求</x:v>
      </x:c>
      <x:c r="C55" s="58" t="str">
        <x:v>Loading/progress</x:v>
      </x:c>
      <x:c r="D55" s="58" t="str">
        <x:v>独立Data channel</x:v>
      </x:c>
      <x:c r="E55" s="58" t="str">
        <x:v>限并发/带宽</x:v>
      </x:c>
      <x:c r="F55" s="58" t="str">
        <x:v>生产优先</x:v>
      </x:c>
      <x:c r="G55" s="58" t="str">
        <x:v>ArtifactId/bytes</x:v>
      </x:c>
      <x:c r="H55" s="58" t="str">
        <x:v>network</x:v>
      </x:c>
      <x:c r="I55" s="58" t="str">
        <x:v>Telemetry通道推全图</x:v>
      </x:c>
    </x:row>
    <x:row r="56">
      <x:c r="A56"/>
      <x:c r="B56"/>
      <x:c r="C56"/>
      <x:c r="D56"/>
      <x:c r="E56"/>
      <x:c r="F56"/>
      <x:c r="G56"/>
      <x:c r="H56"/>
      <x:c r="I56"/>
    </x:row>
    <x:row r="57" ht="24" customHeight="1">
      <x:c r="A57" s="40" t="str">
        <x:v>F. 故障与质量诊断</x:v>
      </x:c>
      <x:c r="B57" s="40"/>
      <x:c r="C57" s="40"/>
      <x:c r="D57" s="40"/>
      <x:c r="E57" s="40"/>
      <x:c r="F57" s="40"/>
      <x:c r="G57" s="40"/>
      <x:c r="H57" s="40"/>
      <x:c r="I57" s="40"/>
    </x:row>
    <x:row r="58" ht="28" customHeight="1">
      <x:c r="A58" s="50" t="str">
        <x:v>问题</x:v>
      </x:c>
      <x:c r="B58" s="50" t="str">
        <x:v>可观察信息</x:v>
      </x:c>
      <x:c r="C58" s="50" t="str">
        <x:v>调试动作</x:v>
      </x:c>
      <x:c r="D58" s="50" t="str">
        <x:v>Runtime策略</x:v>
      </x:c>
      <x:c r="E58" s="50" t="str">
        <x:v>是否可Retry</x:v>
      </x:c>
      <x:c r="F58" s="50" t="str">
        <x:v>结果质量</x:v>
      </x:c>
      <x:c r="G58" s="50" t="str">
        <x:v>证据</x:v>
      </x:c>
      <x:c r="H58" s="50" t="str">
        <x:v>测试</x:v>
      </x:c>
      <x:c r="I58" s="50" t="str">
        <x:v>备注</x:v>
      </x:c>
    </x:row>
    <x:row r="59">
      <x:c r="A59" s="66" t="str">
        <x:v>Bad Input Quality</x:v>
      </x:c>
      <x:c r="B59" s="66" t="str">
        <x:v>Frame Quality/Source error</x:v>
      </x:c>
      <x:c r="C59" s="66" t="str">
        <x:v>Inspect source/Replay</x:v>
      </x:c>
      <x:c r="D59" s="66" t="str">
        <x:v>节点按QualityPolicy Fail/Skip/Fallback</x:v>
      </x:c>
      <x:c r="E59" s="66" t="str">
        <x:v>视节点</x:v>
      </x:c>
      <x:c r="F59" s="66" t="str">
        <x:v>VisionResult Quality传播</x:v>
      </x:c>
      <x:c r="G59" s="66" t="str">
        <x:v>Frame metadata</x:v>
      </x:c>
      <x:c r="H59" s="66" t="str">
        <x:v>source fault</x:v>
      </x:c>
      <x:c r="I59" s="66"/>
    </x:row>
    <x:row r="60">
      <x:c r="A60" s="58" t="str">
        <x:v>Type/Shape mismatch</x:v>
      </x:c>
      <x:c r="B60" s="58" t="str">
        <x:v>Compile/Runtime shape diagnostic</x:v>
      </x:c>
      <x:c r="C60" s="58" t="str">
        <x:v>回Definition/参数</x:v>
      </x:c>
      <x:c r="D60" s="58" t="str">
        <x:v>Fatal compile或Node fail</x:v>
      </x:c>
      <x:c r="E60" s="58" t="str">
        <x:v>否</x:v>
      </x:c>
      <x:c r="F60" s="58" t="str">
        <x:v>无有效结果</x:v>
      </x:c>
      <x:c r="G60" s="58" t="str">
        <x:v>Node/Port types</x:v>
      </x:c>
      <x:c r="H60" s="58" t="str">
        <x:v>negative</x:v>
      </x:c>
      <x:c r="I60" s="58"/>
    </x:row>
    <x:row r="61">
      <x:c r="A61" s="66" t="str">
        <x:v>GPU OOM</x:v>
      </x:c>
      <x:c r="B61" s="66" t="str">
        <x:v>VRAM/Model cache/Node allocation</x:v>
      </x:c>
      <x:c r="C61" s="66" t="str">
        <x:v>清Debug Pin/降并发/切Worker</x:v>
      </x:c>
      <x:c r="D61" s="66" t="str">
        <x:v>Fail run或按策略回CPU</x:v>
      </x:c>
      <x:c r="E61" s="66" t="str">
        <x:v>可</x:v>
      </x:c>
      <x:c r="F61" s="66" t="str">
        <x:v>Fail/Degraded</x:v>
      </x:c>
      <x:c r="G61" s="66" t="str">
        <x:v>GPU snapshot</x:v>
      </x:c>
      <x:c r="H61" s="66" t="str">
        <x:v>stress</x:v>
      </x:c>
      <x:c r="I61" s="66"/>
    </x:row>
    <x:row r="62">
      <x:c r="A62" s="58" t="str">
        <x:v>Native Exception</x:v>
      </x:c>
      <x:c r="B62" s="58" t="str">
        <x:v>Worker/Adapter error</x:v>
      </x:c>
      <x:c r="C62" s="58" t="str">
        <x:v>Replay/Restart Worker</x:v>
      </x:c>
      <x:c r="D62" s="58" t="str">
        <x:v>隔离故障</x:v>
      </x:c>
      <x:c r="E62" s="58" t="str">
        <x:v>可</x:v>
      </x:c>
      <x:c r="F62" s="58" t="str">
        <x:v>Fail</x:v>
      </x:c>
      <x:c r="G62" s="58" t="str">
        <x:v>Worker crash dump/Run manifest</x:v>
      </x:c>
      <x:c r="H62" s="58" t="str">
        <x:v>fault</x:v>
      </x:c>
      <x:c r="I62" s="58"/>
    </x:row>
    <x:row r="63">
      <x:c r="A63" s="66" t="str">
        <x:v>Performance Regression</x:v>
      </x:c>
      <x:c r="B63" s="66" t="str">
        <x:v>Node timing/A-B compare</x:v>
      </x:c>
      <x:c r="C63" s="66" t="str">
        <x:v>Compare baseline/inspect copies/cache</x:v>
      </x:c>
      <x:c r="D63" s="66" t="str">
        <x:v>继续运行但报警/标记</x:v>
      </x:c>
      <x:c r="E63" s="66" t="str">
        <x:v>N/A</x:v>
      </x:c>
      <x:c r="F63" s="66" t="str">
        <x:v>结果可能正常</x:v>
      </x:c>
      <x:c r="G63" s="66" t="str">
        <x:v>Timeline/Version</x:v>
      </x:c>
      <x:c r="H63" s="66" t="str">
        <x:v>benchmark</x:v>
      </x:c>
      <x:c r="I63" s="66"/>
    </x:row>
    <x:row r="64">
      <x:c r="A64" s="58" t="str">
        <x:v>Unexpected Result</x:v>
      </x:c>
      <x:c r="B64" s="58" t="str">
        <x:v>Overlay/Result/Intermediate data</x:v>
      </x:c>
      <x:c r="C64" s="58" t="str">
        <x:v>RunTo/Pin/Compare/Override</x:v>
      </x:c>
      <x:c r="D64" s="58" t="str">
        <x:v>不改Definition</x:v>
      </x:c>
      <x:c r="E64" s="58" t="str">
        <x:v>可</x:v>
      </x:c>
      <x:c r="F64" s="58" t="str">
        <x:v>记录Debug Result</x:v>
      </x:c>
      <x:c r="G64" s="58" t="str">
        <x:v>Run manifest/artifacts</x:v>
      </x:c>
      <x:c r="H64" s="58" t="str">
        <x:v>golden</x:v>
      </x:c>
      <x:c r="I64" s="58"/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40" hidden="0" customWidth="1"/>
    <x:col min="4" max="4" width="32" hidden="0" customWidth="1"/>
    <x:col min="5" max="5" width="30" hidden="0" customWidth="1"/>
    <x:col min="6" max="6" width="30" hidden="0" customWidth="1"/>
    <x:col min="7" max="7" width="30" hidden="0" customWidth="1"/>
    <x:col min="8" max="8" width="28" hidden="0" customWidth="1"/>
    <x:col min="9" max="9" width="24" hidden="0" customWidth="1"/>
  </x:cols>
  <x:sheetData>
    <x:row r="1" ht="30" customHeight="1">
      <x:c r="A1" s="137" t="str">
        <x:v>CT / 3D — V6.4 独立 Workbench 完整开发蓝图</x:v>
      </x:c>
      <x:c r="B1" s="137"/>
      <x:c r="C1" s="137"/>
      <x:c r="D1" s="137"/>
      <x:c r="E1" s="137"/>
      <x:c r="F1" s="137"/>
      <x:c r="G1" s="137"/>
      <x:c r="H1" s="137"/>
      <x:c r="I1" s="137"/>
    </x:row>
    <x:row r="2" ht="38" customHeight="1">
      <x:c r="A2" s="16" t="str">
        <x:v>CT3D 与 Vision 平级 Workbench：共享 Platform 的 DataHandle/Graph基础/Diagnostics/Worker模式等稳定机制，但拥有独立 Projection/Geometry/Calibration/Reconstruction/Volume/MPR/3D Analysis 专业语义。</x:v>
      </x:c>
      <x:c r="B2" s="16"/>
      <x:c r="C2" s="16"/>
      <x:c r="D2" s="16"/>
      <x:c r="E2" s="16"/>
      <x:c r="F2" s="16"/>
      <x:c r="G2" s="16"/>
      <x:c r="H2" s="16"/>
      <x:c r="I2" s="16"/>
    </x:row>
    <x:row r="3">
      <x:c r="A3" s="30" t="str">
        <x:v>本页唯一权威</x:v>
      </x:c>
      <x:c r="B3" s="31" t="str">
        <x:v>Projection/Geometry/Calibration、Reconstruction Job/Worker、Volume/DataHandle、MPR/Volume Rendering、3D分割/测量/Artifact/Golden。</x:v>
      </x:c>
      <x:c r="C3" s="31"/>
      <x:c r="D3" s="31"/>
      <x:c r="E3" s="31"/>
      <x:c r="F3" s="31"/>
      <x:c r="G3" s="31"/>
      <x:c r="H3" s="31"/>
      <x:c r="I3" s="31"/>
    </x:row>
    <x:row r="4">
      <x:c r="A4" s="30" t="str">
        <x:v>不在本页维护</x:v>
      </x:c>
      <x:c r="B4" s="31" t="str">
        <x:v>Vision内部Runtime实现（不得直接依赖）；Automation负责Axis/XRay/Detector/Trigger采集；Inspection负责最终产品判定。</x:v>
      </x:c>
      <x:c r="C4" s="31"/>
      <x:c r="D4" s="31"/>
      <x:c r="E4" s="31"/>
      <x:c r="F4" s="31"/>
      <x:c r="G4" s="31"/>
      <x:c r="H4" s="31"/>
      <x:c r="I4" s="31"/>
    </x:row>
    <x:row r="5">
      <x:c r="A5" s="30" t="str">
        <x:v>关联分页</x:v>
      </x:c>
      <x:c r="B5" s="31" t="str">
        <x:v>31_Vision完整开发蓝图；34_CT3D在线调试；27_Motion完整开发蓝图；37_跨域执行E2E；45_StudioShell与Ribbon基线；47_运控硬件抽象体系。</x:v>
      </x:c>
      <x:c r="C5" s="31"/>
      <x:c r="D5" s="31"/>
      <x:c r="E5" s="31"/>
      <x:c r="F5" s="31"/>
      <x:c r="G5" s="31"/>
      <x:c r="H5" s="31"/>
      <x:c r="I5" s="31"/>
    </x:row>
    <x:row r="6">
      <x:c r="A6"/>
      <x:c r="B6"/>
      <x:c r="C6"/>
      <x:c r="D6"/>
      <x:c r="E6"/>
      <x:c r="F6"/>
      <x:c r="G6"/>
      <x:c r="H6"/>
      <x:c r="I6"/>
    </x:row>
    <x:row r="7" ht="24" customHeight="1">
      <x:c r="A7" s="40" t="str">
        <x:v>A. 领域定位与边界</x:v>
      </x:c>
      <x:c r="B7" s="40"/>
      <x:c r="C7" s="40"/>
      <x:c r="D7" s="40"/>
      <x:c r="E7" s="40"/>
      <x:c r="F7" s="40"/>
      <x:c r="G7" s="40"/>
      <x:c r="H7" s="40"/>
      <x:c r="I7" s="40"/>
    </x:row>
    <x:row r="8" ht="28" customHeight="1">
      <x:c r="A8" s="50" t="str">
        <x:v>主题</x:v>
      </x:c>
      <x:c r="B8" s="50" t="str">
        <x:v>正式定位</x:v>
      </x:c>
      <x:c r="C8" s="50" t="str">
        <x:v>边界</x:v>
      </x:c>
      <x:c r="D8" s="50"/>
      <x:c r="E8" s="50"/>
      <x:c r="F8" s="50"/>
      <x:c r="G8" s="50"/>
      <x:c r="H8" s="50"/>
      <x:c r="I8" s="50"/>
    </x:row>
    <x:row r="9">
      <x:c r="A9" s="58" t="str">
        <x:v>归属</x:v>
      </x:c>
      <x:c r="B9" s="58" t="str">
        <x:v>Vision专业扩展</x:v>
      </x:c>
      <x:c r="C9" s="58" t="str">
        <x:v>复用TypedDataFlow/DataHandle/GPU/Worker/Golden/Debug</x:v>
      </x:c>
      <x:c r="D9" s="58"/>
      <x:c r="E9" s="58"/>
      <x:c r="F9" s="58"/>
      <x:c r="G9" s="58"/>
      <x:c r="H9" s="58"/>
      <x:c r="I9" s="58"/>
    </x:row>
    <x:row r="10">
      <x:c r="A10" s="66" t="str">
        <x:v>负责</x:v>
      </x:c>
      <x:c r="B10" s="66" t="str">
        <x:v>ProjectionSeries/CTGeometry/Reconstruction/Volume3D/MPR/Surface/3D Seg/Measure</x:v>
      </x:c>
      <x:c r="C10" s="66" t="str">
        <x:v>CT/3D算法工程化</x:v>
      </x:c>
      <x:c r="D10" s="66"/>
      <x:c r="E10" s="66"/>
      <x:c r="F10" s="66"/>
      <x:c r="G10" s="66"/>
      <x:c r="H10" s="66"/>
      <x:c r="I10" s="66"/>
    </x:row>
    <x:row r="11">
      <x:c r="A11" s="58" t="str">
        <x:v>不负责</x:v>
      </x:c>
      <x:c r="B11" s="58" t="str">
        <x:v>轴扫描实时控制</x:v>
      </x:c>
      <x:c r="C11" s="58" t="str">
        <x:v>采集动作由Motion/Robot负责；Inspection组织产品生命周期</x:v>
      </x:c>
      <x:c r="D11" s="58"/>
      <x:c r="E11" s="58"/>
      <x:c r="F11" s="58"/>
      <x:c r="G11" s="58"/>
      <x:c r="H11" s="58"/>
      <x:c r="I11" s="58"/>
    </x:row>
    <x:row r="12">
      <x:c r="A12"/>
      <x:c r="B12"/>
      <x:c r="C12"/>
      <x:c r="D12"/>
      <x:c r="E12"/>
      <x:c r="F12"/>
      <x:c r="G12"/>
      <x:c r="H12"/>
      <x:c r="I12"/>
    </x:row>
    <x:row r="13" ht="24" customHeight="1">
      <x:c r="A13" s="40" t="str">
        <x:v>A. CT/3D Studio 完整功能展望</x:v>
      </x:c>
      <x:c r="B13" s="40"/>
      <x:c r="C13" s="40"/>
      <x:c r="D13" s="40"/>
      <x:c r="E13" s="40"/>
      <x:c r="F13" s="40"/>
      <x:c r="G13" s="40"/>
      <x:c r="H13" s="40"/>
      <x:c r="I13" s="40"/>
    </x:row>
    <x:row r="14" ht="28" customHeight="1">
      <x:c r="A14" s="50" t="str">
        <x:v>功能区</x:v>
      </x:c>
      <x:c r="B14" s="50" t="str">
        <x:v>核心能力</x:v>
      </x:c>
      <x:c r="C14" s="50" t="str">
        <x:v>具体功能</x:v>
      </x:c>
      <x:c r="D14" s="50" t="str">
        <x:v>主要对象</x:v>
      </x:c>
      <x:c r="E14" s="50" t="str">
        <x:v>UI形态</x:v>
      </x:c>
      <x:c r="F14" s="50" t="str">
        <x:v>运行关联</x:v>
      </x:c>
      <x:c r="G14" s="50" t="str">
        <x:v>性能/资源</x:v>
      </x:c>
      <x:c r="H14" s="50" t="str">
        <x:v>安全/版本</x:v>
      </x:c>
      <x:c r="I14" s="50"/>
    </x:row>
    <x:row r="15">
      <x:c r="A15" s="66" t="str">
        <x:v>Pipeline导航</x:v>
      </x:c>
      <x:c r="B15" s="66" t="str">
        <x:v>CT/3D算法工程管理</x:v>
      </x:c>
      <x:c r="C15" s="66" t="str">
        <x:v>Projection/Preprocess/Reconstruction/VolumeProcess/Segmentation/Measure/Output/SubPipeline分类与搜索</x:v>
      </x:c>
      <x:c r="D15" s="66" t="str">
        <x:v>VisionPipeline(CT profile)</x:v>
      </x:c>
      <x:c r="E15" s="66" t="str">
        <x:v>Project Tree + Search</x:v>
      </x:c>
      <x:c r="F15" s="66" t="str">
        <x:v>Vision/CT Runtime</x:v>
      </x:c>
      <x:c r="G15" s="66" t="str">
        <x:v>轻量</x:v>
      </x:c>
      <x:c r="H15" s="66" t="str">
        <x:v>Definition/Plugin版本</x:v>
      </x:c>
      <x:c r="I15" s="66"/>
    </x:row>
    <x:row r="16">
      <x:c r="A16" s="58" t="str">
        <x:v>采集数据定义</x:v>
      </x:c>
      <x:c r="B16" s="58" t="str">
        <x:v>投影序列/角度/曝光/探测器几何</x:v>
      </x:c>
      <x:c r="C16" s="58" t="str">
        <x:v>ProjectionSeriesSchema/AcquisitionGeometry/FrameIndex/Angle/KV/uA/Exposure/DetectorMeta</x:v>
      </x:c>
      <x:c r="D16" s="58" t="str">
        <x:v>ProjectionSeriesDefinition</x:v>
      </x:c>
      <x:c r="E16" s="58" t="str">
        <x:v>Schema/Inspector</x:v>
      </x:c>
      <x:c r="F16" s="58" t="str">
        <x:v>Acquire CT invocation</x:v>
      </x:c>
      <x:c r="G16" s="58" t="str">
        <x:v>大数据索引</x:v>
      </x:c>
      <x:c r="H16" s="58" t="str">
        <x:v>与设备Profile固定</x:v>
      </x:c>
      <x:c r="I16" s="58"/>
    </x:row>
    <x:row r="17">
      <x:c r="A17" s="66" t="str">
        <x:v>CT几何编辑</x:v>
      </x:c>
      <x:c r="B17" s="66" t="str">
        <x:v>源-物体-探测器几何</x:v>
      </x:c>
      <x:c r="C17" s="66" t="str">
        <x:v>SOD/SDD/FOD/FDD/Detector spacing/offset/rotation/axis/trajectory</x:v>
      </x:c>
      <x:c r="D17" s="66" t="str">
        <x:v>CTGeometry</x:v>
      </x:c>
      <x:c r="E17" s="66" t="str">
        <x:v>Geometry Editor + 2D/3D preview</x:v>
      </x:c>
      <x:c r="F17" s="66" t="str">
        <x:v>Reconstruction resolve</x:v>
      </x:c>
      <x:c r="G17" s="66" t="str">
        <x:v>轻量</x:v>
      </x:c>
      <x:c r="H17" s="66" t="str">
        <x:v>Calibration版本</x:v>
      </x:c>
      <x:c r="I17" s="66"/>
    </x:row>
    <x:row r="18">
      <x:c r="A18" s="58" t="str">
        <x:v>投影预处理</x:v>
      </x:c>
      <x:c r="B18" s="58" t="str">
        <x:v>重建前校正链</x:v>
      </x:c>
      <x:c r="C18" s="58" t="str">
        <x:v>Dark/Flat/BadPixel/Gain/Log/BeamHardening/Scatter/Ring/Metal preprocess</x:v>
      </x:c>
      <x:c r="D18" s="58" t="str">
        <x:v>ProjectionImage/Series</x:v>
      </x:c>
      <x:c r="E18" s="58" t="str">
        <x:v>Pipeline nodes + preview</x:v>
      </x:c>
      <x:c r="F18" s="58" t="str">
        <x:v>CT Worker</x:v>
      </x:c>
      <x:c r="G18" s="58" t="str">
        <x:v>CPU/GPU/IO</x:v>
      </x:c>
      <x:c r="H18" s="58" t="str">
        <x:v>参数版本</x:v>
      </x:c>
      <x:c r="I18" s="58"/>
    </x:row>
    <x:row r="19">
      <x:c r="A19" s="66" t="str">
        <x:v>重建算法</x:v>
      </x:c>
      <x:c r="B19" s="66" t="str">
        <x:v>2D/3D重建编排</x:v>
      </x:c>
      <x:c r="C19" s="66" t="str">
        <x:v>FBP/FDK/ART/SART/迭代算法/自研/RTK/ASTRA Adapter</x:v>
      </x:c>
      <x:c r="D19" s="66" t="str">
        <x:v>ReconstructionConfig</x:v>
      </x:c>
      <x:c r="E19" s="66" t="str">
        <x:v>Node Inspector</x:v>
      </x:c>
      <x:c r="F19" s="66" t="str">
        <x:v>CTReconstructionWorker</x:v>
      </x:c>
      <x:c r="G19" s="66" t="str">
        <x:v>GPU/CPU/Native heavy</x:v>
      </x:c>
      <x:c r="H19" s="66" t="str">
        <x:v>算法/Plugin固定</x:v>
      </x:c>
      <x:c r="I19" s="66"/>
    </x:row>
    <x:row r="20">
      <x:c r="A20" s="58" t="str">
        <x:v>重建任务</x:v>
      </x:c>
      <x:c r="B20" s="58" t="str">
        <x:v>大任务切分与执行</x:v>
      </x:c>
      <x:c r="C20" s="58" t="str">
        <x:v>Projection chunk/Volume slab/GPU选择/临时目录/Checkpoint(算法级可选)/取消</x:v>
      </x:c>
      <x:c r="D20" s="58" t="str">
        <x:v>ReconstructionJob</x:v>
      </x:c>
      <x:c r="E20" s="58" t="str">
        <x:v>Job panel</x:v>
      </x:c>
      <x:c r="F20" s="58" t="str">
        <x:v>CT Worker Scheduler</x:v>
      </x:c>
      <x:c r="G20" s="58" t="str">
        <x:v>GPU/内存/磁盘</x:v>
      </x:c>
      <x:c r="H20" s="58" t="str">
        <x:v>RunManifest</x:v>
      </x:c>
      <x:c r="I20" s="58"/>
    </x:row>
    <x:row r="21">
      <x:c r="A21" s="66" t="str">
        <x:v>Volume数据</x:v>
      </x:c>
      <x:c r="B21" s="66" t="str">
        <x:v>体数据元信息与生命周期</x:v>
      </x:c>
      <x:c r="C21" s="66" t="str">
        <x:v>Dims/Spacing/Origin/Direction/VoxelType/Calibration/CoordinateFrame/Hash</x:v>
      </x:c>
      <x:c r="D21" s="66" t="str">
        <x:v>Volume3D/VolumeDataHandle</x:v>
      </x:c>
      <x:c r="E21" s="66" t="str">
        <x:v>Volume Inspector</x:v>
      </x:c>
      <x:c r="F21" s="66" t="str">
        <x:v>Vision Runtime</x:v>
      </x:c>
      <x:c r="G21" s="66" t="str">
        <x:v>内存/共享内存/文件映射</x:v>
      </x:c>
      <x:c r="H21" s="66" t="str">
        <x:v>Schema版本</x:v>
      </x:c>
      <x:c r="I21" s="66"/>
    </x:row>
    <x:row r="22">
      <x:c r="A22" s="58" t="str">
        <x:v>MPR查看</x:v>
      </x:c>
      <x:c r="B22" s="58" t="str">
        <x:v>Axial/Sagittal/Coronal/Oblique</x:v>
      </x:c>
      <x:c r="C22" s="58" t="str">
        <x:v>WindowLevel/Zoom/Pan/Crosshair/Reslice/Linked views/Measurement</x:v>
      </x:c>
      <x:c r="D22" s="58" t="str">
        <x:v>Volume3D/MprViewState</x:v>
      </x:c>
      <x:c r="E22" s="58" t="str">
        <x:v>3/4 View Viewer</x:v>
      </x:c>
      <x:c r="F22" s="58" t="str">
        <x:v>Debug/Runtime Viewer</x:v>
      </x:c>
      <x:c r="G22" s="58" t="str">
        <x:v>GPU/缓存</x:v>
      </x:c>
      <x:c r="H22" s="58" t="str">
        <x:v>Viewer状态不污染算法Definition</x:v>
      </x:c>
      <x:c r="I22" s="58"/>
    </x:row>
    <x:row r="23">
      <x:c r="A23" s="66" t="str">
        <x:v>3D体绘制</x:v>
      </x:c>
      <x:c r="B23" s="66" t="str">
        <x:v>Volume Rendering/MIP/MinIP</x:v>
      </x:c>
      <x:c r="C23" s="66" t="str">
        <x:v>TransferFunction/Opacity/Clipping/Crop/Orientation/Quality</x:v>
      </x:c>
      <x:c r="D23" s="66" t="str">
        <x:v>VolumeRenderPreset</x:v>
      </x:c>
      <x:c r="E23" s="66" t="str">
        <x:v>3D Viewer</x:v>
      </x:c>
      <x:c r="F23" s="66" t="str">
        <x:v>Debug/Review</x:v>
      </x:c>
      <x:c r="G23" s="66" t="str">
        <x:v>GPU</x:v>
      </x:c>
      <x:c r="H23" s="66" t="str">
        <x:v>Preset版本</x:v>
      </x:c>
      <x:c r="I23" s="66"/>
    </x:row>
    <x:row r="24">
      <x:c r="A24" s="58" t="str">
        <x:v>Surface/网格</x:v>
      </x:c>
      <x:c r="B24" s="58" t="str">
        <x:v>等值面与Mesh</x:v>
      </x:c>
      <x:c r="C24" s="58" t="str">
        <x:v>Contour/Marching Cubes/Smoothing/Decimation/Normals/Export STL/PLY</x:v>
      </x:c>
      <x:c r="D24" s="58" t="str">
        <x:v>Mesh3D</x:v>
      </x:c>
      <x:c r="E24" s="58" t="str">
        <x:v>3D Viewer</x:v>
      </x:c>
      <x:c r="F24" s="58" t="str">
        <x:v>Algorithm node</x:v>
      </x:c>
      <x:c r="G24" s="58" t="str">
        <x:v>CPU/GPU/内存</x:v>
      </x:c>
      <x:c r="H24" s="58" t="str">
        <x:v>Artifact版本</x:v>
      </x:c>
      <x:c r="I24" s="58"/>
    </x:row>
    <x:row r="25">
      <x:c r="A25" s="66" t="str">
        <x:v>3D分割</x:v>
      </x:c>
      <x:c r="B25" s="66" t="str">
        <x:v>体分割/区域生长/AI 3D</x:v>
      </x:c>
      <x:c r="C25" s="66" t="str">
        <x:v>Threshold/Connected/RegionGrow/Watershed/3D UNet/Mask cleanup</x:v>
      </x:c>
      <x:c r="D25" s="66" t="str">
        <x:v>Region3D/Mask3D</x:v>
      </x:c>
      <x:c r="E25" s="66" t="str">
        <x:v>Volume overlay</x:v>
      </x:c>
      <x:c r="F25" s="66" t="str">
        <x:v>Vision Runtime/Worker</x:v>
      </x:c>
      <x:c r="G25" s="66" t="str">
        <x:v>GPU/内存</x:v>
      </x:c>
      <x:c r="H25" s="66" t="str">
        <x:v>Model版本</x:v>
      </x:c>
      <x:c r="I25" s="66"/>
    </x:row>
    <x:row r="26">
      <x:c r="A26" s="58" t="str">
        <x:v>3D测量</x:v>
      </x:c>
      <x:c r="B26" s="58" t="str">
        <x:v>工业CT测量</x:v>
      </x:c>
      <x:c r="C26" s="58" t="str">
        <x:v>Distance/WallThickness/Volume/Area/Defect size/Porosity/Coordinate measure</x:v>
      </x:c>
      <x:c r="D26" s="58" t="str">
        <x:v>Measurement3DSet</x:v>
      </x:c>
      <x:c r="E26" s="58" t="str">
        <x:v>Measure panel + overlay</x:v>
      </x:c>
      <x:c r="F26" s="58" t="str">
        <x:v>Vision Runtime</x:v>
      </x:c>
      <x:c r="G26" s="58" t="str">
        <x:v>CPU/GPU</x:v>
      </x:c>
      <x:c r="H26" s="58" t="str">
        <x:v>Calibration/Unit</x:v>
      </x:c>
      <x:c r="I26" s="58"/>
    </x:row>
    <x:row r="27">
      <x:c r="A27" s="66" t="str">
        <x:v>配准/对齐</x:v>
      </x:c>
      <x:c r="B27" s="66" t="str">
        <x:v>Volume/CAD/Reference配准</x:v>
      </x:c>
      <x:c r="C27" s="66" t="str">
        <x:v>Rigid/Affine/ICP/Feature/Template/CAD alignment</x:v>
      </x:c>
      <x:c r="D27" s="66" t="str">
        <x:v>Transform3D/Pose3</x:v>
      </x:c>
      <x:c r="E27" s="66" t="str">
        <x:v>3D overlay</x:v>
      </x:c>
      <x:c r="F27" s="66" t="str">
        <x:v>Vision Runtime/Worker</x:v>
      </x:c>
      <x:c r="G27" s="66" t="str">
        <x:v>CPU/GPU</x:v>
      </x:c>
      <x:c r="H27" s="66" t="str">
        <x:v>Reference版本</x:v>
      </x:c>
      <x:c r="I27" s="66"/>
    </x:row>
    <x:row r="28">
      <x:c r="A28" s="58" t="str">
        <x:v>缺陷分析</x:v>
      </x:c>
      <x:c r="B28" s="58" t="str">
        <x:v>三维缺陷识别与结果融合</x:v>
      </x:c>
      <x:c r="C28" s="58" t="str">
        <x:v>Void/Crack/ForeignObject/Porosity/Connectivity/Distance to CAD</x:v>
      </x:c>
      <x:c r="D28" s="58" t="str">
        <x:v>Defect3DSet</x:v>
      </x:c>
      <x:c r="E28" s="58" t="str">
        <x:v>Defect explorer</x:v>
      </x:c>
      <x:c r="F28" s="58" t="str">
        <x:v>Vision Result</x:v>
      </x:c>
      <x:c r="G28" s="58" t="str">
        <x:v>GPU/Worker</x:v>
      </x:c>
      <x:c r="H28" s="58" t="str">
        <x:v>Rule/Model版本</x:v>
      </x:c>
      <x:c r="I28" s="58"/>
    </x:row>
    <x:row r="29">
      <x:c r="A29" s="66" t="str">
        <x:v>CT样本/Golden</x:v>
      </x:c>
      <x:c r="B29" s="66" t="str">
        <x:v>体数据回归集</x:v>
      </x:c>
      <x:c r="C29" s="66" t="str">
        <x:v>ProjectionSeries/Volume/Expected metrics/Segmentation masks/Performance baseline</x:v>
      </x:c>
      <x:c r="D29" s="66" t="str">
        <x:v>CTSampleSet/CTGoldenCase</x:v>
      </x:c>
      <x:c r="E29" s="66" t="str">
        <x:v>Sample Explorer</x:v>
      </x:c>
      <x:c r="F29" s="66" t="str">
        <x:v>Batch/CI</x:v>
      </x:c>
      <x:c r="G29" s="66" t="str">
        <x:v>存储量大</x:v>
      </x:c>
      <x:c r="H29" s="66" t="str">
        <x:v>内容Hash</x:v>
      </x:c>
      <x:c r="I29" s="66"/>
    </x:row>
    <x:row r="30">
      <x:c r="A30" s="58" t="str">
        <x:v>在线调试</x:v>
      </x:c>
      <x:c r="B30" s="58" t="str">
        <x:v>投影到Volume全链调试</x:v>
      </x:c>
      <x:c r="C30" s="58" t="str">
        <x:v>Freeze series/RunTo/Reconstruct partial/View projection/volume/node outputs/parameter tuning</x:v>
      </x:c>
      <x:c r="D30" s="58" t="str">
        <x:v>CTDebugSession</x:v>
      </x:c>
      <x:c r="E30" s="58" t="str">
        <x:v>CT Debug Workspace</x:v>
      </x:c>
      <x:c r="F30" s="58" t="str">
        <x:v>CT Runtime/Worker</x:v>
      </x:c>
      <x:c r="G30" s="58" t="str">
        <x:v>GPU/带宽/存储</x:v>
      </x:c>
      <x:c r="H30" s="58" t="str">
        <x:v>Session Override</x:v>
      </x:c>
      <x:c r="I30" s="58"/>
    </x:row>
    <x:row r="31">
      <x:c r="A31" s="66" t="str">
        <x:v>Artifact管理</x:v>
      </x:c>
      <x:c r="B31" s="66" t="str">
        <x:v>投影/体/切片/网格/缺陷图管理</x:v>
      </x:c>
      <x:c r="C31" s="66" t="str">
        <x:v>Retention/Compression/Chunking/Hash/Manifest/Local vs central store</x:v>
      </x:c>
      <x:c r="D31" s="66" t="str">
        <x:v>ArtifactRef</x:v>
      </x:c>
      <x:c r="E31" s="66" t="str">
        <x:v>Artifact browser</x:v>
      </x:c>
      <x:c r="F31" s="66" t="str">
        <x:v>Artifact Store</x:v>
      </x:c>
      <x:c r="G31" s="66" t="str">
        <x:v>磁盘/网络</x:v>
      </x:c>
      <x:c r="H31" s="66" t="str">
        <x:v>版本/权限</x:v>
      </x:c>
      <x:c r="I31" s="66"/>
    </x:row>
    <x:row r="32">
      <x:c r="A32" s="58" t="str">
        <x:v>发布</x:v>
      </x:c>
      <x:c r="B32" s="58" t="str">
        <x:v>算法/几何/模型/插件完整固化</x:v>
      </x:c>
      <x:c r="C32" s="58" t="str">
        <x:v>Pipeline/Geometry/Calibration/Model/Plugin/Worker capability/Artifact policy</x:v>
      </x:c>
      <x:c r="D32" s="58" t="str">
        <x:v>CTReleaseManifest</x:v>
      </x:c>
      <x:c r="E32" s="58" t="str">
        <x:v>Version/Publish</x:v>
      </x:c>
      <x:c r="F32" s="58" t="str">
        <x:v>CT Worker</x:v>
      </x:c>
      <x:c r="G32" s="58" t="str">
        <x:v>依赖解析</x:v>
      </x:c>
      <x:c r="H32" s="58" t="str">
        <x:v>签名/Hash</x:v>
      </x:c>
      <x:c r="I32" s="58"/>
    </x:row>
    <x:row r="33">
      <x:c r="A33"/>
      <x:c r="B33"/>
      <x:c r="C33"/>
      <x:c r="D33"/>
      <x:c r="E33"/>
      <x:c r="F33"/>
      <x:c r="G33"/>
      <x:c r="H33"/>
      <x:c r="I33"/>
    </x:row>
    <x:row r="34" ht="24" customHeight="1">
      <x:c r="A34" s="40" t="str">
        <x:v>B. CT/3D 分层代码蓝图</x:v>
      </x:c>
      <x:c r="B34" s="40"/>
      <x:c r="C34" s="40"/>
      <x:c r="D34" s="40"/>
      <x:c r="E34" s="40"/>
      <x:c r="F34" s="40"/>
      <x:c r="G34" s="40"/>
      <x:c r="H34" s="40"/>
      <x:c r="I34" s="40"/>
    </x:row>
    <x:row r="35" ht="28" customHeight="1">
      <x:c r="A35" s="50" t="str">
        <x:v>层</x:v>
      </x:c>
      <x:c r="B35" s="50" t="str">
        <x:v>建议模块</x:v>
      </x:c>
      <x:c r="C35" s="50" t="str">
        <x:v>核心对象/接口</x:v>
      </x:c>
      <x:c r="D35" s="50" t="str">
        <x:v>职责</x:v>
      </x:c>
      <x:c r="E35" s="50" t="str">
        <x:v>输入</x:v>
      </x:c>
      <x:c r="F35" s="50" t="str">
        <x:v>输出</x:v>
      </x:c>
      <x:c r="G35" s="50" t="str">
        <x:v>UI依赖</x:v>
      </x:c>
      <x:c r="H35" s="50" t="str">
        <x:v>Native/GPU依赖</x:v>
      </x:c>
      <x:c r="I35" s="50" t="str">
        <x:v>关键门禁</x:v>
      </x:c>
    </x:row>
    <x:row r="36">
      <x:c r="A36" s="66" t="str">
        <x:v>Designer.Wpf</x:v>
      </x:c>
      <x:c r="B36" s="66" t="str">
        <x:v>CxVisual.Vision3D.Designer.Wpf</x:v>
      </x:c>
      <x:c r="C36" s="66" t="str">
        <x:v>CTPipelineView/ProjectionViewer/MprViewer/VolumeViewer/GeometryEditor/CTProfiler</x:v>
      </x:c>
      <x:c r="D36" s="66" t="str">
        <x:v>CT编排与3D可视调试</x:v>
      </x:c>
      <x:c r="E36" s="66" t="str">
        <x:v>ViewModels/Handles</x:v>
      </x:c>
      <x:c r="F36" s="66" t="str">
        <x:v>Commands/User intents</x:v>
      </x:c>
      <x:c r="G36" s="66" t="str">
        <x:v>WPF/VTK host可隔离</x:v>
      </x:c>
      <x:c r="H36" s="66" t="str">
        <x:v>Viewer可依赖VTK</x:v>
      </x:c>
      <x:c r="I36" s="66" t="str">
        <x:v>算法Core无VTK类型</x:v>
      </x:c>
    </x:row>
    <x:row r="37">
      <x:c r="A37" s="58" t="str">
        <x:v>Application</x:v>
      </x:c>
      <x:c r="B37" s="58" t="str">
        <x:v>CxVisual.Vision3D.Application</x:v>
      </x:c>
      <x:c r="C37" s="58" t="str">
        <x:v>CTAuthoringService/GeometryService/SampleService/ReconstructionJobService/ArtifactService</x:v>
      </x:c>
      <x:c r="D37" s="58" t="str">
        <x:v>编辑/任务/样本/版本用例</x:v>
      </x:c>
      <x:c r="E37" s="58" t="str">
        <x:v>Definitions/Stores</x:v>
      </x:c>
      <x:c r="F37" s="58" t="str">
        <x:v>Commands/Run specs</x:v>
      </x:c>
      <x:c r="G37" s="58" t="str">
        <x:v>无</x:v>
      </x:c>
      <x:c r="H37" s="58" t="str">
        <x:v>无</x:v>
      </x:c>
      <x:c r="I37" s="58" t="str">
        <x:v>可单测</x:v>
      </x:c>
    </x:row>
    <x:row r="38">
      <x:c r="A38" s="66" t="str">
        <x:v>Core</x:v>
      </x:c>
      <x:c r="B38" s="66" t="str">
        <x:v>CxVisual.Vision3D.Core</x:v>
      </x:c>
      <x:c r="C38" s="66" t="str">
        <x:v>ProjectionSeries/CTGeometry/Volume3D metadata/ReconstructionConfig/3D contracts</x:v>
      </x:c>
      <x:c r="D38" s="66" t="str">
        <x:v>稳定专业数据契约</x:v>
      </x:c>
      <x:c r="E38" s="66" t="str">
        <x:v>工程配置</x:v>
      </x:c>
      <x:c r="F38" s="66" t="str">
        <x:v>Definitions/Contracts</x:v>
      </x:c>
      <x:c r="G38" s="66" t="str">
        <x:v>无</x:v>
      </x:c>
      <x:c r="H38" s="66" t="str">
        <x:v>无</x:v>
      </x:c>
      <x:c r="I38" s="66" t="str">
        <x:v>不持Native buffer/VTK对象</x:v>
      </x:c>
    </x:row>
    <x:row r="39">
      <x:c r="A39" s="58" t="str">
        <x:v>Metadata</x:v>
      </x:c>
      <x:c r="B39" s="58" t="str">
        <x:v>Vision3D.Core/Metadata</x:v>
      </x:c>
      <x:c r="C39" s="58" t="str">
        <x:v>CTNodeDescriptor/VolumeTypeDescriptor/ReconstructionDescriptor</x:v>
      </x:c>
      <x:c r="D39" s="58" t="str">
        <x:v>Toolbox/Inspector/TypeSystem扩展</x:v>
      </x:c>
      <x:c r="E39" s="58" t="str">
        <x:v>注册</x:v>
      </x:c>
      <x:c r="F39" s="58" t="str">
        <x:v>Catalog</x:v>
      </x:c>
      <x:c r="G39" s="58" t="str">
        <x:v>无</x:v>
      </x:c>
      <x:c r="H39" s="58" t="str">
        <x:v>无</x:v>
      </x:c>
      <x:c r="I39" s="58" t="str">
        <x:v>Stable TypeId</x:v>
      </x:c>
    </x:row>
    <x:row r="40">
      <x:c r="A40" s="66" t="str">
        <x:v>Validation</x:v>
      </x:c>
      <x:c r="B40" s="66" t="str">
        <x:v>Vision3D.Core/Validation</x:v>
      </x:c>
      <x:c r="C40" s="66" t="str">
        <x:v>CTValidator/GeometryRule/ProjectionRule/VolumeRule</x:v>
      </x:c>
      <x:c r="D40" s="66" t="str">
        <x:v>几何/投影/算法/资源/单位校验</x:v>
      </x:c>
      <x:c r="E40" s="66" t="str">
        <x:v>Definition+Project</x:v>
      </x:c>
      <x:c r="F40" s="66" t="str">
        <x:v>ValidationReport</x:v>
      </x:c>
      <x:c r="G40" s="66" t="str">
        <x:v>无</x:v>
      </x:c>
      <x:c r="H40" s="66" t="str">
        <x:v>无</x:v>
      </x:c>
      <x:c r="I40" s="66" t="str">
        <x:v>错误尽量在Compile前发现</x:v>
      </x:c>
    </x:row>
    <x:row r="41">
      <x:c r="A41" s="58" t="str">
        <x:v>Compiler</x:v>
      </x:c>
      <x:c r="B41" s="58" t="str">
        <x:v>Vision3D.Runtime</x:v>
      </x:c>
      <x:c r="C41" s="58" t="str">
        <x:v>CTCompiler/CTPlanBuilder</x:v>
      </x:c>
      <x:c r="D41" s="58" t="str">
        <x:v>解析数据类型/Geometry/Calibration/Worker/GPU/临时存储</x:v>
      </x:c>
      <x:c r="E41" s="58" t="str">
        <x:v>Resolved pipeline</x:v>
      </x:c>
      <x:c r="F41" s="58" t="str">
        <x:v>CTExecutionPlan</x:v>
      </x:c>
      <x:c r="G41" s="58" t="str">
        <x:v>无</x:v>
      </x:c>
      <x:c r="H41" s="58" t="str">
        <x:v>无</x:v>
      </x:c>
      <x:c r="I41" s="58" t="str">
        <x:v>Plan Hash包含算法/几何依赖</x:v>
      </x:c>
    </x:row>
    <x:row r="42">
      <x:c r="A42" s="66" t="str">
        <x:v>Runtime</x:v>
      </x:c>
      <x:c r="B42" s="66" t="str">
        <x:v>Vision3D.Runtime</x:v>
      </x:c>
      <x:c r="C42" s="66" t="str">
        <x:v>CTRunSession/ReconstructionJobCoordinator/VolumeNodeRunner</x:v>
      </x:c>
      <x:c r="D42" s="66" t="str">
        <x:v>TypedDataFlow + Heavy Job调度</x:v>
      </x:c>
      <x:c r="E42" s="66" t="str">
        <x:v>Plan+RunContext</x:v>
      </x:c>
      <x:c r="F42" s="66" t="str">
        <x:v>VisionResult/Volume handles</x:v>
      </x:c>
      <x:c r="G42" s="66" t="str">
        <x:v>无</x:v>
      </x:c>
      <x:c r="H42" s="66" t="str">
        <x:v>经Worker</x:v>
      </x:c>
      <x:c r="I42" s="66" t="str">
        <x:v>可取消/资源有界</x:v>
      </x:c>
    </x:row>
    <x:row r="43">
      <x:c r="A43" s="58" t="str">
        <x:v>Memory/Storage</x:v>
      </x:c>
      <x:c r="B43" s="58" t="str">
        <x:v>Vision3D.Runtime.Data</x:v>
      </x:c>
      <x:c r="C43" s="58" t="str">
        <x:v>ProjectionHandle/VolumeDataHandle/ChunkStore/MemoryMap/VolumeCache</x:v>
      </x:c>
      <x:c r="D43" s="58" t="str">
        <x:v>GB级数据生命周期</x:v>
      </x:c>
      <x:c r="E43" s="58" t="str">
        <x:v>Frame/Volume/Artifact</x:v>
      </x:c>
      <x:c r="F43" s="58" t="str">
        <x:v>Handles</x:v>
      </x:c>
      <x:c r="G43" s="58" t="str">
        <x:v>无</x:v>
      </x:c>
      <x:c r="H43" s="58" t="str">
        <x:v>Native/SharedMemory可用</x:v>
      </x:c>
      <x:c r="I43" s="58" t="str">
        <x:v>大数据不进GC大对象反复复制</x:v>
      </x:c>
    </x:row>
    <x:row r="44">
      <x:c r="A44" s="66" t="str">
        <x:v>Worker</x:v>
      </x:c>
      <x:c r="B44" s="66" t="str">
        <x:v>CxVisual.CT.Worker</x:v>
      </x:c>
      <x:c r="C44" s="66" t="str">
        <x:v>IReconstructionExecutor/I3DAlgorithmExecutor/WorkerSupervisor</x:v>
      </x:c>
      <x:c r="D44" s="66" t="str">
        <x:v>RTK/ASTRA/CUDA/ITK/自研重建与3D算法隔离</x:v>
      </x:c>
      <x:c r="E44" s="66" t="str">
        <x:v>Execution request</x:v>
      </x:c>
      <x:c r="F44" s="66" t="str">
        <x:v>Typed Handle/Result/Health</x:v>
      </x:c>
      <x:c r="G44" s="66" t="str">
        <x:v>无</x:v>
      </x:c>
      <x:c r="H44" s="66" t="str">
        <x:v>重Native/GPU</x:v>
      </x:c>
      <x:c r="I44" s="66" t="str">
        <x:v>Worker崩溃不拖主Runtime</x:v>
      </x:c>
    </x:row>
    <x:row r="45">
      <x:c r="A45" s="58" t="str">
        <x:v>Viewer</x:v>
      </x:c>
      <x:c r="B45" s="58" t="str">
        <x:v>CxVisual.Vision3D.Viewer</x:v>
      </x:c>
      <x:c r="C45" s="58" t="str">
        <x:v>IVolumeViewerAdapter/IMprViewerAdapter/IProjectionViewerAdapter</x:v>
      </x:c>
      <x:c r="D45" s="58" t="str">
        <x:v>调试/分析可视化适配</x:v>
      </x:c>
      <x:c r="E45" s="58" t="str">
        <x:v>Read-only handles</x:v>
      </x:c>
      <x:c r="F45" s="58" t="str">
        <x:v>View state</x:v>
      </x:c>
      <x:c r="G45" s="58" t="str">
        <x:v>WPF host</x:v>
      </x:c>
      <x:c r="H45" s="58" t="str">
        <x:v>VTK/OpenGL/自研</x:v>
      </x:c>
      <x:c r="I45" s="58" t="str">
        <x:v>Viewer不拥有算法数据唯一生命周期</x:v>
      </x:c>
    </x:row>
    <x:row r="46">
      <x:c r="A46" s="66" t="str">
        <x:v>Debug</x:v>
      </x:c>
      <x:c r="B46" s="66" t="str">
        <x:v>CxVisual.Vision3D.Debug</x:v>
      </x:c>
      <x:c r="C46" s="66" t="str">
        <x:v>CTDebugAdapter/VolumeSnapshotService/ReconstructionCompareService</x:v>
      </x:c>
      <x:c r="D46" s="66" t="str">
        <x:v>RunTo/投影/Volume/性能/Override/Replay</x:v>
      </x:c>
      <x:c r="E46" s="66" t="str">
        <x:v>Debug commands</x:v>
      </x:c>
      <x:c r="F46" s="66" t="str">
        <x:v>ArtifactRefs/Trace</x:v>
      </x:c>
      <x:c r="G46" s="66" t="str">
        <x:v>无</x:v>
      </x:c>
      <x:c r="H46" s="66" t="str">
        <x:v>通过Runtime/Worker</x:v>
      </x:c>
      <x:c r="I46" s="66" t="str">
        <x:v>接39 Agent协议</x:v>
      </x:c>
    </x:row>
    <x:row r="47">
      <x:c r="A47" s="58" t="str">
        <x:v>Tests</x:v>
      </x:c>
      <x:c r="B47" s="58" t="str">
        <x:v>CxVisual.Vision3D.Tests</x:v>
      </x:c>
      <x:c r="C47" s="58" t="str">
        <x:v>Geometry/Golden/ReconQuality/Memory/WorkerCrash/Performance</x:v>
      </x:c>
      <x:c r="D47" s="58" t="str">
        <x:v>算法与平台行为验证</x:v>
      </x:c>
      <x:c r="E47" s="58" t="str">
        <x:v>CT samples</x:v>
      </x:c>
      <x:c r="F47" s="58" t="str">
        <x:v>Reports</x:v>
      </x:c>
      <x:c r="G47" s="58" t="str">
        <x:v>无</x:v>
      </x:c>
      <x:c r="H47" s="58" t="str">
        <x:v>真实/Mock worker</x:v>
      </x:c>
      <x:c r="I47" s="58" t="str">
        <x:v>重建质量与平台稳定分开测</x:v>
      </x:c>
    </x:row>
    <x:row r="48">
      <x:c r="A48"/>
      <x:c r="B48"/>
      <x:c r="C48"/>
      <x:c r="D48"/>
      <x:c r="E48"/>
      <x:c r="F48"/>
      <x:c r="G48"/>
      <x:c r="H48"/>
      <x:c r="I48"/>
    </x:row>
    <x:row r="49" ht="24" customHeight="1">
      <x:c r="A49" s="40" t="str">
        <x:v>C. CT/3D 数据契约与类型</x:v>
      </x:c>
      <x:c r="B49" s="40"/>
      <x:c r="C49" s="40"/>
      <x:c r="D49" s="40"/>
      <x:c r="E49" s="40"/>
      <x:c r="F49" s="40"/>
      <x:c r="G49" s="40"/>
      <x:c r="H49" s="40"/>
      <x:c r="I49" s="40"/>
    </x:row>
    <x:row r="50" ht="28" customHeight="1">
      <x:c r="A50" s="50" t="str">
        <x:v>类型</x:v>
      </x:c>
      <x:c r="B50" s="50" t="str">
        <x:v>关键字段</x:v>
      </x:c>
      <x:c r="C50" s="50" t="str">
        <x:v>用途</x:v>
      </x:c>
      <x:c r="D50" s="50" t="str">
        <x:v>传递方式</x:v>
      </x:c>
      <x:c r="E50" s="50" t="str">
        <x:v>持久化</x:v>
      </x:c>
      <x:c r="F50" s="50" t="str">
        <x:v>质量/时间</x:v>
      </x:c>
      <x:c r="G50" s="50" t="str">
        <x:v>坐标/单位</x:v>
      </x:c>
      <x:c r="H50" s="50" t="str">
        <x:v>Viewer</x:v>
      </x:c>
      <x:c r="I50" s="50" t="str">
        <x:v>禁止</x:v>
      </x:c>
    </x:row>
    <x:row r="51">
      <x:c r="A51" s="66" t="str">
        <x:v>ProjectionFrame</x:v>
      </x:c>
      <x:c r="B51" s="66" t="str">
        <x:v>FrameId/Angle/DetectorId/Width/Height/PixelType/Exposure/KV/uA/Timestamp</x:v>
      </x:c>
      <x:c r="C51" s="66" t="str">
        <x:v>单幅投影</x:v>
      </x:c>
      <x:c r="D51" s="66" t="str">
        <x:v>ImageHandle/SharedMemory</x:v>
      </x:c>
      <x:c r="E51" s="66" t="str">
        <x:v>ArtifactRef</x:v>
      </x:c>
      <x:c r="F51" s="66" t="str">
        <x:v>Quality/Timestamp</x:v>
      </x:c>
      <x:c r="G51" s="66" t="str">
        <x:v>Detector coordinate</x:v>
      </x:c>
      <x:c r="H51" s="66" t="str">
        <x:v>Projection Viewer</x:v>
      </x:c>
      <x:c r="I51" s="66" t="str">
        <x:v>把厂商Frame对象进Core</x:v>
      </x:c>
    </x:row>
    <x:row r="52">
      <x:c r="A52" s="58" t="str">
        <x:v>ProjectionSeries</x:v>
      </x:c>
      <x:c r="B52" s="58" t="str">
        <x:v>SeriesId/Frames/Angles/Trajectory/GeometryRef/CalibrationRefs</x:v>
      </x:c>
      <x:c r="C52" s="58" t="str">
        <x:v>CT重建输入</x:v>
      </x:c>
      <x:c r="D52" s="58" t="str">
        <x:v>SeriesHandle/Index</x:v>
      </x:c>
      <x:c r="E52" s="58" t="str">
        <x:v>Manifest+Artifacts</x:v>
      </x:c>
      <x:c r="F52" s="58" t="str">
        <x:v>Series Quality</x:v>
      </x:c>
      <x:c r="G52" s="58" t="str">
        <x:v>Machine/CT geometry</x:v>
      </x:c>
      <x:c r="H52" s="58" t="str">
        <x:v>Series browser</x:v>
      </x:c>
      <x:c r="I52" s="58" t="str">
        <x:v>一次加载全部像素到List&lt;byte[]&gt;</x:v>
      </x:c>
    </x:row>
    <x:row r="53">
      <x:c r="A53" s="66" t="str">
        <x:v>CTGeometry</x:v>
      </x:c>
      <x:c r="B53" s="66" t="str">
        <x:v>Source/Detector/Axis/Trajectory/Spacing/Offsets/Direction</x:v>
      </x:c>
      <x:c r="C53" s="66" t="str">
        <x:v>重建几何</x:v>
      </x:c>
      <x:c r="D53" s="66" t="str">
        <x:v>Value object</x:v>
      </x:c>
      <x:c r="E53" s="66" t="str">
        <x:v>JSON</x:v>
      </x:c>
      <x:c r="F53" s="66" t="str">
        <x:v>N/A</x:v>
      </x:c>
      <x:c r="G53" s="66" t="str">
        <x:v>mm/deg+FrameId</x:v>
      </x:c>
      <x:c r="H53" s="66" t="str">
        <x:v>Geometry preview</x:v>
      </x:c>
      <x:c r="I53" s="66" t="str">
        <x:v>WPF Matrix/厂商geometry类型</x:v>
      </x:c>
    </x:row>
    <x:row r="54">
      <x:c r="A54" s="58" t="str">
        <x:v>Volume3D</x:v>
      </x:c>
      <x:c r="B54" s="58" t="str">
        <x:v>VolumeId/Dim/Spacing/Origin/Direction/VoxelType/ValueRange/Calibration</x:v>
      </x:c>
      <x:c r="C54" s="58" t="str">
        <x:v>体数据</x:v>
      </x:c>
      <x:c r="D54" s="58" t="str">
        <x:v>VolumeDataHandle</x:v>
      </x:c>
      <x:c r="E54" s="58" t="str">
        <x:v>ArtifactRef+metadata</x:v>
      </x:c>
      <x:c r="F54" s="58" t="str">
        <x:v>Quality/CreatedTime</x:v>
      </x:c>
      <x:c r="G54" s="58" t="str">
        <x:v>world/voxel frames</x:v>
      </x:c>
      <x:c r="H54" s="58" t="str">
        <x:v>MPR/3D Viewer</x:v>
      </x:c>
      <x:c r="I54" s="58" t="str">
        <x:v>Project JSON内嵌体数据</x:v>
      </x:c>
    </x:row>
    <x:row r="55">
      <x:c r="A55" s="66" t="str">
        <x:v>VolumeDataHandle</x:v>
      </x:c>
      <x:c r="B55" s="66" t="str">
        <x:v>Owner/StorageKind/PathOrShm/Offset/Shape/Stride/ReadOnly/Lifetime</x:v>
      </x:c>
      <x:c r="C55" s="66" t="str">
        <x:v>Runtime大数据句柄</x:v>
      </x:c>
      <x:c r="D55" s="66" t="str">
        <x:v>引用/租约</x:v>
      </x:c>
      <x:c r="E55" s="66" t="str">
        <x:v>不直接工程持久化</x:v>
      </x:c>
      <x:c r="F55" s="66" t="str">
        <x:v>RunId</x:v>
      </x:c>
      <x:c r="G55" s="66" t="str">
        <x:v>Type metadata</x:v>
      </x:c>
      <x:c r="H55" s="66" t="str">
        <x:v>Viewer read-only</x:v>
      </x:c>
      <x:c r="I55" s="66" t="str">
        <x:v>随意Clone GB级体数据</x:v>
      </x:c>
    </x:row>
    <x:row r="56">
      <x:c r="A56" s="58" t="str">
        <x:v>Region3D/Mask3D</x:v>
      </x:c>
      <x:c r="B56" s="58" t="str">
        <x:v>VolumeId/Encoding/Bounds/VoxelCount</x:v>
      </x:c>
      <x:c r="C56" s="58" t="str">
        <x:v>3D分割</x:v>
      </x:c>
      <x:c r="D56" s="58" t="str">
        <x:v>Handle/Compressed artifact</x:v>
      </x:c>
      <x:c r="E56" s="58" t="str">
        <x:v>ArtifactRef</x:v>
      </x:c>
      <x:c r="F56" s="58" t="str">
        <x:v>RunId</x:v>
      </x:c>
      <x:c r="G56" s="58" t="str">
        <x:v>Voxel/world</x:v>
      </x:c>
      <x:c r="H56" s="58" t="str">
        <x:v>Volume overlay</x:v>
      </x:c>
      <x:c r="I56" s="58" t="str">
        <x:v>与Volume坐标失联</x:v>
      </x:c>
    </x:row>
    <x:row r="57">
      <x:c r="A57" s="66" t="str">
        <x:v>Mesh3D</x:v>
      </x:c>
      <x:c r="B57" s="66" t="str">
        <x:v>Vertices/Faces/Normals/Frame/Unit</x:v>
      </x:c>
      <x:c r="C57" s="66" t="str">
        <x:v>Surface/CAD/Export</x:v>
      </x:c>
      <x:c r="D57" s="66" t="str">
        <x:v>ArtifactHandle</x:v>
      </x:c>
      <x:c r="E57" s="66" t="str">
        <x:v>STL/PLY/VTP等资源</x:v>
      </x:c>
      <x:c r="F57" s="66" t="str">
        <x:v>RunId</x:v>
      </x:c>
      <x:c r="G57" s="66" t="str">
        <x:v>world frame/mm</x:v>
      </x:c>
      <x:c r="H57" s="66" t="str">
        <x:v>3D Viewer</x:v>
      </x:c>
      <x:c r="I57" s="66" t="str">
        <x:v>UI Mesh对象进Core</x:v>
      </x:c>
    </x:row>
    <x:row r="58">
      <x:c r="A58" s="58" t="str">
        <x:v>Measurement3DSet</x:v>
      </x:c>
      <x:c r="B58" s="58" t="str">
        <x:v>Name/Value/Unit/GeometryRef/Quality/Tolerance</x:v>
      </x:c>
      <x:c r="C58" s="58" t="str">
        <x:v>测量结果</x:v>
      </x:c>
      <x:c r="D58" s="58" t="str">
        <x:v>结构化值</x:v>
      </x:c>
      <x:c r="E58" s="58" t="str">
        <x:v>Result JSON</x:v>
      </x:c>
      <x:c r="F58" s="58" t="str">
        <x:v>RunId</x:v>
      </x:c>
      <x:c r="G58" s="58" t="str">
        <x:v>mm/mm³/deg等</x:v>
      </x:c>
      <x:c r="H58" s="58" t="str">
        <x:v>Table/Overlay</x:v>
      </x:c>
      <x:c r="I58" s="58" t="str">
        <x:v>无Unit/Calibration</x:v>
      </x:c>
    </x:row>
    <x:row r="59">
      <x:c r="A59" s="66" t="str">
        <x:v>Defect3DSet</x:v>
      </x:c>
      <x:c r="B59" s="66" t="str">
        <x:v>Class/Score/Region/Box3D/Volume/Location/Severity</x:v>
      </x:c>
      <x:c r="C59" s="66" t="str">
        <x:v>3D缺陷</x:v>
      </x:c>
      <x:c r="D59" s="66" t="str">
        <x:v>结构化+ArtifactRef</x:v>
      </x:c>
      <x:c r="E59" s="66" t="str">
        <x:v>Result JSON</x:v>
      </x:c>
      <x:c r="F59" s="66" t="str">
        <x:v>RunId</x:v>
      </x:c>
      <x:c r="G59" s="66" t="str">
        <x:v>world/voxel</x:v>
      </x:c>
      <x:c r="H59" s="66" t="str">
        <x:v>Defect explorer</x:v>
      </x:c>
      <x:c r="I59" s="66" t="str">
        <x:v>只保存截图不保存结构化结果</x:v>
      </x:c>
    </x:row>
    <x:row r="60">
      <x:c r="A60"/>
      <x:c r="B60"/>
      <x:c r="C60"/>
      <x:c r="D60"/>
      <x:c r="E60"/>
      <x:c r="F60"/>
      <x:c r="G60"/>
      <x:c r="H60"/>
      <x:c r="I60"/>
    </x:row>
    <x:row r="61" ht="24" customHeight="1">
      <x:c r="A61" s="40" t="str">
        <x:v>D. CT/3D 节点完整分类</x:v>
      </x:c>
      <x:c r="B61" s="40"/>
      <x:c r="C61" s="40"/>
      <x:c r="D61" s="40"/>
      <x:c r="E61" s="40"/>
      <x:c r="F61" s="40"/>
      <x:c r="G61" s="40"/>
      <x:c r="H61" s="40"/>
      <x:c r="I61" s="40"/>
    </x:row>
    <x:row r="62" ht="28" customHeight="1">
      <x:c r="A62" s="50" t="str">
        <x:v>类别</x:v>
      </x:c>
      <x:c r="B62" s="50" t="str">
        <x:v>节点/能力</x:v>
      </x:c>
      <x:c r="C62" s="50" t="str">
        <x:v>输入</x:v>
      </x:c>
      <x:c r="D62" s="50" t="str">
        <x:v>输出</x:v>
      </x:c>
      <x:c r="E62" s="50" t="str">
        <x:v>关键参数</x:v>
      </x:c>
      <x:c r="F62" s="50" t="str">
        <x:v>执行位置</x:v>
      </x:c>
      <x:c r="G62" s="50" t="str">
        <x:v>Debug查看</x:v>
      </x:c>
      <x:c r="H62" s="50" t="str">
        <x:v>失败/质量</x:v>
      </x:c>
      <x:c r="I62" s="50" t="str">
        <x:v>复用/扩展</x:v>
      </x:c>
    </x:row>
    <x:row r="63">
      <x:c r="A63" s="58" t="str">
        <x:v>输入</x:v>
      </x:c>
      <x:c r="B63" s="58" t="str">
        <x:v>ProjectionSeriesInput/VolumeInput/CTArtifactInput</x:v>
      </x:c>
      <x:c r="C63" s="58" t="str">
        <x:v>SourceRef</x:v>
      </x:c>
      <x:c r="D63" s="58" t="str">
        <x:v>ProjectionSeries/Volume3D</x:v>
      </x:c>
      <x:c r="E63" s="58" t="str">
        <x:v>source/range/format</x:v>
      </x:c>
      <x:c r="F63" s="58" t="str">
        <x:v>Runtime/IO</x:v>
      </x:c>
      <x:c r="G63" s="58" t="str">
        <x:v>投影/元数据</x:v>
      </x:c>
      <x:c r="H63" s="58" t="str">
        <x:v>missing/bad quality</x:v>
      </x:c>
      <x:c r="I63" s="58" t="str">
        <x:v>Inspection/Replay</x:v>
      </x:c>
    </x:row>
    <x:row r="64">
      <x:c r="A64" s="66" t="str">
        <x:v>预处理</x:v>
      </x:c>
      <x:c r="B64" s="66" t="str">
        <x:v>DarkFlat/BadPixel/Log/Normalize/RingPreprocess/BeamHardening</x:v>
      </x:c>
      <x:c r="C64" s="66" t="str">
        <x:v>ProjectionSeries</x:v>
      </x:c>
      <x:c r="D64" s="66" t="str">
        <x:v>ProjectionSeries</x:v>
      </x:c>
      <x:c r="E64" s="66" t="str">
        <x:v>Calibration/filters</x:v>
      </x:c>
      <x:c r="F64" s="66" t="str">
        <x:v>Worker CPU/GPU</x:v>
      </x:c>
      <x:c r="G64" s="66" t="str">
        <x:v>Before/After projection</x:v>
      </x:c>
      <x:c r="H64" s="66" t="str">
        <x:v>calibration mismatch</x:v>
      </x:c>
      <x:c r="I64" s="66" t="str">
        <x:v>Algorithm plugin</x:v>
      </x:c>
    </x:row>
    <x:row r="65">
      <x:c r="A65" s="58" t="str">
        <x:v>重建</x:v>
      </x:c>
      <x:c r="B65" s="58" t="str">
        <x:v>FBP/FDK/ART/SART/ReconstructionPlugin</x:v>
      </x:c>
      <x:c r="C65" s="58" t="str">
        <x:v>ProjectionSeries+CTGeometry</x:v>
      </x:c>
      <x:c r="D65" s="58" t="str">
        <x:v>Volume3D</x:v>
      </x:c>
      <x:c r="E65" s="58" t="str">
        <x:v>voxel size/volume bounds/iterations/filter/GPU</x:v>
      </x:c>
      <x:c r="F65" s="58" t="str">
        <x:v>CT Worker</x:v>
      </x:c>
      <x:c r="G65" s="58" t="str">
        <x:v>progress/slice preview/timing</x:v>
      </x:c>
      <x:c r="H65" s="58" t="str">
        <x:v>OOM/invalid geometry/convergence</x:v>
      </x:c>
      <x:c r="I65" s="58" t="str">
        <x:v>RTK/ASTRA/自研</x:v>
      </x:c>
    </x:row>
    <x:row r="66">
      <x:c r="A66" s="66" t="str">
        <x:v>Volume处理</x:v>
      </x:c>
      <x:c r="B66" s="66" t="str">
        <x:v>Denoise/Resample/Crop/Window/Normalize/MetalArtifactReduction</x:v>
      </x:c>
      <x:c r="C66" s="66" t="str">
        <x:v>Volume3D</x:v>
      </x:c>
      <x:c r="D66" s="66" t="str">
        <x:v>Volume3D</x:v>
      </x:c>
      <x:c r="E66" s="66" t="str">
        <x:v>kernel/spacing/ROI</x:v>
      </x:c>
      <x:c r="F66" s="66" t="str">
        <x:v>Worker</x:v>
      </x:c>
      <x:c r="G66" s="66" t="str">
        <x:v>MPR diff</x:v>
      </x:c>
      <x:c r="H66" s="66" t="str">
        <x:v>memory/parameter</x:v>
      </x:c>
      <x:c r="I66" s="66" t="str">
        <x:v>ITK/GPU</x:v>
      </x:c>
    </x:row>
    <x:row r="67">
      <x:c r="A67" s="58" t="str">
        <x:v>3D分割</x:v>
      </x:c>
      <x:c r="B67" s="58" t="str">
        <x:v>Threshold3D/Connected3D/RegionGrow/AI3D</x:v>
      </x:c>
      <x:c r="C67" s="58" t="str">
        <x:v>Volume3D/ROI</x:v>
      </x:c>
      <x:c r="D67" s="58" t="str">
        <x:v>Region3D/Mask3D</x:v>
      </x:c>
      <x:c r="E67" s="58" t="str">
        <x:v>threshold/model</x:v>
      </x:c>
      <x:c r="F67" s="58" t="str">
        <x:v>Worker/GPU</x:v>
      </x:c>
      <x:c r="G67" s="58" t="str">
        <x:v>mask overlay</x:v>
      </x:c>
      <x:c r="H67" s="58" t="str">
        <x:v>empty/OOM/model</x:v>
      </x:c>
      <x:c r="I67" s="58" t="str">
        <x:v>AI plugin</x:v>
      </x:c>
    </x:row>
    <x:row r="68">
      <x:c r="A68" s="66" t="str">
        <x:v>Surface</x:v>
      </x:c>
      <x:c r="B68" s="66" t="str">
        <x:v>IsoSurface/MeshSmooth/Decimate</x:v>
      </x:c>
      <x:c r="C68" s="66" t="str">
        <x:v>Volume/Region3D</x:v>
      </x:c>
      <x:c r="D68" s="66" t="str">
        <x:v>Mesh3D</x:v>
      </x:c>
      <x:c r="E68" s="66" t="str">
        <x:v>iso/smooth/ratio</x:v>
      </x:c>
      <x:c r="F68" s="66" t="str">
        <x:v>Worker</x:v>
      </x:c>
      <x:c r="G68" s="66" t="str">
        <x:v>3D mesh</x:v>
      </x:c>
      <x:c r="H68" s="66" t="str">
        <x:v>topology/memory</x:v>
      </x:c>
      <x:c r="I68" s="66" t="str">
        <x:v>VTK/自研</x:v>
      </x:c>
    </x:row>
    <x:row r="69">
      <x:c r="A69" s="58" t="str">
        <x:v>配准</x:v>
      </x:c>
      <x:c r="B69" s="58" t="str">
        <x:v>VolumeRegistration/CADRegistration/ICP</x:v>
      </x:c>
      <x:c r="C69" s="58" t="str">
        <x:v>Volume/Mesh/CAD</x:v>
      </x:c>
      <x:c r="D69" s="58" t="str">
        <x:v>Transform3D</x:v>
      </x:c>
      <x:c r="E69" s="58" t="str">
        <x:v>metric/search/init</x:v>
      </x:c>
      <x:c r="F69" s="58" t="str">
        <x:v>Worker</x:v>
      </x:c>
      <x:c r="G69" s="58" t="str">
        <x:v>overlay/transform</x:v>
      </x:c>
      <x:c r="H69" s="58" t="str">
        <x:v>no convergence</x:v>
      </x:c>
      <x:c r="I69" s="58" t="str">
        <x:v>ITK/VTK/plugin</x:v>
      </x:c>
    </x:row>
    <x:row r="70">
      <x:c r="A70" s="66" t="str">
        <x:v>测量</x:v>
      </x:c>
      <x:c r="B70" s="66" t="str">
        <x:v>Thickness3D/Distance3D/VolumeMeasure/Porosity</x:v>
      </x:c>
      <x:c r="C70" s="66" t="str">
        <x:v>Volume/Region/Mesh</x:v>
      </x:c>
      <x:c r="D70" s="66" t="str">
        <x:v>Measurement3DSet</x:v>
      </x:c>
      <x:c r="E70" s="66" t="str">
        <x:v>calibration/tolerance</x:v>
      </x:c>
      <x:c r="F70" s="66" t="str">
        <x:v>Worker/CPU</x:v>
      </x:c>
      <x:c r="G70" s="66" t="str">
        <x:v>overlay/table</x:v>
      </x:c>
      <x:c r="H70" s="66" t="str">
        <x:v>bad calibration</x:v>
      </x:c>
      <x:c r="I70" s="66" t="str">
        <x:v>Measure SDK</x:v>
      </x:c>
    </x:row>
    <x:row r="71">
      <x:c r="A71" s="58" t="str">
        <x:v>缺陷</x:v>
      </x:c>
      <x:c r="B71" s="58" t="str">
        <x:v>Void3D/Crack3D/ForeignObject/Rule3D</x:v>
      </x:c>
      <x:c r="C71" s="58" t="str">
        <x:v>Volume/Region/Measurement</x:v>
      </x:c>
      <x:c r="D71" s="58" t="str">
        <x:v>Defect3DSet</x:v>
      </x:c>
      <x:c r="E71" s="58" t="str">
        <x:v>rules/model</x:v>
      </x:c>
      <x:c r="F71" s="58" t="str">
        <x:v>Worker</x:v>
      </x:c>
      <x:c r="G71" s="58" t="str">
        <x:v>defect overlay</x:v>
      </x:c>
      <x:c r="H71" s="58" t="str">
        <x:v>uncertain</x:v>
      </x:c>
      <x:c r="I71" s="58" t="str">
        <x:v>Inspection merge</x:v>
      </x:c>
    </x:row>
    <x:row r="72">
      <x:c r="A72" s="66" t="str">
        <x:v>输出</x:v>
      </x:c>
      <x:c r="B72" s="66" t="str">
        <x:v>VolumeOutput/MeshOutput/ResultOutput/ArtifactSave</x:v>
      </x:c>
      <x:c r="C72" s="66" t="str">
        <x:v>typed data</x:v>
      </x:c>
      <x:c r="D72" s="66" t="str">
        <x:v>ArtifactRef/VisionResult</x:v>
      </x:c>
      <x:c r="E72" s="66" t="str">
        <x:v>retention/format</x:v>
      </x:c>
      <x:c r="F72" s="66" t="str">
        <x:v>IO/Store</x:v>
      </x:c>
      <x:c r="G72" s="66" t="str">
        <x:v>artifact link</x:v>
      </x:c>
      <x:c r="H72" s="66" t="str">
        <x:v>store fail</x:v>
      </x:c>
      <x:c r="I72" s="66" t="str">
        <x:v>Inspection</x:v>
      </x:c>
    </x:row>
    <x:row r="73">
      <x:c r="A73"/>
      <x:c r="B73"/>
      <x:c r="C73"/>
      <x:c r="D73"/>
      <x:c r="E73"/>
      <x:c r="F73"/>
      <x:c r="G73"/>
      <x:c r="H73"/>
      <x:c r="I73"/>
    </x:row>
    <x:row r="74" ht="24" customHeight="1">
      <x:c r="A74" s="40" t="str">
        <x:v>E. 与Motion/Inspection的系统边界</x:v>
      </x:c>
      <x:c r="B74" s="40"/>
      <x:c r="C74" s="40"/>
      <x:c r="D74" s="40"/>
      <x:c r="E74" s="40"/>
      <x:c r="F74" s="40"/>
      <x:c r="G74" s="40"/>
      <x:c r="H74" s="40"/>
      <x:c r="I74" s="40"/>
    </x:row>
    <x:row r="75" ht="28" customHeight="1">
      <x:c r="A75" s="50" t="str">
        <x:v>场景</x:v>
      </x:c>
      <x:c r="B75" s="50" t="str">
        <x:v>Motion职责</x:v>
      </x:c>
      <x:c r="C75" s="50" t="str">
        <x:v>CT/3D Vision职责</x:v>
      </x:c>
      <x:c r="D75" s="50" t="str">
        <x:v>Inspection职责</x:v>
      </x:c>
      <x:c r="E75" s="50" t="str">
        <x:v>数据契约</x:v>
      </x:c>
      <x:c r="F75" s="50" t="str">
        <x:v>资源</x:v>
      </x:c>
      <x:c r="G75" s="50" t="str">
        <x:v>版本固定</x:v>
      </x:c>
      <x:c r="H75" s="50" t="str">
        <x:v>错误传播</x:v>
      </x:c>
      <x:c r="I75" s="50" t="str">
        <x:v>门禁</x:v>
      </x:c>
    </x:row>
    <x:row r="76">
      <x:c r="A76" s="58" t="str">
        <x:v>旋转CT采集</x:v>
      </x:c>
      <x:c r="B76" s="58" t="str">
        <x:v>控制转台/轴/触发同步/设备状态</x:v>
      </x:c>
      <x:c r="C76" s="58" t="str">
        <x:v>接收ProjectionSeries并验证完整性</x:v>
      </x:c>
      <x:c r="D76" s="58" t="str">
        <x:v>决定何时开始/失败重试/产品上下文</x:v>
      </x:c>
      <x:c r="E76" s="58" t="str">
        <x:v>ProjectionFrame/Series</x:v>
      </x:c>
      <x:c r="F76" s="58" t="str">
        <x:v>Axis/Detector/XRay</x:v>
      </x:c>
      <x:c r="G76" s="58" t="str">
        <x:v>Program+Geometry+Pipeline</x:v>
      </x:c>
      <x:c r="H76" s="58" t="str">
        <x:v>AcquireError→Policy</x:v>
      </x:c>
      <x:c r="I76" s="58" t="str">
        <x:v>高频触发尽量下沉控制器</x:v>
      </x:c>
    </x:row>
    <x:row r="77">
      <x:c r="A77" s="66" t="str">
        <x:v>平面CT/多角度采集</x:v>
      </x:c>
      <x:c r="B77" s="66" t="str">
        <x:v>运动点位/角度/采集命令</x:v>
      </x:c>
      <x:c r="C77" s="66" t="str">
        <x:v>投影校正/重建</x:v>
      </x:c>
      <x:c r="D77" s="66" t="str">
        <x:v>点位/任务/结果生命周期</x:v>
      </x:c>
      <x:c r="E77" s="66" t="str">
        <x:v>Series+Geometry</x:v>
      </x:c>
      <x:c r="F77" s="66" t="str">
        <x:v>Motion+Detector+GPU</x:v>
      </x:c>
      <x:c r="G77" s="66" t="str">
        <x:v>同上</x:v>
      </x:c>
      <x:c r="H77" s="66" t="str">
        <x:v>Quality/Timeout</x:v>
      </x:c>
      <x:c r="I77" s="66" t="str">
        <x:v>不在Vision里控制轴循环</x:v>
      </x:c>
    </x:row>
    <x:row r="78">
      <x:c r="A78" s="58" t="str">
        <x:v>离线重建</x:v>
      </x:c>
      <x:c r="B78" s="58" t="str">
        <x:v>无</x:v>
      </x:c>
      <x:c r="C78" s="58" t="str">
        <x:v>读取Projection artifacts→Reconstruction</x:v>
      </x:c>
      <x:c r="D78" s="58" t="str">
        <x:v>可作为Debug/QA或任务后处理</x:v>
      </x:c>
      <x:c r="E78" s="58" t="str">
        <x:v>ArtifactRef</x:v>
      </x:c>
      <x:c r="F78" s="58" t="str">
        <x:v>GPU/Worker</x:v>
      </x:c>
      <x:c r="G78" s="58" t="str">
        <x:v>RunManifest</x:v>
      </x:c>
      <x:c r="H78" s="58" t="str">
        <x:v>Worker/algorithm error</x:v>
      </x:c>
      <x:c r="I78" s="58" t="str">
        <x:v>无设备依赖</x:v>
      </x:c>
    </x:row>
    <x:row r="79">
      <x:c r="A79" s="66" t="str">
        <x:v>在线检测</x:v>
      </x:c>
      <x:c r="B79" s="66" t="str">
        <x:v>准备/采集完成</x:v>
      </x:c>
      <x:c r="C79" s="66" t="str">
        <x:v>Reconstruct→3D Detect/Measure</x:v>
      </x:c>
      <x:c r="D79" s="66" t="str">
        <x:v>Judge/Retest/MES</x:v>
      </x:c>
      <x:c r="E79" s="66" t="str">
        <x:v>Volume/Result</x:v>
      </x:c>
      <x:c r="F79" s="66" t="str">
        <x:v>GPU/Worker/Store</x:v>
      </x:c>
      <x:c r="G79" s="66" t="str">
        <x:v>Task Manifest</x:v>
      </x:c>
      <x:c r="H79" s="66" t="str">
        <x:v>VisionError→Inspection Policy</x:v>
      </x:c>
      <x:c r="I79" s="66" t="str">
        <x:v>Result结构化</x:v>
      </x:c>
    </x:row>
    <x:row r="80">
      <x:c r="A80" s="58" t="str">
        <x:v>复判/查看</x:v>
      </x:c>
      <x:c r="B80" s="58" t="str">
        <x:v>无</x:v>
      </x:c>
      <x:c r="C80" s="58" t="str">
        <x:v>提供Volume/MPR/3D artifacts</x:v>
      </x:c>
      <x:c r="D80" s="58" t="str">
        <x:v>管理Review Task/权限/最终判定</x:v>
      </x:c>
      <x:c r="E80" s="58" t="str">
        <x:v>ArtifactRef/ResultContext</x:v>
      </x:c>
      <x:c r="F80" s="58" t="str">
        <x:v>Viewer resources</x:v>
      </x:c>
      <x:c r="G80" s="58" t="str">
        <x:v>原Run版本</x:v>
      </x:c>
      <x:c r="H80" s="58" t="str">
        <x:v>Viewer错误不改原Result</x:v>
      </x:c>
      <x:c r="I80" s="58" t="str">
        <x:v>Viewer只读原数据</x:v>
      </x:c>
    </x:row>
    <x:row r="82">
      <x:c r="A82" t="str">
        <x:v>F. 历史 CT3D Contextual Workspace（V6.4平级Workbench）</x:v>
      </x:c>
      <x:c r="B82"/>
      <x:c r="C82"/>
      <x:c r="D82"/>
      <x:c r="E82"/>
      <x:c r="F82"/>
      <x:c r="G82"/>
      <x:c r="H82"/>
      <x:c r="I82"/>
    </x:row>
    <x:row r="83">
      <x:c r="A83" t="str">
        <x:v>主题</x:v>
      </x:c>
      <x:c r="B83" t="str">
        <x:v>正式设计</x:v>
      </x:c>
      <x:c r="C83" t="str">
        <x:v>功能/链路</x:v>
      </x:c>
      <x:c r="D83" t="str">
        <x:v>边界/性能</x:v>
      </x:c>
      <x:c r="E83" t="str">
        <x:v>DesignRef</x:v>
      </x:c>
      <x:c r="F83"/>
      <x:c r="G83"/>
      <x:c r="H83"/>
      <x:c r="I83"/>
    </x:row>
    <x:row r="84">
      <x:c r="A84" t="str">
        <x:v>Contextual Ribbon</x:v>
      </x:c>
      <x:c r="B84" t="str">
        <x:v>CT/3D / 重建 / 可视化</x:v>
      </x:c>
      <x:c r="C84" t="str">
        <x:v>活动CT3D Workspace动态显示</x:v>
      </x:c>
      <x:c r="D84" t="str">
        <x:v>同一Studio Shell</x:v>
      </x:c>
      <x:c r="E84" t="str">
        <x:v>45</x:v>
      </x:c>
      <x:c r="F84"/>
      <x:c r="G84"/>
      <x:c r="H84"/>
      <x:c r="I84"/>
    </x:row>
    <x:row r="85">
      <x:c r="A85" t="str">
        <x:v>CT/3D页签</x:v>
      </x:c>
      <x:c r="B85" t="str">
        <x:v>Projection/Geometry/Calibration/Job/Resource</x:v>
      </x:c>
      <x:c r="C85" t="str">
        <x:v>投影浏览、Geometry、校准版本、Job/资源</x:v>
      </x:c>
      <x:c r="D85" t="str">
        <x:v>大数据metadata先行</x:v>
      </x:c>
      <x:c r="E85" t="str">
        <x:v>45</x:v>
      </x:c>
      <x:c r="F85"/>
      <x:c r="G85"/>
      <x:c r="H85"/>
      <x:c r="I85"/>
    </x:row>
    <x:row r="86">
      <x:c r="A86" t="str">
        <x:v>重建页签</x:v>
      </x:c>
      <x:c r="B86" t="str">
        <x:v>Algorithm/Preprocess/Correction/Run/Progress/Cancel</x:v>
      </x:c>
      <x:c r="C86" t="str">
        <x:v>Compiler→immutable Plan→bounded scheduler→Worker→VolumeHandle</x:v>
      </x:c>
      <x:c r="D86" t="str">
        <x:v>Native/GPU可隔离</x:v>
      </x:c>
      <x:c r="E86" t="str">
        <x:v>45</x:v>
      </x:c>
      <x:c r="F86"/>
      <x:c r="G86"/>
      <x:c r="H86"/>
      <x:c r="I86"/>
    </x:row>
    <x:row r="87">
      <x:c r="A87" t="str">
        <x:v>可视化页签</x:v>
      </x:c>
      <x:c r="B87" t="str">
        <x:v>Axial/Coronal/Sagittal/Oblique/MPR/Volume Rendering/MIP-MinIP/Surface/Measurement</x:v>
      </x:c>
      <x:c r="C87" t="str">
        <x:v>Viewer只读Handle，不拥有唯一Volume生命周期</x:v>
      </x:c>
      <x:c r="D87" t="str">
        <x:v>LOD/Cache</x:v>
      </x:c>
      <x:c r="E87" t="str">
        <x:v>45</x:v>
      </x:c>
      <x:c r="F87"/>
      <x:c r="G87"/>
      <x:c r="H87"/>
      <x:c r="I87"/>
    </x:row>
    <x:row r="88">
      <x:c r="A88" t="str">
        <x:v>家族关系</x:v>
      </x:c>
      <x:c r="B88" t="str">
        <x:v>Vision family</x:v>
      </x:c>
      <x:c r="C88" t="str">
        <x:v>复用TypedDataFlow/DataHandle/GPU/Worker/Debug，新增CT专业契约</x:v>
      </x:c>
      <x:c r="D88" t="str">
        <x:v>组合优先非深继承</x:v>
      </x:c>
      <x:c r="E88" t="str">
        <x:v>31</x:v>
      </x:c>
      <x:c r="F88"/>
      <x:c r="G88"/>
      <x:c r="H88"/>
      <x:c r="I88"/>
    </x:row>
    <x:row r="89">
      <x:c r="A89" t="str">
        <x:v>采集边界</x:v>
      </x:c>
      <x:c r="B89" t="str">
        <x:v>Motion/Robot负责轴/XRay/Detector动作</x:v>
      </x:c>
      <x:c r="C89" t="str">
        <x:v>CT3D消费ProjectionSeries/Geometry/Calibration</x:v>
      </x:c>
      <x:c r="D89" t="str">
        <x:v>实时轴闭环不在CT Runtime</x:v>
      </x:c>
      <x:c r="E89" t="str">
        <x:v>27/47</x:v>
      </x:c>
      <x:c r="F89"/>
      <x:c r="G89"/>
      <x:c r="H89"/>
      <x:c r="I89"/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34" hidden="0" customWidth="1"/>
    <x:col min="4" max="4" width="30" hidden="0" customWidth="1"/>
    <x:col min="5" max="5" width="30" hidden="0" customWidth="1"/>
    <x:col min="6" max="6" width="28" hidden="0" customWidth="1"/>
    <x:col min="7" max="7" width="30" hidden="0" customWidth="1"/>
    <x:col min="8" max="8" width="28" hidden="0" customWidth="1"/>
    <x:col min="9" max="9" width="28" hidden="0" customWidth="1"/>
  </x:cols>
  <x:sheetData>
    <x:row r="1" ht="30" customHeight="1">
      <x:c r="A1" s="8" t="str">
        <x:v>CT / 3D Vision Online Debug</x:v>
      </x:c>
      <x:c r="B1" s="8"/>
      <x:c r="C1" s="8"/>
      <x:c r="D1" s="8"/>
      <x:c r="E1" s="8"/>
      <x:c r="F1" s="8"/>
      <x:c r="G1" s="8"/>
      <x:c r="H1" s="8"/>
      <x:c r="I1" s="8"/>
    </x:row>
    <x:row r="2" ht="38" customHeight="1">
      <x:c r="A2" s="16" t="str">
        <x:v>只定义CT/3D特有在线调试：Projection Browser、Geometry Override、ReconstructionJob、MPR/Volume/3D Viewer、GB级Artifact按需传输。</x:v>
      </x:c>
      <x:c r="B2" s="16"/>
      <x:c r="C2" s="16"/>
      <x:c r="D2" s="16"/>
      <x:c r="E2" s="16"/>
      <x:c r="F2" s="16"/>
      <x:c r="G2" s="16"/>
      <x:c r="H2" s="16"/>
      <x:c r="I2" s="16"/>
    </x:row>
    <x:row r="3">
      <x:c r="A3" s="30" t="str">
        <x:v>本页唯一权威</x:v>
      </x:c>
      <x:c r="B3" s="31" t="str">
        <x:v>Projection/Recon/Volume/3D节点调试、RunTo/Cancel/Retry/Compare、大数据性能与Worker/GPU/临时盘故障。</x:v>
      </x:c>
      <x:c r="C3" s="31"/>
      <x:c r="D3" s="31"/>
      <x:c r="E3" s="31"/>
      <x:c r="F3" s="31"/>
      <x:c r="G3" s="31"/>
      <x:c r="H3" s="31"/>
      <x:c r="I3" s="31"/>
    </x:row>
    <x:row r="4">
      <x:c r="A4" s="30" t="str">
        <x:v>不在本页维护</x:v>
      </x:c>
      <x:c r="B4" s="31" t="str">
        <x:v>公共Debug机制（见21）、Vision普通图像调试（见32）、远程大数据策略（见39）。</x:v>
      </x:c>
      <x:c r="C4" s="31"/>
      <x:c r="D4" s="31"/>
      <x:c r="E4" s="31"/>
      <x:c r="F4" s="31"/>
      <x:c r="G4" s="31"/>
      <x:c r="H4" s="31"/>
      <x:c r="I4" s="31"/>
    </x:row>
    <x:row r="5">
      <x:c r="A5" s="30" t="str">
        <x:v>关联分页</x:v>
      </x:c>
      <x:c r="B5" s="31" t="str">
        <x:v>21_Graph统一OnlineDebug架构；33_CT3D完整开发蓝图；39_RemoteEngineering。</x:v>
      </x:c>
      <x:c r="C5" s="31"/>
      <x:c r="D5" s="31"/>
      <x:c r="E5" s="31"/>
      <x:c r="F5" s="31"/>
      <x:c r="G5" s="31"/>
      <x:c r="H5" s="31"/>
      <x:c r="I5" s="31"/>
    </x:row>
    <x:row r="6">
      <x:c r="A6"/>
      <x:c r="B6"/>
      <x:c r="C6"/>
      <x:c r="D6"/>
      <x:c r="E6"/>
      <x:c r="F6"/>
      <x:c r="G6"/>
      <x:c r="H6"/>
      <x:c r="I6"/>
    </x:row>
    <x:row r="7" ht="24" customHeight="1">
      <x:c r="A7" s="40" t="str">
        <x:v>A. CT/3D Debug工作台</x:v>
      </x:c>
      <x:c r="B7" s="40"/>
      <x:c r="C7" s="40"/>
      <x:c r="D7" s="40"/>
      <x:c r="E7" s="40"/>
      <x:c r="F7" s="40"/>
      <x:c r="G7" s="40"/>
      <x:c r="H7" s="40"/>
      <x:c r="I7" s="40"/>
    </x:row>
    <x:row r="8" ht="28" customHeight="1">
      <x:c r="A8" s="50" t="str">
        <x:v>区域</x:v>
      </x:c>
      <x:c r="B8" s="50" t="str">
        <x:v>显示/操作</x:v>
      </x:c>
      <x:c r="C8" s="50" t="str">
        <x:v>主要对象</x:v>
      </x:c>
      <x:c r="D8" s="50" t="str">
        <x:v>数据来源</x:v>
      </x:c>
      <x:c r="E8" s="50" t="str">
        <x:v>控制操作</x:v>
      </x:c>
      <x:c r="F8" s="50" t="str">
        <x:v>刷新/保留</x:v>
      </x:c>
      <x:c r="G8" s="50" t="str">
        <x:v>性能策略</x:v>
      </x:c>
      <x:c r="H8" s="50" t="str">
        <x:v>联动</x:v>
      </x:c>
      <x:c r="I8" s="50"/>
    </x:row>
    <x:row r="9">
      <x:c r="A9" s="58" t="str">
        <x:v>Projection Browser</x:v>
      </x:c>
      <x:c r="B9" s="58" t="str">
        <x:v>序列帧、角度、曝光、质量、缺帧/重复帧、直方图</x:v>
      </x:c>
      <x:c r="C9" s="58" t="str">
        <x:v>ProjectionSeries/Frame metadata</x:v>
      </x:c>
      <x:c r="D9" s="58" t="str">
        <x:v>Runtime/Artifact channel</x:v>
      </x:c>
      <x:c r="E9" s="58" t="str">
        <x:v>选择/过滤/比较/导出debug artifact</x:v>
      </x:c>
      <x:c r="F9" s="58" t="str">
        <x:v>按需元数据+选帧</x:v>
      </x:c>
      <x:c r="G9" s="58" t="str">
        <x:v>缩略图/懒加载</x:v>
      </x:c>
      <x:c r="H9" s="58" t="str">
        <x:v>定位Input/Preprocess节点</x:v>
      </x:c>
      <x:c r="I9" s="58"/>
    </x:row>
    <x:row r="10">
      <x:c r="A10" s="66" t="str">
        <x:v>Geometry Panel</x:v>
      </x:c>
      <x:c r="B10" s="66" t="str">
        <x:v>CTGeometry设计值/Resolved值/Session Override</x:v>
      </x:c>
      <x:c r="C10" s="66" t="str">
        <x:v>CTGeometry/Calibration</x:v>
      </x:c>
      <x:c r="D10" s="66" t="str">
        <x:v>Definition+Debug Override</x:v>
      </x:c>
      <x:c r="E10" s="66" t="str">
        <x:v>修改debug geometry/重算</x:v>
      </x:c>
      <x:c r="F10" s="66" t="str">
        <x:v>按变更</x:v>
      </x:c>
      <x:c r="G10" s="66" t="str">
        <x:v>只传小对象</x:v>
      </x:c>
      <x:c r="H10" s="66" t="str">
        <x:v>Promote ChangeSet</x:v>
      </x:c>
      <x:c r="I10" s="66"/>
    </x:row>
    <x:row r="11">
      <x:c r="A11" s="58" t="str">
        <x:v>Reconstruction Job Panel</x:v>
      </x:c>
      <x:c r="B11" s="58" t="str">
        <x:v>阶段/进度/GPU/Worker/内存/临时盘/当前算法/剩余估算</x:v>
      </x:c>
      <x:c r="C11" s="58" t="str">
        <x:v>ReconstructionJobSnapshot</x:v>
      </x:c>
      <x:c r="D11" s="58" t="str">
        <x:v>Worker telemetry</x:v>
      </x:c>
      <x:c r="E11" s="58" t="str">
        <x:v>Start/Cancel/Retry/RunTo reconstruction</x:v>
      </x:c>
      <x:c r="F11" s="58" t="str">
        <x:v>1~2Hz + event</x:v>
      </x:c>
      <x:c r="G11" s="58" t="str">
        <x:v>不刷大数据</x:v>
      </x:c>
      <x:c r="H11" s="58" t="str">
        <x:v>定位Recon节点</x:v>
      </x:c>
      <x:c r="I11" s="58"/>
    </x:row>
    <x:row r="12">
      <x:c r="A12" s="66" t="str">
        <x:v>Slice Preview</x:v>
      </x:c>
      <x:c r="B12" s="66" t="str">
        <x:v>重建中/完成后Axial/Sagittal/Coronal预览</x:v>
      </x:c>
      <x:c r="C12" s="66" t="str">
        <x:v>VolumeDataHandle/PreviewArtifact</x:v>
      </x:c>
      <x:c r="D12" s="66" t="str">
        <x:v>Artifact/Data channel</x:v>
      </x:c>
      <x:c r="E12" s="66" t="str">
        <x:v>Window/Level/Crosshair/Compare</x:v>
      </x:c>
      <x:c r="F12" s="66" t="str">
        <x:v>按需</x:v>
      </x:c>
      <x:c r="G12" s="66" t="str">
        <x:v>低分辨率preview优先</x:v>
      </x:c>
      <x:c r="H12" s="66" t="str">
        <x:v>定位Volume节点</x:v>
      </x:c>
      <x:c r="I12" s="66"/>
    </x:row>
    <x:row r="13">
      <x:c r="A13" s="58" t="str">
        <x:v>MPR Viewer</x:v>
      </x:c>
      <x:c r="B13" s="58" t="str">
        <x:v>三视图/斜切/测量/ROI</x:v>
      </x:c>
      <x:c r="C13" s="58" t="str">
        <x:v>Volume handle</x:v>
      </x:c>
      <x:c r="D13" s="58" t="str">
        <x:v>Artifact/Data channel</x:v>
      </x:c>
      <x:c r="E13" s="58" t="str">
        <x:v>浏览/标注/Pin</x:v>
      </x:c>
      <x:c r="F13" s="58" t="str">
        <x:v>用户驱动</x:v>
      </x:c>
      <x:c r="G13" s="58" t="str">
        <x:v>分块/缓存</x:v>
      </x:c>
      <x:c r="H13" s="58" t="str">
        <x:v>与节点输出联动</x:v>
      </x:c>
      <x:c r="I13" s="58"/>
    </x:row>
    <x:row r="14">
      <x:c r="A14" s="66" t="str">
        <x:v>3D Viewer</x:v>
      </x:c>
      <x:c r="B14" s="66" t="str">
        <x:v>体绘制/MIP/Surface/Mask/Defect overlay</x:v>
      </x:c>
      <x:c r="C14" s="66" t="str">
        <x:v>Volume/Mesh/Region3D</x:v>
      </x:c>
      <x:c r="D14" s="66" t="str">
        <x:v>Artifact/Data channel</x:v>
      </x:c>
      <x:c r="E14" s="66" t="str">
        <x:v>显示层/裁剪/TransferFunction</x:v>
      </x:c>
      <x:c r="F14" s="66" t="str">
        <x:v>用户驱动</x:v>
      </x:c>
      <x:c r="G14" s="66" t="str">
        <x:v>LOD/降采样</x:v>
      </x:c>
      <x:c r="H14" s="66" t="str">
        <x:v>Result/Defect定位</x:v>
      </x:c>
      <x:c r="I14" s="66"/>
    </x:row>
    <x:row r="15">
      <x:c r="A15" s="58" t="str">
        <x:v>Node Data Viewer</x:v>
      </x:c>
      <x:c r="B15" s="58" t="str">
        <x:v>Projection/Volume/Region3D/Mesh/Measurement3D节点输入输出</x:v>
      </x:c>
      <x:c r="C15" s="58" t="str">
        <x:v>Typed handles</x:v>
      </x:c>
      <x:c r="D15" s="58" t="str">
        <x:v>Runtime</x:v>
      </x:c>
      <x:c r="E15" s="58" t="str">
        <x:v>Inspect/Pin/Export</x:v>
      </x:c>
      <x:c r="F15" s="58" t="str">
        <x:v>按需</x:v>
      </x:c>
      <x:c r="G15" s="58" t="str">
        <x:v>Pin有预算</x:v>
      </x:c>
      <x:c r="H15" s="58" t="str">
        <x:v>Pipeline Canvas联动</x:v>
      </x:c>
      <x:c r="I15" s="58"/>
    </x:row>
    <x:row r="16">
      <x:c r="A16" s="66" t="str">
        <x:v>Performance Panel</x:v>
      </x:c>
      <x:c r="B16" s="66" t="str">
        <x:v>Recon各阶段耗时/IO/GPU/VRAM/CPU/Buffer/IPC/磁盘</x:v>
      </x:c>
      <x:c r="C16" s="66" t="str">
        <x:v>CTTrace/Worker health</x:v>
      </x:c>
      <x:c r="D16" s="66" t="str">
        <x:v>Telemetry</x:v>
      </x:c>
      <x:c r="E16" s="66" t="str">
        <x:v>过滤/Compare</x:v>
      </x:c>
      <x:c r="F16" s="66" t="str">
        <x:v>窗口化</x:v>
      </x:c>
      <x:c r="G16" s="66" t="str">
        <x:v>采样/有界</x:v>
      </x:c>
      <x:c r="H16" s="66" t="str">
        <x:v>Run Compare</x:v>
      </x:c>
      <x:c r="I16" s="66"/>
    </x:row>
    <x:row r="17">
      <x:c r="A17" s="58" t="str">
        <x:v>Run Compare</x:v>
      </x:c>
      <x:c r="B17" s="58" t="str">
        <x:v>两个Geometry/算法/参数版本结果质量与性能对比</x:v>
      </x:c>
      <x:c r="C17" s="58" t="str">
        <x:v>CTRunManifest/Result</x:v>
      </x:c>
      <x:c r="D17" s="58" t="str">
        <x:v>Result/Artifact store</x:v>
      </x:c>
      <x:c r="E17" s="58" t="str">
        <x:v>Set baseline/Compare</x:v>
      </x:c>
      <x:c r="F17" s="58" t="str">
        <x:v>离线/按需</x:v>
      </x:c>
      <x:c r="G17" s="58" t="str">
        <x:v>只加载需要切片/指标</x:v>
      </x:c>
      <x:c r="H17" s="58" t="str">
        <x:v>生成Diff</x:v>
      </x:c>
      <x:c r="I17" s="58"/>
    </x:row>
    <x:row r="18">
      <x:c r="A18" s="66" t="str">
        <x:v>Worker/Storage Health</x:v>
      </x:c>
      <x:c r="B18" s="66" t="str">
        <x:v>Worker、GPU、SharedMemory、临时目录、Artifact Store</x:v>
      </x:c>
      <x:c r="C18" s="66" t="str">
        <x:v>HealthSnapshot</x:v>
      </x:c>
      <x:c r="D18" s="66" t="str">
        <x:v>Operations/Runtime</x:v>
      </x:c>
      <x:c r="E18" s="66" t="str">
        <x:v>Restart worker/Clear debug cache(受限)</x:v>
      </x:c>
      <x:c r="F18" s="66" t="str">
        <x:v>低频</x:v>
      </x:c>
      <x:c r="G18" s="66" t="str">
        <x:v>生产优先</x:v>
      </x:c>
      <x:c r="H18" s="66" t="str">
        <x:v>Diagnostics</x:v>
      </x:c>
      <x:c r="I18" s="66"/>
    </x:row>
    <x:row r="19">
      <x:c r="A19"/>
      <x:c r="B19"/>
      <x:c r="C19"/>
      <x:c r="D19"/>
      <x:c r="E19"/>
      <x:c r="F19"/>
      <x:c r="G19"/>
      <x:c r="H19"/>
      <x:c r="I19"/>
    </x:row>
    <x:row r="20" ht="24" customHeight="1">
      <x:c r="A20" s="40" t="str">
        <x:v>B. CT Debug模式</x:v>
      </x:c>
      <x:c r="B20" s="40"/>
      <x:c r="C20" s="40"/>
      <x:c r="D20" s="40"/>
      <x:c r="E20" s="40"/>
      <x:c r="F20" s="40"/>
      <x:c r="G20" s="40"/>
      <x:c r="H20" s="40"/>
      <x:c r="I20" s="40"/>
    </x:row>
    <x:row r="21" ht="28" customHeight="1">
      <x:c r="A21" s="50" t="str">
        <x:v>模式</x:v>
      </x:c>
      <x:c r="B21" s="50" t="str">
        <x:v>输入</x:v>
      </x:c>
      <x:c r="C21" s="50" t="str">
        <x:v>设备</x:v>
      </x:c>
      <x:c r="D21" s="50" t="str">
        <x:v>算法执行</x:v>
      </x:c>
      <x:c r="E21" s="50" t="str">
        <x:v>参数Override</x:v>
      </x:c>
      <x:c r="F21" s="50" t="str">
        <x:v>数据保留</x:v>
      </x:c>
      <x:c r="G21" s="50" t="str">
        <x:v>适用场景</x:v>
      </x:c>
      <x:c r="H21" s="50" t="str">
        <x:v>限制</x:v>
      </x:c>
      <x:c r="I21" s="50" t="str">
        <x:v>规则</x:v>
      </x:c>
    </x:row>
    <x:row r="22">
      <x:c r="A22" s="58" t="str">
        <x:v>Offline Projection Replay</x:v>
      </x:c>
      <x:c r="B22" s="58" t="str">
        <x:v>历史ProjectionSeries</x:v>
      </x:c>
      <x:c r="C22" s="58" t="str">
        <x:v>无</x:v>
      </x:c>
      <x:c r="D22" s="58" t="str">
        <x:v>完整Recon/RunTo</x:v>
      </x:c>
      <x:c r="E22" s="58" t="str">
        <x:v>允许</x:v>
      </x:c>
      <x:c r="F22" s="58" t="str">
        <x:v>可保留选中阶段artifact</x:v>
      </x:c>
      <x:c r="G22" s="58" t="str">
        <x:v>重建调试/算法回归</x:v>
      </x:c>
      <x:c r="H22" s="58" t="str">
        <x:v>依赖版本需可用</x:v>
      </x:c>
      <x:c r="I22" s="58" t="str">
        <x:v>最安全</x:v>
      </x:c>
    </x:row>
    <x:row r="23">
      <x:c r="A23" s="66" t="str">
        <x:v>Offline Volume Replay</x:v>
      </x:c>
      <x:c r="B23" s="66" t="str">
        <x:v>历史Volume</x:v>
      </x:c>
      <x:c r="C23" s="66" t="str">
        <x:v>无</x:v>
      </x:c>
      <x:c r="D23" s="66" t="str">
        <x:v>从Volume后处理节点开始</x:v>
      </x:c>
      <x:c r="E23" s="66" t="str">
        <x:v>允许</x:v>
      </x:c>
      <x:c r="F23" s="66" t="str">
        <x:v>Volume/selected outputs</x:v>
      </x:c>
      <x:c r="G23" s="66" t="str">
        <x:v>分割/测量/3D调试</x:v>
      </x:c>
      <x:c r="H23" s="66" t="str">
        <x:v>不验证重建前链</x:v>
      </x:c>
      <x:c r="I23" s="66"/>
    </x:row>
    <x:row r="24">
      <x:c r="A24" s="58" t="str">
        <x:v>Live Capture Freeze</x:v>
      </x:c>
      <x:c r="B24" s="58" t="str">
        <x:v>实时采集后冻结一个Series</x:v>
      </x:c>
      <x:c r="C24" s="58" t="str">
        <x:v>真实采集</x:v>
      </x:c>
      <x:c r="D24" s="58" t="str">
        <x:v>对冻结Series执行</x:v>
      </x:c>
      <x:c r="E24" s="58" t="str">
        <x:v>允许</x:v>
      </x:c>
      <x:c r="F24" s="58" t="str">
        <x:v>Series+选中中间输出</x:v>
      </x:c>
      <x:c r="G24" s="58" t="str">
        <x:v>现场调参</x:v>
      </x:c>
      <x:c r="H24" s="58" t="str">
        <x:v>采集设备与算法执行解耦</x:v>
      </x:c>
      <x:c r="I24" s="58"/>
    </x:row>
    <x:row r="25">
      <x:c r="A25" s="66" t="str">
        <x:v>Live Single CT Run</x:v>
      </x:c>
      <x:c r="B25" s="66" t="str">
        <x:v>真实设备一次采集+重建</x:v>
      </x:c>
      <x:c r="C25" s="66" t="str">
        <x:v>是</x:v>
      </x:c>
      <x:c r="D25" s="66" t="str">
        <x:v>完整流程</x:v>
      </x:c>
      <x:c r="E25" s="66" t="str">
        <x:v>白名单</x:v>
      </x:c>
      <x:c r="F25" s="66" t="str">
        <x:v>按Result policy</x:v>
      </x:c>
      <x:c r="G25" s="66" t="str">
        <x:v>联机集成</x:v>
      </x:c>
      <x:c r="H25" s="66" t="str">
        <x:v>Motion/采集写入需权限</x:v>
      </x:c>
      <x:c r="I25" s="66" t="str">
        <x:v>Inspection Test Task优先</x:v>
      </x:c>
    </x:row>
    <x:row r="26">
      <x:c r="A26" s="58" t="str">
        <x:v>Production Observe</x:v>
      </x:c>
      <x:c r="B26" s="58" t="str">
        <x:v>生产CT任务</x:v>
      </x:c>
      <x:c r="C26" s="58" t="str">
        <x:v>是</x:v>
      </x:c>
      <x:c r="D26" s="58" t="str">
        <x:v>只观察现有Run</x:v>
      </x:c>
      <x:c r="E26" s="58" t="str">
        <x:v>禁止</x:v>
      </x:c>
      <x:c r="F26" s="58" t="str">
        <x:v>按生产Retention</x:v>
      </x:c>
      <x:c r="G26" s="58" t="str">
        <x:v>现场诊断</x:v>
      </x:c>
      <x:c r="H26" s="58" t="str">
        <x:v>不改变Active Task/Release</x:v>
      </x:c>
      <x:c r="I26" s="58"/>
    </x:row>
    <x:row r="27">
      <x:c r="A27" s="66" t="str">
        <x:v>Batch Golden</x:v>
      </x:c>
      <x:c r="B27" s="66" t="str">
        <x:v>CTSampleSet</x:v>
      </x:c>
      <x:c r="C27" s="66" t="str">
        <x:v>无</x:v>
      </x:c>
      <x:c r="D27" s="66" t="str">
        <x:v>批量并发受资源限</x:v>
      </x:c>
      <x:c r="E27" s="66" t="str">
        <x:v>Definition版本固定</x:v>
      </x:c>
      <x:c r="F27" s="66" t="str">
        <x:v>结果/指标</x:v>
      </x:c>
      <x:c r="G27" s="66" t="str">
        <x:v>质量门禁</x:v>
      </x:c>
      <x:c r="H27" s="66" t="str">
        <x:v>存储/GPU容量</x:v>
      </x:c>
      <x:c r="I27" s="66"/>
    </x:row>
    <x:row r="28">
      <x:c r="A28"/>
      <x:c r="B28"/>
      <x:c r="C28"/>
      <x:c r="D28"/>
      <x:c r="E28"/>
      <x:c r="F28"/>
      <x:c r="G28"/>
      <x:c r="H28"/>
      <x:c r="I28"/>
    </x:row>
    <x:row r="29" ht="24" customHeight="1">
      <x:c r="A29" s="40" t="str">
        <x:v>C. Reconstruction调试操作</x:v>
      </x:c>
      <x:c r="B29" s="40"/>
      <x:c r="C29" s="40"/>
      <x:c r="D29" s="40"/>
      <x:c r="E29" s="40"/>
      <x:c r="F29" s="40"/>
      <x:c r="G29" s="40"/>
      <x:c r="H29" s="40"/>
      <x:c r="I29" s="40"/>
    </x:row>
    <x:row r="30" ht="28" customHeight="1">
      <x:c r="A30" s="50" t="str">
        <x:v>操作</x:v>
      </x:c>
      <x:c r="B30" s="50" t="str">
        <x:v>前置条件</x:v>
      </x:c>
      <x:c r="C30" s="50" t="str">
        <x:v>执行范围</x:v>
      </x:c>
      <x:c r="D30" s="50" t="str">
        <x:v>Runtime行为</x:v>
      </x:c>
      <x:c r="E30" s="50" t="str">
        <x:v>数据保留</x:v>
      </x:c>
      <x:c r="F30" s="50" t="str">
        <x:v>用户看到</x:v>
      </x:c>
      <x:c r="G30" s="50" t="str">
        <x:v>Override影响</x:v>
      </x:c>
      <x:c r="H30" s="50" t="str">
        <x:v>测试</x:v>
      </x:c>
      <x:c r="I30" s="50" t="str">
        <x:v>规则</x:v>
      </x:c>
    </x:row>
    <x:row r="31">
      <x:c r="A31" s="58" t="str">
        <x:v>Run To Preprocess</x:v>
      </x:c>
      <x:c r="B31" s="58" t="str">
        <x:v>ProjectionSeries有效</x:v>
      </x:c>
      <x:c r="C31" s="58" t="str">
        <x:v>输入→指定预处理节点</x:v>
      </x:c>
      <x:c r="D31" s="58" t="str">
        <x:v>裁剪Plan</x:v>
      </x:c>
      <x:c r="E31" s="58" t="str">
        <x:v>保留选定Projection output</x:v>
      </x:c>
      <x:c r="F31" s="58" t="str">
        <x:v>Before/After</x:v>
      </x:c>
      <x:c r="G31" s="58" t="str">
        <x:v>使用Session overrides</x:v>
      </x:c>
      <x:c r="H31" s="58" t="str">
        <x:v>golden</x:v>
      </x:c>
      <x:c r="I31" s="58"/>
    </x:row>
    <x:row r="32">
      <x:c r="A32" s="66" t="str">
        <x:v>Run Reconstruction</x:v>
      </x:c>
      <x:c r="B32" s="66" t="str">
        <x:v>Geometry/Calibration/Executor有效</x:v>
      </x:c>
      <x:c r="C32" s="66" t="str">
        <x:v>仅Recon节点及依赖</x:v>
      </x:c>
      <x:c r="D32" s="66" t="str">
        <x:v>创建ReconstructionJob</x:v>
      </x:c>
      <x:c r="E32" s="66" t="str">
        <x:v>输出Volume handle</x:v>
      </x:c>
      <x:c r="F32" s="66" t="str">
        <x:v>进度/切片preview</x:v>
      </x:c>
      <x:c r="G32" s="66" t="str">
        <x:v>使用debug config</x:v>
      </x:c>
      <x:c r="H32" s="66" t="str">
        <x:v>quality/perf</x:v>
      </x:c>
      <x:c r="I32" s="66" t="str">
        <x:v>JobId唯一</x:v>
      </x:c>
    </x:row>
    <x:row r="33">
      <x:c r="A33" s="58" t="str">
        <x:v>Cancel Reconstruction</x:v>
      </x:c>
      <x:c r="B33" s="58" t="str">
        <x:v>Job可取消</x:v>
      </x:c>
      <x:c r="C33" s="58" t="str">
        <x:v>当前Job</x:v>
      </x:c>
      <x:c r="D33" s="58" t="str">
        <x:v>请求Worker取消并清临时资源</x:v>
      </x:c>
      <x:c r="E33" s="58" t="str">
        <x:v>保留策略由配置</x:v>
      </x:c>
      <x:c r="F33" s="58" t="str">
        <x:v>Cancelling→Stopped/Faulted</x:v>
      </x:c>
      <x:c r="G33" s="58" t="str">
        <x:v>无</x:v>
      </x:c>
      <x:c r="H33" s="58" t="str">
        <x:v>cancel/leak</x:v>
      </x:c>
      <x:c r="I33" s="58" t="str">
        <x:v>不等于kill进程</x:v>
      </x:c>
    </x:row>
    <x:row r="34">
      <x:c r="A34" s="66" t="str">
        <x:v>Retry Reconstruction</x:v>
      </x:c>
      <x:c r="B34" s="66" t="str">
        <x:v>前次Job失败且输入仍可用</x:v>
      </x:c>
      <x:c r="C34" s="66" t="str">
        <x:v>新Attempt</x:v>
      </x:c>
      <x:c r="D34" s="66" t="str">
        <x:v>新JobId/同Run correlation</x:v>
      </x:c>
      <x:c r="E34" s="66" t="str">
        <x:v>不覆盖旧证据</x:v>
      </x:c>
      <x:c r="F34" s="66" t="str">
        <x:v>Attempt对比</x:v>
      </x:c>
      <x:c r="G34" s="66" t="str">
        <x:v>当前Override</x:v>
      </x:c>
      <x:c r="H34" s="66" t="str">
        <x:v>fault</x:v>
      </x:c>
      <x:c r="I34" s="66"/>
    </x:row>
    <x:row r="35">
      <x:c r="A35" s="58" t="str">
        <x:v>Run From Volume</x:v>
      </x:c>
      <x:c r="B35" s="58" t="str">
        <x:v>已有Volume snapshot</x:v>
      </x:c>
      <x:c r="C35" s="58" t="str">
        <x:v>后处理子图</x:v>
      </x:c>
      <x:c r="D35" s="58" t="str">
        <x:v>构造partial plan</x:v>
      </x:c>
      <x:c r="E35" s="58" t="str">
        <x:v>复用Volume handle</x:v>
      </x:c>
      <x:c r="F35" s="58" t="str">
        <x:v>只运行3D算法</x:v>
      </x:c>
      <x:c r="G35" s="58" t="str">
        <x:v>后处理Override</x:v>
      </x:c>
      <x:c r="H35" s="58" t="str">
        <x:v>partial plan</x:v>
      </x:c>
      <x:c r="I35" s="58" t="str">
        <x:v>明确Volume来源版本</x:v>
      </x:c>
    </x:row>
    <x:row r="36">
      <x:c r="A36" s="66" t="str">
        <x:v>Compare Recon</x:v>
      </x:c>
      <x:c r="B36" s="66" t="str">
        <x:v>两个Run/Config可用</x:v>
      </x:c>
      <x:c r="C36" s="66" t="str">
        <x:v>质量/性能对比</x:v>
      </x:c>
      <x:c r="D36" s="66" t="str">
        <x:v>异步Compare job</x:v>
      </x:c>
      <x:c r="E36" s="66" t="str">
        <x:v>按需切片/metrics</x:v>
      </x:c>
      <x:c r="F36" s="66" t="str">
        <x:v>RMSE/SSIM/尺寸/耗时/VRAM等</x:v>
      </x:c>
      <x:c r="G36" s="66" t="str">
        <x:v>N/A</x:v>
      </x:c>
      <x:c r="H36" s="66" t="str">
        <x:v>compare</x:v>
      </x:c>
      <x:c r="I36" s="66" t="str">
        <x:v>指标可配置</x:v>
      </x:c>
    </x:row>
    <x:row r="37">
      <x:c r="A37"/>
      <x:c r="B37"/>
      <x:c r="C37"/>
      <x:c r="D37"/>
      <x:c r="E37"/>
      <x:c r="F37"/>
      <x:c r="G37"/>
      <x:c r="H37"/>
      <x:c r="I37"/>
    </x:row>
    <x:row r="38" ht="24" customHeight="1">
      <x:c r="A38" s="40" t="str">
        <x:v>D. Geometry/Calibration在线调优规则</x:v>
      </x:c>
      <x:c r="B38" s="40"/>
      <x:c r="C38" s="40"/>
      <x:c r="D38" s="40"/>
      <x:c r="E38" s="40"/>
      <x:c r="F38" s="40"/>
      <x:c r="G38" s="40"/>
      <x:c r="H38" s="40"/>
      <x:c r="I38" s="40"/>
    </x:row>
    <x:row r="39" ht="28" customHeight="1">
      <x:c r="A39" s="50" t="str">
        <x:v>对象</x:v>
      </x:c>
      <x:c r="B39" s="50" t="str">
        <x:v>可Override</x:v>
      </x:c>
      <x:c r="C39" s="50" t="str">
        <x:v>生效范围</x:v>
      </x:c>
      <x:c r="D39" s="50" t="str">
        <x:v>风险</x:v>
      </x:c>
      <x:c r="E39" s="50" t="str">
        <x:v>Runtime行为</x:v>
      </x:c>
      <x:c r="F39" s="50" t="str">
        <x:v>Promote</x:v>
      </x:c>
      <x:c r="G39" s="50" t="str">
        <x:v>验证</x:v>
      </x:c>
      <x:c r="H39" s="50" t="str">
        <x:v>审计</x:v>
      </x:c>
      <x:c r="I39" s="50" t="str">
        <x:v>门禁</x:v>
      </x:c>
    </x:row>
    <x:row r="40">
      <x:c r="A40" s="58" t="str">
        <x:v>Voxel Size/Volume Bounds</x:v>
      </x:c>
      <x:c r="B40" s="58" t="str">
        <x:v>是</x:v>
      </x:c>
      <x:c r="C40" s="58" t="str">
        <x:v>Debug Run</x:v>
      </x:c>
      <x:c r="D40" s="58" t="str">
        <x:v>影响内存/分辨率/重建范围</x:v>
      </x:c>
      <x:c r="E40" s="58" t="str">
        <x:v>Compile/Plan重新计算资源预算</x:v>
      </x:c>
      <x:c r="F40" s="58" t="str">
        <x:v>ChangeSet</x:v>
      </x:c>
      <x:c r="G40" s="58" t="str">
        <x:v>Golden+Memory budget</x:v>
      </x:c>
      <x:c r="H40" s="58" t="str">
        <x:v>记录旧新值</x:v>
      </x:c>
      <x:c r="I40" s="58" t="str">
        <x:v>超预算拒绝</x:v>
      </x:c>
    </x:row>
    <x:row r="41">
      <x:c r="A41" s="66" t="str">
        <x:v>Geometry Offset/Rotation</x:v>
      </x:c>
      <x:c r="B41" s="66" t="str">
        <x:v>是</x:v>
      </x:c>
      <x:c r="C41" s="66" t="str">
        <x:v>Debug Run</x:v>
      </x:c>
      <x:c r="D41" s="66" t="str">
        <x:v>错误会产生系统性伪影</x:v>
      </x:c>
      <x:c r="E41" s="66" t="str">
        <x:v>重新Resolve Geometry</x:v>
      </x:c>
      <x:c r="F41" s="66" t="str">
        <x:v>ChangeSet</x:v>
      </x:c>
      <x:c r="G41" s="66" t="str">
        <x:v>标定样本/几何Golden</x:v>
      </x:c>
      <x:c r="H41" s="66" t="str">
        <x:v>记录来源</x:v>
      </x:c>
      <x:c r="I41" s="66" t="str">
        <x:v>生产Active禁</x:v>
      </x:c>
    </x:row>
    <x:row r="42">
      <x:c r="A42" s="58" t="str">
        <x:v>Filter/Recon Params</x:v>
      </x:c>
      <x:c r="B42" s="58" t="str">
        <x:v>是</x:v>
      </x:c>
      <x:c r="C42" s="58" t="str">
        <x:v>Debug Run</x:v>
      </x:c>
      <x:c r="D42" s="58" t="str">
        <x:v>影响质量/性能</x:v>
      </x:c>
      <x:c r="E42" s="58" t="str">
        <x:v>Job级参数</x:v>
      </x:c>
      <x:c r="F42" s="58" t="str">
        <x:v>ChangeSet</x:v>
      </x:c>
      <x:c r="G42" s="58" t="str">
        <x:v>Golden/Perf</x:v>
      </x:c>
      <x:c r="H42" s="58" t="str">
        <x:v>RunManifest</x:v>
      </x:c>
      <x:c r="I42" s="58"/>
    </x:row>
    <x:row r="43">
      <x:c r="A43" s="66" t="str">
        <x:v>Calibration Ref</x:v>
      </x:c>
      <x:c r="B43" s="66" t="str">
        <x:v>可切Debug版本</x:v>
      </x:c>
      <x:c r="C43" s="66" t="str">
        <x:v>Debug Session</x:v>
      </x:c>
      <x:c r="D43" s="66" t="str">
        <x:v>版本错配风险</x:v>
      </x:c>
      <x:c r="E43" s="66" t="str">
        <x:v>加载指定Artifact</x:v>
      </x:c>
      <x:c r="F43" s="66" t="str">
        <x:v>Promote引用</x:v>
      </x:c>
      <x:c r="G43" s="66" t="str">
        <x:v>Calibration compatibility</x:v>
      </x:c>
      <x:c r="H43" s="66" t="str">
        <x:v>Hash审计</x:v>
      </x:c>
      <x:c r="I43" s="66"/>
    </x:row>
    <x:row r="44">
      <x:c r="A44" s="58" t="str">
        <x:v>Algorithm Plugin/Version</x:v>
      </x:c>
      <x:c r="B44" s="58" t="str">
        <x:v>可在Offline/Test scope</x:v>
      </x:c>
      <x:c r="C44" s="58" t="str">
        <x:v>新Debug Plan</x:v>
      </x:c>
      <x:c r="D44" s="58" t="str">
        <x:v>ABI/结果差异</x:v>
      </x:c>
      <x:c r="E44" s="58" t="str">
        <x:v>Worker capability检查后加载</x:v>
      </x:c>
      <x:c r="F44" s="58" t="str">
        <x:v>Promote版本引用</x:v>
      </x:c>
      <x:c r="G44" s="58" t="str">
        <x:v>Golden/Compatibility</x:v>
      </x:c>
      <x:c r="H44" s="58" t="str">
        <x:v>Plugin Hash</x:v>
      </x:c>
      <x:c r="I44" s="58" t="str">
        <x:v>生产Observe禁</x:v>
      </x:c>
    </x:row>
    <x:row r="45">
      <x:c r="A45"/>
      <x:c r="B45"/>
      <x:c r="C45"/>
      <x:c r="D45"/>
      <x:c r="E45"/>
      <x:c r="F45"/>
      <x:c r="G45"/>
      <x:c r="H45"/>
      <x:c r="I45"/>
    </x:row>
    <x:row r="46" ht="24" customHeight="1">
      <x:c r="A46" s="40" t="str">
        <x:v>E. 大数据调试性能规则</x:v>
      </x:c>
      <x:c r="B46" s="40"/>
      <x:c r="C46" s="40"/>
      <x:c r="D46" s="40"/>
      <x:c r="E46" s="40"/>
      <x:c r="F46" s="40"/>
      <x:c r="G46" s="40"/>
      <x:c r="H46" s="40"/>
      <x:c r="I46" s="40"/>
    </x:row>
    <x:row r="47" ht="28" customHeight="1">
      <x:c r="A47" s="50" t="str">
        <x:v>主题</x:v>
      </x:c>
      <x:c r="B47" s="50" t="str">
        <x:v>正式规则</x:v>
      </x:c>
      <x:c r="C47" s="50" t="str">
        <x:v>Runtime实现</x:v>
      </x:c>
      <x:c r="D47" s="50" t="str">
        <x:v>Studio实现</x:v>
      </x:c>
      <x:c r="E47" s="50" t="str">
        <x:v>过载策略</x:v>
      </x:c>
      <x:c r="F47" s="50" t="str">
        <x:v>诊断指标</x:v>
      </x:c>
      <x:c r="G47" s="50" t="str">
        <x:v>测试</x:v>
      </x:c>
      <x:c r="H47" s="50" t="str">
        <x:v>禁止</x:v>
      </x:c>
      <x:c r="I47" s="50" t="str">
        <x:v>备注</x:v>
      </x:c>
    </x:row>
    <x:row r="48">
      <x:c r="A48" s="66" t="str">
        <x:v>Projection加载</x:v>
      </x:c>
      <x:c r="B48" s="66" t="str">
        <x:v>Series索引先行，像素按选帧/窗口读取</x:v>
      </x:c>
      <x:c r="C48" s="66" t="str">
        <x:v>Chunked artifact/MemoryMap</x:v>
      </x:c>
      <x:c r="D48" s="66" t="str">
        <x:v>缩略图+选帧懒加载</x:v>
      </x:c>
      <x:c r="E48" s="66" t="str">
        <x:v>限并发/带宽</x:v>
      </x:c>
      <x:c r="F48" s="66" t="str">
        <x:v>IO MB/s/cache hit</x:v>
      </x:c>
      <x:c r="G48" s="66" t="str">
        <x:v>large series</x:v>
      </x:c>
      <x:c r="H48" s="66" t="str">
        <x:v>一次把所有投影传到Studio</x:v>
      </x:c>
      <x:c r="I48" s="66"/>
    </x:row>
    <x:row r="49">
      <x:c r="A49" s="58" t="str">
        <x:v>Volume Viewer</x:v>
      </x:c>
      <x:c r="B49" s="58" t="str">
        <x:v>Viewer通过ReadOnly VolumeHandle/Chunk API获取</x:v>
      </x:c>
      <x:c r="C49" s="58" t="str">
        <x:v>VolumeCache/SharedMemory/File map</x:v>
      </x:c>
      <x:c r="D49" s="58" t="str">
        <x:v>LOD/切片/ROI按需</x:v>
      </x:c>
      <x:c r="E49" s="58" t="str">
        <x:v>缓存上限/LRU</x:v>
      </x:c>
      <x:c r="F49" s="58" t="str">
        <x:v>cache/bytes/request latency</x:v>
      </x:c>
      <x:c r="G49" s="58" t="str">
        <x:v>GB volume</x:v>
      </x:c>
      <x:c r="H49" s="58" t="str">
        <x:v>Studio复制完整Volume</x:v>
      </x:c>
      <x:c r="I49" s="58"/>
    </x:row>
    <x:row r="50">
      <x:c r="A50" s="66" t="str">
        <x:v>Telemetry</x:v>
      </x:c>
      <x:c r="B50" s="66" t="str">
        <x:v>只发元数据/进度/指标/DataRef</x:v>
      </x:c>
      <x:c r="C50" s="66" t="str">
        <x:v>bounded publisher</x:v>
      </x:c>
      <x:c r="D50" s="66" t="str">
        <x:v>按需Artifact pull</x:v>
      </x:c>
      <x:c r="E50" s="66" t="str">
        <x:v>丢低优先级/降频</x:v>
      </x:c>
      <x:c r="F50" s="66" t="str">
        <x:v>drop/gap/queue</x:v>
      </x:c>
      <x:c r="G50" s="66" t="str">
        <x:v>stress</x:v>
      </x:c>
      <x:c r="H50" s="66" t="str">
        <x:v>Telemetry发送体素数据</x:v>
      </x:c>
      <x:c r="I50" s="66"/>
    </x:row>
    <x:row r="51">
      <x:c r="A51" s="58" t="str">
        <x:v>Debug Pin</x:v>
      </x:c>
      <x:c r="B51" s="58" t="str">
        <x:v>中间Volume/Mask Pin必须有数量/容量/TTL</x:v>
      </x:c>
      <x:c r="C51" s="58" t="str">
        <x:v>Retention budget</x:v>
      </x:c>
      <x:c r="D51" s="58" t="str">
        <x:v>显示占用/手动释放</x:v>
      </x:c>
      <x:c r="E51" s="58" t="str">
        <x:v>超预算拒绝或淘汰</x:v>
      </x:c>
      <x:c r="F51" s="58" t="str">
        <x:v>Pinned GB</x:v>
      </x:c>
      <x:c r="G51" s="58" t="str">
        <x:v>memory soak</x:v>
      </x:c>
      <x:c r="H51" s="58" t="str">
        <x:v>无限Pin</x:v>
      </x:c>
      <x:c r="I51" s="58"/>
    </x:row>
    <x:row r="52">
      <x:c r="A52" s="66" t="str">
        <x:v>临时磁盘</x:v>
      </x:c>
      <x:c r="B52" s="66" t="str">
        <x:v>重建中间文件有Job目录、配额、清理策略</x:v>
      </x:c>
      <x:c r="C52" s="66" t="str">
        <x:v>TempStore/Job cleanup</x:v>
      </x:c>
      <x:c r="D52" s="66" t="str">
        <x:v>显示占用</x:v>
      </x:c>
      <x:c r="E52" s="66" t="str">
        <x:v>达到阈值阻止新Job/清低优先级</x:v>
      </x:c>
      <x:c r="F52" s="66" t="str">
        <x:v>disk free/job bytes</x:v>
      </x:c>
      <x:c r="G52" s="66" t="str">
        <x:v>disk full</x:v>
      </x:c>
      <x:c r="H52" s="66" t="str">
        <x:v>随意写Temp无清理</x:v>
      </x:c>
      <x:c r="I52" s="66"/>
    </x:row>
    <x:row r="53">
      <x:c r="A53" s="58" t="str">
        <x:v>GPU</x:v>
      </x:c>
      <x:c r="B53" s="58" t="str">
        <x:v>重建与3D Viewer/AI共享GPU需Resource policy</x:v>
      </x:c>
      <x:c r="C53" s="58" t="str">
        <x:v>GpuResourceManager</x:v>
      </x:c>
      <x:c r="D53" s="58" t="str">
        <x:v>显示占用但不直接管理context</x:v>
      </x:c>
      <x:c r="E53" s="58" t="str">
        <x:v>排队/降级/不同GPU</x:v>
      </x:c>
      <x:c r="F53" s="58" t="str">
        <x:v>VRAM/queue</x:v>
      </x:c>
      <x:c r="G53" s="58" t="str">
        <x:v>multi workload</x:v>
      </x:c>
      <x:c r="H53" s="58" t="str">
        <x:v>Viewer和Worker各自抢满显存</x:v>
      </x:c>
      <x:c r="I53" s="58"/>
    </x:row>
    <x:row r="54">
      <x:c r="A54"/>
      <x:c r="B54"/>
      <x:c r="C54"/>
      <x:c r="D54"/>
      <x:c r="E54"/>
      <x:c r="F54"/>
      <x:c r="G54"/>
      <x:c r="H54"/>
      <x:c r="I54"/>
    </x:row>
    <x:row r="55" ht="24" customHeight="1">
      <x:c r="A55" s="40" t="str">
        <x:v>F. 故障与恢复</x:v>
      </x:c>
      <x:c r="B55" s="40"/>
      <x:c r="C55" s="40"/>
      <x:c r="D55" s="40"/>
      <x:c r="E55" s="40"/>
      <x:c r="F55" s="40"/>
      <x:c r="G55" s="40"/>
      <x:c r="H55" s="40"/>
      <x:c r="I55" s="40"/>
    </x:row>
    <x:row r="56" ht="28" customHeight="1">
      <x:c r="A56" s="50" t="str">
        <x:v>故障</x:v>
      </x:c>
      <x:c r="B56" s="50" t="str">
        <x:v>在线证据</x:v>
      </x:c>
      <x:c r="C56" s="50" t="str">
        <x:v>Runtime策略</x:v>
      </x:c>
      <x:c r="D56" s="50" t="str">
        <x:v>调试动作</x:v>
      </x:c>
      <x:c r="E56" s="50" t="str">
        <x:v>是否可Retry</x:v>
      </x:c>
      <x:c r="F56" s="50" t="str">
        <x:v>数据完整性</x:v>
      </x:c>
      <x:c r="G56" s="50" t="str">
        <x:v>结果标记</x:v>
      </x:c>
      <x:c r="H56" s="50" t="str">
        <x:v>测试</x:v>
      </x:c>
      <x:c r="I56" s="50" t="str">
        <x:v>备注</x:v>
      </x:c>
    </x:row>
    <x:row r="57">
      <x:c r="A57" s="66" t="str">
        <x:v>Projection缺帧/重复角度</x:v>
      </x:c>
      <x:c r="B57" s="66" t="str">
        <x:v>Series validation report</x:v>
      </x:c>
      <x:c r="C57" s="66" t="str">
        <x:v>按QualityPolicy阻止/允许降级</x:v>
      </x:c>
      <x:c r="D57" s="66" t="str">
        <x:v>定位缺失Frame/重新采集Test Task</x:v>
      </x:c>
      <x:c r="E57" s="66" t="str">
        <x:v>可</x:v>
      </x:c>
      <x:c r="F57" s="66" t="str">
        <x:v>Series manifest明确</x:v>
      </x:c>
      <x:c r="G57" s="66" t="str">
        <x:v>Bad/Uncertain</x:v>
      </x:c>
      <x:c r="H57" s="66" t="str">
        <x:v>series fault</x:v>
      </x:c>
      <x:c r="I57" s="66"/>
    </x:row>
    <x:row r="58">
      <x:c r="A58" s="58" t="str">
        <x:v>Geometry不合法</x:v>
      </x:c>
      <x:c r="B58" s="58" t="str">
        <x:v>Compile/Resolve diagnostic</x:v>
      </x:c>
      <x:c r="C58" s="58" t="str">
        <x:v>不启动Recon</x:v>
      </x:c>
      <x:c r="D58" s="58" t="str">
        <x:v>打开Geometry Editor</x:v>
      </x:c>
      <x:c r="E58" s="58" t="str">
        <x:v>否直到修正</x:v>
      </x:c>
      <x:c r="F58" s="58" t="str">
        <x:v>无Volume</x:v>
      </x:c>
      <x:c r="G58" s="58" t="str">
        <x:v>Invalid</x:v>
      </x:c>
      <x:c r="H58" s="58" t="str">
        <x:v>negative</x:v>
      </x:c>
      <x:c r="I58" s="58"/>
    </x:row>
    <x:row r="59">
      <x:c r="A59" s="66" t="str">
        <x:v>GPU OOM</x:v>
      </x:c>
      <x:c r="B59" s="66" t="str">
        <x:v>VRAM/Job config/worker snapshot</x:v>
      </x:c>
      <x:c r="C59" s="66" t="str">
        <x:v>Job Fail/可排队或降低配置按策略</x:v>
      </x:c>
      <x:c r="D59" s="66" t="str">
        <x:v>清debug pins/改参数/换Worker</x:v>
      </x:c>
      <x:c r="E59" s="66" t="str">
        <x:v>可</x:v>
      </x:c>
      <x:c r="F59" s="66" t="str">
        <x:v>旧Job证据保留</x:v>
      </x:c>
      <x:c r="G59" s="66" t="str">
        <x:v>Faulted</x:v>
      </x:c>
      <x:c r="H59" s="66" t="str">
        <x:v>stress</x:v>
      </x:c>
      <x:c r="I59" s="66"/>
    </x:row>
    <x:row r="60">
      <x:c r="A60" s="58" t="str">
        <x:v>Worker Crash</x:v>
      </x:c>
      <x:c r="B60" s="58" t="str">
        <x:v>Worker health/crash reason/JobId</x:v>
      </x:c>
      <x:c r="C60" s="58" t="str">
        <x:v>隔离worker重启；Job失败</x:v>
      </x:c>
      <x:c r="D60" s="58" t="str">
        <x:v>重启并Retry same inputs</x:v>
      </x:c>
      <x:c r="E60" s="58" t="str">
        <x:v>可</x:v>
      </x:c>
      <x:c r="F60" s="58" t="str">
        <x:v>输入Artifact不受影响</x:v>
      </x:c>
      <x:c r="G60" s="58" t="str">
        <x:v>Faulted/Retried</x:v>
      </x:c>
      <x:c r="H60" s="58" t="str">
        <x:v>crash</x:v>
      </x:c>
      <x:c r="I60" s="58"/>
    </x:row>
    <x:row r="61">
      <x:c r="A61" s="66" t="str">
        <x:v>临时盘满</x:v>
      </x:c>
      <x:c r="B61" s="66" t="str">
        <x:v>disk health/temp job state</x:v>
      </x:c>
      <x:c r="C61" s="66" t="str">
        <x:v>拒绝新job/当前job按安全失败</x:v>
      </x:c>
      <x:c r="D61" s="66" t="str">
        <x:v>清理低优先级/改store</x:v>
      </x:c>
      <x:c r="E61" s="66" t="str">
        <x:v>视情况</x:v>
      </x:c>
      <x:c r="F61" s="66" t="str">
        <x:v>输入不删除</x:v>
      </x:c>
      <x:c r="G61" s="66" t="str">
        <x:v>Faulted</x:v>
      </x:c>
      <x:c r="H61" s="66" t="str">
        <x:v>disk full</x:v>
      </x:c>
      <x:c r="I61" s="66"/>
    </x:row>
    <x:row r="62">
      <x:c r="A62" s="58" t="str">
        <x:v>Artifact Store断开</x:v>
      </x:c>
      <x:c r="B62" s="58" t="str">
        <x:v>pending artifacts/queue</x:v>
      </x:c>
      <x:c r="C62" s="58" t="str">
        <x:v>按业务策略本地StoreForward或Result降级</x:v>
      </x:c>
      <x:c r="D62" s="58" t="str">
        <x:v>查看队列/重试</x:v>
      </x:c>
      <x:c r="E62" s="58" t="str">
        <x:v>可</x:v>
      </x:c>
      <x:c r="F62" s="58" t="str">
        <x:v>关键Result结构化数据优先</x:v>
      </x:c>
      <x:c r="G62" s="58" t="str">
        <x:v>PendingArtifact</x:v>
      </x:c>
      <x:c r="H62" s="58" t="str">
        <x:v>network</x:v>
      </x:c>
      <x:c r="I62" s="58"/>
    </x:row>
    <x:row r="64">
      <x:c r="A64" t="str">
        <x:v>G. 历史 CT3D Contextual Debug UI（V6.4继续有效）</x:v>
      </x:c>
      <x:c r="B64"/>
      <x:c r="C64"/>
      <x:c r="D64"/>
      <x:c r="E64"/>
      <x:c r="F64"/>
      <x:c r="G64"/>
      <x:c r="H64"/>
      <x:c r="I64"/>
    </x:row>
    <x:row r="65">
      <x:c r="A65" t="str">
        <x:v>上下文页签</x:v>
      </x:c>
      <x:c r="B65" t="str">
        <x:v>工作区</x:v>
      </x:c>
      <x:c r="C65" t="str">
        <x:v>Debug能力</x:v>
      </x:c>
      <x:c r="D65" t="str">
        <x:v>大数据策略</x:v>
      </x:c>
      <x:c r="E65" t="str">
        <x:v>安全/规则</x:v>
      </x:c>
      <x:c r="F65" t="str">
        <x:v>DesignRef</x:v>
      </x:c>
      <x:c r="G65"/>
      <x:c r="H65"/>
      <x:c r="I65"/>
    </x:row>
    <x:row r="66">
      <x:c r="A66" t="str">
        <x:v>CT/3D</x:v>
      </x:c>
      <x:c r="B66" t="str">
        <x:v>Projection Browser/Geometry/Calibration/Job/Resource</x:v>
      </x:c>
      <x:c r="C66" t="str">
        <x:v>完整性、Geometry Override、Job状态</x:v>
      </x:c>
      <x:c r="D66" t="str">
        <x:v>metadata先行；像素按需</x:v>
      </x:c>
      <x:c r="E66" t="str">
        <x:v>采集/设备写受Motion安全链</x:v>
      </x:c>
      <x:c r="F66" t="str">
        <x:v>45</x:v>
      </x:c>
      <x:c r="G66"/>
      <x:c r="H66"/>
      <x:c r="I66"/>
    </x:row>
    <x:row r="67">
      <x:c r="A67" t="str">
        <x:v>重建</x:v>
      </x:c>
      <x:c r="B67" t="str">
        <x:v>Preprocess/Recon Config/Progress/Cancel/Attempt/Compare</x:v>
      </x:c>
      <x:c r="C67" t="str">
        <x:v>Run/Retry/Cancel/Compare</x:v>
      </x:c>
      <x:c r="D67" t="str">
        <x:v>中间Artifact Pin/TTL/预算</x:v>
      </x:c>
      <x:c r="E67" t="str">
        <x:v>参数Override仅Debug Session</x:v>
      </x:c>
      <x:c r="F67" t="str">
        <x:v>45</x:v>
      </x:c>
      <x:c r="G67"/>
      <x:c r="H67"/>
      <x:c r="I67"/>
    </x:row>
    <x:row r="68">
      <x:c r="A68" t="str">
        <x:v>可视化</x:v>
      </x:c>
      <x:c r="B68" t="str">
        <x:v>MPR/3D/Measure</x:v>
      </x:c>
      <x:c r="C68" t="str">
        <x:v>Window-Level/Crosshair/ROI/Compare</x:v>
      </x:c>
      <x:c r="D68" t="str">
        <x:v>VolumeHandle+Chunk/LOD/Cache</x:v>
      </x:c>
      <x:c r="E68" t="str">
        <x:v>Viewer默认只读</x:v>
      </x:c>
      <x:c r="F68" t="str">
        <x:v>45</x:v>
      </x:c>
      <x:c r="G68"/>
      <x:c r="H68"/>
      <x:c r="I68"/>
    </x:row>
    <x:row r="69">
      <x:c r="A69" t="str">
        <x:v>统一诊断</x:v>
      </x:c>
      <x:c r="B69" t="str">
        <x:v>Watch/Trace/Timeline/Performance/Storage/GPU</x:v>
      </x:c>
      <x:c r="C69" t="str">
        <x:v>PlanHash/Version/Health/Correlation</x:v>
      </x:c>
      <x:c r="D69" t="str">
        <x:v>Telemetry只传metadata/ref</x:v>
      </x:c>
      <x:c r="E69" t="str">
        <x:v>45</x:v>
      </x:c>
      <x:c r="F69"/>
      <x:c r="G69"/>
      <x:c r="H69"/>
      <x:c r="I69"/>
    </x:row>
    <x:row r="70">
      <x:c r="A70" t="str">
        <x:v>Context切换</x:v>
      </x:c>
      <x:c r="B70" t="str">
        <x:v>CT3D Document决定三个页签</x:v>
      </x:c>
      <x:c r="C70" t="str">
        <x:v>切走释放UI订阅</x:v>
      </x:c>
      <x:c r="D70" t="str">
        <x:v>不建独立CT Studio</x:v>
      </x:c>
      <x:c r="E70" t="str">
        <x:v>45</x:v>
      </x:c>
      <x:c r="F70"/>
      <x:c r="G70"/>
      <x:c r="H70"/>
      <x:c r="I70"/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42" hidden="0" customWidth="1"/>
    <x:col min="4" max="4" width="34" hidden="0" customWidth="1"/>
    <x:col min="5" max="5" width="32" hidden="0" customWidth="1"/>
    <x:col min="6" max="6" width="32" hidden="0" customWidth="1"/>
    <x:col min="7" max="7" width="30" hidden="0" customWidth="1"/>
    <x:col min="8" max="8" width="28" hidden="0" customWidth="1"/>
    <x:col min="9" max="9" width="30" hidden="0" customWidth="1"/>
  </x:cols>
  <x:sheetData>
    <x:row r="1" ht="30" customHeight="1">
      <x:c r="A1" s="8" t="str">
        <x:v>Inspection Workflow — 完整开发蓝图</x:v>
      </x:c>
      <x:c r="B1" s="8"/>
      <x:c r="C1" s="8"/>
      <x:c r="D1" s="8"/>
      <x:c r="E1" s="8"/>
      <x:c r="F1" s="8"/>
      <x:c r="G1" s="8"/>
      <x:c r="H1" s="8"/>
      <x:c r="I1" s="8"/>
    </x:row>
    <x:row r="2" ht="38" customHeight="1">
      <x:c r="A2" s="16" t="str">
        <x:v>Inspection Domain HOW权威页：产品Task、工位/点位、多Task、Result、Retest、Review、MES、Checkpoint、Idempotency、Recovery完整业务架构。</x:v>
      </x:c>
      <x:c r="B2" s="16"/>
      <x:c r="C2" s="16"/>
      <x:c r="D2" s="16"/>
      <x:c r="E2" s="16"/>
      <x:c r="F2" s="16"/>
      <x:c r="G2" s="16"/>
      <x:c r="H2" s="16"/>
      <x:c r="I2" s="16"/>
    </x:row>
    <x:row r="3">
      <x:c r="A3" s="30" t="str">
        <x:v>本页唯一权威</x:v>
      </x:c>
      <x:c r="B3" s="31" t="str">
        <x:v>Inspection Studio、Context/Result Schema、Workflow Compiler/Runtime、Task Scheduler、Domain Invocation、Persistence、MES与恢复。</x:v>
      </x:c>
      <x:c r="C3" s="31"/>
      <x:c r="D3" s="31"/>
      <x:c r="E3" s="31"/>
      <x:c r="F3" s="31"/>
      <x:c r="G3" s="31"/>
      <x:c r="H3" s="31"/>
      <x:c r="I3" s="31"/>
    </x:row>
    <x:row r="4">
      <x:c r="A4" s="30" t="str">
        <x:v>不在本页维护</x:v>
      </x:c>
      <x:c r="B4" s="31" t="str">
        <x:v>Motion/Robot/Vision/CT内部实现（见27~34）；在线Task调试（见36）；项目产品流程（见44）。</x:v>
      </x:c>
      <x:c r="C4" s="31"/>
      <x:c r="D4" s="31"/>
      <x:c r="E4" s="31"/>
      <x:c r="F4" s="31"/>
      <x:c r="G4" s="31"/>
      <x:c r="H4" s="31"/>
      <x:c r="I4" s="31"/>
    </x:row>
    <x:row r="5">
      <x:c r="A5" s="30" t="str">
        <x:v>关联分页</x:v>
      </x:c>
      <x:c r="B5" s="31" t="str">
        <x:v>19~26_Graph平台；27~34被调用Domain；36_Inspection在线调试；37_跨域执行E2E；45_StudioShell与Ribbon基线。</x:v>
      </x:c>
      <x:c r="C5" s="31"/>
      <x:c r="D5" s="31"/>
      <x:c r="E5" s="31"/>
      <x:c r="F5" s="31"/>
      <x:c r="G5" s="31"/>
      <x:c r="H5" s="31"/>
      <x:c r="I5" s="31"/>
    </x:row>
    <x:row r="6">
      <x:c r="A6"/>
      <x:c r="B6"/>
      <x:c r="C6"/>
      <x:c r="D6"/>
      <x:c r="E6"/>
      <x:c r="F6"/>
      <x:c r="G6"/>
      <x:c r="H6"/>
      <x:c r="I6"/>
    </x:row>
    <x:row r="7" ht="24" customHeight="1">
      <x:c r="A7" s="40" t="str">
        <x:v>A. 领域定位与边界</x:v>
      </x:c>
      <x:c r="B7" s="40"/>
      <x:c r="C7" s="40"/>
      <x:c r="D7" s="40"/>
      <x:c r="E7" s="40"/>
      <x:c r="F7" s="40"/>
      <x:c r="G7" s="40"/>
      <x:c r="H7" s="40"/>
      <x:c r="I7" s="40"/>
    </x:row>
    <x:row r="8" ht="28" customHeight="1">
      <x:c r="A8" s="50" t="str">
        <x:v>主题</x:v>
      </x:c>
      <x:c r="B8" s="50" t="str">
        <x:v>正式定位</x:v>
      </x:c>
      <x:c r="C8" s="50" t="str">
        <x:v>边界</x:v>
      </x:c>
      <x:c r="D8" s="50"/>
      <x:c r="E8" s="50"/>
      <x:c r="F8" s="50"/>
      <x:c r="G8" s="50"/>
      <x:c r="H8" s="50"/>
      <x:c r="I8" s="50"/>
    </x:row>
    <x:row r="9">
      <x:c r="A9" s="58" t="str">
        <x:v>执行语义</x:v>
      </x:c>
      <x:c r="B9" s="58" t="str">
        <x:v>DurableWorkflow / Product Task</x:v>
      </x:c>
      <x:c r="C9" s="58" t="str">
        <x:v>产品级可持久、可恢复业务总编排</x:v>
      </x:c>
      <x:c r="D9" s="58"/>
      <x:c r="E9" s="58"/>
      <x:c r="F9" s="58"/>
      <x:c r="G9" s="58"/>
      <x:c r="H9" s="58"/>
      <x:c r="I9" s="58"/>
    </x:row>
    <x:row r="10">
      <x:c r="A10" s="66" t="str">
        <x:v>负责</x:v>
      </x:c>
      <x:c r="B10" s="66" t="str">
        <x:v>Product/Point/Station/Result/Retest/Review/MES/Checkpoint/Recovery/MultiTask</x:v>
      </x:c>
      <x:c r="C10" s="66" t="str">
        <x:v>调用Motion/Robot/Vision/CT公开Contract</x:v>
      </x:c>
      <x:c r="D10" s="66"/>
      <x:c r="E10" s="66"/>
      <x:c r="F10" s="66"/>
      <x:c r="G10" s="66"/>
      <x:c r="H10" s="66"/>
      <x:c r="I10" s="66"/>
    </x:row>
    <x:row r="11">
      <x:c r="A11" s="58" t="str">
        <x:v>不负责</x:v>
      </x:c>
      <x:c r="B11" s="58" t="str">
        <x:v>展开Motion/Vision内部节点或直接访问Vendor SDK</x:v>
      </x:c>
      <x:c r="C11" s="58" t="str">
        <x:v>Domain内部仍由各自Runtime负责</x:v>
      </x:c>
      <x:c r="D11" s="58"/>
      <x:c r="E11" s="58"/>
      <x:c r="F11" s="58"/>
      <x:c r="G11" s="58"/>
      <x:c r="H11" s="58"/>
      <x:c r="I11" s="58"/>
    </x:row>
    <x:row r="12">
      <x:c r="A12"/>
      <x:c r="B12"/>
      <x:c r="C12"/>
      <x:c r="D12"/>
      <x:c r="E12"/>
      <x:c r="F12"/>
      <x:c r="G12"/>
      <x:c r="H12"/>
      <x:c r="I12"/>
    </x:row>
    <x:row r="13" ht="24" customHeight="1">
      <x:c r="A13" s="40" t="str">
        <x:v>A. Inspection Studio 完整功能展望</x:v>
      </x:c>
      <x:c r="B13" s="40"/>
      <x:c r="C13" s="40"/>
      <x:c r="D13" s="40"/>
      <x:c r="E13" s="40"/>
      <x:c r="F13" s="40"/>
      <x:c r="G13" s="40"/>
      <x:c r="H13" s="40"/>
      <x:c r="I13" s="40"/>
    </x:row>
    <x:row r="14" ht="28" customHeight="1">
      <x:c r="A14" s="50" t="str">
        <x:v>功能区</x:v>
      </x:c>
      <x:c r="B14" s="50" t="str">
        <x:v>核心能力</x:v>
      </x:c>
      <x:c r="C14" s="50" t="str">
        <x:v>具体功能</x:v>
      </x:c>
      <x:c r="D14" s="50" t="str">
        <x:v>主要对象</x:v>
      </x:c>
      <x:c r="E14" s="50" t="str">
        <x:v>UI形态</x:v>
      </x:c>
      <x:c r="F14" s="50" t="str">
        <x:v>运行关联</x:v>
      </x:c>
      <x:c r="G14" s="50" t="str">
        <x:v>可靠性/安全</x:v>
      </x:c>
      <x:c r="H14" s="50"/>
      <x:c r="I14" s="50"/>
    </x:row>
    <x:row r="15">
      <x:c r="A15" s="66" t="str">
        <x:v>Flow导航</x:v>
      </x:c>
      <x:c r="B15" s="66" t="str">
        <x:v>流程与子流程管理</x:v>
      </x:c>
      <x:c r="C15" s="66" t="str">
        <x:v>Flow/SubFlow/Version/引用/入口/触发/错误策略/模板/搜索</x:v>
      </x:c>
      <x:c r="D15" s="66" t="str">
        <x:v>InspectionFlow</x:v>
      </x:c>
      <x:c r="E15" s="66" t="str">
        <x:v>Project Tree</x:v>
      </x:c>
      <x:c r="F15" s="66" t="str">
        <x:v>Definition resolve</x:v>
      </x:c>
      <x:c r="G15" s="66" t="str">
        <x:v>版本固定</x:v>
      </x:c>
      <x:c r="H15" s="66"/>
      <x:c r="I15" s="66"/>
    </x:row>
    <x:row r="16">
      <x:c r="A16" s="58" t="str">
        <x:v>Workflow画布</x:v>
      </x:c>
      <x:c r="B16" s="58" t="str">
        <x:v>业务控制流编辑</x:v>
      </x:c>
      <x:c r="C16" s="58" t="str">
        <x:v>Sequence/Parallel/Switch/Loop/Retry/Timeout/Wait/SubFlow/Review/DomainInvocation</x:v>
      </x:c>
      <x:c r="D16" s="58" t="str">
        <x:v>InspectionFlow</x:v>
      </x:c>
      <x:c r="E16" s="58" t="str">
        <x:v>Graph Canvas</x:v>
      </x:c>
      <x:c r="F16" s="58" t="str">
        <x:v>InspectionPlan</x:v>
      </x:c>
      <x:c r="G16" s="58" t="str">
        <x:v>控制流必须可恢复</x:v>
      </x:c>
      <x:c r="H16" s="58"/>
      <x:c r="I16" s="58"/>
    </x:row>
    <x:row r="17">
      <x:c r="A17" s="66" t="str">
        <x:v>产品模型</x:v>
      </x:c>
      <x:c r="B17" s="66" t="str">
        <x:v>Product/Task上下文定义</x:v>
      </x:c>
      <x:c r="C17" s="66" t="str">
        <x:v>ProductId/Barcode/Model/Batch/Order/Recipe/Custom fields/生命周期</x:v>
      </x:c>
      <x:c r="D17" s="66" t="str">
        <x:v>ProductContextSchema</x:v>
      </x:c>
      <x:c r="E17" s="66" t="str">
        <x:v>Schema Editor</x:v>
      </x:c>
      <x:c r="F17" s="66" t="str">
        <x:v>Task Context</x:v>
      </x:c>
      <x:c r="G17" s="66" t="str">
        <x:v>字段版本化</x:v>
      </x:c>
      <x:c r="H17" s="66"/>
      <x:c r="I17" s="66"/>
    </x:row>
    <x:row r="18">
      <x:c r="A18" s="58" t="str">
        <x:v>点位/工位</x:v>
      </x:c>
      <x:c r="B18" s="58" t="str">
        <x:v>工位和检测点定义</x:v>
      </x:c>
      <x:c r="C18" s="58" t="str">
        <x:v>Station/Point/Position/Device refs/Vision pipeline/Result mapping/Retest policy</x:v>
      </x:c>
      <x:c r="D18" s="58" t="str">
        <x:v>PointDefinition/StationDefinition</x:v>
      </x:c>
      <x:c r="E18" s="58" t="str">
        <x:v>Tree+Grid</x:v>
      </x:c>
      <x:c r="F18" s="58" t="str">
        <x:v>Task/Point Context</x:v>
      </x:c>
      <x:c r="G18" s="58" t="str">
        <x:v>资源映射</x:v>
      </x:c>
      <x:c r="H18" s="58"/>
      <x:c r="I18" s="58"/>
    </x:row>
    <x:row r="19">
      <x:c r="A19" s="66" t="str">
        <x:v>Recipe绑定</x:v>
      </x:c>
      <x:c r="B19" s="66" t="str">
        <x:v>产品参数与设备/算法参数映射</x:v>
      </x:c>
      <x:c r="C19" s="66" t="str">
        <x:v>Recipe→Motion params/Vision params/Threshold/Mode</x:v>
      </x:c>
      <x:c r="D19" s="66" t="str">
        <x:v>RecipeMapping</x:v>
      </x:c>
      <x:c r="E19" s="66" t="str">
        <x:v>Mapping Editor</x:v>
      </x:c>
      <x:c r="F19" s="66" t="str">
        <x:v>Run resolve</x:v>
      </x:c>
      <x:c r="G19" s="66" t="str">
        <x:v>版本固定/审批</x:v>
      </x:c>
      <x:c r="H19" s="66"/>
      <x:c r="I19" s="66"/>
    </x:row>
    <x:row r="20">
      <x:c r="A20" s="58" t="str">
        <x:v>结果Schema</x:v>
      </x:c>
      <x:c r="B20" s="58" t="str">
        <x:v>检测结果统一模型</x:v>
      </x:c>
      <x:c r="C20" s="58" t="str">
        <x:v>Measurements/Defects/Judgement/Artifacts/PerPoint/Overall/Quality/Review fields</x:v>
      </x:c>
      <x:c r="D20" s="58" t="str">
        <x:v>ResultSchema</x:v>
      </x:c>
      <x:c r="E20" s="58" t="str">
        <x:v>Result Schema Editor</x:v>
      </x:c>
      <x:c r="F20" s="58" t="str">
        <x:v>ResultContext</x:v>
      </x:c>
      <x:c r="G20" s="58" t="str">
        <x:v>兼容/MES映射</x:v>
      </x:c>
      <x:c r="H20" s="58"/>
      <x:c r="I20" s="58"/>
    </x:row>
    <x:row r="21">
      <x:c r="A21" s="66" t="str">
        <x:v>MES/外部系统</x:v>
      </x:c>
      <x:c r="B21" s="66" t="str">
        <x:v>查询与上报</x:v>
      </x:c>
      <x:c r="C21" s="66" t="str">
        <x:v>工单/产品查询、开始/结束、结果、缺陷、附件、幂等、断网队列</x:v>
      </x:c>
      <x:c r="D21" s="66" t="str">
        <x:v>MesMapping/GatewayConfig</x:v>
      </x:c>
      <x:c r="E21" s="66" t="str">
        <x:v>Mapping Editor</x:v>
      </x:c>
      <x:c r="F21" s="66" t="str">
        <x:v>IMesGateway</x:v>
      </x:c>
      <x:c r="G21" s="66" t="str">
        <x:v>StoreForward/幂等</x:v>
      </x:c>
      <x:c r="H21" s="66"/>
      <x:c r="I21" s="66"/>
    </x:row>
    <x:row r="22">
      <x:c r="A22" s="58" t="str">
        <x:v>异常策略</x:v>
      </x:c>
      <x:c r="B22" s="58" t="str">
        <x:v>流程级错误处理</x:v>
      </x:c>
      <x:c r="C22" s="58" t="str">
        <x:v>错误分类→Retry/Skip/Retest/Abort/Manual/Compensate/SubFlow</x:v>
      </x:c>
      <x:c r="D22" s="58" t="str">
        <x:v>ErrorPolicy</x:v>
      </x:c>
      <x:c r="E22" s="58" t="str">
        <x:v>Policy Editor</x:v>
      </x:c>
      <x:c r="F22" s="58" t="str">
        <x:v>Workflow runtime</x:v>
      </x:c>
      <x:c r="G22" s="58" t="str">
        <x:v>禁止隐式吞异常</x:v>
      </x:c>
      <x:c r="H22" s="58"/>
      <x:c r="I22" s="58"/>
    </x:row>
    <x:row r="23">
      <x:c r="A23" s="66" t="str">
        <x:v>复测策略</x:v>
      </x:c>
      <x:c r="B23" s="66" t="str">
        <x:v>NG与不确定结果处理</x:v>
      </x:c>
      <x:c r="C23" s="66" t="str">
        <x:v>按缺陷/点位/次数/时间/权限选择重测点位/算法/参数</x:v>
      </x:c>
      <x:c r="D23" s="66" t="str">
        <x:v>RetestPolicy</x:v>
      </x:c>
      <x:c r="E23" s="66" t="str">
        <x:v>Policy Editor</x:v>
      </x:c>
      <x:c r="F23" s="66" t="str">
        <x:v>Task runtime</x:v>
      </x:c>
      <x:c r="G23" s="66" t="str">
        <x:v>次数/版本/审计</x:v>
      </x:c>
      <x:c r="H23" s="66"/>
      <x:c r="I23" s="66"/>
    </x:row>
    <x:row r="24">
      <x:c r="A24" s="58" t="str">
        <x:v>人工复判</x:v>
      </x:c>
      <x:c r="B24" s="58" t="str">
        <x:v>Human-in-loop</x:v>
      </x:c>
      <x:c r="C24" s="58" t="str">
        <x:v>Review queue/图片/缺陷/测量/原因/权限/超时/远程判定</x:v>
      </x:c>
      <x:c r="D24" s="58" t="str">
        <x:v>ReviewTask</x:v>
      </x:c>
      <x:c r="E24" s="58" t="str">
        <x:v>Review Workspace</x:v>
      </x:c>
      <x:c r="F24" s="58" t="str">
        <x:v>Inspection runtime</x:v>
      </x:c>
      <x:c r="G24" s="58" t="str">
        <x:v>全审计</x:v>
      </x:c>
      <x:c r="H24" s="58"/>
      <x:c r="I24" s="58"/>
    </x:row>
    <x:row r="25">
      <x:c r="A25" s="66" t="str">
        <x:v>Checkpoint</x:v>
      </x:c>
      <x:c r="B25" s="66" t="str">
        <x:v>断电/进程崩溃恢复</x:v>
      </x:c>
      <x:c r="C25" s="66" t="str">
        <x:v>Checkpoint位置、频率、上下文快照、资源状态摘要、恢复策略</x:v>
      </x:c>
      <x:c r="D25" s="66" t="str">
        <x:v>CheckpointPolicy</x:v>
      </x:c>
      <x:c r="E25" s="66" t="str">
        <x:v>Flow/Policy Editor</x:v>
      </x:c>
      <x:c r="F25" s="66" t="str">
        <x:v>Checkpoint store</x:v>
      </x:c>
      <x:c r="G25" s="66" t="str">
        <x:v>原子/版本固定</x:v>
      </x:c>
      <x:c r="H25" s="66"/>
      <x:c r="I25" s="66"/>
    </x:row>
    <x:row r="26">
      <x:c r="A26" s="58" t="str">
        <x:v>Scenario测试</x:v>
      </x:c>
      <x:c r="B26" s="58" t="str">
        <x:v>流程仿真与故障注入</x:v>
      </x:c>
      <x:c r="C26" s="58" t="str">
        <x:v>正常/NG/设备超时/MES断网/Worker crash/人工超时/断电恢复场景</x:v>
      </x:c>
      <x:c r="D26" s="58" t="str">
        <x:v>InspectionScenario</x:v>
      </x:c>
      <x:c r="E26" s="58" t="str">
        <x:v>Scenario Runner</x:v>
      </x:c>
      <x:c r="F26" s="58" t="str">
        <x:v>Simulation Runtime</x:v>
      </x:c>
      <x:c r="G26" s="58" t="str">
        <x:v>可重复</x:v>
      </x:c>
      <x:c r="H26" s="58"/>
      <x:c r="I26" s="58"/>
    </x:row>
    <x:row r="27">
      <x:c r="A27" s="66" t="str">
        <x:v>在线调试</x:v>
      </x:c>
      <x:c r="B27" s="66" t="str">
        <x:v>实机流程调试</x:v>
      </x:c>
      <x:c r="C27" s="66" t="str">
        <x:v>Task attach、断点/单步/RunTo、Context查看、受控Retry/Skip/Review/Checkpoint恢复</x:v>
      </x:c>
      <x:c r="D27" s="66" t="str">
        <x:v>InspectionDebugSession</x:v>
      </x:c>
      <x:c r="E27" s="66" t="str">
        <x:v>Debug Workspace</x:v>
      </x:c>
      <x:c r="F27" s="66" t="str">
        <x:v>InspectionRuntimeSession</x:v>
      </x:c>
      <x:c r="G27" s="66" t="str">
        <x:v>操作审计/测试任务标识</x:v>
      </x:c>
      <x:c r="H27" s="66"/>
      <x:c r="I27" s="66"/>
    </x:row>
    <x:row r="28">
      <x:c r="A28" s="58" t="str">
        <x:v>运行监控</x:v>
      </x:c>
      <x:c r="B28" s="58" t="str">
        <x:v>多Task生产可视化</x:v>
      </x:c>
      <x:c r="C28" s="58" t="str">
        <x:v>在制Task/当前节点/工位/资源/等待原因/节拍/结果/MES队列/Review队列</x:v>
      </x:c>
      <x:c r="D28" s="58" t="str">
        <x:v>TaskRuntimeSnapshot</x:v>
      </x:c>
      <x:c r="E28" s="58" t="str">
        <x:v>Runtime Monitor</x:v>
      </x:c>
      <x:c r="F28" s="58" t="str">
        <x:v>Scheduler/Runtime</x:v>
      </x:c>
      <x:c r="G28" s="58" t="str">
        <x:v>运行只读为主</x:v>
      </x:c>
      <x:c r="H28" s="58"/>
      <x:c r="I28" s="58"/>
    </x:row>
    <x:row r="29">
      <x:c r="A29" s="66" t="str">
        <x:v>版本发布</x:v>
      </x:c>
      <x:c r="B29" s="66" t="str">
        <x:v>依赖集合固定</x:v>
      </x:c>
      <x:c r="C29" s="66" t="str">
        <x:v>Flow/Motion/Vision/Recipe/Model/Plugin/Profile/Schema统一Resolved Manifest</x:v>
      </x:c>
      <x:c r="D29" s="66" t="str">
        <x:v>ResolvedTaskManifest</x:v>
      </x:c>
      <x:c r="E29" s="66" t="str">
        <x:v>Version/Publish</x:v>
      </x:c>
      <x:c r="F29" s="66" t="str">
        <x:v>Task start pinning</x:v>
      </x:c>
      <x:c r="G29" s="66" t="str">
        <x:v>Active task不漂移</x:v>
      </x:c>
      <x:c r="H29" s="66"/>
      <x:c r="I29" s="66"/>
    </x:row>
    <x:row r="30">
      <x:c r="A30"/>
      <x:c r="B30"/>
      <x:c r="C30"/>
      <x:c r="D30"/>
      <x:c r="E30"/>
      <x:c r="F30"/>
      <x:c r="G30"/>
      <x:c r="H30"/>
      <x:c r="I30"/>
    </x:row>
    <x:row r="31" ht="24" customHeight="1">
      <x:c r="A31" s="40" t="str">
        <x:v>B. Inspection 分层代码蓝图</x:v>
      </x:c>
      <x:c r="B31" s="40"/>
      <x:c r="C31" s="40"/>
      <x:c r="D31" s="40"/>
      <x:c r="E31" s="40"/>
      <x:c r="F31" s="40"/>
      <x:c r="G31" s="40"/>
      <x:c r="H31" s="40"/>
      <x:c r="I31" s="40"/>
    </x:row>
    <x:row r="32" ht="28" customHeight="1">
      <x:c r="A32" s="50" t="str">
        <x:v>层</x:v>
      </x:c>
      <x:c r="B32" s="50" t="str">
        <x:v>建议模块</x:v>
      </x:c>
      <x:c r="C32" s="50" t="str">
        <x:v>核心对象/接口</x:v>
      </x:c>
      <x:c r="D32" s="50" t="str">
        <x:v>职责</x:v>
      </x:c>
      <x:c r="E32" s="50" t="str">
        <x:v>输入</x:v>
      </x:c>
      <x:c r="F32" s="50" t="str">
        <x:v>输出</x:v>
      </x:c>
      <x:c r="G32" s="50" t="str">
        <x:v>UI依赖</x:v>
      </x:c>
      <x:c r="H32" s="50" t="str">
        <x:v>外部依赖</x:v>
      </x:c>
      <x:c r="I32" s="50" t="str">
        <x:v>开发原则</x:v>
      </x:c>
    </x:row>
    <x:row r="33">
      <x:c r="A33" s="58" t="str">
        <x:v>Designer.Wpf</x:v>
      </x:c>
      <x:c r="B33" s="58" t="str">
        <x:v>CxVisual.Inspection.Designer.Wpf</x:v>
      </x:c>
      <x:c r="C33" s="58" t="str">
        <x:v>InspectionDesignerView/ContextEditor/ResultSchemaEditor/ScenarioRunner/TaskMonitor</x:v>
      </x:c>
      <x:c r="D33" s="58" t="str">
        <x:v>Flow编辑与在线监视</x:v>
      </x:c>
      <x:c r="E33" s="58" t="str">
        <x:v>VM/Metadata</x:v>
      </x:c>
      <x:c r="F33" s="58" t="str">
        <x:v>Commands/User intents</x:v>
      </x:c>
      <x:c r="G33" s="58" t="str">
        <x:v>WPF</x:v>
      </x:c>
      <x:c r="H33" s="58" t="str">
        <x:v>无</x:v>
      </x:c>
      <x:c r="I33" s="58" t="str">
        <x:v>不直接调Motion/Vision/MES</x:v>
      </x:c>
    </x:row>
    <x:row r="34">
      <x:c r="A34" s="66" t="str">
        <x:v>Application</x:v>
      </x:c>
      <x:c r="B34" s="66" t="str">
        <x:v>CxVisual.Inspection.Application</x:v>
      </x:c>
      <x:c r="C34" s="66" t="str">
        <x:v>InspectionAuthoringService/MappingService/ScenarioService/ChangeSetService</x:v>
      </x:c>
      <x:c r="D34" s="66" t="str">
        <x:v>编辑用例/引用/版本/测试场景编排</x:v>
      </x:c>
      <x:c r="E34" s="66" t="str">
        <x:v>Definitions/Services</x:v>
      </x:c>
      <x:c r="F34" s="66" t="str">
        <x:v>Commands/Plans</x:v>
      </x:c>
      <x:c r="G34" s="66" t="str">
        <x:v>无</x:v>
      </x:c>
      <x:c r="H34" s="66" t="str">
        <x:v>无</x:v>
      </x:c>
      <x:c r="I34" s="66" t="str">
        <x:v>可单测</x:v>
      </x:c>
    </x:row>
    <x:row r="35">
      <x:c r="A35" s="58" t="str">
        <x:v>Core</x:v>
      </x:c>
      <x:c r="B35" s="58" t="str">
        <x:v>CxVisual.Inspection.Core</x:v>
      </x:c>
      <x:c r="C35" s="58" t="str">
        <x:v>InspectionFlow/Product/Point/Result/Error/Retry/Review contracts</x:v>
      </x:c>
      <x:c r="D35" s="58" t="str">
        <x:v>持久化业务定义与Context契约</x:v>
      </x:c>
      <x:c r="E35" s="58" t="str">
        <x:v>工程配置</x:v>
      </x:c>
      <x:c r="F35" s="58" t="str">
        <x:v>Definitions</x:v>
      </x:c>
      <x:c r="G35" s="58" t="str">
        <x:v>无</x:v>
      </x:c>
      <x:c r="H35" s="58" t="str">
        <x:v>无</x:v>
      </x:c>
      <x:c r="I35" s="58" t="str">
        <x:v>纯POCO/Schema稳定</x:v>
      </x:c>
    </x:row>
    <x:row r="36">
      <x:c r="A36" s="66" t="str">
        <x:v>Validation</x:v>
      </x:c>
      <x:c r="B36" s="66" t="str">
        <x:v>Inspection.Core/Validation</x:v>
      </x:c>
      <x:c r="C36" s="66" t="str">
        <x:v>InspectionValidator/DependencyRule/IdempotencyRule/RecoveryRule</x:v>
      </x:c>
      <x:c r="D36" s="66" t="str">
        <x:v>依赖/外部副作用/恢复/结果映射校验</x:v>
      </x:c>
      <x:c r="E36" s="66" t="str">
        <x:v>Definition+Project</x:v>
      </x:c>
      <x:c r="F36" s="66" t="str">
        <x:v>ValidationReport</x:v>
      </x:c>
      <x:c r="G36" s="66" t="str">
        <x:v>无</x:v>
      </x:c>
      <x:c r="H36" s="66" t="str">
        <x:v>无</x:v>
      </x:c>
      <x:c r="I36" s="66" t="str">
        <x:v>发布前发现危险流程</x:v>
      </x:c>
    </x:row>
    <x:row r="37">
      <x:c r="A37" s="58" t="str">
        <x:v>Compiler</x:v>
      </x:c>
      <x:c r="B37" s="58" t="str">
        <x:v>CxVisual.Inspection.Runtime</x:v>
      </x:c>
      <x:c r="C37" s="58" t="str">
        <x:v>InspectionCompiler/WorkflowPlanBuilder</x:v>
      </x:c>
      <x:c r="D37" s="58" t="str">
        <x:v>解析SubFlow/DomainInvocation/Resource/Checkpoint/ErrorPolicy</x:v>
      </x:c>
      <x:c r="E37" s="58" t="str">
        <x:v>Resolved Flow</x:v>
      </x:c>
      <x:c r="F37" s="58" t="str">
        <x:v>InspectionExecutionPlan</x:v>
      </x:c>
      <x:c r="G37" s="58" t="str">
        <x:v>无</x:v>
      </x:c>
      <x:c r="H37" s="58" t="str">
        <x:v>无</x:v>
      </x:c>
      <x:c r="I37" s="58" t="str">
        <x:v>Plan不可变/版本固定</x:v>
      </x:c>
    </x:row>
    <x:row r="38">
      <x:c r="A38" s="66" t="str">
        <x:v>Scheduler</x:v>
      </x:c>
      <x:c r="B38" s="66" t="str">
        <x:v>CxVisual.Inspection.Runtime</x:v>
      </x:c>
      <x:c r="C38" s="66" t="str">
        <x:v>InspectionTaskScheduler/StationScheduler</x:v>
      </x:c>
      <x:c r="D38" s="66" t="str">
        <x:v>多Task并发、入口、工位/资源/优先级、恢复任务</x:v>
      </x:c>
      <x:c r="E38" s="66" t="str">
        <x:v>Task requests/Plan</x:v>
      </x:c>
      <x:c r="F38" s="66" t="str">
        <x:v>TaskSession</x:v>
      </x:c>
      <x:c r="G38" s="66" t="str">
        <x:v>无</x:v>
      </x:c>
      <x:c r="H38" s="66" t="str">
        <x:v>无</x:v>
      </x:c>
      <x:c r="I38" s="66" t="str">
        <x:v>并发与设备资源分离</x:v>
      </x:c>
    </x:row>
    <x:row r="39">
      <x:c r="A39" s="58" t="str">
        <x:v>Runtime</x:v>
      </x:c>
      <x:c r="B39" s="58" t="str">
        <x:v>CxVisual.Inspection.Runtime</x:v>
      </x:c>
      <x:c r="C39" s="58" t="str">
        <x:v>InspectionRuntimeSession/WorkflowNodeRunner/ContextStore</x:v>
      </x:c>
      <x:c r="D39" s="58" t="str">
        <x:v>控制流、等待、Retry/Review/Checkpoint/取消</x:v>
      </x:c>
      <x:c r="E39" s="58" t="str">
        <x:v>Plan+TaskContext</x:v>
      </x:c>
      <x:c r="F39" s="58" t="str">
        <x:v>Result/Task events</x:v>
      </x:c>
      <x:c r="G39" s="58" t="str">
        <x:v>无</x:v>
      </x:c>
      <x:c r="H39" s="58" t="str">
        <x:v>通过Facade</x:v>
      </x:c>
      <x:c r="I39" s="58" t="str">
        <x:v>Durable Workflow</x:v>
      </x:c>
    </x:row>
    <x:row r="40">
      <x:c r="A40" s="66" t="str">
        <x:v>Persistence</x:v>
      </x:c>
      <x:c r="B40" s="66" t="str">
        <x:v>Inspection.Persistence</x:v>
      </x:c>
      <x:c r="C40" s="66" t="str">
        <x:v>ICheckpointStore/ITaskStore/IEventLog/IResultStore</x:v>
      </x:c>
      <x:c r="D40" s="66" t="str">
        <x:v>Task/Checkpoint/Event/Result持久化</x:v>
      </x:c>
      <x:c r="E40" s="66" t="str">
        <x:v>Task events/context</x:v>
      </x:c>
      <x:c r="F40" s="66" t="str">
        <x:v>Durable records</x:v>
      </x:c>
      <x:c r="G40" s="66" t="str">
        <x:v>无</x:v>
      </x:c>
      <x:c r="H40" s="66" t="str">
        <x:v>DB/File</x:v>
      </x:c>
      <x:c r="I40" s="66" t="str">
        <x:v>不把运行数据写Project</x:v>
      </x:c>
    </x:row>
    <x:row r="41">
      <x:c r="A41" s="58" t="str">
        <x:v>Invocation</x:v>
      </x:c>
      <x:c r="B41" s="58" t="str">
        <x:v>Inspection.Runtime/Integration</x:v>
      </x:c>
      <x:c r="C41" s="58" t="str">
        <x:v>IDomainInvocationService/IMesGateway/IReviewGateway</x:v>
      </x:c>
      <x:c r="D41" s="58" t="str">
        <x:v>调用Motion/Vision/SCADA/MES/Review</x:v>
      </x:c>
      <x:c r="E41" s="58" t="str">
        <x:v>Typed request+version</x:v>
      </x:c>
      <x:c r="F41" s="58" t="str">
        <x:v>Typed result</x:v>
      </x:c>
      <x:c r="G41" s="58" t="str">
        <x:v>无</x:v>
      </x:c>
      <x:c r="H41" s="58" t="str">
        <x:v>外部服务</x:v>
      </x:c>
      <x:c r="I41" s="58" t="str">
        <x:v>域间只见公开Contract</x:v>
      </x:c>
    </x:row>
    <x:row r="42">
      <x:c r="A42" s="66" t="str">
        <x:v>Debug</x:v>
      </x:c>
      <x:c r="B42" s="66" t="str">
        <x:v>Inspection.Debug</x:v>
      </x:c>
      <x:c r="C42" s="66" t="str">
        <x:v>InspectionDebugAdapter/ContextSnapshotService/RecoveryInspector</x:v>
      </x:c>
      <x:c r="D42" s="66" t="str">
        <x:v>断点/Step/Task attach/受控操作/恢复演练</x:v>
      </x:c>
      <x:c r="E42" s="66" t="str">
        <x:v>Debug commands</x:v>
      </x:c>
      <x:c r="F42" s="66" t="str">
        <x:v>Snapshots/Trace</x:v>
      </x:c>
      <x:c r="G42" s="66" t="str">
        <x:v>无</x:v>
      </x:c>
      <x:c r="H42" s="66" t="str">
        <x:v>Runtime public API</x:v>
      </x:c>
      <x:c r="I42" s="66" t="str">
        <x:v>接21页统一Debug Agent</x:v>
      </x:c>
    </x:row>
    <x:row r="43">
      <x:c r="A43" s="58" t="str">
        <x:v>Tests</x:v>
      </x:c>
      <x:c r="B43" s="58" t="str">
        <x:v>Inspection.Tests</x:v>
      </x:c>
      <x:c r="C43" s="58" t="str">
        <x:v>Scenario/Fault/Recovery/Idempotency/E2E tests</x:v>
      </x:c>
      <x:c r="D43" s="58" t="str">
        <x:v>业务与恢复证明</x:v>
      </x:c>
      <x:c r="E43" s="58" t="str">
        <x:v>Scenarios</x:v>
      </x:c>
      <x:c r="F43" s="58" t="str">
        <x:v>Reports</x:v>
      </x:c>
      <x:c r="G43" s="58" t="str">
        <x:v>无</x:v>
      </x:c>
      <x:c r="H43" s="58" t="str">
        <x:v>Fakes</x:v>
      </x:c>
      <x:c r="I43" s="58" t="str">
        <x:v>任何外部副作用节点必须测重复恢复</x:v>
      </x:c>
    </x:row>
    <x:row r="44">
      <x:c r="A44"/>
      <x:c r="B44"/>
      <x:c r="C44"/>
      <x:c r="D44"/>
      <x:c r="E44"/>
      <x:c r="F44"/>
      <x:c r="G44"/>
      <x:c r="H44"/>
      <x:c r="I44"/>
    </x:row>
    <x:row r="45" ht="24" customHeight="1">
      <x:c r="A45" s="40" t="str">
        <x:v>C. Workflow 节点完整分类</x:v>
      </x:c>
      <x:c r="B45" s="40"/>
      <x:c r="C45" s="40"/>
      <x:c r="D45" s="40"/>
      <x:c r="E45" s="40"/>
      <x:c r="F45" s="40"/>
      <x:c r="G45" s="40"/>
      <x:c r="H45" s="40"/>
      <x:c r="I45" s="40"/>
    </x:row>
    <x:row r="46" ht="28" customHeight="1">
      <x:c r="A46" s="50" t="str">
        <x:v>类别</x:v>
      </x:c>
      <x:c r="B46" s="50" t="str">
        <x:v>节点/能力</x:v>
      </x:c>
      <x:c r="C46" s="50" t="str">
        <x:v>调用域</x:v>
      </x:c>
      <x:c r="D46" s="50" t="str">
        <x:v>输入</x:v>
      </x:c>
      <x:c r="E46" s="50" t="str">
        <x:v>输出</x:v>
      </x:c>
      <x:c r="F46" s="50" t="str">
        <x:v>可靠性策略</x:v>
      </x:c>
      <x:c r="G46" s="50" t="str">
        <x:v>Debug</x:v>
      </x:c>
      <x:c r="H46" s="50" t="str">
        <x:v>测试重点</x:v>
      </x:c>
      <x:c r="I46" s="50" t="str">
        <x:v>备注</x:v>
      </x:c>
    </x:row>
    <x:row r="47">
      <x:c r="A47" s="66" t="str">
        <x:v>任务</x:v>
      </x:c>
      <x:c r="B47" s="66" t="str">
        <x:v>Start/End/ValidateProduct/SetContext/Assert</x:v>
      </x:c>
      <x:c r="C47" s="66" t="str">
        <x:v>Inspection</x:v>
      </x:c>
      <x:c r="D47" s="66" t="str">
        <x:v>Task/Product</x:v>
      </x:c>
      <x:c r="E47" s="66" t="str">
        <x:v>Context/Status</x:v>
      </x:c>
      <x:c r="F47" s="66" t="str">
        <x:v>基础</x:v>
      </x:c>
      <x:c r="G47" s="66" t="str">
        <x:v>Context查看</x:v>
      </x:c>
      <x:c r="H47" s="66" t="str">
        <x:v>schema/condition</x:v>
      </x:c>
      <x:c r="I47" s="66"/>
    </x:row>
    <x:row r="48">
      <x:c r="A48" s="58" t="str">
        <x:v>产品</x:v>
      </x:c>
      <x:c r="B48" s="58" t="str">
        <x:v>ScanCode/LoadOrder/SelectModel/LoadRecipe</x:v>
      </x:c>
      <x:c r="C48" s="58" t="str">
        <x:v>SCADA/MES/Recipe</x:v>
      </x:c>
      <x:c r="D48" s="58" t="str">
        <x:v>Input/Task</x:v>
      </x:c>
      <x:c r="E48" s="58" t="str">
        <x:v>ProductContext</x:v>
      </x:c>
      <x:c r="F48" s="58" t="str">
        <x:v>Retry/Manual</x:v>
      </x:c>
      <x:c r="G48" s="58" t="str">
        <x:v>模拟MES/扫码</x:v>
      </x:c>
      <x:c r="H48" s="58" t="str">
        <x:v>offline/default</x:v>
      </x:c>
      <x:c r="I48" s="58"/>
    </x:row>
    <x:row r="49">
      <x:c r="A49" s="66" t="str">
        <x:v>工位/点位</x:v>
      </x:c>
      <x:c r="B49" s="66" t="str">
        <x:v>EnterStation/LeaveStation/ForEachPoint/SelectPoint</x:v>
      </x:c>
      <x:c r="C49" s="66" t="str">
        <x:v>Inspection/Resource</x:v>
      </x:c>
      <x:c r="D49" s="66" t="str">
        <x:v>Context</x:v>
      </x:c>
      <x:c r="E49" s="66" t="str">
        <x:v>PointContext</x:v>
      </x:c>
      <x:c r="F49" s="66" t="str">
        <x:v>Checkpoint候选</x:v>
      </x:c>
      <x:c r="G49" s="66" t="str">
        <x:v>当前Point</x:v>
      </x:c>
      <x:c r="H49" s="66" t="str">
        <x:v>loop/recovery</x:v>
      </x:c>
      <x:c r="I49" s="66"/>
    </x:row>
    <x:row r="50">
      <x:c r="A50" s="58" t="str">
        <x:v>运控</x:v>
      </x:c>
      <x:c r="B50" s="58" t="str">
        <x:v>RunMotion/Home/MoveToPoint/PrepareFixture</x:v>
      </x:c>
      <x:c r="C50" s="58" t="str">
        <x:v>Motion</x:v>
      </x:c>
      <x:c r="D50" s="58" t="str">
        <x:v>Typed params/refs</x:v>
      </x:c>
      <x:c r="E50" s="58" t="str">
        <x:v>MotionResult</x:v>
      </x:c>
      <x:c r="F50" s="58" t="str">
        <x:v>Timeout/Retry/Compensation</x:v>
      </x:c>
      <x:c r="G50" s="58" t="str">
        <x:v>Step Into Motion</x:v>
      </x:c>
      <x:c r="H50" s="58" t="str">
        <x:v>resource/interlock</x:v>
      </x:c>
      <x:c r="I50" s="58" t="str">
        <x:v>只引用Program</x:v>
      </x:c>
    </x:row>
    <x:row r="51">
      <x:c r="A51" s="66" t="str">
        <x:v>采集</x:v>
      </x:c>
      <x:c r="B51" s="66" t="str">
        <x:v>AcquireImage/AcquireSeries/AcquireCT</x:v>
      </x:c>
      <x:c r="C51" s="66" t="str">
        <x:v>Camera/XRay/Detector</x:v>
      </x:c>
      <x:c r="D51" s="66" t="str">
        <x:v>Device refs/context</x:v>
      </x:c>
      <x:c r="E51" s="66" t="str">
        <x:v>Image/Volume refs</x:v>
      </x:c>
      <x:c r="F51" s="66" t="str">
        <x:v>Retry/Quality policy</x:v>
      </x:c>
      <x:c r="G51" s="66" t="str">
        <x:v>Frame查看</x:v>
      </x:c>
      <x:c r="H51" s="66" t="str">
        <x:v>timeout/quality</x:v>
      </x:c>
      <x:c r="I51" s="66"/>
    </x:row>
    <x:row r="52">
      <x:c r="A52" s="58" t="str">
        <x:v>视觉</x:v>
      </x:c>
      <x:c r="B52" s="58" t="str">
        <x:v>RunVisionPipeline/RunMultiplePipelines</x:v>
      </x:c>
      <x:c r="C52" s="58" t="str">
        <x:v>Vision</x:v>
      </x:c>
      <x:c r="D52" s="58" t="str">
        <x:v>Typed data/context</x:v>
      </x:c>
      <x:c r="E52" s="58" t="str">
        <x:v>VisionResult</x:v>
      </x:c>
      <x:c r="F52" s="58" t="str">
        <x:v>Retry/Fallback</x:v>
      </x:c>
      <x:c r="G52" s="58" t="str">
        <x:v>Step Into Vision/Data Viewer</x:v>
      </x:c>
      <x:c r="H52" s="58" t="str">
        <x:v>version/result</x:v>
      </x:c>
      <x:c r="I52" s="58"/>
    </x:row>
    <x:row r="53">
      <x:c r="A53" s="66" t="str">
        <x:v>结果</x:v>
      </x:c>
      <x:c r="B53" s="66" t="str">
        <x:v>MergeResults/Judge/ComputeKPI/BuildDefectList</x:v>
      </x:c>
      <x:c r="C53" s="66" t="str">
        <x:v>Inspection/Rule service</x:v>
      </x:c>
      <x:c r="D53" s="66" t="str">
        <x:v>Point/Vision results</x:v>
      </x:c>
      <x:c r="E53" s="66" t="str">
        <x:v>ResultContext/Judgement</x:v>
      </x:c>
      <x:c r="F53" s="66" t="str">
        <x:v>deterministic</x:v>
      </x:c>
      <x:c r="G53" s="66" t="str">
        <x:v>Context/Result diff</x:v>
      </x:c>
      <x:c r="H53" s="66" t="str">
        <x:v>golden rules</x:v>
      </x:c>
      <x:c r="I53" s="66"/>
    </x:row>
    <x:row r="54">
      <x:c r="A54" s="58" t="str">
        <x:v>质量</x:v>
      </x:c>
      <x:c r="B54" s="58" t="str">
        <x:v>Retest/ManualReview/Sample/Bypass(受控)/Hold</x:v>
      </x:c>
      <x:c r="C54" s="58" t="str">
        <x:v>Inspection/Security</x:v>
      </x:c>
      <x:c r="D54" s="58" t="str">
        <x:v>Judgement/Policy</x:v>
      </x:c>
      <x:c r="E54" s="58" t="str">
        <x:v>Route/Decision</x:v>
      </x:c>
      <x:c r="F54" s="58" t="str">
        <x:v>次数/权限/Audit</x:v>
      </x:c>
      <x:c r="G54" s="58" t="str">
        <x:v>受控操作</x:v>
      </x:c>
      <x:c r="H54" s="58" t="str">
        <x:v>branch/audit</x:v>
      </x:c>
      <x:c r="I54" s="58"/>
    </x:row>
    <x:row r="55">
      <x:c r="A55" s="66" t="str">
        <x:v>集成</x:v>
      </x:c>
      <x:c r="B55" s="66" t="str">
        <x:v>MESQuery/MESReport/SaveArtifact/Notify/DatabaseAction</x:v>
      </x:c>
      <x:c r="C55" s="66" t="str">
        <x:v>Integration</x:v>
      </x:c>
      <x:c r="D55" s="66" t="str">
        <x:v>Context/Result</x:v>
      </x:c>
      <x:c r="E55" s="66" t="str">
        <x:v>Ack/ExternalData</x:v>
      </x:c>
      <x:c r="F55" s="66" t="str">
        <x:v>Idempotency/StoreForward</x:v>
      </x:c>
      <x:c r="G55" s="66" t="str">
        <x:v>队列状态</x:v>
      </x:c>
      <x:c r="H55" s="66" t="str">
        <x:v>disconnect/retry</x:v>
      </x:c>
      <x:c r="I55" s="66" t="str">
        <x:v>外部副作用</x:v>
      </x:c>
    </x:row>
    <x:row r="56">
      <x:c r="A56" s="58" t="str">
        <x:v>控制</x:v>
      </x:c>
      <x:c r="B56" s="58" t="str">
        <x:v>Sequence/Parallel/Join/Switch/Loop/Retry/Timeout/WaitUntil/SubFlow</x:v>
      </x:c>
      <x:c r="C56" s="58" t="str">
        <x:v>Workflow</x:v>
      </x:c>
      <x:c r="D56" s="58" t="str">
        <x:v>Control/Data</x:v>
      </x:c>
      <x:c r="E56" s="58" t="str">
        <x:v>Control</x:v>
      </x:c>
      <x:c r="F56" s="58" t="str">
        <x:v>Checkpoint/Cancel</x:v>
      </x:c>
      <x:c r="G56" s="58" t="str">
        <x:v>breakpoint/stack</x:v>
      </x:c>
      <x:c r="H56" s="58" t="str">
        <x:v>branch/concurrency</x:v>
      </x:c>
      <x:c r="I56" s="58"/>
    </x:row>
    <x:row r="57">
      <x:c r="A57" s="66" t="str">
        <x:v>恢复</x:v>
      </x:c>
      <x:c r="B57" s="66" t="str">
        <x:v>Checkpoint/Compensate/Recover/ResumeGate</x:v>
      </x:c>
      <x:c r="C57" s="66" t="str">
        <x:v>Inspection</x:v>
      </x:c>
      <x:c r="D57" s="66" t="str">
        <x:v>Context/Error</x:v>
      </x:c>
      <x:c r="E57" s="66" t="str">
        <x:v>RecoveryResult</x:v>
      </x:c>
      <x:c r="F57" s="66" t="str">
        <x:v>Atomic/Version pin</x:v>
      </x:c>
      <x:c r="G57" s="66" t="str">
        <x:v>Recovery inspector</x:v>
      </x:c>
      <x:c r="H57" s="66" t="str">
        <x:v>kill/restart</x:v>
      </x:c>
      <x:c r="I57" s="66" t="str">
        <x:v>一般由策略隐式插入也可显式</x:v>
      </x:c>
    </x:row>
    <x:row r="58">
      <x:c r="A58"/>
      <x:c r="B58"/>
      <x:c r="C58"/>
      <x:c r="D58"/>
      <x:c r="E58"/>
      <x:c r="F58"/>
      <x:c r="G58"/>
      <x:c r="H58"/>
      <x:c r="I58"/>
    </x:row>
    <x:row r="59" ht="24" customHeight="1">
      <x:c r="A59" s="40" t="str">
        <x:v>D. 多Task / 工位 / 并发模型</x:v>
      </x:c>
      <x:c r="B59" s="40"/>
      <x:c r="C59" s="40"/>
      <x:c r="D59" s="40"/>
      <x:c r="E59" s="40"/>
      <x:c r="F59" s="40"/>
      <x:c r="G59" s="40"/>
      <x:c r="H59" s="40"/>
      <x:c r="I59" s="40"/>
    </x:row>
    <x:row r="60" ht="28" customHeight="1">
      <x:c r="A60" s="50" t="str">
        <x:v>主题</x:v>
      </x:c>
      <x:c r="B60" s="50" t="str">
        <x:v>正式规则</x:v>
      </x:c>
      <x:c r="C60" s="50" t="str">
        <x:v>核心对象</x:v>
      </x:c>
      <x:c r="D60" s="50" t="str">
        <x:v>调度策略</x:v>
      </x:c>
      <x:c r="E60" s="50" t="str">
        <x:v>资源关系</x:v>
      </x:c>
      <x:c r="F60" s="50" t="str">
        <x:v>异常/恢复</x:v>
      </x:c>
      <x:c r="G60" s="50" t="str">
        <x:v>Debug表现</x:v>
      </x:c>
      <x:c r="H60" s="50" t="str">
        <x:v>测试</x:v>
      </x:c>
      <x:c r="I60" s="50" t="str">
        <x:v>禁止</x:v>
      </x:c>
    </x:row>
    <x:row r="61">
      <x:c r="A61" s="58" t="str">
        <x:v>Task并发</x:v>
      </x:c>
      <x:c r="B61" s="58" t="str">
        <x:v>允许多个Product Task并发，但每个Task有独立Context/Correlation/ResolvedTaskManifest</x:v>
      </x:c>
      <x:c r="C61" s="58" t="str">
        <x:v>InspectionTaskSession</x:v>
      </x:c>
      <x:c r="D61" s="58" t="str">
        <x:v>MaxConcurrency/LinePolicy</x:v>
      </x:c>
      <x:c r="E61" s="58" t="str">
        <x:v>通过ResourceManager竞争设备/工位</x:v>
      </x:c>
      <x:c r="F61" s="58" t="str">
        <x:v>单Task失败不污染其他Task</x:v>
      </x:c>
      <x:c r="G61" s="58" t="str">
        <x:v>Task列表/颜色区分</x:v>
      </x:c>
      <x:c r="H61" s="58" t="str">
        <x:v>parallel tasks</x:v>
      </x:c>
      <x:c r="I61" s="58" t="str">
        <x:v>static全局CurrentProduct</x:v>
      </x:c>
    </x:row>
    <x:row r="62">
      <x:c r="A62" s="66" t="str">
        <x:v>Station占用</x:v>
      </x:c>
      <x:c r="B62" s="66" t="str">
        <x:v>工位可定义Capacity/Exclusive/Queue/Priority</x:v>
      </x:c>
      <x:c r="C62" s="66" t="str">
        <x:v>StationDefinition/StationLease</x:v>
      </x:c>
      <x:c r="D62" s="66" t="str">
        <x:v>Scheduler获取/释放</x:v>
      </x:c>
      <x:c r="E62" s="66" t="str">
        <x:v>可映射Fixture/Camera/Axis组</x:v>
      </x:c>
      <x:c r="F62" s="66" t="str">
        <x:v>异常必须释放或恢复Lease</x:v>
      </x:c>
      <x:c r="G62" s="66" t="str">
        <x:v>Station panel</x:v>
      </x:c>
      <x:c r="H62" s="66" t="str">
        <x:v>contention</x:v>
      </x:c>
      <x:c r="I62" s="66" t="str">
        <x:v>用bool散落锁工位</x:v>
      </x:c>
    </x:row>
    <x:row r="63">
      <x:c r="A63" s="58" t="str">
        <x:v>流水线</x:v>
      </x:c>
      <x:c r="B63" s="58" t="str">
        <x:v>可支持Task在不同Station阶段重叠</x:v>
      </x:c>
      <x:c r="C63" s="58" t="str">
        <x:v>TaskScheduler</x:v>
      </x:c>
      <x:c r="D63" s="58" t="str">
        <x:v>Stage/Station驱动</x:v>
      </x:c>
      <x:c r="E63" s="58" t="str">
        <x:v>资源按阶段申请</x:v>
      </x:c>
      <x:c r="F63" s="58" t="str">
        <x:v>恢复需知道所在Station</x:v>
      </x:c>
      <x:c r="G63" s="58" t="str">
        <x:v>多Task Timeline</x:v>
      </x:c>
      <x:c r="H63" s="58" t="str">
        <x:v>throughput</x:v>
      </x:c>
      <x:c r="I63" s="58" t="str">
        <x:v>一个全局Flow pointer</x:v>
      </x:c>
    </x:row>
    <x:row r="64">
      <x:c r="A64" s="66" t="str">
        <x:v>同产品并行</x:v>
      </x:c>
      <x:c r="B64" s="66" t="str">
        <x:v>Parallel分支必须合并Context写入规则，避免竞态</x:v>
      </x:c>
      <x:c r="C64" s="66" t="str">
        <x:v>ContextScope/MergePolicy</x:v>
      </x:c>
      <x:c r="D64" s="66" t="str">
        <x:v>Fork/Join</x:v>
      </x:c>
      <x:c r="E64" s="66" t="str">
        <x:v>分支资源独立/共享声明</x:v>
      </x:c>
      <x:c r="F64" s="66" t="str">
        <x:v>失败按JoinPolicy</x:v>
      </x:c>
      <x:c r="G64" s="66" t="str">
        <x:v>分支状态</x:v>
      </x:c>
      <x:c r="H64" s="66" t="str">
        <x:v>race tests</x:v>
      </x:c>
      <x:c r="I64" s="66" t="str">
        <x:v>多个分支随意改同字段</x:v>
      </x:c>
    </x:row>
    <x:row r="65">
      <x:c r="A65" s="58" t="str">
        <x:v>默认FIFO；返修/急单可配置Priority但不得破坏安全资源规则</x:v>
      </x:c>
      <x:c r="B65" s="58" t="str">
        <x:v>TaskPriority</x:v>
      </x:c>
      <x:c r="C65" s="58" t="str">
        <x:v>Scheduler</x:v>
      </x:c>
      <x:c r="D65" s="58" t="str">
        <x:v>ResourceManager不因业务优先级破坏互锁</x:v>
      </x:c>
      <x:c r="E65" s="58" t="str">
        <x:v>饥饿诊断</x:v>
      </x:c>
      <x:c r="F65" s="58" t="str">
        <x:v>Task queue</x:v>
      </x:c>
      <x:c r="G65" s="58" t="str">
        <x:v>fairness</x:v>
      </x:c>
      <x:c r="H65" s="58" t="str">
        <x:v>无界抢占</x:v>
      </x:c>
      <x:c r="I65" s="58"/>
    </x:row>
    <x:row r="66">
      <x:c r="A66"/>
      <x:c r="B66"/>
      <x:c r="C66"/>
      <x:c r="D66"/>
      <x:c r="E66"/>
      <x:c r="F66"/>
      <x:c r="G66"/>
      <x:c r="H66"/>
      <x:c r="I66"/>
    </x:row>
    <x:row r="67" ht="24" customHeight="1">
      <x:c r="A67" s="40" t="str">
        <x:v>E. Inspection Task 状态机与持久化</x:v>
      </x:c>
      <x:c r="B67" s="40"/>
      <x:c r="C67" s="40"/>
      <x:c r="D67" s="40"/>
      <x:c r="E67" s="40"/>
      <x:c r="F67" s="40"/>
      <x:c r="G67" s="40"/>
      <x:c r="H67" s="40"/>
      <x:c r="I67" s="40"/>
    </x:row>
    <x:row r="68" ht="28" customHeight="1">
      <x:c r="A68" s="50" t="str">
        <x:v>状态</x:v>
      </x:c>
      <x:c r="B68" s="50" t="str">
        <x:v>含义</x:v>
      </x:c>
      <x:c r="C68" s="50" t="str">
        <x:v>允许行为</x:v>
      </x:c>
      <x:c r="D68" s="50" t="str">
        <x:v>持久化要求</x:v>
      </x:c>
      <x:c r="E68" s="50" t="str">
        <x:v>资源状态</x:v>
      </x:c>
      <x:c r="F68" s="50" t="str">
        <x:v>Debug/运维</x:v>
      </x:c>
      <x:c r="G68" s="50" t="str">
        <x:v>恢复策略</x:v>
      </x:c>
      <x:c r="H68" s="50" t="str">
        <x:v>退出条件</x:v>
      </x:c>
      <x:c r="I68" s="50" t="str">
        <x:v>规则</x:v>
      </x:c>
    </x:row>
    <x:row r="69">
      <x:c r="A69" s="66" t="str">
        <x:v>Created/Resolving</x:v>
      </x:c>
      <x:c r="B69" s="66" t="str">
        <x:v>解析Flow/依赖/Recipe/版本</x:v>
      </x:c>
      <x:c r="C69" s="66" t="str">
        <x:v>Cancel/Inspect</x:v>
      </x:c>
      <x:c r="D69" s="66" t="str">
        <x:v>Task header + Resolved manifest准备</x:v>
      </x:c>
      <x:c r="E69" s="66" t="str">
        <x:v>无</x:v>
      </x:c>
      <x:c r="F69" s="66" t="str">
        <x:v>版本/依赖报告</x:v>
      </x:c>
      <x:c r="G69" s="66" t="str">
        <x:v>失败不启动</x:v>
      </x:c>
      <x:c r="H69" s="66" t="str">
        <x:v>Ready/Faulted</x:v>
      </x:c>
      <x:c r="I69" s="66" t="str">
        <x:v>Task启动即固定依赖</x:v>
      </x:c>
    </x:row>
    <x:row r="70">
      <x:c r="A70" s="58" t="str">
        <x:v>Ready/Queued</x:v>
      </x:c>
      <x:c r="B70" s="58" t="str">
        <x:v>等待调度/工位/触发</x:v>
      </x:c>
      <x:c r="C70" s="58" t="str">
        <x:v>Cancel</x:v>
      </x:c>
      <x:c r="D70" s="58" t="str">
        <x:v>Task状态</x:v>
      </x:c>
      <x:c r="E70" s="58" t="str">
        <x:v>通常无或预留轻资源</x:v>
      </x:c>
      <x:c r="F70" s="58" t="str">
        <x:v>队列查看</x:v>
      </x:c>
      <x:c r="G70" s="58" t="str">
        <x:v>重启后可恢复Queued</x:v>
      </x:c>
      <x:c r="H70" s="58" t="str">
        <x:v>Running</x:v>
      </x:c>
      <x:c r="I70" s="58"/>
    </x:row>
    <x:row r="71">
      <x:c r="A71" s="66" t="str">
        <x:v>Running</x:v>
      </x:c>
      <x:c r="B71" s="66" t="str">
        <x:v>执行节点</x:v>
      </x:c>
      <x:c r="C71" s="66" t="str">
        <x:v>Pause request/Inspect/Cancel</x:v>
      </x:c>
      <x:c r="D71" s="66" t="str">
        <x:v>事件日志+按策略Checkpoint</x:v>
      </x:c>
      <x:c r="E71" s="66" t="str">
        <x:v>动态Lease</x:v>
      </x:c>
      <x:c r="F71" s="66" t="str">
        <x:v>当前节点/Context</x:v>
      </x:c>
      <x:c r="G71" s="66" t="str">
        <x:v>从最近安全Checkpoint恢复</x:v>
      </x:c>
      <x:c r="H71" s="66" t="str">
        <x:v>Waiting/Completed/Faulted</x:v>
      </x:c>
      <x:c r="I71" s="66"/>
    </x:row>
    <x:row r="72">
      <x:c r="A72" s="58" t="str">
        <x:v>WaitingResource</x:v>
      </x:c>
      <x:c r="B72" s="58" t="str">
        <x:v>等待工位/设备/GPU</x:v>
      </x:c>
      <x:c r="C72" s="58" t="str">
        <x:v>Cancel/Inspect</x:v>
      </x:c>
      <x:c r="D72" s="58" t="str">
        <x:v>原因/队列信息可事件化</x:v>
      </x:c>
      <x:c r="E72" s="58" t="str">
        <x:v>未获资源</x:v>
      </x:c>
      <x:c r="F72" s="58" t="str">
        <x:v>Wait graph</x:v>
      </x:c>
      <x:c r="G72" s="58" t="str">
        <x:v>重启后重新竞争</x:v>
      </x:c>
      <x:c r="H72" s="58" t="str">
        <x:v>Running/Timeout</x:v>
      </x:c>
      <x:c r="I72" s="58"/>
    </x:row>
    <x:row r="73">
      <x:c r="A73" s="66" t="str">
        <x:v>WaitingExternal</x:v>
      </x:c>
      <x:c r="B73" s="66" t="str">
        <x:v>MES/设备/时间/Trigger等待</x:v>
      </x:c>
      <x:c r="C73" s="66" t="str">
        <x:v>Cancel/Inspect</x:v>
      </x:c>
      <x:c r="D73" s="66" t="str">
        <x:v>等待描述+幂等Key</x:v>
      </x:c>
      <x:c r="E73" s="66" t="str">
        <x:v>视情况持有/释放</x:v>
      </x:c>
      <x:c r="F73" s="66" t="str">
        <x:v>外部状态</x:v>
      </x:c>
      <x:c r="G73" s="66" t="str">
        <x:v>恢复时Reconcile</x:v>
      </x:c>
      <x:c r="H73" s="66" t="str">
        <x:v>Running/Timeout</x:v>
      </x:c>
      <x:c r="I73" s="66" t="str">
        <x:v>不能简单重发外部副作用</x:v>
      </x:c>
    </x:row>
    <x:row r="74">
      <x:c r="A74" s="58" t="str">
        <x:v>WaitingReview</x:v>
      </x:c>
      <x:c r="B74" s="58" t="str">
        <x:v>人工复判/确认</x:v>
      </x:c>
      <x:c r="C74" s="58" t="str">
        <x:v>Review/Cancel/Inspect</x:v>
      </x:c>
      <x:c r="D74" s="58" t="str">
        <x:v>ReviewTask+Checkpoint</x:v>
      </x:c>
      <x:c r="E74" s="58" t="str">
        <x:v>通常释放非必要资源</x:v>
      </x:c>
      <x:c r="F74" s="58" t="str">
        <x:v>Review UI</x:v>
      </x:c>
      <x:c r="G74" s="58" t="str">
        <x:v>重启后继续等待</x:v>
      </x:c>
      <x:c r="H74" s="58" t="str">
        <x:v>Running/Completed</x:v>
      </x:c>
      <x:c r="I74" s="58"/>
    </x:row>
    <x:row r="75">
      <x:c r="A75" s="66" t="str">
        <x:v>PauseRequested/PausedAtBoundary</x:v>
      </x:c>
      <x:c r="B75" s="66" t="str">
        <x:v>在工作流边界暂停</x:v>
      </x:c>
      <x:c r="C75" s="66" t="str">
        <x:v>Step/Continue/Inspect</x:v>
      </x:c>
      <x:c r="D75" s="66" t="str">
        <x:v>当前Context/可Checkpoint</x:v>
      </x:c>
      <x:c r="E75" s="66" t="str">
        <x:v>按Policy释放/保留</x:v>
      </x:c>
      <x:c r="F75" s="66" t="str">
        <x:v>Debug</x:v>
      </x:c>
      <x:c r="G75" s="66" t="str">
        <x:v>恢复原Session或Checkpoint</x:v>
      </x:c>
      <x:c r="H75" s="66" t="str">
        <x:v>Running</x:v>
      </x:c>
      <x:c r="I75" s="66"/>
    </x:row>
    <x:row r="76">
      <x:c r="A76" s="58" t="str">
        <x:v>Recovering</x:v>
      </x:c>
      <x:c r="B76" s="58" t="str">
        <x:v>从Checkpoint/外部状态重新对账</x:v>
      </x:c>
      <x:c r="C76" s="58" t="str">
        <x:v>Inspect/Abort</x:v>
      </x:c>
      <x:c r="D76" s="58" t="str">
        <x:v>Recovery log</x:v>
      </x:c>
      <x:c r="E76" s="58" t="str">
        <x:v>重新获取资源</x:v>
      </x:c>
      <x:c r="F76" s="58" t="str">
        <x:v>Recovery inspector</x:v>
      </x:c>
      <x:c r="G76" s="58" t="str">
        <x:v>成功后Running/等待</x:v>
      </x:c>
      <x:c r="H76" s="58" t="str">
        <x:v>Running/Faulted</x:v>
      </x:c>
      <x:c r="I76" s="58"/>
    </x:row>
    <x:row r="77">
      <x:c r="A77" s="66" t="str">
        <x:v>Completed</x:v>
      </x:c>
      <x:c r="B77" s="66" t="str">
        <x:v>结果已最终确定</x:v>
      </x:c>
      <x:c r="C77" s="66" t="str">
        <x:v>Inspect/Archive</x:v>
      </x:c>
      <x:c r="D77" s="66" t="str">
        <x:v>Result+Task final+events</x:v>
      </x:c>
      <x:c r="E77" s="66" t="str">
        <x:v>全部释放</x:v>
      </x:c>
      <x:c r="F77" s="66" t="str">
        <x:v>Result view</x:v>
      </x:c>
      <x:c r="G77" s="66" t="str">
        <x:v>无需恢复</x:v>
      </x:c>
      <x:c r="H77" s="66" t="str">
        <x:v>Archived</x:v>
      </x:c>
      <x:c r="I77" s="66" t="str">
        <x:v>MES上报可能需独立StoreForward</x:v>
      </x:c>
    </x:row>
    <x:row r="78">
      <x:c r="A78" s="58" t="str">
        <x:v>Faulted/Cancelled</x:v>
      </x:c>
      <x:c r="B78" s="58" t="str">
        <x:v>异常终止/取消</x:v>
      </x:c>
      <x:c r="C78" s="58" t="str">
        <x:v>Inspect/Retry task(新Attempt)/Compensate</x:v>
      </x:c>
      <x:c r="D78" s="58" t="str">
        <x:v>Final state/error/events</x:v>
      </x:c>
      <x:c r="E78" s="58" t="str">
        <x:v>释放/安全停止</x:v>
      </x:c>
      <x:c r="F78" s="58" t="str">
        <x:v>Fault timeline</x:v>
      </x:c>
      <x:c r="G78" s="58" t="str">
        <x:v>人工决定Resume新Task/Close</x:v>
      </x:c>
      <x:c r="H78" s="58" t="str">
        <x:v>Closed</x:v>
      </x:c>
      <x:c r="I78" s="58" t="str">
        <x:v>不能静默丢Task</x:v>
      </x:c>
    </x:row>
    <x:row r="79">
      <x:c r="A79"/>
      <x:c r="B79"/>
      <x:c r="C79"/>
      <x:c r="D79"/>
      <x:c r="E79"/>
      <x:c r="F79"/>
      <x:c r="G79"/>
      <x:c r="H79"/>
      <x:c r="I79"/>
    </x:row>
    <x:row r="80" ht="24" customHeight="1">
      <x:c r="A80" s="40" t="str">
        <x:v>F. Checkpoint / Event / Result 存储策略</x:v>
      </x:c>
      <x:c r="B80" s="40"/>
      <x:c r="C80" s="40"/>
      <x:c r="D80" s="40"/>
      <x:c r="E80" s="40"/>
      <x:c r="F80" s="40"/>
      <x:c r="G80" s="40"/>
      <x:c r="H80" s="40"/>
      <x:c r="I80" s="40"/>
    </x:row>
    <x:row r="81" ht="28" customHeight="1">
      <x:c r="A81" s="50" t="str">
        <x:v>数据</x:v>
      </x:c>
      <x:c r="B81" s="50" t="str">
        <x:v>用途</x:v>
      </x:c>
      <x:c r="C81" s="50" t="str">
        <x:v>写入时机</x:v>
      </x:c>
      <x:c r="D81" s="50" t="str">
        <x:v>一致性</x:v>
      </x:c>
      <x:c r="E81" s="50" t="str">
        <x:v>Retention</x:v>
      </x:c>
      <x:c r="F81" s="50" t="str">
        <x:v>版本</x:v>
      </x:c>
      <x:c r="G81" s="50" t="str">
        <x:v>恢复使用</x:v>
      </x:c>
      <x:c r="H81" s="50" t="str">
        <x:v>测试</x:v>
      </x:c>
      <x:c r="I81" s="50" t="str">
        <x:v>规则</x:v>
      </x:c>
    </x:row>
    <x:row r="82">
      <x:c r="A82" s="66" t="str">
        <x:v>TaskHeader</x:v>
      </x:c>
      <x:c r="B82" s="66" t="str">
        <x:v>Task身份/依赖/状态</x:v>
      </x:c>
      <x:c r="C82" s="66" t="str">
        <x:v>创建/状态变化</x:v>
      </x:c>
      <x:c r="D82" s="66" t="str">
        <x:v>原子</x:v>
      </x:c>
      <x:c r="E82" s="66" t="str">
        <x:v>长期</x:v>
      </x:c>
      <x:c r="F82" s="66" t="str">
        <x:v>schema version</x:v>
      </x:c>
      <x:c r="G82" s="66" t="str">
        <x:v>任务发现</x:v>
      </x:c>
      <x:c r="H82" s="66" t="str">
        <x:v>crash</x:v>
      </x:c>
      <x:c r="I82" s="66" t="str">
        <x:v>稳定TaskId</x:v>
      </x:c>
    </x:row>
    <x:row r="83">
      <x:c r="A83" s="58" t="str">
        <x:v>TaskEvent</x:v>
      </x:c>
      <x:c r="B83" s="58" t="str">
        <x:v>append-only执行/外部/人工事件</x:v>
      </x:c>
      <x:c r="C83" s="58" t="str">
        <x:v>关键事件</x:v>
      </x:c>
      <x:c r="D83" s="58" t="str">
        <x:v>追加不改</x:v>
      </x:c>
      <x:c r="E83" s="58" t="str">
        <x:v>按质量追溯</x:v>
      </x:c>
      <x:c r="F83" s="58" t="str">
        <x:v>event version</x:v>
      </x:c>
      <x:c r="G83" s="58" t="str">
        <x:v>诊断/Replay/Recovery辅助</x:v>
      </x:c>
      <x:c r="H83" s="58" t="str">
        <x:v>event order</x:v>
      </x:c>
      <x:c r="I83" s="58" t="str">
        <x:v>不是完整Event Sourcing初期可不由事件重建全部状态</x:v>
      </x:c>
    </x:row>
    <x:row r="84">
      <x:c r="A84" s="66" t="str">
        <x:v>Checkpoint</x:v>
      </x:c>
      <x:c r="B84" s="66" t="str">
        <x:v>最小可恢复Context+Node boundary</x:v>
      </x:c>
      <x:c r="C84" s="66" t="str">
        <x:v>策略点/高风险副作用前后</x:v>
      </x:c>
      <x:c r="D84" s="66" t="str">
        <x:v>原子写+校验</x:v>
      </x:c>
      <x:c r="E84" s="66" t="str">
        <x:v>任务完成后按策略</x:v>
      </x:c>
      <x:c r="F84" s="66" t="str">
        <x:v>flow/schema versions</x:v>
      </x:c>
      <x:c r="G84" s="66" t="str">
        <x:v>主要恢复入口</x:v>
      </x:c>
      <x:c r="H84" s="66" t="str">
        <x:v>kill/restart</x:v>
      </x:c>
      <x:c r="I84" s="66" t="str">
        <x:v>不要每节点保存大图</x:v>
      </x:c>
    </x:row>
    <x:row r="85">
      <x:c r="A85" s="58" t="str">
        <x:v>ResultContext</x:v>
      </x:c>
      <x:c r="B85" s="58" t="str">
        <x:v>最终/阶段结果</x:v>
      </x:c>
      <x:c r="C85" s="58" t="str">
        <x:v>Point完成/Task完成</x:v>
      </x:c>
      <x:c r="D85" s="58" t="str">
        <x:v>事务/版本</x:v>
      </x:c>
      <x:c r="E85" s="58" t="str">
        <x:v>长期</x:v>
      </x:c>
      <x:c r="F85" s="58" t="str">
        <x:v>result schema</x:v>
      </x:c>
      <x:c r="G85" s="58" t="str">
        <x:v>MES/报表/质量</x:v>
      </x:c>
      <x:c r="H85" s="58" t="str">
        <x:v>result tests</x:v>
      </x:c>
      <x:c r="I85" s="58" t="str">
        <x:v>Artifact只引用</x:v>
      </x:c>
    </x:row>
    <x:row r="86">
      <x:c r="A86" s="66" t="str">
        <x:v>ArtifactRef</x:v>
      </x:c>
      <x:c r="B86" s="66" t="str">
        <x:v>原图/缺陷图/调试材料</x:v>
      </x:c>
      <x:c r="C86" s="66" t="str">
        <x:v>异步策略</x:v>
      </x:c>
      <x:c r="D86" s="66" t="str">
        <x:v>Hash/写成功状态</x:v>
      </x:c>
      <x:c r="E86" s="66" t="str">
        <x:v>按项目</x:v>
      </x:c>
      <x:c r="F86" s="66" t="str">
        <x:v>artifact metadata</x:v>
      </x:c>
      <x:c r="G86" s="66" t="str">
        <x:v>结果查看</x:v>
      </x:c>
      <x:c r="H86" s="66" t="str">
        <x:v>store fault</x:v>
      </x:c>
      <x:c r="I86" s="66" t="str">
        <x:v>大文件与Checkpoint分离</x:v>
      </x:c>
    </x:row>
    <x:row r="87">
      <x:c r="A87" s="58" t="str">
        <x:v>ExternalOperationRecord</x:v>
      </x:c>
      <x:c r="B87" s="58" t="str">
        <x:v>MES/文件/命令副作用幂等记录</x:v>
      </x:c>
      <x:c r="C87" s="58" t="str">
        <x:v>发送前/后</x:v>
      </x:c>
      <x:c r="D87" s="58" t="str">
        <x:v>IdempotencyKey唯一</x:v>
      </x:c>
      <x:c r="E87" s="58" t="str">
        <x:v>至少恢复窗口</x:v>
      </x:c>
      <x:c r="F87" s="58" t="str">
        <x:v>operation schema</x:v>
      </x:c>
      <x:c r="G87" s="58" t="str">
        <x:v>Recovery Reconcile</x:v>
      </x:c>
      <x:c r="H87" s="58" t="str">
        <x:v>duplicate tests</x:v>
      </x:c>
      <x:c r="I87" s="58" t="str">
        <x:v>关键</x:v>
      </x:c>
    </x:row>
    <x:row r="89">
      <x:c r="A89" t="str">
        <x:v>G. 历史 Inspection Contextual Workspace（V6.4继续有效）</x:v>
      </x:c>
      <x:c r="B89"/>
      <x:c r="C89"/>
      <x:c r="D89"/>
      <x:c r="E89"/>
      <x:c r="F89"/>
      <x:c r="G89"/>
      <x:c r="H89"/>
      <x:c r="I89"/>
    </x:row>
    <x:row r="90">
      <x:c r="A90" t="str">
        <x:v>主题</x:v>
      </x:c>
      <x:c r="B90" t="str">
        <x:v>专业页签/能力</x:v>
      </x:c>
      <x:c r="C90" t="str">
        <x:v>运行/安全规则</x:v>
      </x:c>
      <x:c r="D90" t="str">
        <x:v>DesignRef</x:v>
      </x:c>
      <x:c r="E90"/>
      <x:c r="F90"/>
      <x:c r="G90"/>
      <x:c r="H90"/>
      <x:c r="I90"/>
    </x:row>
    <x:row r="91">
      <x:c r="A91" t="str">
        <x:v>Contextual Ribbon</x:v>
      </x:c>
      <x:c r="B91" t="str">
        <x:v>流程 / 检测 / 工位</x:v>
      </x:c>
      <x:c r="C91" t="str">
        <x:v>活动Inspection Workspace动态显示</x:v>
      </x:c>
      <x:c r="D91" t="str">
        <x:v>45</x:v>
      </x:c>
      <x:c r="E91"/>
      <x:c r="F91"/>
      <x:c r="G91"/>
      <x:c r="H91"/>
      <x:c r="I91"/>
    </x:row>
    <x:row r="92">
      <x:c r="A92" t="str">
        <x:v>流程</x:v>
      </x:c>
      <x:c r="B92" t="str">
        <x:v>Workflow/Step/Branch/Loop/Checkpoint/SubFlow/Cross-domain Invocation</x:v>
      </x:c>
      <x:c r="C92" t="str">
        <x:v>Durable Workflow</x:v>
      </x:c>
      <x:c r="D92" t="str">
        <x:v>45</x:v>
      </x:c>
      <x:c r="E92"/>
      <x:c r="F92"/>
      <x:c r="G92"/>
      <x:c r="H92"/>
      <x:c r="I92"/>
    </x:row>
    <x:row r="93">
      <x:c r="A93" t="str">
        <x:v>检测</x:v>
      </x:c>
      <x:c r="B93" t="str">
        <x:v>Product/Task Context、Motion/Vision/CT调用、结果合并/判定/异常恢复</x:v>
      </x:c>
      <x:c r="C93" t="str">
        <x:v>版本固定+Correlation</x:v>
      </x:c>
      <x:c r="D93" t="str">
        <x:v>45</x:v>
      </x:c>
      <x:c r="E93"/>
      <x:c r="F93"/>
      <x:c r="G93"/>
      <x:c r="H93"/>
      <x:c r="I93"/>
    </x:row>
    <x:row r="94">
      <x:c r="A94" t="str">
        <x:v>工位</x:v>
      </x:c>
      <x:c r="B94" t="str">
        <x:v>Station/Recipe/设备映射/工序/MES-PLC策略</x:v>
      </x:c>
      <x:c r="C94" t="str">
        <x:v>生产Run默认结构锁定</x:v>
      </x:c>
      <x:c r="D94" t="str">
        <x:v>45</x:v>
      </x:c>
      <x:c r="E94"/>
      <x:c r="F94"/>
      <x:c r="G94"/>
      <x:c r="H94"/>
      <x:c r="I94"/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34" hidden="0" customWidth="1"/>
    <x:col min="4" max="4" width="30" hidden="0" customWidth="1"/>
    <x:col min="5" max="5" width="30" hidden="0" customWidth="1"/>
    <x:col min="6" max="6" width="28" hidden="0" customWidth="1"/>
    <x:col min="7" max="7" width="30" hidden="0" customWidth="1"/>
    <x:col min="8" max="8" width="28" hidden="0" customWidth="1"/>
    <x:col min="9" max="9" width="28" hidden="0" customWidth="1"/>
  </x:cols>
  <x:sheetData>
    <x:row r="1" ht="30" customHeight="1">
      <x:c r="A1" s="8" t="str">
        <x:v>Inspection Workflow Online Debug / Task Replay / Recovery</x:v>
      </x:c>
      <x:c r="B1" s="8"/>
      <x:c r="C1" s="8"/>
      <x:c r="D1" s="8"/>
      <x:c r="E1" s="8"/>
      <x:c r="F1" s="8"/>
      <x:c r="G1" s="8"/>
      <x:c r="H1" s="8"/>
      <x:c r="I1" s="8"/>
    </x:row>
    <x:row r="2" ht="38" customHeight="1">
      <x:c r="A2" s="16" t="str">
        <x:v>只定义产品Task特有调试与恢复语义：Task Attach、Context/Result、跨域StepInto、Retry/Recovery Drill、Production Observe安全红线。</x:v>
      </x:c>
      <x:c r="B2" s="16"/>
      <x:c r="C2" s="16"/>
      <x:c r="D2" s="16"/>
      <x:c r="E2" s="16"/>
      <x:c r="F2" s="16"/>
      <x:c r="G2" s="16"/>
      <x:c r="H2" s="16"/>
      <x:c r="I2" s="16"/>
    </x:row>
    <x:row r="3">
      <x:c r="A3" s="30" t="str">
        <x:v>本页唯一权威</x:v>
      </x:c>
      <x:c r="B3" s="31" t="str">
        <x:v>Task/Flow/Context/Station/Result/MES/Checkpoint Timeline、测试产品调试、生产只读观察、恢复对账。</x:v>
      </x:c>
      <x:c r="C3" s="31"/>
      <x:c r="D3" s="31"/>
      <x:c r="E3" s="31"/>
      <x:c r="F3" s="31"/>
      <x:c r="G3" s="31"/>
      <x:c r="H3" s="31"/>
      <x:c r="I3" s="31"/>
    </x:row>
    <x:row r="4">
      <x:c r="A4" s="30" t="str">
        <x:v>不在本页维护</x:v>
      </x:c>
      <x:c r="B4" s="31" t="str">
        <x:v>公共Online Debug（见21）、Domain子调试（见28/30/32/34）、远程会话审批（见39）。</x:v>
      </x:c>
      <x:c r="C4" s="31"/>
      <x:c r="D4" s="31"/>
      <x:c r="E4" s="31"/>
      <x:c r="F4" s="31"/>
      <x:c r="G4" s="31"/>
      <x:c r="H4" s="31"/>
      <x:c r="I4" s="31"/>
    </x:row>
    <x:row r="5">
      <x:c r="A5" s="30" t="str">
        <x:v>关联分页</x:v>
      </x:c>
      <x:c r="B5" s="31" t="str">
        <x:v>21_Graph统一OnlineDebug架构；35_Inspection完整开发蓝图；37_跨域执行E2E；39_RemoteEngineering。</x:v>
      </x:c>
      <x:c r="C5" s="31"/>
      <x:c r="D5" s="31"/>
      <x:c r="E5" s="31"/>
      <x:c r="F5" s="31"/>
      <x:c r="G5" s="31"/>
      <x:c r="H5" s="31"/>
      <x:c r="I5" s="31"/>
    </x:row>
    <x:row r="6">
      <x:c r="A6"/>
      <x:c r="B6"/>
      <x:c r="C6"/>
      <x:c r="D6"/>
      <x:c r="E6"/>
      <x:c r="F6"/>
      <x:c r="G6"/>
      <x:c r="H6"/>
      <x:c r="I6"/>
    </x:row>
    <x:row r="7" ht="24" customHeight="1">
      <x:c r="A7" s="40" t="str">
        <x:v>A. Inspection Debug 工作台</x:v>
      </x:c>
      <x:c r="B7" s="40"/>
      <x:c r="C7" s="40"/>
      <x:c r="D7" s="40"/>
      <x:c r="E7" s="40"/>
      <x:c r="F7" s="40"/>
      <x:c r="G7" s="40"/>
      <x:c r="H7" s="40"/>
      <x:c r="I7" s="40"/>
    </x:row>
    <x:row r="8" ht="28" customHeight="1">
      <x:c r="A8" s="50" t="str">
        <x:v>区域</x:v>
      </x:c>
      <x:c r="B8" s="50" t="str">
        <x:v>显示/操作</x:v>
      </x:c>
      <x:c r="C8" s="50" t="str">
        <x:v>主要对象</x:v>
      </x:c>
      <x:c r="D8" s="50" t="str">
        <x:v>数据来源</x:v>
      </x:c>
      <x:c r="E8" s="50" t="str">
        <x:v>控制操作</x:v>
      </x:c>
      <x:c r="F8" s="50" t="str">
        <x:v>在线更新</x:v>
      </x:c>
      <x:c r="G8" s="50" t="str">
        <x:v>安全/审计</x:v>
      </x:c>
      <x:c r="H8" s="50" t="str">
        <x:v>与设计态联动</x:v>
      </x:c>
      <x:c r="I8" s="50"/>
    </x:row>
    <x:row r="9">
      <x:c r="A9" s="58" t="str">
        <x:v>Task List</x:v>
      </x:c>
      <x:c r="B9" s="58" t="str">
        <x:v>所有在制/测试/等待/故障Task、ProductId、FlowVersion、当前Node、Station、CycleTime</x:v>
      </x:c>
      <x:c r="C9" s="58" t="str">
        <x:v>InspectionTaskSnapshot</x:v>
      </x:c>
      <x:c r="D9" s="58" t="str">
        <x:v>Runtime telemetry</x:v>
      </x:c>
      <x:c r="E9" s="58" t="str">
        <x:v>Attach/Filter/Select</x:v>
      </x:c>
      <x:c r="F9" s="58" t="str">
        <x:v>只读</x:v>
      </x:c>
      <x:c r="G9" s="58" t="str">
        <x:v>按角色过滤敏感字段</x:v>
      </x:c>
      <x:c r="H9" s="58" t="str">
        <x:v>双击打开Flow/Result</x:v>
      </x:c>
      <x:c r="I9" s="58"/>
    </x:row>
    <x:row r="10">
      <x:c r="A10" s="66" t="str">
        <x:v>Flow Canvas</x:v>
      </x:c>
      <x:c r="B10" s="66" t="str">
        <x:v>当前节点/分支/等待/断点/已完成/失败/恢复点</x:v>
      </x:c>
      <x:c r="C10" s="66" t="str">
        <x:v>InspectionRuntimeSnapshot</x:v>
      </x:c>
      <x:c r="D10" s="66" t="str">
        <x:v>Debug Agent</x:v>
      </x:c>
      <x:c r="E10" s="66" t="str">
        <x:v>Breakpoint/Step/RunTo/Retry(受控)</x:v>
      </x:c>
      <x:c r="F10" s="66" t="str">
        <x:v>结构不Hot改活动Task</x:v>
      </x:c>
      <x:c r="G10" s="66" t="str">
        <x:v>操作审计</x:v>
      </x:c>
      <x:c r="H10" s="66" t="str">
        <x:v>定位Definition Node</x:v>
      </x:c>
      <x:c r="I10" s="66"/>
    </x:row>
    <x:row r="11">
      <x:c r="A11" s="58" t="str">
        <x:v>Context Inspector</x:v>
      </x:c>
      <x:c r="B11" s="58" t="str">
        <x:v>Product/Point/Local/Result/Recipe/Resolved versions</x:v>
      </x:c>
      <x:c r="C11" s="58" t="str">
        <x:v>ContextSnapshot</x:v>
      </x:c>
      <x:c r="D11" s="58" t="str">
        <x:v>按需Snapshot</x:v>
      </x:c>
      <x:c r="E11" s="58" t="str">
        <x:v>Watch/Compare/Simulation下Edit</x:v>
      </x:c>
      <x:c r="F11" s="58" t="str">
        <x:v>Live受限字段</x:v>
      </x:c>
      <x:c r="G11" s="58" t="str">
        <x:v>敏感业务字段操作审计</x:v>
      </x:c>
      <x:c r="H11" s="58" t="str">
        <x:v>字段Schema定位</x:v>
      </x:c>
      <x:c r="I11" s="58"/>
    </x:row>
    <x:row r="12">
      <x:c r="A12" s="66" t="str">
        <x:v>Point/Station Panel</x:v>
      </x:c>
      <x:c r="B12" s="66" t="str">
        <x:v>当前点位、工位占用、队列、资源、RetestCount、采集/算法状态</x:v>
      </x:c>
      <x:c r="C12" s="66" t="str">
        <x:v>PointContext/Station snapshot</x:v>
      </x:c>
      <x:c r="D12" s="66" t="str">
        <x:v>Runtime</x:v>
      </x:c>
      <x:c r="E12" s="66" t="str">
        <x:v>Inspect/Select point</x:v>
      </x:c>
      <x:c r="F12" s="66" t="str">
        <x:v>只读为主</x:v>
      </x:c>
      <x:c r="G12" s="66" t="str">
        <x:v>资源操作受限</x:v>
      </x:c>
      <x:c r="H12" s="66" t="str">
        <x:v>Point definition</x:v>
      </x:c>
      <x:c r="I12" s="66"/>
    </x:row>
    <x:row r="13">
      <x:c r="A13" s="58" t="str">
        <x:v>Domain Calls</x:v>
      </x:c>
      <x:c r="B13" s="58" t="str">
        <x:v>Motion/Vision调用树、版本、状态、耗时、输入输出摘要</x:v>
      </x:c>
      <x:c r="C13" s="58" t="str">
        <x:v>InvocationTrace</x:v>
      </x:c>
      <x:c r="D13" s="58" t="str">
        <x:v>Runtime/Correlation</x:v>
      </x:c>
      <x:c r="E13" s="58" t="str">
        <x:v>Step Into/Inspect child session</x:v>
      </x:c>
      <x:c r="F13" s="58" t="str">
        <x:v>Domain自身Override策略</x:v>
      </x:c>
      <x:c r="G13" s="58" t="str">
        <x:v>跨域命令继承权限</x:v>
      </x:c>
      <x:c r="H13" s="58" t="str">
        <x:v>跳转Motion/Vision Debug</x:v>
      </x:c>
      <x:c r="I13" s="58"/>
    </x:row>
    <x:row r="14">
      <x:c r="A14" s="66" t="str">
        <x:v>Result Explorer</x:v>
      </x:c>
      <x:c r="B14" s="66" t="str">
        <x:v>Point结果/Defects/Measurements/Judgement/Artifacts/Review</x:v>
      </x:c>
      <x:c r="C14" s="66" t="str">
        <x:v>ResultContext</x:v>
      </x:c>
      <x:c r="D14" s="66" t="str">
        <x:v>Result store/runtime</x:v>
      </x:c>
      <x:c r="E14" s="66" t="str">
        <x:v>Compare/Review(按策略)</x:v>
      </x:c>
      <x:c r="F14" s="66" t="str">
        <x:v>Test Task可注入模拟结果</x:v>
      </x:c>
      <x:c r="G14" s="66" t="str">
        <x:v>Review/修改必须审计</x:v>
      </x:c>
      <x:c r="H14" s="66" t="str">
        <x:v>Result schema/Rule定位</x:v>
      </x:c>
      <x:c r="I14" s="66"/>
    </x:row>
    <x:row r="15">
      <x:c r="A15" s="58" t="str">
        <x:v>MES/External Queue</x:v>
      </x:c>
      <x:c r="B15" s="58" t="str">
        <x:v>Query/Report/Retry/StoreForward/Idempotency状态</x:v>
      </x:c>
      <x:c r="C15" s="58" t="str">
        <x:v>ExternalOperationRecord</x:v>
      </x:c>
      <x:c r="D15" s="58" t="str">
        <x:v>Gateway telemetry</x:v>
      </x:c>
      <x:c r="E15" s="58" t="str">
        <x:v>Inspect/Retry(策略)</x:v>
      </x:c>
      <x:c r="F15" s="58" t="str">
        <x:v>配置不Hot改</x:v>
      </x:c>
      <x:c r="G15" s="58" t="str">
        <x:v>外部副作用强审计</x:v>
      </x:c>
      <x:c r="H15" s="58" t="str">
        <x:v>映射编辑器</x:v>
      </x:c>
      <x:c r="I15" s="58"/>
    </x:row>
    <x:row r="16">
      <x:c r="A16" s="66" t="str">
        <x:v>Checkpoint/Recovery</x:v>
      </x:c>
      <x:c r="B16" s="66" t="str">
        <x:v>最近Checkpoint、可恢复位置、版本、外部副作用对账</x:v>
      </x:c>
      <x:c r="C16" s="66" t="str">
        <x:v>InspectionCheckpoint</x:v>
      </x:c>
      <x:c r="D16" s="66" t="str">
        <x:v>Checkpoint store</x:v>
      </x:c>
      <x:c r="E16" s="66" t="str">
        <x:v>Recovery Drill/Resume Test</x:v>
      </x:c>
      <x:c r="F16" s="66" t="str">
        <x:v>生产恢复按Policy</x:v>
      </x:c>
      <x:c r="G16" s="66" t="str">
        <x:v>强审计</x:v>
      </x:c>
      <x:c r="H16" s="66" t="str">
        <x:v>打开Checkpoint policy</x:v>
      </x:c>
      <x:c r="I16" s="66"/>
    </x:row>
    <x:row r="17">
      <x:c r="A17" s="58" t="str">
        <x:v>Timeline</x:v>
      </x:c>
      <x:c r="B17" s="58" t="str">
        <x:v>Task/Node/Motion/Vision/MES/Review/Checkpoint统一时间线</x:v>
      </x:c>
      <x:c r="C17" s="58" t="str">
        <x:v>ExecutionTrace/TaskEvents</x:v>
      </x:c>
      <x:c r="D17" s="58" t="str">
        <x:v>Correlation</x:v>
      </x:c>
      <x:c r="E17" s="58" t="str">
        <x:v>Filter/Jump</x:v>
      </x:c>
      <x:c r="F17" s="58" t="str">
        <x:v>只读</x:v>
      </x:c>
      <x:c r="G17" s="58" t="str">
        <x:v>完整链路</x:v>
      </x:c>
      <x:c r="H17" s="58" t="str">
        <x:v>定位各Definition</x:v>
      </x:c>
      <x:c r="I17" s="58"/>
    </x:row>
    <x:row r="18">
      <x:c r="A18" s="66" t="str">
        <x:v>Version Panel</x:v>
      </x:c>
      <x:c r="B18" s="66" t="str">
        <x:v>Flow/Motion/Vision/Recipe/Model/Plugin/Profile线上解析版本</x:v>
      </x:c>
      <x:c r="C18" s="66" t="str">
        <x:v>ResolvedTaskManifest</x:v>
      </x:c>
      <x:c r="D18" s="66" t="str">
        <x:v>Task snapshot</x:v>
      </x:c>
      <x:c r="E18" s="66" t="str">
        <x:v>Compare/Locate dependency</x:v>
      </x:c>
      <x:c r="F18" s="66" t="str">
        <x:v>Active Task不变</x:v>
      </x:c>
      <x:c r="G18" s="66" t="str">
        <x:v>版本差异审计</x:v>
      </x:c>
      <x:c r="H18" s="66" t="str">
        <x:v>打开版本/Diff</x:v>
      </x:c>
      <x:c r="I18" s="66"/>
    </x:row>
    <x:row r="19">
      <x:c r="A19"/>
      <x:c r="B19"/>
      <x:c r="C19"/>
      <x:c r="D19"/>
      <x:c r="E19"/>
      <x:c r="F19"/>
      <x:c r="G19"/>
      <x:c r="H19"/>
      <x:c r="I19"/>
    </x:row>
    <x:row r="20" ht="24" customHeight="1">
      <x:c r="A20" s="40" t="str">
        <x:v>B. 调试模式与任务类型</x:v>
      </x:c>
      <x:c r="B20" s="40"/>
      <x:c r="C20" s="40"/>
      <x:c r="D20" s="40"/>
      <x:c r="E20" s="40"/>
      <x:c r="F20" s="40"/>
      <x:c r="G20" s="40"/>
      <x:c r="H20" s="40"/>
      <x:c r="I20" s="40"/>
    </x:row>
    <x:row r="21" ht="28" customHeight="1">
      <x:c r="A21" s="50" t="str">
        <x:v>模式/任务</x:v>
      </x:c>
      <x:c r="B21" s="50" t="str">
        <x:v>数据/设备</x:v>
      </x:c>
      <x:c r="C21" s="50" t="str">
        <x:v>真实副作用</x:v>
      </x:c>
      <x:c r="D21" s="50" t="str">
        <x:v>允许操作</x:v>
      </x:c>
      <x:c r="E21" s="50" t="str">
        <x:v>Context修改</x:v>
      </x:c>
      <x:c r="F21" s="50" t="str">
        <x:v>Checkpoint/Recovery</x:v>
      </x:c>
      <x:c r="G21" s="50" t="str">
        <x:v>结果标记</x:v>
      </x:c>
      <x:c r="H21" s="50" t="str">
        <x:v>用途</x:v>
      </x:c>
      <x:c r="I21" s="50" t="str">
        <x:v>限制</x:v>
      </x:c>
    </x:row>
    <x:row r="22">
      <x:c r="A22" s="58" t="str">
        <x:v>Scenario Simulation</x:v>
      </x:c>
      <x:c r="B22" s="58" t="str">
        <x:v>全仿真</x:v>
      </x:c>
      <x:c r="C22" s="58" t="str">
        <x:v>否</x:v>
      </x:c>
      <x:c r="D22" s="58" t="str">
        <x:v>断点/单步/注入故障/任意测试输入</x:v>
      </x:c>
      <x:c r="E22" s="58" t="str">
        <x:v>允许测试Context</x:v>
      </x:c>
      <x:c r="F22" s="58" t="str">
        <x:v>可任意恢复演练</x:v>
      </x:c>
      <x:c r="G22" s="58" t="str">
        <x:v>Simulation</x:v>
      </x:c>
      <x:c r="H22" s="58" t="str">
        <x:v>开发/自动化</x:v>
      </x:c>
      <x:c r="I22" s="58" t="str">
        <x:v>不代表实机时序</x:v>
      </x:c>
    </x:row>
    <x:row r="23">
      <x:c r="A23" s="66" t="str">
        <x:v>Replay Task</x:v>
      </x:c>
      <x:c r="B23" s="66" t="str">
        <x:v>历史事件/Frame/Manifest</x:v>
      </x:c>
      <x:c r="C23" s="66" t="str">
        <x:v>否</x:v>
      </x:c>
      <x:c r="D23" s="66" t="str">
        <x:v>RunTo/Compare/Inspect/替换部分输入</x:v>
      </x:c>
      <x:c r="E23" s="66" t="str">
        <x:v>允许新Replay Context</x:v>
      </x:c>
      <x:c r="F23" s="66" t="str">
        <x:v>从历史Checkpoint/输入重放</x:v>
      </x:c>
      <x:c r="G23" s="66" t="str">
        <x:v>Replay</x:v>
      </x:c>
      <x:c r="H23" s="66" t="str">
        <x:v>现场问题复现</x:v>
      </x:c>
      <x:c r="I23" s="66" t="str">
        <x:v>依赖版本必须可用</x:v>
      </x:c>
    </x:row>
    <x:row r="24">
      <x:c r="A24" s="58" t="str">
        <x:v>Live Test Product</x:v>
      </x:c>
      <x:c r="B24" s="58" t="str">
        <x:v>真实设备+测试产品</x:v>
      </x:c>
      <x:c r="C24" s="58" t="str">
        <x:v>允许受控</x:v>
      </x:c>
      <x:c r="D24" s="58" t="str">
        <x:v>Step/RunTo/Retry/受控Skip/Review/Context白名单修改</x:v>
      </x:c>
      <x:c r="E24" s="58" t="str">
        <x:v>白名单+审计</x:v>
      </x:c>
      <x:c r="F24" s="58" t="str">
        <x:v>允许恢复演练</x:v>
      </x:c>
      <x:c r="G24" s="58" t="str">
        <x:v>TEST/DEBUG</x:v>
      </x:c>
      <x:c r="H24" s="58" t="str">
        <x:v>联机集成</x:v>
      </x:c>
      <x:c r="I24" s="58" t="str">
        <x:v>不得混入生产统计/MES除非测试通道</x:v>
      </x:c>
    </x:row>
    <x:row r="25">
      <x:c r="A25" s="66" t="str">
        <x:v>Production Observe</x:v>
      </x:c>
      <x:c r="B25" s="66" t="str">
        <x:v>真实生产Task</x:v>
      </x:c>
      <x:c r="C25" s="66" t="str">
        <x:v>生产系统正常</x:v>
      </x:c>
      <x:c r="D25" s="66" t="str">
        <x:v>Attach/Watch/Trace/Step Into子域只读观察</x:v>
      </x:c>
      <x:c r="E25" s="66" t="str">
        <x:v>禁止</x:v>
      </x:c>
      <x:c r="F25" s="66" t="str">
        <x:v>只查看恢复信息</x:v>
      </x:c>
      <x:c r="G25" s="66" t="str">
        <x:v>PRODUCTION</x:v>
      </x:c>
      <x:c r="H25" s="66" t="str">
        <x:v>现场诊断</x:v>
      </x:c>
      <x:c r="I25" s="66" t="str">
        <x:v>不干扰任务</x:v>
      </x:c>
    </x:row>
    <x:row r="26">
      <x:c r="A26" s="58" t="str">
        <x:v>Production Controlled Recovery</x:v>
      </x:c>
      <x:c r="B26" s="58" t="str">
        <x:v>故障生产Task</x:v>
      </x:c>
      <x:c r="C26" s="58" t="str">
        <x:v>按Recovery Policy</x:v>
      </x:c>
      <x:c r="D26" s="58" t="str">
        <x:v>Resume/Retry外部调用/ManualReview/Abort/Compensate</x:v>
      </x:c>
      <x:c r="E26" s="58" t="str">
        <x:v>仅Policy允许</x:v>
      </x:c>
      <x:c r="F26" s="58" t="str">
        <x:v>核心能力</x:v>
      </x:c>
      <x:c r="G26" s="58" t="str">
        <x:v>PRODUCTION+Recovery audit</x:v>
      </x:c>
      <x:c r="H26" s="58" t="str">
        <x:v>故障恢复</x:v>
      </x:c>
      <x:c r="I26" s="58" t="str">
        <x:v>不是自由调试模式</x:v>
      </x:c>
    </x:row>
    <x:row r="27">
      <x:c r="A27"/>
      <x:c r="B27"/>
      <x:c r="C27"/>
      <x:c r="D27"/>
      <x:c r="E27"/>
      <x:c r="F27"/>
      <x:c r="G27"/>
      <x:c r="H27"/>
      <x:c r="I27"/>
    </x:row>
    <x:row r="28" ht="24" customHeight="1">
      <x:c r="A28" s="40" t="str">
        <x:v>C. Breakpoint / Step / RunTo 语义</x:v>
      </x:c>
      <x:c r="B28" s="40"/>
      <x:c r="C28" s="40"/>
      <x:c r="D28" s="40"/>
      <x:c r="E28" s="40"/>
      <x:c r="F28" s="40"/>
      <x:c r="G28" s="40"/>
      <x:c r="H28" s="40"/>
      <x:c r="I28" s="40"/>
    </x:row>
    <x:row r="29" ht="28" customHeight="1">
      <x:c r="A29" s="50" t="str">
        <x:v>操作</x:v>
      </x:c>
      <x:c r="B29" s="50" t="str">
        <x:v>Flow边界</x:v>
      </x:c>
      <x:c r="C29" s="50" t="str">
        <x:v>子域调用中</x:v>
      </x:c>
      <x:c r="D29" s="50" t="str">
        <x:v>外部等待中</x:v>
      </x:c>
      <x:c r="E29" s="50" t="str">
        <x:v>并行分支</x:v>
      </x:c>
      <x:c r="F29" s="50" t="str">
        <x:v>Task持久化</x:v>
      </x:c>
      <x:c r="G29" s="50" t="str">
        <x:v>用户看到</x:v>
      </x:c>
      <x:c r="H29" s="50" t="str">
        <x:v>测试</x:v>
      </x:c>
      <x:c r="I29" s="50" t="str">
        <x:v>规则</x:v>
      </x:c>
    </x:row>
    <x:row r="30">
      <x:c r="A30" s="66" t="str">
        <x:v>Breakpoint Before Node</x:v>
      </x:c>
      <x:c r="B30" s="66" t="str">
        <x:v>Node开始前安全边界</x:v>
      </x:c>
      <x:c r="C30" s="66" t="str">
        <x:v>若尚未调用子域可停</x:v>
      </x:c>
      <x:c r="D30" s="66" t="str">
        <x:v>等待节点尚未发外部请求可停</x:v>
      </x:c>
      <x:c r="E30" s="66" t="str">
        <x:v>仅目标分支可停但Join策略需明确</x:v>
      </x:c>
      <x:c r="F30" s="66" t="str">
        <x:v>可选Checkpoint</x:v>
      </x:c>
      <x:c r="G30" s="66" t="str">
        <x:v>黄色节点</x:v>
      </x:c>
      <x:c r="H30" s="66" t="str">
        <x:v>before</x:v>
      </x:c>
      <x:c r="I30" s="66" t="str">
        <x:v>最安全</x:v>
      </x:c>
    </x:row>
    <x:row r="31">
      <x:c r="A31" s="58" t="str">
        <x:v>Breakpoint After Node</x:v>
      </x:c>
      <x:c r="B31" s="58" t="str">
        <x:v>Node完成/结果已合并后</x:v>
      </x:c>
      <x:c r="C31" s="58" t="str">
        <x:v>子域调用已完成</x:v>
      </x:c>
      <x:c r="D31" s="58" t="str">
        <x:v>外部请求结果已明确</x:v>
      </x:c>
      <x:c r="E31" s="58" t="str">
        <x:v>分支完成点</x:v>
      </x:c>
      <x:c r="F31" s="58" t="str">
        <x:v>适合Checkpoint</x:v>
      </x:c>
      <x:c r="G31" s="58" t="str">
        <x:v>绿色完成节点</x:v>
      </x:c>
      <x:c r="H31" s="58" t="str">
        <x:v>after</x:v>
      </x:c>
      <x:c r="I31" s="58"/>
    </x:row>
    <x:row r="32">
      <x:c r="A32" s="66" t="str">
        <x:v>Pause Request</x:v>
      </x:c>
      <x:c r="B32" s="66" t="str">
        <x:v>下一Workflow boundary暂停</x:v>
      </x:c>
      <x:c r="C32" s="66" t="str">
        <x:v>正在Motion/Vision时等子域按各自Pause/完成策略</x:v>
      </x:c>
      <x:c r="D32" s="66" t="str">
        <x:v>WaitingExternal可转PausedWaiting或保持等待</x:v>
      </x:c>
      <x:c r="E32" s="66" t="str">
        <x:v>各分支到安全点后按策略暂停</x:v>
      </x:c>
      <x:c r="F32" s="66" t="str">
        <x:v>记录Pause状态</x:v>
      </x:c>
      <x:c r="G32" s="66" t="str">
        <x:v>PauseRequested</x:v>
      </x:c>
      <x:c r="H32" s="66" t="str">
        <x:v>pause</x:v>
      </x:c>
      <x:c r="I32" s="66" t="str">
        <x:v>不能假设立即停设备</x:v>
      </x:c>
    </x:row>
    <x:row r="33">
      <x:c r="A33" s="58" t="str">
        <x:v>Step Over</x:v>
      </x:c>
      <x:c r="B33" s="58" t="str">
        <x:v>执行当前Workflow节点到完成/失败</x:v>
      </x:c>
      <x:c r="C33" s="58" t="str">
        <x:v>RunMotion/RunVision整个调用视为一个Step</x:v>
      </x:c>
      <x:c r="D33" s="58" t="str">
        <x:v>MES节点到Ack/Fail</x:v>
      </x:c>
      <x:c r="E33" s="58" t="str">
        <x:v>控制节点按语义</x:v>
      </x:c>
      <x:c r="F33" s="58" t="str">
        <x:v>事件/必要Checkpoint</x:v>
      </x:c>
      <x:c r="G33" s="58" t="str">
        <x:v>下一个Boundary</x:v>
      </x:c>
      <x:c r="H33" s="58" t="str">
        <x:v>step</x:v>
      </x:c>
      <x:c r="I33" s="58"/>
    </x:row>
    <x:row r="34">
      <x:c r="A34" s="66" t="str">
        <x:v>Step Into</x:v>
      </x:c>
      <x:c r="B34" s="66" t="str">
        <x:v>遇RunMotion/RunVision/SubFlow</x:v>
      </x:c>
      <x:c r="C34" s="66" t="str">
        <x:v>Attach对应Domain Debug Session</x:v>
      </x:c>
      <x:c r="D34" s="66" t="str">
        <x:v>N/A</x:v>
      </x:c>
      <x:c r="E34" s="66" t="str">
        <x:v>进入选定子调用</x:v>
      </x:c>
      <x:c r="F34" s="66" t="str">
        <x:v>同Correlation</x:v>
      </x:c>
      <x:c r="G34" s="66" t="str">
        <x:v>切换到子域工作台</x:v>
      </x:c>
      <x:c r="H34" s="66" t="str">
        <x:v>cross-domain</x:v>
      </x:c>
      <x:c r="I34" s="66" t="str">
        <x:v>统一DebugSession树</x:v>
      </x:c>
    </x:row>
    <x:row r="35">
      <x:c r="A35" s="58" t="str">
        <x:v>Run To</x:v>
      </x:c>
      <x:c r="B35" s="58" t="str">
        <x:v>临时Breakpoint</x:v>
      </x:c>
      <x:c r="C35" s="58" t="str">
        <x:v>中间子域正常执行</x:v>
      </x:c>
      <x:c r="D35" s="58" t="str">
        <x:v>外部等待按正常规则</x:v>
      </x:c>
      <x:c r="E35" s="58" t="str">
        <x:v>并行路径需满足目标可达</x:v>
      </x:c>
      <x:c r="F35" s="58" t="str">
        <x:v>按Policy</x:v>
      </x:c>
      <x:c r="G35" s="58" t="str">
        <x:v>目标节点高亮</x:v>
      </x:c>
      <x:c r="H35" s="58" t="str">
        <x:v>runto</x:v>
      </x:c>
      <x:c r="I35" s="58" t="str">
        <x:v>不是跳过节点</x:v>
      </x:c>
    </x:row>
    <x:row r="36">
      <x:c r="A36" s="66" t="str">
        <x:v>Skip Node</x:v>
      </x:c>
      <x:c r="B36" s="66" t="str">
        <x:v>仅Live Test/Recovery Policy允许且Node声明Skippable</x:v>
      </x:c>
      <x:c r="C36" s="66" t="str">
        <x:v>若有设备副作用一般禁止</x:v>
      </x:c>
      <x:c r="D36" s="66" t="str">
        <x:v>外部副作用节点默认禁止</x:v>
      </x:c>
      <x:c r="E36" s="66" t="str">
        <x:v>可能破坏Join</x:v>
      </x:c>
      <x:c r="F36" s="66" t="str">
        <x:v>记录Skip event</x:v>
      </x:c>
      <x:c r="G36" s="66" t="str">
        <x:v>明显SKIPPED</x:v>
      </x:c>
      <x:c r="H36" s="66" t="str">
        <x:v>security</x:v>
      </x:c>
      <x:c r="I36" s="66" t="str">
        <x:v>生产普通调试禁止</x:v>
      </x:c>
    </x:row>
    <x:row r="37">
      <x:c r="A37" s="58" t="str">
        <x:v>Retry Node</x:v>
      </x:c>
      <x:c r="B37" s="58" t="str">
        <x:v>Node失败且Retryable</x:v>
      </x:c>
      <x:c r="C37" s="58" t="str">
        <x:v>子域需新Invocation Attempt</x:v>
      </x:c>
      <x:c r="D37" s="58" t="str">
        <x:v>外部副作用先查Idempotency</x:v>
      </x:c>
      <x:c r="E37" s="58" t="str">
        <x:v>分支局部</x:v>
      </x:c>
      <x:c r="F37" s="58" t="str">
        <x:v>Attempt持久化</x:v>
      </x:c>
      <x:c r="G37" s="58" t="str">
        <x:v>Attempt计数</x:v>
      </x:c>
      <x:c r="H37" s="58" t="str">
        <x:v>retry</x:v>
      </x:c>
      <x:c r="I37" s="58" t="str">
        <x:v>不能重复提交不可幂等副作用</x:v>
      </x:c>
    </x:row>
    <x:row r="38">
      <x:c r="A38"/>
      <x:c r="B38"/>
      <x:c r="C38"/>
      <x:c r="D38"/>
      <x:c r="E38"/>
      <x:c r="F38"/>
      <x:c r="G38"/>
      <x:c r="H38"/>
      <x:c r="I38"/>
    </x:row>
    <x:row r="39" ht="24" customHeight="1">
      <x:c r="A39" s="40" t="str">
        <x:v>D. Context / Result 在线操作规则</x:v>
      </x:c>
      <x:c r="B39" s="40"/>
      <x:c r="C39" s="40"/>
      <x:c r="D39" s="40"/>
      <x:c r="E39" s="40"/>
      <x:c r="F39" s="40"/>
      <x:c r="G39" s="40"/>
      <x:c r="H39" s="40"/>
      <x:c r="I39" s="40"/>
    </x:row>
    <x:row r="40" ht="28" customHeight="1">
      <x:c r="A40" s="50" t="str">
        <x:v>对象</x:v>
      </x:c>
      <x:c r="B40" s="50" t="str">
        <x:v>Simulation</x:v>
      </x:c>
      <x:c r="C40" s="50" t="str">
        <x:v>Live Test Product</x:v>
      </x:c>
      <x:c r="D40" s="50" t="str">
        <x:v>Production Observe</x:v>
      </x:c>
      <x:c r="E40" s="50" t="str">
        <x:v>Recovery</x:v>
      </x:c>
      <x:c r="F40" s="50" t="str">
        <x:v>影响范围</x:v>
      </x:c>
      <x:c r="G40" s="50" t="str">
        <x:v>审计/标记</x:v>
      </x:c>
      <x:c r="H40" s="50" t="str">
        <x:v>Promote到工程</x:v>
      </x:c>
      <x:c r="I40" s="50" t="str">
        <x:v>规则</x:v>
      </x:c>
    </x:row>
    <x:row r="41">
      <x:c r="A41" s="66" t="str">
        <x:v>ProductContext输入字段</x:v>
      </x:c>
      <x:c r="B41" s="66" t="str">
        <x:v>自由测试</x:v>
      </x:c>
      <x:c r="C41" s="66" t="str">
        <x:v>白名单可改</x:v>
      </x:c>
      <x:c r="D41" s="66" t="str">
        <x:v>禁止</x:v>
      </x:c>
      <x:c r="E41" s="66" t="str">
        <x:v>按恢复Policy</x:v>
      </x:c>
      <x:c r="F41" s="66" t="str">
        <x:v>当前Task</x:v>
      </x:c>
      <x:c r="G41" s="66" t="str">
        <x:v>Before/After/User/Reason</x:v>
      </x:c>
      <x:c r="H41" s="66" t="str">
        <x:v>通常不Promote</x:v>
      </x:c>
      <x:c r="I41" s="66" t="str">
        <x:v>属于运行输入</x:v>
      </x:c>
    </x:row>
    <x:row r="42">
      <x:c r="A42" s="58" t="str">
        <x:v>Recipe参数</x:v>
      </x:c>
      <x:c r="B42" s="58" t="str">
        <x:v>自由测试</x:v>
      </x:c>
      <x:c r="C42" s="58" t="str">
        <x:v>可选Debug Override</x:v>
      </x:c>
      <x:c r="D42" s="58" t="str">
        <x:v>只读</x:v>
      </x:c>
      <x:c r="E42" s="58" t="str">
        <x:v>恢复使用原Pinned版本</x:v>
      </x:c>
      <x:c r="F42" s="58" t="str">
        <x:v>当前Task/后续节点</x:v>
      </x:c>
      <x:c r="G42" s="58" t="str">
        <x:v>Override hash</x:v>
      </x:c>
      <x:c r="H42" s="58" t="str">
        <x:v>需要正式修改Recipe版本</x:v>
      </x:c>
      <x:c r="I42" s="58" t="str">
        <x:v>不能静默改Pinned Recipe</x:v>
      </x:c>
    </x:row>
    <x:row r="43">
      <x:c r="A43" s="66" t="str">
        <x:v>Point选择/RetestCount</x:v>
      </x:c>
      <x:c r="B43" s="66" t="str">
        <x:v>可改</x:v>
      </x:c>
      <x:c r="C43" s="66" t="str">
        <x:v>由流程操作或受控Debug动作改变</x:v>
      </x:c>
      <x:c r="D43" s="66" t="str">
        <x:v>只读</x:v>
      </x:c>
      <x:c r="E43" s="66" t="str">
        <x:v>由Recovery/Retest Policy</x:v>
      </x:c>
      <x:c r="F43" s="66" t="str">
        <x:v>Task</x:v>
      </x:c>
      <x:c r="G43" s="66" t="str">
        <x:v>事件日志</x:v>
      </x:c>
      <x:c r="H43" s="66" t="str">
        <x:v>不Promote</x:v>
      </x:c>
      <x:c r="I43" s="66" t="str">
        <x:v>业务状态</x:v>
      </x:c>
    </x:row>
    <x:row r="44">
      <x:c r="A44" s="58" t="str">
        <x:v>VisionResult模拟</x:v>
      </x:c>
      <x:c r="B44" s="58" t="str">
        <x:v>可注入</x:v>
      </x:c>
      <x:c r="C44" s="58" t="str">
        <x:v>可在专门测试Node/模拟模式注入</x:v>
      </x:c>
      <x:c r="D44" s="58" t="str">
        <x:v>禁止</x:v>
      </x:c>
      <x:c r="E44" s="58" t="str">
        <x:v>通常不注入</x:v>
      </x:c>
      <x:c r="F44" s="58" t="str">
        <x:v>后续判定</x:v>
      </x:c>
      <x:c r="G44" s="58" t="str">
        <x:v>TEST RESULT标记</x:v>
      </x:c>
      <x:c r="H44" s="58" t="str">
        <x:v>不Promote</x:v>
      </x:c>
      <x:c r="I44" s="58" t="str">
        <x:v>不能伪造生产结果</x:v>
      </x:c>
    </x:row>
    <x:row r="45">
      <x:c r="A45" s="66" t="str">
        <x:v>Judgement/ReviewDecision</x:v>
      </x:c>
      <x:c r="B45" s="66" t="str">
        <x:v>可模拟</x:v>
      </x:c>
      <x:c r="C45" s="66" t="str">
        <x:v>人工Review按权限</x:v>
      </x:c>
      <x:c r="D45" s="66" t="str">
        <x:v>只读/正式Review流程</x:v>
      </x:c>
      <x:c r="E45" s="66" t="str">
        <x:v>Review/Recovery</x:v>
      </x:c>
      <x:c r="F45" s="66" t="str">
        <x:v>ResultContext</x:v>
      </x:c>
      <x:c r="G45" s="66" t="str">
        <x:v>Reviewer/Reason/Audit</x:v>
      </x:c>
      <x:c r="H45" s="66" t="str">
        <x:v>规则修改回Designer</x:v>
      </x:c>
      <x:c r="I45" s="66" t="str">
        <x:v>手工判定要可追溯</x:v>
      </x:c>
    </x:row>
    <x:row r="46">
      <x:c r="A46" s="58" t="str">
        <x:v>Workflow Node参数Override</x:v>
      </x:c>
      <x:c r="B46" s="58" t="str">
        <x:v>允许</x:v>
      </x:c>
      <x:c r="C46" s="58" t="str">
        <x:v>仅声明Tunable参数</x:v>
      </x:c>
      <x:c r="D46" s="58" t="str">
        <x:v>禁止Active生产Task</x:v>
      </x:c>
      <x:c r="E46" s="58" t="str">
        <x:v>Recovery一般用原值</x:v>
      </x:c>
      <x:c r="F46" s="58" t="str">
        <x:v>Session后续节点</x:v>
      </x:c>
      <x:c r="G46" s="58" t="str">
        <x:v>OverrideSetId</x:v>
      </x:c>
      <x:c r="H46" s="58" t="str">
        <x:v>显式Promote ChangeSet</x:v>
      </x:c>
      <x:c r="I46" s="58" t="str">
        <x:v>结构参数需重新Compile</x:v>
      </x:c>
    </x:row>
    <x:row r="47">
      <x:c r="A47"/>
      <x:c r="B47"/>
      <x:c r="C47"/>
      <x:c r="D47"/>
      <x:c r="E47"/>
      <x:c r="F47"/>
      <x:c r="G47"/>
      <x:c r="H47"/>
      <x:c r="I47"/>
    </x:row>
    <x:row r="48" ht="24" customHeight="1">
      <x:c r="A48" s="40" t="str">
        <x:v>E. Active Task 与版本/Hot Update</x:v>
      </x:c>
      <x:c r="B48" s="40"/>
      <x:c r="C48" s="40"/>
      <x:c r="D48" s="40"/>
      <x:c r="E48" s="40"/>
      <x:c r="F48" s="40"/>
      <x:c r="G48" s="40"/>
      <x:c r="H48" s="40"/>
      <x:c r="I48" s="40"/>
    </x:row>
    <x:row r="49" ht="28" customHeight="1">
      <x:c r="A49" s="50" t="str">
        <x:v>场景</x:v>
      </x:c>
      <x:c r="B49" s="50" t="str">
        <x:v>Active Task行为</x:v>
      </x:c>
      <x:c r="C49" s="50" t="str">
        <x:v>新Task行为</x:v>
      </x:c>
      <x:c r="D49" s="50" t="str">
        <x:v>允许Hot变更</x:v>
      </x:c>
      <x:c r="E49" s="50" t="str">
        <x:v>禁止</x:v>
      </x:c>
      <x:c r="F49" s="50" t="str">
        <x:v>Studio提示</x:v>
      </x:c>
      <x:c r="G49" s="50" t="str">
        <x:v>Target策略</x:v>
      </x:c>
      <x:c r="H49" s="50" t="str">
        <x:v>测试</x:v>
      </x:c>
      <x:c r="I49" s="50" t="str">
        <x:v>结论</x:v>
      </x:c>
    </x:row>
    <x:row r="50">
      <x:c r="A50" s="66" t="str">
        <x:v>Flow结构发布新版本</x:v>
      </x:c>
      <x:c r="B50" s="66" t="str">
        <x:v>继续旧Resolved Flow</x:v>
      </x:c>
      <x:c r="C50" s="66" t="str">
        <x:v>新Task用新Release</x:v>
      </x:c>
      <x:c r="D50" s="66" t="str">
        <x:v>无</x:v>
      </x:c>
      <x:c r="E50" s="66" t="str">
        <x:v>给Active Task换Graph</x:v>
      </x:c>
      <x:c r="F50" s="66" t="str">
        <x:v>显示Old/New task counts</x:v>
      </x:c>
      <x:c r="G50" s="66" t="str">
        <x:v>版本并存直到旧Task结束</x:v>
      </x:c>
      <x:c r="H50" s="66" t="str">
        <x:v>rolling version</x:v>
      </x:c>
      <x:c r="I50" s="66" t="str">
        <x:v>核心规则</x:v>
      </x:c>
    </x:row>
    <x:row r="51">
      <x:c r="A51" s="58" t="str">
        <x:v>Motion Program升级</x:v>
      </x:c>
      <x:c r="B51" s="58" t="str">
        <x:v>Task已解析的Program版本继续</x:v>
      </x:c>
      <x:c r="C51" s="58" t="str">
        <x:v>新Task解析新版本</x:v>
      </x:c>
      <x:c r="D51" s="58" t="str">
        <x:v>通常无</x:v>
      </x:c>
      <x:c r="E51" s="58" t="str">
        <x:v>中途漂移</x:v>
      </x:c>
      <x:c r="F51" s="58" t="str">
        <x:v>依赖版本标记</x:v>
      </x:c>
      <x:c r="G51" s="58" t="str">
        <x:v>Runtime保留旧Definition/Plan至无引用</x:v>
      </x:c>
      <x:c r="H51" s="58" t="str">
        <x:v>version pin</x:v>
      </x:c>
      <x:c r="I51" s="58"/>
    </x:row>
    <x:row r="52">
      <x:c r="A52" s="66" t="str">
        <x:v>Vision Pipeline/Model升级</x:v>
      </x:c>
      <x:c r="B52" s="66" t="str">
        <x:v>当前Task/已开始Run固定版本；后续调用按Task Manifest固定</x:v>
      </x:c>
      <x:c r="C52" s="66" t="str">
        <x:v>新Task新版本</x:v>
      </x:c>
      <x:c r="D52" s="66" t="str">
        <x:v>Debug Task可Override</x:v>
      </x:c>
      <x:c r="E52" s="66" t="str">
        <x:v>生产Task换最新模型</x:v>
      </x:c>
      <x:c r="F52" s="66" t="str">
        <x:v>Model hash</x:v>
      </x:c>
      <x:c r="G52" s="66" t="str">
        <x:v>Worker可同时缓存多版本</x:v>
      </x:c>
      <x:c r="H52" s="66" t="str">
        <x:v>model pin</x:v>
      </x:c>
      <x:c r="I52" s="66"/>
    </x:row>
    <x:row r="53">
      <x:c r="A53" s="58" t="str">
        <x:v>Recipe更新</x:v>
      </x:c>
      <x:c r="B53" s="58" t="str">
        <x:v>当前Task固定</x:v>
      </x:c>
      <x:c r="C53" s="58" t="str">
        <x:v>新Task按策略获取新版本</x:v>
      </x:c>
      <x:c r="D53" s="58" t="str">
        <x:v>Test Task override</x:v>
      </x:c>
      <x:c r="E53" s="58" t="str">
        <x:v>生产Task静默刷新</x:v>
      </x:c>
      <x:c r="F53" s="58" t="str">
        <x:v>Recipe version</x:v>
      </x:c>
      <x:c r="G53" s="58" t="str">
        <x:v>Recipe resolver</x:v>
      </x:c>
      <x:c r="H53" s="58" t="str">
        <x:v>recipe tests</x:v>
      </x:c>
      <x:c r="I53" s="58"/>
    </x:row>
    <x:row r="54">
      <x:c r="A54" s="66" t="str">
        <x:v>参数Tunable变更</x:v>
      </x:c>
      <x:c r="B54" s="66" t="str">
        <x:v>仅Debug/Test Session override</x:v>
      </x:c>
      <x:c r="C54" s="66" t="str">
        <x:v>新发布后新Task</x:v>
      </x:c>
      <x:c r="D54" s="66" t="str">
        <x:v>白名单</x:v>
      </x:c>
      <x:c r="E54" s="66" t="str">
        <x:v>影响Active生产任务</x:v>
      </x:c>
      <x:c r="F54" s="66" t="str">
        <x:v>Override icon</x:v>
      </x:c>
      <x:c r="G54" s="66" t="str">
        <x:v>Session layer</x:v>
      </x:c>
      <x:c r="H54" s="66" t="str">
        <x:v>override tests</x:v>
      </x:c>
      <x:c r="I54" s="66"/>
    </x:row>
    <x:row r="55">
      <x:c r="A55" s="58" t="str">
        <x:v>Plugin/Driver升级</x:v>
      </x:c>
      <x:c r="B55" s="58" t="str">
        <x:v>Active Runtime一般不热换</x:v>
      </x:c>
      <x:c r="C55" s="58" t="str">
        <x:v>重启/新Release后生效</x:v>
      </x:c>
      <x:c r="D55" s="58" t="str">
        <x:v>少数可热加载需显式支持</x:v>
      </x:c>
      <x:c r="E55" s="58" t="str">
        <x:v>随意卸载有引用插件</x:v>
      </x:c>
      <x:c r="F55" s="58" t="str">
        <x:v>Restart required</x:v>
      </x:c>
      <x:c r="G55" s="58" t="str">
        <x:v>PluginHost policy</x:v>
      </x:c>
      <x:c r="H55" s="58" t="str">
        <x:v>compat</x:v>
      </x:c>
      <x:c r="I55" s="58"/>
    </x:row>
    <x:row r="56">
      <x:c r="A56"/>
      <x:c r="B56"/>
      <x:c r="C56"/>
      <x:c r="D56"/>
      <x:c r="E56"/>
      <x:c r="F56"/>
      <x:c r="G56"/>
      <x:c r="H56"/>
      <x:c r="I56"/>
    </x:row>
    <x:row r="57" ht="24" customHeight="1">
      <x:c r="A57" s="40" t="str">
        <x:v>F. Recovery Drill / 故障恢复在线调试</x:v>
      </x:c>
      <x:c r="B57" s="40"/>
      <x:c r="C57" s="40"/>
      <x:c r="D57" s="40"/>
      <x:c r="E57" s="40"/>
      <x:c r="F57" s="40"/>
      <x:c r="G57" s="40"/>
      <x:c r="H57" s="40"/>
      <x:c r="I57" s="40"/>
    </x:row>
    <x:row r="58" ht="28" customHeight="1">
      <x:c r="A58" s="50" t="str">
        <x:v>场景</x:v>
      </x:c>
      <x:c r="B58" s="50" t="str">
        <x:v>故障点</x:v>
      </x:c>
      <x:c r="C58" s="50" t="str">
        <x:v>调试显示</x:v>
      </x:c>
      <x:c r="D58" s="50" t="str">
        <x:v>恢复决策</x:v>
      </x:c>
      <x:c r="E58" s="50" t="str">
        <x:v>对账内容</x:v>
      </x:c>
      <x:c r="F58" s="50" t="str">
        <x:v>恢复动作</x:v>
      </x:c>
      <x:c r="G58" s="50" t="str">
        <x:v>结果要求</x:v>
      </x:c>
      <x:c r="H58" s="50" t="str">
        <x:v>测试</x:v>
      </x:c>
      <x:c r="I58" s="50" t="str">
        <x:v>备注</x:v>
      </x:c>
    </x:row>
    <x:row r="59">
      <x:c r="A59" s="66" t="str">
        <x:v>Runtime Crash</x:v>
      </x:c>
      <x:c r="B59" s="66" t="str">
        <x:v>任意Workflow boundary</x:v>
      </x:c>
      <x:c r="C59" s="66" t="str">
        <x:v>Last TaskEvent/Checkpoint/Resolved Manifest</x:v>
      </x:c>
      <x:c r="D59" s="66" t="str">
        <x:v>Resume/Abort/Manual</x:v>
      </x:c>
      <x:c r="E59" s="66" t="str">
        <x:v>资源/外部副作用/当前节点</x:v>
      </x:c>
      <x:c r="F59" s="66" t="str">
        <x:v>加载Checkpoint→Reconcile→重新Acquire→继续</x:v>
      </x:c>
      <x:c r="G59" s="66" t="str">
        <x:v>不重复副作用</x:v>
      </x:c>
      <x:c r="H59" s="66" t="str">
        <x:v>kill process</x:v>
      </x:c>
      <x:c r="I59" s="66"/>
    </x:row>
    <x:row r="60">
      <x:c r="A60" s="58" t="str">
        <x:v>MES Ack未知</x:v>
      </x:c>
      <x:c r="B60" s="58" t="str">
        <x:v>MESReport发送后断网</x:v>
      </x:c>
      <x:c r="C60" s="58" t="str">
        <x:v>ExternalOperation Pending/Unknown</x:v>
      </x:c>
      <x:c r="D60" s="58" t="str">
        <x:v>Query/Reconcile/Retry with same IdempotencyKey</x:v>
      </x:c>
      <x:c r="E60" s="58" t="str">
        <x:v>MES是否已接受</x:v>
      </x:c>
      <x:c r="F60" s="58" t="str">
        <x:v>按Gateway策略</x:v>
      </x:c>
      <x:c r="G60" s="58" t="str">
        <x:v>不重复上报</x:v>
      </x:c>
      <x:c r="H60" s="58" t="str">
        <x:v>network fault</x:v>
      </x:c>
      <x:c r="I60" s="58"/>
    </x:row>
    <x:row r="61">
      <x:c r="A61" s="66" t="str">
        <x:v>Motion故障</x:v>
      </x:c>
      <x:c r="B61" s="66" t="str">
        <x:v>RunMotion中Axis alarm</x:v>
      </x:c>
      <x:c r="C61" s="66" t="str">
        <x:v>Invocation Fault + Motion trace</x:v>
      </x:c>
      <x:c r="D61" s="66" t="str">
        <x:v>Retry Motion/Compensate/Abort/Review</x:v>
      </x:c>
      <x:c r="E61" s="66" t="str">
        <x:v>设备位置/夹具/资源</x:v>
      </x:c>
      <x:c r="F61" s="66" t="str">
        <x:v>Recovery SubFlow</x:v>
      </x:c>
      <x:c r="G61" s="66" t="str">
        <x:v>状态安全可解释</x:v>
      </x:c>
      <x:c r="H61" s="66" t="str">
        <x:v>motion fault</x:v>
      </x:c>
      <x:c r="I61" s="66"/>
    </x:row>
    <x:row r="62">
      <x:c r="A62" s="58" t="str">
        <x:v>Vision Worker崩溃</x:v>
      </x:c>
      <x:c r="B62" s="58" t="str">
        <x:v>RunVision中</x:v>
      </x:c>
      <x:c r="C62" s="58" t="str">
        <x:v>Worker fault/RunId/Frame artifact</x:v>
      </x:c>
      <x:c r="D62" s="58" t="str">
        <x:v>Restart Worker + Retry same input if retained</x:v>
      </x:c>
      <x:c r="E62" s="58" t="str">
        <x:v>输入Frame/Model version</x:v>
      </x:c>
      <x:c r="F62" s="58" t="str">
        <x:v>新Attempt</x:v>
      </x:c>
      <x:c r="G62" s="58" t="str">
        <x:v>结果版本一致</x:v>
      </x:c>
      <x:c r="H62" s="58" t="str">
        <x:v>worker crash</x:v>
      </x:c>
      <x:c r="I62" s="58"/>
    </x:row>
    <x:row r="63">
      <x:c r="A63" s="66" t="str">
        <x:v>Review超时</x:v>
      </x:c>
      <x:c r="B63" s="66" t="str">
        <x:v>WaitingReview</x:v>
      </x:c>
      <x:c r="C63" s="66" t="str">
        <x:v>ReviewTask age/Owner</x:v>
      </x:c>
      <x:c r="D63" s="66" t="str">
        <x:v>Escalate/NG/Continue policy</x:v>
      </x:c>
      <x:c r="E63" s="66" t="str">
        <x:v>是否已有人工操作</x:v>
      </x:c>
      <x:c r="F63" s="66" t="str">
        <x:v>按Policy</x:v>
      </x:c>
      <x:c r="G63" s="66" t="str">
        <x:v>全审计</x:v>
      </x:c>
      <x:c r="H63" s="66" t="str">
        <x:v>timeout</x:v>
      </x:c>
      <x:c r="I63" s="66"/>
    </x:row>
    <x:row r="64">
      <x:c r="A64" s="58" t="str">
        <x:v>Studio断开</x:v>
      </x:c>
      <x:c r="B64" s="58" t="str">
        <x:v>在线调试中</x:v>
      </x:c>
      <x:c r="C64" s="58" t="str">
        <x:v>DetachedUnknown但Task在Target继续</x:v>
      </x:c>
      <x:c r="D64" s="58" t="str">
        <x:v>Reconnect/Attach</x:v>
      </x:c>
      <x:c r="E64" s="58" t="str">
        <x:v>Session/Task状态</x:v>
      </x:c>
      <x:c r="F64" s="58" t="str">
        <x:v>只恢复观察/受控会话</x:v>
      </x:c>
      <x:c r="G64" s="58" t="str">
        <x:v>不影响生产Task</x:v>
      </x:c>
      <x:c r="H64" s="58" t="str">
        <x:v>network</x:v>
      </x:c>
      <x:c r="I64" s="58"/>
    </x:row>
    <x:row r="65">
      <x:c r="A65"/>
      <x:c r="B65"/>
      <x:c r="C65"/>
      <x:c r="D65"/>
      <x:c r="E65"/>
      <x:c r="F65"/>
      <x:c r="G65"/>
      <x:c r="H65"/>
      <x:c r="I65"/>
    </x:row>
    <x:row r="66" ht="24" customHeight="1">
      <x:c r="A66" s="40" t="str">
        <x:v>G. 生产在线调试安全红线</x:v>
      </x:c>
      <x:c r="B66" s="40"/>
      <x:c r="C66" s="40"/>
      <x:c r="D66" s="40"/>
      <x:c r="E66" s="40"/>
      <x:c r="F66" s="40"/>
      <x:c r="G66" s="40"/>
      <x:c r="H66" s="40"/>
      <x:c r="I66" s="40"/>
    </x:row>
    <x:row r="67" ht="28" customHeight="1">
      <x:c r="A67" s="50" t="str">
        <x:v>红线</x:v>
      </x:c>
      <x:c r="B67" s="50" t="str">
        <x:v>原因</x:v>
      </x:c>
      <x:c r="C67" s="50" t="str">
        <x:v>禁止行为</x:v>
      </x:c>
      <x:c r="D67" s="50" t="str">
        <x:v>允许替代</x:v>
      </x:c>
      <x:c r="E67" s="50" t="str">
        <x:v>平台门禁</x:v>
      </x:c>
      <x:c r="F67" s="50" t="str">
        <x:v>审计</x:v>
      </x:c>
      <x:c r="G67" s="50" t="str">
        <x:v>测试</x:v>
      </x:c>
      <x:c r="H67" s="50" t="str">
        <x:v>严重级别</x:v>
      </x:c>
      <x:c r="I67" s="50" t="str">
        <x:v>备注</x:v>
      </x:c>
    </x:row>
    <x:row r="68">
      <x:c r="A68" s="66" t="str">
        <x:v>不随意改Active生产Context</x:v>
      </x:c>
      <x:c r="B68" s="66" t="str">
        <x:v>结果真实性/追溯</x:v>
      </x:c>
      <x:c r="C68" s="66" t="str">
        <x:v>直接编辑Product/Result字段</x:v>
      </x:c>
      <x:c r="D68" s="66" t="str">
        <x:v>通过正式Review/Recovery/Recipe机制</x:v>
      </x:c>
      <x:c r="E68" s="66" t="str">
        <x:v>DebugPolicy</x:v>
      </x:c>
      <x:c r="F68" s="66" t="str">
        <x:v>强</x:v>
      </x:c>
      <x:c r="G68" s="66" t="str">
        <x:v>security</x:v>
      </x:c>
      <x:c r="H68" s="66" t="str">
        <x:v>P0</x:v>
      </x:c>
      <x:c r="I68" s="66"/>
    </x:row>
    <x:row r="69">
      <x:c r="A69" s="58" t="str">
        <x:v>不跳过不可幂等外部节点</x:v>
      </x:c>
      <x:c r="B69" s="58" t="str">
        <x:v>可能重复副作用</x:v>
      </x:c>
      <x:c r="C69" s="58" t="str">
        <x:v>Skip/Retry MES/设备命令无对账</x:v>
      </x:c>
      <x:c r="D69" s="58" t="str">
        <x:v>Idempotency/Reconcile/Compensation</x:v>
      </x:c>
      <x:c r="E69" s="58" t="str">
        <x:v>Node capability</x:v>
      </x:c>
      <x:c r="F69" s="58" t="str">
        <x:v>强</x:v>
      </x:c>
      <x:c r="G69" s="58" t="str">
        <x:v>recovery</x:v>
      </x:c>
      <x:c r="H69" s="58" t="str">
        <x:v>P0</x:v>
      </x:c>
      <x:c r="I69" s="58"/>
    </x:row>
    <x:row r="70">
      <x:c r="A70" s="66" t="str">
        <x:v>不Hot换Active Task结构</x:v>
      </x:c>
      <x:c r="B70" s="66" t="str">
        <x:v>恢复/版本一致性破坏</x:v>
      </x:c>
      <x:c r="C70" s="66" t="str">
        <x:v>给运行中Task替换Flow</x:v>
      </x:c>
      <x:c r="D70" s="66" t="str">
        <x:v>新Task用新Release；旧Task固定</x:v>
      </x:c>
      <x:c r="E70" s="66" t="str">
        <x:v>Version pinning</x:v>
      </x:c>
      <x:c r="F70" s="66" t="str">
        <x:v>版本</x:v>
      </x:c>
      <x:c r="G70" s="66" t="str">
        <x:v>rolling update</x:v>
      </x:c>
      <x:c r="H70" s="66" t="str">
        <x:v>P0</x:v>
      </x:c>
      <x:c r="I70" s="66"/>
    </x:row>
    <x:row r="71">
      <x:c r="A71" s="58" t="str">
        <x:v>Debug测试结果不混生产</x:v>
      </x:c>
      <x:c r="B71" s="58" t="str">
        <x:v>质量数据污染</x:v>
      </x:c>
      <x:c r="C71" s="58" t="str">
        <x:v>TEST Task写正式MES/统计</x:v>
      </x:c>
      <x:c r="D71" s="58" t="str">
        <x:v>Test channel/Result flag</x:v>
      </x:c>
      <x:c r="E71" s="58" t="str">
        <x:v>Result policy</x:v>
      </x:c>
      <x:c r="F71" s="58" t="str">
        <x:v>强</x:v>
      </x:c>
      <x:c r="G71" s="58" t="str">
        <x:v>integration</x:v>
      </x:c>
      <x:c r="H71" s="58" t="str">
        <x:v>P0</x:v>
      </x:c>
      <x:c r="I71" s="58"/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0" hidden="0" customWidth="1"/>
    <x:col min="9" max="9" width="28" hidden="0" customWidth="1"/>
  </x:cols>
  <x:sheetData>
    <x:row r="1" ht="30" customHeight="1">
      <x:c r="A1" s="8" t="str">
        <x:v>Cross-Domain Execution / E2E Blueprint</x:v>
      </x:c>
      <x:c r="B1" s="8"/>
      <x:c r="C1" s="8"/>
      <x:c r="D1" s="8"/>
      <x:c r="E1" s="8"/>
      <x:c r="F1" s="8"/>
      <x:c r="G1" s="8"/>
      <x:c r="H1" s="8"/>
      <x:c r="I1" s="8"/>
    </x:row>
    <x:row r="2" ht="38" customHeight="1">
      <x:c r="A2" s="16" t="str">
        <x:v>把Inspection→Motion/Robot→Acquire→Vision/CT→Judge→Retest→MES放进一条真实链，作为跨域契约、Correlation、Version、Resource、Error与E2E测试权威页。</x:v>
      </x:c>
      <x:c r="B2" s="16"/>
      <x:c r="C2" s="16"/>
      <x:c r="D2" s="16"/>
      <x:c r="E2" s="16"/>
      <x:c r="F2" s="16"/>
      <x:c r="G2" s="16"/>
      <x:c r="H2" s="16"/>
      <x:c r="I2" s="16"/>
    </x:row>
    <x:row r="3">
      <x:c r="A3" s="30" t="str">
        <x:v>本页唯一权威</x:v>
      </x:c>
      <x:c r="B3" s="31" t="str">
        <x:v>跨域标准时序、Invocation契约、StepInto、故障传播、垂直切片开发顺序。</x:v>
      </x:c>
      <x:c r="C3" s="31"/>
      <x:c r="D3" s="31"/>
      <x:c r="E3" s="31"/>
      <x:c r="F3" s="31"/>
      <x:c r="G3" s="31"/>
      <x:c r="H3" s="31"/>
      <x:c r="I3" s="31"/>
    </x:row>
    <x:row r="4">
      <x:c r="A4" s="30" t="str">
        <x:v>不在本页维护</x:v>
      </x:c>
      <x:c r="B4" s="31" t="str">
        <x:v>各Domain内部实现细节、具体客户流程参数。</x:v>
      </x:c>
      <x:c r="C4" s="31"/>
      <x:c r="D4" s="31"/>
      <x:c r="E4" s="31"/>
      <x:c r="F4" s="31"/>
      <x:c r="G4" s="31"/>
      <x:c r="H4" s="31"/>
      <x:c r="I4" s="31"/>
    </x:row>
    <x:row r="5">
      <x:c r="A5" s="30" t="str">
        <x:v>关联分页</x:v>
      </x:c>
      <x:c r="B5" s="31" t="str">
        <x:v>27~36_Domain设计与调试；20_Graph类型系统与数据契约；26_Graph平台测试与架构门禁。</x:v>
      </x:c>
      <x:c r="C5" s="31"/>
      <x:c r="D5" s="31"/>
      <x:c r="E5" s="31"/>
      <x:c r="F5" s="31"/>
      <x:c r="G5" s="31"/>
      <x:c r="H5" s="31"/>
      <x:c r="I5" s="31"/>
    </x:row>
    <x:row r="6">
      <x:c r="A6"/>
      <x:c r="B6"/>
      <x:c r="C6"/>
      <x:c r="D6"/>
      <x:c r="E6"/>
      <x:c r="F6"/>
      <x:c r="G6"/>
      <x:c r="H6"/>
      <x:c r="I6"/>
    </x:row>
    <x:row r="7" ht="24" customHeight="1">
      <x:c r="A7" s="40" t="str">
        <x:v>A. 正常检测链时序</x:v>
      </x:c>
      <x:c r="B7" s="40"/>
      <x:c r="C7" s="40"/>
      <x:c r="D7" s="40"/>
      <x:c r="E7" s="40"/>
      <x:c r="F7" s="40"/>
      <x:c r="G7" s="40"/>
      <x:c r="H7" s="40"/>
      <x:c r="I7" s="40"/>
    </x:row>
    <x:row r="8" ht="28" customHeight="1">
      <x:c r="A8" s="50" t="str">
        <x:v>步骤</x:v>
      </x:c>
      <x:c r="B8" s="50" t="str">
        <x:v>Inspection</x:v>
      </x:c>
      <x:c r="C8" s="50" t="str">
        <x:v>Motion</x:v>
      </x:c>
      <x:c r="D8" s="50" t="str">
        <x:v>Vision</x:v>
      </x:c>
      <x:c r="E8" s="50" t="str">
        <x:v>SCADA/Device</x:v>
      </x:c>
      <x:c r="F8" s="50" t="str">
        <x:v>Resource/Security</x:v>
      </x:c>
      <x:c r="G8" s="50" t="str">
        <x:v>Context/Version</x:v>
      </x:c>
      <x:c r="H8" s="50" t="str">
        <x:v>Debug/Trace</x:v>
      </x:c>
      <x:c r="I8" s="50" t="str">
        <x:v>失败出口</x:v>
      </x:c>
    </x:row>
    <x:row r="9">
      <x:c r="A9" s="58" t="str">
        <x:v>1 Task Start</x:v>
      </x:c>
      <x:c r="B9" s="58" t="str">
        <x:v>创建InspectionTask；解析Flow/Recipe/依赖</x:v>
      </x:c>
      <x:c r="C9" s="58" t="str">
        <x:v>N/A</x:v>
      </x:c>
      <x:c r="D9" s="58" t="str">
        <x:v>N/A</x:v>
      </x:c>
      <x:c r="E9" s="58" t="str">
        <x:v>读取产品/工单/模式</x:v>
      </x:c>
      <x:c r="F9" s="58" t="str">
        <x:v>Authorization/RuntimeProfile</x:v>
      </x:c>
      <x:c r="G9" s="58" t="str">
        <x:v>生成ResolvedTaskManifest + CorrelationId</x:v>
      </x:c>
      <x:c r="H9" s="58" t="str">
        <x:v>Task timeline start</x:v>
      </x:c>
      <x:c r="I9" s="58" t="str">
        <x:v>Resolve失败→Fault</x:v>
      </x:c>
    </x:row>
    <x:row r="10">
      <x:c r="A10" s="66" t="str">
        <x:v>2 Product Load</x:v>
      </x:c>
      <x:c r="B10" s="66" t="str">
        <x:v>ScanCode/MESQuery/ValidateProduct</x:v>
      </x:c>
      <x:c r="C10" s="66" t="str">
        <x:v>N/A</x:v>
      </x:c>
      <x:c r="D10" s="66" t="str">
        <x:v>N/A</x:v>
      </x:c>
      <x:c r="E10" s="66" t="str">
        <x:v>MES/Barcode/PLC状态</x:v>
      </x:c>
      <x:c r="F10" s="66" t="str">
        <x:v>External gateway policy</x:v>
      </x:c>
      <x:c r="G10" s="66" t="str">
        <x:v>ProductContext初始化</x:v>
      </x:c>
      <x:c r="H10" s="66" t="str">
        <x:v>MES request/ack trace</x:v>
      </x:c>
      <x:c r="I10" s="66" t="str">
        <x:v>Retry/Manual/Abort</x:v>
      </x:c>
    </x:row>
    <x:row r="11">
      <x:c r="A11" s="58" t="str">
        <x:v>3 Enter Point</x:v>
      </x:c>
      <x:c r="B11" s="58" t="str">
        <x:v>选择Point/Station并申请资源</x:v>
      </x:c>
      <x:c r="C11" s="58" t="str">
        <x:v>准备Motion invocation</x:v>
      </x:c>
      <x:c r="D11" s="58" t="str">
        <x:v>准备Pipeline ref</x:v>
      </x:c>
      <x:c r="E11" s="58" t="str">
        <x:v>检查Fixture/Device ready</x:v>
      </x:c>
      <x:c r="F11" s="58" t="str">
        <x:v>Station/Axis/Camera/XRay lease + interlock</x:v>
      </x:c>
      <x:c r="G11" s="58" t="str">
        <x:v>PointContext创建</x:v>
      </x:c>
      <x:c r="H11" s="58" t="str">
        <x:v>Resource wait trace</x:v>
      </x:c>
      <x:c r="I11" s="58" t="str">
        <x:v>Timeout/Route</x:v>
      </x:c>
    </x:row>
    <x:row r="12">
      <x:c r="A12" s="66" t="str">
        <x:v>4 Move</x:v>
      </x:c>
      <x:c r="B12" s="66" t="str">
        <x:v>RunMotion(programId,params)等待结果</x:v>
      </x:c>
      <x:c r="C12" s="66" t="str">
        <x:v>MotionSession执行Home/Move/Wait/IO</x:v>
      </x:c>
      <x:c r="D12" s="66" t="str">
        <x:v>N/A</x:v>
      </x:c>
      <x:c r="E12" s="66" t="str">
        <x:v>Axis/IO状态</x:v>
      </x:c>
      <x:c r="F12" s="66" t="str">
        <x:v>Interlock/Resource持续有效</x:v>
      </x:c>
      <x:c r="G12" s="66" t="str">
        <x:v>同Correlation生成MotionInvocationId</x:v>
      </x:c>
      <x:c r="H12" s="66" t="str">
        <x:v>可Step Into Motion Debug</x:v>
      </x:c>
      <x:c r="I12" s="66" t="str">
        <x:v>Retry/Compensate/Abort</x:v>
      </x:c>
    </x:row>
    <x:row r="13">
      <x:c r="A13" s="58" t="str">
        <x:v>5 Acquire</x:v>
      </x:c>
      <x:c r="B13" s="58" t="str">
        <x:v>AcquireImage/Series/CT</x:v>
      </x:c>
      <x:c r="C13" s="58" t="str">
        <x:v>可包含Trigger/Scan动作</x:v>
      </x:c>
      <x:c r="D13" s="58" t="str">
        <x:v>准备输入</x:v>
      </x:c>
      <x:c r="E13" s="58" t="str">
        <x:v>Camera/XRay/Detector执行</x:v>
      </x:c>
      <x:c r="F13" s="58" t="str">
        <x:v>Camera/XRay lease/危险动作策略</x:v>
      </x:c>
      <x:c r="G13" s="58" t="str">
        <x:v>FrameId/ArtifactRef写PointContext</x:v>
      </x:c>
      <x:c r="H13" s="58" t="str">
        <x:v>Device+Frame timeline</x:v>
      </x:c>
      <x:c r="I13" s="58" t="str">
        <x:v>Retry/Skip/Abort</x:v>
      </x:c>
    </x:row>
    <x:row r="14">
      <x:c r="A14" s="66" t="str">
        <x:v>6 Vision</x:v>
      </x:c>
      <x:c r="B14" s="66" t="str">
        <x:v>RunVision(pipelineId,input,params)</x:v>
      </x:c>
      <x:c r="C14" s="66" t="str">
        <x:v>N/A</x:v>
      </x:c>
      <x:c r="D14" s="66" t="str">
        <x:v>VisionRunSession执行Typed DAG</x:v>
      </x:c>
      <x:c r="E14" s="66" t="str">
        <x:v>Worker/GPU/Model/Calibration</x:v>
      </x:c>
      <x:c r="F14" s="66" t="str">
        <x:v>GPU/Worker resource</x:v>
      </x:c>
      <x:c r="G14" s="66" t="str">
        <x:v>VisionResult + RunManifest</x:v>
      </x:c>
      <x:c r="H14" s="66" t="str">
        <x:v>可Step Into Vision Debug/Data Viewer</x:v>
      </x:c>
      <x:c r="I14" s="66" t="str">
        <x:v>Retry/Fallback/Review</x:v>
      </x:c>
    </x:row>
    <x:row r="15">
      <x:c r="A15" s="58" t="str">
        <x:v>7 Merge/Judge</x:v>
      </x:c>
      <x:c r="B15" s="58" t="str">
        <x:v>合并Point结果、规则判定</x:v>
      </x:c>
      <x:c r="C15" s="58" t="str">
        <x:v>N/A</x:v>
      </x:c>
      <x:c r="D15" s="58" t="str">
        <x:v>N/A</x:v>
      </x:c>
      <x:c r="E15" s="58" t="str">
        <x:v>可读SCADA状态/Recipe阈值</x:v>
      </x:c>
      <x:c r="F15" s="58" t="str">
        <x:v>N/A</x:v>
      </x:c>
      <x:c r="G15" s="58" t="str">
        <x:v>ResultContext更新</x:v>
      </x:c>
      <x:c r="H15" s="58" t="str">
        <x:v>Result diff/decision trace</x:v>
      </x:c>
      <x:c r="I15" s="58" t="str">
        <x:v>Retest/Review/Next</x:v>
      </x:c>
    </x:row>
    <x:row r="16">
      <x:c r="A16" s="66" t="str">
        <x:v>8 Retest Branch</x:v>
      </x:c>
      <x:c r="B16" s="66" t="str">
        <x:v>按Policy决定重新Move/Acquire/Vision</x:v>
      </x:c>
      <x:c r="C16" s="66" t="str">
        <x:v>再次调用或子Program</x:v>
      </x:c>
      <x:c r="D16" s="66" t="str">
        <x:v>再次Run或备用Pipeline</x:v>
      </x:c>
      <x:c r="E16" s="66" t="str">
        <x:v>设备/Worker</x:v>
      </x:c>
      <x:c r="F16" s="66" t="str">
        <x:v>资源重新申请</x:v>
      </x:c>
      <x:c r="G16" s="66" t="str">
        <x:v>RetestCount/Attempt</x:v>
      </x:c>
      <x:c r="H16" s="66" t="str">
        <x:v>跨域Attempt链</x:v>
      </x:c>
      <x:c r="I16" s="66" t="str">
        <x:v>Max→Review/NG</x:v>
      </x:c>
    </x:row>
    <x:row r="17">
      <x:c r="A17" s="58" t="str">
        <x:v>9 Complete Product</x:v>
      </x:c>
      <x:c r="B17" s="58" t="str">
        <x:v>生成OverallResult</x:v>
      </x:c>
      <x:c r="C17" s="58" t="str">
        <x:v>N/A</x:v>
      </x:c>
      <x:c r="D17" s="58" t="str">
        <x:v>N/A</x:v>
      </x:c>
      <x:c r="E17" s="58" t="str">
        <x:v>MESReport/Artifact save</x:v>
      </x:c>
      <x:c r="F17" s="58" t="str">
        <x:v>外部副作用幂等</x:v>
      </x:c>
      <x:c r="G17" s="58" t="str">
        <x:v>Final Result + versions</x:v>
      </x:c>
      <x:c r="H17" s="58" t="str">
        <x:v>Report/StoreForward trace</x:v>
      </x:c>
      <x:c r="I17" s="58" t="str">
        <x:v>Queue/Manual</x:v>
      </x:c>
    </x:row>
    <x:row r="18">
      <x:c r="A18" s="66" t="str">
        <x:v>10 Task End</x:v>
      </x:c>
      <x:c r="B18" s="66" t="str">
        <x:v>Completed + Final Checkpoint/Event</x:v>
      </x:c>
      <x:c r="C18" s="66" t="str">
        <x:v>Sessions已释放</x:v>
      </x:c>
      <x:c r="D18" s="66" t="str">
        <x:v>Handles释放</x:v>
      </x:c>
      <x:c r="E18" s="66" t="str">
        <x:v>设备回安全/待机状态按流程</x:v>
      </x:c>
      <x:c r="F18" s="66" t="str">
        <x:v>所有Lease释放</x:v>
      </x:c>
      <x:c r="G18" s="66" t="str">
        <x:v>Task final state</x:v>
      </x:c>
      <x:c r="H18" s="66" t="str">
        <x:v>完整Timeline</x:v>
      </x:c>
      <x:c r="I18" s="66" t="str">
        <x:v>Faulted/Completed</x:v>
      </x:c>
    </x:row>
    <x:row r="19">
      <x:c r="A19"/>
      <x:c r="B19"/>
      <x:c r="C19"/>
      <x:c r="D19"/>
      <x:c r="E19"/>
      <x:c r="F19"/>
      <x:c r="G19"/>
      <x:c r="H19"/>
      <x:c r="I19"/>
    </x:row>
    <x:row r="20" ht="24" customHeight="1">
      <x:c r="A20" s="40" t="str">
        <x:v>B. 跨域调用标准契约</x:v>
      </x:c>
      <x:c r="B20" s="40"/>
      <x:c r="C20" s="40"/>
      <x:c r="D20" s="40"/>
      <x:c r="E20" s="40"/>
      <x:c r="F20" s="40"/>
      <x:c r="G20" s="40"/>
      <x:c r="H20" s="40"/>
      <x:c r="I20" s="40"/>
    </x:row>
    <x:row r="21" ht="28" customHeight="1">
      <x:c r="A21" s="50" t="str">
        <x:v>契约项</x:v>
      </x:c>
      <x:c r="B21" s="50" t="str">
        <x:v>Inspection→Motion</x:v>
      </x:c>
      <x:c r="C21" s="50" t="str">
        <x:v>Inspection→Vision</x:v>
      </x:c>
      <x:c r="D21" s="50" t="str">
        <x:v>Inspection→SCADA/MES</x:v>
      </x:c>
      <x:c r="E21" s="50" t="str">
        <x:v>统一规则</x:v>
      </x:c>
      <x:c r="F21" s="50" t="str">
        <x:v>输入</x:v>
      </x:c>
      <x:c r="G21" s="50" t="str">
        <x:v>输出</x:v>
      </x:c>
      <x:c r="H21" s="50" t="str">
        <x:v>取消/超时</x:v>
      </x:c>
      <x:c r="I21" s="50" t="str">
        <x:v>诊断</x:v>
      </x:c>
    </x:row>
    <x:row r="22">
      <x:c r="A22" s="58" t="str">
        <x:v>Definition Ref</x:v>
      </x:c>
      <x:c r="B22" s="58" t="str">
        <x:v>ProgramId + ResolvedVersion</x:v>
      </x:c>
      <x:c r="C22" s="58" t="str">
        <x:v>PipelineId + ResolvedVersion</x:v>
      </x:c>
      <x:c r="D22" s="58" t="str">
        <x:v>Gateway/Profile ref</x:v>
      </x:c>
      <x:c r="E22" s="58" t="str">
        <x:v>Task启动时固定依赖版本</x:v>
      </x:c>
      <x:c r="F22" s="58" t="str">
        <x:v>稳定Id/Version</x:v>
      </x:c>
      <x:c r="G22" s="58" t="str">
        <x:v>Resolved target</x:v>
      </x:c>
      <x:c r="H22" s="58" t="str">
        <x:v>不存在则Compile/Start失败</x:v>
      </x:c>
      <x:c r="I22" s="58" t="str">
        <x:v>Dependency diagnostic</x:v>
      </x:c>
    </x:row>
    <x:row r="23">
      <x:c r="A23" s="66" t="str">
        <x:v>Invocation Id</x:v>
      </x:c>
      <x:c r="B23" s="66" t="str">
        <x:v>MotionInvocationId</x:v>
      </x:c>
      <x:c r="C23" s="66" t="str">
        <x:v>VisionRunId</x:v>
      </x:c>
      <x:c r="D23" s="66" t="str">
        <x:v>ExternalOperationId</x:v>
      </x:c>
      <x:c r="E23" s="66" t="str">
        <x:v>均挂Task CorrelationId下</x:v>
      </x:c>
      <x:c r="F23" s="66" t="str">
        <x:v>CorrelationContext</x:v>
      </x:c>
      <x:c r="G23" s="66" t="str">
        <x:v>Invocation result ref</x:v>
      </x:c>
      <x:c r="H23" s="66" t="str">
        <x:v>传播Cancel</x:v>
      </x:c>
      <x:c r="I23" s="66" t="str">
        <x:v>Trace tree</x:v>
      </x:c>
    </x:row>
    <x:row r="24">
      <x:c r="A24" s="58" t="str">
        <x:v>Typed Params</x:v>
      </x:c>
      <x:c r="B24" s="58" t="str">
        <x:v>Motion params/Point/Coord refs</x:v>
      </x:c>
      <x:c r="C24" s="58" t="str">
        <x:v>Image/Volume/Data handles + Algorithm params</x:v>
      </x:c>
      <x:c r="D24" s="58" t="str">
        <x:v>Product/Result DTO</x:v>
      </x:c>
      <x:c r="E24" s="58" t="str">
        <x:v>统一TypeSystem/Schema兼容</x:v>
      </x:c>
      <x:c r="F24" s="58" t="str">
        <x:v>Typed values</x:v>
      </x:c>
      <x:c r="G24" s="58" t="str">
        <x:v>Typed result</x:v>
      </x:c>
      <x:c r="H24" s="58" t="str">
        <x:v>参数错误不调用目标</x:v>
      </x:c>
      <x:c r="I24" s="58" t="str">
        <x:v>Type diagnostic</x:v>
      </x:c>
    </x:row>
    <x:row r="25">
      <x:c r="A25" s="66" t="str">
        <x:v>Resource Context</x:v>
      </x:c>
      <x:c r="B25" s="66" t="str">
        <x:v>Axis/Camera/XRay resources</x:v>
      </x:c>
      <x:c r="C25" s="66" t="str">
        <x:v>GPU/Worker/Camera artifacts</x:v>
      </x:c>
      <x:c r="D25" s="66" t="str">
        <x:v>Gateway queue/store</x:v>
      </x:c>
      <x:c r="E25" s="66" t="str">
        <x:v>通过ResourceManager/Provider policy</x:v>
      </x:c>
      <x:c r="F25" s="66" t="str">
        <x:v>Resource requirements</x:v>
      </x:c>
      <x:c r="G25" s="66" t="str">
        <x:v>Lease/result</x:v>
      </x:c>
      <x:c r="H25" s="66" t="str">
        <x:v>取消释放</x:v>
      </x:c>
      <x:c r="I25" s="66" t="str">
        <x:v>Resource trace</x:v>
      </x:c>
    </x:row>
    <x:row r="26">
      <x:c r="A26" s="58" t="str">
        <x:v>Security</x:v>
      </x:c>
      <x:c r="B26" s="58" t="str">
        <x:v>Interlock/Permission/Mode</x:v>
      </x:c>
      <x:c r="C26" s="58" t="str">
        <x:v>Model/Artifact permissions</x:v>
      </x:c>
      <x:c r="D26" s="58" t="str">
        <x:v>Write/Audit/Secrets</x:v>
      </x:c>
      <x:c r="E26" s="58" t="str">
        <x:v>Target Runtime最终裁决</x:v>
      </x:c>
      <x:c r="F26" s="58" t="str">
        <x:v>SecurityContext</x:v>
      </x:c>
      <x:c r="G26" s="58" t="str">
        <x:v>Permit/Denied</x:v>
      </x:c>
      <x:c r="H26" s="58" t="str">
        <x:v>Denied直接返回标准错误</x:v>
      </x:c>
      <x:c r="I26" s="58" t="str">
        <x:v>Security audit</x:v>
      </x:c>
    </x:row>
    <x:row r="27">
      <x:c r="A27" s="66" t="str">
        <x:v>Error Mapping</x:v>
      </x:c>
      <x:c r="B27" s="66" t="str">
        <x:v>MotionError→Inspection DomainError</x:v>
      </x:c>
      <x:c r="C27" s="66" t="str">
        <x:v>VisionError/Quality→Inspection Error/Result policy</x:v>
      </x:c>
      <x:c r="D27" s="66" t="str">
        <x:v>GatewayError→ExternalError</x:v>
      </x:c>
      <x:c r="E27" s="66" t="str">
        <x:v>所有域用PlatformError category/code/recoverable</x:v>
      </x:c>
      <x:c r="F27" s="66" t="str">
        <x:v>Domain error</x:v>
      </x:c>
      <x:c r="G27" s="66" t="str">
        <x:v>Policy input</x:v>
      </x:c>
      <x:c r="H27" s="66" t="str">
        <x:v>Retry由Inspection策略决定</x:v>
      </x:c>
      <x:c r="I27" s="66" t="str">
        <x:v>RootCause chain</x:v>
      </x:c>
    </x:row>
    <x:row r="28">
      <x:c r="A28" s="58" t="str">
        <x:v>Version Manifest</x:v>
      </x:c>
      <x:c r="B28" s="58" t="str">
        <x:v>Program/Controller profile</x:v>
      </x:c>
      <x:c r="C28" s="58" t="str">
        <x:v>Pipeline/Model/Calibration/Plugin</x:v>
      </x:c>
      <x:c r="D28" s="58" t="str">
        <x:v>Recipe/Gateway schema</x:v>
      </x:c>
      <x:c r="E28" s="58" t="str">
        <x:v>Result必须可追溯全部版本</x:v>
      </x:c>
      <x:c r="F28" s="58" t="str">
        <x:v>Resolved refs</x:v>
      </x:c>
      <x:c r="G28" s="58" t="str">
        <x:v>Run/Task manifest</x:v>
      </x:c>
      <x:c r="H28" s="58" t="str">
        <x:v>恢复仍使用原版本</x:v>
      </x:c>
      <x:c r="I28" s="58" t="str">
        <x:v>Replay evidence</x:v>
      </x:c>
    </x:row>
    <x:row r="29">
      <x:c r="A29"/>
      <x:c r="B29"/>
      <x:c r="C29"/>
      <x:c r="D29"/>
      <x:c r="E29"/>
      <x:c r="F29"/>
      <x:c r="G29"/>
      <x:c r="H29"/>
      <x:c r="I29"/>
    </x:row>
    <x:row r="30" ht="24" customHeight="1">
      <x:c r="A30" s="40" t="str">
        <x:v>C. 在线调试跨域跳转</x:v>
      </x:c>
      <x:c r="B30" s="40"/>
      <x:c r="C30" s="40"/>
      <x:c r="D30" s="40"/>
      <x:c r="E30" s="40"/>
      <x:c r="F30" s="40"/>
      <x:c r="G30" s="40"/>
      <x:c r="H30" s="40"/>
      <x:c r="I30" s="40"/>
    </x:row>
    <x:row r="31" ht="28" customHeight="1">
      <x:c r="A31" s="50" t="str">
        <x:v>当前视图</x:v>
      </x:c>
      <x:c r="B31" s="50" t="str">
        <x:v>用户动作</x:v>
      </x:c>
      <x:c r="C31" s="50" t="str">
        <x:v>DebugCoordinator</x:v>
      </x:c>
      <x:c r="D31" s="50" t="str">
        <x:v>Target Agent</x:v>
      </x:c>
      <x:c r="E31" s="50" t="str">
        <x:v>子域行为</x:v>
      </x:c>
      <x:c r="F31" s="50" t="str">
        <x:v>返回时</x:v>
      </x:c>
      <x:c r="G31" s="50" t="str">
        <x:v>Correlation</x:v>
      </x:c>
      <x:c r="H31" s="50" t="str">
        <x:v>限制</x:v>
      </x:c>
      <x:c r="I31" s="50" t="str">
        <x:v>UI要求</x:v>
      </x:c>
    </x:row>
    <x:row r="32">
      <x:c r="A32" s="66" t="str">
        <x:v>Inspection Flow</x:v>
      </x:c>
      <x:c r="B32" s="66" t="str">
        <x:v>Step Into RunMotion</x:v>
      </x:c>
      <x:c r="C32" s="66" t="str">
        <x:v>创建/Attach child Motion Debug Target</x:v>
      </x:c>
      <x:c r="D32" s="66" t="str">
        <x:v>MotionDebugAdapter绑定Invocation Session</x:v>
      </x:c>
      <x:c r="E32" s="66" t="str">
        <x:v>进入Motion工作台，可看轴/IO/资源</x:v>
      </x:c>
      <x:c r="F32" s="66" t="str">
        <x:v>Motion节点完成/失败后回Inspection</x:v>
      </x:c>
      <x:c r="G32" s="66" t="str">
        <x:v>同Task/Invocation tree</x:v>
      </x:c>
      <x:c r="H32" s="66" t="str">
        <x:v>生产Observe可能只读</x:v>
      </x:c>
      <x:c r="I32" s="66" t="str">
        <x:v>面包屑 Task→Flow→Motion</x:v>
      </x:c>
    </x:row>
    <x:row r="33">
      <x:c r="A33" s="58" t="str">
        <x:v>Inspection Flow</x:v>
      </x:c>
      <x:c r="B33" s="58" t="str">
        <x:v>Step Into RunVision</x:v>
      </x:c>
      <x:c r="C33" s="58" t="str">
        <x:v>Attach Vision Run</x:v>
      </x:c>
      <x:c r="D33" s="58" t="str">
        <x:v>VisionDebugAdapter绑定RunId</x:v>
      </x:c>
      <x:c r="E33" s="58" t="str">
        <x:v>Pipeline/Data Viewer/Node timing</x:v>
      </x:c>
      <x:c r="F33" s="58" t="str">
        <x:v>VisionResult返回后回Flow</x:v>
      </x:c>
      <x:c r="G33" s="58" t="str">
        <x:v>同Task/Run tree</x:v>
      </x:c>
      <x:c r="H33" s="58" t="str">
        <x:v>生产Observe不Override</x:v>
      </x:c>
      <x:c r="I33" s="58" t="str">
        <x:v>面包屑 Task→Flow→Vision</x:v>
      </x:c>
    </x:row>
    <x:row r="34">
      <x:c r="A34" s="66" t="str">
        <x:v>Motion Debug</x:v>
      </x:c>
      <x:c r="B34" s="66" t="str">
        <x:v>Inspect Camera/XRay command</x:v>
      </x:c>
      <x:c r="C34" s="66" t="str">
        <x:v>定位Device runtime snapshot</x:v>
      </x:c>
      <x:c r="D34" s="66" t="str">
        <x:v>Device provider telemetry</x:v>
      </x:c>
      <x:c r="E34" s="66" t="str">
        <x:v>显示设备状态/命令，无另造业务Debug</x:v>
      </x:c>
      <x:c r="F34" s="66" t="str">
        <x:v>回Motion node</x:v>
      </x:c>
      <x:c r="G34" s="66" t="str">
        <x:v>CommandId关联</x:v>
      </x:c>
      <x:c r="H34" s="66" t="str">
        <x:v>危险命令需受控</x:v>
      </x:c>
      <x:c r="I34" s="66" t="str">
        <x:v>设备面板</x:v>
      </x:c>
    </x:row>
    <x:row r="35">
      <x:c r="A35" s="58" t="str">
        <x:v>Vision Debug</x:v>
      </x:c>
      <x:c r="B35" s="58" t="str">
        <x:v>Inspect Frame Source</x:v>
      </x:c>
      <x:c r="C35" s="58" t="str">
        <x:v>定位Camera/Detector/Artifact</x:v>
      </x:c>
      <x:c r="D35" s="58" t="str">
        <x:v>Source telemetry/Data channel</x:v>
      </x:c>
      <x:c r="E35" s="58" t="str">
        <x:v>显示FrameId/质量/采集参数</x:v>
      </x:c>
      <x:c r="F35" s="58" t="str">
        <x:v>回Vision input node</x:v>
      </x:c>
      <x:c r="G35" s="58" t="str">
        <x:v>FrameId关联</x:v>
      </x:c>
      <x:c r="H35" s="58" t="str">
        <x:v>默认只读</x:v>
      </x:c>
      <x:c r="I35" s="58" t="str">
        <x:v>来源链</x:v>
      </x:c>
    </x:row>
    <x:row r="36">
      <x:c r="A36" s="66" t="str">
        <x:v>任意域</x:v>
      </x:c>
      <x:c r="B36" s="66" t="str">
        <x:v>Open Trace by Correlation</x:v>
      </x:c>
      <x:c r="C36" s="66" t="str">
        <x:v>聚合全域Trace</x:v>
      </x:c>
      <x:c r="D36" s="66" t="str">
        <x:v>Agent按Correlation查询/流式过滤</x:v>
      </x:c>
      <x:c r="E36" s="66" t="str">
        <x:v>Motion/Vision/MES/Resource事件合并</x:v>
      </x:c>
      <x:c r="F36" s="66" t="str">
        <x:v>保持原视图可跳转</x:v>
      </x:c>
      <x:c r="G36" s="66" t="str">
        <x:v>CorrelationId</x:v>
      </x:c>
      <x:c r="H36" s="66" t="str">
        <x:v>有界时间窗</x:v>
      </x:c>
      <x:c r="I36" s="66" t="str">
        <x:v>统一Timeline</x:v>
      </x:c>
    </x:row>
    <x:row r="37">
      <x:c r="A37"/>
      <x:c r="B37"/>
      <x:c r="C37"/>
      <x:c r="D37"/>
      <x:c r="E37"/>
      <x:c r="F37"/>
      <x:c r="G37"/>
      <x:c r="H37"/>
      <x:c r="I37"/>
    </x:row>
    <x:row r="38" ht="24" customHeight="1">
      <x:c r="A38" s="40" t="str">
        <x:v>D. 故障传播与处理矩阵</x:v>
      </x:c>
      <x:c r="B38" s="40"/>
      <x:c r="C38" s="40"/>
      <x:c r="D38" s="40"/>
      <x:c r="E38" s="40"/>
      <x:c r="F38" s="40"/>
      <x:c r="G38" s="40"/>
      <x:c r="H38" s="40"/>
      <x:c r="I38" s="40"/>
    </x:row>
    <x:row r="39" ht="28" customHeight="1">
      <x:c r="A39" s="50" t="str">
        <x:v>故障源</x:v>
      </x:c>
      <x:c r="B39" s="50" t="str">
        <x:v>原始故障</x:v>
      </x:c>
      <x:c r="C39" s="50" t="str">
        <x:v>Motion行为</x:v>
      </x:c>
      <x:c r="D39" s="50" t="str">
        <x:v>Vision行为</x:v>
      </x:c>
      <x:c r="E39" s="50" t="str">
        <x:v>Inspection策略</x:v>
      </x:c>
      <x:c r="F39" s="50" t="str">
        <x:v>SCADA/设备</x:v>
      </x:c>
      <x:c r="G39" s="50" t="str">
        <x:v>恢复/对账</x:v>
      </x:c>
      <x:c r="H39" s="50" t="str">
        <x:v>最终结果</x:v>
      </x:c>
      <x:c r="I39" s="50" t="str">
        <x:v>测试</x:v>
      </x:c>
    </x:row>
    <x:row r="40">
      <x:c r="A40" s="58" t="str">
        <x:v>Axis/Interlock</x:v>
      </x:c>
      <x:c r="B40" s="58" t="str">
        <x:v>AxisAlarm/InterlockDenied</x:v>
      </x:c>
      <x:c r="C40" s="58" t="str">
        <x:v>Invocation Fault/未执行后续</x:v>
      </x:c>
      <x:c r="D40" s="58" t="str">
        <x:v>N/A</x:v>
      </x:c>
      <x:c r="E40" s="58" t="str">
        <x:v>Retry/Compensate/Abort/Review</x:v>
      </x:c>
      <x:c r="F40" s="58" t="str">
        <x:v>报警/状态上报</x:v>
      </x:c>
      <x:c r="G40" s="58" t="str">
        <x:v>检查实际位置/夹具/Lease</x:v>
      </x:c>
      <x:c r="H40" s="58" t="str">
        <x:v>Task Fault/Retest</x:v>
      </x:c>
      <x:c r="I40" s="58" t="str">
        <x:v>Motion fault scenario</x:v>
      </x:c>
    </x:row>
    <x:row r="41">
      <x:c r="A41" s="66" t="str">
        <x:v>Camera/Detector</x:v>
      </x:c>
      <x:c r="B41" s="66" t="str">
        <x:v>Timeout/BadFrame</x:v>
      </x:c>
      <x:c r="C41" s="66" t="str">
        <x:v>可由Motion/Acquire节点Fault</x:v>
      </x:c>
      <x:c r="D41" s="66" t="str">
        <x:v>Vision不启动或输入BadQuality</x:v>
      </x:c>
      <x:c r="E41" s="66" t="str">
        <x:v>Retry acquisition/Fallback/Skip/Review</x:v>
      </x:c>
      <x:c r="F41" s="66" t="str">
        <x:v>设备重连</x:v>
      </x:c>
      <x:c r="G41" s="66" t="str">
        <x:v>FrameId确认</x:v>
      </x:c>
      <x:c r="H41" s="66" t="str">
        <x:v>Point failed/uncertain</x:v>
      </x:c>
      <x:c r="I41" s="66" t="str">
        <x:v>device disconnect</x:v>
      </x:c>
    </x:row>
    <x:row r="42">
      <x:c r="A42" s="58" t="str">
        <x:v>Vision Worker</x:v>
      </x:c>
      <x:c r="B42" s="58" t="str">
        <x:v>Crash/OOM</x:v>
      </x:c>
      <x:c r="C42" s="58" t="str">
        <x:v>N/A</x:v>
      </x:c>
      <x:c r="D42" s="58" t="str">
        <x:v>Run Fault；Worker可重启</x:v>
      </x:c>
      <x:c r="E42" s="58" t="str">
        <x:v>保留输入时Retry same Pipeline/备用Pipeline/Review</x:v>
      </x:c>
      <x:c r="F42" s="58" t="str">
        <x:v>Worker Health</x:v>
      </x:c>
      <x:c r="G42" s="58" t="str">
        <x:v>确保旧Run不续写结果</x:v>
      </x:c>
      <x:c r="H42" s="58" t="str">
        <x:v>Point retry/fault</x:v>
      </x:c>
      <x:c r="I42" s="58" t="str">
        <x:v>worker crash</x:v>
      </x:c>
    </x:row>
    <x:row r="43">
      <x:c r="A43" s="66" t="str">
        <x:v>MES Offline</x:v>
      </x:c>
      <x:c r="B43" s="66" t="str">
        <x:v>GatewayError</x:v>
      </x:c>
      <x:c r="C43" s="66" t="str">
        <x:v>N/A</x:v>
      </x:c>
      <x:c r="D43" s="66" t="str">
        <x:v>N/A</x:v>
      </x:c>
      <x:c r="E43" s="66" t="str">
        <x:v>可继续检测并StoreForward或按工艺阻止</x:v>
      </x:c>
      <x:c r="F43" s="66" t="str">
        <x:v>Queue Offline</x:v>
      </x:c>
      <x:c r="G43" s="66" t="str">
        <x:v>IdempotencyKey/Reconcile</x:v>
      </x:c>
      <x:c r="H43" s="66" t="str">
        <x:v>CompletedPendingReport/hold</x:v>
      </x:c>
      <x:c r="I43" s="66" t="str">
        <x:v>network</x:v>
      </x:c>
    </x:row>
    <x:row r="44">
      <x:c r="A44" s="58" t="str">
        <x:v>Runtime Crash</x:v>
      </x:c>
      <x:c r="B44" s="58" t="str">
        <x:v>Process terminated</x:v>
      </x:c>
      <x:c r="C44" s="58" t="str">
        <x:v>Motion设备需独立安全策略</x:v>
      </x:c>
      <x:c r="D44" s="58" t="str">
        <x:v>Worker可能独立继续/被取消</x:v>
      </x:c>
      <x:c r="E44" s="58" t="str">
        <x:v>从Checkpoint恢复/人工</x:v>
      </x:c>
      <x:c r="F44" s="58" t="str">
        <x:v>设备/Store状态需对账</x:v>
      </x:c>
      <x:c r="G44" s="58" t="str">
        <x:v>Resolved Manifest + ExternalOperation records</x:v>
      </x:c>
      <x:c r="H44" s="58" t="str">
        <x:v>Resume/Fault</x:v>
      </x:c>
      <x:c r="I44" s="58" t="str">
        <x:v>kill process</x:v>
      </x:c>
    </x:row>
    <x:row r="45">
      <x:c r="A45" s="66" t="str">
        <x:v>Debug Client Lost</x:v>
      </x:c>
      <x:c r="B45" s="66" t="str">
        <x:v>Studio disconnect</x:v>
      </x:c>
      <x:c r="C45" s="66" t="str">
        <x:v>Runtime继续/按DebugPolicy</x:v>
      </x:c>
      <x:c r="D45" s="66" t="str">
        <x:v>Run继续</x:v>
      </x:c>
      <x:c r="E45" s="66" t="str">
        <x:v>Task继续</x:v>
      </x:c>
      <x:c r="F45" s="66" t="str">
        <x:v>设备不依赖Studio</x:v>
      </x:c>
      <x:c r="G45" s="66" t="str">
        <x:v>Reconnect query</x:v>
      </x:c>
      <x:c r="H45" s="66" t="str">
        <x:v>不改变生产结果</x:v>
      </x:c>
      <x:c r="I45" s="66" t="str">
        <x:v>network</x:v>
      </x:c>
    </x:row>
    <x:row r="46">
      <x:c r="A46"/>
      <x:c r="B46"/>
      <x:c r="C46"/>
      <x:c r="D46"/>
      <x:c r="E46"/>
      <x:c r="F46"/>
      <x:c r="G46"/>
      <x:c r="H46"/>
      <x:c r="I46"/>
    </x:row>
    <x:row r="47" ht="24" customHeight="1">
      <x:c r="A47" s="40" t="str">
        <x:v>E. 端到端垂直切片开发顺序</x:v>
      </x:c>
      <x:c r="B47" s="40"/>
      <x:c r="C47" s="40"/>
      <x:c r="D47" s="40"/>
      <x:c r="E47" s="40"/>
      <x:c r="F47" s="40"/>
      <x:c r="G47" s="40"/>
      <x:c r="H47" s="40"/>
      <x:c r="I47" s="40"/>
    </x:row>
    <x:row r="48" ht="28" customHeight="1">
      <x:c r="A48" s="50" t="str">
        <x:v>切片</x:v>
      </x:c>
      <x:c r="B48" s="50" t="str">
        <x:v>功能目标</x:v>
      </x:c>
      <x:c r="C48" s="50" t="str">
        <x:v>必须包含</x:v>
      </x:c>
      <x:c r="D48" s="50" t="str">
        <x:v>先不做</x:v>
      </x:c>
      <x:c r="E48" s="50" t="str">
        <x:v>验收场景</x:v>
      </x:c>
      <x:c r="F48" s="50" t="str">
        <x:v>自动测试</x:v>
      </x:c>
      <x:c r="G48" s="50" t="str">
        <x:v>现场价值</x:v>
      </x:c>
      <x:c r="H48" s="50" t="str">
        <x:v>扩展方向</x:v>
      </x:c>
      <x:c r="I48" s="50" t="str">
        <x:v>建议阶段</x:v>
      </x:c>
    </x:row>
    <x:row r="49">
      <x:c r="A49" s="58" t="str">
        <x:v>Slice-1</x:v>
      </x:c>
      <x:c r="B49" s="58" t="str">
        <x:v>单点位最小闭环</x:v>
      </x:c>
      <x:c r="C49" s="58" t="str">
        <x:v>Task→RunMotion(模拟)→Acquire模拟图→Vision简单节点→Judge→Result</x:v>
      </x:c>
      <x:c r="D49" s="58" t="str">
        <x:v>复杂MES/恢复/GPU</x:v>
      </x:c>
      <x:c r="E49" s="58" t="str">
        <x:v>Simulation下OK/NG各一次</x:v>
      </x:c>
      <x:c r="F49" s="58" t="str">
        <x:v>Scenario test</x:v>
      </x:c>
      <x:c r="G49" s="58" t="str">
        <x:v>验证三域Contract</x:v>
      </x:c>
      <x:c r="H49" s="58" t="str">
        <x:v>替换真实Provider</x:v>
      </x:c>
      <x:c r="I49" s="58" t="str">
        <x:v>M3~M5</x:v>
      </x:c>
    </x:row>
    <x:row r="50">
      <x:c r="A50" s="66" t="str">
        <x:v>Slice-2</x:v>
      </x:c>
      <x:c r="B50" s="66" t="str">
        <x:v>真实运控+采图</x:v>
      </x:c>
      <x:c r="C50" s="66" t="str">
        <x:v>真实Axis/IO/Camera/XRay Adapter、Interlock、资源、Trace</x:v>
      </x:c>
      <x:c r="D50" s="66" t="str">
        <x:v>AI/多点位</x:v>
      </x:c>
      <x:c r="E50" s="66" t="str">
        <x:v>Move→Acquire稳定</x:v>
      </x:c>
      <x:c r="F50" s="66" t="str">
        <x:v>Integration</x:v>
      </x:c>
      <x:c r="G50" s="66" t="str">
        <x:v>设备链可用</x:v>
      </x:c>
      <x:c r="H50" s="66" t="str">
        <x:v>加入Vision</x:v>
      </x:c>
      <x:c r="I50" s="66" t="str">
        <x:v>M4</x:v>
      </x:c>
    </x:row>
    <x:row r="51">
      <x:c r="A51" s="58" t="str">
        <x:v>Slice-3</x:v>
      </x:c>
      <x:c r="B51" s="58" t="str">
        <x:v>真实Vision</x:v>
      </x:c>
      <x:c r="C51" s="58" t="str">
        <x:v>图像→预处理→传统/AI→结果，Data Viewer/Replay</x:v>
      </x:c>
      <x:c r="D51" s="58" t="str">
        <x:v>复杂Flow</x:v>
      </x:c>
      <x:c r="E51" s="58" t="str">
        <x:v>固定样本+实机图结果一致</x:v>
      </x:c>
      <x:c r="F51" s="58" t="str">
        <x:v>Golden/Perf</x:v>
      </x:c>
      <x:c r="G51" s="58" t="str">
        <x:v>算法平台落地</x:v>
      </x:c>
      <x:c r="H51" s="58" t="str">
        <x:v>多Pipeline/GPU Worker</x:v>
      </x:c>
      <x:c r="I51" s="58" t="str">
        <x:v>M5</x:v>
      </x:c>
    </x:row>
    <x:row r="52">
      <x:c r="A52" s="66" t="str">
        <x:v>Slice-4</x:v>
      </x:c>
      <x:c r="B52" s="66" t="str">
        <x:v>多点位+复测</x:v>
      </x:c>
      <x:c r="C52" s="66" t="str">
        <x:v>ForEachPoint/Retest/Result Merge</x:v>
      </x:c>
      <x:c r="D52" s="66" t="str">
        <x:v>MES/断电恢复</x:v>
      </x:c>
      <x:c r="E52" s="66" t="str">
        <x:v>1产品多点位+指定NG复测</x:v>
      </x:c>
      <x:c r="F52" s="66" t="str">
        <x:v>Scenario</x:v>
      </x:c>
      <x:c r="G52" s="66" t="str">
        <x:v>符合当前检测业务</x:v>
      </x:c>
      <x:c r="H52" s="66" t="str">
        <x:v>并发Task</x:v>
      </x:c>
      <x:c r="I52" s="66" t="str">
        <x:v>M6</x:v>
      </x:c>
    </x:row>
    <x:row r="53">
      <x:c r="A53" s="58" t="str">
        <x:v>Slice-5</x:v>
      </x:c>
      <x:c r="B53" s="58" t="str">
        <x:v>MES+Checkpoint</x:v>
      </x:c>
      <x:c r="C53" s="58" t="str">
        <x:v>Query/Report/Idempotency/StoreForward/Checkpoint</x:v>
      </x:c>
      <x:c r="D53" s="58" t="str">
        <x:v>远程运维</x:v>
      </x:c>
      <x:c r="E53" s="58" t="str">
        <x:v>MES断网+Runtime重启恢复</x:v>
      </x:c>
      <x:c r="F53" s="58" t="str">
        <x:v>Recovery</x:v>
      </x:c>
      <x:c r="G53" s="58" t="str">
        <x:v>生产可靠性</x:v>
      </x:c>
      <x:c r="H53" s="58" t="str">
        <x:v>Review/Remote</x:v>
      </x:c>
      <x:c r="I53" s="58" t="str">
        <x:v>M6</x:v>
      </x:c>
    </x:row>
    <x:row r="54">
      <x:c r="A54" s="66" t="str">
        <x:v>Slice-6</x:v>
      </x:c>
      <x:c r="B54" s="66" t="str">
        <x:v>多Task流水线</x:v>
      </x:c>
      <x:c r="C54" s="66" t="str">
        <x:v>Station/Resource/Task Scheduler/Throughput/Health</x:v>
      </x:c>
      <x:c r="D54" s="66" t="str">
        <x:v>分布式</x:v>
      </x:c>
      <x:c r="E54" s="66" t="str">
        <x:v>2~N产品并发不串Context/资源</x:v>
      </x:c>
      <x:c r="F54" s="66" t="str">
        <x:v>Concurrency/Soak</x:v>
      </x:c>
      <x:c r="G54" s="66" t="str">
        <x:v>提升UPH</x:v>
      </x:c>
      <x:c r="H54" s="66" t="str">
        <x:v>多站点</x:v>
      </x:c>
      <x:c r="I54" s="66" t="str">
        <x:v>M6~M7</x:v>
      </x:c>
    </x:row>
    <x:row r="55">
      <x:c r="A55" s="58" t="str">
        <x:v>Slice-7</x:v>
      </x:c>
      <x:c r="B55" s="58" t="str">
        <x:v>在线调试全链</x:v>
      </x:c>
      <x:c r="C55" s="58" t="str">
        <x:v>Target Agent/Control+Telemetry/跨域Step Into/Version diff/Promote</x:v>
      </x:c>
      <x:c r="D55" s="58" t="str">
        <x:v>高级插件生态</x:v>
      </x:c>
      <x:c r="E55" s="58" t="str">
        <x:v>从Inspection跳Motion/Vision，断线重连</x:v>
      </x:c>
      <x:c r="F55" s="58" t="str">
        <x:v>Debug E2E</x:v>
      </x:c>
      <x:c r="G55" s="58" t="str">
        <x:v>现场开发效率</x:v>
      </x:c>
      <x:c r="H55" s="58" t="str">
        <x:v>Remote engineering</x:v>
      </x:c>
      <x:c r="I55" s="58" t="str">
        <x:v>M7</x:v>
      </x:c>
    </x:row>
    <x:row r="57">
      <x:c r="A57" t="str">
        <x:v>F. V3.3 Variable / Hardware / Robot / CT 跨域闭环</x:v>
      </x:c>
      <x:c r="B57"/>
      <x:c r="C57"/>
      <x:c r="D57"/>
      <x:c r="E57"/>
      <x:c r="F57"/>
      <x:c r="G57"/>
      <x:c r="H57"/>
      <x:c r="I57"/>
    </x:row>
    <x:row r="58">
      <x:c r="A58" t="str">
        <x:v>F. 历史 V3.3 跨域闭环（被G的V6.4 Case-Driven规则覆盖）</x:v>
      </x:c>
      <x:c r="B58" t="str">
        <x:v>调用链</x:v>
      </x:c>
      <x:c r="C58" t="str">
        <x:v>稳定契约</x:v>
      </x:c>
      <x:c r="D58" t="str">
        <x:v>安全/资源</x:v>
      </x:c>
      <x:c r="E58" t="str">
        <x:v>DesignRef</x:v>
      </x:c>
      <x:c r="F58" t="str">
        <x:v>阶段</x:v>
      </x:c>
      <x:c r="G58"/>
      <x:c r="H58"/>
      <x:c r="I58"/>
    </x:row>
    <x:row r="59">
      <x:c r="A59" t="str">
        <x:v>HMI变量闭环</x:v>
      </x:c>
      <x:c r="B59" t="str">
        <x:v>DeviceVariable→Project Variable→Binding→Runtime→Alarm/Trend</x:v>
      </x:c>
      <x:c r="C59" t="str">
        <x:v>VariableId/VariableValue</x:v>
      </x:c>
      <x:c r="D59" t="str">
        <x:v>写回走WritePipeline</x:v>
      </x:c>
      <x:c r="E59" t="str">
        <x:v>46</x:v>
      </x:c>
      <x:c r="F59" t="str">
        <x:v>M2</x:v>
      </x:c>
      <x:c r="G59"/>
      <x:c r="H59"/>
      <x:c r="I59"/>
    </x:row>
    <x:row r="60">
      <x:c r="A60" t="str">
        <x:v>Graph变量闭环</x:v>
      </x:c>
      <x:c r="B60" t="str">
        <x:v>DeviceVariable→VariableChanged/Read/Write nodes→Domain invocation</x:v>
      </x:c>
      <x:c r="C60" t="str">
        <x:v>Typed DataValue + Quality/Sequence</x:v>
      </x:c>
      <x:c r="D60" t="str">
        <x:v>Write node受安全链</x:v>
      </x:c>
      <x:c r="E60" t="str">
        <x:v>46</x:v>
      </x:c>
      <x:c r="F60" t="str">
        <x:v>M3</x:v>
      </x:c>
      <x:c r="G60"/>
      <x:c r="H60"/>
      <x:c r="I60"/>
    </x:row>
    <x:row r="61">
      <x:c r="A61" t="str">
        <x:v>Motion硬件闭环</x:v>
      </x:c>
      <x:c r="B61" t="str">
        <x:v>Motion Program→Resource/Interlock→Controller/Axis/IO/Trigger/XRay/Detector</x:v>
      </x:c>
      <x:c r="C61" t="str">
        <x:v>Capability interfaces</x:v>
      </x:c>
      <x:c r="D61" t="str">
        <x:v>Vendor Adapter隔离</x:v>
      </x:c>
      <x:c r="E61" t="str">
        <x:v>47</x:v>
      </x:c>
      <x:c r="F61" t="str">
        <x:v>M4</x:v>
      </x:c>
      <x:c r="G61"/>
      <x:c r="H61"/>
      <x:c r="I61"/>
    </x:row>
    <x:row r="62">
      <x:c r="A62" t="str">
        <x:v>Robot调用</x:v>
      </x:c>
      <x:c r="B62" t="str">
        <x:v>Inspection/Graph→RobotInvocation→RobotPlan→Motion family Resource/Safety→Controller Adapter</x:v>
      </x:c>
      <x:c r="C62" t="str">
        <x:v>DefinitionId+Version+Pose/Frame</x:v>
      </x:c>
      <x:c r="D62" t="str">
        <x:v>Jog/Teach受控</x:v>
      </x:c>
      <x:c r="E62" t="str">
        <x:v>29/47</x:v>
      </x:c>
      <x:c r="F62" t="str">
        <x:v>M4+</x:v>
      </x:c>
      <x:c r="G62"/>
      <x:c r="H62"/>
      <x:c r="I62"/>
    </x:row>
    <x:row r="63">
      <x:c r="A63" t="str">
        <x:v>CT采集重建</x:v>
      </x:c>
      <x:c r="B63" t="str">
        <x:v>Inspection→Motion/Robot scan+XRay/Detector→ProjectionHandle→CT Plan→Worker→VolumeHandle→MPR</x:v>
      </x:c>
      <x:c r="C63" t="str">
        <x:v>Artifact/Handle+Geometry/Calibration</x:v>
      </x:c>
      <x:c r="D63" t="str">
        <x:v>大数据不走普通Telemetry</x:v>
      </x:c>
      <x:c r="E63" t="str">
        <x:v>33/47</x:v>
      </x:c>
      <x:c r="F63" t="str">
        <x:v>M5+</x:v>
      </x:c>
      <x:c r="G63"/>
      <x:c r="H63"/>
      <x:c r="I63"/>
    </x:row>
    <x:row r="64">
      <x:c r="A64" s="118" t="str">
        <x:v>G. V6.4 Case-Driven E2E 回归基线</x:v>
      </x:c>
      <x:c r="B64" s="118"/>
      <x:c r="C64" s="118"/>
      <x:c r="D64" s="118"/>
      <x:c r="E64" s="118"/>
      <x:c r="F64" s="118"/>
      <x:c r="G64" s="118"/>
      <x:c r="H64" s="118"/>
      <x:c r="I64" s="118"/>
    </x:row>
    <x:row r="65">
      <x:c r="A65" s="119" t="str">
        <x:v>Case</x:v>
      </x:c>
      <x:c r="B65" s="119" t="str">
        <x:v>真实链路</x:v>
      </x:c>
      <x:c r="C65" s="119" t="str">
        <x:v>重点攻击</x:v>
      </x:c>
      <x:c r="D65" s="119" t="str">
        <x:v>平台/专业边界</x:v>
      </x:c>
      <x:c r="E65" s="119" t="str">
        <x:v>当前证据</x:v>
      </x:c>
      <x:c r="F65" s="119" t="str">
        <x:v>未完成</x:v>
      </x:c>
      <x:c r="G65" s="119" t="str">
        <x:v>优先级</x:v>
      </x:c>
      <x:c r="H65" s="119" t="str">
        <x:v>Owner</x:v>
      </x:c>
      <x:c r="I65" s="119" t="str">
        <x:v>备注</x:v>
      </x:c>
    </x:row>
    <x:row r="66">
      <x:c r="A66" s="117" t="str">
        <x:v>ICS-SCADA-01</x:v>
      </x:c>
      <x:c r="B66" s="117" t="str">
        <x:v>Modbus TCP→IVariableProvider→StateCache→Alarm/Historian</x:v>
      </x:c>
      <x:c r="C66" s="117" t="str">
        <x:v>协议/Quality/Reconnect/Backoff</x:v>
      </x:c>
      <x:c r="D66" s="117" t="str">
        <x:v>协议仅Automation.Drivers</x:v>
      </x:c>
      <x:c r="E66" s="117" t="str">
        <x:v>V6.4 Modbus Socket Case</x:v>
      </x:c>
      <x:c r="F66" s="117" t="str">
        <x:v>真实PLC 24h</x:v>
      </x:c>
      <x:c r="G66" s="117" t="str">
        <x:v>P0</x:v>
      </x:c>
      <x:c r="H66" s="117" t="str">
        <x:v>Automation</x:v>
      </x:c>
      <x:c r="I66" s="117" t="str"/>
    </x:row>
    <x:row r="67">
      <x:c r="A67" s="117" t="str">
        <x:v>SCADA-WRITE-01</x:v>
      </x:c>
      <x:c r="B67" s="117" t="str">
        <x:v>HMI/Action→WritePipeline→Provider→Readback→Audit</x:v>
      </x:c>
      <x:c r="C67" s="117" t="str">
        <x:v>权限/回读/失败语义</x:v>
      </x:c>
      <x:c r="D67" s="117" t="str">
        <x:v>Action不直写Driver</x:v>
      </x:c>
      <x:c r="E67" s="117" t="str">
        <x:v>V6.4 WritePipeline Case</x:v>
      </x:c>
      <x:c r="F67" s="117" t="str">
        <x:v>真实PLC异常写</x:v>
      </x:c>
      <x:c r="G67" s="117" t="str">
        <x:v>P0</x:v>
      </x:c>
      <x:c r="H67" s="117" t="str">
        <x:v>Platform+Automation</x:v>
      </x:c>
      <x:c r="I67" s="117" t="str"/>
    </x:row>
    <x:row r="68">
      <x:c r="A68" s="117" t="str">
        <x:v>MOTION-01</x:v>
      </x:c>
      <x:c r="B68" s="117" t="str">
        <x:v>MotionProgram→Validate→Compile→ExecutionPlan→Sequence/Parallel→Lease/Interlock→Driver</x:v>
      </x:c>
      <x:c r="C68" s="117" t="str">
        <x:v>Definition/Runtime分离、资源竞争</x:v>
      </x:c>
      <x:c r="D68" s="117" t="str">
        <x:v>硬实时下沉控制器</x:v>
      </x:c>
      <x:c r="E68" s="117" t="str">
        <x:v>V6.4 Motion Case</x:v>
      </x:c>
      <x:c r="F68" s="117" t="str">
        <x:v>真实双轴控制器</x:v>
      </x:c>
      <x:c r="G68" s="117" t="str">
        <x:v>P0</x:v>
      </x:c>
      <x:c r="H68" s="117" t="str">
        <x:v>Automation</x:v>
      </x:c>
      <x:c r="I68" s="117" t="str"/>
    </x:row>
    <x:row r="69">
      <x:c r="A69" s="117" t="str">
        <x:v>STATION-01</x:v>
      </x:c>
      <x:c r="B69" s="117" t="str">
        <x:v>Station Start→ICS/SCADA/Motion→Stop→Restart</x:v>
      </x:c>
      <x:c r="C69" s="117" t="str">
        <x:v>生命周期/订阅/Worker释放</x:v>
      </x:c>
      <x:c r="D69" s="117" t="str">
        <x:v>Host只组合</x:v>
      </x:c>
      <x:c r="E69" s="117" t="str">
        <x:v>V6.2/V6.3 Case</x:v>
      </x:c>
      <x:c r="F69" s="117" t="str">
        <x:v>100次启停/72h</x:v>
      </x:c>
      <x:c r="G69" s="117" t="str">
        <x:v>P0</x:v>
      </x:c>
      <x:c r="H69" s="117" t="str">
        <x:v>Runtime</x:v>
      </x:c>
      <x:c r="I69" s="117" t="str"/>
    </x:row>
    <x:row r="70">
      <x:c r="A70" s="117" t="str">
        <x:v>VAR-NEXT</x:v>
      </x:c>
      <x:c r="B70" s="117" t="str">
        <x:v>VariableId→Binding→Real/Virtual/Replay</x:v>
      </x:c>
      <x:c r="C70" s="117" t="str">
        <x:v>通用变量/Device解耦</x:v>
      </x:c>
      <x:c r="D70" s="117" t="str">
        <x:v>Variable在Platform；协议Binding在Automation</x:v>
      </x:c>
      <x:c r="E70" s="117" t="str">
        <x:v>46/50设计</x:v>
      </x:c>
      <x:c r="F70" s="117" t="str">
        <x:v>V6.5实现Case</x:v>
      </x:c>
      <x:c r="G70" s="117" t="str">
        <x:v>P0</x:v>
      </x:c>
      <x:c r="H70" s="117" t="str">
        <x:v>Platform</x:v>
      </x:c>
      <x:c r="I70" s="117" t="str">
        <x:v>下一阶段</x:v>
      </x:c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42" hidden="0" customWidth="1"/>
    <x:col min="4" max="4" width="34" hidden="0" customWidth="1"/>
    <x:col min="5" max="5" width="32" hidden="0" customWidth="1"/>
    <x:col min="6" max="6" width="32" hidden="0" customWidth="1"/>
    <x:col min="7" max="7" width="30" hidden="0" customWidth="1"/>
    <x:col min="8" max="8" width="28" hidden="0" customWidth="1"/>
    <x:col min="9" max="9" width="30" hidden="0" customWidth="1"/>
  </x:cols>
  <x:sheetData>
    <x:row r="1" ht="30" customHeight="1">
      <x:c r="A1" s="8" t="str">
        <x:v>CxVisual Operations Center — 完整开发蓝图</x:v>
      </x:c>
      <x:c r="B1" s="8"/>
      <x:c r="C1" s="8"/>
      <x:c r="D1" s="8"/>
      <x:c r="E1" s="8"/>
      <x:c r="F1" s="8"/>
      <x:c r="G1" s="8"/>
      <x:c r="H1" s="8"/>
      <x:c r="I1" s="8"/>
    </x:row>
    <x:row r="2" ht="38" customHeight="1">
      <x:c r="A2" s="16" t="str">
        <x:v>Operations Management Plane HOW权威页：站点资产、Fleet Health、Version Matrix、Release Repository、Canary/Rollout、Case与Station Agent。</x:v>
      </x:c>
      <x:c r="B2" s="16"/>
      <x:c r="C2" s="16"/>
      <x:c r="D2" s="16"/>
      <x:c r="E2" s="16"/>
      <x:c r="F2" s="16"/>
      <x:c r="G2" s="16"/>
      <x:c r="H2" s="16"/>
      <x:c r="I2" s="16"/>
    </x:row>
    <x:row r="3">
      <x:c r="A3" s="30" t="str">
        <x:v>本页唯一权威</x:v>
      </x:c>
      <x:c r="B3" s="31" t="str">
        <x:v>Operations Center、Station Agent、Telemetry、Deployment、Version、Diagnostic Case、Fleet自治与中心离线策略。</x:v>
      </x:c>
      <x:c r="C3" s="31"/>
      <x:c r="D3" s="31"/>
      <x:c r="E3" s="31"/>
      <x:c r="F3" s="31"/>
      <x:c r="G3" s="31"/>
      <x:c r="H3" s="31"/>
      <x:c r="I3" s="31"/>
    </x:row>
    <x:row r="4">
      <x:c r="A4" s="30" t="str">
        <x:v>不在本页维护</x:v>
      </x:c>
      <x:c r="B4" s="31" t="str">
        <x:v>Domain在线调试语义（见28/30/32/34/36）、Remote Session安全治理（见39）。</x:v>
      </x:c>
      <x:c r="C4" s="31"/>
      <x:c r="D4" s="31"/>
      <x:c r="E4" s="31"/>
      <x:c r="F4" s="31"/>
      <x:c r="G4" s="31"/>
      <x:c r="H4" s="31"/>
      <x:c r="I4" s="31"/>
    </x:row>
    <x:row r="5">
      <x:c r="A5" s="30" t="str">
        <x:v>关联分页</x:v>
      </x:c>
      <x:c r="B5" s="31" t="str">
        <x:v>23_GraphRuntime部署可靠性Agent；39_RemoteEngineering；14_Security写入审计。</x:v>
      </x:c>
      <x:c r="C5" s="31"/>
      <x:c r="D5" s="31"/>
      <x:c r="E5" s="31"/>
      <x:c r="F5" s="31"/>
      <x:c r="G5" s="31"/>
      <x:c r="H5" s="31"/>
      <x:c r="I5" s="31"/>
    </x:row>
    <x:row r="6">
      <x:c r="A6"/>
      <x:c r="B6"/>
      <x:c r="C6"/>
      <x:c r="D6"/>
      <x:c r="E6"/>
      <x:c r="F6"/>
      <x:c r="G6"/>
      <x:c r="H6"/>
      <x:c r="I6"/>
    </x:row>
    <x:row r="7" ht="24" customHeight="1">
      <x:c r="A7" s="40" t="str">
        <x:v>A. 领域定位与边界</x:v>
      </x:c>
      <x:c r="B7" s="40"/>
      <x:c r="C7" s="40"/>
      <x:c r="D7" s="40"/>
      <x:c r="E7" s="40"/>
      <x:c r="F7" s="40"/>
      <x:c r="G7" s="40"/>
      <x:c r="H7" s="40"/>
      <x:c r="I7" s="40"/>
    </x:row>
    <x:row r="8" ht="28" customHeight="1">
      <x:c r="A8" s="50" t="str">
        <x:v>主题</x:v>
      </x:c>
      <x:c r="B8" s="50" t="str">
        <x:v>正式定位</x:v>
      </x:c>
      <x:c r="C8" s="50" t="str">
        <x:v>边界</x:v>
      </x:c>
      <x:c r="D8" s="50"/>
      <x:c r="E8" s="50"/>
      <x:c r="F8" s="50"/>
      <x:c r="G8" s="50"/>
      <x:c r="H8" s="50"/>
      <x:c r="I8" s="50"/>
    </x:row>
    <x:row r="9">
      <x:c r="A9" s="58" t="str">
        <x:v>平面</x:v>
      </x:c>
      <x:c r="B9" s="58" t="str">
        <x:v>Management Plane</x:v>
      </x:c>
      <x:c r="C9" s="58" t="str">
        <x:v>不参与单机产品检测执行</x:v>
      </x:c>
      <x:c r="D9" s="58"/>
      <x:c r="E9" s="58"/>
      <x:c r="F9" s="58"/>
      <x:c r="G9" s="58"/>
      <x:c r="H9" s="58"/>
      <x:c r="I9" s="58"/>
    </x:row>
    <x:row r="10">
      <x:c r="A10" s="66" t="str">
        <x:v>负责</x:v>
      </x:c>
      <x:c r="B10" s="66" t="str">
        <x:v>Fleet/Health/Version/Release/Rollout/Case/Telemetry/Remote Session治理</x:v>
      </x:c>
      <x:c r="C10" s="66" t="str">
        <x:v>通过Station Agent管理Runtime站</x:v>
      </x:c>
      <x:c r="D10" s="66"/>
      <x:c r="E10" s="66"/>
      <x:c r="F10" s="66"/>
      <x:c r="G10" s="66"/>
      <x:c r="H10" s="66"/>
      <x:c r="I10" s="66"/>
    </x:row>
    <x:row r="11">
      <x:c r="A11" s="58" t="str">
        <x:v>不负责</x:v>
      </x:c>
      <x:c r="B11" s="58" t="str">
        <x:v>直接调用PLC/Domain内部对象、成为Runtime实时依赖</x:v>
      </x:c>
      <x:c r="C11" s="58" t="str">
        <x:v>中心离线时本地继续生产</x:v>
      </x:c>
      <x:c r="D11" s="58"/>
      <x:c r="E11" s="58"/>
      <x:c r="F11" s="58"/>
      <x:c r="G11" s="58"/>
      <x:c r="H11" s="58"/>
      <x:c r="I11" s="58"/>
    </x:row>
    <x:row r="12">
      <x:c r="A12"/>
      <x:c r="B12"/>
      <x:c r="C12"/>
      <x:c r="D12"/>
      <x:c r="E12"/>
      <x:c r="F12"/>
      <x:c r="G12"/>
      <x:c r="H12"/>
      <x:c r="I12"/>
    </x:row>
    <x:row r="13" ht="24" customHeight="1">
      <x:c r="A13" s="40" t="str">
        <x:v>A. Operations Center 完整功能展望</x:v>
      </x:c>
      <x:c r="B13" s="40"/>
      <x:c r="C13" s="40"/>
      <x:c r="D13" s="40"/>
      <x:c r="E13" s="40"/>
      <x:c r="F13" s="40"/>
      <x:c r="G13" s="40"/>
      <x:c r="H13" s="40"/>
      <x:c r="I13" s="40"/>
    </x:row>
    <x:row r="14" ht="28" customHeight="1">
      <x:c r="A14" s="50" t="str">
        <x:v>功能域</x:v>
      </x:c>
      <x:c r="B14" s="50" t="str">
        <x:v>核心能力</x:v>
      </x:c>
      <x:c r="C14" s="50" t="str">
        <x:v>具体功能</x:v>
      </x:c>
      <x:c r="D14" s="50" t="str">
        <x:v>主要对象</x:v>
      </x:c>
      <x:c r="E14" s="50" t="str">
        <x:v>UI形态</x:v>
      </x:c>
      <x:c r="F14" s="50" t="str">
        <x:v>数据来源</x:v>
      </x:c>
      <x:c r="G14" s="50" t="str">
        <x:v>动作能力</x:v>
      </x:c>
      <x:c r="H14" s="50" t="str">
        <x:v>可靠性/安全</x:v>
      </x:c>
      <x:c r="I14" s="50"/>
    </x:row>
    <x:row r="15">
      <x:c r="A15" s="66" t="str">
        <x:v>站点资产</x:v>
      </x:c>
      <x:c r="B15" s="66" t="str">
        <x:v>Site/Line/Station/Runtime/Device资产管理</x:v>
      </x:c>
      <x:c r="C15" s="66" t="str">
        <x:v>组织树、标签、位置描述、机型、Owner、环境、Agent/Runtime版本、关键资源</x:v>
      </x:c>
      <x:c r="D15" s="66" t="str">
        <x:v>Site/Station/Asset</x:v>
      </x:c>
      <x:c r="E15" s="66" t="str">
        <x:v>Fleet Tree/Inventory</x:v>
      </x:c>
      <x:c r="F15" s="66" t="str">
        <x:v>Station Agent</x:v>
      </x:c>
      <x:c r="G15" s="66" t="str">
        <x:v>只读配置/受控更新</x:v>
      </x:c>
      <x:c r="H15" s="66" t="str">
        <x:v>稳定Id/权限</x:v>
      </x:c>
      <x:c r="I15" s="66"/>
    </x:row>
    <x:row r="16">
      <x:c r="A16" s="58" t="str">
        <x:v>在线状态</x:v>
      </x:c>
      <x:c r="B16" s="58" t="str">
        <x:v>Fleet实时健康</x:v>
      </x:c>
      <x:c r="C16" s="58" t="str">
        <x:v>Online/Offline/Degraded/Maintenance/LastSeen/Runtime status/Worker status</x:v>
      </x:c>
      <x:c r="D16" s="58" t="str">
        <x:v>StationHealth</x:v>
      </x:c>
      <x:c r="E16" s="58" t="str">
        <x:v>Fleet Dashboard</x:v>
      </x:c>
      <x:c r="F16" s="58" t="str">
        <x:v>Heartbeat/Health</x:v>
      </x:c>
      <x:c r="G16" s="58" t="str">
        <x:v>进入维护/查看详情</x:v>
      </x:c>
      <x:c r="H16" s="58" t="str">
        <x:v>中心断线不影响本机</x:v>
      </x:c>
      <x:c r="I16" s="58"/>
    </x:row>
    <x:row r="17">
      <x:c r="A17" s="66" t="str">
        <x:v>版本清单</x:v>
      </x:c>
      <x:c r="B17" s="66" t="str">
        <x:v>全站版本可视化</x:v>
      </x:c>
      <x:c r="C17" s="66" t="str">
        <x:v>App/Project Release/Flow/Motion/Vision/Model/Plugin/Driver/Profile hash</x:v>
      </x:c>
      <x:c r="D17" s="66" t="str">
        <x:v>StationVersionInventory</x:v>
      </x:c>
      <x:c r="E17" s="66" t="str">
        <x:v>Version Matrix</x:v>
      </x:c>
      <x:c r="F17" s="66" t="str">
        <x:v>Resolved Manifest</x:v>
      </x:c>
      <x:c r="G17" s="66" t="str">
        <x:v>比较/生成升级计划</x:v>
      </x:c>
      <x:c r="H17" s="66" t="str">
        <x:v>签名/兼容</x:v>
      </x:c>
      <x:c r="I17" s="66"/>
    </x:row>
    <x:row r="18">
      <x:c r="A18" s="58" t="str">
        <x:v>发布仓库</x:v>
      </x:c>
      <x:c r="B18" s="58" t="str">
        <x:v>Release/Plugin/Model包管理</x:v>
      </x:c>
      <x:c r="C18" s="58" t="str">
        <x:v>上传/签名/审批/Channel/兼容性/依赖/Retention</x:v>
      </x:c>
      <x:c r="D18" s="58" t="str">
        <x:v>ReleaseRepository</x:v>
      </x:c>
      <x:c r="E18" s="58" t="str">
        <x:v>Package Repository</x:v>
      </x:c>
      <x:c r="F18" s="58" t="str">
        <x:v>Publish pipeline</x:v>
      </x:c>
      <x:c r="G18" s="58" t="str">
        <x:v>发布/废弃/锁定</x:v>
      </x:c>
      <x:c r="H18" s="58" t="str">
        <x:v>Hash/签名/RBAC</x:v>
      </x:c>
      <x:c r="I18" s="58"/>
    </x:row>
    <x:row r="19">
      <x:c r="A19" s="66" t="str">
        <x:v>分批部署</x:v>
      </x:c>
      <x:c r="B19" s="66" t="str">
        <x:v>Fleet Rollout</x:v>
      </x:c>
      <x:c r="C19" s="66" t="str">
        <x:v>按Site/Line/Tag分组、Canary/Ring/批次/窗口/暂停/继续/失败阈值/自动回滚</x:v>
      </x:c>
      <x:c r="D19" s="66" t="str">
        <x:v>RolloutPlan/RolloutJob</x:v>
      </x:c>
      <x:c r="E19" s="66" t="str">
        <x:v>Deployment Center</x:v>
      </x:c>
      <x:c r="F19" s="66" t="str">
        <x:v>Station Deployment Agent</x:v>
      </x:c>
      <x:c r="G19" s="66" t="str">
        <x:v>Deploy/Rollback</x:v>
      </x:c>
      <x:c r="H19" s="66" t="str">
        <x:v>本地Atomic switch</x:v>
      </x:c>
      <x:c r="I19" s="66"/>
    </x:row>
    <x:row r="20">
      <x:c r="A20" s="58" t="str">
        <x:v>配置备份</x:v>
      </x:c>
      <x:c r="B20" s="58" t="str">
        <x:v>工程/运行Profile/站点配置备份</x:v>
      </x:c>
      <x:c r="C20" s="58" t="str">
        <x:v>Release manifest、Project package、非密钥Profile、Plugin list、设备映射摘要</x:v>
      </x:c>
      <x:c r="D20" s="58" t="str">
        <x:v>BackupRecord</x:v>
      </x:c>
      <x:c r="E20" s="58" t="str">
        <x:v>Backup Center</x:v>
      </x:c>
      <x:c r="F20" s="58" t="str">
        <x:v>Station Agent/Repository</x:v>
      </x:c>
      <x:c r="G20" s="58" t="str">
        <x:v>Backup/Restore plan</x:v>
      </x:c>
      <x:c r="H20" s="58" t="str">
        <x:v>Secrets不明文集中</x:v>
      </x:c>
      <x:c r="I20" s="58"/>
    </x:row>
    <x:row r="21">
      <x:c r="A21" s="66" t="str">
        <x:v>集中告警摘要</x:v>
      </x:c>
      <x:c r="B21" s="66" t="str">
        <x:v>跨站点健康/系统事件聚合</x:v>
      </x:c>
      <x:c r="C21" s="66" t="str">
        <x:v>Station offline/worker crash/disk low/deploy fail/queue backlog/quality degradation</x:v>
      </x:c>
      <x:c r="D21" s="66" t="str">
        <x:v>OpsEvent/HealthRule</x:v>
      </x:c>
      <x:c r="E21" s="66" t="str">
        <x:v>Event Center</x:v>
      </x:c>
      <x:c r="F21" s="66" t="str">
        <x:v>Telemetry/Health</x:v>
      </x:c>
      <x:c r="G21" s="66" t="str">
        <x:v>Ack/Assign/Suppress rule</x:v>
      </x:c>
      <x:c r="H21" s="66" t="str">
        <x:v>不替代本地工艺Alarm Engine</x:v>
      </x:c>
      <x:c r="I21" s="66"/>
    </x:row>
    <x:row r="22">
      <x:c r="A22" s="58" t="str">
        <x:v>性能与容量</x:v>
      </x:c>
      <x:c r="B22" s="58" t="str">
        <x:v>Fleet性能趋势</x:v>
      </x:c>
      <x:c r="C22" s="58" t="str">
        <x:v>CPU/RAM/GPU/VRAM/Disk/Queue/UPH/CycleTime/Frame drop/MES backlog</x:v>
      </x:c>
      <x:c r="D22" s="58" t="str">
        <x:v>MetricSeries</x:v>
      </x:c>
      <x:c r="E22" s="58" t="str">
        <x:v>Dashboard/Trend</x:v>
      </x:c>
      <x:c r="F22" s="58" t="str">
        <x:v>Metrics</x:v>
      </x:c>
      <x:c r="G22" s="58" t="str">
        <x:v>阈值/基线比较</x:v>
      </x:c>
      <x:c r="H22" s="58" t="str">
        <x:v>采样/Retention</x:v>
      </x:c>
      <x:c r="I22" s="58"/>
    </x:row>
    <x:row r="23">
      <x:c r="A23" s="66" t="str">
        <x:v>生产/质量摘要</x:v>
      </x:c>
      <x:c r="B23" s="66" t="str">
        <x:v>检测业务KPI</x:v>
      </x:c>
      <x:c r="C23" s="66" t="str">
        <x:v>Task count/OK-NG/Defect distribution/Retest rate/CycleTime/Review backlog</x:v>
      </x:c>
      <x:c r="D23" s="66" t="str">
        <x:v>ProductionSummary</x:v>
      </x:c>
      <x:c r="E23" s="66" t="str">
        <x:v>Quality Dashboard</x:v>
      </x:c>
      <x:c r="F23" s="66" t="str">
        <x:v>Inspection summaries/Result store</x:v>
      </x:c>
      <x:c r="G23" s="66" t="str">
        <x:v>筛选/导出/钻取</x:v>
      </x:c>
      <x:c r="H23" s="66" t="str">
        <x:v>只传摘要或按权限Artifact</x:v>
      </x:c>
      <x:c r="I23" s="66"/>
    </x:row>
    <x:row r="24">
      <x:c r="A24" s="58" t="str">
        <x:v>诊断搜索</x:v>
      </x:c>
      <x:c r="B24" s="58" t="str">
        <x:v>跨站点Trace/Log/Correlation查询</x:v>
      </x:c>
      <x:c r="C24" s="58" t="str">
        <x:v>按Station/Task/Product/Run/Correlation/Error code/Version/Time搜索</x:v>
      </x:c>
      <x:c r="D24" s="58" t="str">
        <x:v>DiagnosticIndex</x:v>
      </x:c>
      <x:c r="E24" s="58" t="str">
        <x:v>Search Workspace</x:v>
      </x:c>
      <x:c r="F24" s="58" t="str">
        <x:v>Agent/central index</x:v>
      </x:c>
      <x:c r="G24" s="58" t="str">
        <x:v>打开Case/请求Artifact</x:v>
      </x:c>
      <x:c r="H24" s="58" t="str">
        <x:v>Retention/脱敏</x:v>
      </x:c>
      <x:c r="I24" s="58"/>
    </x:row>
    <x:row r="25">
      <x:c r="A25" s="66" t="str">
        <x:v>Incident Case</x:v>
      </x:c>
      <x:c r="B25" s="66" t="str">
        <x:v>故障Case管理</x:v>
      </x:c>
      <x:c r="C25" s="66" t="str">
        <x:v>症状/时间/站点/版本/Trace/Artifact/动作/结论/责任/知识库链接</x:v>
      </x:c>
      <x:c r="D25" s="66" t="str">
        <x:v>DiagnosticCase</x:v>
      </x:c>
      <x:c r="E25" s="66" t="str">
        <x:v>Case Workspace</x:v>
      </x:c>
      <x:c r="F25" s="66" t="str">
        <x:v>Ops events/人工</x:v>
      </x:c>
      <x:c r="G25" s="66" t="str">
        <x:v>Assign/Comment/Close</x:v>
      </x:c>
      <x:c r="H25" s="66" t="str">
        <x:v>全审计</x:v>
      </x:c>
      <x:c r="I25" s="66"/>
    </x:row>
    <x:row r="26">
      <x:c r="A26" s="58" t="str">
        <x:v>远程查看</x:v>
      </x:c>
      <x:c r="B26" s="58" t="str">
        <x:v>只读Runtime/画面/任务/健康</x:v>
      </x:c>
      <x:c r="C26" s="58" t="str">
        <x:v>Remote Viewer/Task Monitor/Alarm/Result/Health</x:v>
      </x:c>
      <x:c r="D26" s="58" t="str">
        <x:v>RemoteSession</x:v>
      </x:c>
      <x:c r="E26" s="58" t="str">
        <x:v>Remote View</x:v>
      </x:c>
      <x:c r="F26" s="58" t="str">
        <x:v>Station Agent</x:v>
      </x:c>
      <x:c r="G26" s="58" t="str">
        <x:v>Attach read-only</x:v>
      </x:c>
      <x:c r="H26" s="58" t="str">
        <x:v>默认只读</x:v>
      </x:c>
      <x:c r="I26" s="58"/>
    </x:row>
    <x:row r="27">
      <x:c r="A27" s="66" t="str">
        <x:v>远程工程治理</x:v>
      </x:c>
      <x:c r="B27" s="66" t="str">
        <x:v>受控远程Debug/维护</x:v>
      </x:c>
      <x:c r="C27" s="66" t="str">
        <x:v>申请/审批/TTL/Reason/Target/Mode/Session recording/权限策略</x:v>
      </x:c>
      <x:c r="D27" s="66" t="str">
        <x:v>RemoteEngineeringSession</x:v>
      </x:c>
      <x:c r="E27" s="66" t="str">
        <x:v>Remote Engineering Center</x:v>
      </x:c>
      <x:c r="F27" s="66" t="str">
        <x:v>Station Agent/Broker</x:v>
      </x:c>
      <x:c r="G27" s="66" t="str">
        <x:v>启动受控会话</x:v>
      </x:c>
      <x:c r="H27" s="66" t="str">
        <x:v>高权限/强审计</x:v>
      </x:c>
      <x:c r="I27" s="66"/>
    </x:row>
    <x:row r="28">
      <x:c r="A28" s="58" t="str">
        <x:v>Agent管理</x:v>
      </x:c>
      <x:c r="B28" s="58" t="str">
        <x:v>Station Agent生命周期</x:v>
      </x:c>
      <x:c r="C28" s="58" t="str">
        <x:v>Agent version/capability/cert/heartbeat/config/channel/health</x:v>
      </x:c>
      <x:c r="D28" s="58" t="str">
        <x:v>StationAgentInfo</x:v>
      </x:c>
      <x:c r="E28" s="58" t="str">
        <x:v>Agent Manager</x:v>
      </x:c>
      <x:c r="F28" s="58" t="str">
        <x:v>Agent</x:v>
      </x:c>
      <x:c r="G28" s="58" t="str">
        <x:v>升级/重连/诊断</x:v>
      </x:c>
      <x:c r="H28" s="58" t="str">
        <x:v>Agent故障不应拖Runtime</x:v>
      </x:c>
      <x:c r="I28" s="58"/>
    </x:row>
    <x:row r="29">
      <x:c r="A29" s="66" t="str">
        <x:v>策略管理</x:v>
      </x:c>
      <x:c r="B29" s="66" t="str">
        <x:v>全局/站点策略</x:v>
      </x:c>
      <x:c r="C29" s="66" t="str">
        <x:v>Release Channel/Remote Write/Debug/Retention/Health thresholds/Maintenance windows</x:v>
      </x:c>
      <x:c r="D29" s="66" t="str">
        <x:v>OpsPolicy</x:v>
      </x:c>
      <x:c r="E29" s="66" t="str">
        <x:v>Policy Editor</x:v>
      </x:c>
      <x:c r="F29" s="66" t="str">
        <x:v>Policy service</x:v>
      </x:c>
      <x:c r="G29" s="66" t="str">
        <x:v>下发受控Policy</x:v>
      </x:c>
      <x:c r="H29" s="66" t="str">
        <x:v>本地Runtime最终安全裁决</x:v>
      </x:c>
      <x:c r="I29" s="66"/>
    </x:row>
    <x:row r="30">
      <x:c r="A30" s="58" t="str">
        <x:v>通知集成</x:v>
      </x:c>
      <x:c r="B30" s="58" t="str">
        <x:v>邮件/IM/工单/短信等</x:v>
      </x:c>
      <x:c r="C30" s="58" t="str">
        <x:v>Rule→Notification target/escalation/on-call integration</x:v>
      </x:c>
      <x:c r="D30" s="58" t="str">
        <x:v>NotificationRule</x:v>
      </x:c>
      <x:c r="E30" s="58" t="str">
        <x:v>Notification Config</x:v>
      </x:c>
      <x:c r="F30" s="58" t="str">
        <x:v>Ops Events</x:v>
      </x:c>
      <x:c r="G30" s="58" t="str">
        <x:v>Send/ack link</x:v>
      </x:c>
      <x:c r="H30" s="58" t="str">
        <x:v>外部Connector隔离</x:v>
      </x:c>
      <x:c r="I30" s="58"/>
    </x:row>
    <x:row r="31">
      <x:c r="A31"/>
      <x:c r="B31"/>
      <x:c r="C31"/>
      <x:c r="D31"/>
      <x:c r="E31"/>
      <x:c r="F31"/>
      <x:c r="G31"/>
      <x:c r="H31"/>
      <x:c r="I31"/>
    </x:row>
    <x:row r="32" ht="24" customHeight="1">
      <x:c r="A32" s="40" t="str">
        <x:v>B. 集中运维分层架构</x:v>
      </x:c>
      <x:c r="B32" s="40"/>
      <x:c r="C32" s="40"/>
      <x:c r="D32" s="40"/>
      <x:c r="E32" s="40"/>
      <x:c r="F32" s="40"/>
      <x:c r="G32" s="40"/>
      <x:c r="H32" s="40"/>
      <x:c r="I32" s="40"/>
    </x:row>
    <x:row r="33" ht="28" customHeight="1">
      <x:c r="A33" s="50" t="str">
        <x:v>层</x:v>
      </x:c>
      <x:c r="B33" s="50" t="str">
        <x:v>建议模块/服务</x:v>
      </x:c>
      <x:c r="C33" s="50" t="str">
        <x:v>核心对象/接口</x:v>
      </x:c>
      <x:c r="D33" s="50" t="str">
        <x:v>职责</x:v>
      </x:c>
      <x:c r="E33" s="50" t="str">
        <x:v>输入</x:v>
      </x:c>
      <x:c r="F33" s="50" t="str">
        <x:v>输出</x:v>
      </x:c>
      <x:c r="G33" s="50" t="str">
        <x:v>Station依赖</x:v>
      </x:c>
      <x:c r="H33" s="50" t="str">
        <x:v>中心依赖</x:v>
      </x:c>
      <x:c r="I33" s="50" t="str">
        <x:v>硬边界</x:v>
      </x:c>
    </x:row>
    <x:row r="34">
      <x:c r="A34" s="66" t="str">
        <x:v>Client/UI</x:v>
      </x:c>
      <x:c r="B34" s="66" t="str">
        <x:v>CxVisual.Operations.Desktop/Web</x:v>
      </x:c>
      <x:c r="C34" s="66" t="str">
        <x:v>FleetDashboard/VersionMatrix/DeploymentCenter/CaseWorkspace/RemoteSessionUI</x:v>
      </x:c>
      <x:c r="D34" s="66" t="str">
        <x:v>运维/版本/诊断交互</x:v>
      </x:c>
      <x:c r="E34" s="66" t="str">
        <x:v>APIs/VM</x:v>
      </x:c>
      <x:c r="F34" s="66" t="str">
        <x:v>User intents</x:v>
      </x:c>
      <x:c r="G34" s="66" t="str">
        <x:v>无直接设备连接</x:v>
      </x:c>
      <x:c r="H34" s="66" t="str">
        <x:v>Ops APIs</x:v>
      </x:c>
      <x:c r="I34" s="66" t="str">
        <x:v>UI不直接连PLC/Worker</x:v>
      </x:c>
    </x:row>
    <x:row r="35">
      <x:c r="A35" s="58" t="str">
        <x:v>Application</x:v>
      </x:c>
      <x:c r="B35" s="58" t="str">
        <x:v>CxVisual.Operations.Application</x:v>
      </x:c>
      <x:c r="C35" s="58" t="str">
        <x:v>FleetService/RolloutService/CaseService/RemoteSessionService</x:v>
      </x:c>
      <x:c r="D35" s="58" t="str">
        <x:v>用例编排/权限/事务</x:v>
      </x:c>
      <x:c r="E35" s="58" t="str">
        <x:v>Repositories/Agents</x:v>
      </x:c>
      <x:c r="F35" s="58" t="str">
        <x:v>Commands/DTO</x:v>
      </x:c>
      <x:c r="G35" s="58" t="str">
        <x:v>Station API抽象</x:v>
      </x:c>
      <x:c r="H35" s="58" t="str">
        <x:v>DB/Repository</x:v>
      </x:c>
      <x:c r="I35" s="58" t="str">
        <x:v>可单测</x:v>
      </x:c>
    </x:row>
    <x:row r="36">
      <x:c r="A36" s="66" t="str">
        <x:v>Domain Core</x:v>
      </x:c>
      <x:c r="B36" s="66" t="str">
        <x:v>CxVisual.Operations.Core</x:v>
      </x:c>
      <x:c r="C36" s="66" t="str">
        <x:v>Site/Station/Fleet/RolloutPlan/DiagnosticCase/OpsPolicy</x:v>
      </x:c>
      <x:c r="D36" s="66" t="str">
        <x:v>管理面领域定义</x:v>
      </x:c>
      <x:c r="E36" s="66" t="str">
        <x:v>配置</x:v>
      </x:c>
      <x:c r="F36" s="66" t="str">
        <x:v>Domain entities</x:v>
      </x:c>
      <x:c r="G36" s="66" t="str">
        <x:v>无</x:v>
      </x:c>
      <x:c r="H36" s="66" t="str">
        <x:v>无</x:v>
      </x:c>
      <x:c r="I36" s="66" t="str">
        <x:v>不持Runtime对象</x:v>
      </x:c>
    </x:row>
    <x:row r="37">
      <x:c r="A37" s="58" t="str">
        <x:v>Station Agent</x:v>
      </x:c>
      <x:c r="B37" s="58" t="str">
        <x:v>CxVisual.Station.Agent</x:v>
      </x:c>
      <x:c r="C37" s="58" t="str">
        <x:v>IStationManagementAgent/Health/Version/Deployment/Debug endpoints</x:v>
      </x:c>
      <x:c r="D37" s="58" t="str">
        <x:v>Runtime站管理入口</x:v>
      </x:c>
      <x:c r="E37" s="58" t="str">
        <x:v>Runtime/OS/Manifest</x:v>
      </x:c>
      <x:c r="F37" s="58" t="str">
        <x:v>Snapshots/Acks/Streams</x:v>
      </x:c>
      <x:c r="G37" s="58" t="str">
        <x:v>本地Runtime public API</x:v>
      </x:c>
      <x:c r="H37" s="58" t="str">
        <x:v>中心可选</x:v>
      </x:c>
      <x:c r="I37" s="58" t="str">
        <x:v>中心断开不影响Runtime</x:v>
      </x:c>
    </x:row>
    <x:row r="38">
      <x:c r="A38" s="66" t="str">
        <x:v>Telemetry</x:v>
      </x:c>
      <x:c r="B38" s="66" t="str">
        <x:v>CxVisual.Operations.Telemetry</x:v>
      </x:c>
      <x:c r="C38" s="66" t="str">
        <x:v>Metric/Event/Trace ingestion + sampling/retention</x:v>
      </x:c>
      <x:c r="D38" s="66" t="str">
        <x:v>集中观测数据采集</x:v>
      </x:c>
      <x:c r="E38" s="66" t="str">
        <x:v>Agent streams</x:v>
      </x:c>
      <x:c r="F38" s="66" t="str">
        <x:v>Indexed telemetry</x:v>
      </x:c>
      <x:c r="G38" s="66" t="str">
        <x:v>Agent</x:v>
      </x:c>
      <x:c r="H38" s="66" t="str">
        <x:v>Time-series/index store</x:v>
      </x:c>
      <x:c r="I38" s="66" t="str">
        <x:v>有界/StoreForward</x:v>
      </x:c>
    </x:row>
    <x:row r="39">
      <x:c r="A39" s="58" t="str">
        <x:v>Deployment</x:v>
      </x:c>
      <x:c r="B39" s="58" t="str">
        <x:v>CxVisual.Operations.Deployment</x:v>
      </x:c>
      <x:c r="C39" s="58" t="str">
        <x:v>ReleaseRepository/RolloutCoordinator/TargetDeploymentClient</x:v>
      </x:c>
      <x:c r="D39" s="58" t="str">
        <x:v>分批部署/回滚/状态机</x:v>
      </x:c>
      <x:c r="E39" s="58" t="str">
        <x:v>Packages/Plans</x:v>
      </x:c>
      <x:c r="F39" s="58" t="str">
        <x:v>Deployment records</x:v>
      </x:c>
      <x:c r="G39" s="58" t="str">
        <x:v>Deployment Agent</x:v>
      </x:c>
      <x:c r="H39" s="58" t="str">
        <x:v>Package repo</x:v>
      </x:c>
      <x:c r="I39" s="58" t="str">
        <x:v>不能绕过本地Verify/Switch</x:v>
      </x:c>
    </x:row>
    <x:row r="40">
      <x:c r="A40" s="66" t="str">
        <x:v>Diagnostics</x:v>
      </x:c>
      <x:c r="B40" s="66" t="str">
        <x:v>CxVisual.Operations.Diagnostics</x:v>
      </x:c>
      <x:c r="C40" s="66" t="str">
        <x:v>DiagnosticIndex/ArtifactRequest/CaseCollector</x:v>
      </x:c>
      <x:c r="D40" s="66" t="str">
        <x:v>跨站搜索/Case证据</x:v>
      </x:c>
      <x:c r="E40" s="66" t="str">
        <x:v>Trace/Events/ArtifactRefs</x:v>
      </x:c>
      <x:c r="F40" s="66" t="str">
        <x:v>Search/Case</x:v>
      </x:c>
      <x:c r="G40" s="66" t="str">
        <x:v>Agent/Artifact endpoint</x:v>
      </x:c>
      <x:c r="H40" s="66" t="str">
        <x:v>Index/Object store</x:v>
      </x:c>
      <x:c r="I40" s="66" t="str">
        <x:v>Artifact按需</x:v>
      </x:c>
    </x:row>
    <x:row r="41">
      <x:c r="A41" s="58" t="str">
        <x:v>Remote Engineering</x:v>
      </x:c>
      <x:c r="B41" s="58" t="str">
        <x:v>CxVisual.Operations.Remote</x:v>
      </x:c>
      <x:c r="C41" s="58" t="str">
        <x:v>RemoteSessionBroker/Approval/Policy/Lease</x:v>
      </x:c>
      <x:c r="D41" s="58" t="str">
        <x:v>受控远程工程会话治理</x:v>
      </x:c>
      <x:c r="E41" s="58" t="str">
        <x:v>User/Target/Policy</x:v>
      </x:c>
      <x:c r="F41" s="58" t="str">
        <x:v>Session token/audit</x:v>
      </x:c>
      <x:c r="G41" s="58" t="str">
        <x:v>Debug Agent</x:v>
      </x:c>
      <x:c r="H41" s="58" t="str">
        <x:v>Auth/Broker</x:v>
      </x:c>
      <x:c r="I41" s="58" t="str">
        <x:v>只做代理/授权，不改Domain语义</x:v>
      </x:c>
    </x:row>
    <x:row r="42">
      <x:c r="A42" s="66" t="str">
        <x:v>Security</x:v>
      </x:c>
      <x:c r="B42" s="66" t="str">
        <x:v>CxVisual.Operations.Security</x:v>
      </x:c>
      <x:c r="C42" s="66" t="str">
        <x:v>Identity/RBAC/StationIdentity/Approval/Audit</x:v>
      </x:c>
      <x:c r="D42" s="66" t="str">
        <x:v>中心权限与信任</x:v>
      </x:c>
      <x:c r="E42" s="66" t="str">
        <x:v>Users/certs/policies</x:v>
      </x:c>
      <x:c r="F42" s="66" t="str">
        <x:v>Decision/Audit</x:v>
      </x:c>
      <x:c r="G42" s="66" t="str">
        <x:v>Station cert identity</x:v>
      </x:c>
      <x:c r="H42" s="66" t="str">
        <x:v>Identity provider</x:v>
      </x:c>
      <x:c r="I42" s="66" t="str">
        <x:v>Target仍最终裁决危险操作</x:v>
      </x:c>
    </x:row>
    <x:row r="43">
      <x:c r="A43" s="58" t="str">
        <x:v>Repository</x:v>
      </x:c>
      <x:c r="B43" s="58" t="str">
        <x:v>CxVisual.Operations.Storage</x:v>
      </x:c>
      <x:c r="C43" s="58" t="str">
        <x:v>Station/Fleet/Release/Metric/Case/Artifact metadata stores</x:v>
      </x:c>
      <x:c r="D43" s="58" t="str">
        <x:v>持久化</x:v>
      </x:c>
      <x:c r="E43" s="58" t="str">
        <x:v>Domain data</x:v>
      </x:c>
      <x:c r="F43" s="58" t="str">
        <x:v>Query results</x:v>
      </x:c>
      <x:c r="G43" s="58" t="str">
        <x:v>无</x:v>
      </x:c>
      <x:c r="H43" s="58" t="str">
        <x:v>DB/Object/TS store</x:v>
      </x:c>
      <x:c r="I43" s="58" t="str">
        <x:v>业务Runtime不依赖中心DB</x:v>
      </x:c>
    </x:row>
    <x:row r="44">
      <x:c r="A44" s="66" t="str">
        <x:v>Tests</x:v>
      </x:c>
      <x:c r="B44" s="66" t="str">
        <x:v>CxVisual.Operations.Tests</x:v>
      </x:c>
      <x:c r="C44" s="66" t="str">
        <x:v>Agent/Network/Rollout/Security/Soak/E2E</x:v>
      </x:c>
      <x:c r="D44" s="66" t="str">
        <x:v>中心管理面验证</x:v>
      </x:c>
      <x:c r="E44" s="66" t="str">
        <x:v>Fakes/agents</x:v>
      </x:c>
      <x:c r="F44" s="66" t="str">
        <x:v>Reports</x:v>
      </x:c>
      <x:c r="G44" s="66" t="str">
        <x:v>Fake Station</x:v>
      </x:c>
      <x:c r="H44" s="66" t="str">
        <x:v>Test stores</x:v>
      </x:c>
      <x:c r="I44" s="66" t="str">
        <x:v>断网/部分失败必测</x:v>
      </x:c>
    </x:row>
    <x:row r="45">
      <x:c r="A45"/>
      <x:c r="B45"/>
      <x:c r="C45"/>
      <x:c r="D45"/>
      <x:c r="E45"/>
      <x:c r="F45"/>
      <x:c r="G45"/>
      <x:c r="H45"/>
      <x:c r="I45"/>
    </x:row>
    <x:row r="46" ht="24" customHeight="1">
      <x:c r="A46" s="40" t="str">
        <x:v>C. Station Agent 能力模型</x:v>
      </x:c>
      <x:c r="B46" s="40"/>
      <x:c r="C46" s="40"/>
      <x:c r="D46" s="40"/>
      <x:c r="E46" s="40"/>
      <x:c r="F46" s="40"/>
      <x:c r="G46" s="40"/>
      <x:c r="H46" s="40"/>
      <x:c r="I46" s="40"/>
    </x:row>
    <x:row r="47" ht="28" customHeight="1">
      <x:c r="A47" s="50" t="str">
        <x:v>Capability</x:v>
      </x:c>
      <x:c r="B47" s="50" t="str">
        <x:v>只读/写</x:v>
      </x:c>
      <x:c r="C47" s="50" t="str">
        <x:v>核心接口</x:v>
      </x:c>
      <x:c r="D47" s="50" t="str">
        <x:v>返回/动作</x:v>
      </x:c>
      <x:c r="E47" s="50" t="str">
        <x:v>权限</x:v>
      </x:c>
      <x:c r="F47" s="50" t="str">
        <x:v>离线/失败</x:v>
      </x:c>
      <x:c r="G47" s="50" t="str">
        <x:v>Telemetry</x:v>
      </x:c>
      <x:c r="H47" s="50" t="str">
        <x:v>审计</x:v>
      </x:c>
      <x:c r="I47" s="50" t="str">
        <x:v>门禁</x:v>
      </x:c>
    </x:row>
    <x:row r="48">
      <x:c r="A48" s="58" t="str">
        <x:v>Inventory</x:v>
      </x:c>
      <x:c r="B48" s="58" t="str">
        <x:v>只读</x:v>
      </x:c>
      <x:c r="C48" s="58" t="str">
        <x:v>GetStationInfo/GetCapabilities/GetRuntimeManifest</x:v>
      </x:c>
      <x:c r="D48" s="58" t="str">
        <x:v>硬件/软件/资源/版本</x:v>
      </x:c>
      <x:c r="E48" s="58" t="str">
        <x:v>Viewer</x:v>
      </x:c>
      <x:c r="F48" s="58" t="str">
        <x:v>缓存最后快照</x:v>
      </x:c>
      <x:c r="G48" s="58" t="str">
        <x:v>低频</x:v>
      </x:c>
      <x:c r="H48" s="58" t="str">
        <x:v>可选</x:v>
      </x:c>
      <x:c r="I48" s="58" t="str">
        <x:v>Stable StationId</x:v>
      </x:c>
    </x:row>
    <x:row r="49">
      <x:c r="A49" s="66" t="str">
        <x:v>Health</x:v>
      </x:c>
      <x:c r="B49" s="66" t="str">
        <x:v>只读</x:v>
      </x:c>
      <x:c r="C49" s="66" t="str">
        <x:v>GetHealth/SubscribeHealth</x:v>
      </x:c>
      <x:c r="D49" s="66" t="str">
        <x:v>Runtime/Device/Worker/Queue/Disk/Clock</x:v>
      </x:c>
      <x:c r="E49" s="66" t="str">
        <x:v>Viewer</x:v>
      </x:c>
      <x:c r="F49" s="66" t="str">
        <x:v>断线中心显示Stale</x:v>
      </x:c>
      <x:c r="G49" s="66" t="str">
        <x:v>事件+指标</x:v>
      </x:c>
      <x:c r="H49" s="66" t="str">
        <x:v>可选</x:v>
      </x:c>
      <x:c r="I49" s="66" t="str">
        <x:v>有界</x:v>
      </x:c>
    </x:row>
    <x:row r="50">
      <x:c r="A50" s="58" t="str">
        <x:v>Version</x:v>
      </x:c>
      <x:c r="B50" s="58" t="str">
        <x:v>只读</x:v>
      </x:c>
      <x:c r="C50" s="58" t="str">
        <x:v>GetActiveManifest/GetAvailableRollback</x:v>
      </x:c>
      <x:c r="D50" s="58" t="str">
        <x:v>Resolved versions</x:v>
      </x:c>
      <x:c r="E50" s="58" t="str">
        <x:v>Engineer</x:v>
      </x:c>
      <x:c r="F50" s="58" t="str">
        <x:v>本地始终可查</x:v>
      </x:c>
      <x:c r="G50" s="58" t="str">
        <x:v>按变更</x:v>
      </x:c>
      <x:c r="H50" s="58" t="str">
        <x:v>是</x:v>
      </x:c>
      <x:c r="I50" s="58" t="str">
        <x:v>Manifest signed/hash</x:v>
      </x:c>
    </x:row>
    <x:row r="51">
      <x:c r="A51" s="66" t="str">
        <x:v>Deployment</x:v>
      </x:c>
      <x:c r="B51" s="66" t="str">
        <x:v>写</x:v>
      </x:c>
      <x:c r="C51" s="66" t="str">
        <x:v>Upload/Verify/Stage/Switch/Rollback</x:v>
      </x:c>
      <x:c r="D51" s="66" t="str">
        <x:v>DeploymentJobResult</x:v>
      </x:c>
      <x:c r="E51" s="66" t="str">
        <x:v>Deployer/Admin</x:v>
      </x:c>
      <x:c r="F51" s="66" t="str">
        <x:v>失败保留旧Release</x:v>
      </x:c>
      <x:c r="G51" s="66" t="str">
        <x:v>Job events</x:v>
      </x:c>
      <x:c r="H51" s="66" t="str">
        <x:v>强</x:v>
      </x:c>
      <x:c r="I51" s="66" t="str">
        <x:v>Atomic switch</x:v>
      </x:c>
    </x:row>
    <x:row r="52">
      <x:c r="A52" s="58" t="str">
        <x:v>Debug</x:v>
      </x:c>
      <x:c r="B52" s="58" t="str">
        <x:v>读/受控写</x:v>
      </x:c>
      <x:c r="C52" s="58" t="str">
        <x:v>CreateRemoteDebugLease/AttachAgent</x:v>
      </x:c>
      <x:c r="D52" s="58" t="str">
        <x:v>DebugSession token</x:v>
      </x:c>
      <x:c r="E52" s="58" t="str">
        <x:v>Engineer + Site policy</x:v>
      </x:c>
      <x:c r="F52" s="58" t="str">
        <x:v>会话失联TTL/Target policy</x:v>
      </x:c>
      <x:c r="G52" s="58" t="str">
        <x:v>session events</x:v>
      </x:c>
      <x:c r="H52" s="58" t="str">
        <x:v>强</x:v>
      </x:c>
      <x:c r="I52" s="58" t="str">
        <x:v>复用39 Debug Agent</x:v>
      </x:c>
    </x:row>
    <x:row r="53">
      <x:c r="A53" s="66" t="str">
        <x:v>Artifacts</x:v>
      </x:c>
      <x:c r="B53" s="66" t="str">
        <x:v>只读/受控下载</x:v>
      </x:c>
      <x:c r="C53" s="66" t="str">
        <x:v>List/GetArtifactRef/Download chunk</x:v>
      </x:c>
      <x:c r="D53" s="66" t="str">
        <x:v>Log/Trace/Image/Volume artifact</x:v>
      </x:c>
      <x:c r="E53" s="66" t="str">
        <x:v>按数据权限</x:v>
      </x:c>
      <x:c r="F53" s="66" t="str">
        <x:v>限带宽/可重试</x:v>
      </x:c>
      <x:c r="G53" s="66" t="str">
        <x:v>download metrics</x:v>
      </x:c>
      <x:c r="H53" s="66" t="str">
        <x:v>是</x:v>
      </x:c>
      <x:c r="I53" s="66" t="str">
        <x:v>不主动上传所有大文件</x:v>
      </x:c>
    </x:row>
    <x:row r="54">
      <x:c r="A54" s="58" t="str">
        <x:v>Maintenance</x:v>
      </x:c>
      <x:c r="B54" s="58" t="str">
        <x:v>受控写</x:v>
      </x:c>
      <x:c r="C54" s="58" t="str">
        <x:v>Enter/ExitMaintenance/RestartWorker/RestartRuntime(可选)</x:v>
      </x:c>
      <x:c r="D54" s="58" t="str">
        <x:v>Action result</x:v>
      </x:c>
      <x:c r="E54" s="58" t="str">
        <x:v>Admin/Maintenance</x:v>
      </x:c>
      <x:c r="F54" s="58" t="str">
        <x:v>安全失败/本地策略</x:v>
      </x:c>
      <x:c r="G54" s="58" t="str">
        <x:v>action events</x:v>
      </x:c>
      <x:c r="H54" s="58" t="str">
        <x:v>强</x:v>
      </x:c>
      <x:c r="I54" s="58" t="str">
        <x:v>不提供直接OS shell默认能力</x:v>
      </x:c>
    </x:row>
    <x:row r="55">
      <x:c r="A55" s="66" t="str">
        <x:v>Policy</x:v>
      </x:c>
      <x:c r="B55" s="66" t="str">
        <x:v>写配置</x:v>
      </x:c>
      <x:c r="C55" s="66" t="str">
        <x:v>Get/ApplyOpsPolicy</x:v>
      </x:c>
      <x:c r="D55" s="66" t="str">
        <x:v>Remote/Retention/Health/Channel policy</x:v>
      </x:c>
      <x:c r="E55" s="66" t="str">
        <x:v>Admin</x:v>
      </x:c>
      <x:c r="F55" s="66" t="str">
        <x:v>不兼容拒绝</x:v>
      </x:c>
      <x:c r="G55" s="66" t="str">
        <x:v>policy events</x:v>
      </x:c>
      <x:c r="H55" s="66" t="str">
        <x:v>强</x:v>
      </x:c>
      <x:c r="I55" s="66" t="str">
        <x:v>本地Security优先</x:v>
      </x:c>
    </x:row>
    <x:row r="56">
      <x:c r="A56"/>
      <x:c r="B56"/>
      <x:c r="C56"/>
      <x:c r="D56"/>
      <x:c r="E56"/>
      <x:c r="F56"/>
      <x:c r="G56"/>
      <x:c r="H56"/>
      <x:c r="I56"/>
    </x:row>
    <x:row r="57" ht="24" customHeight="1">
      <x:c r="A57" s="40" t="str">
        <x:v>D. Fleet Rollout 状态机</x:v>
      </x:c>
      <x:c r="B57" s="40"/>
      <x:c r="C57" s="40"/>
      <x:c r="D57" s="40"/>
      <x:c r="E57" s="40"/>
      <x:c r="F57" s="40"/>
      <x:c r="G57" s="40"/>
      <x:c r="H57" s="40"/>
      <x:c r="I57" s="40"/>
    </x:row>
    <x:row r="58" ht="28" customHeight="1">
      <x:c r="A58" s="50" t="str">
        <x:v>状态</x:v>
      </x:c>
      <x:c r="B58" s="50" t="str">
        <x:v>含义</x:v>
      </x:c>
      <x:c r="C58" s="50" t="str">
        <x:v>中心动作</x:v>
      </x:c>
      <x:c r="D58" s="50" t="str">
        <x:v>Station动作</x:v>
      </x:c>
      <x:c r="E58" s="50" t="str">
        <x:v>失败策略</x:v>
      </x:c>
      <x:c r="F58" s="50" t="str">
        <x:v>自动门禁</x:v>
      </x:c>
      <x:c r="G58" s="50" t="str">
        <x:v>可恢复</x:v>
      </x:c>
      <x:c r="H58" s="50" t="str">
        <x:v>审计</x:v>
      </x:c>
      <x:c r="I58" s="50" t="str">
        <x:v>用户看到</x:v>
      </x:c>
    </x:row>
    <x:row r="59">
      <x:c r="A59" s="58" t="str">
        <x:v>Draft</x:v>
      </x:c>
      <x:c r="B59" s="58" t="str">
        <x:v>编辑目标/包/策略</x:v>
      </x:c>
      <x:c r="C59" s="58" t="str">
        <x:v>Validate plan</x:v>
      </x:c>
      <x:c r="D59" s="58" t="str">
        <x:v>无</x:v>
      </x:c>
      <x:c r="E59" s="58" t="str">
        <x:v>修正计划</x:v>
      </x:c>
      <x:c r="F59" s="58" t="str">
        <x:v>兼容/签名/目标在线</x:v>
      </x:c>
      <x:c r="G59" s="58" t="str">
        <x:v>是</x:v>
      </x:c>
      <x:c r="H59" s="58" t="str">
        <x:v>plan changes</x:v>
      </x:c>
      <x:c r="I59" s="58" t="str">
        <x:v>目标/版本Diff</x:v>
      </x:c>
    </x:row>
    <x:row r="60">
      <x:c r="A60" s="66" t="str">
        <x:v>Scheduled</x:v>
      </x:c>
      <x:c r="B60" s="66" t="str">
        <x:v>等待维护窗口</x:v>
      </x:c>
      <x:c r="C60" s="66" t="str">
        <x:v>可Cancel</x:v>
      </x:c>
      <x:c r="D60" s="66" t="str">
        <x:v>无</x:v>
      </x:c>
      <x:c r="E60" s="66" t="str">
        <x:v>超时重新评估</x:v>
      </x:c>
      <x:c r="F60" s="66" t="str">
        <x:v>window/policy</x:v>
      </x:c>
      <x:c r="G60" s="66" t="str">
        <x:v>是</x:v>
      </x:c>
      <x:c r="H60" s="66" t="str">
        <x:v>schedule</x:v>
      </x:c>
      <x:c r="I60" s="66" t="str">
        <x:v>倒计时</x:v>
      </x:c>
    </x:row>
    <x:row r="61">
      <x:c r="A61" s="58" t="str">
        <x:v>Prechecking</x:v>
      </x:c>
      <x:c r="B61" s="58" t="str">
        <x:v>目标逐站预检</x:v>
      </x:c>
      <x:c r="C61" s="58" t="str">
        <x:v>Collect inventory/health</x:v>
      </x:c>
      <x:c r="D61" s="58" t="str">
        <x:v>Verify disk/version/runtime/task state</x:v>
      </x:c>
      <x:c r="E61" s="58" t="str">
        <x:v>不满足暂停/跳过按策略</x:v>
      </x:c>
      <x:c r="F61" s="58" t="str">
        <x:v>health/compat/no active task policy</x:v>
      </x:c>
      <x:c r="G61" s="58" t="str">
        <x:v>是</x:v>
      </x:c>
      <x:c r="H61" s="58" t="str">
        <x:v>precheck result</x:v>
      </x:c>
      <x:c r="I61" s="58" t="str">
        <x:v>站点矩阵</x:v>
      </x:c>
    </x:row>
    <x:row r="62">
      <x:c r="A62" s="66" t="str">
        <x:v>Staging</x:v>
      </x:c>
      <x:c r="B62" s="66" t="str">
        <x:v>下发包但不切换</x:v>
      </x:c>
      <x:c r="C62" s="66" t="str">
        <x:v>Upload package</x:v>
      </x:c>
      <x:c r="D62" s="66" t="str">
        <x:v>Verify hash/dependency</x:v>
      </x:c>
      <x:c r="E62" s="66" t="str">
        <x:v>失败重试/站点Fail</x:v>
      </x:c>
      <x:c r="F62" s="66" t="str">
        <x:v>hash/signature/disk</x:v>
      </x:c>
      <x:c r="G62" s="66" t="str">
        <x:v>是</x:v>
      </x:c>
      <x:c r="H62" s="66" t="str">
        <x:v>upload</x:v>
      </x:c>
      <x:c r="I62" s="66" t="str">
        <x:v>进度</x:v>
      </x:c>
    </x:row>
    <x:row r="63">
      <x:c r="A63" s="58" t="str">
        <x:v>Switching</x:v>
      </x:c>
      <x:c r="B63" s="58" t="str">
        <x:v>切换Release</x:v>
      </x:c>
      <x:c r="C63" s="58" t="str">
        <x:v>Issue switch</x:v>
      </x:c>
      <x:c r="D63" s="58" t="str">
        <x:v>Atomic activate/restart if needed</x:v>
      </x:c>
      <x:c r="E63" s="58" t="str">
        <x:v>单站失败回滚；失败率超阈值暂停全局</x:v>
      </x:c>
      <x:c r="F63" s="58" t="str">
        <x:v>local switch verification</x:v>
      </x:c>
      <x:c r="G63" s="58" t="str">
        <x:v>部分</x:v>
      </x:c>
      <x:c r="H63" s="58" t="str">
        <x:v>strong audit</x:v>
      </x:c>
      <x:c r="I63" s="58" t="str">
        <x:v>Canary/Ring状态</x:v>
      </x:c>
    </x:row>
    <x:row r="64">
      <x:c r="A64" s="66" t="str">
        <x:v>Verifying</x:v>
      </x:c>
      <x:c r="B64" s="66" t="str">
        <x:v>运行后健康观察</x:v>
      </x:c>
      <x:c r="C64" s="66" t="str">
        <x:v>Collect health/smoke</x:v>
      </x:c>
      <x:c r="D64" s="66" t="str">
        <x:v>Runtime self-check</x:v>
      </x:c>
      <x:c r="E64" s="66" t="str">
        <x:v>不健康自动回滚按策略</x:v>
      </x:c>
      <x:c r="F64" s="66" t="str">
        <x:v>health/smoke/version</x:v>
      </x:c>
      <x:c r="G64" s="66" t="str">
        <x:v>是</x:v>
      </x:c>
      <x:c r="H64" s="66" t="str">
        <x:v>verification</x:v>
      </x:c>
      <x:c r="I64" s="66" t="str">
        <x:v>观察窗口</x:v>
      </x:c>
    </x:row>
    <x:row r="65">
      <x:c r="A65" s="58" t="str">
        <x:v>Completed</x:v>
      </x:c>
      <x:c r="B65" s="58" t="str">
        <x:v>全部目标达到目标状态</x:v>
      </x:c>
      <x:c r="C65" s="58" t="str">
        <x:v>Close</x:v>
      </x:c>
      <x:c r="D65" s="58" t="str">
        <x:v>保留previous</x:v>
      </x:c>
      <x:c r="E65" s="58" t="str">
        <x:v>N/A</x:v>
      </x:c>
      <x:c r="F65" s="58" t="str">
        <x:v>evidence complete</x:v>
      </x:c>
      <x:c r="G65" s="58" t="str">
        <x:v>N/A</x:v>
      </x:c>
      <x:c r="H65" s="58" t="str">
        <x:v>release record</x:v>
      </x:c>
      <x:c r="I65" s="58" t="str">
        <x:v>成功摘要</x:v>
      </x:c>
    </x:row>
    <x:row r="66">
      <x:c r="A66" s="66" t="str">
        <x:v>Paused/Failed</x:v>
      </x:c>
      <x:c r="B66" s="66" t="str">
        <x:v>人为/自动暂停</x:v>
      </x:c>
      <x:c r="C66" s="66" t="str">
        <x:v>Investigate/Resume/Rollback</x:v>
      </x:c>
      <x:c r="D66" s="66" t="str">
        <x:v>保持当前站点状态</x:v>
      </x:c>
      <x:c r="E66" s="66" t="str">
        <x:v>不可自动跨越未知状态</x:v>
      </x:c>
      <x:c r="F66" s="66" t="str">
        <x:v>case required</x:v>
      </x:c>
      <x:c r="G66" s="66" t="str">
        <x:v>是</x:v>
      </x:c>
      <x:c r="H66" s="66" t="str">
        <x:v>reason</x:v>
      </x:c>
      <x:c r="I66" s="66" t="str">
        <x:v>失败分布</x:v>
      </x:c>
    </x:row>
    <x:row r="67">
      <x:c r="A67" s="58" t="str">
        <x:v>RollingBack</x:v>
      </x:c>
      <x:c r="B67" s="58" t="str">
        <x:v>按站点回退</x:v>
      </x:c>
      <x:c r="C67" s="58" t="str">
        <x:v>Issue rollback</x:v>
      </x:c>
      <x:c r="D67" s="58" t="str">
        <x:v>Atomic previous activate</x:v>
      </x:c>
      <x:c r="E67" s="58" t="str">
        <x:v>失败进入Manual</x:v>
      </x:c>
      <x:c r="F67" s="58" t="str">
        <x:v>rollback availability</x:v>
      </x:c>
      <x:c r="G67" s="58" t="str">
        <x:v>部分</x:v>
      </x:c>
      <x:c r="H67" s="58" t="str">
        <x:v>strong audit</x:v>
      </x:c>
      <x:c r="I67" s="58" t="str">
        <x:v>回退进度</x:v>
      </x:c>
    </x:row>
    <x:row r="68">
      <x:c r="A68"/>
      <x:c r="B68"/>
      <x:c r="C68"/>
      <x:c r="D68"/>
      <x:c r="E68"/>
      <x:c r="F68"/>
      <x:c r="G68"/>
      <x:c r="H68"/>
      <x:c r="I68"/>
    </x:row>
    <x:row r="69" ht="24" customHeight="1">
      <x:c r="A69" s="40" t="str">
        <x:v>E. 中心离线与自治原则</x:v>
      </x:c>
      <x:c r="B69" s="40"/>
      <x:c r="C69" s="40"/>
      <x:c r="D69" s="40"/>
      <x:c r="E69" s="40"/>
      <x:c r="F69" s="40"/>
      <x:c r="G69" s="40"/>
      <x:c r="H69" s="40"/>
      <x:c r="I69" s="40"/>
    </x:row>
    <x:row r="70" ht="28" customHeight="1">
      <x:c r="A70" s="50" t="str">
        <x:v>场景</x:v>
      </x:c>
      <x:c r="B70" s="50" t="str">
        <x:v>Runtime Station行为</x:v>
      </x:c>
      <x:c r="C70" s="50" t="str">
        <x:v>Station Agent行为</x:v>
      </x:c>
      <x:c r="D70" s="50" t="str">
        <x:v>Operations Center表现</x:v>
      </x:c>
      <x:c r="E70" s="50" t="str">
        <x:v>数据恢复</x:v>
      </x:c>
      <x:c r="F70" s="50" t="str">
        <x:v>生产影响</x:v>
      </x:c>
      <x:c r="G70" s="50" t="str">
        <x:v>安全</x:v>
      </x:c>
      <x:c r="H70" s="50" t="str">
        <x:v>测试</x:v>
      </x:c>
      <x:c r="I70" s="50" t="str">
        <x:v>结论</x:v>
      </x:c>
    </x:row>
    <x:row r="71">
      <x:c r="A71" s="66" t="str">
        <x:v>中心网络断开</x:v>
      </x:c>
      <x:c r="B71" s="66" t="str">
        <x:v>继续本地SCADA/Motion/Vision/Inspection</x:v>
      </x:c>
      <x:c r="C71" s="66" t="str">
        <x:v>本地缓存有限Telemetry/Deployment状态，拒绝新中心命令</x:v>
      </x:c>
      <x:c r="D71" s="66" t="str">
        <x:v>Station Offline/Stale</x:v>
      </x:c>
      <x:c r="E71" s="66" t="str">
        <x:v>重连后补关键事件/摘要</x:v>
      </x:c>
      <x:c r="F71" s="66" t="str">
        <x:v>无直接影响</x:v>
      </x:c>
      <x:c r="G71" s="66" t="str">
        <x:v>本地Policy/Interlock有效</x:v>
      </x:c>
      <x:c r="H71" s="66" t="str">
        <x:v>network partition</x:v>
      </x:c>
      <x:c r="I71" s="66" t="str">
        <x:v>必须支持</x:v>
      </x:c>
    </x:row>
    <x:row r="72">
      <x:c r="A72" s="58" t="str">
        <x:v>中心服务宕机</x:v>
      </x:c>
      <x:c r="B72" s="58" t="str">
        <x:v>继续自治</x:v>
      </x:c>
      <x:c r="C72" s="58" t="str">
        <x:v>Agent重连/backoff</x:v>
      </x:c>
      <x:c r="D72" s="58" t="str">
        <x:v>不可用</x:v>
      </x:c>
      <x:c r="E72" s="58" t="str">
        <x:v>中心恢复后重新握手</x:v>
      </x:c>
      <x:c r="F72" s="58" t="str">
        <x:v>无直接影响</x:v>
      </x:c>
      <x:c r="G72" s="58" t="str">
        <x:v>无远程会话</x:v>
      </x:c>
      <x:c r="H72" s="58" t="str">
        <x:v>ops outage</x:v>
      </x:c>
      <x:c r="I72" s="58" t="str">
        <x:v>必须支持</x:v>
      </x:c>
    </x:row>
    <x:row r="73">
      <x:c r="A73" s="66" t="str">
        <x:v>Agent宕机</x:v>
      </x:c>
      <x:c r="B73" s="66" t="str">
        <x:v>Runtime尽量继续</x:v>
      </x:c>
      <x:c r="C73" s="66" t="str">
        <x:v>Agent unavailable</x:v>
      </x:c>
      <x:c r="D73" s="66" t="str">
        <x:v>Station management degraded</x:v>
      </x:c>
      <x:c r="E73" s="66" t="str">
        <x:v>Agent重启后Snapshot</x:v>
      </x:c>
      <x:c r="F73" s="66" t="str">
        <x:v>不应影响业务Runtime</x:v>
      </x:c>
      <x:c r="G73" s="66" t="str">
        <x:v>远程控制不可用</x:v>
      </x:c>
      <x:c r="H73" s="66" t="str">
        <x:v>kill agent</x:v>
      </x:c>
      <x:c r="I73" s="66" t="str">
        <x:v>必须隔离</x:v>
      </x:c>
    </x:row>
    <x:row r="74">
      <x:c r="A74" s="58" t="str">
        <x:v>中心数据库故障</x:v>
      </x:c>
      <x:c r="B74" s="58" t="str">
        <x:v>本地无关</x:v>
      </x:c>
      <x:c r="C74" s="58" t="str">
        <x:v>Agent继续有限buffer</x:v>
      </x:c>
      <x:c r="D74" s="58" t="str">
        <x:v>Operations查询/写受限</x:v>
      </x:c>
      <x:c r="E74" s="58" t="str">
        <x:v>DB恢复/队列重放</x:v>
      </x:c>
      <x:c r="F74" s="58" t="str">
        <x:v>无直接影响</x:v>
      </x:c>
      <x:c r="G74" s="58" t="str">
        <x:v>敏感写Fail Closed</x:v>
      </x:c>
      <x:c r="H74" s="58" t="str">
        <x:v>db fault</x:v>
      </x:c>
      <x:c r="I74" s="58" t="str">
        <x:v>管理面可降级</x:v>
      </x:c>
    </x:row>
    <x:row r="75">
      <x:c r="A75" s="66" t="str">
        <x:v>发布中网络断开</x:v>
      </x:c>
      <x:c r="B75" s="66" t="str">
        <x:v>当前Active Release继续；Staged包按本地状态保存</x:v>
      </x:c>
      <x:c r="C75" s="66" t="str">
        <x:v>Deployment job状态可查询</x:v>
      </x:c>
      <x:c r="D75" s="66" t="str">
        <x:v>Job Unknown/Pending</x:v>
      </x:c>
      <x:c r="E75" s="66" t="str">
        <x:v>重连Query，不盲重发Switch</x:v>
      </x:c>
      <x:c r="F75" s="66" t="str">
        <x:v>生产按当前版本运行</x:v>
      </x:c>
      <x:c r="G75" s="66" t="str">
        <x:v>CommandId/JobId幂等</x:v>
      </x:c>
      <x:c r="H75" s="66" t="str">
        <x:v>deploy partition</x:v>
      </x:c>
      <x:c r="I75" s="66" t="str">
        <x:v>必须可对账</x:v>
      </x:c>
    </x:row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34" hidden="0" customWidth="1"/>
    <x:col min="4" max="4" width="30" hidden="0" customWidth="1"/>
    <x:col min="5" max="5" width="30" hidden="0" customWidth="1"/>
    <x:col min="6" max="6" width="28" hidden="0" customWidth="1"/>
    <x:col min="7" max="7" width="30" hidden="0" customWidth="1"/>
    <x:col min="8" max="8" width="28" hidden="0" customWidth="1"/>
    <x:col min="9" max="9" width="28" hidden="0" customWidth="1"/>
    <x:col min="10" max="10" width="30" hidden="0" customWidth="1"/>
  </x:cols>
  <x:sheetData>
    <x:row r="1" ht="30" customHeight="1">
      <x:c r="A1" s="8" t="str">
        <x:v>Remote Engineering / Fleet Debug / Session Governance</x:v>
      </x:c>
      <x:c r="B1" s="8"/>
      <x:c r="C1" s="8"/>
      <x:c r="D1" s="8"/>
      <x:c r="E1" s="8"/>
      <x:c r="F1" s="8"/>
      <x:c r="G1" s="8"/>
      <x:c r="H1" s="8"/>
      <x:c r="I1" s="8"/>
      <x:c r="J1" s="8"/>
    </x:row>
    <x:row r="2" ht="38" customHeight="1">
      <x:c r="A2" s="16" t="str">
        <x:v>远程工程唯一治理页：Operations只负责目标发现、授权、审批、Broker、TTL、带宽与审计；真正Domain调试仍复用21及各Domain Debug Adapter。</x:v>
      </x:c>
      <x:c r="B2" s="16"/>
      <x:c r="C2" s="16"/>
      <x:c r="D2" s="16"/>
      <x:c r="E2" s="16"/>
      <x:c r="F2" s="16"/>
      <x:c r="G2" s="16"/>
      <x:c r="H2" s="16"/>
      <x:c r="I2" s="16"/>
      <x:c r="J2" s="16"/>
    </x:row>
    <x:row r="3">
      <x:c r="A3" s="30" t="str">
        <x:v>本页唯一权威</x:v>
      </x:c>
      <x:c r="B3" s="31" t="str">
        <x:v>Remote Session生命周期、权限模式、信任/TTL/Command reconcile、Artifact传输、Fleet级观察与安全红线。</x:v>
      </x:c>
      <x:c r="C3" s="31"/>
      <x:c r="D3" s="31"/>
      <x:c r="E3" s="31"/>
      <x:c r="F3" s="31"/>
      <x:c r="G3" s="31"/>
      <x:c r="H3" s="31"/>
      <x:c r="I3" s="31"/>
      <x:c r="J3" s="31"/>
    </x:row>
    <x:row r="4">
      <x:c r="A4" s="30" t="str">
        <x:v>不在本页维护</x:v>
      </x:c>
      <x:c r="B4" s="31" t="str">
        <x:v>Motion/Vision/Inspection等Domain特有调试操作；见28/30/32/34/36。</x:v>
      </x:c>
      <x:c r="C4" s="31"/>
      <x:c r="D4" s="31"/>
      <x:c r="E4" s="31"/>
      <x:c r="F4" s="31"/>
      <x:c r="G4" s="31"/>
      <x:c r="H4" s="31"/>
      <x:c r="I4" s="31"/>
      <x:c r="J4" s="31"/>
    </x:row>
    <x:row r="5">
      <x:c r="A5" s="30" t="str">
        <x:v>关联分页</x:v>
      </x:c>
      <x:c r="B5" s="31" t="str">
        <x:v>21_Graph统一OnlineDebug架构；38_Operations完整开发蓝图；14_Security写入审计。</x:v>
      </x:c>
      <x:c r="C5" s="31"/>
      <x:c r="D5" s="31"/>
      <x:c r="E5" s="31"/>
      <x:c r="F5" s="31"/>
      <x:c r="G5" s="31"/>
      <x:c r="H5" s="31"/>
      <x:c r="I5" s="31"/>
      <x:c r="J5" s="31"/>
    </x:row>
    <x:row r="6">
      <x:c r="A6"/>
      <x:c r="B6"/>
      <x:c r="C6"/>
      <x:c r="D6"/>
      <x:c r="E6"/>
      <x:c r="F6"/>
      <x:c r="G6"/>
      <x:c r="H6"/>
      <x:c r="I6"/>
      <x:c r="J6"/>
    </x:row>
    <x:row r="7" ht="24" customHeight="1">
      <x:c r="A7" s="40" t="str">
        <x:v>A. 远程工程会话生命周期</x:v>
      </x:c>
      <x:c r="B7" s="40"/>
      <x:c r="C7" s="40"/>
      <x:c r="D7" s="40"/>
      <x:c r="E7" s="40"/>
      <x:c r="F7" s="40"/>
      <x:c r="G7" s="40"/>
      <x:c r="H7" s="40"/>
      <x:c r="I7" s="40"/>
      <x:c r="J7" s="40"/>
    </x:row>
    <x:row r="8" ht="28" customHeight="1">
      <x:c r="A8" s="50" t="str">
        <x:v>中心动作</x:v>
      </x:c>
      <x:c r="B8" s="50" t="str">
        <x:v>Station Agent</x:v>
      </x:c>
      <x:c r="C8" s="50" t="str">
        <x:v>Runtime Debug Agent</x:v>
      </x:c>
      <x:c r="D8" s="50" t="str">
        <x:v>Studio</x:v>
      </x:c>
      <x:c r="E8" s="50" t="str">
        <x:v>安全门禁</x:v>
      </x:c>
      <x:c r="F8" s="50" t="str">
        <x:v>断线策略</x:v>
      </x:c>
      <x:c r="G8" s="50" t="str">
        <x:v>审计</x:v>
      </x:c>
      <x:c r="H8" s="50" t="str">
        <x:v>完成条件</x:v>
      </x:c>
      <x:c r="I8" s="50" t="str">
        <x:v>备注</x:v>
      </x:c>
      <x:c r="J8" s="50"/>
    </x:row>
    <x:row r="9">
      <x:c r="A9" s="58" t="str">
        <x:v>用户选站点/原因/目标/模式/TTL</x:v>
      </x:c>
      <x:c r="B9" s="58" t="str">
        <x:v>返回Target capability/maintenance state</x:v>
      </x:c>
      <x:c r="C9" s="58" t="str">
        <x:v>不Attached</x:v>
      </x:c>
      <x:c r="D9" s="58" t="str">
        <x:v>提交申请</x:v>
      </x:c>
      <x:c r="E9" s="58" t="str">
        <x:v>User Role/Site Policy</x:v>
      </x:c>
      <x:c r="F9" s="58" t="str">
        <x:v>N/A</x:v>
      </x:c>
      <x:c r="G9" s="58" t="str">
        <x:v>Requester/Reason/Target</x:v>
      </x:c>
      <x:c r="H9" s="58" t="str">
        <x:v>申请创建</x:v>
      </x:c>
      <x:c r="I9" s="58"/>
      <x:c r="J9" s="58"/>
    </x:row>
    <x:row r="10">
      <x:c r="A10" s="66" t="str">
        <x:v>按策略自动/人工审批</x:v>
      </x:c>
      <x:c r="B10" s="66" t="str">
        <x:v>校验证书/时钟/Target policy</x:v>
      </x:c>
      <x:c r="C10" s="66" t="str">
        <x:v>准备授权上下文</x:v>
      </x:c>
      <x:c r="D10" s="66" t="str">
        <x:v>等待</x:v>
      </x:c>
      <x:c r="E10" s="66" t="str">
        <x:v>审批人/双人审批可配置</x:v>
      </x:c>
      <x:c r="F10" s="66" t="str">
        <x:v>超时过期</x:v>
      </x:c>
      <x:c r="G10" s="66" t="str">
        <x:v>Approver/Decision</x:v>
      </x:c>
      <x:c r="H10" s="66" t="str">
        <x:v>SessionLease签发</x:v>
      </x:c>
      <x:c r="I10" s="66"/>
      <x:c r="J10" s="66"/>
    </x:row>
    <x:row r="11">
      <x:c r="A11" s="58" t="str">
        <x:v>Broker/直连信息下发</x:v>
      </x:c>
      <x:c r="B11" s="58" t="str">
        <x:v>建立mTLS/受控Tunnel或Broker channel</x:v>
      </x:c>
      <x:c r="C11" s="58" t="str">
        <x:v>Handshake/Capabilities</x:v>
      </x:c>
      <x:c r="D11" s="58" t="str">
        <x:v>Debug Client连接</x:v>
      </x:c>
      <x:c r="E11" s="58" t="str">
        <x:v>Station identity/API version</x:v>
      </x:c>
      <x:c r="F11" s="58" t="str">
        <x:v>失败不反复重试副作用</x:v>
      </x:c>
      <x:c r="G11" s="58" t="str">
        <x:v>Connect event</x:v>
      </x:c>
      <x:c r="H11" s="58" t="str">
        <x:v>Connected</x:v>
      </x:c>
      <x:c r="I11" s="58"/>
      <x:c r="J11" s="58"/>
    </x:row>
    <x:row r="12">
      <x:c r="A12" s="66" t="str">
        <x:v>获取目标Active Manifest</x:v>
      </x:c>
      <x:c r="B12" s="66" t="str">
        <x:v>返回版本/健康</x:v>
      </x:c>
      <x:c r="C12" s="66" t="str">
        <x:v>返回Debug capabilities</x:v>
      </x:c>
      <x:c r="D12" s="66" t="str">
        <x:v>Online Diff</x:v>
      </x:c>
      <x:c r="E12" s="66" t="str">
        <x:v>兼容性/只读降级</x:v>
      </x:c>
      <x:c r="F12" s="66" t="str">
        <x:v>连接保留</x:v>
      </x:c>
      <x:c r="G12" s="66" t="str">
        <x:v>Manifest diff</x:v>
      </x:c>
      <x:c r="H12" s="66" t="str">
        <x:v>Attach可判定</x:v>
      </x:c>
      <x:c r="I12" s="66"/>
      <x:c r="J12" s="66"/>
    </x:row>
    <x:row r="13">
      <x:c r="A13" s="58" t="str">
        <x:v>建立Remote Debug Lease</x:v>
      </x:c>
      <x:c r="B13" s="58" t="str">
        <x:v>绑定用户/TTL/模式/Target</x:v>
      </x:c>
      <x:c r="C13" s="58" t="str">
        <x:v>创建DebugSession</x:v>
      </x:c>
      <x:c r="D13" s="58" t="str">
        <x:v>进入领域工作台</x:v>
      </x:c>
      <x:c r="E13" s="58" t="str">
        <x:v>Mode/Permission/Interlock/RealWrite</x:v>
      </x:c>
      <x:c r="F13" s="58" t="str">
        <x:v>客户端断线Target按Policy</x:v>
      </x:c>
      <x:c r="G13" s="58" t="str">
        <x:v>Attach audit</x:v>
      </x:c>
      <x:c r="H13" s="58" t="str">
        <x:v>Attached</x:v>
      </x:c>
      <x:c r="I13" s="58"/>
      <x:c r="J13" s="58"/>
    </x:row>
    <x:row r="14">
      <x:c r="A14" s="66" t="str">
        <x:v>记录危险操作/会话状态</x:v>
      </x:c>
      <x:c r="B14" s="66" t="str">
        <x:v>转发控制/Telemetry</x:v>
      </x:c>
      <x:c r="C14" s="66" t="str">
        <x:v>执行域命令</x:v>
      </x:c>
      <x:c r="D14" s="66" t="str">
        <x:v>Watch/Step/RunTo/受控写</x:v>
      </x:c>
      <x:c r="E14" s="66" t="str">
        <x:v>逐命令鉴权/Policy</x:v>
      </x:c>
      <x:c r="F14" s="66" t="str">
        <x:v>CommandId reconcile</x:v>
      </x:c>
      <x:c r="G14" s="66" t="str">
        <x:v>Command audit</x:v>
      </x:c>
      <x:c r="H14" s="66" t="str">
        <x:v>业务操作完成</x:v>
      </x:c>
      <x:c r="I14" s="66"/>
      <x:c r="J14" s="66"/>
    </x:row>
    <x:row r="15">
      <x:c r="A15" s="58" t="str">
        <x:v>TTL接近到期时续期</x:v>
      </x:c>
      <x:c r="B15" s="58" t="str">
        <x:v>确认站点允许</x:v>
      </x:c>
      <x:c r="C15" s="58" t="str">
        <x:v>更新Session lease</x:v>
      </x:c>
      <x:c r="D15" s="58" t="str">
        <x:v>提示续期</x:v>
      </x:c>
      <x:c r="E15" s="58" t="str">
        <x:v>用户仍授权/站点未进入禁止状态</x:v>
      </x:c>
      <x:c r="F15" s="58" t="str">
        <x:v>失败则Grace/ReadOnly/Detach</x:v>
      </x:c>
      <x:c r="G15" s="58" t="str">
        <x:v>Renew audit</x:v>
      </x:c>
      <x:c r="H15" s="58" t="str">
        <x:v>Lease更新</x:v>
      </x:c>
      <x:c r="I15" s="58"/>
      <x:c r="J15" s="58"/>
    </x:row>
    <x:row r="16">
      <x:c r="A16" s="66" t="str">
        <x:v>用户/审批人/Target关闭</x:v>
      </x:c>
      <x:c r="B16" s="66" t="str">
        <x:v>撤销Remote Lease</x:v>
      </x:c>
      <x:c r="C16" s="66" t="str">
        <x:v>Stop/Detach/清Overrides</x:v>
      </x:c>
      <x:c r="D16" s="66" t="str">
        <x:v>结束</x:v>
      </x:c>
      <x:c r="E16" s="66" t="str">
        <x:v>清理Session overrides</x:v>
      </x:c>
      <x:c r="F16" s="66" t="str">
        <x:v>异常断线TTL后关闭</x:v>
      </x:c>
      <x:c r="G16" s="66" t="str">
        <x:v>Final report</x:v>
      </x:c>
      <x:c r="H16" s="66" t="str">
        <x:v>FinalSnapshot</x:v>
      </x:c>
      <x:c r="I16" s="66"/>
      <x:c r="J16" s="66"/>
    </x:row>
    <x:row r="17">
      <x:c r="A17"/>
      <x:c r="B17"/>
      <x:c r="C17"/>
      <x:c r="D17"/>
      <x:c r="E17"/>
      <x:c r="F17"/>
      <x:c r="G17"/>
      <x:c r="H17"/>
      <x:c r="I17"/>
      <x:c r="J17"/>
    </x:row>
    <x:row r="18" ht="24" customHeight="1">
      <x:c r="A18" s="40" t="str">
        <x:v>B. 远程权限模式</x:v>
      </x:c>
      <x:c r="B18" s="40"/>
      <x:c r="C18" s="40"/>
      <x:c r="D18" s="40"/>
      <x:c r="E18" s="40"/>
      <x:c r="F18" s="40"/>
      <x:c r="G18" s="40"/>
      <x:c r="H18" s="40"/>
      <x:c r="I18" s="40"/>
      <x:c r="J18" s="40"/>
    </x:row>
    <x:row r="19" ht="28" customHeight="1">
      <x:c r="A19" s="50" t="str">
        <x:v>模式</x:v>
      </x:c>
      <x:c r="B19" s="50" t="str">
        <x:v>可见内容</x:v>
      </x:c>
      <x:c r="C19" s="50" t="str">
        <x:v>允许控制</x:v>
      </x:c>
      <x:c r="D19" s="50" t="str">
        <x:v>真实写</x:v>
      </x:c>
      <x:c r="E19" s="50" t="str">
        <x:v>典型用户</x:v>
      </x:c>
      <x:c r="F19" s="50" t="str">
        <x:v>审批</x:v>
      </x:c>
      <x:c r="G19" s="50" t="str">
        <x:v>Target策略</x:v>
      </x:c>
      <x:c r="H19" s="50" t="str">
        <x:v>用途</x:v>
      </x:c>
      <x:c r="I19" s="50" t="str">
        <x:v>默认</x:v>
      </x:c>
      <x:c r="J19" s="50" t="str">
        <x:v>备注</x:v>
      </x:c>
    </x:row>
    <x:row r="20">
      <x:c r="A20" s="58" t="str">
        <x:v>Fleet ReadOnly</x:v>
      </x:c>
      <x:c r="B20" s="58" t="str">
        <x:v>Health/Version/Alarm/Task摘要</x:v>
      </x:c>
      <x:c r="C20" s="58" t="str">
        <x:v>无</x:v>
      </x:c>
      <x:c r="D20" s="58" t="str">
        <x:v>否</x:v>
      </x:c>
      <x:c r="E20" s="58" t="str">
        <x:v>运维/管理</x:v>
      </x:c>
      <x:c r="F20" s="58" t="str">
        <x:v>无需/轻量</x:v>
      </x:c>
      <x:c r="G20" s="58" t="str">
        <x:v>只读</x:v>
      </x:c>
      <x:c r="H20" s="58" t="str">
        <x:v>日常巡检</x:v>
      </x:c>
      <x:c r="I20" s="58" t="str">
        <x:v>是</x:v>
      </x:c>
      <x:c r="J20" s="58"/>
    </x:row>
    <x:row r="21">
      <x:c r="A21" s="66" t="str">
        <x:v>Domain Observe</x:v>
      </x:c>
      <x:c r="B21" s="66" t="str">
        <x:v>某个Runtime/Task/Pipeline/Program的Trace/Watch/Viewer</x:v>
      </x:c>
      <x:c r="C21" s="66" t="str">
        <x:v>Attach/Inspect</x:v>
      </x:c>
      <x:c r="D21" s="66" t="str">
        <x:v>否</x:v>
      </x:c>
      <x:c r="E21" s="66" t="str">
        <x:v>工程师</x:v>
      </x:c>
      <x:c r="F21" s="66" t="str">
        <x:v>可选</x:v>
      </x:c>
      <x:c r="G21" s="66" t="str">
        <x:v>Debug read-only</x:v>
      </x:c>
      <x:c r="H21" s="66" t="str">
        <x:v>现场诊断</x:v>
      </x:c>
      <x:c r="I21" s="66" t="str">
        <x:v>常用</x:v>
      </x:c>
      <x:c r="J21" s="66"/>
    </x:row>
    <x:row r="22">
      <x:c r="A22" s="58" t="str">
        <x:v>Live Controlled Debug</x:v>
      </x:c>
      <x:c r="B22" s="58" t="str">
        <x:v>领域Debug命令</x:v>
      </x:c>
      <x:c r="C22" s="58" t="str">
        <x:v>Start/Step/RunTo/Retry等域允许命令</x:v>
      </x:c>
      <x:c r="D22" s="58" t="str">
        <x:v>按域白名单</x:v>
      </x:c>
      <x:c r="E22" s="58" t="str">
        <x:v>高级工程师</x:v>
      </x:c>
      <x:c r="F22" s="58" t="str">
        <x:v>强</x:v>
      </x:c>
      <x:c r="G22" s="58" t="str">
        <x:v>RealWrite/Interlock/Audit</x:v>
      </x:c>
      <x:c r="H22" s="58" t="str">
        <x:v>联机调试</x:v>
      </x:c>
      <x:c r="I22" s="58" t="str">
        <x:v>否</x:v>
      </x:c>
      <x:c r="J22" s="58"/>
    </x:row>
    <x:row r="23">
      <x:c r="A23" s="66" t="str">
        <x:v>Maintenance Commissioning</x:v>
      </x:c>
      <x:c r="B23" s="66" t="str">
        <x:v>Axis/Robot Jog/Teach/设备测试等</x:v>
      </x:c>
      <x:c r="C23" s="66" t="str">
        <x:v>受控Maintenance命令</x:v>
      </x:c>
      <x:c r="D23" s="66" t="str">
        <x:v>是</x:v>
      </x:c>
      <x:c r="E23" s="66" t="str">
        <x:v>现场/高级工程师</x:v>
      </x:c>
      <x:c r="F23" s="66" t="str">
        <x:v>最强</x:v>
      </x:c>
      <x:c r="G23" s="66" t="str">
        <x:v>Mode/Resource/Safety required</x:v>
      </x:c>
      <x:c r="H23" s="66" t="str">
        <x:v>维护/示教</x:v>
      </x:c>
      <x:c r="I23" s="66" t="str">
        <x:v>否</x:v>
      </x:c>
      <x:c r="J23" s="66"/>
    </x:row>
    <x:row r="24">
      <x:c r="A24" s="58" t="str">
        <x:v>Recovery Session</x:v>
      </x:c>
      <x:c r="B24" s="58" t="str">
        <x:v>Inspection恢复/MES对账/Worker restart等</x:v>
      </x:c>
      <x:c r="C24" s="58" t="str">
        <x:v>RecoveryPolicy允许操作</x:v>
      </x:c>
      <x:c r="D24" s="58" t="str">
        <x:v>可能</x:v>
      </x:c>
      <x:c r="E24" s="58" t="str">
        <x:v>高级工程师/现场负责人</x:v>
      </x:c>
      <x:c r="F24" s="58" t="str">
        <x:v>强</x:v>
      </x:c>
      <x:c r="G24" s="58" t="str">
        <x:v>Recovery policy</x:v>
      </x:c>
      <x:c r="H24" s="58" t="str">
        <x:v>故障恢复</x:v>
      </x:c>
      <x:c r="I24" s="58" t="str">
        <x:v>否</x:v>
      </x:c>
      <x:c r="J24" s="58"/>
    </x:row>
    <x:row r="25">
      <x:c r="A25" s="66" t="str">
        <x:v>Deployment Admin</x:v>
      </x:c>
      <x:c r="B25" s="66" t="str">
        <x:v>发布/回滚/维护模式</x:v>
      </x:c>
      <x:c r="C25" s="66" t="str">
        <x:v>部署动作</x:v>
      </x:c>
      <x:c r="D25" s="66" t="str">
        <x:v>N/A</x:v>
      </x:c>
      <x:c r="E25" s="66" t="str">
        <x:v>发布管理员</x:v>
      </x:c>
      <x:c r="F25" s="66" t="str">
        <x:v>强</x:v>
      </x:c>
      <x:c r="G25" s="66" t="str">
        <x:v>Deployment policy</x:v>
      </x:c>
      <x:c r="H25" s="66" t="str">
        <x:v>版本维护</x:v>
      </x:c>
      <x:c r="I25" s="66" t="str">
        <x:v>否</x:v>
      </x:c>
      <x:c r="J25" s="66"/>
    </x:row>
    <x:row r="26">
      <x:c r="A26"/>
      <x:c r="B26"/>
      <x:c r="C26"/>
      <x:c r="D26"/>
      <x:c r="E26"/>
      <x:c r="F26"/>
      <x:c r="G26"/>
      <x:c r="H26"/>
      <x:c r="I26"/>
      <x:c r="J26"/>
    </x:row>
    <x:row r="27" ht="24" customHeight="1">
      <x:c r="A27" s="40" t="str">
        <x:v>C. 安全与信任模型</x:v>
      </x:c>
      <x:c r="B27" s="40"/>
      <x:c r="C27" s="40"/>
      <x:c r="D27" s="40"/>
      <x:c r="E27" s="40"/>
      <x:c r="F27" s="40"/>
      <x:c r="G27" s="40"/>
      <x:c r="H27" s="40"/>
      <x:c r="I27" s="40"/>
      <x:c r="J27" s="40"/>
    </x:row>
    <x:row r="28" ht="28" customHeight="1">
      <x:c r="A28" s="50" t="str">
        <x:v>主题</x:v>
      </x:c>
      <x:c r="B28" s="50" t="str">
        <x:v>中心</x:v>
      </x:c>
      <x:c r="C28" s="50" t="str">
        <x:v>Station Agent</x:v>
      </x:c>
      <x:c r="D28" s="50" t="str">
        <x:v>Runtime Target</x:v>
      </x:c>
      <x:c r="E28" s="50" t="str">
        <x:v>Studio</x:v>
      </x:c>
      <x:c r="F28" s="50" t="str">
        <x:v>证据/审计</x:v>
      </x:c>
      <x:c r="G28" s="50" t="str">
        <x:v>失败行为</x:v>
      </x:c>
      <x:c r="H28" s="50" t="str">
        <x:v>测试</x:v>
      </x:c>
      <x:c r="I28" s="50" t="str">
        <x:v>规则</x:v>
      </x:c>
      <x:c r="J28" s="50" t="str">
        <x:v>备注</x:v>
      </x:c>
    </x:row>
    <x:row r="29">
      <x:c r="A29" s="58" t="str">
        <x:v>身份</x:v>
      </x:c>
      <x:c r="B29" s="58" t="str">
        <x:v>用户/角色/审批人身份</x:v>
      </x:c>
      <x:c r="C29" s="58" t="str">
        <x:v>Station证书/StationId</x:v>
      </x:c>
      <x:c r="D29" s="58" t="str">
        <x:v>Session principal</x:v>
      </x:c>
      <x:c r="E29" s="58" t="str">
        <x:v>Client identity</x:v>
      </x:c>
      <x:c r="F29" s="58" t="str">
        <x:v>User+Station+Session</x:v>
      </x:c>
      <x:c r="G29" s="58" t="str">
        <x:v>认证失败拒绝</x:v>
      </x:c>
      <x:c r="H29" s="58" t="str">
        <x:v>auth</x:v>
      </x:c>
      <x:c r="I29" s="58" t="str">
        <x:v>不得只靠IP</x:v>
      </x:c>
      <x:c r="J29" s="58"/>
    </x:row>
    <x:row r="30">
      <x:c r="A30" s="66" t="str">
        <x:v>通道</x:v>
      </x:c>
      <x:c r="B30" s="66" t="str">
        <x:v>Broker/Tunnel策略</x:v>
      </x:c>
      <x:c r="C30" s="66" t="str">
        <x:v>mTLS/协议版本</x:v>
      </x:c>
      <x:c r="D30" s="66" t="str">
        <x:v>Debug/Artifact endpoints</x:v>
      </x:c>
      <x:c r="E30" s="66" t="str">
        <x:v>Debug Client</x:v>
      </x:c>
      <x:c r="F30" s="66" t="str">
        <x:v>连接日志</x:v>
      </x:c>
      <x:c r="G30" s="66" t="str">
        <x:v>握手失败拒绝</x:v>
      </x:c>
      <x:c r="H30" s="66" t="str">
        <x:v>tls/protocol</x:v>
      </x:c>
      <x:c r="I30" s="66" t="str">
        <x:v>不开放通用远程桌面作为平台默认方案</x:v>
      </x:c>
      <x:c r="J30" s="66"/>
    </x:row>
    <x:row r="31">
      <x:c r="A31" s="58" t="str">
        <x:v>授权</x:v>
      </x:c>
      <x:c r="B31" s="58" t="str">
        <x:v>RBAC+Site/Mode/Action Policy</x:v>
      </x:c>
      <x:c r="C31" s="58" t="str">
        <x:v>初筛Policy</x:v>
      </x:c>
      <x:c r="D31" s="58" t="str">
        <x:v>每个危险命令最终Authorize</x:v>
      </x:c>
      <x:c r="E31" s="58" t="str">
        <x:v>按钮按Capability显示</x:v>
      </x:c>
      <x:c r="F31" s="58" t="str">
        <x:v>Decision audit</x:v>
      </x:c>
      <x:c r="G31" s="58" t="str">
        <x:v>Fail Closed</x:v>
      </x:c>
      <x:c r="H31" s="58" t="str">
        <x:v>security</x:v>
      </x:c>
      <x:c r="I31" s="58" t="str">
        <x:v>Target最终权威</x:v>
      </x:c>
      <x:c r="J31" s="58"/>
    </x:row>
    <x:row r="32">
      <x:c r="A32" s="66" t="str">
        <x:v>TTL/Lease</x:v>
      </x:c>
      <x:c r="B32" s="66" t="str">
        <x:v>签发RemoteSessionLease</x:v>
      </x:c>
      <x:c r="C32" s="66" t="str">
        <x:v>维护lease/heartbeat</x:v>
      </x:c>
      <x:c r="D32" s="66" t="str">
        <x:v>过期后拒绝新控制并清Override</x:v>
      </x:c>
      <x:c r="E32" s="66" t="str">
        <x:v>倒计时/续期</x:v>
      </x:c>
      <x:c r="F32" s="66" t="str">
        <x:v>lease events</x:v>
      </x:c>
      <x:c r="G32" s="66" t="str">
        <x:v>ReadOnly/Detach/安全态按Policy</x:v>
      </x:c>
      <x:c r="H32" s="66" t="str">
        <x:v>ttl</x:v>
      </x:c>
      <x:c r="I32" s="66" t="str">
        <x:v>会话不可无限长期</x:v>
      </x:c>
      <x:c r="J32" s="66"/>
    </x:row>
    <x:row r="33">
      <x:c r="A33" s="58" t="str">
        <x:v>审批</x:v>
      </x:c>
      <x:c r="B33" s="58" t="str">
        <x:v>规则引擎/人工审批</x:v>
      </x:c>
      <x:c r="C33" s="58" t="str">
        <x:v>校验审批Token</x:v>
      </x:c>
      <x:c r="D33" s="58" t="str">
        <x:v>验证审批范围</x:v>
      </x:c>
      <x:c r="E33" s="58" t="str">
        <x:v>显示审批信息</x:v>
      </x:c>
      <x:c r="F33" s="58" t="str">
        <x:v>Who/Why/Scope</x:v>
      </x:c>
      <x:c r="G33" s="58" t="str">
        <x:v>不匹配拒绝</x:v>
      </x:c>
      <x:c r="H33" s="58" t="str">
        <x:v>approval</x:v>
      </x:c>
      <x:c r="I33" s="58" t="str">
        <x:v>危险会话可双人审批</x:v>
      </x:c>
      <x:c r="J33" s="58"/>
    </x:row>
    <x:row r="34">
      <x:c r="A34" s="66" t="str">
        <x:v>命令幂等</x:v>
      </x:c>
      <x:c r="B34" s="66" t="str">
        <x:v>CommandId/SessionId记录</x:v>
      </x:c>
      <x:c r="C34" s="66" t="str">
        <x:v>转发不盲重发</x:v>
      </x:c>
      <x:c r="D34" s="66" t="str">
        <x:v>QueryCommand/ExpectedState</x:v>
      </x:c>
      <x:c r="E34" s="66" t="str">
        <x:v>超时后Query</x:v>
      </x:c>
      <x:c r="F34" s="66" t="str">
        <x:v>command history</x:v>
      </x:c>
      <x:c r="G34" s="66" t="str">
        <x:v>Unknown先对账</x:v>
      </x:c>
      <x:c r="H34" s="66" t="str">
        <x:v>network</x:v>
      </x:c>
      <x:c r="I34" s="66" t="str">
        <x:v>副作用命令不自动Retry</x:v>
      </x:c>
      <x:c r="J34" s="66"/>
    </x:row>
    <x:row r="35">
      <x:c r="A35" s="58" t="str">
        <x:v>数据权限</x:v>
      </x:c>
      <x:c r="B35" s="58" t="str">
        <x:v>Artifact/Result/客户数据Policy</x:v>
      </x:c>
      <x:c r="C35" s="58" t="str">
        <x:v>过滤/签发下载许可</x:v>
      </x:c>
      <x:c r="D35" s="58" t="str">
        <x:v>按Artifact policy返回</x:v>
      </x:c>
      <x:c r="E35" s="58" t="str">
        <x:v>Viewer按需</x:v>
      </x:c>
      <x:c r="F35" s="58" t="str">
        <x:v>download audit</x:v>
      </x:c>
      <x:c r="G35" s="58" t="str">
        <x:v>Denied/Redacted</x:v>
      </x:c>
      <x:c r="H35" s="58" t="str">
        <x:v>data access</x:v>
      </x:c>
      <x:c r="I35" s="58" t="str">
        <x:v>图像/Volume可按项目脱敏/禁远程</x:v>
      </x:c>
      <x:c r="J35" s="58"/>
    </x:row>
    <x:row r="36">
      <x:c r="A36"/>
      <x:c r="B36"/>
      <x:c r="C36"/>
      <x:c r="D36"/>
      <x:c r="E36"/>
      <x:c r="F36"/>
      <x:c r="G36"/>
      <x:c r="H36"/>
      <x:c r="I36"/>
      <x:c r="J36"/>
    </x:row>
    <x:row r="37" ht="24" customHeight="1">
      <x:c r="A37" s="40" t="str">
        <x:v>D. 带宽 / 大数据 / 网络策略</x:v>
      </x:c>
      <x:c r="B37" s="40"/>
      <x:c r="C37" s="40"/>
      <x:c r="D37" s="40"/>
      <x:c r="E37" s="40"/>
      <x:c r="F37" s="40"/>
      <x:c r="G37" s="40"/>
      <x:c r="H37" s="40"/>
      <x:c r="I37" s="40"/>
      <x:c r="J37" s="40"/>
    </x:row>
    <x:row r="38" ht="28" customHeight="1">
      <x:c r="A38" s="50" t="str">
        <x:v>数据类型</x:v>
      </x:c>
      <x:c r="B38" s="50" t="str">
        <x:v>默认策略</x:v>
      </x:c>
      <x:c r="C38" s="50" t="str">
        <x:v>低带宽模式</x:v>
      </x:c>
      <x:c r="D38" s="50" t="str">
        <x:v>高速局域网</x:v>
      </x:c>
      <x:c r="E38" s="50" t="str">
        <x:v>断线</x:v>
      </x:c>
      <x:c r="F38" s="50" t="str">
        <x:v>重连</x:v>
      </x:c>
      <x:c r="G38" s="50" t="str">
        <x:v>缓存</x:v>
      </x:c>
      <x:c r="H38" s="50" t="str">
        <x:v>指标</x:v>
      </x:c>
      <x:c r="I38" s="50" t="str">
        <x:v>禁止</x:v>
      </x:c>
      <x:c r="J38" s="50" t="str">
        <x:v>备注</x:v>
      </x:c>
    </x:row>
    <x:row r="39">
      <x:c r="A39" s="66" t="str">
        <x:v>Health/状态</x:v>
      </x:c>
      <x:c r="B39" s="66" t="str">
        <x:v>1~2Hz+事件</x:v>
      </x:c>
      <x:c r="C39" s="66" t="str">
        <x:v>降频</x:v>
      </x:c>
      <x:c r="D39" s="66" t="str">
        <x:v>正常</x:v>
      </x:c>
      <x:c r="E39" s="66" t="str">
        <x:v>丢实时小数据</x:v>
      </x:c>
      <x:c r="F39" s="66" t="str">
        <x:v>Snapshot恢复</x:v>
      </x:c>
      <x:c r="G39" s="66" t="str">
        <x:v>中心短期缓存</x:v>
      </x:c>
      <x:c r="H39" s="66" t="str">
        <x:v>lag/drop</x:v>
      </x:c>
      <x:c r="I39" s="66" t="str">
        <x:v>无限高频轮询</x:v>
      </x:c>
      <x:c r="J39" s="66"/>
    </x:row>
    <x:row r="40">
      <x:c r="A40" s="58" t="str">
        <x:v>Trace/Timeline</x:v>
      </x:c>
      <x:c r="B40" s="58" t="str">
        <x:v>按订阅/过滤/采样</x:v>
      </x:c>
      <x:c r="C40" s="58" t="str">
        <x:v>只保留错误/关键节点</x:v>
      </x:c>
      <x:c r="D40" s="58" t="str">
        <x:v>全量窗口</x:v>
      </x:c>
      <x:c r="E40" s="58" t="str">
        <x:v>允许Gap</x:v>
      </x:c>
      <x:c r="F40" s="58" t="str">
        <x:v>Query历史/重订阅</x:v>
      </x:c>
      <x:c r="G40" s="58" t="str">
        <x:v>RingBuffer/中心索引</x:v>
      </x:c>
      <x:c r="H40" s="58" t="str">
        <x:v>events/s/drop</x:v>
      </x:c>
      <x:c r="I40" s="58" t="str">
        <x:v>阻塞Runtime保证不丢每条Trace</x:v>
      </x:c>
      <x:c r="J40" s="58"/>
    </x:row>
    <x:row r="41">
      <x:c r="A41" s="66" t="str">
        <x:v>2D Image</x:v>
      </x:c>
      <x:c r="B41" s="66" t="str">
        <x:v>缩略图/ROI/选帧按需</x:v>
      </x:c>
      <x:c r="C41" s="66" t="str">
        <x:v>JPEG/下采样/ROI</x:v>
      </x:c>
      <x:c r="D41" s="66" t="str">
        <x:v>原图按需</x:v>
      </x:c>
      <x:c r="E41" s="66" t="str">
        <x:v>传输可中断</x:v>
      </x:c>
      <x:c r="F41" s="66" t="str">
        <x:v>按ArtifactId续传</x:v>
      </x:c>
      <x:c r="G41" s="66" t="str">
        <x:v>Artifact store</x:v>
      </x:c>
      <x:c r="H41" s="66" t="str">
        <x:v>MB/s</x:v>
      </x:c>
      <x:c r="I41" s="66" t="str">
        <x:v>持续推全分辨率视频到Studio</x:v>
      </x:c>
      <x:c r="J41" s="66"/>
    </x:row>
    <x:row r="42">
      <x:c r="A42" s="58" t="str">
        <x:v>Projection Series</x:v>
      </x:c>
      <x:c r="B42" s="58" t="str">
        <x:v>元数据+缩略图，单帧/范围按需</x:v>
      </x:c>
      <x:c r="C42" s="58" t="str">
        <x:v>禁止批量大传</x:v>
      </x:c>
      <x:c r="D42" s="58" t="str">
        <x:v>按任务授权</x:v>
      </x:c>
      <x:c r="E42" s="58" t="str">
        <x:v>中断</x:v>
      </x:c>
      <x:c r="F42" s="58" t="str">
        <x:v>分块续传</x:v>
      </x:c>
      <x:c r="G42" s="58" t="str">
        <x:v>Artifact store</x:v>
      </x:c>
      <x:c r="H42" s="58" t="str">
        <x:v>GB transferred</x:v>
      </x:c>
      <x:c r="I42" s="58" t="str">
        <x:v>打开调试即同步整套投影</x:v>
      </x:c>
      <x:c r="J42" s="58"/>
    </x:row>
    <x:row r="43">
      <x:c r="A43" s="66" t="str">
        <x:v>Volume3D</x:v>
      </x:c>
      <x:c r="B43" s="66" t="str">
        <x:v>MPR slice/LOD/ROI优先</x:v>
      </x:c>
      <x:c r="C43" s="66" t="str">
        <x:v>仅切片/降采样</x:v>
      </x:c>
      <x:c r="D43" s="66" t="str">
        <x:v>Chunk/Shared local gateway</x:v>
      </x:c>
      <x:c r="E43" s="66" t="str">
        <x:v>中断</x:v>
      </x:c>
      <x:c r="F43" s="66" t="str">
        <x:v>Artifact chunk续传</x:v>
      </x:c>
      <x:c r="G43" s="66" t="str">
        <x:v>central/local store</x:v>
      </x:c>
      <x:c r="H43" s="66" t="str">
        <x:v>chunk latency</x:v>
      </x:c>
      <x:c r="I43" s="66" t="str">
        <x:v>远程完整复制Volume到内存</x:v>
      </x:c>
      <x:c r="J43" s="66"/>
    </x:row>
    <x:row r="44">
      <x:c r="A44" s="58" t="str">
        <x:v>Crash/Log bundle</x:v>
      </x:c>
      <x:c r="B44" s="58" t="str">
        <x:v>Case触发按需收集</x:v>
      </x:c>
      <x:c r="C44" s="58" t="str">
        <x:v>压缩/裁剪</x:v>
      </x:c>
      <x:c r="D44" s="58" t="str">
        <x:v>完整</x:v>
      </x:c>
      <x:c r="E44" s="58" t="str">
        <x:v>可重试</x:v>
      </x:c>
      <x:c r="F44" s="58" t="str">
        <x:v>断点续传</x:v>
      </x:c>
      <x:c r="G44" s="58" t="str">
        <x:v>Case store</x:v>
      </x:c>
      <x:c r="H44" s="58" t="str">
        <x:v>bundle size</x:v>
      </x:c>
      <x:c r="I44" s="58" t="str">
        <x:v>每次自动上传全部日志</x:v>
      </x:c>
      <x:c r="J44" s="58"/>
    </x:row>
    <x:row r="45">
      <x:c r="A45"/>
      <x:c r="B45"/>
      <x:c r="C45"/>
      <x:c r="D45"/>
      <x:c r="E45"/>
      <x:c r="F45"/>
      <x:c r="G45"/>
      <x:c r="H45"/>
      <x:c r="I45"/>
      <x:c r="J45"/>
    </x:row>
    <x:row r="46" ht="24" customHeight="1">
      <x:c r="A46" s="40" t="str">
        <x:v>E. Fleet级集中调试功能</x:v>
      </x:c>
      <x:c r="B46" s="40"/>
      <x:c r="C46" s="40"/>
      <x:c r="D46" s="40"/>
      <x:c r="E46" s="40"/>
      <x:c r="F46" s="40"/>
      <x:c r="G46" s="40"/>
      <x:c r="H46" s="40"/>
      <x:c r="I46" s="40"/>
      <x:c r="J46" s="40"/>
    </x:row>
    <x:row r="47" ht="28" customHeight="1">
      <x:c r="A47" s="50" t="str">
        <x:v>能力</x:v>
      </x:c>
      <x:c r="B47" s="50" t="str">
        <x:v>作用</x:v>
      </x:c>
      <x:c r="C47" s="50" t="str">
        <x:v>选择范围</x:v>
      </x:c>
      <x:c r="D47" s="50" t="str">
        <x:v>执行方式</x:v>
      </x:c>
      <x:c r="E47" s="50" t="str">
        <x:v>安全</x:v>
      </x:c>
      <x:c r="F47" s="50" t="str">
        <x:v>结果</x:v>
      </x:c>
      <x:c r="G47" s="50" t="str">
        <x:v>使用场景</x:v>
      </x:c>
      <x:c r="H47" s="50" t="str">
        <x:v>限制</x:v>
      </x:c>
      <x:c r="I47" s="50" t="str">
        <x:v>备注</x:v>
      </x:c>
      <x:c r="J47" s="50"/>
    </x:row>
    <x:row r="48">
      <x:c r="A48" s="66" t="str">
        <x:v>Compare Versions</x:v>
      </x:c>
      <x:c r="B48" s="66" t="str">
        <x:v>多站点版本矩阵比较</x:v>
      </x:c>
      <x:c r="C48" s="66" t="str">
        <x:v>Site/Line/Tag/Station</x:v>
      </x:c>
      <x:c r="D48" s="66" t="str">
        <x:v>读取Manifest并Diff</x:v>
      </x:c>
      <x:c r="E48" s="66" t="str">
        <x:v>只读</x:v>
      </x:c>
      <x:c r="F48" s="66" t="str">
        <x:v>Version matrix</x:v>
      </x:c>
      <x:c r="G48" s="66" t="str">
        <x:v>判断同类机差异</x:v>
      </x:c>
      <x:c r="H48" s="66" t="str">
        <x:v>不自动升级</x:v>
      </x:c>
      <x:c r="I48" s="66"/>
      <x:c r="J48" s="66"/>
    </x:row>
    <x:row r="49">
      <x:c r="A49" s="58" t="str">
        <x:v>Compare Health</x:v>
      </x:c>
      <x:c r="B49" s="58" t="str">
        <x:v>同类机性能/错误率对比</x:v>
      </x:c>
      <x:c r="C49" s="58" t="str">
        <x:v>Station group</x:v>
      </x:c>
      <x:c r="D49" s="58" t="str">
        <x:v>聚合metrics</x:v>
      </x:c>
      <x:c r="E49" s="58" t="str">
        <x:v>只读</x:v>
      </x:c>
      <x:c r="F49" s="58" t="str">
        <x:v>Baseline/outlier</x:v>
      </x:c>
      <x:c r="G49" s="58" t="str">
        <x:v>定位异常机</x:v>
      </x:c>
      <x:c r="H49" s="58" t="str">
        <x:v>数据采样一致性</x:v>
      </x:c>
      <x:c r="I49" s="58"/>
      <x:c r="J49" s="58"/>
    </x:row>
    <x:row r="50">
      <x:c r="A50" s="66" t="str">
        <x:v>Correlation Search</x:v>
      </x:c>
      <x:c r="B50" s="66" t="str">
        <x:v>按Product/Task/Run/Correlation跨站点查证据</x:v>
      </x:c>
      <x:c r="C50" s="66" t="str">
        <x:v>时间/站点</x:v>
      </x:c>
      <x:c r="D50" s="66" t="str">
        <x:v>中心Index→站点Artifact按需</x:v>
      </x:c>
      <x:c r="E50" s="66" t="str">
        <x:v>只读</x:v>
      </x:c>
      <x:c r="F50" s="66" t="str">
        <x:v>Case evidence</x:v>
      </x:c>
      <x:c r="G50" s="66" t="str">
        <x:v>现场问题</x:v>
      </x:c>
      <x:c r="H50" s="66" t="str">
        <x:v>Retention限制</x:v>
      </x:c>
      <x:c r="I50" s="66"/>
      <x:c r="J50" s="66"/>
    </x:row>
    <x:row r="51">
      <x:c r="A51" s="58" t="str">
        <x:v>Remote Replay</x:v>
      </x:c>
      <x:c r="B51" s="58" t="str">
        <x:v>把目标站Artifact/Manifest拉到工程站做离线Replay</x:v>
      </x:c>
      <x:c r="C51" s="58" t="str">
        <x:v>单Task/Run</x:v>
      </x:c>
      <x:c r="D51" s="58" t="str">
        <x:v>下载必要Artifact→本地Simulation/Replay</x:v>
      </x:c>
      <x:c r="E51" s="58" t="str">
        <x:v>只读</x:v>
      </x:c>
      <x:c r="F51" s="58" t="str">
        <x:v>Replay workspace</x:v>
      </x:c>
      <x:c r="G51" s="58" t="str">
        <x:v>避免直接实机调试</x:v>
      </x:c>
      <x:c r="H51" s="58" t="str">
        <x:v>版本依赖需可取</x:v>
      </x:c>
      <x:c r="I51" s="58"/>
      <x:c r="J51" s="58"/>
    </x:row>
    <x:row r="52">
      <x:c r="A52" s="66" t="str">
        <x:v>Remote Observe Attach</x:v>
      </x:c>
      <x:c r="B52" s="66" t="str">
        <x:v>批量只读观察少量关键站点</x:v>
      </x:c>
      <x:c r="C52" s="66" t="str">
        <x:v>N stations有限</x:v>
      </x:c>
      <x:c r="D52" s="66" t="str">
        <x:v>每站独立Agent subscription</x:v>
      </x:c>
      <x:c r="E52" s="66" t="str">
        <x:v>只读</x:v>
      </x:c>
      <x:c r="F52" s="66" t="str">
        <x:v>Multi-station dashboard</x:v>
      </x:c>
      <x:c r="G52" s="66" t="str">
        <x:v>联调/新版本观察</x:v>
      </x:c>
      <x:c r="H52" s="66" t="str">
        <x:v>限制并发/带宽</x:v>
      </x:c>
      <x:c r="I52" s="66"/>
      <x:c r="J52" s="66"/>
    </x:row>
    <x:row r="53">
      <x:c r="A53" s="58" t="str">
        <x:v>Canary Debug</x:v>
      </x:c>
      <x:c r="B53" s="58" t="str">
        <x:v>发布Canary后自动打开Health/Trace对比窗口</x:v>
      </x:c>
      <x:c r="C53" s="58" t="str">
        <x:v>Canary ring</x:v>
      </x:c>
      <x:c r="D53" s="58" t="str">
        <x:v>Rollout+Observability</x:v>
      </x:c>
      <x:c r="E53" s="58" t="str">
        <x:v>只读为主</x:v>
      </x:c>
      <x:c r="F53" s="58" t="str">
        <x:v>before/after diff</x:v>
      </x:c>
      <x:c r="G53" s="58" t="str">
        <x:v>新版本验证</x:v>
      </x:c>
      <x:c r="H53" s="58" t="str">
        <x:v>不自动进行危险控制</x:v>
      </x:c>
      <x:c r="I53" s="58"/>
      <x:c r="J53" s="58"/>
    </x:row>
    <x:row r="54">
      <x:c r="A54"/>
      <x:c r="B54"/>
      <x:c r="C54"/>
      <x:c r="D54"/>
      <x:c r="E54"/>
      <x:c r="F54"/>
      <x:c r="G54"/>
      <x:c r="H54"/>
      <x:c r="I54"/>
      <x:c r="J54"/>
    </x:row>
    <x:row r="55" ht="24" customHeight="1">
      <x:c r="A55" s="40" t="str">
        <x:v>F. 远程工程红线</x:v>
      </x:c>
      <x:c r="B55" s="40"/>
      <x:c r="C55" s="40"/>
      <x:c r="D55" s="40"/>
      <x:c r="E55" s="40"/>
      <x:c r="F55" s="40"/>
      <x:c r="G55" s="40"/>
      <x:c r="H55" s="40"/>
      <x:c r="I55" s="40"/>
      <x:c r="J55" s="40"/>
    </x:row>
    <x:row r="56" ht="28" customHeight="1">
      <x:c r="A56" s="50" t="str">
        <x:v>红线</x:v>
      </x:c>
      <x:c r="B56" s="50" t="str">
        <x:v>为什么</x:v>
      </x:c>
      <x:c r="C56" s="50" t="str">
        <x:v>禁止</x:v>
      </x:c>
      <x:c r="D56" s="50" t="str">
        <x:v>正确替代</x:v>
      </x:c>
      <x:c r="E56" s="50" t="str">
        <x:v>平台门禁</x:v>
      </x:c>
      <x:c r="F56" s="50" t="str">
        <x:v>审计</x:v>
      </x:c>
      <x:c r="G56" s="50" t="str">
        <x:v>测试</x:v>
      </x:c>
      <x:c r="H56" s="50" t="str">
        <x:v>严重级别</x:v>
      </x:c>
      <x:c r="I56" s="50" t="str">
        <x:v>备注</x:v>
      </x:c>
      <x:c r="J56" s="50" t="str">
        <x:v>Owner</x:v>
      </x:c>
    </x:row>
    <x:row r="57">
      <x:c r="A57" s="66" t="str">
        <x:v>中心不能绕过Target安全</x:v>
      </x:c>
      <x:c r="B57" s="66" t="str">
        <x:v>网络中心不是设备安全边界</x:v>
      </x:c>
      <x:c r="C57" s="66" t="str">
        <x:v>Operations API直接下Move/Write</x:v>
      </x:c>
      <x:c r="D57" s="66" t="str">
        <x:v>Remote Session→Debug Agent→Domain Policy</x:v>
      </x:c>
      <x:c r="E57" s="66" t="str">
        <x:v>Target Authorization/Interlock</x:v>
      </x:c>
      <x:c r="F57" s="66" t="str">
        <x:v>强</x:v>
      </x:c>
      <x:c r="G57" s="66" t="str">
        <x:v>security E2E</x:v>
      </x:c>
      <x:c r="H57" s="66" t="str">
        <x:v>P0</x:v>
      </x:c>
      <x:c r="I57" s="66"/>
      <x:c r="J57" s="66" t="str">
        <x:v>Security</x:v>
      </x:c>
    </x:row>
    <x:row r="58">
      <x:c r="A58" s="58" t="str">
        <x:v>默认无远程Shell</x:v>
      </x:c>
      <x:c r="B58" s="58" t="str">
        <x:v>通用Shell扩大攻击面与不可审计动作</x:v>
      </x:c>
      <x:c r="C58" s="58" t="str">
        <x:v>平台内置任意PowerShell/命令行执行</x:v>
      </x:c>
      <x:c r="D58" s="58" t="str">
        <x:v>提供窄Maintenance Actions；特殊OS运维走IT方案</x:v>
      </x:c>
      <x:c r="E58" s="58" t="str">
        <x:v>Capability allowlist</x:v>
      </x:c>
      <x:c r="F58" s="58" t="str">
        <x:v>强</x:v>
      </x:c>
      <x:c r="G58" s="58" t="str">
        <x:v>penetration/policy</x:v>
      </x:c>
      <x:c r="H58" s="58" t="str">
        <x:v>P0</x:v>
      </x:c>
      <x:c r="I58" s="58"/>
      <x:c r="J58" s="58" t="str">
        <x:v>Operations</x:v>
      </x:c>
    </x:row>
    <x:row r="59">
      <x:c r="A59" s="66" t="str">
        <x:v>生产调试默认只读</x:v>
      </x:c>
      <x:c r="B59" s="66" t="str">
        <x:v>保护产品与设备</x:v>
      </x:c>
      <x:c r="C59" s="66" t="str">
        <x:v>默认给工程师LiveWrite</x:v>
      </x:c>
      <x:c r="D59" s="66" t="str">
        <x:v>按Session申请Live Controlled/Maintenance</x:v>
      </x:c>
      <x:c r="E59" s="66" t="str">
        <x:v>RemoteSessionPolicy</x:v>
      </x:c>
      <x:c r="F59" s="66" t="str">
        <x:v>强</x:v>
      </x:c>
      <x:c r="G59" s="66" t="str">
        <x:v>permission</x:v>
      </x:c>
      <x:c r="H59" s="66" t="str">
        <x:v>P0</x:v>
      </x:c>
      <x:c r="I59" s="66"/>
      <x:c r="J59" s="66" t="str">
        <x:v>Security</x:v>
      </x:c>
    </x:row>
    <x:row r="60">
      <x:c r="A60" s="58" t="str">
        <x:v>会话必须有TTL/Reason</x:v>
      </x:c>
      <x:c r="B60" s="58" t="str">
        <x:v>避免长期隐形控制</x:v>
      </x:c>
      <x:c r="C60" s="58" t="str">
        <x:v>永久Token/共享账号</x:v>
      </x:c>
      <x:c r="D60" s="58" t="str">
        <x:v>短期SessionLease+审批</x:v>
      </x:c>
      <x:c r="E60" s="58" t="str">
        <x:v>Lease expiry</x:v>
      </x:c>
      <x:c r="F60" s="58" t="str">
        <x:v>强</x:v>
      </x:c>
      <x:c r="G60" s="58" t="str">
        <x:v>ttl</x:v>
      </x:c>
      <x:c r="H60" s="58" t="str">
        <x:v>P0</x:v>
      </x:c>
      <x:c r="I60" s="58"/>
      <x:c r="J60" s="58" t="str">
        <x:v>Security</x:v>
      </x:c>
    </x:row>
    <x:row r="61">
      <x:c r="A61" s="66" t="str">
        <x:v>大数据按需</x:v>
      </x:c>
      <x:c r="B61" s="66" t="str">
        <x:v>避免拖垮站点/网络</x:v>
      </x:c>
      <x:c r="C61" s="66" t="str">
        <x:v>自动上传所有图像/Volume</x:v>
      </x:c>
      <x:c r="D61" s="66" t="str">
        <x:v>ArtifactRef+chunk/ROI/LOD</x:v>
      </x:c>
      <x:c r="E61" s="66" t="str">
        <x:v>Bandwidth policy</x:v>
      </x:c>
      <x:c r="F61" s="66" t="str">
        <x:v>下载审计</x:v>
      </x:c>
      <x:c r="G61" s="66" t="str">
        <x:v>network stress</x:v>
      </x:c>
      <x:c r="H61" s="66" t="str">
        <x:v>P0</x:v>
      </x:c>
      <x:c r="I61" s="66"/>
      <x:c r="J61" s="66" t="str">
        <x:v>Platform</x:v>
      </x:c>
    </x:row>
    <x:row r="62">
      <x:c r="A62" s="58" t="str">
        <x:v>远程断线不等于设备停止</x:v>
      </x:c>
      <x:c r="B62" s="58" t="str">
        <x:v>网络语义不可靠</x:v>
      </x:c>
      <x:c r="C62" s="58" t="str">
        <x:v>Studio断线自动当Stop成功</x:v>
      </x:c>
      <x:c r="D62" s="58" t="str">
        <x:v>Query Target state/按本地安全策略</x:v>
      </x:c>
      <x:c r="E62" s="58" t="str">
        <x:v>DetachedUnknown</x:v>
      </x:c>
      <x:c r="F62" s="58" t="str">
        <x:v>事件</x:v>
      </x:c>
      <x:c r="G62" s="58" t="str">
        <x:v>network fault</x:v>
      </x:c>
      <x:c r="H62" s="58" t="str">
        <x:v>P0</x:v>
      </x:c>
      <x:c r="I62" s="58"/>
      <x:c r="J62" s="58" t="str">
        <x:v>Runtime</x:v>
      </x:c>
    </x:row>
  </x:sheetData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36" hidden="0" customWidth="1"/>
    <x:col min="5" max="5" width="36" hidden="0" customWidth="1"/>
    <x:col min="6" max="6" width="32" hidden="0" customWidth="1"/>
    <x:col min="7" max="7" width="34" hidden="0" customWidth="1"/>
    <x:col min="8" max="8" width="28" hidden="0" customWidth="1"/>
  </x:cols>
  <x:sheetData>
    <x:row r="1" ht="30" customHeight="1">
      <x:c r="A1" s="137" t="str">
        <x:v>CxVisual 开发实施路线 — 历史 M1→RC + V6.x Case-Driven 工业化</x:v>
      </x:c>
      <x:c r="B1" s="137"/>
      <x:c r="C1" s="137"/>
      <x:c r="D1" s="137"/>
      <x:c r="E1" s="137"/>
      <x:c r="F1" s="137"/>
      <x:c r="G1" s="137"/>
      <x:c r="H1" s="137"/>
    </x:row>
    <x:row r="2" ht="38" customHeight="1">
      <x:c r="A2" s="16" t="str">
        <x:v>M1~RC保留为能力建设历史；从V6.0起大架构冻结，后续以真实Case/场景攻击系统并反向补文档、代码、Gate，避免继续凭空抽象。</x:v>
      </x:c>
      <x:c r="B2" s="16"/>
      <x:c r="C2" s="16"/>
      <x:c r="D2" s="16"/>
      <x:c r="E2" s="16"/>
      <x:c r="F2" s="16"/>
      <x:c r="G2" s="16"/>
      <x:c r="H2" s="16"/>
    </x:row>
    <x:row r="3">
      <x:c r="A3" s="30" t="str">
        <x:v>本页唯一权威</x:v>
      </x:c>
      <x:c r="B3" s="31" t="str">
        <x:v>历史M1~RC能力路线 + 当前V6.x Case-Driven工业化路线、每轮Case/Gate/退出条件。</x:v>
      </x:c>
      <x:c r="C3" s="31"/>
      <x:c r="D3" s="31"/>
      <x:c r="E3" s="31"/>
      <x:c r="F3" s="31"/>
      <x:c r="G3" s="31"/>
      <x:c r="H3" s="31"/>
    </x:row>
    <x:row r="4">
      <x:c r="A4" s="30" t="str">
        <x:v>不在本页维护</x:v>
      </x:c>
      <x:c r="B4" s="31" t="str">
        <x:v>每条任务真实完成状态、Owner、证据链接；见41。</x:v>
      </x:c>
      <x:c r="C4" s="31"/>
      <x:c r="D4" s="31"/>
      <x:c r="E4" s="31"/>
      <x:c r="F4" s="31"/>
      <x:c r="G4" s="31"/>
      <x:c r="H4" s="31"/>
    </x:row>
    <x:row r="5">
      <x:c r="A5" s="30" t="str">
        <x:v>关联分页</x:v>
      </x:c>
      <x:c r="B5" s="31" t="str">
        <x:v>41_开发追踪矩阵；26测试与架构门禁；49_V6.4同步审计；46/50通用变量；17/27当前重点。</x:v>
      </x:c>
      <x:c r="C5" s="31"/>
      <x:c r="D5" s="31"/>
      <x:c r="E5" s="31"/>
      <x:c r="F5" s="31"/>
      <x:c r="G5" s="31"/>
      <x:c r="H5" s="31"/>
    </x:row>
    <x:row r="6">
      <x:c r="A6"/>
      <x:c r="B6"/>
      <x:c r="C6"/>
      <x:c r="D6"/>
      <x:c r="E6"/>
      <x:c r="F6"/>
      <x:c r="G6"/>
      <x:c r="H6"/>
    </x:row>
    <x:row r="7" ht="24" customHeight="1">
      <x:c r="A7" s="40" t="str">
        <x:v>A. 阶段 Gate</x:v>
      </x:c>
      <x:c r="B7" s="40"/>
      <x:c r="C7" s="40"/>
      <x:c r="D7" s="40"/>
      <x:c r="E7" s="40"/>
      <x:c r="F7" s="40"/>
      <x:c r="G7" s="40"/>
      <x:c r="H7" s="40"/>
    </x:row>
    <x:row r="8" ht="28" customHeight="1">
      <x:c r="A8" s="50" t="str">
        <x:v>阶段</x:v>
      </x:c>
      <x:c r="B8" s="50" t="str">
        <x:v>目标</x:v>
      </x:c>
      <x:c r="C8" s="50" t="str">
        <x:v>范围</x:v>
      </x:c>
      <x:c r="D8" s="50" t="str">
        <x:v>可见成果</x:v>
      </x:c>
      <x:c r="E8" s="50" t="str">
        <x:v>核心技术门禁</x:v>
      </x:c>
      <x:c r="F8" s="50" t="str">
        <x:v>测试/质量</x:v>
      </x:c>
      <x:c r="G8" s="50" t="str">
        <x:v>退出条件</x:v>
      </x:c>
      <x:c r="H8" s="50" t="str">
        <x:v>依赖</x:v>
      </x:c>
    </x:row>
    <x:row r="9">
      <x:c r="A9" s="58" t="str">
        <x:v>M1 平台内核</x:v>
      </x:c>
      <x:c r="B9" s="58" t="str">
        <x:v>把长期不应反复推翻的底座定住</x:v>
      </x:c>
      <x:c r="C9" s="58" t="str">
        <x:v>Project/Core/Schema/Metadata/Command/Serialization/Studio Shell/固定9菜单/Contextual Ribbon骨架/三Host/基础Runtime contracts</x:v>
      </x:c>
      <x:c r="D9" s="58" t="str">
        <x:v>工程能新建/打开/保存；Studio固定Shell稳定；Context Provider可注册；Runtime Host启动；基础Primitive显示</x:v>
      </x:c>
      <x:c r="E9" s="58" t="str">
        <x:v>Core无WPF/Vendor；FormatVersion/Stable Id/Registry/Command边界稳定；UI命令不穿透Domain</x:v>
      </x:c>
      <x:c r="F9" s="58" t="str">
        <x:v>Build/RoundTrip/Architecture/UI Smoke</x:v>
      </x:c>
      <x:c r="G9" s="58" t="str">
        <x:v>基础工程与Studio Shell贯通</x:v>
      </x:c>
      <x:c r="H9" s="58" t="str">
        <x:v>无</x:v>
      </x:c>
    </x:row>
    <x:row r="10">
      <x:c r="A10" s="66" t="str">
        <x:v>M2 Visual + SCADA</x:v>
      </x:c>
      <x:c r="B10" s="66" t="str">
        <x:v>形成可用组态/监控基础</x:v>
      </x:c>
      <x:c r="C10" s="66" t="str">
        <x:v>Screen/Symbol/DeviceVariable/Project.Variables/Binding/Alarm/Trend/Control/History基础</x:v>
      </x:c>
      <x:c r="D10" s="66" t="str">
        <x:v>可画、可配点、可建Symbol；设备变量可见→同步工程变量→绑定图元→运行刷新→报警/趋势同源</x:v>
      </x:c>
      <x:c r="E10" s="66" t="str">
        <x:v>稳定VariableId；唯一IVariableProvider；VariableValue质量时序；WritePipeline不可绕过</x:v>
      </x:c>
      <x:c r="F10" s="66" t="str">
        <x:v>UI/Binding/SCADA/DeviceVariable E2E</x:v>
      </x:c>
      <x:c r="G10" s="66" t="str">
        <x:v>典型HMI页面长期运行且变量闭环成立</x:v>
      </x:c>
      <x:c r="H10" s="66" t="str">
        <x:v>M1</x:v>
      </x:c>
    </x:row>
    <x:row r="11">
      <x:c r="A11" s="58" t="str">
        <x:v>M3 Graph + Unified Runtime/Debug</x:v>
      </x:c>
      <x:c r="B11" s="58" t="str">
        <x:v>建立第二主轴Execution Model与统一调试</x:v>
      </x:c>
      <x:c r="C11" s="58" t="str">
        <x:v>Graph Core/TypeSystem/Graph Editor/Compiler/ExecutionPlan/DebugSession/Simulation-Live-Replay/Resource基础 + SCADA变量节点</x:v>
      </x:c>
      <x:c r="D11" s="58" t="str">
        <x:v>可建立Graph文档；编译；断点/Watch/Trace/Timeline；VariableChanged/Read/Write真实接统一Provider</x:v>
      </x:c>
      <x:c r="E11" s="58" t="str">
        <x:v>Graph共享基础但Domain Runtime分离；Typed Port；Correlation/Diagnostic；WriteVariable走WritePipeline</x:v>
      </x:c>
      <x:c r="F11" s="58" t="str">
        <x:v>Graph/Debug/Runtime/Variable integration tests</x:v>
      </x:c>
      <x:c r="G11" s="58" t="str">
        <x:v>Graph平台可供Motion/Vision/Inspection复用并完成变量节点E2E</x:v>
      </x:c>
      <x:c r="H11" s="58" t="str">
        <x:v>M1~M2</x:v>
      </x:c>
    </x:row>
    <x:row r="12">
      <x:c r="A12" s="66" t="str">
        <x:v>M4 Motion</x:v>
      </x:c>
      <x:c r="B12" s="66" t="str">
        <x:v>运控编排可实机使用</x:v>
      </x:c>
      <x:c r="C12" s="66" t="str">
        <x:v>MotionProgram/Controller/PLC/Fieldbus/Axis/Actuator/Pneumatic/IO/Sensor/Trigger/Safety/XRay/Detector/Camera/Interlock/Resource/Debug</x:v>
      </x:c>
      <x:c r="D12" s="66" t="str">
        <x:v>完整硬件树可配置/诊断；轴/IO/相机/XRay等编排；Simulation与Live受控调试；Robot复用Motion公共Contract</x:v>
      </x:c>
      <x:c r="E12" s="66" t="str">
        <x:v>硬实时下沉；Vendor隔离；资源Ownership清晰；Lease/Interlock/HardwareCommandPolicy不可绕过</x:v>
      </x:c>
      <x:c r="F12" s="66" t="str">
        <x:v>设备集成/架构/故障注入/停止/安全测试</x:v>
      </x:c>
      <x:c r="G12" s="66" t="str">
        <x:v>典型设备动作流程和硬件生命周期稳定</x:v>
      </x:c>
      <x:c r="H12" s="66" t="str">
        <x:v>M3</x:v>
      </x:c>
    </x:row>
    <x:row r="13">
      <x:c r="A13" s="58" t="str">
        <x:v>M5 Vision</x:v>
      </x:c>
      <x:c r="B13" s="58" t="str">
        <x:v>视觉Pipeline可用于真实检测算法</x:v>
      </x:c>
      <x:c r="C13" s="58" t="str">
        <x:v>VisionPipeline/Typed DataFlow/Image/Region/AI/Traditional/GPU/Worker/Data Viewer/Replay + CT3D公共家族契约</x:v>
      </x:c>
      <x:c r="D13" s="58" t="str">
        <x:v>传统+AI+结果融合；节点I/O可视；CT3D复用Vision DataHandle/GPU/Worker/Debug而保持专业链独立</x:v>
      </x:c>
      <x:c r="E13" s="58" t="str">
        <x:v>大对象生命周期/GPU资源/算法版本/Worker隔离；CT不另建第二套Graph/Debug平台</x:v>
      </x:c>
      <x:c r="F13" s="58" t="str">
        <x:v>Golden/Performance/Worker crash/CT contract</x:v>
      </x:c>
      <x:c r="G13" s="58" t="str">
        <x:v>真实X-Ray算法链稳定；CT3D家族边界稳定</x:v>
      </x:c>
      <x:c r="H13" s="58" t="str">
        <x:v>M3</x:v>
      </x:c>
    </x:row>
    <x:row r="14">
      <x:c r="A14" s="66" t="str">
        <x:v>M6 Inspection</x:v>
      </x:c>
      <x:c r="B14" s="66" t="str">
        <x:v>检测业务流程从代码抽离</x:v>
      </x:c>
      <x:c r="C14" s="66" t="str">
        <x:v>InspectionFlow/Product/Point/Result/Retry/Retest/Review/MES/Checkpoint/Idempotency + Contextual Workspace</x:v>
      </x:c>
      <x:c r="D14" s="66" t="str">
        <x:v>产品→点位→Motion/Robot→采图/CT→Vision→判定→重测→MES全流程可编排/调试/恢复</x:v>
      </x:c>
      <x:c r="E14" s="66" t="str">
        <x:v>Durable Workflow/版本固定/外部副作用幂等；生产Run结构锁定</x:v>
      </x:c>
      <x:c r="F14" s="66" t="str">
        <x:v>Crash recovery/Scenario/E2E/Context UI</x:v>
      </x:c>
      <x:c r="G14" s="66" t="str">
        <x:v>典型检测线可由流程工程表达</x:v>
      </x:c>
      <x:c r="H14" s="66" t="str">
        <x:v>M4~M5</x:v>
      </x:c>
    </x:row>
    <x:row r="15">
      <x:c r="A15" s="58" t="str">
        <x:v>M7 平台交付与生态</x:v>
      </x:c>
      <x:c r="B15" s="58" t="str">
        <x:v>让平台可扩展、可发布、可运维、可升级</x:v>
      </x:c>
      <x:c r="C15" s="58" t="str">
        <x:v>Plugin/SDK/Symbol&amp;Graph Library/Script/Report/Recipe/Version Diff/Publish/Deployment/Health/Remote ops</x:v>
      </x:c>
      <x:c r="D15" s="58" t="str">
        <x:v>插件/库/发布部署/回滚/运维Health可用；Publish从Precheck到Release/Sign/Deploy/Verify/Rollback全链可追溯</x:v>
      </x:c>
      <x:c r="E15" s="58" t="str">
        <x:v>API version/Signature/Migration/Resolved Manifest；Target最终安全权威</x:v>
      </x:c>
      <x:c r="F15" s="58" t="str">
        <x:v>Plugin/Deploy/Compatibility/Soak</x:v>
      </x:c>
      <x:c r="G15" s="58" t="str">
        <x:v>形成发布候选</x:v>
      </x:c>
      <x:c r="H15" s="58" t="str">
        <x:v>M1~M6</x:v>
      </x:c>
    </x:row>
    <x:row r="16">
      <x:c r="A16" s="66" t="str">
        <x:v>RC Production Hardening</x:v>
      </x:c>
      <x:c r="B16" s="66" t="str">
        <x:v>证明平台可进入生产基线</x:v>
      </x:c>
      <x:c r="C16" s="66" t="str">
        <x:v>全量Build/Test/UI Smoke/性能/72h/故障注入/断电恢复/部署回滚/旧工程兼容</x:v>
      </x:c>
      <x:c r="D16" s="66" t="str">
        <x:v>0 Error；关键场景全部自动/人工验证</x:v>
      </x:c>
      <x:c r="E16" s="66" t="str">
        <x:v>无P0/P1架构违规；发布包可重现</x:v>
      </x:c>
      <x:c r="F16" s="66" t="str">
        <x:v>VS2022 net48 Debug/Release + 全回归</x:v>
      </x:c>
      <x:c r="G16" s="66" t="str">
        <x:v>签署Release</x:v>
      </x:c>
      <x:c r="H16" s="66" t="str">
        <x:v>全部</x:v>
      </x:c>
    </x:row>
    <x:row r="17">
      <x:c r="A17"/>
      <x:c r="B17"/>
      <x:c r="C17"/>
      <x:c r="D17"/>
      <x:c r="E17"/>
      <x:c r="F17"/>
      <x:c r="G17"/>
      <x:c r="H17"/>
    </x:row>
    <x:row r="18" ht="24" customHeight="1">
      <x:c r="A18" s="40" t="str">
        <x:v>B. M1 平台内核任务包</x:v>
      </x:c>
      <x:c r="B18" s="40"/>
      <x:c r="C18" s="40"/>
      <x:c r="D18" s="40"/>
      <x:c r="E18" s="40"/>
      <x:c r="F18" s="40"/>
      <x:c r="G18" s="40"/>
      <x:c r="H18" s="40"/>
    </x:row>
    <x:row r="19" ht="28" customHeight="1">
      <x:c r="A19" s="50" t="str">
        <x:v>ID</x:v>
      </x:c>
      <x:c r="B19" s="50" t="str">
        <x:v>任务包</x:v>
      </x:c>
      <x:c r="C19" s="50" t="str">
        <x:v>必须贯通</x:v>
      </x:c>
      <x:c r="D19" s="50" t="str">
        <x:v>主要产物</x:v>
      </x:c>
      <x:c r="E19" s="50" t="str">
        <x:v>关键类/项目</x:v>
      </x:c>
      <x:c r="F19" s="50" t="str">
        <x:v>验收场景</x:v>
      </x:c>
      <x:c r="G19" s="50" t="str">
        <x:v>DoD</x:v>
      </x:c>
      <x:c r="H19" s="50" t="str">
        <x:v>风险</x:v>
      </x:c>
    </x:row>
    <x:row r="20">
      <x:c r="A20" s="58" t="str">
        <x:v>M1-01</x:v>
      </x:c>
      <x:c r="B20" s="58" t="str">
        <x:v>Solution/Composition Root/Host</x:v>
      </x:c>
      <x:c r="C20" s="58" t="str">
        <x:v>项目依赖/启动/Dispose/日志</x:v>
      </x:c>
      <x:c r="D20" s="58" t="str">
        <x:v>Designer.Host/Runtime.Host/WinFormsHost</x:v>
      </x:c>
      <x:c r="E20" s="58" t="str">
        <x:v>Common/Core/Designer/Runtime/Hosts</x:v>
      </x:c>
      <x:c r="F20" s="58" t="str">
        <x:v>三个Host均可启动停止</x:v>
      </x:c>
      <x:c r="G20" s="58" t="str">
        <x:v>Architecture test通过</x:v>
      </x:c>
      <x:c r="H20" s="58" t="str">
        <x:v>引用腐化</x:v>
      </x:c>
    </x:row>
    <x:row r="21">
      <x:c r="A21" s="66" t="str">
        <x:v>M1-02</x:v>
      </x:c>
      <x:c r="B21" s="66" t="str">
        <x:v>Project/Schema/Store</x:v>
      </x:c>
      <x:c r="C21" s="66" t="str">
        <x:v>Project/Page/Resource/Manifest/FormatVersion</x:v>
      </x:c>
      <x:c r="D21" s="66" t="str">
        <x:v>可保存工作区+.cxv包</x:v>
      </x:c>
      <x:c r="E21" s="66" t="str">
        <x:v>Core/Serialization/PackageStore</x:v>
      </x:c>
      <x:c r="F21" s="66" t="str">
        <x:v>保存→关闭→打开一致</x:v>
      </x:c>
      <x:c r="G21" s="66" t="str">
        <x:v>RoundTrip+AtomicSave</x:v>
      </x:c>
      <x:c r="H21" s="66" t="str">
        <x:v>Schema早期不稳</x:v>
      </x:c>
    </x:row>
    <x:row r="22">
      <x:c r="A22" s="58" t="str">
        <x:v>M1-03</x:v>
      </x:c>
      <x:c r="B22" s="58" t="str">
        <x:v>Metadata/Registry</x:v>
      </x:c>
      <x:c r="C22" s="58" t="str">
        <x:v>Descriptor/Factory/Renderer/Property/Action/Provider等注册</x:v>
      </x:c>
      <x:c r="D22" s="58" t="str">
        <x:v>统一Catalog</x:v>
      </x:c>
      <x:c r="E22" s="58" t="str">
        <x:v>Core.Metadata</x:v>
      </x:c>
      <x:c r="F22" s="58" t="str">
        <x:v>新增类型不改主switch</x:v>
      </x:c>
      <x:c r="G22" s="58" t="str">
        <x:v>Registry coverage</x:v>
      </x:c>
      <x:c r="H22" s="58" t="str">
        <x:v>职责混淆</x:v>
      </x:c>
    </x:row>
    <x:row r="23">
      <x:c r="A23" s="66" t="str">
        <x:v>M1-04</x:v>
      </x:c>
      <x:c r="B23" s="66" t="str">
        <x:v>Command/Selection/Document</x:v>
      </x:c>
      <x:c r="C23" s="66" t="str">
        <x:v>所有永久编辑Command化</x:v>
      </x:c>
      <x:c r="D23" s="66" t="str">
        <x:v>Undo/Redo/Dirty/事务</x:v>
      </x:c>
      <x:c r="E23" s="66" t="str">
        <x:v>Commands/Designer.Application</x:v>
      </x:c>
      <x:c r="F23" s="66" t="str">
        <x:v>Move/Property/Add/Delete全可逆</x:v>
      </x:c>
      <x:c r="G23" s="66" t="str">
        <x:v>Execute→Undo等价</x:v>
      </x:c>
      <x:c r="H23" s="66" t="str">
        <x:v>UI直改Model</x:v>
      </x:c>
    </x:row>
    <x:row r="24">
      <x:c r="A24" s="58" t="str">
        <x:v>M1-05</x:v>
      </x:c>
      <x:c r="B24" s="58" t="str">
        <x:v>基础Primitive/Renderer</x:v>
      </x:c>
      <x:c r="C24" s="58" t="str">
        <x:v>Rect/Line/Ellipse/Text/Image最小闭环</x:v>
      </x:c>
      <x:c r="D24" s="58" t="str">
        <x:v>Canvas+Runtime显示</x:v>
      </x:c>
      <x:c r="E24" s="58" t="str">
        <x:v>Core/Rendering</x:v>
      </x:c>
      <x:c r="F24" s="58" t="str">
        <x:v>Designer与Runtime同工程一致</x:v>
      </x:c>
      <x:c r="G24" s="58" t="str">
        <x:v>UI+RoundTrip</x:v>
      </x:c>
      <x:c r="H24" s="58" t="str">
        <x:v>WPF对象侵入Core</x:v>
      </x:c>
    </x:row>
    <x:row r="25">
      <x:c r="A25" s="66" t="str">
        <x:v>M1-06</x:v>
      </x:c>
      <x:c r="B25" s="66" t="str">
        <x:v>Diagnostics/Build Gate基础</x:v>
      </x:c>
      <x:c r="C25" s="66" t="str">
        <x:v>DiagnosticRecord/Output/Build脚本</x:v>
      </x:c>
      <x:c r="D25" s="66" t="str">
        <x:v>错误可定位</x:v>
      </x:c>
      <x:c r="E25" s="66" t="str">
        <x:v>Common/Tests/Build</x:v>
      </x:c>
      <x:c r="F25" s="66" t="str">
        <x:v>编译错误/运行错误进入Output</x:v>
      </x:c>
      <x:c r="G25" s="66" t="str">
        <x:v>Debug build 0 Error</x:v>
      </x:c>
      <x:c r="H25" s="66" t="str">
        <x:v>只弹MessageBox</x:v>
      </x:c>
    </x:row>
    <x:row r="26">
      <x:c r="A26"/>
      <x:c r="B26"/>
      <x:c r="C26"/>
      <x:c r="D26"/>
      <x:c r="E26"/>
      <x:c r="F26"/>
      <x:c r="G26"/>
      <x:c r="H26"/>
    </x:row>
    <x:row r="27" ht="24" customHeight="1">
      <x:c r="A27" s="40" t="str">
        <x:v>C. M2 Visual + SCADA 任务包</x:v>
      </x:c>
      <x:c r="B27" s="40"/>
      <x:c r="C27" s="40"/>
      <x:c r="D27" s="40"/>
      <x:c r="E27" s="40"/>
      <x:c r="F27" s="40"/>
      <x:c r="G27" s="40"/>
      <x:c r="H27" s="40"/>
    </x:row>
    <x:row r="28" ht="28" customHeight="1">
      <x:c r="A28" s="50" t="str">
        <x:v>ID</x:v>
      </x:c>
      <x:c r="B28" s="50" t="str">
        <x:v>任务包</x:v>
      </x:c>
      <x:c r="C28" s="50" t="str">
        <x:v>必须贯通</x:v>
      </x:c>
      <x:c r="D28" s="50" t="str">
        <x:v>主要产物</x:v>
      </x:c>
      <x:c r="E28" s="50" t="str">
        <x:v>验收场景</x:v>
      </x:c>
      <x:c r="F28" s="50" t="str">
        <x:v>架构门禁</x:v>
      </x:c>
      <x:c r="G28" s="50" t="str">
        <x:v>测试</x:v>
      </x:c>
      <x:c r="H28" s="50" t="str">
        <x:v>风险</x:v>
      </x:c>
    </x:row>
    <x:row r="29">
      <x:c r="A29" s="58" t="str">
        <x:v>M2-01</x:v>
      </x:c>
      <x:c r="B29" s="58" t="str">
        <x:v>完整Screen Designer</x:v>
      </x:c>
      <x:c r="C29" s="58" t="str">
        <x:v>绘制/Path/SVG/Layer/Align/Snap/Clipboard/Search</x:v>
      </x:c>
      <x:c r="D29" s="58" t="str">
        <x:v>可用工业画面编辑器</x:v>
      </x:c>
      <x:c r="E29" s="58" t="str">
        <x:v>复杂页面编辑保存运行</x:v>
      </x:c>
      <x:c r="F29" s="58" t="str">
        <x:v>所有变更Command</x:v>
      </x:c>
      <x:c r="G29" s="58" t="str">
        <x:v>UI automation</x:v>
      </x:c>
      <x:c r="H29" s="58" t="str">
        <x:v>交互复杂</x:v>
      </x:c>
    </x:row>
    <x:row r="30">
      <x:c r="A30" s="66" t="str">
        <x:v>M2-02</x:v>
      </x:c>
      <x:c r="B30" s="66" t="str">
        <x:v>Group/Symbol系统</x:v>
      </x:c>
      <x:c r="C30" s="66" t="str">
        <x:v>Group local coords→Symbol Definition/Instance/Editor/Library</x:v>
      </x:c>
      <x:c r="D30" s="66" t="str">
        <x:v>工业对象复用</x:v>
      </x:c>
      <x:c r="E30" s="66" t="str">
        <x:v>Motor Symbol 100实例</x:v>
      </x:c>
      <x:c r="F30" s="66" t="str">
        <x:v>Definition/Instance分离</x:v>
      </x:c>
      <x:c r="G30" s="66" t="str">
        <x:v>Symbol tests</x:v>
      </x:c>
      <x:c r="H30" s="66" t="str">
        <x:v>版本/映射</x:v>
      </x:c>
    </x:row>
    <x:row r="31">
      <x:c r="A31" s="58" t="str">
        <x:v>M2-03</x:v>
      </x:c>
      <x:c r="B31" s="58" t="str">
        <x:v>Device/Variable/Binding</x:v>
      </x:c>
      <x:c r="C31" s="58" t="str">
        <x:v>Device template/Tag/Provider/Binding/Quality</x:v>
      </x:c>
      <x:c r="D31" s="58" t="str">
        <x:v>SCADA数据链</x:v>
      </x:c>
      <x:c r="E31" s="58" t="str">
        <x:v>真实/Simulation变量驱动画面</x:v>
      </x:c>
      <x:c r="F31" s="58" t="str">
        <x:v>共享订阅+稳定VariableId</x:v>
      </x:c>
      <x:c r="G31" s="58" t="str">
        <x:v>Provider/Binding tests</x:v>
      </x:c>
      <x:c r="H31" s="58" t="str">
        <x:v>现有变量池适配</x:v>
      </x:c>
    </x:row>
    <x:row r="32">
      <x:c r="A32" s="66" t="str">
        <x:v>M2-04</x:v>
      </x:c>
      <x:c r="B32" s="66" t="str">
        <x:v>Control/Action/Write</x:v>
      </x:c>
      <x:c r="C32" s="66" t="str">
        <x:v>真实WPF Control+Event/Action+WritePipeline</x:v>
      </x:c>
      <x:c r="D32" s="66" t="str">
        <x:v>交互操作闭环</x:v>
      </x:c>
      <x:c r="E32" s="66" t="str">
        <x:v>按钮写值/输入/权限拒绝</x:v>
      </x:c>
      <x:c r="F32" s="66" t="str">
        <x:v>生产写不可绕过</x:v>
      </x:c>
      <x:c r="G32" s="66" t="str">
        <x:v>IME/Security tests</x:v>
      </x:c>
      <x:c r="H32" s="66" t="str">
        <x:v>Host焦点</x:v>
      </x:c>
    </x:row>
    <x:row r="33">
      <x:c r="A33" s="58" t="str">
        <x:v>M2-05</x:v>
      </x:c>
      <x:c r="B33" s="58" t="str">
        <x:v>Alarm/Trend/History基础</x:v>
      </x:c>
      <x:c r="C33" s="58" t="str">
        <x:v>报警、实时趋势、历史查询、StoreForward基础</x:v>
      </x:c>
      <x:c r="D33" s="58" t="str">
        <x:v>SCADA运行页</x:v>
      </x:c>
      <x:c r="E33" s="58" t="str">
        <x:v>断线/恢复/报警确认</x:v>
      </x:c>
      <x:c r="F33" s="58" t="str">
        <x:v>报警视觉不进Renderer</x:v>
      </x:c>
      <x:c r="G33" s="58" t="str">
        <x:v>Integration/72h subset</x:v>
      </x:c>
      <x:c r="H33" s="58" t="str">
        <x:v>数据量</x:v>
      </x:c>
    </x:row>
    <x:row r="34">
      <x:c r="A34" s="66" t="str">
        <x:v>M2-06</x:v>
      </x:c>
      <x:c r="B34" s="66" t="str">
        <x:v>Runtime Preview</x:v>
      </x:c>
      <x:c r="C34" s="66" t="str">
        <x:v>Designer使用真实Runtime预览</x:v>
      </x:c>
      <x:c r="D34" s="66" t="str">
        <x:v>Preview/Watch/Binding Trace</x:v>
      </x:c>
      <x:c r="E34" s="66" t="str">
        <x:v>同工程Preview与独立Runtime一致</x:v>
      </x:c>
      <x:c r="F34" s="66" t="str">
        <x:v>Stop清全部运行层</x:v>
      </x:c>
      <x:c r="G34" s="66" t="str">
        <x:v>Preview tests</x:v>
      </x:c>
      <x:c r="H34" s="66" t="str">
        <x:v>编辑/运行串扰</x:v>
      </x:c>
    </x:row>
    <x:row r="35">
      <x:c r="A35"/>
      <x:c r="B35"/>
      <x:c r="C35"/>
      <x:c r="D35"/>
      <x:c r="E35"/>
      <x:c r="F35"/>
      <x:c r="G35"/>
      <x:c r="H35"/>
    </x:row>
    <x:row r="36" ht="24" customHeight="1">
      <x:c r="A36" s="40" t="str">
        <x:v>D. M3 Graph + Runtime/Debug 任务包</x:v>
      </x:c>
      <x:c r="B36" s="40"/>
      <x:c r="C36" s="40"/>
      <x:c r="D36" s="40"/>
      <x:c r="E36" s="40"/>
      <x:c r="F36" s="40"/>
      <x:c r="G36" s="40"/>
      <x:c r="H36" s="40"/>
    </x:row>
    <x:row r="37" ht="28" customHeight="1">
      <x:c r="A37" s="50" t="str">
        <x:v>ID</x:v>
      </x:c>
      <x:c r="B37" s="50" t="str">
        <x:v>任务包</x:v>
      </x:c>
      <x:c r="C37" s="50" t="str">
        <x:v>必须贯通</x:v>
      </x:c>
      <x:c r="D37" s="50" t="str">
        <x:v>产物</x:v>
      </x:c>
      <x:c r="E37" s="50" t="str">
        <x:v>验收场景</x:v>
      </x:c>
      <x:c r="F37" s="50" t="str">
        <x:v>架构门禁</x:v>
      </x:c>
      <x:c r="G37" s="50" t="str">
        <x:v>测试</x:v>
      </x:c>
      <x:c r="H37" s="50" t="str">
        <x:v>风险</x:v>
      </x:c>
    </x:row>
    <x:row r="38">
      <x:c r="A38" s="58" t="str">
        <x:v>M3-01</x:v>
      </x:c>
      <x:c r="B38" s="58" t="str">
        <x:v>Graph Core Model</x:v>
      </x:c>
      <x:c r="C38" s="58" t="str">
        <x:v>Graph/Node/Port/Connection/SubGraph/Parameters</x:v>
      </x:c>
      <x:c r="D38" s="58" t="str">
        <x:v>稳定Graph Schema</x:v>
      </x:c>
      <x:c r="E38" s="58" t="str">
        <x:v>保存/加载/复制/连线</x:v>
      </x:c>
      <x:c r="F38" s="58" t="str">
        <x:v>Typed Port/Stable NodeTypeId</x:v>
      </x:c>
      <x:c r="G38" s="58" t="str">
        <x:v>RoundTrip</x:v>
      </x:c>
      <x:c r="H38" s="58" t="str">
        <x:v>模型过度通用</x:v>
      </x:c>
    </x:row>
    <x:row r="39">
      <x:c r="A39" s="66" t="str">
        <x:v>M3-02</x:v>
      </x:c>
      <x:c r="B39" s="66" t="str">
        <x:v>Graph Designer</x:v>
      </x:c>
      <x:c r="C39" s="66" t="str">
        <x:v>NodeCatalog/Canvas/Connect/Group/Search/Inspector/Command</x:v>
      </x:c>
      <x:c r="D39" s="66" t="str">
        <x:v>通用图编辑器</x:v>
      </x:c>
      <x:c r="E39" s="66" t="str">
        <x:v>1000节点编辑/Undo</x:v>
      </x:c>
      <x:c r="F39" s="66" t="str">
        <x:v>不包含Domain执行逻辑</x:v>
      </x:c>
      <x:c r="G39" s="66" t="str">
        <x:v>UI/Performance</x:v>
      </x:c>
      <x:c r="H39" s="66" t="str">
        <x:v>交互性能</x:v>
      </x:c>
    </x:row>
    <x:row r="40">
      <x:c r="A40" s="58" t="str">
        <x:v>M3-03</x:v>
      </x:c>
      <x:c r="B40" s="58" t="str">
        <x:v>TypeSystem/DataValue</x:v>
      </x:c>
      <x:c r="C40" s="58" t="str">
        <x:v>Scalar/Geometry/Image/Result/Context/DeviceRef + Quality/Timestamp</x:v>
      </x:c>
      <x:c r="D40" s="58" t="str">
        <x:v>统一数据契约</x:v>
      </x:c>
      <x:c r="E40" s="58" t="str">
        <x:v>Port类型校验/转换</x:v>
      </x:c>
      <x:c r="F40" s="58" t="str">
        <x:v>Core无Vendor/WPF类型</x:v>
      </x:c>
      <x:c r="G40" s="58" t="str">
        <x:v>Contract tests</x:v>
      </x:c>
      <x:c r="H40" s="58" t="str">
        <x:v>类型膨胀</x:v>
      </x:c>
    </x:row>
    <x:row r="41">
      <x:c r="A41" s="66" t="str">
        <x:v>M3-04</x:v>
      </x:c>
      <x:c r="B41" s="66" t="str">
        <x:v>Compiler/ExecutionPlan</x:v>
      </x:c>
      <x:c r="C41" s="66" t="str">
        <x:v>GraphValidator/CompilerRegistry/ResolvedGraph/Plan</x:v>
      </x:c>
      <x:c r="D41" s="66" t="str">
        <x:v>可执行计划基础</x:v>
      </x:c>
      <x:c r="E41" s="66" t="str">
        <x:v>非法连接编译失败；正确图Plan稳定</x:v>
      </x:c>
      <x:c r="F41" s="66" t="str">
        <x:v>每GraphKind独立Compiler</x:v>
      </x:c>
      <x:c r="G41" s="66" t="str">
        <x:v>Compile tests</x:v>
      </x:c>
      <x:c r="H41" s="66" t="str">
        <x:v>过早万能Runtime</x:v>
      </x:c>
    </x:row>
    <x:row r="42">
      <x:c r="A42" s="58" t="str">
        <x:v>M3-05</x:v>
      </x:c>
      <x:c r="B42" s="58" t="str">
        <x:v>Unified Debug</x:v>
      </x:c>
      <x:c r="C42" s="58" t="str">
        <x:v>DebugSession/Breakpoint/Watch/Trace/Timeline/Stack</x:v>
      </x:c>
      <x:c r="D42" s="58" t="str">
        <x:v>统一调试工具窗</x:v>
      </x:c>
      <x:c r="E42" s="58" t="str">
        <x:v>Simulation/Live/Replay切换</x:v>
      </x:c>
      <x:c r="F42" s="58" t="str">
        <x:v>真实写默认关闭</x:v>
      </x:c>
      <x:c r="G42" s="58" t="str">
        <x:v>Debug integration</x:v>
      </x:c>
      <x:c r="H42" s="58" t="str">
        <x:v>跨域状态机</x:v>
      </x:c>
    </x:row>
    <x:row r="43">
      <x:c r="A43" s="66" t="str">
        <x:v>M3-06</x:v>
      </x:c>
      <x:c r="B43" s="66" t="str">
        <x:v>Resource/Correlation基础</x:v>
      </x:c>
      <x:c r="C43" s="66" t="str">
        <x:v>ResourceDefinition/Requirement/Lease + CorrelationId</x:v>
      </x:c>
      <x:c r="D43" s="66" t="str">
        <x:v>资源/诊断平台能力</x:v>
      </x:c>
      <x:c r="E43" s="66" t="str">
        <x:v>资源冲突可解释</x:v>
      </x:c>
      <x:c r="F43" s="66" t="str">
        <x:v>有界/可Dispose</x:v>
      </x:c>
      <x:c r="G43" s="66" t="str">
        <x:v>Concurrency tests</x:v>
      </x:c>
      <x:c r="H43" s="66" t="str">
        <x:v>死锁</x:v>
      </x:c>
    </x:row>
    <x:row r="44">
      <x:c r="A44"/>
      <x:c r="B44"/>
      <x:c r="C44"/>
      <x:c r="D44"/>
      <x:c r="E44"/>
      <x:c r="F44"/>
      <x:c r="G44"/>
      <x:c r="H44"/>
    </x:row>
    <x:row r="45" ht="24" customHeight="1">
      <x:c r="A45" s="40" t="str">
        <x:v>E. M4 Motion 任务包</x:v>
      </x:c>
      <x:c r="B45" s="40"/>
      <x:c r="C45" s="40"/>
      <x:c r="D45" s="40"/>
      <x:c r="E45" s="40"/>
      <x:c r="F45" s="40"/>
      <x:c r="G45" s="40"/>
      <x:c r="H45" s="40"/>
    </x:row>
    <x:row r="46" ht="28" customHeight="1">
      <x:c r="A46" s="50" t="str">
        <x:v>ID</x:v>
      </x:c>
      <x:c r="B46" s="50" t="str">
        <x:v>任务包</x:v>
      </x:c>
      <x:c r="C46" s="50" t="str">
        <x:v>必须贯通</x:v>
      </x:c>
      <x:c r="D46" s="50" t="str">
        <x:v>产物</x:v>
      </x:c>
      <x:c r="E46" s="50" t="str">
        <x:v>验收场景</x:v>
      </x:c>
      <x:c r="F46" s="50" t="str">
        <x:v>边界</x:v>
      </x:c>
      <x:c r="G46" s="50" t="str">
        <x:v>测试</x:v>
      </x:c>
      <x:c r="H46" s="50" t="str">
        <x:v>风险</x:v>
      </x:c>
    </x:row>
    <x:row r="47">
      <x:c r="A47" s="58" t="str">
        <x:v>M4-01</x:v>
      </x:c>
      <x:c r="B47" s="58" t="str">
        <x:v>Motion Core/Designer</x:v>
      </x:c>
      <x:c r="C47" s="58" t="str">
        <x:v>MotionProgram/Axis/Coord/Node Catalog</x:v>
      </x:c>
      <x:c r="D47" s="58" t="str">
        <x:v>Motion文档</x:v>
      </x:c>
      <x:c r="E47" s="58" t="str">
        <x:v>Home→Move→Wait→IO流程</x:v>
      </x:c>
      <x:c r="F47" s="58" t="str">
        <x:v>硬实时下沉</x:v>
      </x:c>
      <x:c r="G47" s="58" t="str">
        <x:v>Simulation tests</x:v>
      </x:c>
      <x:c r="H47" s="58" t="str">
        <x:v>领域边界</x:v>
      </x:c>
    </x:row>
    <x:row r="48">
      <x:c r="A48" s="66" t="str">
        <x:v>M4-02</x:v>
      </x:c>
      <x:c r="B48" s="66" t="str">
        <x:v>Motion Adapter</x:v>
      </x:c>
      <x:c r="C48" s="66" t="str">
        <x:v>IMotionController/IIoProvider/Device commands</x:v>
      </x:c>
      <x:c r="D48" s="66" t="str">
        <x:v>真实设备接入</x:v>
      </x:c>
      <x:c r="E48" s="66" t="str">
        <x:v>双轴+IO+相机/XRay命令</x:v>
      </x:c>
      <x:c r="F48" s="66" t="str">
        <x:v>Vendor隔离</x:v>
      </x:c>
      <x:c r="G48" s="66" t="str">
        <x:v>Contract/Integration</x:v>
      </x:c>
      <x:c r="H48" s="66" t="str">
        <x:v>厂商SDK</x:v>
      </x:c>
    </x:row>
    <x:row r="49">
      <x:c r="A49" s="58" t="str">
        <x:v>M4-03</x:v>
      </x:c>
      <x:c r="B49" s="58" t="str">
        <x:v>Interlock/Resource/Timeout</x:v>
      </x:c>
      <x:c r="C49" s="58" t="str">
        <x:v>动作前安全、资源、取消、重试</x:v>
      </x:c>
      <x:c r="D49" s="58" t="str">
        <x:v>工业执行机制</x:v>
      </x:c>
      <x:c r="E49" s="58" t="str">
        <x:v>资源冲突/互锁失败/超时</x:v>
      </x:c>
      <x:c r="F49" s="58" t="str">
        <x:v>不能脚本绕过</x:v>
      </x:c>
      <x:c r="G49" s="58" t="str">
        <x:v>Fault injection</x:v>
      </x:c>
      <x:c r="H49" s="58" t="str">
        <x:v>安全</x:v>
      </x:c>
    </x:row>
    <x:row r="50">
      <x:c r="A50" s="66" t="str">
        <x:v>M4-04</x:v>
      </x:c>
      <x:c r="B50" s="66" t="str">
        <x:v>Motion Debug</x:v>
      </x:c>
      <x:c r="C50" s="66" t="str">
        <x:v>断点/单步/RunTo/模拟轴/Live Controlled</x:v>
      </x:c>
      <x:c r="D50" s="66" t="str">
        <x:v>可调试运控</x:v>
      </x:c>
      <x:c r="E50" s="66" t="str">
        <x:v>单步实机流程</x:v>
      </x:c>
      <x:c r="F50" s="66" t="str">
        <x:v>暂停≠硬停，语义明确</x:v>
      </x:c>
      <x:c r="G50" s="66" t="str">
        <x:v>UI/Device tests</x:v>
      </x:c>
      <x:c r="H50" s="66" t="str">
        <x:v>现场安全</x:v>
      </x:c>
    </x:row>
    <x:row r="51">
      <x:c r="A51"/>
      <x:c r="B51"/>
      <x:c r="C51"/>
      <x:c r="D51"/>
      <x:c r="E51"/>
      <x:c r="F51"/>
      <x:c r="G51"/>
      <x:c r="H51"/>
    </x:row>
    <x:row r="52" ht="24" customHeight="1">
      <x:c r="A52" s="40" t="str">
        <x:v>F. M5 Vision 任务包</x:v>
      </x:c>
      <x:c r="B52" s="40"/>
      <x:c r="C52" s="40"/>
      <x:c r="D52" s="40"/>
      <x:c r="E52" s="40"/>
      <x:c r="F52" s="40"/>
      <x:c r="G52" s="40"/>
      <x:c r="H52" s="40"/>
    </x:row>
    <x:row r="53" ht="28" customHeight="1">
      <x:c r="A53" s="50" t="str">
        <x:v>ID</x:v>
      </x:c>
      <x:c r="B53" s="50" t="str">
        <x:v>任务包</x:v>
      </x:c>
      <x:c r="C53" s="50" t="str">
        <x:v>必须贯通</x:v>
      </x:c>
      <x:c r="D53" s="50" t="str">
        <x:v>产物</x:v>
      </x:c>
      <x:c r="E53" s="50" t="str">
        <x:v>验收场景</x:v>
      </x:c>
      <x:c r="F53" s="50" t="str">
        <x:v>边界</x:v>
      </x:c>
      <x:c r="G53" s="50" t="str">
        <x:v>测试</x:v>
      </x:c>
      <x:c r="H53" s="50" t="str">
        <x:v>风险</x:v>
      </x:c>
    </x:row>
    <x:row r="54">
      <x:c r="A54" s="58" t="str">
        <x:v>M5-01</x:v>
      </x:c>
      <x:c r="B54" s="58" t="str">
        <x:v>Vision Core/Designer</x:v>
      </x:c>
      <x:c r="C54" s="58" t="str">
        <x:v>VisionPipeline/Typed Ports/NodeCatalog</x:v>
      </x:c>
      <x:c r="D54" s="58" t="str">
        <x:v>Vision文档</x:v>
      </x:c>
      <x:c r="E54" s="58" t="str">
        <x:v>Image→Preprocess→AI→Measure</x:v>
      </x:c>
      <x:c r="F54" s="58" t="str">
        <x:v>强类型DAG</x:v>
      </x:c>
      <x:c r="G54" s="58" t="str">
        <x:v>RoundTrip/UI</x:v>
      </x:c>
      <x:c r="H54" s="58" t="str">
        <x:v>数据类型</x:v>
      </x:c>
    </x:row>
    <x:row r="55">
      <x:c r="A55" s="66" t="str">
        <x:v>M5-02</x:v>
      </x:c>
      <x:c r="B55" s="66" t="str">
        <x:v>算法Adapters</x:v>
      </x:c>
      <x:c r="C55" s="66" t="str">
        <x:v>OpenCV/Halcon/自研/ONNX/TensorRT适配</x:v>
      </x:c>
      <x:c r="D55" s="66" t="str">
        <x:v>算法节点库</x:v>
      </x:c>
      <x:c r="E55" s="66" t="str">
        <x:v>传统+AI混合</x:v>
      </x:c>
      <x:c r="F55" s="66" t="str">
        <x:v>第三方不入Core</x:v>
      </x:c>
      <x:c r="G55" s="66" t="str">
        <x:v>Golden tests</x:v>
      </x:c>
      <x:c r="H55" s="66" t="str">
        <x:v>Native/GPU</x:v>
      </x:c>
    </x:row>
    <x:row r="56">
      <x:c r="A56" s="58" t="str">
        <x:v>M5-03</x:v>
      </x:c>
      <x:c r="B56" s="58" t="str">
        <x:v>DataHandle/Memory/GPU</x:v>
      </x:c>
      <x:c r="C56" s="58" t="str">
        <x:v>Pool/RefCount/SharedMemory/GpuResource</x:v>
      </x:c>
      <x:c r="D56" s="58" t="str">
        <x:v>高性能执行</x:v>
      </x:c>
      <x:c r="E56" s="58" t="str">
        <x:v>大图长时运行</x:v>
      </x:c>
      <x:c r="F56" s="58" t="str">
        <x:v>禁止无界复制</x:v>
      </x:c>
      <x:c r="G56" s="58" t="str">
        <x:v>Stress/Soak</x:v>
      </x:c>
      <x:c r="H56" s="58" t="str">
        <x:v>泄漏</x:v>
      </x:c>
    </x:row>
    <x:row r="57">
      <x:c r="A57" s="66" t="str">
        <x:v>M5-04</x:v>
      </x:c>
      <x:c r="B57" s="66" t="str">
        <x:v>Vision Debug/Replay</x:v>
      </x:c>
      <x:c r="C57" s="66" t="str">
        <x:v>RunTo/Data Viewer/Intermediate outputs/Replay</x:v>
      </x:c>
      <x:c r="D57" s="66" t="str">
        <x:v>算法调试体验</x:v>
      </x:c>
      <x:c r="E57" s="66" t="str">
        <x:v>历史图重放、节点耗时对比</x:v>
      </x:c>
      <x:c r="F57" s="66" t="str">
        <x:v>无副作用查看</x:v>
      </x:c>
      <x:c r="G57" s="66" t="str">
        <x:v>Golden/Replay</x:v>
      </x:c>
      <x:c r="H57" s="66" t="str">
        <x:v>数据量</x:v>
      </x:c>
    </x:row>
    <x:row r="58">
      <x:c r="A58" s="58" t="str">
        <x:v>M5-05</x:v>
      </x:c>
      <x:c r="B58" s="58" t="str">
        <x:v>Vision Worker</x:v>
      </x:c>
      <x:c r="C58" s="58" t="str">
        <x:v>进程隔离/模型加载/崩溃恢复</x:v>
      </x:c>
      <x:c r="D58" s="58" t="str">
        <x:v>Worker协议</x:v>
      </x:c>
      <x:c r="E58" s="58" t="str">
        <x:v>Native crash后主Runtime存活</x:v>
      </x:c>
      <x:c r="F58" s="58" t="str">
        <x:v>Contract隔离</x:v>
      </x:c>
      <x:c r="G58" s="58" t="str">
        <x:v>Crash tests</x:v>
      </x:c>
      <x:c r="H58" s="58" t="str">
        <x:v>IPC复杂度</x:v>
      </x:c>
    </x:row>
    <x:row r="59">
      <x:c r="A59"/>
      <x:c r="B59"/>
      <x:c r="C59"/>
      <x:c r="D59"/>
      <x:c r="E59"/>
      <x:c r="F59"/>
      <x:c r="G59"/>
      <x:c r="H59"/>
    </x:row>
    <x:row r="60" ht="24" customHeight="1">
      <x:c r="A60" s="40" t="str">
        <x:v>G. M6 Inspection 任务包</x:v>
      </x:c>
      <x:c r="B60" s="40"/>
      <x:c r="C60" s="40"/>
      <x:c r="D60" s="40"/>
      <x:c r="E60" s="40"/>
      <x:c r="F60" s="40"/>
      <x:c r="G60" s="40"/>
      <x:c r="H60" s="40"/>
    </x:row>
    <x:row r="61" ht="28" customHeight="1">
      <x:c r="A61" s="50" t="str">
        <x:v>ID</x:v>
      </x:c>
      <x:c r="B61" s="50" t="str">
        <x:v>任务包</x:v>
      </x:c>
      <x:c r="C61" s="50" t="str">
        <x:v>必须贯通</x:v>
      </x:c>
      <x:c r="D61" s="50" t="str">
        <x:v>产物</x:v>
      </x:c>
      <x:c r="E61" s="50" t="str">
        <x:v>验收场景</x:v>
      </x:c>
      <x:c r="F61" s="50" t="str">
        <x:v>边界</x:v>
      </x:c>
      <x:c r="G61" s="50" t="str">
        <x:v>测试</x:v>
      </x:c>
      <x:c r="H61" s="50" t="str">
        <x:v>风险</x:v>
      </x:c>
    </x:row>
    <x:row r="62">
      <x:c r="A62" s="66" t="str">
        <x:v>M6-01</x:v>
      </x:c>
      <x:c r="B62" s="66" t="str">
        <x:v>Inspection Core/Designer</x:v>
      </x:c>
      <x:c r="C62" s="66" t="str">
        <x:v>Flow/Product/Point/Result/Context</x:v>
      </x:c>
      <x:c r="D62" s="66" t="str">
        <x:v>Inspection文档</x:v>
      </x:c>
      <x:c r="E62" s="66" t="str">
        <x:v>一产品多点位流程</x:v>
      </x:c>
      <x:c r="F62" s="66" t="str">
        <x:v>不展开Motion/Vision内部</x:v>
      </x:c>
      <x:c r="G62" s="66" t="str">
        <x:v>Scenario tests</x:v>
      </x:c>
      <x:c r="H62" s="66" t="str">
        <x:v>模型粒度</x:v>
      </x:c>
    </x:row>
    <x:row r="63">
      <x:c r="A63" s="58" t="str">
        <x:v>M6-02</x:v>
      </x:c>
      <x:c r="B63" s="58" t="str">
        <x:v>Cross-domain Invocation</x:v>
      </x:c>
      <x:c r="C63" s="58" t="str">
        <x:v>RunMotion/Acquire/RunVision/MES/Recipe</x:v>
      </x:c>
      <x:c r="D63" s="58" t="str">
        <x:v>跨域调用契约</x:v>
      </x:c>
      <x:c r="E63" s="58" t="str">
        <x:v>点位完整检测</x:v>
      </x:c>
      <x:c r="F63" s="58" t="str">
        <x:v>版本固定+Typed contracts</x:v>
      </x:c>
      <x:c r="G63" s="58" t="str">
        <x:v>E2E</x:v>
      </x:c>
      <x:c r="H63" s="58" t="str">
        <x:v>耦合</x:v>
      </x:c>
    </x:row>
    <x:row r="64">
      <x:c r="A64" s="66" t="str">
        <x:v>M6-03</x:v>
      </x:c>
      <x:c r="B64" s="66" t="str">
        <x:v>Retry/Retest/Review</x:v>
      </x:c>
      <x:c r="C64" s="66" t="str">
        <x:v>重试/复测/人工复判/权限</x:v>
      </x:c>
      <x:c r="D64" s="66" t="str">
        <x:v>质量流程</x:v>
      </x:c>
      <x:c r="E64" s="66" t="str">
        <x:v>NG→复测→人工</x:v>
      </x:c>
      <x:c r="F64" s="66" t="str">
        <x:v>显式Policy</x:v>
      </x:c>
      <x:c r="G64" s="66" t="str">
        <x:v>Scenario/UI</x:v>
      </x:c>
      <x:c r="H64" s="66" t="str">
        <x:v>边界分支</x:v>
      </x:c>
    </x:row>
    <x:row r="65">
      <x:c r="A65" s="58" t="str">
        <x:v>M6-04</x:v>
      </x:c>
      <x:c r="B65" s="58" t="str">
        <x:v>Checkpoint/Recovery</x:v>
      </x:c>
      <x:c r="C65" s="58" t="str">
        <x:v>durable context/idempotency/compensation</x:v>
      </x:c>
      <x:c r="D65" s="58" t="str">
        <x:v>断电恢复</x:v>
      </x:c>
      <x:c r="E65" s="58" t="str">
        <x:v>流程中kill→恢复</x:v>
      </x:c>
      <x:c r="F65" s="58" t="str">
        <x:v>外部副作用防重复</x:v>
      </x:c>
      <x:c r="G65" s="58" t="str">
        <x:v>Crash recovery</x:v>
      </x:c>
      <x:c r="H65" s="58" t="str">
        <x:v>一致性</x:v>
      </x:c>
    </x:row>
    <x:row r="66">
      <x:c r="A66" s="66" t="str">
        <x:v>M6-05</x:v>
      </x:c>
      <x:c r="B66" s="66" t="str">
        <x:v>Result/MES</x:v>
      </x:c>
      <x:c r="C66" s="66" t="str">
        <x:v>ResultContext/Artifact/MES StoreForward</x:v>
      </x:c>
      <x:c r="D66" s="66" t="str">
        <x:v>结果闭环</x:v>
      </x:c>
      <x:c r="E66" s="66" t="str">
        <x:v>MES断网补传/结果追溯</x:v>
      </x:c>
      <x:c r="F66" s="66" t="str">
        <x:v>Correlation/Version manifest</x:v>
      </x:c>
      <x:c r="G66" s="66" t="str">
        <x:v>Integration</x:v>
      </x:c>
      <x:c r="H66" s="66" t="str">
        <x:v>现场协议</x:v>
      </x:c>
    </x:row>
    <x:row r="67">
      <x:c r="A67"/>
      <x:c r="B67"/>
      <x:c r="C67"/>
      <x:c r="D67"/>
      <x:c r="E67"/>
      <x:c r="F67"/>
      <x:c r="G67"/>
      <x:c r="H67"/>
    </x:row>
    <x:row r="68" ht="24" customHeight="1">
      <x:c r="A68" s="40" t="str">
        <x:v>H. M7 平台交付与生态任务包</x:v>
      </x:c>
      <x:c r="B68" s="40"/>
      <x:c r="C68" s="40"/>
      <x:c r="D68" s="40"/>
      <x:c r="E68" s="40"/>
      <x:c r="F68" s="40"/>
      <x:c r="G68" s="40"/>
      <x:c r="H68" s="40"/>
    </x:row>
    <x:row r="69" ht="28" customHeight="1">
      <x:c r="A69" s="50" t="str">
        <x:v>ID</x:v>
      </x:c>
      <x:c r="B69" s="50" t="str">
        <x:v>任务包</x:v>
      </x:c>
      <x:c r="C69" s="50" t="str">
        <x:v>必须贯通</x:v>
      </x:c>
      <x:c r="D69" s="50" t="str">
        <x:v>产物</x:v>
      </x:c>
      <x:c r="E69" s="50" t="str">
        <x:v>验收场景</x:v>
      </x:c>
      <x:c r="F69" s="50" t="str">
        <x:v>边界</x:v>
      </x:c>
      <x:c r="G69" s="50" t="str">
        <x:v>测试</x:v>
      </x:c>
      <x:c r="H69" s="50" t="str">
        <x:v>风险</x:v>
      </x:c>
    </x:row>
    <x:row r="70">
      <x:c r="A70" s="58" t="str">
        <x:v>M7-01</x:v>
      </x:c>
      <x:c r="B70" s="58" t="str">
        <x:v>SDK/Plugin</x:v>
      </x:c>
      <x:c r="C70" s="58" t="str">
        <x:v>Element/Node/Algorithm/Provider/Store插件</x:v>
      </x:c>
      <x:c r="D70" s="58" t="str">
        <x:v>Plugin SDK+样例</x:v>
      </x:c>
      <x:c r="E70" s="58" t="str">
        <x:v>安装/缺失/冲突/卸载</x:v>
      </x:c>
      <x:c r="F70" s="58" t="str">
        <x:v>ApiVersion+Manifest</x:v>
      </x:c>
      <x:c r="G70" s="58" t="str">
        <x:v>Sample build</x:v>
      </x:c>
      <x:c r="H70" s="58" t="str">
        <x:v>兼容治理</x:v>
      </x:c>
    </x:row>
    <x:row r="71">
      <x:c r="A71" s="66" t="str">
        <x:v>M7-02</x:v>
      </x:c>
      <x:c r="B71" s="66" t="str">
        <x:v>Library/Versioning</x:v>
      </x:c>
      <x:c r="C71" s="66" t="str">
        <x:v>Symbol/SubGraph/Model/Recipe版本资产</x:v>
      </x:c>
      <x:c r="D71" s="66" t="str">
        <x:v>库管理/升级报告</x:v>
      </x:c>
      <x:c r="E71" s="66" t="str">
        <x:v>项目固定版本升级</x:v>
      </x:c>
      <x:c r="F71" s="66" t="str">
        <x:v>不可静默漂移</x:v>
      </x:c>
      <x:c r="G71" s="66" t="str">
        <x:v>Migration tests</x:v>
      </x:c>
      <x:c r="H71" s="66" t="str">
        <x:v>资产治理</x:v>
      </x:c>
    </x:row>
    <x:row r="72">
      <x:c r="A72" s="58" t="str">
        <x:v>M7-03</x:v>
      </x:c>
      <x:c r="B72" s="58" t="str">
        <x:v>Publish/Deployment</x:v>
      </x:c>
      <x:c r="C72" s="58" t="str">
        <x:v>Validator/Manifest/Signature/Package/Target/Rollback</x:v>
      </x:c>
      <x:c r="D72" s="58" t="str">
        <x:v>生产发布闭环</x:v>
      </x:c>
      <x:c r="E72" s="58" t="str">
        <x:v>坏包/断电/回滚</x:v>
      </x:c>
      <x:c r="F72" s="58" t="str">
        <x:v>Atomic switch</x:v>
      </x:c>
      <x:c r="G72" s="58" t="str">
        <x:v>Deployment tests</x:v>
      </x:c>
      <x:c r="H72" s="58" t="str">
        <x:v>现场风险</x:v>
      </x:c>
    </x:row>
    <x:row r="73">
      <x:c r="A73" s="66" t="str">
        <x:v>M7-04</x:v>
      </x:c>
      <x:c r="B73" s="66" t="str">
        <x:v>Operations/Health</x:v>
      </x:c>
      <x:c r="C73" s="66" t="str">
        <x:v>Watchdog/Backpressure/CircuitBreaker/Health/Remote ReadOnly</x:v>
      </x:c>
      <x:c r="D73" s="66" t="str">
        <x:v>运维能力</x:v>
      </x:c>
      <x:c r="E73" s="66" t="str">
        <x:v>设备断线/Worker崩溃/队列堆积</x:v>
      </x:c>
      <x:c r="F73" s="66" t="str">
        <x:v>有界资源</x:v>
      </x:c>
      <x:c r="G73" s="66" t="str">
        <x:v>Soak/Fault</x:v>
      </x:c>
      <x:c r="H73" s="66" t="str">
        <x:v>复杂现场</x:v>
      </x:c>
    </x:row>
    <x:row r="74">
      <x:c r="A74" s="58" t="str">
        <x:v>M7-05</x:v>
      </x:c>
      <x:c r="B74" s="58" t="str">
        <x:v>Report/Recipe/Script</x:v>
      </x:c>
      <x:c r="C74" s="58" t="str">
        <x:v>平台外围高级模块</x:v>
      </x:c>
      <x:c r="D74" s="58" t="str">
        <x:v>业务交付能力</x:v>
      </x:c>
      <x:c r="E74" s="58" t="str">
        <x:v>配方下发/报表/受控脚本</x:v>
      </x:c>
      <x:c r="F74" s="58" t="str">
        <x:v>复用Security/Runtime contracts</x:v>
      </x:c>
      <x:c r="G74" s="58" t="str">
        <x:v>Feature tests</x:v>
      </x:c>
      <x:c r="H74" s="58" t="str">
        <x:v>范围膨胀</x:v>
      </x:c>
    </x:row>
    <x:row r="75">
      <x:c r="A75"/>
      <x:c r="B75"/>
      <x:c r="C75"/>
      <x:c r="D75"/>
      <x:c r="E75"/>
      <x:c r="F75"/>
      <x:c r="G75"/>
      <x:c r="H75"/>
    </x:row>
    <x:row r="76" ht="24" customHeight="1">
      <x:c r="A76" s="40" t="str">
        <x:v>I. 三大核心编排域与Online Debug深化任务包</x:v>
      </x:c>
      <x:c r="B76" s="40"/>
      <x:c r="C76" s="40"/>
      <x:c r="D76" s="40"/>
      <x:c r="E76" s="40"/>
      <x:c r="F76" s="40"/>
      <x:c r="G76" s="40"/>
      <x:c r="H76" s="40"/>
    </x:row>
    <x:row r="77" ht="28" customHeight="1">
      <x:c r="A77" s="50" t="str">
        <x:v>ID</x:v>
      </x:c>
      <x:c r="B77" s="50" t="str">
        <x:v>阶段</x:v>
      </x:c>
      <x:c r="C77" s="50" t="str">
        <x:v>任务包</x:v>
      </x:c>
      <x:c r="D77" s="50" t="str">
        <x:v>必须贯通</x:v>
      </x:c>
      <x:c r="E77" s="50" t="str">
        <x:v>软件成果</x:v>
      </x:c>
      <x:c r="F77" s="50" t="str">
        <x:v>关键测试</x:v>
      </x:c>
      <x:c r="G77" s="50" t="str">
        <x:v>DoD</x:v>
      </x:c>
      <x:c r="H77" s="50" t="str">
        <x:v>风险</x:v>
      </x:c>
    </x:row>
    <x:row r="78">
      <x:c r="A78" s="66" t="str">
        <x:v>M3-D01</x:v>
      </x:c>
      <x:c r="B78" s="66" t="str">
        <x:v>M3</x:v>
      </x:c>
      <x:c r="C78" s="66" t="str">
        <x:v>Online Debug Contracts/Agent</x:v>
      </x:c>
      <x:c r="D78" s="66" t="str">
        <x:v>Debug.Contracts→Client→Agent→DomainAdapter→Security→Telemetry</x:v>
      </x:c>
      <x:c r="E78" s="66" t="str">
        <x:v>本机/远程Attach、Control/Telemetry、版本比较、断线重连</x:v>
      </x:c>
      <x:c r="F78" s="66" t="str">
        <x:v>Network/State/Security</x:v>
      </x:c>
      <x:c r="G78" s="66" t="str">
        <x:v>Studio不直接持Runtime；断线不盲重发副作用</x:v>
      </x:c>
      <x:c r="H78" s="66" t="str">
        <x:v>协议/状态机</x:v>
      </x:c>
    </x:row>
    <x:row r="79">
      <x:c r="A79" s="58" t="str">
        <x:v>M3-D02</x:v>
      </x:c>
      <x:c r="B79" s="58" t="str">
        <x:v>M3</x:v>
      </x:c>
      <x:c r="C79" s="58" t="str">
        <x:v>Online Version Diff/Override/Promote</x:v>
      </x:c>
      <x:c r="D79" s="58" t="str">
        <x:v>Design Snapshot↔Target Manifest↔Session Override↔ChangeSet</x:v>
      </x:c>
      <x:c r="E79" s="58" t="str">
        <x:v>Online Diff、Override层、Promote到Designer Command</x:v>
      </x:c>
      <x:c r="F79" s="58" t="str">
        <x:v>Version/Override</x:v>
      </x:c>
      <x:c r="G79" s="58" t="str">
        <x:v>Stop清Override；Promote可Undo</x:v>
      </x:c>
      <x:c r="H79" s="58" t="str">
        <x:v>版本冲突</x:v>
      </x:c>
    </x:row>
    <x:row r="80">
      <x:c r="A80" s="66" t="str">
        <x:v>M4-D01</x:v>
      </x:c>
      <x:c r="B80" s="66" t="str">
        <x:v>M4</x:v>
      </x:c>
      <x:c r="C80" s="66" t="str">
        <x:v>Motion完整Studio</x:v>
      </x:c>
      <x:c r="D80" s="66" t="str">
        <x:v>PointTable/Coord/Interlock/Resource/Device/Compiler/Runtime/Monitor</x:v>
      </x:c>
      <x:c r="E80" s="66" t="str">
        <x:v>完整运控工作台</x:v>
      </x:c>
      <x:c r="F80" s="66" t="str">
        <x:v>UI/Compile/Runtime</x:v>
      </x:c>
      <x:c r="G80" s="66" t="str">
        <x:v>Move/IO/Device/Parallel等闭环</x:v>
      </x:c>
      <x:c r="H80" s="66" t="str">
        <x:v>安全/设备差异</x:v>
      </x:c>
    </x:row>
    <x:row r="81">
      <x:c r="A81" s="58" t="str">
        <x:v>M4-D02</x:v>
      </x:c>
      <x:c r="B81" s="58" t="str">
        <x:v>M4</x:v>
      </x:c>
      <x:c r="C81" s="58" t="str">
        <x:v>Motion Online Commissioning</x:v>
      </x:c>
      <x:c r="D81" s="58" t="str">
        <x:v>Axis/IO/Device/Interlock/Resource snapshots + Step/RunTo/Jog/Teach</x:v>
      </x:c>
      <x:c r="E81" s="58" t="str">
        <x:v>实机在线调试工作台</x:v>
      </x:c>
      <x:c r="F81" s="58" t="str">
        <x:v>Motion safety/fault</x:v>
      </x:c>
      <x:c r="G81" s="58" t="str">
        <x:v>Pause边界语义正确；Teach生成ChangeSet</x:v>
      </x:c>
      <x:c r="H81" s="58" t="str">
        <x:v>误操作/安全</x:v>
      </x:c>
    </x:row>
    <x:row r="82">
      <x:c r="A82" s="66" t="str">
        <x:v>M4-D03</x:v>
      </x:c>
      <x:c r="B82" s="66" t="str">
        <x:v>M4</x:v>
      </x:c>
      <x:c r="C82" s="66" t="str">
        <x:v>Motion Scan/Trigger Patterns</x:v>
      </x:c>
      <x:c r="D82" s="66" t="str">
        <x:v>连续扫描/PositionCompare/MoveAndTrigger能力协商</x:v>
      </x:c>
      <x:c r="E82" s="66" t="str">
        <x:v>X-Ray扫描类流程可表达</x:v>
      </x:c>
      <x:c r="F82" s="66" t="str">
        <x:v>Trigger timing/device tests</x:v>
      </x:c>
      <x:c r="G82" s="66" t="str">
        <x:v>高速触发下沉控制器，不用Windows逐点脉冲</x:v>
      </x:c>
      <x:c r="H82" s="66" t="str">
        <x:v>控制器能力</x:v>
      </x:c>
    </x:row>
    <x:row r="83">
      <x:c r="A83" s="58" t="str">
        <x:v>M5-D01</x:v>
      </x:c>
      <x:c r="B83" s="58" t="str">
        <x:v>M5</x:v>
      </x:c>
      <x:c r="C83" s="58" t="str">
        <x:v>Vision完整Studio</x:v>
      </x:c>
      <x:c r="D83" s="58" t="str">
        <x:v>ROI/Sample/Model/Calibration/DataViewer/Batch/Golden/Profiler</x:v>
      </x:c>
      <x:c r="E83" s="58" t="str">
        <x:v>算法工程工作台</x:v>
      </x:c>
      <x:c r="F83" s="58" t="str">
        <x:v>Golden/UI/Perf</x:v>
      </x:c>
      <x:c r="G83" s="58" t="str">
        <x:v>传统+AI+结果融合可开发</x:v>
      </x:c>
      <x:c r="H83" s="58" t="str">
        <x:v>范围大</x:v>
      </x:c>
    </x:row>
    <x:row r="84">
      <x:c r="A84" s="66" t="str">
        <x:v>M5-D02</x:v>
      </x:c>
      <x:c r="B84" s="66" t="str">
        <x:v>M5</x:v>
      </x:c>
      <x:c r="C84" s="66" t="str">
        <x:v>Vision Live Tuning</x:v>
      </x:c>
      <x:c r="D84" s="66" t="str">
        <x:v>Freeze/SingleShot/Continuous/RunNode/RunTo/Pin/Override/A-B/Replay</x:v>
      </x:c>
      <x:c r="E84" s="66" t="str">
        <x:v>在线算法调试工作台</x:v>
      </x:c>
      <x:c r="F84" s="66" t="str">
        <x:v>Replay/GPU/Memory</x:v>
      </x:c>
      <x:c r="G84" s="66" t="str">
        <x:v>调试不污染Definition、不拖慢生产</x:v>
      </x:c>
      <x:c r="H84" s="66" t="str">
        <x:v>大数据/GPU</x:v>
      </x:c>
    </x:row>
    <x:row r="85">
      <x:c r="A85" s="58" t="str">
        <x:v>M5-D03</x:v>
      </x:c>
      <x:c r="B85" s="58" t="str">
        <x:v>M5</x:v>
      </x:c>
      <x:c r="C85" s="58" t="str">
        <x:v>Vision Streaming/Worker</x:v>
      </x:c>
      <x:c r="D85" s="58" t="str">
        <x:v>Backpressure/DataHandle/SharedMemory/GPU budget/Worker restart</x:v>
      </x:c>
      <x:c r="E85" s="58" t="str">
        <x:v>连续流和隔离Worker稳定</x:v>
      </x:c>
      <x:c r="F85" s="58" t="str">
        <x:v>Stress/Crash/Soak</x:v>
      </x:c>
      <x:c r="G85" s="58" t="str">
        <x:v>无无界队列/大对象复制/主进程连带崩溃</x:v>
      </x:c>
      <x:c r="H85" s="58" t="str">
        <x:v>Native/IPC</x:v>
      </x:c>
    </x:row>
    <x:row r="86">
      <x:c r="A86" s="66" t="str">
        <x:v>M6-D01</x:v>
      </x:c>
      <x:c r="B86" s="66" t="str">
        <x:v>M6</x:v>
      </x:c>
      <x:c r="C86" s="66" t="str">
        <x:v>Inspection完整Studio</x:v>
      </x:c>
      <x:c r="D86" s="66" t="str">
        <x:v>Product/Point/Recipe/Result/Error/Retest/Review/MES/Scenario</x:v>
      </x:c>
      <x:c r="E86" s="66" t="str">
        <x:v>完整检测流程工程工作台</x:v>
      </x:c>
      <x:c r="F86" s="66" t="str">
        <x:v>Scenario/E2E</x:v>
      </x:c>
      <x:c r="G86" s="66" t="str">
        <x:v>多点位/复测/MES/人工复判可配置</x:v>
      </x:c>
      <x:c r="H86" s="66" t="str">
        <x:v>业务复杂度</x:v>
      </x:c>
    </x:row>
    <x:row r="87">
      <x:c r="A87" s="58" t="str">
        <x:v>M6-D02</x:v>
      </x:c>
      <x:c r="B87" s="58" t="str">
        <x:v>M6</x:v>
      </x:c>
      <x:c r="C87" s="58" t="str">
        <x:v>Inspection Scheduler/Durability</x:v>
      </x:c>
      <x:c r="D87" s="58" t="str">
        <x:v>MultiTask/Station/Checkpoint/Event/Idempotency/Compensation</x:v>
      </x:c>
      <x:c r="E87" s="58" t="str">
        <x:v>多产品并发与断电恢复</x:v>
      </x:c>
      <x:c r="F87" s="58" t="str">
        <x:v>Concurrency/Recovery</x:v>
      </x:c>
      <x:c r="G87" s="58" t="str">
        <x:v>不串Context/资源，不重复外部副作用</x:v>
      </x:c>
      <x:c r="H87" s="58" t="str">
        <x:v>一致性</x:v>
      </x:c>
    </x:row>
    <x:row r="88">
      <x:c r="A88" s="66" t="str">
        <x:v>M6-D03</x:v>
      </x:c>
      <x:c r="B88" s="66" t="str">
        <x:v>M6</x:v>
      </x:c>
      <x:c r="C88" s="66" t="str">
        <x:v>Inspection Online Debug</x:v>
      </x:c>
      <x:c r="D88" s="66" t="str">
        <x:v>Task attach/Context/Domain StepInto/Retry/Recovery drill/Version pin</x:v>
      </x:c>
      <x:c r="E88" s="66" t="str">
        <x:v>生产观察+测试产品在线调试</x:v>
      </x:c>
      <x:c r="F88" s="66" t="str">
        <x:v>Security/Debug E2E</x:v>
      </x:c>
      <x:c r="G88" s="66" t="str">
        <x:v>生产Task默认只观察；Active Task不Hot换结构</x:v>
      </x:c>
      <x:c r="H88" s="66" t="str">
        <x:v>生产风险</x:v>
      </x:c>
    </x:row>
    <x:row r="89">
      <x:c r="A89" s="58" t="str">
        <x:v>M6-D04</x:v>
      </x:c>
      <x:c r="B89" s="58" t="str">
        <x:v>M6</x:v>
      </x:c>
      <x:c r="C89" s="58" t="str">
        <x:v>Cross-domain E2E Slice</x:v>
      </x:c>
      <x:c r="D89" s="58" t="str">
        <x:v>Inspection→Motion→Acquire→Vision→Judge→Retest→MES</x:v>
      </x:c>
      <x:c r="E89" s="58" t="str">
        <x:v>真实跨域闭环</x:v>
      </x:c>
      <x:c r="F89" s="58" t="str">
        <x:v>E2E/Fault</x:v>
      </x:c>
      <x:c r="G89" s="58" t="str">
        <x:v>Correlation/版本/资源/错误链全贯通</x:v>
      </x:c>
      <x:c r="H89" s="58" t="str">
        <x:v>集成复杂</x:v>
      </x:c>
    </x:row>
    <x:row r="90">
      <x:c r="A90"/>
      <x:c r="B90"/>
      <x:c r="C90"/>
      <x:c r="D90"/>
      <x:c r="E90"/>
      <x:c r="F90"/>
      <x:c r="G90"/>
      <x:c r="H90"/>
    </x:row>
    <x:row r="91" ht="24" customHeight="1">
      <x:c r="A91" s="40" t="str">
        <x:v>J. CT / Robot / Operations / 文档治理扩展任务包</x:v>
      </x:c>
      <x:c r="B91" s="40"/>
      <x:c r="C91" s="40"/>
      <x:c r="D91" s="40"/>
      <x:c r="E91" s="40"/>
      <x:c r="F91" s="40"/>
      <x:c r="G91" s="40"/>
      <x:c r="H91" s="40"/>
    </x:row>
    <x:row r="92" ht="28" customHeight="1">
      <x:c r="A92" s="50" t="str">
        <x:v>ID</x:v>
      </x:c>
      <x:c r="B92" s="50" t="str">
        <x:v>阶段</x:v>
      </x:c>
      <x:c r="C92" s="50" t="str">
        <x:v>任务包</x:v>
      </x:c>
      <x:c r="D92" s="50" t="str">
        <x:v>必须贯通</x:v>
      </x:c>
      <x:c r="E92" s="50" t="str">
        <x:v>软件成果</x:v>
      </x:c>
      <x:c r="F92" s="50" t="str">
        <x:v>关键测试</x:v>
      </x:c>
      <x:c r="G92" s="50" t="str">
        <x:v>DoD</x:v>
      </x:c>
      <x:c r="H92" s="50" t="str">
        <x:v>风险</x:v>
      </x:c>
    </x:row>
    <x:row r="93">
      <x:c r="A93" s="66" t="str">
        <x:v>M5-E01</x:v>
      </x:c>
      <x:c r="B93" s="66" t="str">
        <x:v>M5</x:v>
      </x:c>
      <x:c r="C93" s="66" t="str">
        <x:v>CT/3D Core &amp; Data</x:v>
      </x:c>
      <x:c r="D93" s="66" t="str">
        <x:v>ProjectionSeries/CTGeometry/Volume3D/Handle/Artifact/TypeSystem/Schema</x:v>
      </x:c>
      <x:c r="E93" s="66" t="str">
        <x:v>CT/3D数据契约与Studio基础</x:v>
      </x:c>
      <x:c r="F93" s="66" t="str">
        <x:v>RoundTrip/Geometry/Large data</x:v>
      </x:c>
      <x:c r="G93" s="66" t="str">
        <x:v>GB级数据生命周期明确；Core无VTK/Vendor对象</x:v>
      </x:c>
      <x:c r="H93" s="66" t="str">
        <x:v>大数据模型</x:v>
      </x:c>
    </x:row>
    <x:row r="94">
      <x:c r="A94" s="58" t="str">
        <x:v>M5-E02</x:v>
      </x:c>
      <x:c r="B94" s="58" t="str">
        <x:v>M5</x:v>
      </x:c>
      <x:c r="C94" s="58" t="str">
        <x:v>CT Reconstruction Runtime</x:v>
      </x:c>
      <x:c r="D94" s="58" t="str">
        <x:v>Validator→Compiler→Recon Plan→CT Worker→GPU/Temp/Artifact</x:v>
      </x:c>
      <x:c r="E94" s="58" t="str">
        <x:v>FBP/FDK/迭代重建Job可运行</x:v>
      </x:c>
      <x:c r="F94" s="58" t="str">
        <x:v>Golden/GPU/Crash/Cancel</x:v>
      </x:c>
      <x:c r="G94" s="58" t="str">
        <x:v>Worker崩溃不拖Runtime；质量/性能可验证</x:v>
      </x:c>
      <x:c r="H94" s="58" t="str">
        <x:v>Native/GPU</x:v>
      </x:c>
    </x:row>
    <x:row r="95">
      <x:c r="A95" s="66" t="str">
        <x:v>M5-E03</x:v>
      </x:c>
      <x:c r="B95" s="66" t="str">
        <x:v>M5</x:v>
      </x:c>
      <x:c r="C95" s="66" t="str">
        <x:v>CT Viewer &amp; Online Debug</x:v>
      </x:c>
      <x:c r="D95" s="66" t="str">
        <x:v>Projection Browser/MPR/3D Viewer/RunTo/Geometry Override/Run Compare</x:v>
      </x:c>
      <x:c r="E95" s="66" t="str">
        <x:v>CT调试工作台</x:v>
      </x:c>
      <x:c r="F95" s="66" t="str">
        <x:v>Memory/Network/Debug E2E</x:v>
      </x:c>
      <x:c r="G95" s="66" t="str">
        <x:v>大数据按需，不塞Telemetry</x:v>
      </x:c>
      <x:c r="H95" s="66" t="str">
        <x:v>Viewer/带宽</x:v>
      </x:c>
    </x:row>
    <x:row r="96">
      <x:c r="A96" s="58" t="str">
        <x:v>M6-E01</x:v>
      </x:c>
      <x:c r="B96" s="58" t="str">
        <x:v>M6</x:v>
      </x:c>
      <x:c r="C96" s="58" t="str">
        <x:v>CT Inspection Integration</x:v>
      </x:c>
      <x:c r="D96" s="58" t="str">
        <x:v>Motion采集→ProjectionSeries→Recon→3D detect/measure→Inspection Result</x:v>
      </x:c>
      <x:c r="E96" s="58" t="str">
        <x:v>真实CT检测跨域闭环</x:v>
      </x:c>
      <x:c r="F96" s="58" t="str">
        <x:v>E2E/Fault/Version</x:v>
      </x:c>
      <x:c r="G96" s="58" t="str">
        <x:v>采集/重建/结果/版本/Correlation贯通</x:v>
      </x:c>
      <x:c r="H96" s="58" t="str">
        <x:v>设备时序</x:v>
      </x:c>
    </x:row>
    <x:row r="97">
      <x:c r="A97" s="66" t="str">
        <x:v>M4-E01</x:v>
      </x:c>
      <x:c r="B97" s="66" t="str">
        <x:v>M4</x:v>
      </x:c>
      <x:c r="C97" s="66" t="str">
        <x:v>Robot Core &amp; Studio</x:v>
      </x:c>
      <x:c r="D97" s="66" t="str">
        <x:v>Robot/Frame/Tool/WObj/Pose/Path/Point/Command/Schema/Designer</x:v>
      </x:c>
      <x:c r="E97" s="66" t="str">
        <x:v>机器人编排工作台</x:v>
      </x:c>
      <x:c r="F97" s="66" t="str">
        <x:v>Transform/Command/UI</x:v>
      </x:c>
      <x:c r="G97" s="66" t="str">
        <x:v>Robot复用Motion而不复制平台基础</x:v>
      </x:c>
      <x:c r="H97" s="66" t="str">
        <x:v>专业模型复杂</x:v>
      </x:c>
    </x:row>
    <x:row r="98">
      <x:c r="A98" s="58" t="str">
        <x:v>M4-E02</x:v>
      </x:c>
      <x:c r="B98" s="58" t="str">
        <x:v>M4</x:v>
      </x:c>
      <x:c r="C98" s="58" t="str">
        <x:v>Robot Runtime &amp; Adapter</x:v>
      </x:c>
      <x:c r="D98" s="58" t="str">
        <x:v>RobotCompiler/Plan/IRobotController/Capabilities/Resource/Interlock</x:v>
      </x:c>
      <x:c r="E98" s="58" t="str">
        <x:v>真实机器人Program可运行</x:v>
      </x:c>
      <x:c r="F98" s="58" t="str">
        <x:v>Multi-brand contract/Safety/Fault</x:v>
      </x:c>
      <x:c r="G98" s="58" t="str">
        <x:v>不做实时插补；品牌差异由Capability隔离</x:v>
      </x:c>
      <x:c r="H98" s="58" t="str">
        <x:v>厂商差异</x:v>
      </x:c>
    </x:row>
    <x:row r="99">
      <x:c r="A99" s="66" t="str">
        <x:v>M4-E03</x:v>
      </x:c>
      <x:c r="B99" s="66" t="str">
        <x:v>M4</x:v>
      </x:c>
      <x:c r="C99" s="66" t="str">
        <x:v>Robot Online Commissioning</x:v>
      </x:c>
      <x:c r="D99" s="66" t="str">
        <x:v>Status/Joint/Pose/Frame/Path/Jog/Teach/OnlineDiff</x:v>
      </x:c>
      <x:c r="E99" s="66" t="str">
        <x:v>机器人在线调试工作台</x:v>
      </x:c>
      <x:c r="F99" s="66" t="str">
        <x:v>Jog/Teach/Network/Security</x:v>
      </x:c>
      <x:c r="G99" s="66" t="str">
        <x:v>不是认证示教器；Target/控制器最终安全</x:v>
      </x:c>
      <x:c r="H99" s="66" t="str">
        <x:v>安全风险</x:v>
      </x:c>
    </x:row>
    <x:row r="100">
      <x:c r="A100" s="58" t="str">
        <x:v>M5-E04</x:v>
      </x:c>
      <x:c r="B100" s="58" t="str">
        <x:v>M5</x:v>
      </x:c>
      <x:c r="C100" s="58" t="str">
        <x:v>Robot Vision Guidance</x:v>
      </x:c>
      <x:c r="D100" s="58" t="str">
        <x:v>Vision pose/Hand-eye/Frame transform/Quality/Age→Robot target</x:v>
      </x:c>
      <x:c r="E100" s="58" t="str">
        <x:v>视觉引导机器人闭环</x:v>
      </x:c>
      <x:c r="F100" s="58" t="str">
        <x:v>Calibration/Cross-domain E2E</x:v>
      </x:c>
      <x:c r="G100" s="58" t="str">
        <x:v>Bad/Stale/FrameMismatch不发运动命令</x:v>
      </x:c>
      <x:c r="H100" s="58" t="str">
        <x:v>坐标错误</x:v>
      </x:c>
    </x:row>
    <x:row r="101">
      <x:c r="A101" s="66" t="str">
        <x:v>M7-E01</x:v>
      </x:c>
      <x:c r="B101" s="66" t="str">
        <x:v>M7</x:v>
      </x:c>
      <x:c r="C101" s="66" t="str">
        <x:v>Station Agent</x:v>
      </x:c>
      <x:c r="D101" s="66" t="str">
        <x:v>Inventory/Health/Version/Deploy/Debug/Artifact/Maintenance统一站点入口</x:v>
      </x:c>
      <x:c r="E101" s="66" t="str">
        <x:v>每台Runtime可被安全管理</x:v>
      </x:c>
      <x:c r="F101" s="66" t="str">
        <x:v>Agent crash/Partition/Security</x:v>
      </x:c>
      <x:c r="G101" s="66" t="str">
        <x:v>Agent故障不拖业务Runtime</x:v>
      </x:c>
      <x:c r="H101" s="66" t="str">
        <x:v>进程边界</x:v>
      </x:c>
    </x:row>
    <x:row r="102">
      <x:c r="A102" s="58" t="str">
        <x:v>M7-E02</x:v>
      </x:c>
      <x:c r="B102" s="58" t="str">
        <x:v>M7</x:v>
      </x:c>
      <x:c r="C102" s="58" t="str">
        <x:v>Operations Center</x:v>
      </x:c>
      <x:c r="D102" s="58" t="str">
        <x:v>Fleet inventory/health/version/events/cases/KPI</x:v>
      </x:c>
      <x:c r="E102" s="58" t="str">
        <x:v>集中运维中心</x:v>
      </x:c>
      <x:c r="F102" s="58" t="str">
        <x:v>Load/Network/Retention</x:v>
      </x:c>
      <x:c r="G102" s="58" t="str">
        <x:v>中心离线本地继续生产</x:v>
      </x:c>
      <x:c r="H102" s="58" t="str">
        <x:v>数据量</x:v>
      </x:c>
    </x:row>
    <x:row r="103">
      <x:c r="A103" s="66" t="str">
        <x:v>M7-E03</x:v>
      </x:c>
      <x:c r="B103" s="66" t="str">
        <x:v>M7</x:v>
      </x:c>
      <x:c r="C103" s="66" t="str">
        <x:v>Fleet Deployment</x:v>
      </x:c>
      <x:c r="D103" s="66" t="str">
        <x:v>Release repo/Canary/Ring/Precheck/Stage/Switch/Verify/Rollback</x:v>
      </x:c>
      <x:c r="E103" s="66" t="str">
        <x:v>多站点安全发布</x:v>
      </x:c>
      <x:c r="F103" s="66" t="str">
        <x:v>Deployment fault/rollback</x:v>
      </x:c>
      <x:c r="G103" s="66" t="str">
        <x:v>本地Atomic switch，未知状态可对账</x:v>
      </x:c>
      <x:c r="H103" s="66" t="str">
        <x:v>部分失败</x:v>
      </x:c>
    </x:row>
    <x:row r="104">
      <x:c r="A104" s="58" t="str">
        <x:v>M7-E04</x:v>
      </x:c>
      <x:c r="B104" s="58" t="str">
        <x:v>M7</x:v>
      </x:c>
      <x:c r="C104" s="58" t="str">
        <x:v>Remote Engineering</x:v>
      </x:c>
      <x:c r="D104" s="58" t="str">
        <x:v>Approval/TTL/Broker/SessionLease/Remote Observe/Controlled Debug/Artifact transfer</x:v>
      </x:c>
      <x:c r="E104" s="58" t="str">
        <x:v>远程工程闭环</x:v>
      </x:c>
      <x:c r="F104" s="58" t="str">
        <x:v>Security/Network/Bandwidth</x:v>
      </x:c>
      <x:c r="G104" s="58" t="str">
        <x:v>默认只读；中心不绕过Target</x:v>
      </x:c>
      <x:c r="H104" s="58" t="str">
        <x:v>安全/网络</x:v>
      </x:c>
    </x:row>
    <x:row r="105">
      <x:c r="A105" s="66" t="str">
        <x:v>M7-E05</x:v>
      </x:c>
      <x:c r="B105" s="66" t="str">
        <x:v>M7</x:v>
      </x:c>
      <x:c r="C105" s="66" t="str">
        <x:v>Fleet Diagnostics</x:v>
      </x:c>
      <x:c r="D105" s="66" t="str">
        <x:v>Correlation search/Case/Artifact/Compare health/Remote replay</x:v>
      </x:c>
      <x:c r="E105" s="66" t="str">
        <x:v>跨站诊断闭环</x:v>
      </x:c>
      <x:c r="F105" s="66" t="str">
        <x:v>Index/Retention/Case E2E</x:v>
      </x:c>
      <x:c r="G105" s="66" t="str">
        <x:v>证据链包含版本/Correlation</x:v>
      </x:c>
      <x:c r="H105" s="66" t="str">
        <x:v>Retention</x:v>
      </x:c>
    </x:row>
    <x:row r="106">
      <x:c r="A106" s="58" t="str">
        <x:v>M1-E01</x:v>
      </x:c>
      <x:c r="B106" s="58" t="str">
        <x:v>M1</x:v>
      </x:c>
      <x:c r="C106" s="58" t="str">
        <x:v>Document UX &amp; Governance</x:v>
      </x:c>
      <x:c r="D106" s="58" t="str">
        <x:v>48导航/56能力矩阵/57Playbook/58术语 + 02/03/23/24一致性</x:v>
      </x:c>
      <x:c r="E106" s="58" t="str">
        <x:v>团队可快速使用总文档</x:v>
      </x:c>
      <x:c r="F106" s="58" t="str">
        <x:v>Review/Consistency</x:v>
      </x:c>
      <x:c r="G106" s="58" t="str">
        <x:v>新功能有DoR/DoD/追踪/术语入口</x:v>
      </x:c>
      <x:c r="H106" s="58" t="str">
        <x:v>维护成本</x:v>
      </x:c>
    </x:row>
    <x:row r="107">
      <x:c r="A107"/>
      <x:c r="B107"/>
      <x:c r="C107"/>
      <x:c r="D107"/>
      <x:c r="E107"/>
      <x:c r="F107"/>
      <x:c r="G107"/>
      <x:c r="H107"/>
    </x:row>
    <x:row r="108" ht="24" customHeight="1">
      <x:c r="A108" s="40" t="str">
        <x:v>I. RC 最终门禁</x:v>
      </x:c>
      <x:c r="B108" s="40"/>
      <x:c r="C108" s="40"/>
      <x:c r="D108" s="40"/>
      <x:c r="E108" s="40"/>
      <x:c r="F108" s="40"/>
      <x:c r="G108" s="40"/>
      <x:c r="H108" s="40"/>
    </x:row>
    <x:row r="109" ht="28" customHeight="1">
      <x:c r="A109" s="50" t="str">
        <x:v>门禁</x:v>
      </x:c>
      <x:c r="B109" s="50" t="str">
        <x:v>范围</x:v>
      </x:c>
      <x:c r="C109" s="50" t="str">
        <x:v>通过标准</x:v>
      </x:c>
      <x:c r="D109" s="50" t="str">
        <x:v>工具/环境</x:v>
      </x:c>
      <x:c r="E109" s="50" t="str">
        <x:v>阻断级别</x:v>
      </x:c>
      <x:c r="F109" s="50" t="str">
        <x:v>证据</x:v>
      </x:c>
      <x:c r="G109" s="50" t="str">
        <x:v>Owner</x:v>
      </x:c>
      <x:c r="H109" s="50" t="str">
        <x:v>备注</x:v>
      </x:c>
    </x:row>
    <x:row r="110">
      <x:c r="A110" s="66" t="str">
        <x:v>Build</x:v>
      </x:c>
      <x:c r="B110" s="66" t="str">
        <x:v>全部项目</x:v>
      </x:c>
      <x:c r="C110" s="66" t="str">
        <x:v>VS2022 + .NET Framework 4.8 Debug/Release 0 Error</x:v>
      </x:c>
      <x:c r="D110" s="66" t="str">
        <x:v>MSBuild/build.cmd</x:v>
      </x:c>
      <x:c r="E110" s="66" t="str">
        <x:v>P0</x:v>
      </x:c>
      <x:c r="F110" s="66" t="str">
        <x:v>Build log</x:v>
      </x:c>
      <x:c r="G110" s="66" t="str">
        <x:v>平台</x:v>
      </x:c>
      <x:c r="H110" s="66"/>
    </x:row>
    <x:row r="111">
      <x:c r="A111" s="58" t="str">
        <x:v>Automated Tests</x:v>
      </x:c>
      <x:c r="B111" s="58" t="str">
        <x:v>Unit/Integration/Architecture/Serialization/Graph/Domain</x:v>
      </x:c>
      <x:c r="C111" s="58" t="str">
        <x:v>关键测试全绿</x:v>
      </x:c>
      <x:c r="D111" s="58" t="str">
        <x:v>run-tests.cmd/CI</x:v>
      </x:c>
      <x:c r="E111" s="58" t="str">
        <x:v>P0</x:v>
      </x:c>
      <x:c r="F111" s="58" t="str">
        <x:v>Test report</x:v>
      </x:c>
      <x:c r="G111" s="58" t="str">
        <x:v>平台/各域</x:v>
      </x:c>
      <x:c r="H111" s="58"/>
    </x:row>
    <x:row r="112">
      <x:c r="A112" s="66" t="str">
        <x:v>UI Smoke</x:v>
      </x:c>
      <x:c r="B112" s="66" t="str">
        <x:v>Studio/Screen/Graph/Debug/Runtime/WinFormsHost</x:v>
      </x:c>
      <x:c r="C112" s="66" t="str">
        <x:v>关键链路无阻断</x:v>
      </x:c>
      <x:c r="D112" s="66" t="str">
        <x:v>FlaUI/内部自动化</x:v>
      </x:c>
      <x:c r="E112" s="66" t="str">
        <x:v>P0</x:v>
      </x:c>
      <x:c r="F112" s="66" t="str">
        <x:v>Smoke report</x:v>
      </x:c>
      <x:c r="G112" s="66" t="str">
        <x:v>UI</x:v>
      </x:c>
      <x:c r="H112" s="66"/>
    </x:row>
    <x:row r="113">
      <x:c r="A113" s="58" t="str">
        <x:v>Performance</x:v>
      </x:c>
      <x:c r="B113" s="58" t="str">
        <x:v>Designer/SCADA/Vision/Flow</x:v>
      </x:c>
      <x:c r="C113" s="58" t="str">
        <x:v>达到项目阈值且不回退</x:v>
      </x:c>
      <x:c r="D113" s="58" t="str">
        <x:v>Benchmarks</x:v>
      </x:c>
      <x:c r="E113" s="58" t="str">
        <x:v>P1</x:v>
      </x:c>
      <x:c r="F113" s="58" t="str">
        <x:v>Performance report</x:v>
      </x:c>
      <x:c r="G113" s="58" t="str">
        <x:v>性能</x:v>
      </x:c>
      <x:c r="H113" s="58"/>
    </x:row>
    <x:row r="114">
      <x:c r="A114" s="66" t="str">
        <x:v>Soak</x:v>
      </x:c>
      <x:c r="B114" s="66" t="str">
        <x:v>Runtime+设备+Vision+Inspection</x:v>
      </x:c>
      <x:c r="C114" s="66" t="str">
        <x:v>72h无趋势性内存/句柄/订阅/队列增长</x:v>
      </x:c>
      <x:c r="D114" s="66" t="str">
        <x:v>自动场景</x:v>
      </x:c>
      <x:c r="E114" s="66" t="str">
        <x:v>P0</x:v>
      </x:c>
      <x:c r="F114" s="66" t="str">
        <x:v>Soak report</x:v>
      </x:c>
      <x:c r="G114" s="66" t="str">
        <x:v>QA</x:v>
      </x:c>
      <x:c r="H114" s="66"/>
    </x:row>
    <x:row r="115">
      <x:c r="A115" s="58" t="str">
        <x:v>Recovery</x:v>
      </x:c>
      <x:c r="B115" s="58" t="str">
        <x:v>断网/断电/Worker崩溃/流程Checkpoint/发布回滚</x:v>
      </x:c>
      <x:c r="C115" s="58" t="str">
        <x:v>按策略可恢复且不重复副作用</x:v>
      </x:c>
      <x:c r="D115" s="58" t="str">
        <x:v>Fault injection</x:v>
      </x:c>
      <x:c r="E115" s="58" t="str">
        <x:v>P0</x:v>
      </x:c>
      <x:c r="F115" s="58" t="str">
        <x:v>Recovery report</x:v>
      </x:c>
      <x:c r="G115" s="58" t="str">
        <x:v>QA/现场</x:v>
      </x:c>
      <x:c r="H115" s="58"/>
    </x:row>
    <x:row r="116">
      <x:c r="A116" s="66" t="str">
        <x:v>Compatibility</x:v>
      </x:c>
      <x:c r="B116" s="66" t="str">
        <x:v>V1.x/V2工程、旧Symbol/TypeId/插件缺失</x:v>
      </x:c>
      <x:c r="C116" s="66" t="str">
        <x:v>可打开/迁移/保真/另存</x:v>
      </x:c>
      <x:c r="D116" s="66" t="str">
        <x:v>Golden projects</x:v>
      </x:c>
      <x:c r="E116" s="66" t="str">
        <x:v>P0</x:v>
      </x:c>
      <x:c r="F116" s="66" t="str">
        <x:v>Migration report</x:v>
      </x:c>
      <x:c r="G116" s="66" t="str">
        <x:v>平台</x:v>
      </x:c>
      <x:c r="H116" s="66"/>
    </x:row>
    <x:row r="118">
      <x:c r="A118" t="str">
        <x:v>K. 历史 V3.3 专项纳入 M1~M7/RC（V6.x当前路线见L）</x:v>
      </x:c>
      <x:c r="B118"/>
      <x:c r="C118"/>
      <x:c r="D118"/>
      <x:c r="E118"/>
      <x:c r="F118"/>
      <x:c r="G118"/>
      <x:c r="H118"/>
    </x:row>
    <x:row r="119">
      <x:c r="A119" t="str">
        <x:v>ID</x:v>
      </x:c>
      <x:c r="B119" t="str">
        <x:v>阶段</x:v>
      </x:c>
      <x:c r="C119" t="str">
        <x:v>专项</x:v>
      </x:c>
      <x:c r="D119" t="str">
        <x:v>必须贯通</x:v>
      </x:c>
      <x:c r="E119" t="str">
        <x:v>权威页</x:v>
      </x:c>
      <x:c r="F119" t="str">
        <x:v>关键测试</x:v>
      </x:c>
      <x:c r="G119" t="str">
        <x:v>DoD</x:v>
      </x:c>
      <x:c r="H119" t="str">
        <x:v>风险</x:v>
      </x:c>
    </x:row>
    <x:row r="120">
      <x:c r="A120" t="str">
        <x:v>M1-V33-01</x:v>
      </x:c>
      <x:c r="B120" t="str">
        <x:v>M1</x:v>
      </x:c>
      <x:c r="C120" t="str">
        <x:v>Studio Shell / Contextual Ribbon</x:v>
      </x:c>
      <x:c r="D120" t="str">
        <x:v>固定9菜单+StudioShellSession+Workspace Provider+CommandDescriptor</x:v>
      </x:c>
      <x:c r="E120" t="str">
        <x:v>45正式基线</x:v>
      </x:c>
      <x:c r="F120" t="str">
        <x:v>UI Smoke/Architecture</x:v>
      </x:c>
      <x:c r="G120" t="str">
        <x:v>不新增第二套里程碑；纳入M1</x:v>
      </x:c>
      <x:c r="H120" t="str">
        <x:v>Shell漂移</x:v>
      </x:c>
    </x:row>
    <x:row r="121">
      <x:c r="A121" t="str">
        <x:v>M2-V33-01</x:v>
      </x:c>
      <x:c r="B121" t="str">
        <x:v>M2</x:v>
      </x:c>
      <x:c r="C121" t="str">
        <x:v>DeviceVariable端到端闭环</x:v>
      </x:c>
      <x:c r="D121" t="str">
        <x:v>Provider→Project Variables→Binding→Runtime→Alarm/Trend→Write</x:v>
      </x:c>
      <x:c r="E121" t="str">
        <x:v>46正式基线</x:v>
      </x:c>
      <x:c r="F121" t="str">
        <x:v>VAR-E2E-01~07</x:v>
      </x:c>
      <x:c r="G121" t="str">
        <x:v>设备改名/离线/保存重开稳定</x:v>
      </x:c>
      <x:c r="H121" t="str">
        <x:v>双变量系统</x:v>
      </x:c>
    </x:row>
    <x:row r="122">
      <x:c r="A122" t="str">
        <x:v>M3-V33-01</x:v>
      </x:c>
      <x:c r="B122" t="str">
        <x:v>M3</x:v>
      </x:c>
      <x:c r="C122" t="str">
        <x:v>SCADA Graph变量节点</x:v>
      </x:c>
      <x:c r="D122" t="str">
        <x:v>VariableChanged/ReadVariable/WriteVariable接统一Provider/WritePipeline</x:v>
      </x:c>
      <x:c r="E122" t="str">
        <x:v>46 + 19/22</x:v>
      </x:c>
      <x:c r="F122" t="str">
        <x:v>Graph integration/Security</x:v>
      </x:c>
      <x:c r="G122" t="str">
        <x:v>节点不是占位</x:v>
      </x:c>
      <x:c r="H122" t="str">
        <x:v>旁路写入</x:v>
      </x:c>
    </x:row>
    <x:row r="123">
      <x:c r="A123" t="str">
        <x:v>M4-V33-01</x:v>
      </x:c>
      <x:c r="B123" t="str">
        <x:v>M4</x:v>
      </x:c>
      <x:c r="C123" t="str">
        <x:v>完整工业硬件抽象</x:v>
      </x:c>
      <x:c r="D123" t="str">
        <x:v>Controller/PLC/Fieldbus/Axis/Pneumatic/IO/Sensor/Trigger/Safety/Process</x:v>
      </x:c>
      <x:c r="E123" t="str">
        <x:v>47正式基线</x:v>
      </x:c>
      <x:c r="F123" t="str">
        <x:v>HW-ARCH/HW-E2E</x:v>
      </x:c>
      <x:c r="G123" t="str">
        <x:v>Vendor隔离+Lifecycle+Diagnostics</x:v>
      </x:c>
      <x:c r="H123" t="str">
        <x:v>万能Device</x:v>
      </x:c>
    </x:row>
    <x:row r="124">
      <x:c r="A124" t="str">
        <x:v>M4-V33-02</x:v>
      </x:c>
      <x:c r="B124" t="str">
        <x:v>M4</x:v>
      </x:c>
      <x:c r="C124" t="str">
        <x:v>Robot家族复用与Context</x:v>
      </x:c>
      <x:c r="D124" t="str">
        <x:v>复用Motion Contract/Resource/Interlock/Debug；机器人/路径/示教页签</x:v>
      </x:c>
      <x:c r="E124" t="str">
        <x:v>29/30/45/47</x:v>
      </x:c>
      <x:c r="F124" t="str">
        <x:v>Architecture/UI/Safety</x:v>
      </x:c>
      <x:c r="G124" t="str">
        <x:v>组合优先非深继承</x:v>
      </x:c>
      <x:c r="H124" t="str">
        <x:v>复制Motion</x:v>
      </x:c>
    </x:row>
    <x:row r="125">
      <x:c r="A125" t="str">
        <x:v>M5-V33-01</x:v>
      </x:c>
      <x:c r="B125" t="str">
        <x:v>M5</x:v>
      </x:c>
      <x:c r="C125" t="str">
        <x:v>CT3D家族复用与Context</x:v>
      </x:c>
      <x:c r="D125" t="str">
        <x:v>复用Vision DataHandle/GPU/Worker/Debug；CT/3D/重建/可视化页签</x:v>
      </x:c>
      <x:c r="E125" t="str">
        <x:v>31/33/34/45</x:v>
      </x:c>
      <x:c r="F125" t="str">
        <x:v>Architecture/GB/UI</x:v>
      </x:c>
      <x:c r="G125" t="str">
        <x:v>专业链独立但平台能力共用</x:v>
      </x:c>
      <x:c r="H125" t="str">
        <x:v>另建CT平台</x:v>
      </x:c>
    </x:row>
    <x:row r="126">
      <x:c r="A126" t="str">
        <x:v>M6-V33-01</x:v>
      </x:c>
      <x:c r="B126" t="str">
        <x:v>M6</x:v>
      </x:c>
      <x:c r="C126" t="str">
        <x:v>Inspection Context与跨域链</x:v>
      </x:c>
      <x:c r="D126" t="str">
        <x:v>流程/检测/工位 + Robot/CT/Variable跨域Correlation</x:v>
      </x:c>
      <x:c r="E126" t="str">
        <x:v>35/37/45</x:v>
      </x:c>
      <x:c r="F126" t="str">
        <x:v>Scenario/E2E</x:v>
      </x:c>
      <x:c r="G126" t="str">
        <x:v>生产Run锁结构</x:v>
      </x:c>
      <x:c r="H126" t="str">
        <x:v>调试污染生产</x:v>
      </x:c>
    </x:row>
    <x:row r="127">
      <x:c r="A127" t="str">
        <x:v>RC-V33-01</x:v>
      </x:c>
      <x:c r="B127" t="str">
        <x:v>RC</x:v>
      </x:c>
      <x:c r="C127" t="str">
        <x:v>V3.3同步一致性Gate</x:v>
      </x:c>
      <x:c r="D127" t="str">
        <x:v>02/03/05/07/17/27/40/41/43/45~48相互一致</x:v>
      </x:c>
      <x:c r="E127" t="str">
        <x:v>48同步审计</x:v>
      </x:c>
      <x:c r="F127" t="str">
        <x:v>Doc consistency + Windows final gate</x:v>
      </x:c>
      <x:c r="G127" t="str">
        <x:v>设计与状态分离</x:v>
      </x:c>
      <x:c r="H127" t="str">
        <x:v>历史版本误当证据</x:v>
      </x:c>
    </x:row>
    <x:row r="128">
      <x:c r="A128" s="118" t="str">
        <x:v>L. V6.x Case-Driven 工业化路线</x:v>
      </x:c>
      <x:c r="B128" s="118"/>
      <x:c r="C128" s="118"/>
      <x:c r="D128" s="118"/>
      <x:c r="E128" s="118"/>
      <x:c r="F128" s="118"/>
      <x:c r="G128" s="118"/>
      <x:c r="H128" s="118"/>
    </x:row>
    <x:row r="129">
      <x:c r="A129" s="119" t="str">
        <x:v>阶段</x:v>
      </x:c>
      <x:c r="B129" s="119" t="str">
        <x:v>真实目标</x:v>
      </x:c>
      <x:c r="C129" s="119" t="str">
        <x:v>主要Case</x:v>
      </x:c>
      <x:c r="D129" s="119" t="str">
        <x:v>发现问题后如何处理</x:v>
      </x:c>
      <x:c r="E129" s="119" t="str">
        <x:v>退出条件</x:v>
      </x:c>
      <x:c r="F129" s="119" t="str">
        <x:v>证据</x:v>
      </x:c>
      <x:c r="G129" s="119" t="str">
        <x:v>优先级</x:v>
      </x:c>
      <x:c r="H129" s="119" t="str">
        <x:v>备注</x:v>
      </x:c>
    </x:row>
    <x:row r="130">
      <x:c r="A130" s="117" t="str">
        <x:v>V6.0</x:v>
      </x:c>
      <x:c r="B130" s="117" t="str">
        <x:v>IndustrialStable架构冻结</x:v>
      </x:c>
      <x:c r="C130" s="117" t="str">
        <x:v>1 Platform + 6 Workbenches</x:v>
      </x:c>
      <x:c r="D130" s="117" t="str">
        <x:v>只修边界，不再重排一级架构</x:v>
      </x:c>
      <x:c r="E130" s="117" t="str">
        <x:v>一级Owner/依赖/Runtime边界稳定</x:v>
      </x:c>
      <x:c r="F130" s="117" t="str">
        <x:v>Architecture Gate</x:v>
      </x:c>
      <x:c r="G130" s="117" t="str">
        <x:v>P0</x:v>
      </x:c>
      <x:c r="H130" s="117" t="str">
        <x:v>已冻结</x:v>
      </x:c>
    </x:row>
    <x:row r="131">
      <x:c r="A131" s="117" t="str">
        <x:v>V6.1</x:v>
      </x:c>
      <x:c r="B131" s="117" t="str">
        <x:v>ICS/SCADA/Motion Foundation</x:v>
      </x:c>
      <x:c r="C131" s="117" t="str">
        <x:v>Loopback设备+变量+Alarm/Historian+Motion</x:v>
      </x:c>
      <x:c r="D131" s="117" t="str">
        <x:v>先做通链，禁止只造接口</x:v>
      </x:c>
      <x:c r="E131" s="117" t="str">
        <x:v>基础Case可执行</x:v>
      </x:c>
      <x:c r="F131" s="117" t="str">
        <x:v>V6.1 evidence</x:v>
      </x:c>
      <x:c r="G131" s="117" t="str">
        <x:v>P0</x:v>
      </x:c>
      <x:c r="H131" s="117" t="str">
        <x:v>已完成静态/Case</x:v>
      </x:c>
    </x:row>
    <x:row r="132">
      <x:c r="A132" s="117" t="str">
        <x:v>V6.2</x:v>
      </x:c>
      <x:c r="B132" s="117" t="str">
        <x:v>生命周期/压力</x:v>
      </x:c>
      <x:c r="C132" s="117" t="str">
        <x:v>Start/Stop/Restart、10k Tag、Alarm Storm、StoreForward</x:v>
      </x:c>
      <x:c r="D132" s="117" t="str">
        <x:v>发现Worker/订阅/队列/恢复问题即修</x:v>
      </x:c>
      <x:c r="E132" s="117" t="str">
        <x:v>生命周期可重复</x:v>
      </x:c>
      <x:c r="F132" s="117" t="str">
        <x:v>V6.2 Case</x:v>
      </x:c>
      <x:c r="G132" s="117" t="str">
        <x:v>P0</x:v>
      </x:c>
      <x:c r="H132" s="117" t="str">
        <x:v>已完成静态/Case</x:v>
      </x:c>
    </x:row>
    <x:row r="133">
      <x:c r="A133" s="117" t="str">
        <x:v>V6.3</x:v>
      </x:c>
      <x:c r="B133" s="117" t="str">
        <x:v>故障/资源竞争</x:v>
      </x:c>
      <x:c r="C133" s="117" t="str">
        <x:v>PLC掉线、资源争用、Motion安全入口</x:v>
      </x:c>
      <x:c r="D133" s="117" t="str">
        <x:v>修Recovery/Lease/Interlock/诊断</x:v>
      </x:c>
      <x:c r="E133" s="117" t="str">
        <x:v>故障可解释可恢复</x:v>
      </x:c>
      <x:c r="F133" s="117" t="str">
        <x:v>V6.3 Case</x:v>
      </x:c>
      <x:c r="G133" s="117" t="str">
        <x:v>P0</x:v>
      </x:c>
      <x:c r="H133" s="117" t="str">
        <x:v>已完成静态/Case</x:v>
      </x:c>
    </x:row>
    <x:row r="134">
      <x:c r="A134" s="117" t="str">
        <x:v>V6.4</x:v>
      </x:c>
      <x:c r="B134" s="117" t="str">
        <x:v>Industrial Practical</x:v>
      </x:c>
      <x:c r="C134" s="117" t="str">
        <x:v>真实Socket Modbus TCP + SCADA Write/Readback/Audit + Motion Compile/Parallel</x:v>
      </x:c>
      <x:c r="D134" s="117" t="str">
        <x:v>补协议路径/写回治理/专业Runtime</x:v>
      </x:c>
      <x:c r="E134" s="117" t="str">
        <x:v>平台缺口主要转为实机认证</x:v>
      </x:c>
      <x:c r="F134" s="117" t="str">
        <x:v>71 PASS/1 WARN/0 FAIL + Source Gate</x:v>
      </x:c>
      <x:c r="G134" s="117" t="str">
        <x:v>P0</x:v>
      </x:c>
      <x:c r="H134" s="117" t="str">
        <x:v>当前基线</x:v>
      </x:c>
    </x:row>
    <x:row r="135">
      <x:c r="A135" s="117" t="str">
        <x:v>V6.5候选</x:v>
      </x:c>
      <x:c r="B135" s="117" t="str">
        <x:v>Universal Variable Foundation</x:v>
      </x:c>
      <x:c r="C135" s="117" t="str">
        <x:v>无Device本地变量；PLC Binding切Real/Virtual/Replay；并发Snapshot</x:v>
      </x:c>
      <x:c r="D135" s="117" t="str">
        <x:v>把DeviceVariable正确优点抽成Variable&lt;T&gt;，Legacy只兼容</x:v>
      </x:c>
      <x:c r="E135" s="117" t="str">
        <x:v>通用变量不依赖Device且旧工程可迁移</x:v>
      </x:c>
      <x:c r="F135" s="117" t="str">
        <x:v>46/50 Case</x:v>
      </x:c>
      <x:c r="G135" s="117" t="str">
        <x:v>P0</x:v>
      </x:c>
      <x:c r="H135" s="117" t="str">
        <x:v>设计中</x:v>
      </x:c>
    </x:row>
    <x:row r="136">
      <x:c r="A136" s="117" t="str">
        <x:v>下一物理轮</x:v>
      </x:c>
      <x:c r="B136" s="117" t="str">
        <x:v>小自动机实机</x:v>
      </x:c>
      <x:c r="C136" s="117" t="str">
        <x:v>真实Modbus/S7 PLC + 双轴卡 + Auto/Manual/Home/Cycle/Alarm/Reset/Recovery</x:v>
      </x:c>
      <x:c r="D136" s="117" t="str">
        <x:v>优先修真实Case暴露问题，不先加更多抽象</x:v>
      </x:c>
      <x:c r="E136" s="117" t="str">
        <x:v>只剩Vendor/项目参数差异</x:v>
      </x:c>
      <x:c r="F136" s="117" t="str">
        <x:v>Windows/实机/24h report</x:v>
      </x:c>
      <x:c r="G136" s="117" t="str">
        <x:v>P0</x:v>
      </x:c>
      <x:c r="H136" s="117" t="str">
        <x:v>待执行</x:v>
      </x:c>
    </x:row>
    <x:row r="137">
      <x:c r="A137" s="117" t="str">
        <x:v>成熟签署</x:v>
      </x:c>
      <x:c r="B137" s="117" t="str">
        <x:v>Production Evidence</x:v>
      </x:c>
      <x:c r="C137" s="117" t="str">
        <x:v>Windows Build/Test/UiSmoke + 24h→72h + 实机断线/重启/故障恢复</x:v>
      </x:c>
      <x:c r="D137" s="117" t="str">
        <x:v>所有证据绑定同SourceEvidence/Release</x:v>
      </x:c>
      <x:c r="E137" s="117" t="str">
        <x:v>无P0架构/可靠性缺口</x:v>
      </x:c>
      <x:c r="F137" s="117" t="str">
        <x:v>Release package</x:v>
      </x:c>
      <x:c r="G137" s="117" t="str">
        <x:v>P0</x:v>
      </x:c>
      <x:c r="H137" s="117" t="str">
        <x:v>待执行</x:v>
      </x:c>
    </x:row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28" hidden="0" customWidth="1"/>
    <x:col min="4" max="4" width="34" hidden="0" customWidth="1"/>
    <x:col min="5" max="5" width="30" hidden="0" customWidth="1"/>
    <x:col min="6" max="6" width="20" hidden="0" customWidth="1"/>
    <x:col min="7" max="7" width="26" hidden="0" customWidth="1"/>
    <x:col min="8" max="8" width="30" hidden="0" customWidth="1"/>
    <x:col min="9" max="9" width="28" hidden="0" customWidth="1"/>
    <x:col min="10" max="10" width="28" hidden="0" customWidth="1"/>
    <x:col min="11" max="11" width="38" hidden="0" customWidth="1"/>
    <x:col min="12" max="12" width="12" hidden="0" customWidth="1"/>
    <x:col min="13" max="13" width="14" hidden="0" customWidth="1"/>
    <x:col min="15" max="15" width="16" hidden="0" customWidth="1"/>
    <x:col min="16" max="16" width="12" hidden="0" customWidth="1"/>
  </x:cols>
  <x:sheetData>
    <x:row r="1" ht="30" customHeight="1">
      <x:c r="A1" s="137" t="str">
        <x:v>CxVisual 开发追踪矩阵 — V6.4 唯一真实状态源</x:v>
      </x:c>
      <x:c r="B1" s="137"/>
      <x:c r="C1" s="137"/>
      <x:c r="D1" s="137"/>
      <x:c r="E1" s="137"/>
      <x:c r="F1" s="137"/>
      <x:c r="G1" s="137"/>
      <x:c r="H1" s="137"/>
      <x:c r="I1" s="137"/>
      <x:c r="J1" s="137"/>
      <x:c r="K1" s="137"/>
      <x:c r="L1" s="137"/>
      <x:c r="M1" s="137"/>
      <x:c r="N1" s="140"/>
      <x:c r="O1" s="140"/>
      <x:c r="P1" s="140"/>
    </x:row>
    <x:row r="2" ht="38" customHeight="1">
      <x:c r="A2" s="16" t="str">
        <x:v>所有任务的真实Status、Priority、DoD与测试门禁只在本页维护；其他设计页不得手工维护完成状态。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O2" s="74" t="str">
        <x:v>状态摘要</x:v>
      </x:c>
      <x:c r="P2" s="74"/>
      <x:c r="Q2" s="74"/>
    </x:row>
    <x:row r="3">
      <x:c r="A3" s="30" t="str">
        <x:v>本页唯一权威</x:v>
      </x:c>
      <x:c r="B3" s="31" t="str">
        <x:v>Task编号、阶段、事项、模块、DesignRef、实现动作、测试/门禁、DoD、优先级、状态。</x:v>
      </x:c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O3" s="75" t="str">
        <x:v>状态</x:v>
      </x:c>
      <x:c r="P3" s="75" t="str">
        <x:v>数量</x:v>
      </x:c>
      <x:c r="Q3" s="76"/>
    </x:row>
    <x:row r="4">
      <x:c r="A4" s="30" t="str">
        <x:v>不在本页维护</x:v>
      </x:c>
      <x:c r="B4" s="31" t="str">
        <x:v>功能定义（见02）、Domain设计细节（见27~39）、阶段目标（见40）、测试标准（见26）。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O4" s="76" t="str">
        <x:v>待完成</x:v>
      </x:c>
      <x:c r="P4" s="76" t="n">
        <x:f>COUNTIF($M$9:$M$260,"待完成")</x:f>
        <x:v>239</x:v>
      </x:c>
      <x:c r="Q4" s="76"/>
    </x:row>
    <x:row r="5">
      <x:c r="A5" s="30" t="str">
        <x:v>关联分页</x:v>
      </x:c>
      <x:c r="B5" s="31" t="str">
        <x:v>02能力索引；26测试门禁；40开发路线；49_V6.4同步审计；46/50通用变量。</x:v>
      </x:c>
      <x:c r="C5" s="31"/>
      <x:c r="D5" s="31"/>
      <x:c r="E5" s="31"/>
      <x:c r="F5" s="31"/>
      <x:c r="G5" s="31"/>
      <x:c r="H5" s="31"/>
      <x:c r="I5" s="31"/>
      <x:c r="J5" s="31"/>
      <x:c r="K5" s="31"/>
      <x:c r="L5" s="31"/>
      <x:c r="M5" s="31"/>
      <x:c r="O5" s="76" t="str">
        <x:v>进行中</x:v>
      </x:c>
      <x:c r="P5" s="76" t="n">
        <x:f>COUNTIF($M$9:$M$260,"进行中")</x:f>
        <x:v>1</x:v>
      </x:c>
      <x:c r="Q5" s="76"/>
    </x:row>
    <x:row r="6">
      <x:c r="A6"/>
      <x:c r="B6"/>
      <x:c r="C6"/>
      <x:c r="D6"/>
      <x:c r="E6"/>
      <x:c r="F6"/>
      <x:c r="G6"/>
      <x:c r="H6"/>
      <x:c r="I6"/>
      <x:c r="J6"/>
      <x:c r="K6"/>
      <x:c r="L6"/>
      <x:c r="M6"/>
      <x:c r="O6" s="76" t="str">
        <x:v>已完成</x:v>
      </x:c>
      <x:c r="P6" s="76" t="n">
        <x:f>COUNTIF($M$9:$M$260,"已完成")</x:f>
        <x:v>12</x:v>
      </x:c>
      <x:c r="Q6" s="76"/>
    </x:row>
    <x:row r="7" ht="24" customHeight="1">
      <x:c r="A7" s="40" t="str">
        <x:v>A. 唯一开发状态源</x:v>
      </x:c>
      <x:c r="B7" s="40"/>
      <x:c r="C7" s="40"/>
      <x:c r="D7" s="40"/>
      <x:c r="E7" s="40"/>
      <x:c r="F7" s="40"/>
      <x:c r="G7" s="40"/>
      <x:c r="H7" s="40"/>
      <x:c r="I7" s="40"/>
      <x:c r="J7" s="40"/>
      <x:c r="K7" s="40"/>
      <x:c r="L7" s="40"/>
      <x:c r="M7" s="40"/>
      <x:c r="O7" s="76" t="str">
        <x:v>阻塞</x:v>
      </x:c>
      <x:c r="P7" s="76" t="n">
        <x:f>COUNTIF($M$9:$M$260,"阻塞")</x:f>
        <x:v>0</x:v>
      </x:c>
      <x:c r="Q7" s="76"/>
    </x:row>
    <x:row r="8" ht="28" customHeight="1">
      <x:c r="A8" s="50" t="str">
        <x:v>编号</x:v>
      </x:c>
      <x:c r="B8" s="50" t="str">
        <x:v>阶段</x:v>
      </x:c>
      <x:c r="C8" s="50" t="str">
        <x:v>核心事项</x:v>
      </x:c>
      <x:c r="D8" s="50" t="str">
        <x:v>正式定位</x:v>
      </x:c>
      <x:c r="E8" s="50" t="str">
        <x:v>关键类/接口</x:v>
      </x:c>
      <x:c r="F8" s="50" t="str">
        <x:v>模块</x:v>
      </x:c>
      <x:c r="G8" s="50" t="str">
        <x:v>DesignRef</x:v>
      </x:c>
      <x:c r="H8" s="50" t="str">
        <x:v>实现动作</x:v>
      </x:c>
      <x:c r="I8" s="50" t="str">
        <x:v>Studio/Runtime落点</x:v>
      </x:c>
      <x:c r="J8" s="50" t="str">
        <x:v>测试/门禁</x:v>
      </x:c>
      <x:c r="K8" s="50" t="str">
        <x:v>DoD摘要</x:v>
      </x:c>
      <x:c r="L8" s="50" t="str">
        <x:v>优先级</x:v>
      </x:c>
      <x:c r="M8" s="50" t="str">
        <x:v>状态</x:v>
      </x:c>
      <x:c r="O8" s="76"/>
      <x:c r="P8" s="76"/>
      <x:c r="Q8" s="76"/>
    </x:row>
    <x:row r="9">
      <x:c r="A9" s="58" t="n">
        <x:v>1</x:v>
      </x:c>
      <x:c r="B9" s="58" t="str">
        <x:v>M1</x:v>
      </x:c>
      <x:c r="C9" s="58" t="str">
        <x:v>ElementModel</x:v>
      </x:c>
      <x:c r="D9" s="58" t="str">
        <x:v>所有视觉对象共同基座</x:v>
      </x:c>
      <x:c r="E9" s="58" t="str">
        <x:v>CxVisual.Core/Elements.cs / ElementModel</x:v>
      </x:c>
      <x:c r="F9" s="58" t="str">
        <x:v>Core</x:v>
      </x:c>
      <x:c r="G9" s="58" t="str">
        <x:v>01/03 Visual &amp; Architecture</x:v>
      </x:c>
      <x:c r="H9" s="58" t="str">
        <x:v>增强</x:v>
      </x:c>
      <x:c r="I9" s="58" t="str">
        <x:v>Core/Platform</x:v>
      </x:c>
      <x:c r="J9" s="58" t="str">
        <x:v>架构/单元/集成</x:v>
      </x:c>
      <x:c r="K9" s="58" t="str">
        <x:v>不能演变成万能 Dictionary Element；不让所有对象继承 Symbol</x:v>
      </x:c>
      <x:c r="L9" s="58" t="str">
        <x:v>P0</x:v>
      </x:c>
      <x:c r="M9" s="58" t="str">
        <x:v>待完成</x:v>
      </x:c>
      <x:c r="O9" s="75" t="str">
        <x:v>阶段</x:v>
      </x:c>
      <x:c r="P9" s="75" t="str">
        <x:v>数量</x:v>
      </x:c>
      <x:c r="Q9" s="76"/>
    </x:row>
    <x:row r="10">
      <x:c r="A10" s="66" t="n">
        <x:v>2</x:v>
      </x:c>
      <x:c r="B10" s="66" t="str">
        <x:v>M1</x:v>
      </x:c>
      <x:c r="C10" s="66" t="str">
        <x:v>ElementTypeIds</x:v>
      </x:c>
      <x:c r="D10" s="66" t="str">
        <x:v>持久化稳定 TypeId 契约</x:v>
      </x:c>
      <x:c r="E10" s="66" t="str">
        <x:v>CxVisual.Core/Metadata.cs / ElementTypeIds</x:v>
      </x:c>
      <x:c r="F10" s="66" t="str">
        <x:v>Core.Metadata</x:v>
      </x:c>
      <x:c r="G10" s="66" t="str">
        <x:v>01/03 Visual &amp; Architecture</x:v>
      </x:c>
      <x:c r="H10" s="66" t="str">
        <x:v>保留</x:v>
      </x:c>
      <x:c r="I10" s="66" t="str">
        <x:v>Core/Platform</x:v>
      </x:c>
      <x:c r="J10" s="66" t="str">
        <x:v>架构/单元/集成</x:v>
      </x:c>
      <x:c r="K10" s="66" t="str">
        <x:v>旧工程 JSON 继续可打开</x:v>
      </x:c>
      <x:c r="L10" s="66" t="str">
        <x:v>P0</x:v>
      </x:c>
      <x:c r="M10" s="66" t="str">
        <x:v>待完成</x:v>
      </x:c>
      <x:c r="O10" s="76" t="str">
        <x:v>M1</x:v>
      </x:c>
      <x:c r="P10" s="76" t="n">
        <x:f>COUNTIF($B$9:$B$250,"M1")</x:f>
        <x:v>33</x:v>
      </x:c>
      <x:c r="Q10" s="76"/>
    </x:row>
    <x:row r="11">
      <x:c r="A11" s="58" t="n">
        <x:v>3</x:v>
      </x:c>
      <x:c r="B11" s="58" t="str">
        <x:v>M1</x:v>
      </x:c>
      <x:c r="C11" s="58" t="str">
        <x:v>ElementCategoryIds</x:v>
      </x:c>
      <x:c r="D11" s="58" t="str">
        <x:v>产品/工具箱 7 类分类契约</x:v>
      </x:c>
      <x:c r="E11" s="58" t="str">
        <x:v>ElementCategoryIds</x:v>
      </x:c>
      <x:c r="F11" s="58" t="str">
        <x:v>Core.Metadata</x:v>
      </x:c>
      <x:c r="G11" s="58" t="str">
        <x:v>01/03 Visual &amp; Architecture</x:v>
      </x:c>
      <x:c r="H11" s="58" t="str">
        <x:v>新增/固化</x:v>
      </x:c>
      <x:c r="I11" s="58" t="str">
        <x:v>Core/Platform</x:v>
      </x:c>
      <x:c r="J11" s="58" t="str">
        <x:v>架构/单元/集成</x:v>
      </x:c>
      <x:c r="K11" s="58" t="str">
        <x:v>不再把 Dynamic 作为第八类</x:v>
      </x:c>
      <x:c r="L11" s="58" t="str">
        <x:v>P0</x:v>
      </x:c>
      <x:c r="M11" s="58" t="str">
        <x:v>待完成</x:v>
      </x:c>
      <x:c r="O11" s="76" t="str">
        <x:v>M2</x:v>
      </x:c>
      <x:c r="P11" s="76" t="n">
        <x:f>COUNTIF($B$9:$B$250,"M2")</x:f>
        <x:v>52</x:v>
      </x:c>
      <x:c r="Q11" s="76"/>
    </x:row>
    <x:row r="12">
      <x:c r="A12" s="66" t="n">
        <x:v>4</x:v>
      </x:c>
      <x:c r="B12" s="66" t="str">
        <x:v>M1</x:v>
      </x:c>
      <x:c r="C12" s="66" t="str">
        <x:v>ElementDescriptorCatalog</x:v>
      </x:c>
      <x:c r="D12" s="66" t="str">
        <x:v>描述元素“是什么”</x:v>
      </x:c>
      <x:c r="E12" s="66" t="str">
        <x:v>ElementDescriptor / ElementDescriptorCatalog</x:v>
      </x:c>
      <x:c r="F12" s="66" t="str">
        <x:v>Core.Metadata</x:v>
      </x:c>
      <x:c r="G12" s="66" t="str">
        <x:v>01/03 Visual &amp; Architecture</x:v>
      </x:c>
      <x:c r="H12" s="66" t="str">
        <x:v>新增/增强</x:v>
      </x:c>
      <x:c r="I12" s="66" t="str">
        <x:v>Core/Platform</x:v>
      </x:c>
      <x:c r="J12" s="66" t="str">
        <x:v>架构/单元/集成</x:v>
      </x:c>
      <x:c r="K12" s="66" t="str">
        <x:v>工具箱和属性面板不再靠散落硬编码</x:v>
      </x:c>
      <x:c r="L12" s="66" t="str">
        <x:v>P0</x:v>
      </x:c>
      <x:c r="M12" s="66" t="str">
        <x:v>待完成</x:v>
      </x:c>
      <x:c r="O12" s="76" t="str">
        <x:v>M3</x:v>
      </x:c>
      <x:c r="P12" s="76" t="n">
        <x:f>COUNTIF($B$9:$B$250,"M3")</x:f>
        <x:v>27</x:v>
      </x:c>
      <x:c r="Q12" s="76"/>
    </x:row>
    <x:row r="13">
      <x:c r="A13" s="58" t="n">
        <x:v>5</x:v>
      </x:c>
      <x:c r="B13" s="58" t="str">
        <x:v>M1</x:v>
      </x:c>
      <x:c r="C13" s="58" t="str">
        <x:v>ElementFactoryRegistry</x:v>
      </x:c>
      <x:c r="D13" s="58" t="str">
        <x:v>TypeId → ElementModel 创建注册表</x:v>
      </x:c>
      <x:c r="E13" s="58" t="str">
        <x:v>ElementFactoryRegistry / BuiltInElementFactories</x:v>
      </x:c>
      <x:c r="F13" s="58" t="str">
        <x:v>Core</x:v>
      </x:c>
      <x:c r="G13" s="58" t="str">
        <x:v>01/03 Visual &amp; Architecture</x:v>
      </x:c>
      <x:c r="H13" s="58" t="str">
        <x:v>保留增强</x:v>
      </x:c>
      <x:c r="I13" s="58" t="str">
        <x:v>Core/Platform</x:v>
      </x:c>
      <x:c r="J13" s="58" t="str">
        <x:v>架构/单元/集成</x:v>
      </x:c>
      <x:c r="K13" s="58" t="str">
        <x:v>Descriptor、Factory、Renderer 三者职责严格分开</x:v>
      </x:c>
      <x:c r="L13" s="58" t="str">
        <x:v>P0</x:v>
      </x:c>
      <x:c r="M13" s="58" t="str">
        <x:v>待完成</x:v>
      </x:c>
      <x:c r="O13" s="76" t="str">
        <x:v>M4</x:v>
      </x:c>
      <x:c r="P13" s="76" t="n">
        <x:f>COUNTIF($B$9:$B$250,"M4")</x:f>
        <x:v>29</x:v>
      </x:c>
      <x:c r="Q13" s="76"/>
    </x:row>
    <x:row r="14">
      <x:c r="A14" s="66" t="n">
        <x:v>6</x:v>
      </x:c>
      <x:c r="B14" s="66" t="str">
        <x:v>M1</x:v>
      </x:c>
      <x:c r="C14" s="66" t="str">
        <x:v>ElementRendererRegistry</x:v>
      </x:c>
      <x:c r="D14" s="66" t="str">
        <x:v>TypeId → Renderer 注册表</x:v>
      </x:c>
      <x:c r="E14" s="66" t="str">
        <x:v>ElementRendererRegistry / BuiltInElementRenderers</x:v>
      </x:c>
      <x:c r="F14" s="66" t="str">
        <x:v>Rendering.Wpf</x:v>
      </x:c>
      <x:c r="G14" s="66" t="str">
        <x:v>08 Renderer/Geometry</x:v>
      </x:c>
      <x:c r="H14" s="66" t="str">
        <x:v>保留增强</x:v>
      </x:c>
      <x:c r="I14" s="66" t="str">
        <x:v>Core/Platform</x:v>
      </x:c>
      <x:c r="J14" s="66" t="str">
        <x:v>架构/单元/集成</x:v>
      </x:c>
      <x:c r="K14" s="66" t="str">
        <x:v>Renderer 不解释 PLC/State/Script 规则</x:v>
      </x:c>
      <x:c r="L14" s="66" t="str">
        <x:v>P0</x:v>
      </x:c>
      <x:c r="M14" s="66" t="str">
        <x:v>待完成</x:v>
      </x:c>
      <x:c r="O14" s="76" t="str">
        <x:v>M5</x:v>
      </x:c>
      <x:c r="P14" s="76" t="n">
        <x:f>COUNTIF($B$9:$B$250,"M5")</x:f>
        <x:v>33</x:v>
      </x:c>
      <x:c r="Q14" s="76"/>
    </x:row>
    <x:row r="15">
      <x:c r="A15" s="58" t="n">
        <x:v>7</x:v>
      </x:c>
      <x:c r="B15" s="58" t="str">
        <x:v>M1</x:v>
      </x:c>
      <x:c r="C15" s="58" t="str">
        <x:v>PropertyKeys</x:v>
      </x:c>
      <x:c r="D15" s="58" t="str">
        <x:v>运行属性稳定键契约</x:v>
      </x:c>
      <x:c r="E15" s="58" t="str">
        <x:v>PropertyKeys</x:v>
      </x:c>
      <x:c r="F15" s="58" t="str">
        <x:v>Core</x:v>
      </x:c>
      <x:c r="G15" s="58" t="str">
        <x:v>10 Property/Metadata/Binding</x:v>
      </x:c>
      <x:c r="H15" s="58" t="str">
        <x:v>增强</x:v>
      </x:c>
      <x:c r="I15" s="58" t="str">
        <x:v>Core/Platform</x:v>
      </x:c>
      <x:c r="J15" s="58" t="str">
        <x:v>架构/单元/集成</x:v>
      </x:c>
      <x:c r="K15" s="58" t="str">
        <x:v>PropertyKey 一旦持久化/映射后不能随意改名</x:v>
      </x:c>
      <x:c r="L15" s="58" t="str">
        <x:v>P0</x:v>
      </x:c>
      <x:c r="M15" s="58" t="str">
        <x:v>待完成</x:v>
      </x:c>
      <x:c r="O15" s="76" t="str">
        <x:v>M6</x:v>
      </x:c>
      <x:c r="P15" s="76" t="n">
        <x:f>COUNTIF($B$9:$B$250,"M6")</x:f>
        <x:v>22</x:v>
      </x:c>
      <x:c r="Q15" s="76"/>
    </x:row>
    <x:row r="16">
      <x:c r="A16" s="66" t="n">
        <x:v>8</x:v>
      </x:c>
      <x:c r="B16" s="66" t="str">
        <x:v>M1</x:v>
      </x:c>
      <x:c r="C16" s="66" t="str">
        <x:v>PropertyMetadataRegistry</x:v>
      </x:c>
      <x:c r="D16" s="66" t="str">
        <x:v>属性元数据中心</x:v>
      </x:c>
      <x:c r="E16" s="66" t="str">
        <x:v>PropertyMetadataRegistry / BuiltInPropertyMetadata</x:v>
      </x:c>
      <x:c r="F16" s="66" t="str">
        <x:v>Core.Metadata</x:v>
      </x:c>
      <x:c r="G16" s="66" t="str">
        <x:v>10 Property/Metadata/Binding</x:v>
      </x:c>
      <x:c r="H16" s="66" t="str">
        <x:v>新增/增强</x:v>
      </x:c>
      <x:c r="I16" s="66" t="str">
        <x:v>Core/Platform</x:v>
      </x:c>
      <x:c r="J16" s="66" t="str">
        <x:v>架构/单元/集成</x:v>
      </x:c>
      <x:c r="K16" s="66" t="str">
        <x:v>属性面板由元数据驱动</x:v>
      </x:c>
      <x:c r="L16" s="66" t="str">
        <x:v>P0</x:v>
      </x:c>
      <x:c r="M16" s="66" t="str">
        <x:v>待完成</x:v>
      </x:c>
      <x:c r="O16" s="76" t="str">
        <x:v>M7</x:v>
      </x:c>
      <x:c r="P16" s="76" t="n">
        <x:f>COUNTIF($B$9:$B$250,"M7")</x:f>
        <x:v>28</x:v>
      </x:c>
      <x:c r="Q16" s="76"/>
    </x:row>
    <x:row r="17">
      <x:c r="A17" s="58" t="n">
        <x:v>9</x:v>
      </x:c>
      <x:c r="B17" s="58" t="str">
        <x:v>M1</x:v>
      </x:c>
      <x:c r="C17" s="58" t="str">
        <x:v>CapabilityFlags</x:v>
      </x:c>
      <x:c r="D17" s="58" t="str">
        <x:v>横向运行能力声明</x:v>
      </x:c>
      <x:c r="E17" s="58" t="str">
        <x:v>ElementCapability / Descriptor.Capabilities</x:v>
      </x:c>
      <x:c r="F17" s="58" t="str">
        <x:v>Core.Metadata</x:v>
      </x:c>
      <x:c r="G17" s="58" t="str">
        <x:v>22 Graph Integration/Resource</x:v>
      </x:c>
      <x:c r="H17" s="58" t="str">
        <x:v>新增/固化</x:v>
      </x:c>
      <x:c r="I17" s="58" t="str">
        <x:v>Core/Platform</x:v>
      </x:c>
      <x:c r="J17" s="58" t="str">
        <x:v>架构/单元/集成</x:v>
      </x:c>
      <x:c r="K17" s="58" t="str">
        <x:v>避免 DynamicXxx 类型爆炸</x:v>
      </x:c>
      <x:c r="L17" s="58" t="str">
        <x:v>P0</x:v>
      </x:c>
      <x:c r="M17" s="58" t="str">
        <x:v>待完成</x:v>
      </x:c>
      <x:c r="O17" s="76" t="str">
        <x:v>RC</x:v>
      </x:c>
      <x:c r="P17" s="76" t="n">
        <x:f>COUNTIF($B$9:$B$250,"RC")</x:f>
        <x:v>10</x:v>
      </x:c>
      <x:c r="Q17" s="76"/>
    </x:row>
    <x:row r="18">
      <x:c r="A18" s="66" t="n">
        <x:v>10</x:v>
      </x:c>
      <x:c r="B18" s="66" t="str">
        <x:v>M1</x:v>
      </x:c>
      <x:c r="C18" s="66" t="str">
        <x:v>Alias / Tags</x:v>
      </x:c>
      <x:c r="D18" s="66" t="str">
        <x:v>稳定名称与检索元数据</x:v>
      </x:c>
      <x:c r="E18" s="66" t="str">
        <x:v>ElementModel.Alias / Tags</x:v>
      </x:c>
      <x:c r="F18" s="66" t="str">
        <x:v>Core</x:v>
      </x:c>
      <x:c r="G18" s="66" t="str">
        <x:v>17 SCADA</x:v>
      </x:c>
      <x:c r="H18" s="66" t="str">
        <x:v>新增/增强</x:v>
      </x:c>
      <x:c r="I18" s="66" t="str">
        <x:v>Designer</x:v>
      </x:c>
      <x:c r="J18" s="66" t="str">
        <x:v>架构/单元/集成</x:v>
      </x:c>
      <x:c r="K18" s="66" t="str">
        <x:v>重命名显示名称不破坏稳定引用；M1固化契约/核心索引，M2接入Designer搜索/定位或Symbol编辑流程</x:v>
      </x:c>
      <x:c r="L18" s="66" t="str">
        <x:v>P1</x:v>
      </x:c>
      <x:c r="M18" s="66" t="str">
        <x:v>待完成</x:v>
      </x:c>
      <x:c r="O18" s="76"/>
      <x:c r="P18" s="76"/>
      <x:c r="Q18" s="76"/>
    </x:row>
    <x:row r="19">
      <x:c r="A19" s="58" t="n">
        <x:v>11</x:v>
      </x:c>
      <x:c r="B19" s="58" t="str">
        <x:v>M1</x:v>
      </x:c>
      <x:c r="C19" s="58" t="str">
        <x:v>DesignRole / SemanticRoles</x:v>
      </x:c>
      <x:c r="D19" s="58" t="str">
        <x:v>对象角色语义</x:v>
      </x:c>
      <x:c r="E19" s="58" t="str">
        <x:v>DesignRole / SemanticRoles</x:v>
      </x:c>
      <x:c r="F19" s="58" t="str">
        <x:v>Core</x:v>
      </x:c>
      <x:c r="G19" s="58" t="str">
        <x:v>07 Studio/Designer</x:v>
      </x:c>
      <x:c r="H19" s="58" t="str">
        <x:v>新增/增强</x:v>
      </x:c>
      <x:c r="I19" s="58" t="str">
        <x:v>Designer</x:v>
      </x:c>
      <x:c r="J19" s="58" t="str">
        <x:v>架构/单元/集成</x:v>
      </x:c>
      <x:c r="K19" s="58" t="str">
        <x:v>Role 不改变 CLR 类型；与 Layer 分离；M1固化契约/核心索引，M2接入Designer搜索/定位或Symbol编辑流程</x:v>
      </x:c>
      <x:c r="L19" s="58" t="str">
        <x:v>P1</x:v>
      </x:c>
      <x:c r="M19" s="58" t="str">
        <x:v>待完成</x:v>
      </x:c>
      <x:c r="O19" t="str">
        <x:v>V6.x阶段</x:v>
      </x:c>
      <x:c r="P19" t="str">
        <x:v>数量</x:v>
      </x:c>
    </x:row>
    <x:row r="20">
      <x:c r="A20" s="66" t="n">
        <x:v>12</x:v>
      </x:c>
      <x:c r="B20" s="66" t="str">
        <x:v>M1</x:v>
      </x:c>
      <x:c r="C20" s="66" t="str">
        <x:v>LayerModel</x:v>
      </x:c>
      <x:c r="D20" s="66" t="str">
        <x:v>设计组织层</x:v>
      </x:c>
      <x:c r="E20" s="66" t="str">
        <x:v>LayerModel</x:v>
      </x:c>
      <x:c r="F20" s="66" t="str">
        <x:v>Core/Designer</x:v>
      </x:c>
      <x:c r="G20" s="66" t="str">
        <x:v>07 Studio/Designer</x:v>
      </x:c>
      <x:c r="H20" s="66" t="str">
        <x:v>增强</x:v>
      </x:c>
      <x:c r="I20" s="66" t="str">
        <x:v>Designer</x:v>
      </x:c>
      <x:c r="J20" s="66" t="str">
        <x:v>架构/单元/集成</x:v>
      </x:c>
      <x:c r="K20" s="66" t="str">
        <x:v>Layer 是编辑组织；Role 是语义，二者正交；M1固化契约/核心索引，M2接入Designer搜索/定位或Symbol编辑流程</x:v>
      </x:c>
      <x:c r="L20" s="66" t="str">
        <x:v>P1</x:v>
      </x:c>
      <x:c r="M20" s="66" t="str">
        <x:v>待完成</x:v>
      </x:c>
      <x:c r="O20" t="str">
        <x:v>V6.0</x:v>
      </x:c>
      <x:c r="P20" t="n">
        <x:f>COUNTIF($B$9:$B$260,"V6.0")</x:f>
        <x:v>1</x:v>
      </x:c>
    </x:row>
    <x:row r="21">
      <x:c r="A21" s="58" t="n">
        <x:v>13</x:v>
      </x:c>
      <x:c r="B21" s="58" t="str">
        <x:v>M1</x:v>
      </x:c>
      <x:c r="C21" s="58" t="str">
        <x:v>ElementSemanticClassifier</x:v>
      </x:c>
      <x:c r="D21" s="58" t="str">
        <x:v>设计语义分类器</x:v>
      </x:c>
      <x:c r="E21" s="58" t="str">
        <x:v>ElementSemanticClassifier</x:v>
      </x:c>
      <x:c r="F21" s="58" t="str">
        <x:v>Designer.Application</x:v>
      </x:c>
      <x:c r="G21" s="58" t="str">
        <x:v>07 Studio/Designer</x:v>
      </x:c>
      <x:c r="H21" s="58" t="str">
        <x:v>新增</x:v>
      </x:c>
      <x:c r="I21" s="58" t="str">
        <x:v>Designer</x:v>
      </x:c>
      <x:c r="J21" s="58" t="str">
        <x:v>架构/单元/集成</x:v>
      </x:c>
      <x:c r="K21" s="58" t="str">
        <x:v>背景或 Ignore 对象默认不能被误封装进 Symbol；M1固化契约/核心索引，M2接入Designer搜索/定位或Symbol编辑流程</x:v>
      </x:c>
      <x:c r="L21" s="58" t="str">
        <x:v>P1</x:v>
      </x:c>
      <x:c r="M21" s="58" t="str">
        <x:v>待完成</x:v>
      </x:c>
      <x:c r="O21" t="str">
        <x:v>V6.1</x:v>
      </x:c>
      <x:c r="P21" t="n">
        <x:f>COUNTIF($B$9:$B$260,"V6.1")</x:f>
        <x:v>3</x:v>
      </x:c>
    </x:row>
    <x:row r="22">
      <x:c r="A22" s="66" t="n">
        <x:v>14</x:v>
      </x:c>
      <x:c r="B22" s="66" t="str">
        <x:v>M1</x:v>
      </x:c>
      <x:c r="C22" s="66" t="str">
        <x:v>ProjectObjectIndex</x:v>
      </x:c>
      <x:c r="D22" s="66" t="str">
        <x:v>工程对象快速索引</x:v>
      </x:c>
      <x:c r="E22" s="66" t="str">
        <x:v>ProjectObjectIndex</x:v>
      </x:c>
      <x:c r="F22" s="66" t="str">
        <x:v>Designer.Application/Core</x:v>
      </x:c>
      <x:c r="G22" s="66" t="str">
        <x:v>07 Studio/Designer</x:v>
      </x:c>
      <x:c r="H22" s="66" t="str">
        <x:v>新增</x:v>
      </x:c>
      <x:c r="I22" s="66" t="str">
        <x:v>Designer</x:v>
      </x:c>
      <x:c r="J22" s="66" t="str">
        <x:v>架构/单元/集成</x:v>
      </x:c>
      <x:c r="K22" s="66" t="str">
        <x:v>状态变化或脚本查找对象不递归扫全工程；M1固化契约/核心索引，M2接入Designer搜索/定位或Symbol编辑流程</x:v>
      </x:c>
      <x:c r="L22" s="66" t="str">
        <x:v>P0</x:v>
      </x:c>
      <x:c r="M22" s="66" t="str">
        <x:v>待完成</x:v>
      </x:c>
      <x:c r="O22" t="str">
        <x:v>V6.2</x:v>
      </x:c>
      <x:c r="P22" t="n">
        <x:f>COUNTIF($B$9:$B$260,"V6.2")</x:f>
        <x:v>2</x:v>
      </x:c>
    </x:row>
    <x:row r="23">
      <x:c r="A23" s="58" t="n">
        <x:v>15</x:v>
      </x:c>
      <x:c r="B23" s="58" t="str">
        <x:v>M1</x:v>
      </x:c>
      <x:c r="C23" s="58" t="str">
        <x:v>SymbolObjectIndex</x:v>
      </x:c>
      <x:c r="D23" s="58" t="str">
        <x:v>Symbol Definition 内部索引</x:v>
      </x:c>
      <x:c r="E23" s="58" t="str">
        <x:v>SymbolObjectIndex</x:v>
      </x:c>
      <x:c r="F23" s="58" t="str">
        <x:v>Core/Runtime.Core</x:v>
      </x:c>
      <x:c r="G23" s="58" t="str">
        <x:v>11 Symbol</x:v>
      </x:c>
      <x:c r="H23" s="58" t="str">
        <x:v>新增</x:v>
      </x:c>
      <x:c r="I23" s="58" t="str">
        <x:v>Designer</x:v>
      </x:c>
      <x:c r="J23" s="58" t="str">
        <x:v>架构/单元/集成</x:v>
      </x:c>
      <x:c r="K23" s="58" t="str">
        <x:v>PropertyMapping/Action/Script 可稳定定位内部对象；M1固化契约/核心索引，M2接入Designer搜索/定位或Symbol编辑流程</x:v>
      </x:c>
      <x:c r="L23" s="58" t="str">
        <x:v>P0</x:v>
      </x:c>
      <x:c r="M23" s="58" t="str">
        <x:v>待完成</x:v>
      </x:c>
      <x:c r="O23" t="str">
        <x:v>V6.3</x:v>
      </x:c>
      <x:c r="P23" t="n">
        <x:f>COUNTIF($B$9:$B$260,"V6.3")</x:f>
        <x:v>1</x:v>
      </x:c>
    </x:row>
    <x:row r="24">
      <x:c r="A24" s="66" t="n">
        <x:v>16</x:v>
      </x:c>
      <x:c r="B24" s="66" t="str">
        <x:v>M1</x:v>
      </x:c>
      <x:c r="C24" s="66" t="str">
        <x:v>RuntimeObjectRegistry</x:v>
      </x:c>
      <x:c r="D24" s="66" t="str">
        <x:v>运行态对象注册表</x:v>
      </x:c>
      <x:c r="E24" s="66" t="str">
        <x:v>RuntimeObjectRegistry</x:v>
      </x:c>
      <x:c r="F24" s="66" t="str">
        <x:v>Runtime.Core</x:v>
      </x:c>
      <x:c r="G24" s="66" t="str">
        <x:v>03/04 Platform</x:v>
      </x:c>
      <x:c r="H24" s="66" t="str">
        <x:v>新增</x:v>
      </x:c>
      <x:c r="I24" s="66" t="str">
        <x:v>Runtime</x:v>
      </x:c>
      <x:c r="J24" s="66" t="str">
        <x:v>架构/单元/集成</x:v>
      </x:c>
      <x:c r="K24" s="66" t="str">
        <x:v>Runtime 查找 O(1) 为主，不依赖每次遍历工程；M1固化Runtime寻址/注册契约，M3接入完整运行链</x:v>
      </x:c>
      <x:c r="L24" s="66" t="str">
        <x:v>P0</x:v>
      </x:c>
      <x:c r="M24" s="66" t="str">
        <x:v>待完成</x:v>
      </x:c>
      <x:c r="O24" t="str">
        <x:v>V6.4</x:v>
      </x:c>
      <x:c r="P24" t="n">
        <x:f>COUNTIF($B$9:$B$260,"V6.4")</x:f>
        <x:v>9</x:v>
      </x:c>
    </x:row>
    <x:row r="25">
      <x:c r="A25" s="58" t="n">
        <x:v>17</x:v>
      </x:c>
      <x:c r="B25" s="58" t="str">
        <x:v>M1</x:v>
      </x:c>
      <x:c r="C25" s="58" t="str">
        <x:v>RuntimeElementAddress</x:v>
      </x:c>
      <x:c r="D25" s="58" t="str">
        <x:v>运行对象稳定地址</x:v>
      </x:c>
      <x:c r="E25" s="58" t="str">
        <x:v>RuntimeElementAddress</x:v>
      </x:c>
      <x:c r="F25" s="58" t="str">
        <x:v>Runtime.Core</x:v>
      </x:c>
      <x:c r="G25" s="58" t="str">
        <x:v>01/03 Visual &amp; Architecture</x:v>
      </x:c>
      <x:c r="H25" s="58" t="str">
        <x:v>新增/固化</x:v>
      </x:c>
      <x:c r="I25" s="58" t="str">
        <x:v>Runtime</x:v>
      </x:c>
      <x:c r="J25" s="58" t="str">
        <x:v>架构/单元/集成</x:v>
      </x:c>
      <x:c r="K25" s="58" t="str">
        <x:v>同一 Definition 多实例绝不串状态；M1固化Runtime寻址/注册契约，M3接入完整运行链</x:v>
      </x:c>
      <x:c r="L25" s="58" t="str">
        <x:v>P0</x:v>
      </x:c>
      <x:c r="M25" s="58" t="str">
        <x:v>待完成</x:v>
      </x:c>
      <x:c r="O25" t="str">
        <x:v>V6.5</x:v>
      </x:c>
      <x:c r="P25" t="n">
        <x:f>COUNTIF($B$9:$B$260,"V6.5")</x:f>
        <x:v>2</x:v>
      </x:c>
    </x:row>
    <x:row r="26">
      <x:c r="A26" s="66" t="n">
        <x:v>18</x:v>
      </x:c>
      <x:c r="B26" s="66" t="str">
        <x:v>M1</x:v>
      </x:c>
      <x:c r="C26" s="66" t="str">
        <x:v>ElementTypeAliasRegistry</x:v>
      </x:c>
      <x:c r="D26" s="66" t="str">
        <x:v>旧 TypeId 兼容别名</x:v>
      </x:c>
      <x:c r="E26" s="66" t="str">
        <x:v>ElementTypeAliasRegistry</x:v>
      </x:c>
      <x:c r="F26" s="66" t="str">
        <x:v>Serialization/Core.Metadata</x:v>
      </x:c>
      <x:c r="G26" s="66" t="str">
        <x:v>12 Project/Schema</x:v>
      </x:c>
      <x:c r="H26" s="66" t="str">
        <x:v>新增</x:v>
      </x:c>
      <x:c r="I26" s="66" t="str">
        <x:v>Core/Platform</x:v>
      </x:c>
      <x:c r="J26" s="66" t="str">
        <x:v>架构/单元/集成</x:v>
      </x:c>
      <x:c r="K26" s="66" t="str">
        <x:v>禁止一次性全局替换旧 TypeId</x:v>
      </x:c>
      <x:c r="L26" s="66" t="str">
        <x:v>P1</x:v>
      </x:c>
      <x:c r="M26" s="66" t="str">
        <x:v>待完成</x:v>
      </x:c>
      <x:c r="O26" t="str">
        <x:v>总计</x:v>
      </x:c>
      <x:c r="P26" t="n">
        <x:f>SUM(P20:P25)</x:f>
        <x:v>18</x:v>
      </x:c>
    </x:row>
    <x:row r="27">
      <x:c r="A27" s="58" t="n">
        <x:v>19</x:v>
      </x:c>
      <x:c r="B27" s="58" t="str">
        <x:v>M1</x:v>
      </x:c>
      <x:c r="C27" s="58" t="str">
        <x:v>UnknownElementModel</x:v>
      </x:c>
      <x:c r="D27" s="58" t="str">
        <x:v>未知类型保底</x:v>
      </x:c>
      <x:c r="E27" s="58" t="str">
        <x:v>UnknownElementModel / ElementModelConverter</x:v>
      </x:c>
      <x:c r="F27" s="58" t="str">
        <x:v>Serialization/Core</x:v>
      </x:c>
      <x:c r="G27" s="58" t="str">
        <x:v>12 Project/Schema</x:v>
      </x:c>
      <x:c r="H27" s="58" t="str">
        <x:v>保留</x:v>
      </x:c>
      <x:c r="I27" s="58" t="str">
        <x:v>Core/Platform</x:v>
      </x:c>
      <x:c r="J27" s="58" t="str">
        <x:v>架构/单元/集成</x:v>
      </x:c>
      <x:c r="K27" s="58" t="str">
        <x:v>打开未知工程时不破坏原始数据</x:v>
      </x:c>
      <x:c r="L27" s="58" t="str">
        <x:v>P0</x:v>
      </x:c>
      <x:c r="M27" s="58" t="str">
        <x:v>待完成</x:v>
      </x:c>
    </x:row>
    <x:row r="28">
      <x:c r="A28" s="66" t="n">
        <x:v>20</x:v>
      </x:c>
      <x:c r="B28" s="66" t="str">
        <x:v>M1</x:v>
      </x:c>
      <x:c r="C28" s="66" t="str">
        <x:v>Primitive / Display / Control / Chart / Container / Media 边界</x:v>
      </x:c>
      <x:c r="D28" s="66" t="str">
        <x:v>七类内部边界</x:v>
      </x:c>
      <x:c r="E28" s="66" t="str">
        <x:v>Descriptor + 专用 Model/Host</x:v>
      </x:c>
      <x:c r="F28" s="66" t="str">
        <x:v>全局架构</x:v>
      </x:c>
      <x:c r="G28" s="66" t="str">
        <x:v>03/04 Platform</x:v>
      </x:c>
      <x:c r="H28" s="66" t="str">
        <x:v>定版</x:v>
      </x:c>
      <x:c r="I28" s="66" t="str">
        <x:v>Core/Platform</x:v>
      </x:c>
      <x:c r="J28" s="66" t="str">
        <x:v>架构/单元/集成</x:v>
      </x:c>
      <x:c r="K28" s="66" t="str">
        <x:v>新增类型必须先过边界判断</x:v>
      </x:c>
      <x:c r="L28" s="66" t="str">
        <x:v>P0</x:v>
      </x:c>
      <x:c r="M28" s="66" t="str">
        <x:v>待完成</x:v>
      </x:c>
    </x:row>
    <x:row r="29">
      <x:c r="A29" s="58" t="n">
        <x:v>21</x:v>
      </x:c>
      <x:c r="B29" s="58" t="str">
        <x:v>M2</x:v>
      </x:c>
      <x:c r="C29" s="58" t="str">
        <x:v>GroupElementModel</x:v>
      </x:c>
      <x:c r="D29" s="58" t="str">
        <x:v>临时编辑组合</x:v>
      </x:c>
      <x:c r="E29" s="58" t="str">
        <x:v>GroupElementModel</x:v>
      </x:c>
      <x:c r="F29" s="58" t="str">
        <x:v>Core/Rendering</x:v>
      </x:c>
      <x:c r="G29" s="58" t="str">
        <x:v>07 Studio/Designer</x:v>
      </x:c>
      <x:c r="H29" s="58" t="str">
        <x:v>保留增强</x:v>
      </x:c>
      <x:c r="I29" s="58" t="str">
        <x:v>Designer</x:v>
      </x:c>
      <x:c r="J29" s="58" t="str">
        <x:v>架构/单元/集成</x:v>
      </x:c>
      <x:c r="K29" s="58" t="str">
        <x:v>Group 永远不是 Symbol</x:v>
      </x:c>
      <x:c r="L29" s="58" t="str">
        <x:v>P0</x:v>
      </x:c>
      <x:c r="M29" s="58" t="str">
        <x:v>待完成</x:v>
      </x:c>
    </x:row>
    <x:row r="30">
      <x:c r="A30" s="66" t="n">
        <x:v>22</x:v>
      </x:c>
      <x:c r="B30" s="66" t="str">
        <x:v>M2</x:v>
      </x:c>
      <x:c r="C30" s="66" t="str">
        <x:v>Group 局部坐标</x:v>
      </x:c>
      <x:c r="D30" s="66" t="str">
        <x:v>Group 几何基础</x:v>
      </x:c>
      <x:c r="E30" s="66" t="str">
        <x:v>GroupElementModel / GroupCommands</x:v>
      </x:c>
      <x:c r="F30" s="66" t="str">
        <x:v>Commands/Core</x:v>
      </x:c>
      <x:c r="G30" s="66" t="str">
        <x:v>09 Command/Undo</x:v>
      </x:c>
      <x:c r="H30" s="66" t="str">
        <x:v>增强</x:v>
      </x:c>
      <x:c r="I30" s="66" t="str">
        <x:v>Designer</x:v>
      </x:c>
      <x:c r="J30" s="66" t="str">
        <x:v>架构/单元/集成</x:v>
      </x:c>
      <x:c r="K30" s="66" t="str">
        <x:v>整体缩放后子对象几何正确</x:v>
      </x:c>
      <x:c r="L30" s="66" t="str">
        <x:v>P0</x:v>
      </x:c>
      <x:c r="M30" s="66" t="str">
        <x:v>待完成</x:v>
      </x:c>
    </x:row>
    <x:row r="31">
      <x:c r="A31" s="58" t="n">
        <x:v>23</x:v>
      </x:c>
      <x:c r="B31" s="58" t="str">
        <x:v>M2</x:v>
      </x:c>
      <x:c r="C31" s="58" t="str">
        <x:v>Group / Ungroup Commands</x:v>
      </x:c>
      <x:c r="D31" s="58" t="str">
        <x:v>组合事务与撤销</x:v>
      </x:c>
      <x:c r="E31" s="58" t="str">
        <x:v>GroupCommand / UngroupCommand / CompositeCommand</x:v>
      </x:c>
      <x:c r="F31" s="58" t="str">
        <x:v>Commands</x:v>
      </x:c>
      <x:c r="G31" s="58" t="str">
        <x:v>09 Command/Undo</x:v>
      </x:c>
      <x:c r="H31" s="58" t="str">
        <x:v>新增/增强</x:v>
      </x:c>
      <x:c r="I31" s="58" t="str">
        <x:v>Designer</x:v>
      </x:c>
      <x:c r="J31" s="58" t="str">
        <x:v>架构/单元/集成</x:v>
      </x:c>
      <x:c r="K31" s="58" t="str">
        <x:v>反复 Group/Ungroup 后工程不漂移</x:v>
      </x:c>
      <x:c r="L31" s="58" t="str">
        <x:v>P0</x:v>
      </x:c>
      <x:c r="M31" s="58" t="str">
        <x:v>待完成</x:v>
      </x:c>
    </x:row>
    <x:row r="32">
      <x:c r="A32" s="66" t="n">
        <x:v>24</x:v>
      </x:c>
      <x:c r="B32" s="66" t="str">
        <x:v>M2</x:v>
      </x:c>
      <x:c r="C32" s="66" t="str">
        <x:v>Group → Symbol 入口</x:v>
      </x:c>
      <x:c r="D32" s="66" t="str">
        <x:v>正式创建链路</x:v>
      </x:c>
      <x:c r="E32" s="66" t="str">
        <x:v>Designer command / SymbolAuthoringService</x:v>
      </x:c>
      <x:c r="F32" s="66" t="str">
        <x:v>Designer.Application</x:v>
      </x:c>
      <x:c r="G32" s="66" t="str">
        <x:v>11 Symbol</x:v>
      </x:c>
      <x:c r="H32" s="66" t="str">
        <x:v>新增/固化</x:v>
      </x:c>
      <x:c r="I32" s="66" t="str">
        <x:v>Designer</x:v>
      </x:c>
      <x:c r="J32" s="66" t="str">
        <x:v>架构/单元/集成</x:v>
      </x:c>
      <x:c r="K32" s="66" t="str">
        <x:v>用户流程与内部模型一致</x:v>
      </x:c>
      <x:c r="L32" s="66" t="str">
        <x:v>P0</x:v>
      </x:c>
      <x:c r="M32" s="66" t="str">
        <x:v>待完成</x:v>
      </x:c>
    </x:row>
    <x:row r="33">
      <x:c r="A33" s="58" t="n">
        <x:v>25</x:v>
      </x:c>
      <x:c r="B33" s="58" t="str">
        <x:v>M2</x:v>
      </x:c>
      <x:c r="C33" s="58" t="str">
        <x:v>SymbolDefinition</x:v>
      </x:c>
      <x:c r="D33" s="58" t="str">
        <x:v>符号模板/定义</x:v>
      </x:c>
      <x:c r="E33" s="58" t="str">
        <x:v>SymbolDefinition</x:v>
      </x:c>
      <x:c r="F33" s="58" t="str">
        <x:v>Core</x:v>
      </x:c>
      <x:c r="G33" s="58" t="str">
        <x:v>11 Symbol</x:v>
      </x:c>
      <x:c r="H33" s="58" t="str">
        <x:v>新增/增强</x:v>
      </x:c>
      <x:c r="I33" s="58" t="str">
        <x:v>Designer</x:v>
      </x:c>
      <x:c r="J33" s="58" t="str">
        <x:v>架构/单元/集成</x:v>
      </x:c>
      <x:c r="K33" s="58" t="str">
        <x:v>Definition 不直接占页面</x:v>
      </x:c>
      <x:c r="L33" s="58" t="str">
        <x:v>P0</x:v>
      </x:c>
      <x:c r="M33" s="58" t="str">
        <x:v>待完成</x:v>
      </x:c>
    </x:row>
    <x:row r="34">
      <x:c r="A34" s="66" t="n">
        <x:v>26</x:v>
      </x:c>
      <x:c r="B34" s="66" t="str">
        <x:v>M2</x:v>
      </x:c>
      <x:c r="C34" s="66" t="str">
        <x:v>SymbolInstanceElementModel</x:v>
      </x:c>
      <x:c r="D34" s="66" t="str">
        <x:v>页面 Symbol 实例</x:v>
      </x:c>
      <x:c r="E34" s="66" t="str">
        <x:v>SymbolInstanceElementModel</x:v>
      </x:c>
      <x:c r="F34" s="66" t="str">
        <x:v>Core</x:v>
      </x:c>
      <x:c r="G34" s="66" t="str">
        <x:v>11 Symbol</x:v>
      </x:c>
      <x:c r="H34" s="66" t="str">
        <x:v>新增/增强</x:v>
      </x:c>
      <x:c r="I34" s="66" t="str">
        <x:v>Designer</x:v>
      </x:c>
      <x:c r="J34" s="66" t="str">
        <x:v>架构/单元/集成</x:v>
      </x:c>
      <x:c r="K34" s="66" t="str">
        <x:v>页面不复制完整 Definition.Children</x:v>
      </x:c>
      <x:c r="L34" s="66" t="str">
        <x:v>P0</x:v>
      </x:c>
      <x:c r="M34" s="66" t="str">
        <x:v>待完成</x:v>
      </x:c>
    </x:row>
    <x:row r="35">
      <x:c r="A35" s="58" t="n">
        <x:v>27</x:v>
      </x:c>
      <x:c r="B35" s="58" t="str">
        <x:v>M2</x:v>
      </x:c>
      <x:c r="C35" s="58" t="str">
        <x:v>SymbolPropertyDefinition</x:v>
      </x:c>
      <x:c r="D35" s="58" t="str">
        <x:v>Symbol 对外公开属性</x:v>
      </x:c>
      <x:c r="E35" s="58" t="str">
        <x:v>SymbolPropertyDefinition</x:v>
      </x:c>
      <x:c r="F35" s="58" t="str">
        <x:v>Core</x:v>
      </x:c>
      <x:c r="G35" s="58" t="str">
        <x:v>11 Symbol</x:v>
      </x:c>
      <x:c r="H35" s="58" t="str">
        <x:v>新增</x:v>
      </x:c>
      <x:c r="I35" s="58" t="str">
        <x:v>Designer</x:v>
      </x:c>
      <x:c r="J35" s="58" t="str">
        <x:v>架构/单元/集成</x:v>
      </x:c>
      <x:c r="K35" s="58" t="str">
        <x:v>外部逻辑只通过公开接口控制内部</x:v>
      </x:c>
      <x:c r="L35" s="58" t="str">
        <x:v>P0</x:v>
      </x:c>
      <x:c r="M35" s="58" t="str">
        <x:v>待完成</x:v>
      </x:c>
    </x:row>
    <x:row r="36">
      <x:c r="A36" s="66" t="n">
        <x:v>28</x:v>
      </x:c>
      <x:c r="B36" s="66" t="str">
        <x:v>M2</x:v>
      </x:c>
      <x:c r="C36" s="66" t="str">
        <x:v>SymbolPropertyMapping</x:v>
      </x:c>
      <x:c r="D36" s="66" t="str">
        <x:v>公开属性 → 内部属性映射</x:v>
      </x:c>
      <x:c r="E36" s="66" t="str">
        <x:v>SymbolPropertyMapping</x:v>
      </x:c>
      <x:c r="F36" s="66" t="str">
        <x:v>Core/Runtime.Core</x:v>
      </x:c>
      <x:c r="G36" s="66" t="str">
        <x:v>11 Symbol</x:v>
      </x:c>
      <x:c r="H36" s="66" t="str">
        <x:v>增强</x:v>
      </x:c>
      <x:c r="I36" s="66" t="str">
        <x:v>Designer</x:v>
      </x:c>
      <x:c r="J36" s="66" t="str">
        <x:v>架构/单元/集成</x:v>
      </x:c>
      <x:c r="K36" s="66" t="str">
        <x:v>允许一对多映射；Role 歧义必须报错</x:v>
      </x:c>
      <x:c r="L36" s="66" t="str">
        <x:v>P0</x:v>
      </x:c>
      <x:c r="M36" s="66" t="str">
        <x:v>待完成</x:v>
      </x:c>
    </x:row>
    <x:row r="37">
      <x:c r="A37" s="58" t="n">
        <x:v>29</x:v>
      </x:c>
      <x:c r="B37" s="58" t="str">
        <x:v>M2</x:v>
      </x:c>
      <x:c r="C37" s="58" t="str">
        <x:v>Symbol Instance Overrides</x:v>
      </x:c>
      <x:c r="D37" s="58" t="str">
        <x:v>实例覆盖</x:v>
      </x:c>
      <x:c r="E37" s="58" t="str">
        <x:v>PublicPropertyOverrides / InstanceOverrides</x:v>
      </x:c>
      <x:c r="F37" s="58" t="str">
        <x:v>Core/Serialization</x:v>
      </x:c>
      <x:c r="G37" s="58" t="str">
        <x:v>11 Symbol</x:v>
      </x:c>
      <x:c r="H37" s="58" t="str">
        <x:v>新增/增强</x:v>
      </x:c>
      <x:c r="I37" s="58" t="str">
        <x:v>Designer</x:v>
      </x:c>
      <x:c r="J37" s="58" t="str">
        <x:v>架构/单元/集成</x:v>
      </x:c>
      <x:c r="K37" s="58" t="str">
        <x:v>多个实例独立配置且不复制模板</x:v>
      </x:c>
      <x:c r="L37" s="58" t="str">
        <x:v>P0</x:v>
      </x:c>
      <x:c r="M37" s="58" t="str">
        <x:v>待完成</x:v>
      </x:c>
    </x:row>
    <x:row r="38">
      <x:c r="A38" s="66" t="n">
        <x:v>30</x:v>
      </x:c>
      <x:c r="B38" s="66" t="str">
        <x:v>M2</x:v>
      </x:c>
      <x:c r="C38" s="66" t="str">
        <x:v>SymbolDefinition Version</x:v>
      </x:c>
      <x:c r="D38" s="66" t="str">
        <x:v>定义版本与升级策略</x:v>
      </x:c>
      <x:c r="E38" s="66" t="str">
        <x:v>SymbolDefinition.Version / VersionPolicy</x:v>
      </x:c>
      <x:c r="F38" s="66" t="str">
        <x:v>Core/Serialization</x:v>
      </x:c>
      <x:c r="G38" s="66" t="str">
        <x:v>11 Symbol</x:v>
      </x:c>
      <x:c r="H38" s="66" t="str">
        <x:v>新增</x:v>
      </x:c>
      <x:c r="I38" s="66" t="str">
        <x:v>Designer</x:v>
      </x:c>
      <x:c r="J38" s="66" t="str">
        <x:v>架构/单元/集成</x:v>
      </x:c>
      <x:c r="K38" s="66" t="str">
        <x:v>Definition 升级不能静默改变已发布实例</x:v>
      </x:c>
      <x:c r="L38" s="66" t="str">
        <x:v>P1</x:v>
      </x:c>
      <x:c r="M38" s="66" t="str">
        <x:v>待完成</x:v>
      </x:c>
    </x:row>
    <x:row r="39">
      <x:c r="A39" s="58" t="n">
        <x:v>31</x:v>
      </x:c>
      <x:c r="B39" s="58" t="str">
        <x:v>M2</x:v>
      </x:c>
      <x:c r="C39" s="58" t="str">
        <x:v>SymbolAuthoringPolicy</x:v>
      </x:c>
      <x:c r="D39" s="58" t="str">
        <x:v>创建前边界校验</x:v>
      </x:c>
      <x:c r="E39" s="58" t="str">
        <x:v>SymbolAuthoringPolicy</x:v>
      </x:c>
      <x:c r="F39" s="58" t="str">
        <x:v>Designer.Application</x:v>
      </x:c>
      <x:c r="G39" s="58" t="str">
        <x:v>11 Symbol</x:v>
      </x:c>
      <x:c r="H39" s="58" t="str">
        <x:v>新增</x:v>
      </x:c>
      <x:c r="I39" s="58" t="str">
        <x:v>Designer</x:v>
      </x:c>
      <x:c r="J39" s="58" t="str">
        <x:v>架构/单元/集成</x:v>
      </x:c>
      <x:c r="K39" s="58" t="str">
        <x:v>非法封装在创建前失败并给出原因</x:v>
      </x:c>
      <x:c r="L39" s="58" t="str">
        <x:v>P0</x:v>
      </x:c>
      <x:c r="M39" s="58" t="str">
        <x:v>待完成</x:v>
      </x:c>
    </x:row>
    <x:row r="40">
      <x:c r="A40" s="66" t="n">
        <x:v>32</x:v>
      </x:c>
      <x:c r="B40" s="66" t="str">
        <x:v>M2</x:v>
      </x:c>
      <x:c r="C40" s="66" t="str">
        <x:v>CreateSymbolCommand</x:v>
      </x:c>
      <x:c r="D40" s="66" t="str">
        <x:v>创建 Symbol 单事务</x:v>
      </x:c>
      <x:c r="E40" s="66" t="str">
        <x:v>CreateSymbolCommand / CompositeCommand</x:v>
      </x:c>
      <x:c r="F40" s="66" t="str">
        <x:v>Commands</x:v>
      </x:c>
      <x:c r="G40" s="66" t="str">
        <x:v>11 Symbol</x:v>
      </x:c>
      <x:c r="H40" s="66" t="str">
        <x:v>新增/增强</x:v>
      </x:c>
      <x:c r="I40" s="66" t="str">
        <x:v>Designer</x:v>
      </x:c>
      <x:c r="J40" s="66" t="str">
        <x:v>架构/单元/集成</x:v>
      </x:c>
      <x:c r="K40" s="66" t="str">
        <x:v>一步 Undo 完整恢复原 Group</x:v>
      </x:c>
      <x:c r="L40" s="66" t="str">
        <x:v>P0</x:v>
      </x:c>
      <x:c r="M40" s="66" t="str">
        <x:v>待完成</x:v>
      </x:c>
    </x:row>
    <x:row r="41">
      <x:c r="A41" s="58" t="n">
        <x:v>33</x:v>
      </x:c>
      <x:c r="B41" s="58" t="str">
        <x:v>M2</x:v>
      </x:c>
      <x:c r="C41" s="58" t="str">
        <x:v>SymbolAuthoringService</x:v>
      </x:c>
      <x:c r="D41" s="58" t="str">
        <x:v>设计器 Symbol 创建服务</x:v>
      </x:c>
      <x:c r="E41" s="58" t="str">
        <x:v>SymbolAuthoringService</x:v>
      </x:c>
      <x:c r="F41" s="58" t="str">
        <x:v>Designer.Application</x:v>
      </x:c>
      <x:c r="G41" s="58" t="str">
        <x:v>11 Symbol</x:v>
      </x:c>
      <x:c r="H41" s="58" t="str">
        <x:v>新增/增强</x:v>
      </x:c>
      <x:c r="I41" s="58" t="str">
        <x:v>Designer</x:v>
      </x:c>
      <x:c r="J41" s="58" t="str">
        <x:v>架构/单元/集成</x:v>
      </x:c>
      <x:c r="K41" s="58" t="str">
        <x:v>创建流程可测试、可诊断，不写在 View 后台代码</x:v>
      </x:c>
      <x:c r="L41" s="58" t="str">
        <x:v>P0</x:v>
      </x:c>
      <x:c r="M41" s="58" t="str">
        <x:v>待完成</x:v>
      </x:c>
    </x:row>
    <x:row r="42">
      <x:c r="A42" s="66" t="n">
        <x:v>34</x:v>
      </x:c>
      <x:c r="B42" s="66" t="str">
        <x:v>M2</x:v>
      </x:c>
      <x:c r="C42" s="66" t="str">
        <x:v>Symbol Catalog / Library</x:v>
      </x:c>
      <x:c r="D42" s="66" t="str">
        <x:v>工程/用户符号库</x:v>
      </x:c>
      <x:c r="E42" s="66" t="str">
        <x:v>SymbolDefinitionCatalog / Library Service</x:v>
      </x:c>
      <x:c r="F42" s="66" t="str">
        <x:v>Designer.Application/PackageStore</x:v>
      </x:c>
      <x:c r="G42" s="66" t="str">
        <x:v>11 Symbol</x:v>
      </x:c>
      <x:c r="H42" s="66" t="str">
        <x:v>新增/增强</x:v>
      </x:c>
      <x:c r="I42" s="66" t="str">
        <x:v>Designer</x:v>
      </x:c>
      <x:c r="J42" s="66" t="str">
        <x:v>架构/单元/集成</x:v>
      </x:c>
      <x:c r="K42" s="66" t="str">
        <x:v>项目符号可复用，发布是独立动作</x:v>
      </x:c>
      <x:c r="L42" s="66" t="str">
        <x:v>P1</x:v>
      </x:c>
      <x:c r="M42" s="66" t="str">
        <x:v>待完成</x:v>
      </x:c>
    </x:row>
    <x:row r="43">
      <x:c r="A43" s="58" t="n">
        <x:v>35</x:v>
      </x:c>
      <x:c r="B43" s="58" t="str">
        <x:v>M2</x:v>
      </x:c>
      <x:c r="C43" s="58" t="str">
        <x:v>RuntimePropertyStore</x:v>
      </x:c>
      <x:c r="D43" s="58" t="str">
        <x:v>运行值分层存储核心</x:v>
      </x:c>
      <x:c r="E43" s="58" t="str">
        <x:v>RuntimePropertyStore</x:v>
      </x:c>
      <x:c r="F43" s="58" t="str">
        <x:v>Runtime.Core</x:v>
      </x:c>
      <x:c r="G43" s="58" t="str">
        <x:v>03/04 Platform</x:v>
      </x:c>
      <x:c r="H43" s="58" t="str">
        <x:v>增强</x:v>
      </x:c>
      <x:c r="I43" s="58" t="str">
        <x:v>Runtime</x:v>
      </x:c>
      <x:c r="J43" s="58" t="str">
        <x:v>架构/单元/集成</x:v>
      </x:c>
      <x:c r="K43" s="58" t="str">
        <x:v>Clear 上层后自动回退下层值</x:v>
      </x:c>
      <x:c r="L43" s="58" t="str">
        <x:v>P0</x:v>
      </x:c>
      <x:c r="M43" s="58" t="str">
        <x:v>待完成</x:v>
      </x:c>
    </x:row>
    <x:row r="44">
      <x:c r="A44" s="66" t="n">
        <x:v>36</x:v>
      </x:c>
      <x:c r="B44" s="66" t="str">
        <x:v>M2</x:v>
      </x:c>
      <x:c r="C44" s="66" t="str">
        <x:v>RuntimePropertyResolver</x:v>
      </x:c>
      <x:c r="D44" s="66" t="str">
        <x:v>最终属性解析器</x:v>
      </x:c>
      <x:c r="E44" s="66" t="str">
        <x:v>RuntimePropertyResolver</x:v>
      </x:c>
      <x:c r="F44" s="66" t="str">
        <x:v>Runtime.Core</x:v>
      </x:c>
      <x:c r="G44" s="66" t="str">
        <x:v>03/04 Platform</x:v>
      </x:c>
      <x:c r="H44" s="66" t="str">
        <x:v>新增/增强</x:v>
      </x:c>
      <x:c r="I44" s="66" t="str">
        <x:v>Runtime</x:v>
      </x:c>
      <x:c r="J44" s="66" t="str">
        <x:v>架构/单元/集成</x:v>
      </x:c>
      <x:c r="K44" s="66" t="str">
        <x:v>Renderer 不直接访问变量、不跑规则</x:v>
      </x:c>
      <x:c r="L44" s="66" t="str">
        <x:v>P0</x:v>
      </x:c>
      <x:c r="M44" s="66" t="str">
        <x:v>待完成</x:v>
      </x:c>
    </x:row>
    <x:row r="45">
      <x:c r="A45" s="58" t="n">
        <x:v>37</x:v>
      </x:c>
      <x:c r="B45" s="58" t="str">
        <x:v>M2</x:v>
      </x:c>
      <x:c r="C45" s="58" t="str">
        <x:v>Runtime Layer Priority</x:v>
      </x:c>
      <x:c r="D45" s="58" t="str">
        <x:v>运行属性优先级</x:v>
      </x:c>
      <x:c r="E45" s="58" t="str">
        <x:v>RuntimePropertyLayer / ResolvedValue.Source</x:v>
      </x:c>
      <x:c r="F45" s="58" t="str">
        <x:v>Runtime.Core</x:v>
      </x:c>
      <x:c r="G45" s="58" t="str">
        <x:v>07 Studio/Designer</x:v>
      </x:c>
      <x:c r="H45" s="58" t="str">
        <x:v>固化</x:v>
      </x:c>
      <x:c r="I45" s="58" t="str">
        <x:v>Runtime</x:v>
      </x:c>
      <x:c r="J45" s="58" t="str">
        <x:v>架构/单元/集成</x:v>
      </x:c>
      <x:c r="K45" s="58" t="str">
        <x:v>覆盖关系可解释、可诊断、可 Clear</x:v>
      </x:c>
      <x:c r="L45" s="58" t="str">
        <x:v>P0</x:v>
      </x:c>
      <x:c r="M45" s="58" t="str">
        <x:v>待完成</x:v>
      </x:c>
    </x:row>
    <x:row r="46">
      <x:c r="A46" s="66" t="n">
        <x:v>38</x:v>
      </x:c>
      <x:c r="B46" s="66" t="str">
        <x:v>M2</x:v>
      </x:c>
      <x:c r="C46" s="66" t="str">
        <x:v>BindingModel</x:v>
      </x:c>
      <x:c r="D46" s="66" t="str">
        <x:v>绑定配置模型</x:v>
      </x:c>
      <x:c r="E46" s="66" t="str">
        <x:v>BindingModel / TagBindingModel / PropertyBindingModel / ExpressionBindingModel</x:v>
      </x:c>
      <x:c r="F46" s="66" t="str">
        <x:v>Core</x:v>
      </x:c>
      <x:c r="G46" s="66" t="str">
        <x:v>10 Property/Metadata/Binding</x:v>
      </x:c>
      <x:c r="H46" s="66" t="str">
        <x:v>保留增强</x:v>
      </x:c>
      <x:c r="I46" s="66" t="str">
        <x:v>Runtime</x:v>
      </x:c>
      <x:c r="J46" s="66" t="str">
        <x:v>架构/单元/集成</x:v>
      </x:c>
      <x:c r="K46" s="66" t="str">
        <x:v>绑定配置持久化，运行值不写回 DesignModel</x:v>
      </x:c>
      <x:c r="L46" s="66" t="str">
        <x:v>P0</x:v>
      </x:c>
      <x:c r="M46" s="66" t="str">
        <x:v>待完成</x:v>
      </x:c>
    </x:row>
    <x:row r="47">
      <x:c r="A47" s="58" t="n">
        <x:v>39</x:v>
      </x:c>
      <x:c r="B47" s="58" t="str">
        <x:v>M2</x:v>
      </x:c>
      <x:c r="C47" s="58" t="str">
        <x:v>BindingCompiler</x:v>
      </x:c>
      <x:c r="D47" s="58" t="str">
        <x:v>绑定编译</x:v>
      </x:c>
      <x:c r="E47" s="58" t="str">
        <x:v>BindingCompiler / BindingPlan</x:v>
      </x:c>
      <x:c r="F47" s="58" t="str">
        <x:v>Runtime.Core</x:v>
      </x:c>
      <x:c r="G47" s="58" t="str">
        <x:v>10 Property/Metadata/Binding</x:v>
      </x:c>
      <x:c r="H47" s="58" t="str">
        <x:v>保留增强</x:v>
      </x:c>
      <x:c r="I47" s="58" t="str">
        <x:v>Runtime</x:v>
      </x:c>
      <x:c r="J47" s="58" t="str">
        <x:v>架构/单元/集成</x:v>
      </x:c>
      <x:c r="K47" s="58" t="str">
        <x:v>无效绑定不能拖垮整个 Runtime</x:v>
      </x:c>
      <x:c r="L47" s="58" t="str">
        <x:v>P0</x:v>
      </x:c>
      <x:c r="M47" s="58" t="str">
        <x:v>待完成</x:v>
      </x:c>
    </x:row>
    <x:row r="48">
      <x:c r="A48" s="66" t="n">
        <x:v>40</x:v>
      </x:c>
      <x:c r="B48" s="66" t="str">
        <x:v>M2</x:v>
      </x:c>
      <x:c r="C48" s="66" t="str">
        <x:v>BindingResolverRegistry</x:v>
      </x:c>
      <x:c r="D48" s="66" t="str">
        <x:v>绑定解析器注册</x:v>
      </x:c>
      <x:c r="E48" s="66" t="str">
        <x:v>BindingResolverRegistry / IBindingResolver</x:v>
      </x:c>
      <x:c r="F48" s="66" t="str">
        <x:v>Runtime.Core</x:v>
      </x:c>
      <x:c r="G48" s="66" t="str">
        <x:v>10 Property/Metadata/Binding</x:v>
      </x:c>
      <x:c r="H48" s="66" t="str">
        <x:v>保留增强</x:v>
      </x:c>
      <x:c r="I48" s="66" t="str">
        <x:v>Runtime</x:v>
      </x:c>
      <x:c r="J48" s="66" t="str">
        <x:v>架构/单元/集成</x:v>
      </x:c>
      <x:c r="K48" s="66" t="str">
        <x:v>新绑定类型不修改主运行循环</x:v>
      </x:c>
      <x:c r="L48" s="66" t="str">
        <x:v>P1</x:v>
      </x:c>
      <x:c r="M48" s="66" t="str">
        <x:v>待完成</x:v>
      </x:c>
    </x:row>
    <x:row r="49">
      <x:c r="A49" s="58" t="n">
        <x:v>41</x:v>
      </x:c>
      <x:c r="B49" s="58" t="str">
        <x:v>M2</x:v>
      </x:c>
      <x:c r="C49" s="58" t="str">
        <x:v>RestrictedExpression</x:v>
      </x:c>
      <x:c r="D49" s="58" t="str">
        <x:v>受限表达式能力</x:v>
      </x:c>
      <x:c r="E49" s="58" t="str">
        <x:v>RestrictedExpression</x:v>
      </x:c>
      <x:c r="F49" s="58" t="str">
        <x:v>Runtime.Core</x:v>
      </x:c>
      <x:c r="G49" s="58" t="str">
        <x:v>03/04 Platform</x:v>
      </x:c>
      <x:c r="H49" s="58" t="str">
        <x:v>保留增强</x:v>
      </x:c>
      <x:c r="I49" s="58" t="str">
        <x:v>Runtime</x:v>
      </x:c>
      <x:c r="J49" s="58" t="str">
        <x:v>架构/单元/集成</x:v>
      </x:c>
      <x:c r="K49" s="58" t="str">
        <x:v>表达式可缓存、可诊断、不能任意执行代码</x:v>
      </x:c>
      <x:c r="L49" s="58" t="str">
        <x:v>P1</x:v>
      </x:c>
      <x:c r="M49" s="58" t="str">
        <x:v>待完成</x:v>
      </x:c>
    </x:row>
    <x:row r="50">
      <x:c r="A50" s="66" t="n">
        <x:v>42</x:v>
      </x:c>
      <x:c r="B50" s="66" t="str">
        <x:v>M2</x:v>
      </x:c>
      <x:c r="C50" s="66" t="str">
        <x:v>StateRuleModel</x:v>
      </x:c>
      <x:c r="D50" s="66" t="str">
        <x:v>状态规则模型</x:v>
      </x:c>
      <x:c r="E50" s="66" t="str">
        <x:v>StateRuleModel</x:v>
      </x:c>
      <x:c r="F50" s="66" t="str">
        <x:v>Core</x:v>
      </x:c>
      <x:c r="G50" s="66" t="str">
        <x:v>03/04 Platform</x:v>
      </x:c>
      <x:c r="H50" s="66" t="str">
        <x:v>新增/增强</x:v>
      </x:c>
      <x:c r="I50" s="66" t="str">
        <x:v>Runtime</x:v>
      </x:c>
      <x:c r="J50" s="66" t="str">
        <x:v>架构/单元/集成</x:v>
      </x:c>
      <x:c r="K50" s="66" t="str">
        <x:v>规则本身持久化，结果写 State Runtime Layer</x:v>
      </x:c>
      <x:c r="L50" s="66" t="str">
        <x:v>P0</x:v>
      </x:c>
      <x:c r="M50" s="66" t="str">
        <x:v>待完成</x:v>
      </x:c>
    </x:row>
    <x:row r="51">
      <x:c r="A51" s="58" t="n">
        <x:v>43</x:v>
      </x:c>
      <x:c r="B51" s="58" t="str">
        <x:v>M2</x:v>
      </x:c>
      <x:c r="C51" s="58" t="str">
        <x:v>StateRuntime</x:v>
      </x:c>
      <x:c r="D51" s="58" t="str">
        <x:v>状态运行引擎</x:v>
      </x:c>
      <x:c r="E51" s="58" t="str">
        <x:v>StateRuntimeEngine</x:v>
      </x:c>
      <x:c r="F51" s="58" t="str">
        <x:v>Runtime.Core</x:v>
      </x:c>
      <x:c r="G51" s="58" t="str">
        <x:v>03/04 Platform</x:v>
      </x:c>
      <x:c r="H51" s="58" t="str">
        <x:v>新增/增强</x:v>
      </x:c>
      <x:c r="I51" s="58" t="str">
        <x:v>Runtime</x:v>
      </x:c>
      <x:c r="J51" s="58" t="str">
        <x:v>架构/单元/集成</x:v>
      </x:c>
      <x:c r="K51" s="58" t="str">
        <x:v>Fault 清除后恢复 Binding/Design，不污染 Model</x:v>
      </x:c>
      <x:c r="L51" s="58" t="str">
        <x:v>P0</x:v>
      </x:c>
      <x:c r="M51" s="58" t="str">
        <x:v>待完成</x:v>
      </x:c>
    </x:row>
    <x:row r="52">
      <x:c r="A52" s="66" t="n">
        <x:v>44</x:v>
      </x:c>
      <x:c r="B52" s="66" t="str">
        <x:v>M2</x:v>
      </x:c>
      <x:c r="C52" s="66" t="str">
        <x:v>AnimationDefinition</x:v>
      </x:c>
      <x:c r="D52" s="66" t="str">
        <x:v>动画定义</x:v>
      </x:c>
      <x:c r="E52" s="66" t="str">
        <x:v>AnimationDefinition</x:v>
      </x:c>
      <x:c r="F52" s="66" t="str">
        <x:v>Core</x:v>
      </x:c>
      <x:c r="G52" s="66" t="str">
        <x:v>03/04 Platform</x:v>
      </x:c>
      <x:c r="H52" s="66" t="str">
        <x:v>保留增强</x:v>
      </x:c>
      <x:c r="I52" s="66" t="str">
        <x:v>Runtime</x:v>
      </x:c>
      <x:c r="J52" s="66" t="str">
        <x:v>架构/单元/集成</x:v>
      </x:c>
      <x:c r="K52" s="66" t="str">
        <x:v>动画只是能力，不产生 Dynamic 类型</x:v>
      </x:c>
      <x:c r="L52" s="66" t="str">
        <x:v>P1</x:v>
      </x:c>
      <x:c r="M52" s="66" t="str">
        <x:v>待完成</x:v>
      </x:c>
    </x:row>
    <x:row r="53">
      <x:c r="A53" s="58" t="n">
        <x:v>45</x:v>
      </x:c>
      <x:c r="B53" s="58" t="str">
        <x:v>M2</x:v>
      </x:c>
      <x:c r="C53" s="58" t="str">
        <x:v>AnimationRuntime</x:v>
      </x:c>
      <x:c r="D53" s="58" t="str">
        <x:v>动画运行层</x:v>
      </x:c>
      <x:c r="E53" s="58" t="str">
        <x:v>AnimationScheduler / AnimationRuntime</x:v>
      </x:c>
      <x:c r="F53" s="58" t="str">
        <x:v>Runtime.Core</x:v>
      </x:c>
      <x:c r="G53" s="58" t="str">
        <x:v>03/04 Platform</x:v>
      </x:c>
      <x:c r="H53" s="58" t="str">
        <x:v>增强</x:v>
      </x:c>
      <x:c r="I53" s="58" t="str">
        <x:v>Runtime</x:v>
      </x:c>
      <x:c r="J53" s="58" t="str">
        <x:v>架构/单元/集成</x:v>
      </x:c>
      <x:c r="K53" s="58" t="str">
        <x:v>大量动画不卡 UI；不改设计值</x:v>
      </x:c>
      <x:c r="L53" s="58" t="str">
        <x:v>P1</x:v>
      </x:c>
      <x:c r="M53" s="58" t="str">
        <x:v>待完成</x:v>
      </x:c>
    </x:row>
    <x:row r="54">
      <x:c r="A54" s="66" t="n">
        <x:v>46</x:v>
      </x:c>
      <x:c r="B54" s="66" t="str">
        <x:v>M2</x:v>
      </x:c>
      <x:c r="C54" s="66" t="str">
        <x:v>EventBindingModel / EventRouter</x:v>
      </x:c>
      <x:c r="D54" s="66" t="str">
        <x:v>事件能力</x:v>
      </x:c>
      <x:c r="E54" s="66" t="str">
        <x:v>EventBindingModel / EventRouter</x:v>
      </x:c>
      <x:c r="F54" s="66" t="str">
        <x:v>Core/Runtime.Core</x:v>
      </x:c>
      <x:c r="G54" s="66" t="str">
        <x:v>10 Property/Metadata/Binding</x:v>
      </x:c>
      <x:c r="H54" s="66" t="str">
        <x:v>保留增强</x:v>
      </x:c>
      <x:c r="I54" s="66" t="str">
        <x:v>Runtime</x:v>
      </x:c>
      <x:c r="J54" s="66" t="str">
        <x:v>架构/单元/集成</x:v>
      </x:c>
      <x:c r="K54" s="66" t="str">
        <x:v>事件目录统一、异常隔离</x:v>
      </x:c>
      <x:c r="L54" s="66" t="str">
        <x:v>P1</x:v>
      </x:c>
      <x:c r="M54" s="66" t="str">
        <x:v>待完成</x:v>
      </x:c>
    </x:row>
    <x:row r="55">
      <x:c r="A55" s="58" t="n">
        <x:v>47</x:v>
      </x:c>
      <x:c r="B55" s="58" t="str">
        <x:v>M2</x:v>
      </x:c>
      <x:c r="C55" s="58" t="str">
        <x:v>ActionModel / ActionRuntime</x:v>
      </x:c>
      <x:c r="D55" s="58" t="str">
        <x:v>动作能力</x:v>
      </x:c>
      <x:c r="E55" s="58" t="str">
        <x:v>ActionModel / ActionEngine / ActionExecutorRegistry</x:v>
      </x:c>
      <x:c r="F55" s="58" t="str">
        <x:v>Runtime.Core</x:v>
      </x:c>
      <x:c r="G55" s="58" t="str">
        <x:v>03/04 Platform</x:v>
      </x:c>
      <x:c r="H55" s="58" t="str">
        <x:v>保留增强</x:v>
      </x:c>
      <x:c r="I55" s="58" t="str">
        <x:v>Runtime</x:v>
      </x:c>
      <x:c r="J55" s="58" t="str">
        <x:v>架构/单元/集成</x:v>
      </x:c>
      <x:c r="K55" s="58" t="str">
        <x:v>Script 调动作也走统一 ActionRuntime</x:v>
      </x:c>
      <x:c r="L55" s="58" t="str">
        <x:v>P1</x:v>
      </x:c>
      <x:c r="M55" s="58" t="str">
        <x:v>待完成</x:v>
      </x:c>
    </x:row>
    <x:row r="56">
      <x:c r="A56" s="66" t="n">
        <x:v>48</x:v>
      </x:c>
      <x:c r="B56" s="66" t="str">
        <x:v>M2</x:v>
      </x:c>
      <x:c r="C56" s="66" t="str">
        <x:v>Alarm Runtime</x:v>
      </x:c>
      <x:c r="D56" s="66" t="str">
        <x:v>报警作为状态来源</x:v>
      </x:c>
      <x:c r="E56" s="66" t="str">
        <x:v>AlarmDefinition / AlarmEngine</x:v>
      </x:c>
      <x:c r="F56" s="66" t="str">
        <x:v>Runtime.Core</x:v>
      </x:c>
      <x:c r="G56" s="66" t="str">
        <x:v>17 SCADA</x:v>
      </x:c>
      <x:c r="H56" s="66" t="str">
        <x:v>保留增强</x:v>
      </x:c>
      <x:c r="I56" s="66" t="str">
        <x:v>Runtime</x:v>
      </x:c>
      <x:c r="J56" s="66" t="str">
        <x:v>架构/单元/集成</x:v>
      </x:c>
      <x:c r="K56" s="66" t="str">
        <x:v>报警与视觉规则解耦</x:v>
      </x:c>
      <x:c r="L56" s="66" t="str">
        <x:v>P1</x:v>
      </x:c>
      <x:c r="M56" s="66" t="str">
        <x:v>待完成</x:v>
      </x:c>
    </x:row>
    <x:row r="57">
      <x:c r="A57" s="58" t="n">
        <x:v>49</x:v>
      </x:c>
      <x:c r="B57" s="58" t="str">
        <x:v>M2</x:v>
      </x:c>
      <x:c r="C57" s="58" t="str">
        <x:v>Permission / RuntimeGuard</x:v>
      </x:c>
      <x:c r="D57" s="58" t="str">
        <x:v>最终安全约束</x:v>
      </x:c>
      <x:c r="E57" s="58" t="str">
        <x:v>IAuthorizationService / Runtime Guard</x:v>
      </x:c>
      <x:c r="F57" s="58" t="str">
        <x:v>Integration/Runtime.Core</x:v>
      </x:c>
      <x:c r="G57" s="58" t="str">
        <x:v>14 Security</x:v>
      </x:c>
      <x:c r="H57" s="58" t="str">
        <x:v>新增/增强</x:v>
      </x:c>
      <x:c r="I57" s="58" t="str">
        <x:v>Runtime</x:v>
      </x:c>
      <x:c r="J57" s="58" t="str">
        <x:v>架构/单元/集成</x:v>
      </x:c>
      <x:c r="K57" s="58" t="str">
        <x:v>权限层优先级最高且不能被脚本覆盖</x:v>
      </x:c>
      <x:c r="L57" s="58" t="str">
        <x:v>P1</x:v>
      </x:c>
      <x:c r="M57" s="58" t="str">
        <x:v>待完成</x:v>
      </x:c>
    </x:row>
    <x:row r="58">
      <x:c r="A58" s="66" t="n">
        <x:v>50</x:v>
      </x:c>
      <x:c r="B58" s="66" t="str">
        <x:v>M2</x:v>
      </x:c>
      <x:c r="C58" s="66" t="str">
        <x:v>WritePipeline</x:v>
      </x:c>
      <x:c r="D58" s="66" t="str">
        <x:v>变量写入安全边界</x:v>
      </x:c>
      <x:c r="E58" s="66" t="str">
        <x:v>WritePipeline / IWritePolicy / IAuditService</x:v>
      </x:c>
      <x:c r="F58" s="66" t="str">
        <x:v>Runtime.Core/Integration</x:v>
      </x:c>
      <x:c r="G58" s="66" t="str">
        <x:v>14 Security</x:v>
      </x:c>
      <x:c r="H58" s="66" t="str">
        <x:v>保留增强</x:v>
      </x:c>
      <x:c r="I58" s="66" t="str">
        <x:v>Runtime</x:v>
      </x:c>
      <x:c r="J58" s="66" t="str">
        <x:v>架构/单元/集成</x:v>
      </x:c>
      <x:c r="K58" s="66" t="str">
        <x:v>Designer 仿真可轻量，生产 Host 必须走 Pipeline</x:v>
      </x:c>
      <x:c r="L58" s="66" t="str">
        <x:v>P0</x:v>
      </x:c>
      <x:c r="M58" s="66" t="str">
        <x:v>待完成</x:v>
      </x:c>
    </x:row>
    <x:row r="59">
      <x:c r="A59" s="58" t="n">
        <x:v>51</x:v>
      </x:c>
      <x:c r="B59" s="58" t="str">
        <x:v>M2</x:v>
      </x:c>
      <x:c r="C59" s="58" t="str">
        <x:v>ControlElementModel</x:v>
      </x:c>
      <x:c r="D59" s="58" t="str">
        <x:v>交互控件专用模型</x:v>
      </x:c>
      <x:c r="E59" s="58" t="str">
        <x:v>ControlElementModel / StandardUiElementModel</x:v>
      </x:c>
      <x:c r="F59" s="58" t="str">
        <x:v>Core</x:v>
      </x:c>
      <x:c r="G59" s="58" t="str">
        <x:v>01/03 Visual &amp; Architecture</x:v>
      </x:c>
      <x:c r="H59" s="58" t="str">
        <x:v>保留增强</x:v>
      </x:c>
      <x:c r="I59" s="58" t="str">
        <x:v>Runtime</x:v>
      </x:c>
      <x:c r="J59" s="58" t="str">
        <x:v>架构/单元/集成</x:v>
      </x:c>
      <x:c r="K59" s="58" t="str">
        <x:v>视觉可模板化，行为必须专用</x:v>
      </x:c>
      <x:c r="L59" s="58" t="str">
        <x:v>P1</x:v>
      </x:c>
      <x:c r="M59" s="58" t="str">
        <x:v>待完成</x:v>
      </x:c>
    </x:row>
    <x:row r="60">
      <x:c r="A60" s="66" t="n">
        <x:v>52</x:v>
      </x:c>
      <x:c r="B60" s="66" t="str">
        <x:v>M2</x:v>
      </x:c>
      <x:c r="C60" s="66" t="str">
        <x:v>StandardControlLayer</x:v>
      </x:c>
      <x:c r="D60" s="66" t="str">
        <x:v>真实 WPF 控件承载层</x:v>
      </x:c>
      <x:c r="E60" s="66" t="str">
        <x:v>StandardControlLayer</x:v>
      </x:c>
      <x:c r="F60" s="66" t="str">
        <x:v>Rendering.Wpf/Runtime.Wpf</x:v>
      </x:c>
      <x:c r="G60" s="66" t="str">
        <x:v>07 Studio/Designer</x:v>
      </x:c>
      <x:c r="H60" s="66" t="str">
        <x:v>保留增强</x:v>
      </x:c>
      <x:c r="I60" s="66" t="str">
        <x:v>Runtime</x:v>
      </x:c>
      <x:c r="J60" s="66" t="str">
        <x:v>架构/单元/集成</x:v>
      </x:c>
      <x:c r="K60" s="66" t="str">
        <x:v>控件生命周期和写回路径明确</x:v>
      </x:c>
      <x:c r="L60" s="66" t="str">
        <x:v>P1</x:v>
      </x:c>
      <x:c r="M60" s="66" t="str">
        <x:v>待完成</x:v>
      </x:c>
    </x:row>
    <x:row r="61">
      <x:c r="A61" s="58" t="n">
        <x:v>53</x:v>
      </x:c>
      <x:c r="B61" s="58" t="str">
        <x:v>M2</x:v>
      </x:c>
      <x:c r="C61" s="58" t="str">
        <x:v>ChartElementModel / ChartRuntimeEngine</x:v>
      </x:c>
      <x:c r="D61" s="58" t="str">
        <x:v>图表专用子系统</x:v>
      </x:c>
      <x:c r="E61" s="58" t="str">
        <x:v>ChartElementModel / ChartRuntimeEngine</x:v>
      </x:c>
      <x:c r="F61" s="58" t="str">
        <x:v>Core/Runtime.Core</x:v>
      </x:c>
      <x:c r="G61" s="58" t="str">
        <x:v>01/03 Visual &amp; Architecture</x:v>
      </x:c>
      <x:c r="H61" s="58" t="str">
        <x:v>保留增强</x:v>
      </x:c>
      <x:c r="I61" s="58" t="str">
        <x:v>Runtime</x:v>
      </x:c>
      <x:c r="J61" s="58" t="str">
        <x:v>架构/单元/集成</x:v>
      </x:c>
      <x:c r="K61" s="58" t="str">
        <x:v>不要把 Polyline 当实时趋势图</x:v>
      </x:c>
      <x:c r="L61" s="58" t="str">
        <x:v>P2</x:v>
      </x:c>
      <x:c r="M61" s="58" t="str">
        <x:v>待完成</x:v>
      </x:c>
    </x:row>
    <x:row r="62">
      <x:c r="A62" s="66" t="n">
        <x:v>54</x:v>
      </x:c>
      <x:c r="B62" s="66" t="str">
        <x:v>M2</x:v>
      </x:c>
      <x:c r="C62" s="66" t="str">
        <x:v>Container Boundary</x:v>
      </x:c>
      <x:c r="D62" s="66" t="str">
        <x:v>复杂容器专用边界</x:v>
      </x:c>
      <x:c r="E62" s="66" t="str">
        <x:v>ContainerElementModel / Host（预留）</x:v>
      </x:c>
      <x:c r="F62" s="66" t="str">
        <x:v>Core/Runtime.Wpf</x:v>
      </x:c>
      <x:c r="G62" s="66" t="str">
        <x:v>01/03 Visual &amp; Architecture</x:v>
      </x:c>
      <x:c r="H62" s="66" t="str">
        <x:v>架构预留</x:v>
      </x:c>
      <x:c r="I62" s="66" t="str">
        <x:v>Runtime</x:v>
      </x:c>
      <x:c r="J62" s="66" t="str">
        <x:v>架构/单元/集成</x:v>
      </x:c>
      <x:c r="K62" s="66" t="str">
        <x:v>不要为了表面完成度用 Group 硬模拟复杂容器</x:v>
      </x:c>
      <x:c r="L62" s="66" t="str">
        <x:v>P2</x:v>
      </x:c>
      <x:c r="M62" s="66" t="str">
        <x:v>待完成</x:v>
      </x:c>
    </x:row>
    <x:row r="63">
      <x:c r="A63" s="58" t="n">
        <x:v>55</x:v>
      </x:c>
      <x:c r="B63" s="58" t="str">
        <x:v>M2</x:v>
      </x:c>
      <x:c r="C63" s="58" t="str">
        <x:v>Media Boundary</x:v>
      </x:c>
      <x:c r="D63" s="58" t="str">
        <x:v>复杂媒体专用边界</x:v>
      </x:c>
      <x:c r="E63" s="58" t="str">
        <x:v>MediaElementModel / Host（预留）</x:v>
      </x:c>
      <x:c r="F63" s="58" t="str">
        <x:v>Core/Runtime.Wpf</x:v>
      </x:c>
      <x:c r="G63" s="58" t="str">
        <x:v>01/03 Visual &amp; Architecture</x:v>
      </x:c>
      <x:c r="H63" s="58" t="str">
        <x:v>架构预留</x:v>
      </x:c>
      <x:c r="I63" s="58" t="str">
        <x:v>Runtime</x:v>
      </x:c>
      <x:c r="J63" s="58" t="str">
        <x:v>架构/单元/集成</x:v>
      </x:c>
      <x:c r="K63" s="58" t="str">
        <x:v>真正设计资源生命周期后再实现专业对象</x:v>
      </x:c>
      <x:c r="L63" s="58" t="str">
        <x:v>P2</x:v>
      </x:c>
      <x:c r="M63" s="58" t="str">
        <x:v>待完成</x:v>
      </x:c>
    </x:row>
    <x:row r="64">
      <x:c r="A64" s="66" t="n">
        <x:v>56</x:v>
      </x:c>
      <x:c r="B64" s="66" t="str">
        <x:v>M2</x:v>
      </x:c>
      <x:c r="C64" s="66" t="str">
        <x:v>DesignerToolTypeMap</x:v>
      </x:c>
      <x:c r="D64" s="66" t="str">
        <x:v>设计工具 → TypeId 唯一映射</x:v>
      </x:c>
      <x:c r="E64" s="66" t="str">
        <x:v>DesignerToolTypeMap</x:v>
      </x:c>
      <x:c r="F64" s="66" t="str">
        <x:v>Designer.Application</x:v>
      </x:c>
      <x:c r="G64" s="66" t="str">
        <x:v>07 Studio/Designer</x:v>
      </x:c>
      <x:c r="H64" s="66" t="str">
        <x:v>新增/增强</x:v>
      </x:c>
      <x:c r="I64" s="66" t="str">
        <x:v>Designer</x:v>
      </x:c>
      <x:c r="J64" s="66" t="str">
        <x:v>架构/单元/集成</x:v>
      </x:c>
      <x:c r="K64" s="66" t="str">
        <x:v>新增工具一次注册即可</x:v>
      </x:c>
      <x:c r="L64" s="66" t="str">
        <x:v>P1</x:v>
      </x:c>
      <x:c r="M64" s="66" t="str">
        <x:v>待完成</x:v>
      </x:c>
    </x:row>
    <x:row r="65">
      <x:c r="A65" s="58" t="n">
        <x:v>57</x:v>
      </x:c>
      <x:c r="B65" s="58" t="str">
        <x:v>M2</x:v>
      </x:c>
      <x:c r="C65" s="58" t="str">
        <x:v>Toolbox 7 类</x:v>
      </x:c>
      <x:c r="D65" s="58" t="str">
        <x:v>工具箱正式分类</x:v>
      </x:c>
      <x:c r="E65" s="58" t="str">
        <x:v>Descriptor.CategoryId</x:v>
      </x:c>
      <x:c r="F65" s="58" t="str">
        <x:v>Designer.Wpf</x:v>
      </x:c>
      <x:c r="G65" s="58" t="str">
        <x:v>07 Studio/Designer</x:v>
      </x:c>
      <x:c r="H65" s="58" t="str">
        <x:v>改造</x:v>
      </x:c>
      <x:c r="I65" s="58" t="str">
        <x:v>Designer</x:v>
      </x:c>
      <x:c r="J65" s="58" t="str">
        <x:v>架构/单元/集成</x:v>
      </x:c>
      <x:c r="K65" s="58" t="str">
        <x:v>工具箱分类不再依赖 TypeId 前缀</x:v>
      </x:c>
      <x:c r="L65" s="58" t="str">
        <x:v>P0</x:v>
      </x:c>
      <x:c r="M65" s="58" t="str">
        <x:v>待完成</x:v>
      </x:c>
    </x:row>
    <x:row r="66">
      <x:c r="A66" s="66" t="n">
        <x:v>58</x:v>
      </x:c>
      <x:c r="B66" s="66" t="str">
        <x:v>M2</x:v>
      </x:c>
      <x:c r="C66" s="66" t="str">
        <x:v>Property Panel</x:v>
      </x:c>
      <x:c r="D66" s="66" t="str">
        <x:v>属性面板元数据化</x:v>
      </x:c>
      <x:c r="E66" s="66" t="str">
        <x:v>PropertyMetadata + Capability</x:v>
      </x:c>
      <x:c r="F66" s="66" t="str">
        <x:v>Designer.Wpf</x:v>
      </x:c>
      <x:c r="G66" s="66" t="str">
        <x:v>22 Graph Integration/Resource</x:v>
      </x:c>
      <x:c r="H66" s="66" t="str">
        <x:v>改造</x:v>
      </x:c>
      <x:c r="I66" s="66" t="str">
        <x:v>Designer</x:v>
      </x:c>
      <x:c r="J66" s="66" t="str">
        <x:v>架构/单元/集成</x:v>
      </x:c>
      <x:c r="K66" s="66" t="str">
        <x:v>对象支持什么能力才显示什么页签</x:v>
      </x:c>
      <x:c r="L66" s="66" t="str">
        <x:v>P0</x:v>
      </x:c>
      <x:c r="M66" s="66" t="str">
        <x:v>待完成</x:v>
      </x:c>
    </x:row>
    <x:row r="67">
      <x:c r="A67" s="58" t="n">
        <x:v>59</x:v>
      </x:c>
      <x:c r="B67" s="58" t="str">
        <x:v>M2</x:v>
      </x:c>
      <x:c r="C67" s="58" t="str">
        <x:v>Binding / State / Animation / Event Editors</x:v>
      </x:c>
      <x:c r="D67" s="58" t="str">
        <x:v>能力编辑器</x:v>
      </x:c>
      <x:c r="E67" s="58" t="str">
        <x:v>M3Editors / editor services</x:v>
      </x:c>
      <x:c r="F67" s="58" t="str">
        <x:v>Designer.Wpf/Application</x:v>
      </x:c>
      <x:c r="G67" s="58" t="str">
        <x:v>10 Property/Metadata/Binding</x:v>
      </x:c>
      <x:c r="H67" s="58" t="str">
        <x:v>增强</x:v>
      </x:c>
      <x:c r="I67" s="58" t="str">
        <x:v>Designer</x:v>
      </x:c>
      <x:c r="J67" s="58" t="str">
        <x:v>架构/单元/集成</x:v>
      </x:c>
      <x:c r="K67" s="58" t="str">
        <x:v>编辑完成后生成标准 Core Model</x:v>
      </x:c>
      <x:c r="L67" s="58" t="str">
        <x:v>P1</x:v>
      </x:c>
      <x:c r="M67" s="58" t="str">
        <x:v>待完成</x:v>
      </x:c>
    </x:row>
    <x:row r="68">
      <x:c r="A68" s="66" t="n">
        <x:v>60</x:v>
      </x:c>
      <x:c r="B68" s="66" t="str">
        <x:v>M2</x:v>
      </x:c>
      <x:c r="C68" s="66" t="str">
        <x:v>Symbol Editor</x:v>
      </x:c>
      <x:c r="D68" s="66" t="str">
        <x:v>符号独立编辑模式</x:v>
      </x:c>
      <x:c r="E68" s="66" t="str">
        <x:v>Symbol Editor / SymbolAuthoringService</x:v>
      </x:c>
      <x:c r="F68" s="66" t="str">
        <x:v>Designer.Wpf/Application</x:v>
      </x:c>
      <x:c r="G68" s="66" t="str">
        <x:v>11 Symbol</x:v>
      </x:c>
      <x:c r="H68" s="66" t="str">
        <x:v>新增/增强</x:v>
      </x:c>
      <x:c r="I68" s="66" t="str">
        <x:v>Designer</x:v>
      </x:c>
      <x:c r="J68" s="66" t="str">
        <x:v>架构/单元/集成</x:v>
      </x:c>
      <x:c r="K68" s="66" t="str">
        <x:v>Symbol child 默认不在页面普通选择层直接编辑</x:v>
      </x:c>
      <x:c r="L68" s="66" t="str">
        <x:v>P0</x:v>
      </x:c>
      <x:c r="M68" s="66" t="str">
        <x:v>待完成</x:v>
      </x:c>
    </x:row>
    <x:row r="69">
      <x:c r="A69" s="58" t="n">
        <x:v>61</x:v>
      </x:c>
      <x:c r="B69" s="58" t="str">
        <x:v>M2</x:v>
      </x:c>
      <x:c r="C69" s="58" t="str">
        <x:v>Symbol Workflow / Diagnostics</x:v>
      </x:c>
      <x:c r="D69" s="58" t="str">
        <x:v>符号创建流程可视化</x:v>
      </x:c>
      <x:c r="E69" s="58" t="str">
        <x:v>SymbolAuthoringWorkflow</x:v>
      </x:c>
      <x:c r="F69" s="58" t="str">
        <x:v>Designer.Wpf/Application</x:v>
      </x:c>
      <x:c r="G69" s="58" t="str">
        <x:v>25 Graph Perf/Diagnostics</x:v>
      </x:c>
      <x:c r="H69" s="58" t="str">
        <x:v>新增</x:v>
      </x:c>
      <x:c r="I69" s="58" t="str">
        <x:v>Designer</x:v>
      </x:c>
      <x:c r="J69" s="58" t="str">
        <x:v>架构/单元/集成</x:v>
      </x:c>
      <x:c r="K69" s="58" t="str">
        <x:v>失败步骤显示 Failed + 原因并写日志</x:v>
      </x:c>
      <x:c r="L69" s="58" t="str">
        <x:v>P1</x:v>
      </x:c>
      <x:c r="M69" s="58" t="str">
        <x:v>待完成</x:v>
      </x:c>
    </x:row>
    <x:row r="70">
      <x:c r="A70" s="66" t="n">
        <x:v>62</x:v>
      </x:c>
      <x:c r="B70" s="66" t="str">
        <x:v>M2</x:v>
      </x:c>
      <x:c r="C70" s="66" t="str">
        <x:v>Runtime Preview</x:v>
      </x:c>
      <x:c r="D70" s="66" t="str">
        <x:v>设计器在线/仿真预览</x:v>
      </x:c>
      <x:c r="E70" s="66" t="str">
        <x:v>RuntimePreviewWindow / SimulationVariableProvider</x:v>
      </x:c>
      <x:c r="F70" s="66" t="str">
        <x:v>Designer/Runtime</x:v>
      </x:c>
      <x:c r="G70" s="66" t="str">
        <x:v>22 Graph Integration/Resource</x:v>
      </x:c>
      <x:c r="H70" s="66" t="str">
        <x:v>增强</x:v>
      </x:c>
      <x:c r="I70" s="66" t="str">
        <x:v>Designer</x:v>
      </x:c>
      <x:c r="J70" s="66" t="str">
        <x:v>架构/单元/集成</x:v>
      </x:c>
      <x:c r="K70" s="66" t="str">
        <x:v>停止 Runtime 后清理所有运行层</x:v>
      </x:c>
      <x:c r="L70" s="66" t="str">
        <x:v>P1</x:v>
      </x:c>
      <x:c r="M70" s="66" t="str">
        <x:v>待完成</x:v>
      </x:c>
    </x:row>
    <x:row r="71">
      <x:c r="A71" s="58" t="n">
        <x:v>63</x:v>
      </x:c>
      <x:c r="B71" s="58" t="str">
        <x:v>M1</x:v>
      </x:c>
      <x:c r="C71" s="58" t="str">
        <x:v>ProjectModel / FormatVersion</x:v>
      </x:c>
      <x:c r="D71" s="58" t="str">
        <x:v>工程 Schema 根契约</x:v>
      </x:c>
      <x:c r="E71" s="58" t="str">
        <x:v>ProjectModel / ProjectFactory</x:v>
      </x:c>
      <x:c r="F71" s="58" t="str">
        <x:v>Core</x:v>
      </x:c>
      <x:c r="G71" s="58" t="str">
        <x:v>12 Project/Schema</x:v>
      </x:c>
      <x:c r="H71" s="58" t="str">
        <x:v>增强</x:v>
      </x:c>
      <x:c r="I71" s="58" t="str">
        <x:v>Core/Platform</x:v>
      </x:c>
      <x:c r="J71" s="58" t="str">
        <x:v>架构/单元/集成</x:v>
      </x:c>
      <x:c r="K71" s="58" t="str">
        <x:v>Schema 变化有版本，不靠猜结构</x:v>
      </x:c>
      <x:c r="L71" s="58" t="str">
        <x:v>P0</x:v>
      </x:c>
      <x:c r="M71" s="58" t="str">
        <x:v>待完成</x:v>
      </x:c>
    </x:row>
    <x:row r="72">
      <x:c r="A72" s="66" t="n">
        <x:v>64</x:v>
      </x:c>
      <x:c r="B72" s="66" t="str">
        <x:v>M1</x:v>
      </x:c>
      <x:c r="C72" s="66" t="str">
        <x:v>ProjectSerializer / ElementModelConverter</x:v>
      </x:c>
      <x:c r="D72" s="66" t="str">
        <x:v>多态 JSON 核心</x:v>
      </x:c>
      <x:c r="E72" s="66" t="str">
        <x:v>ProjectSerializer / ElementModelConverter</x:v>
      </x:c>
      <x:c r="F72" s="66" t="str">
        <x:v>Serialization</x:v>
      </x:c>
      <x:c r="G72" s="66" t="str">
        <x:v>12 Project/Schema</x:v>
      </x:c>
      <x:c r="H72" s="66" t="str">
        <x:v>增强</x:v>
      </x:c>
      <x:c r="I72" s="66" t="str">
        <x:v>Core/Platform</x:v>
      </x:c>
      <x:c r="J72" s="66" t="str">
        <x:v>架构/单元/集成</x:v>
      </x:c>
      <x:c r="K72" s="66" t="str">
        <x:v>保存-加载往返不丢字段</x:v>
      </x:c>
      <x:c r="L72" s="66" t="str">
        <x:v>P0</x:v>
      </x:c>
      <x:c r="M72" s="66" t="str">
        <x:v>待完成</x:v>
      </x:c>
    </x:row>
    <x:row r="73">
      <x:c r="A73" s="58" t="n">
        <x:v>65</x:v>
      </x:c>
      <x:c r="B73" s="58" t="str">
        <x:v>M1</x:v>
      </x:c>
      <x:c r="C73" s="58" t="str">
        <x:v>ProjectFormatMigrator</x:v>
      </x:c>
      <x:c r="D73" s="58" t="str">
        <x:v>版本迁移链</x:v>
      </x:c>
      <x:c r="E73" s="58" t="str">
        <x:v>ProjectFormatMigrator</x:v>
      </x:c>
      <x:c r="F73" s="58" t="str">
        <x:v>Serialization</x:v>
      </x:c>
      <x:c r="G73" s="58" t="str">
        <x:v>12 Project/Schema</x:v>
      </x:c>
      <x:c r="H73" s="58" t="str">
        <x:v>新增/增强</x:v>
      </x:c>
      <x:c r="I73" s="58" t="str">
        <x:v>Core/Platform</x:v>
      </x:c>
      <x:c r="J73" s="58" t="str">
        <x:v>架构/单元/集成</x:v>
      </x:c>
      <x:c r="K73" s="58" t="str">
        <x:v>迁移失败绝不覆盖原工程</x:v>
      </x:c>
      <x:c r="L73" s="58" t="str">
        <x:v>P0</x:v>
      </x:c>
      <x:c r="M73" s="58" t="str">
        <x:v>待完成</x:v>
      </x:c>
    </x:row>
    <x:row r="74">
      <x:c r="A74" s="66" t="n">
        <x:v>66</x:v>
      </x:c>
      <x:c r="B74" s="66" t="str">
        <x:v>M1</x:v>
      </x:c>
      <x:c r="C74" s="66" t="str">
        <x:v>ProjectValidator</x:v>
      </x:c>
      <x:c r="D74" s="66" t="str">
        <x:v>工程架构校验</x:v>
      </x:c>
      <x:c r="E74" s="66" t="str">
        <x:v>ProjectValidator</x:v>
      </x:c>
      <x:c r="F74" s="66" t="str">
        <x:v>Serialization</x:v>
      </x:c>
      <x:c r="G74" s="66" t="str">
        <x:v>12 Project/Schema</x:v>
      </x:c>
      <x:c r="H74" s="66" t="str">
        <x:v>增强</x:v>
      </x:c>
      <x:c r="I74" s="66" t="str">
        <x:v>Core/Platform</x:v>
      </x:c>
      <x:c r="J74" s="66" t="str">
        <x:v>架构/单元/集成</x:v>
      </x:c>
      <x:c r="K74" s="66" t="str">
        <x:v>错误必须定位到对象和原因</x:v>
      </x:c>
      <x:c r="L74" s="66" t="str">
        <x:v>P0</x:v>
      </x:c>
      <x:c r="M74" s="66" t="str">
        <x:v>待完成</x:v>
      </x:c>
    </x:row>
    <x:row r="75">
      <x:c r="A75" s="58" t="n">
        <x:v>67</x:v>
      </x:c>
      <x:c r="B75" s="58" t="str">
        <x:v>M1</x:v>
      </x:c>
      <x:c r="C75" s="58" t="str">
        <x:v>DirectoryProjectStore / ResourceStore</x:v>
      </x:c>
      <x:c r="D75" s="58" t="str">
        <x:v>工程目录与资源持久化</x:v>
      </x:c>
      <x:c r="E75" s="58" t="str">
        <x:v>DirectoryProjectStore / ResourceStore</x:v>
      </x:c>
      <x:c r="F75" s="58" t="str">
        <x:v>PackageStore/Resources</x:v>
      </x:c>
      <x:c r="G75" s="58" t="str">
        <x:v>12 Project/Schema</x:v>
      </x:c>
      <x:c r="H75" s="58" t="str">
        <x:v>保留增强</x:v>
      </x:c>
      <x:c r="I75" s="58" t="str">
        <x:v>Core/Platform</x:v>
      </x:c>
      <x:c r="J75" s="58" t="str">
        <x:v>架构/单元/集成</x:v>
      </x:c>
      <x:c r="K75" s="58" t="str">
        <x:v>Definition/Instance 分离保存，资源可复用</x:v>
      </x:c>
      <x:c r="L75" s="58" t="str">
        <x:v>P1</x:v>
      </x:c>
      <x:c r="M75" s="58" t="str">
        <x:v>待完成</x:v>
      </x:c>
    </x:row>
    <x:row r="76">
      <x:c r="A76" s="66" t="n">
        <x:v>68</x:v>
      </x:c>
      <x:c r="B76" s="66" t="str">
        <x:v>M7</x:v>
      </x:c>
      <x:c r="C76" s="66" t="str">
        <x:v>ReleasePackageService</x:v>
      </x:c>
      <x:c r="D76" s="66" t="str">
        <x:v>发布包边界</x:v>
      </x:c>
      <x:c r="E76" s="66" t="str">
        <x:v>ReleasePackageService</x:v>
      </x:c>
      <x:c r="F76" s="66" t="str">
        <x:v>PackageStore</x:v>
      </x:c>
      <x:c r="G76" s="66" t="str">
        <x:v>12 Project/Schema</x:v>
      </x:c>
      <x:c r="H76" s="66" t="str">
        <x:v>增强</x:v>
      </x:c>
      <x:c r="I76" s="66" t="str">
        <x:v>Core/Platform</x:v>
      </x:c>
      <x:c r="J76" s="66" t="str">
        <x:v>架构/单元/集成</x:v>
      </x:c>
      <x:c r="K76" s="66" t="str">
        <x:v>发布前必须先 Validator 通过</x:v>
      </x:c>
      <x:c r="L76" s="66" t="str">
        <x:v>P2</x:v>
      </x:c>
      <x:c r="M76" s="66" t="str">
        <x:v>待完成</x:v>
      </x:c>
    </x:row>
    <x:row r="77">
      <x:c r="A77" s="58" t="n">
        <x:v>69</x:v>
      </x:c>
      <x:c r="B77" s="58" t="str">
        <x:v>M7</x:v>
      </x:c>
      <x:c r="C77" s="58" t="str">
        <x:v>ScriptReferenceModel</x:v>
      </x:c>
      <x:c r="D77" s="58" t="str">
        <x:v>脚本模型边界</x:v>
      </x:c>
      <x:c r="E77" s="58" t="str">
        <x:v>ScriptReferenceModel</x:v>
      </x:c>
      <x:c r="F77" s="58" t="str">
        <x:v>Core</x:v>
      </x:c>
      <x:c r="G77" s="58" t="str">
        <x:v>03/04 Platform</x:v>
      </x:c>
      <x:c r="H77" s="58" t="str">
        <x:v>新增/增强</x:v>
      </x:c>
      <x:c r="I77" s="58" t="str">
        <x:v>Runtime</x:v>
      </x:c>
      <x:c r="J77" s="58" t="str">
        <x:v>架构/单元/集成</x:v>
      </x:c>
      <x:c r="K77" s="58" t="str">
        <x:v>Core 保持无 Roslyn/无 UI 依赖</x:v>
      </x:c>
      <x:c r="L77" s="58" t="str">
        <x:v>P2</x:v>
      </x:c>
      <x:c r="M77" s="58" t="str">
        <x:v>待完成</x:v>
      </x:c>
    </x:row>
    <x:row r="78">
      <x:c r="A78" s="66" t="n">
        <x:v>70</x:v>
      </x:c>
      <x:c r="B78" s="66" t="str">
        <x:v>M7</x:v>
      </x:c>
      <x:c r="C78" s="66" t="str">
        <x:v>CxVisual.Runtime.Script / RoslynScriptEngine</x:v>
      </x:c>
      <x:c r="D78" s="66" t="str">
        <x:v>C# Script 独立运行模块</x:v>
      </x:c>
      <x:c r="E78" s="66" t="str">
        <x:v>RoslynScriptEngine（独立模块）</x:v>
      </x:c>
      <x:c r="F78" s="66" t="str">
        <x:v>Runtime.Script</x:v>
      </x:c>
      <x:c r="G78" s="66" t="str">
        <x:v>03/04 Platform</x:v>
      </x:c>
      <x:c r="H78" s="66" t="str">
        <x:v>独立扩展</x:v>
      </x:c>
      <x:c r="I78" s="66" t="str">
        <x:v>Runtime</x:v>
      </x:c>
      <x:c r="J78" s="66" t="str">
        <x:v>架构/单元/集成</x:v>
      </x:c>
      <x:c r="K78" s="66" t="str">
        <x:v>进程内脚本不能宣称强沙箱；默认禁用更安全</x:v>
      </x:c>
      <x:c r="L78" s="66" t="str">
        <x:v>P2</x:v>
      </x:c>
      <x:c r="M78" s="66" t="str">
        <x:v>待完成</x:v>
      </x:c>
    </x:row>
    <x:row r="79">
      <x:c r="A79" s="58" t="n">
        <x:v>71</x:v>
      </x:c>
      <x:c r="B79" s="58" t="str">
        <x:v>RC</x:v>
      </x:c>
      <x:c r="C79" s="58" t="str">
        <x:v>Architecture / Regression Tests</x:v>
      </x:c>
      <x:c r="D79" s="58" t="str">
        <x:v>架构与回归门禁</x:v>
      </x:c>
      <x:c r="E79" s="58" t="str">
        <x:v>CxVisual.Tests / UiSmoke</x:v>
      </x:c>
      <x:c r="F79" s="58" t="str">
        <x:v>Tests</x:v>
      </x:c>
      <x:c r="G79" s="58" t="str">
        <x:v>26 Graph Test/Gate</x:v>
      </x:c>
      <x:c r="H79" s="58" t="str">
        <x:v>新增/增强</x:v>
      </x:c>
      <x:c r="I79" s="58" t="str">
        <x:v>Core/Platform</x:v>
      </x:c>
      <x:c r="J79" s="58" t="str">
        <x:v>全量回归</x:v>
      </x:c>
      <x:c r="K79" s="58" t="str">
        <x:v>关键架构规则必须能自动检测</x:v>
      </x:c>
      <x:c r="L79" s="58" t="str">
        <x:v>P0</x:v>
      </x:c>
      <x:c r="M79" s="58" t="str">
        <x:v>待完成</x:v>
      </x:c>
    </x:row>
    <x:row r="80">
      <x:c r="A80" s="66" t="n">
        <x:v>72</x:v>
      </x:c>
      <x:c r="B80" s="66" t="str">
        <x:v>RC</x:v>
      </x:c>
      <x:c r="C80" s="66" t="str">
        <x:v>Windows VS2022 / MSBuild 真编译与测试</x:v>
      </x:c>
      <x:c r="D80" s="66" t="str">
        <x:v>最终版本门禁</x:v>
      </x:c>
      <x:c r="E80" s="66" t="str">
        <x:v>CxVisual.sln / build.cmd / run-tests.cmd</x:v>
      </x:c>
      <x:c r="F80" s="66" t="str">
        <x:v>Build/QA</x:v>
      </x:c>
      <x:c r="G80" s="66" t="str">
        <x:v>26 Graph Test/Gate</x:v>
      </x:c>
      <x:c r="H80" s="66" t="str">
        <x:v>必须执行</x:v>
      </x:c>
      <x:c r="I80" s="66" t="str">
        <x:v>Core/Platform</x:v>
      </x:c>
      <x:c r="J80" s="66" t="str">
        <x:v>VS2022 Debug/Release + Tests + UI Smoke</x:v>
      </x:c>
      <x:c r="K80" s="66" t="str">
        <x:v>Visual/SCADA阶段真实编译门禁；最终发布仍以RC全量证据为准</x:v>
      </x:c>
      <x:c r="L80" s="66" t="str">
        <x:v>P0</x:v>
      </x:c>
      <x:c r="M80" s="66" t="str">
        <x:v>待完成</x:v>
      </x:c>
    </x:row>
    <x:row r="81">
      <x:c r="A81" s="58" t="n">
        <x:v>73</x:v>
      </x:c>
      <x:c r="B81" s="58" t="str">
        <x:v>M3</x:v>
      </x:c>
      <x:c r="C81" s="58" t="str">
        <x:v>Project 多设计域根模型</x:v>
      </x:c>
      <x:c r="D81" s="58" t="str">
        <x:v>Project同时管理Visual/SCADA/Motion/Vision/Inspection/Profiles</x:v>
      </x:c>
      <x:c r="E81" s="58" t="str">
        <x:v>ProjectDocument extensions</x:v>
      </x:c>
      <x:c r="F81" s="58" t="str">
        <x:v>Core/Serialization</x:v>
      </x:c>
      <x:c r="G81" s="58" t="str">
        <x:v>12 Project/Schema</x:v>
      </x:c>
      <x:c r="H81" s="58" t="str">
        <x:v>扩展正式Schema与索引</x:v>
      </x:c>
      <x:c r="I81" s="58" t="str">
        <x:v>Studio工程树/所有Runtime</x:v>
      </x:c>
      <x:c r="J81" s="58" t="str">
        <x:v>RoundTrip/Migration</x:v>
      </x:c>
      <x:c r="K81" s="58" t="str">
        <x:v>一工程加载所有设计域且引用稳定</x:v>
      </x:c>
      <x:c r="L81" s="58" t="str">
        <x:v>P0</x:v>
      </x:c>
      <x:c r="M81" s="58" t="str">
        <x:v>待完成</x:v>
      </x:c>
    </x:row>
    <x:row r="82">
      <x:c r="A82" s="66" t="n">
        <x:v>74</x:v>
      </x:c>
      <x:c r="B82" s="66" t="str">
        <x:v>M3</x:v>
      </x:c>
      <x:c r="C82" s="66" t="str">
        <x:v>GraphDefinition</x:v>
      </x:c>
      <x:c r="D82" s="66" t="str">
        <x:v>Execution Model根定义</x:v>
      </x:c>
      <x:c r="E82" s="66" t="str">
        <x:v>GraphDefinition</x:v>
      </x:c>
      <x:c r="F82" s="66" t="str">
        <x:v>Graph.Core</x:v>
      </x:c>
      <x:c r="G82" s="66" t="str">
        <x:v>19 Graph Foundation</x:v>
      </x:c>
      <x:c r="H82" s="66" t="str">
        <x:v>新增稳定Graph schema</x:v>
      </x:c>
      <x:c r="I82" s="66" t="str">
        <x:v>Graph Designer/Compiler</x:v>
      </x:c>
      <x:c r="J82" s="66" t="str">
        <x:v>RoundTrip</x:v>
      </x:c>
      <x:c r="K82" s="66" t="str">
        <x:v>GraphKind/Version/Nodes/Connections完整</x:v>
      </x:c>
      <x:c r="L82" s="66" t="str">
        <x:v>P0</x:v>
      </x:c>
      <x:c r="M82" s="66" t="str">
        <x:v>待完成</x:v>
      </x:c>
    </x:row>
    <x:row r="83">
      <x:c r="A83" s="58" t="n">
        <x:v>75</x:v>
      </x:c>
      <x:c r="B83" s="58" t="str">
        <x:v>M3</x:v>
      </x:c>
      <x:c r="C83" s="58" t="str">
        <x:v>GraphNodeModel</x:v>
      </x:c>
      <x:c r="D83" s="58" t="str">
        <x:v>Graph节点实例模型</x:v>
      </x:c>
      <x:c r="E83" s="58" t="str">
        <x:v>GraphNodeModel</x:v>
      </x:c>
      <x:c r="F83" s="58" t="str">
        <x:v>Graph.Core</x:v>
      </x:c>
      <x:c r="G83" s="58" t="str">
        <x:v>19 Graph Foundation</x:v>
      </x:c>
      <x:c r="H83" s="58" t="str">
        <x:v>NodeTypeId/Position/Parameters/Tags</x:v>
      </x:c>
      <x:c r="I83" s="58" t="str">
        <x:v>Graph Canvas</x:v>
      </x:c>
      <x:c r="J83" s="58" t="str">
        <x:v>Command/Serialization</x:v>
      </x:c>
      <x:c r="K83" s="58" t="str">
        <x:v>节点可复制/撤销/版本兼容</x:v>
      </x:c>
      <x:c r="L83" s="58" t="str">
        <x:v>P0</x:v>
      </x:c>
      <x:c r="M83" s="58" t="str">
        <x:v>待完成</x:v>
      </x:c>
    </x:row>
    <x:row r="84">
      <x:c r="A84" s="66" t="n">
        <x:v>76</x:v>
      </x:c>
      <x:c r="B84" s="66" t="str">
        <x:v>M3</x:v>
      </x:c>
      <x:c r="C84" s="66" t="str">
        <x:v>GraphPortModel</x:v>
      </x:c>
      <x:c r="D84" s="66" t="str">
        <x:v>Typed Port契约</x:v>
      </x:c>
      <x:c r="E84" s="66" t="str">
        <x:v>GraphPortModel</x:v>
      </x:c>
      <x:c r="F84" s="66" t="str">
        <x:v>Graph.Core/TypeSystem</x:v>
      </x:c>
      <x:c r="G84" s="66" t="str">
        <x:v>19 Graph Foundation</x:v>
      </x:c>
      <x:c r="H84" s="66" t="str">
        <x:v>Direction/DataType/Cardinality/Optional</x:v>
      </x:c>
      <x:c r="I84" s="66" t="str">
        <x:v>Graph Editor/Compiler</x:v>
      </x:c>
      <x:c r="J84" s="66" t="str">
        <x:v>Type compatibility</x:v>
      </x:c>
      <x:c r="K84" s="66" t="str">
        <x:v>禁止object万能端口</x:v>
      </x:c>
      <x:c r="L84" s="66" t="str">
        <x:v>P0</x:v>
      </x:c>
      <x:c r="M84" s="66" t="str">
        <x:v>待完成</x:v>
      </x:c>
    </x:row>
    <x:row r="85">
      <x:c r="A85" s="58" t="n">
        <x:v>77</x:v>
      </x:c>
      <x:c r="B85" s="58" t="str">
        <x:v>M3</x:v>
      </x:c>
      <x:c r="C85" s="58" t="str">
        <x:v>GraphConnectionModel</x:v>
      </x:c>
      <x:c r="D85" s="58" t="str">
        <x:v>节点端口连接</x:v>
      </x:c>
      <x:c r="E85" s="58" t="str">
        <x:v>GraphConnectionModel</x:v>
      </x:c>
      <x:c r="F85" s="58" t="str">
        <x:v>Graph.Core</x:v>
      </x:c>
      <x:c r="G85" s="58" t="str">
        <x:v>19 Graph Foundation</x:v>
      </x:c>
      <x:c r="H85" s="58" t="str">
        <x:v>稳定端口引用与连接</x:v>
      </x:c>
      <x:c r="I85" s="58" t="str">
        <x:v>Graph Canvas/Compiler</x:v>
      </x:c>
      <x:c r="J85" s="58" t="str">
        <x:v>Connect/Disconnect tests</x:v>
      </x:c>
      <x:c r="K85" s="58" t="str">
        <x:v>连接可验证可撤销</x:v>
      </x:c>
      <x:c r="L85" s="58" t="str">
        <x:v>P0</x:v>
      </x:c>
      <x:c r="M85" s="58" t="str">
        <x:v>待完成</x:v>
      </x:c>
    </x:row>
    <x:row r="86">
      <x:c r="A86" s="66" t="n">
        <x:v>78</x:v>
      </x:c>
      <x:c r="B86" s="66" t="str">
        <x:v>M3</x:v>
      </x:c>
      <x:c r="C86" s="66" t="str">
        <x:v>NodeDescriptorCatalog</x:v>
      </x:c>
      <x:c r="D86" s="66" t="str">
        <x:v>节点元数据与Catalog</x:v>
      </x:c>
      <x:c r="E86" s="66" t="str">
        <x:v>NodeDescriptor/NodeCatalog</x:v>
      </x:c>
      <x:c r="F86" s="66" t="str">
        <x:v>Graph.Core/Studio</x:v>
      </x:c>
      <x:c r="G86" s="66" t="str">
        <x:v>19 Graph Foundation</x:v>
      </x:c>
      <x:c r="H86" s="66" t="str">
        <x:v>分类/图标/Ports/Params/Capabilities</x:v>
      </x:c>
      <x:c r="I86" s="66" t="str">
        <x:v>Node Toolbox</x:v>
      </x:c>
      <x:c r="J86" s="66" t="str">
        <x:v>Registry coverage</x:v>
      </x:c>
      <x:c r="K86" s="66" t="str">
        <x:v>新增Node不改主switch</x:v>
      </x:c>
      <x:c r="L86" s="66" t="str">
        <x:v>P0</x:v>
      </x:c>
      <x:c r="M86" s="66" t="str">
        <x:v>待完成</x:v>
      </x:c>
    </x:row>
    <x:row r="87">
      <x:c r="A87" s="58" t="n">
        <x:v>79</x:v>
      </x:c>
      <x:c r="B87" s="58" t="str">
        <x:v>M3</x:v>
      </x:c>
      <x:c r="C87" s="58" t="str">
        <x:v>GraphCommand</x:v>
      </x:c>
      <x:c r="D87" s="58" t="str">
        <x:v>Graph编辑Command体系</x:v>
      </x:c>
      <x:c r="E87" s="58" t="str">
        <x:v>GraphCommands</x:v>
      </x:c>
      <x:c r="F87" s="58" t="str">
        <x:v>Commands/Graph.Application</x:v>
      </x:c>
      <x:c r="G87" s="58" t="str">
        <x:v>09 Command/Undo</x:v>
      </x:c>
      <x:c r="H87" s="58" t="str">
        <x:v>Add/Delete/Move/Connect/Group/SubGraph</x:v>
      </x:c>
      <x:c r="I87" s="58" t="str">
        <x:v>Graph Designer</x:v>
      </x:c>
      <x:c r="J87" s="58" t="str">
        <x:v>Undo/Redo</x:v>
      </x:c>
      <x:c r="K87" s="58" t="str">
        <x:v>所有结构修改可撤销</x:v>
      </x:c>
      <x:c r="L87" s="58" t="str">
        <x:v>P0</x:v>
      </x:c>
      <x:c r="M87" s="58" t="str">
        <x:v>待完成</x:v>
      </x:c>
    </x:row>
    <x:row r="88">
      <x:c r="A88" s="66" t="n">
        <x:v>80</x:v>
      </x:c>
      <x:c r="B88" s="66" t="str">
        <x:v>M3</x:v>
      </x:c>
      <x:c r="C88" s="66" t="str">
        <x:v>GraphValidator</x:v>
      </x:c>
      <x:c r="D88" s="66" t="str">
        <x:v>通用+Domain规则校验</x:v>
      </x:c>
      <x:c r="E88" s="66" t="str">
        <x:v>GraphValidator/IGraphRule</x:v>
      </x:c>
      <x:c r="F88" s="66" t="str">
        <x:v>Graph.Core</x:v>
      </x:c>
      <x:c r="G88" s="66" t="str">
        <x:v>19 Graph Foundation</x:v>
      </x:c>
      <x:c r="H88" s="66" t="str">
        <x:v>断线/类型/循环/资源/必填</x:v>
      </x:c>
      <x:c r="I88" s="66" t="str">
        <x:v>Editor/Publish</x:v>
      </x:c>
      <x:c r="J88" s="66" t="str">
        <x:v>Invalid graph corpus</x:v>
      </x:c>
      <x:c r="K88" s="66" t="str">
        <x:v>Fatal可定位到Node/Port</x:v>
      </x:c>
      <x:c r="L88" s="66" t="str">
        <x:v>P0</x:v>
      </x:c>
      <x:c r="M88" s="66" t="str">
        <x:v>待完成</x:v>
      </x:c>
    </x:row>
    <x:row r="89">
      <x:c r="A89" s="58" t="n">
        <x:v>81</x:v>
      </x:c>
      <x:c r="B89" s="58" t="str">
        <x:v>M3</x:v>
      </x:c>
      <x:c r="C89" s="58" t="str">
        <x:v>GraphCompilerRegistry</x:v>
      </x:c>
      <x:c r="D89" s="58" t="str">
        <x:v>GraphKind→Domain Compiler</x:v>
      </x:c>
      <x:c r="E89" s="58" t="str">
        <x:v>IGraphCompiler/CompilerRegistry</x:v>
      </x:c>
      <x:c r="F89" s="58" t="str">
        <x:v>Graph.Runtime</x:v>
      </x:c>
      <x:c r="G89" s="58" t="str">
        <x:v>19 Graph Foundation</x:v>
      </x:c>
      <x:c r="H89" s="58" t="str">
        <x:v>解析Definition生成Plan</x:v>
      </x:c>
      <x:c r="I89" s="58" t="str">
        <x:v>Debug/Run</x:v>
      </x:c>
      <x:c r="J89" s="58" t="str">
        <x:v>Compiler tests</x:v>
      </x:c>
      <x:c r="K89" s="58" t="str">
        <x:v>Motion/Vision/Inspection不共用万能Compiler</x:v>
      </x:c>
      <x:c r="L89" s="58" t="str">
        <x:v>P0</x:v>
      </x:c>
      <x:c r="M89" s="58" t="str">
        <x:v>待完成</x:v>
      </x:c>
    </x:row>
    <x:row r="90">
      <x:c r="A90" s="66" t="n">
        <x:v>82</x:v>
      </x:c>
      <x:c r="B90" s="66" t="str">
        <x:v>M3</x:v>
      </x:c>
      <x:c r="C90" s="66" t="str">
        <x:v>ExecutionPlan</x:v>
      </x:c>
      <x:c r="D90" s="66" t="str">
        <x:v>不可变运行计划</x:v>
      </x:c>
      <x:c r="E90" s="66" t="str">
        <x:v>GraphExecutionPlan</x:v>
      </x:c>
      <x:c r="F90" s="66" t="str">
        <x:v>Graph.Runtime</x:v>
      </x:c>
      <x:c r="G90" s="66" t="str">
        <x:v>19 Graph Foundation</x:v>
      </x:c>
      <x:c r="H90" s="66" t="str">
        <x:v>Resolved nodes/deps/resources/version manifest</x:v>
      </x:c>
      <x:c r="I90" s="66" t="str">
        <x:v>Domain Runtime</x:v>
      </x:c>
      <x:c r="J90" s="66" t="str">
        <x:v>Plan determinism</x:v>
      </x:c>
      <x:c r="K90" s="66" t="str">
        <x:v>同Snapshot编译结果可重现</x:v>
      </x:c>
      <x:c r="L90" s="66" t="str">
        <x:v>P0</x:v>
      </x:c>
      <x:c r="M90" s="66" t="str">
        <x:v>待完成</x:v>
      </x:c>
    </x:row>
    <x:row r="91">
      <x:c r="A91" s="58" t="n">
        <x:v>83</x:v>
      </x:c>
      <x:c r="B91" s="58" t="str">
        <x:v>M3</x:v>
      </x:c>
      <x:c r="C91" s="58" t="str">
        <x:v>统一TypeSystem</x:v>
      </x:c>
      <x:c r="D91" s="58" t="str">
        <x:v>Variable/Property/Port/API统一类型契约</x:v>
      </x:c>
      <x:c r="E91" s="58" t="str">
        <x:v>IndustrialTypeSystem</x:v>
      </x:c>
      <x:c r="F91" s="58" t="str">
        <x:v>Core/Graph.Core</x:v>
      </x:c>
      <x:c r="G91" s="58" t="str">
        <x:v>20 Graph Type/Data</x:v>
      </x:c>
      <x:c r="H91" s="58" t="str">
        <x:v>Scalar/Geometry/Image/Result/Context/DeviceRef</x:v>
      </x:c>
      <x:c r="I91" s="58" t="str">
        <x:v>Inspector/Compiler/Runtime</x:v>
      </x:c>
      <x:c r="J91" s="58" t="str">
        <x:v>Contract tests</x:v>
      </x:c>
      <x:c r="K91" s="58" t="str">
        <x:v>Core无WPF/Vendor类型</x:v>
      </x:c>
      <x:c r="L91" s="58" t="str">
        <x:v>P0</x:v>
      </x:c>
      <x:c r="M91" s="58" t="str">
        <x:v>待完成</x:v>
      </x:c>
    </x:row>
    <x:row r="92">
      <x:c r="A92" s="66" t="n">
        <x:v>84</x:v>
      </x:c>
      <x:c r="B92" s="66" t="str">
        <x:v>M3</x:v>
      </x:c>
      <x:c r="C92" s="66" t="str">
        <x:v>DataValue/Quality</x:v>
      </x:c>
      <x:c r="D92" s="66" t="str">
        <x:v>值+质量+时间+来源+Correlation契约</x:v>
      </x:c>
      <x:c r="E92" s="66" t="str">
        <x:v>DataValue&lt;T&gt;/Quality</x:v>
      </x:c>
      <x:c r="F92" s="66" t="str">
        <x:v>Abstractions/Runtime</x:v>
      </x:c>
      <x:c r="G92" s="66" t="str">
        <x:v>25 Graph Perf/Diagnostics</x:v>
      </x:c>
      <x:c r="H92" s="66" t="str">
        <x:v>统一动态数据语义</x:v>
      </x:c>
      <x:c r="I92" s="66" t="str">
        <x:v>Watch/Trace</x:v>
      </x:c>
      <x:c r="J92" s="66" t="str">
        <x:v>Quality propagation</x:v>
      </x:c>
      <x:c r="K92" s="66" t="str">
        <x:v>BadQuality不用null替代</x:v>
      </x:c>
      <x:c r="L92" s="66" t="str">
        <x:v>P0</x:v>
      </x:c>
      <x:c r="M92" s="66" t="str">
        <x:v>待完成</x:v>
      </x:c>
    </x:row>
    <x:row r="93">
      <x:c r="A93" s="58" t="n">
        <x:v>85</x:v>
      </x:c>
      <x:c r="B93" s="58" t="str">
        <x:v>M3</x:v>
      </x:c>
      <x:c r="C93" s="58" t="str">
        <x:v>DebugSession</x:v>
      </x:c>
      <x:c r="D93" s="58" t="str">
        <x:v>统一调试会话</x:v>
      </x:c>
      <x:c r="E93" s="58" t="str">
        <x:v>DebugSession/DebugCoordinator</x:v>
      </x:c>
      <x:c r="F93" s="58" t="str">
        <x:v>Studio/Runtime</x:v>
      </x:c>
      <x:c r="G93" s="58" t="str">
        <x:v>21 Graph Online Debug</x:v>
      </x:c>
      <x:c r="H93" s="58" t="str">
        <x:v>Design→Debug session→Stop</x:v>
      </x:c>
      <x:c r="I93" s="58" t="str">
        <x:v>Debug toolbar</x:v>
      </x:c>
      <x:c r="J93" s="58" t="str">
        <x:v>Session lifecycle</x:v>
      </x:c>
      <x:c r="K93" s="58" t="str">
        <x:v>多域共享一个调试模型</x:v>
      </x:c>
      <x:c r="L93" s="58" t="str">
        <x:v>P0</x:v>
      </x:c>
      <x:c r="M93" s="58" t="str">
        <x:v>待完成</x:v>
      </x:c>
    </x:row>
    <x:row r="94">
      <x:c r="A94" s="66" t="n">
        <x:v>86</x:v>
      </x:c>
      <x:c r="B94" s="66" t="str">
        <x:v>M3</x:v>
      </x:c>
      <x:c r="C94" s="66" t="str">
        <x:v>Breakpoint</x:v>
      </x:c>
      <x:c r="D94" s="66" t="str">
        <x:v>节点/事件/动作断点模型</x:v>
      </x:c>
      <x:c r="E94" s="66" t="str">
        <x:v>BreakpointModel</x:v>
      </x:c>
      <x:c r="F94" s="66" t="str">
        <x:v>Debug</x:v>
      </x:c>
      <x:c r="G94" s="66" t="str">
        <x:v>03/04 Platform</x:v>
      </x:c>
      <x:c r="H94" s="66" t="str">
        <x:v>Condition/HitCount/Enabled</x:v>
      </x:c>
      <x:c r="I94" s="66" t="str">
        <x:v>Graph editors</x:v>
      </x:c>
      <x:c r="J94" s="66" t="str">
        <x:v>Breakpoint tests</x:v>
      </x:c>
      <x:c r="K94" s="66" t="str">
        <x:v>Motion/Vision/Inspection可使用</x:v>
      </x:c>
      <x:c r="L94" s="66" t="str">
        <x:v>P1</x:v>
      </x:c>
      <x:c r="M94" s="66" t="str">
        <x:v>待完成</x:v>
      </x:c>
    </x:row>
    <x:row r="95">
      <x:c r="A95" s="58" t="n">
        <x:v>87</x:v>
      </x:c>
      <x:c r="B95" s="58" t="str">
        <x:v>M3</x:v>
      </x:c>
      <x:c r="C95" s="58" t="str">
        <x:v>Watch/Trace/Timeline</x:v>
      </x:c>
      <x:c r="D95" s="58" t="str">
        <x:v>统一观察工具</x:v>
      </x:c>
      <x:c r="E95" s="58" t="str">
        <x:v>WatchService/ExecutionTrace/Timeline</x:v>
      </x:c>
      <x:c r="F95" s="58" t="str">
        <x:v>Debug/Diagnostics</x:v>
      </x:c>
      <x:c r="G95" s="58" t="str">
        <x:v>25 Graph Perf/Diagnostics</x:v>
      </x:c>
      <x:c r="H95" s="58" t="str">
        <x:v>Correlation贯穿对象/节点/设备</x:v>
      </x:c>
      <x:c r="I95" s="58" t="str">
        <x:v>底部工具窗</x:v>
      </x:c>
      <x:c r="J95" s="58" t="str">
        <x:v>Trace ordering/perf</x:v>
      </x:c>
      <x:c r="K95" s="58" t="str">
        <x:v>错误双击可定位</x:v>
      </x:c>
      <x:c r="L95" s="58" t="str">
        <x:v>P0</x:v>
      </x:c>
      <x:c r="M95" s="58" t="str">
        <x:v>待完成</x:v>
      </x:c>
    </x:row>
    <x:row r="96">
      <x:c r="A96" s="66" t="n">
        <x:v>88</x:v>
      </x:c>
      <x:c r="B96" s="66" t="str">
        <x:v>M3</x:v>
      </x:c>
      <x:c r="C96" s="66" t="str">
        <x:v>Simulation Provider</x:v>
      </x:c>
      <x:c r="D96" s="66" t="str">
        <x:v>统一仿真数据与设备</x:v>
      </x:c>
      <x:c r="E96" s="66" t="str">
        <x:v>SimulationRuntimeProfile</x:v>
      </x:c>
      <x:c r="F96" s="66" t="str">
        <x:v>Runtime/Integration</x:v>
      </x:c>
      <x:c r="G96" s="66" t="str">
        <x:v>22 Graph Integration/Resource</x:v>
      </x:c>
      <x:c r="H96" s="66" t="str">
        <x:v>Tag/Motion/Device/Vision输入仿真</x:v>
      </x:c>
      <x:c r="I96" s="66" t="str">
        <x:v>Debug</x:v>
      </x:c>
      <x:c r="J96" s="66" t="str">
        <x:v>Deterministic scenarios</x:v>
      </x:c>
      <x:c r="K96" s="66" t="str">
        <x:v>离线可跑核心场景</x:v>
      </x:c>
      <x:c r="L96" s="66" t="str">
        <x:v>P0</x:v>
      </x:c>
      <x:c r="M96" s="66" t="str">
        <x:v>待完成</x:v>
      </x:c>
    </x:row>
    <x:row r="97">
      <x:c r="A97" s="58" t="n">
        <x:v>89</x:v>
      </x:c>
      <x:c r="B97" s="58" t="str">
        <x:v>M3</x:v>
      </x:c>
      <x:c r="C97" s="58" t="str">
        <x:v>Replay</x:v>
      </x:c>
      <x:c r="D97" s="58" t="str">
        <x:v>历史数据/Frame/Task重放</x:v>
      </x:c>
      <x:c r="E97" s="58" t="str">
        <x:v>ReplaySource/ReplayProvider</x:v>
      </x:c>
      <x:c r="F97" s="58" t="str">
        <x:v>Debug/Runtime</x:v>
      </x:c>
      <x:c r="G97" s="58" t="str">
        <x:v>22 Graph Integration/Resource</x:v>
      </x:c>
      <x:c r="H97" s="58" t="str">
        <x:v>固定版本Manifest重放</x:v>
      </x:c>
      <x:c r="I97" s="58" t="str">
        <x:v>Debug</x:v>
      </x:c>
      <x:c r="J97" s="58" t="str">
        <x:v>Replay golden</x:v>
      </x:c>
      <x:c r="K97" s="58" t="str">
        <x:v>现场问题可离线复现</x:v>
      </x:c>
      <x:c r="L97" s="58" t="str">
        <x:v>P1</x:v>
      </x:c>
      <x:c r="M97" s="58" t="str">
        <x:v>待完成</x:v>
      </x:c>
    </x:row>
    <x:row r="98">
      <x:c r="A98" s="66" t="n">
        <x:v>90</x:v>
      </x:c>
      <x:c r="B98" s="66" t="str">
        <x:v>M3</x:v>
      </x:c>
      <x:c r="C98" s="66" t="str">
        <x:v>ResourceDefinition/Requirement</x:v>
      </x:c>
      <x:c r="D98" s="66" t="str">
        <x:v>统一运行资源描述</x:v>
      </x:c>
      <x:c r="E98" s="66" t="str">
        <x:v>ResourceDefinition/Requirement</x:v>
      </x:c>
      <x:c r="F98" s="66" t="str">
        <x:v>Runtime.Core</x:v>
      </x:c>
      <x:c r="G98" s="66" t="str">
        <x:v>03/04 Platform</x:v>
      </x:c>
      <x:c r="H98" s="66" t="str">
        <x:v>Axis/Camera/XRay/GPU等资源声明</x:v>
      </x:c>
      <x:c r="I98" s="66" t="str">
        <x:v>Graph Inspector/Runtime</x:v>
      </x:c>
      <x:c r="J98" s="66" t="str">
        <x:v>Resource validation</x:v>
      </x:c>
      <x:c r="K98" s="66" t="str">
        <x:v>Compile前发现缺资源</x:v>
      </x:c>
      <x:c r="L98" s="66" t="str">
        <x:v>P0</x:v>
      </x:c>
      <x:c r="M98" s="66" t="str">
        <x:v>待完成</x:v>
      </x:c>
    </x:row>
    <x:row r="99">
      <x:c r="A99" s="58" t="n">
        <x:v>91</x:v>
      </x:c>
      <x:c r="B99" s="58" t="str">
        <x:v>M3</x:v>
      </x:c>
      <x:c r="C99" s="58" t="str">
        <x:v>ResourceManager/Lease</x:v>
      </x:c>
      <x:c r="D99" s="58" t="str">
        <x:v>资源并发管理</x:v>
      </x:c>
      <x:c r="E99" s="58" t="str">
        <x:v>ResourceManager/ResourceLease</x:v>
      </x:c>
      <x:c r="F99" s="58" t="str">
        <x:v>Runtime.Core</x:v>
      </x:c>
      <x:c r="G99" s="58" t="str">
        <x:v>22 Graph Integration/Resource</x:v>
      </x:c>
      <x:c r="H99" s="58" t="str">
        <x:v>Exclusive/Shared/Capacity/Timeout</x:v>
      </x:c>
      <x:c r="I99" s="58" t="str">
        <x:v>Runtime/Trace</x:v>
      </x:c>
      <x:c r="J99" s="58" t="str">
        <x:v>Concurrency/deadlock</x:v>
      </x:c>
      <x:c r="K99" s="58" t="str">
        <x:v>冲突可诊断且无泄漏</x:v>
      </x:c>
      <x:c r="L99" s="58" t="str">
        <x:v>P0</x:v>
      </x:c>
      <x:c r="M99" s="58" t="str">
        <x:v>待完成</x:v>
      </x:c>
    </x:row>
    <x:row r="100">
      <x:c r="A100" s="66" t="n">
        <x:v>92</x:v>
      </x:c>
      <x:c r="B100" s="66" t="str">
        <x:v>M3</x:v>
      </x:c>
      <x:c r="C100" s="66" t="str">
        <x:v>CorrelationId</x:v>
      </x:c>
      <x:c r="D100" s="66" t="str">
        <x:v>跨域执行链路标识</x:v>
      </x:c>
      <x:c r="E100" s="66" t="str">
        <x:v>CorrelationContext</x:v>
      </x:c>
      <x:c r="F100" s="66" t="str">
        <x:v>Runtime/Diagnostics</x:v>
      </x:c>
      <x:c r="G100" s="66" t="str">
        <x:v>25 Graph Perf/Diagnostics</x:v>
      </x:c>
      <x:c r="H100" s="66" t="str">
        <x:v>Task/Run/Node/Device/Action统一</x:v>
      </x:c>
      <x:c r="I100" s="66" t="str">
        <x:v>Trace/Logs</x:v>
      </x:c>
      <x:c r="J100" s="66" t="str">
        <x:v>Propagation tests</x:v>
      </x:c>
      <x:c r="K100" s="66" t="str">
        <x:v>任何关键事件可串回同一任务</x:v>
      </x:c>
      <x:c r="L100" s="66" t="str">
        <x:v>P0</x:v>
      </x:c>
      <x:c r="M100" s="66" t="str">
        <x:v>待完成</x:v>
      </x:c>
    </x:row>
    <x:row r="101">
      <x:c r="A101" s="58" t="n">
        <x:v>93</x:v>
      </x:c>
      <x:c r="B101" s="58" t="str">
        <x:v>M3</x:v>
      </x:c>
      <x:c r="C101" s="58" t="str">
        <x:v>Graph Library/SubGraph</x:v>
      </x:c>
      <x:c r="D101" s="58" t="str">
        <x:v>可复用Execution资产</x:v>
      </x:c>
      <x:c r="E101" s="58" t="str">
        <x:v>SubGraphReference/GraphLibrary</x:v>
      </x:c>
      <x:c r="F101" s="58" t="str">
        <x:v>Graph/Package</x:v>
      </x:c>
      <x:c r="G101" s="58" t="str">
        <x:v>07 Studio/Designer</x:v>
      </x:c>
      <x:c r="H101" s="58" t="str">
        <x:v>Definition+Instance-like引用/版本</x:v>
      </x:c>
      <x:c r="I101" s="58" t="str">
        <x:v>Graph Designer</x:v>
      </x:c>
      <x:c r="J101" s="58" t="str">
        <x:v>Version tests</x:v>
      </x:c>
      <x:c r="K101" s="58" t="str">
        <x:v>不复制整图作为复用</x:v>
      </x:c>
      <x:c r="L101" s="58" t="str">
        <x:v>P1</x:v>
      </x:c>
      <x:c r="M101" s="58" t="str">
        <x:v>待完成</x:v>
      </x:c>
    </x:row>
    <x:row r="102">
      <x:c r="A102" s="66" t="n">
        <x:v>94</x:v>
      </x:c>
      <x:c r="B102" s="66" t="str">
        <x:v>M3</x:v>
      </x:c>
      <x:c r="C102" s="66" t="str">
        <x:v>Graph Diff/HotReload评估</x:v>
      </x:c>
      <x:c r="D102" s="66" t="str">
        <x:v>图结构与参数Diff</x:v>
      </x:c>
      <x:c r="E102" s="66" t="str">
        <x:v>GraphDiffService/HotReloadPolicy</x:v>
      </x:c>
      <x:c r="F102" s="66" t="str">
        <x:v>Versioning/Runtime</x:v>
      </x:c>
      <x:c r="G102" s="66" t="str">
        <x:v>03/04 Platform</x:v>
      </x:c>
      <x:c r="H102" s="66" t="str">
        <x:v>判断安全参数更新/结构破坏</x:v>
      </x:c>
      <x:c r="I102" s="66" t="str">
        <x:v>Debug</x:v>
      </x:c>
      <x:c r="J102" s="66" t="str">
        <x:v>Diff tests</x:v>
      </x:c>
      <x:c r="K102" s="66" t="str">
        <x:v>Run默认拒绝破坏性变更</x:v>
      </x:c>
      <x:c r="L102" s="66" t="str">
        <x:v>P1</x:v>
      </x:c>
      <x:c r="M102" s="66" t="str">
        <x:v>待完成</x:v>
      </x:c>
    </x:row>
    <x:row r="103">
      <x:c r="A103" s="58" t="n">
        <x:v>95</x:v>
      </x:c>
      <x:c r="B103" s="58" t="str">
        <x:v>M4</x:v>
      </x:c>
      <x:c r="C103" s="58" t="str">
        <x:v>MotionProgram</x:v>
      </x:c>
      <x:c r="D103" s="58" t="str">
        <x:v>运控Graph Definition</x:v>
      </x:c>
      <x:c r="E103" s="58" t="str">
        <x:v>MotionProgram</x:v>
      </x:c>
      <x:c r="F103" s="58" t="str">
        <x:v>Motion.Core</x:v>
      </x:c>
      <x:c r="G103" s="58" t="str">
        <x:v>27/28 Motion</x:v>
      </x:c>
      <x:c r="H103" s="58" t="str">
        <x:v>参数/节点/资源/版本</x:v>
      </x:c>
      <x:c r="I103" s="58" t="str">
        <x:v>Motion Designer/Runtime</x:v>
      </x:c>
      <x:c r="J103" s="58" t="str">
        <x:v>RoundTrip</x:v>
      </x:c>
      <x:c r="K103" s="58" t="str">
        <x:v>可独立调用并版本固定</x:v>
      </x:c>
      <x:c r="L103" s="58" t="str">
        <x:v>P0</x:v>
      </x:c>
      <x:c r="M103" s="58" t="str">
        <x:v>待完成</x:v>
      </x:c>
    </x:row>
    <x:row r="104">
      <x:c r="A104" s="66" t="n">
        <x:v>96</x:v>
      </x:c>
      <x:c r="B104" s="66" t="str">
        <x:v>M4</x:v>
      </x:c>
      <x:c r="C104" s="66" t="str">
        <x:v>Axis/Coordinate Model</x:v>
      </x:c>
      <x:c r="D104" s="66" t="str">
        <x:v>轴与坐标系工程定义</x:v>
      </x:c>
      <x:c r="E104" s="66" t="str">
        <x:v>AxisDefinition/CoordinateSystem</x:v>
      </x:c>
      <x:c r="F104" s="66" t="str">
        <x:v>Motion.Core</x:v>
      </x:c>
      <x:c r="G104" s="66" t="str">
        <x:v>27/28 Motion</x:v>
      </x:c>
      <x:c r="H104" s="66" t="str">
        <x:v>Unit/Limit/Home/Transforms</x:v>
      </x:c>
      <x:c r="I104" s="66" t="str">
        <x:v>Config/Motion</x:v>
      </x:c>
      <x:c r="J104" s="66" t="str">
        <x:v>Transform tests</x:v>
      </x:c>
      <x:c r="K104" s="66" t="str">
        <x:v>不存Vendor对象/WPF Point</x:v>
      </x:c>
      <x:c r="L104" s="66" t="str">
        <x:v>P0</x:v>
      </x:c>
      <x:c r="M104" s="66" t="str">
        <x:v>待完成</x:v>
      </x:c>
    </x:row>
    <x:row r="105">
      <x:c r="A105" s="58" t="n">
        <x:v>97</x:v>
      </x:c>
      <x:c r="B105" s="58" t="str">
        <x:v>M4</x:v>
      </x:c>
      <x:c r="C105" s="58" t="str">
        <x:v>Motion Node Catalog</x:v>
      </x:c>
      <x:c r="D105" s="58" t="str">
        <x:v>Home/Move/Wait/IO/Device/Control节点</x:v>
      </x:c>
      <x:c r="E105" s="58" t="str">
        <x:v>MotionNodeDescriptors</x:v>
      </x:c>
      <x:c r="F105" s="58" t="str">
        <x:v>Motion.Core/Studio</x:v>
      </x:c>
      <x:c r="G105" s="58" t="str">
        <x:v>07 Studio/Designer</x:v>
      </x:c>
      <x:c r="H105" s="58" t="str">
        <x:v>标准节点+参数元数据</x:v>
      </x:c>
      <x:c r="I105" s="58" t="str">
        <x:v>Motion Toolbox</x:v>
      </x:c>
      <x:c r="J105" s="58" t="str">
        <x:v>Catalog tests</x:v>
      </x:c>
      <x:c r="K105" s="58" t="str">
        <x:v>覆盖典型机台动作</x:v>
      </x:c>
      <x:c r="L105" s="58" t="str">
        <x:v>P0</x:v>
      </x:c>
      <x:c r="M105" s="58" t="str">
        <x:v>待完成</x:v>
      </x:c>
    </x:row>
    <x:row r="106">
      <x:c r="A106" s="66" t="n">
        <x:v>98</x:v>
      </x:c>
      <x:c r="B106" s="66" t="str">
        <x:v>M4</x:v>
      </x:c>
      <x:c r="C106" s="66" t="str">
        <x:v>Motion Runtime</x:v>
      </x:c>
      <x:c r="D106" s="66" t="str">
        <x:v>控制流编排Runtime</x:v>
      </x:c>
      <x:c r="E106" s="66" t="str">
        <x:v>MotionCompiler/MotionRuntime</x:v>
      </x:c>
      <x:c r="F106" s="66" t="str">
        <x:v>Motion.Runtime</x:v>
      </x:c>
      <x:c r="G106" s="66" t="str">
        <x:v>27/28 Motion</x:v>
      </x:c>
      <x:c r="H106" s="66" t="str">
        <x:v>Sequence/Parallel/Wait/Cancel</x:v>
      </x:c>
      <x:c r="I106" s="66" t="str">
        <x:v>Debug/Run</x:v>
      </x:c>
      <x:c r="J106" s="66" t="str">
        <x:v>Integration</x:v>
      </x:c>
      <x:c r="K106" s="66" t="str">
        <x:v>不承担伺服硬实时</x:v>
      </x:c>
      <x:c r="L106" s="66" t="str">
        <x:v>P0</x:v>
      </x:c>
      <x:c r="M106" s="66" t="str">
        <x:v>待完成</x:v>
      </x:c>
    </x:row>
    <x:row r="107">
      <x:c r="A107" s="58" t="n">
        <x:v>99</x:v>
      </x:c>
      <x:c r="B107" s="58" t="str">
        <x:v>M4</x:v>
      </x:c>
      <x:c r="C107" s="58" t="str">
        <x:v>Interlock Service</x:v>
      </x:c>
      <x:c r="D107" s="58" t="str">
        <x:v>动作互锁统一入口</x:v>
      </x:c>
      <x:c r="E107" s="58" t="str">
        <x:v>IInterlockService</x:v>
      </x:c>
      <x:c r="F107" s="58" t="str">
        <x:v>Motion/Security</x:v>
      </x:c>
      <x:c r="G107" s="58" t="str">
        <x:v>14 Security</x:v>
      </x:c>
      <x:c r="H107" s="58" t="str">
        <x:v>Mode/Permission/Safety/DeviceState规则</x:v>
      </x:c>
      <x:c r="I107" s="58" t="str">
        <x:v>Motion Debug</x:v>
      </x:c>
      <x:c r="J107" s="58" t="str">
        <x:v>Fault injection</x:v>
      </x:c>
      <x:c r="K107" s="58" t="str">
        <x:v>节点/脚本不可绕过</x:v>
      </x:c>
      <x:c r="L107" s="58" t="str">
        <x:v>P0</x:v>
      </x:c>
      <x:c r="M107" s="58" t="str">
        <x:v>待完成</x:v>
      </x:c>
    </x:row>
    <x:row r="108">
      <x:c r="A108" s="66" t="n">
        <x:v>100</x:v>
      </x:c>
      <x:c r="B108" s="66" t="str">
        <x:v>M4</x:v>
      </x:c>
      <x:c r="C108" s="66" t="str">
        <x:v>Motion Device Adapters</x:v>
      </x:c>
      <x:c r="D108" s="66" t="str">
        <x:v>运动/IO/相机/XRay设备命令适配</x:v>
      </x:c>
      <x:c r="E108" s="66" t="str">
        <x:v>IMotionController/IIoProvider/IDeviceCommand</x:v>
      </x:c>
      <x:c r="F108" s="66" t="str">
        <x:v>Integration</x:v>
      </x:c>
      <x:c r="G108" s="66" t="str">
        <x:v>27/28 Motion</x:v>
      </x:c>
      <x:c r="H108" s="66" t="str">
        <x:v>Vendor SDK隔离</x:v>
      </x:c>
      <x:c r="I108" s="66" t="str">
        <x:v>Live Debug/Run</x:v>
      </x:c>
      <x:c r="J108" s="66" t="str">
        <x:v>Contract tests</x:v>
      </x:c>
      <x:c r="K108" s="66" t="str">
        <x:v>常用设备接入</x:v>
      </x:c>
      <x:c r="L108" s="66" t="str">
        <x:v>P0</x:v>
      </x:c>
      <x:c r="M108" s="66" t="str">
        <x:v>待完成</x:v>
      </x:c>
    </x:row>
    <x:row r="109">
      <x:c r="A109" s="58" t="n">
        <x:v>101</x:v>
      </x:c>
      <x:c r="B109" s="58" t="str">
        <x:v>M4</x:v>
      </x:c>
      <x:c r="C109" s="58" t="str">
        <x:v>Motion Debug</x:v>
      </x:c>
      <x:c r="D109" s="58" t="str">
        <x:v>单步/RunTo/模拟轴/Live Controlled</x:v>
      </x:c>
      <x:c r="E109" s="58" t="str">
        <x:v>MotionDebugger</x:v>
      </x:c>
      <x:c r="F109" s="58" t="str">
        <x:v>Debug/Motion</x:v>
      </x:c>
      <x:c r="G109" s="58" t="str">
        <x:v>27/28 Motion</x:v>
      </x:c>
      <x:c r="H109" s="58" t="str">
        <x:v>节点边界暂停与设备状态查看</x:v>
      </x:c>
      <x:c r="I109" s="58" t="str">
        <x:v>Motion Designer</x:v>
      </x:c>
      <x:c r="J109" s="58" t="str">
        <x:v>Device/UI tests</x:v>
      </x:c>
      <x:c r="K109" s="58" t="str">
        <x:v>暂停与安全停止语义明确</x:v>
      </x:c>
      <x:c r="L109" s="58" t="str">
        <x:v>P1</x:v>
      </x:c>
      <x:c r="M109" s="58" t="str">
        <x:v>待完成</x:v>
      </x:c>
    </x:row>
    <x:row r="110">
      <x:c r="A110" s="66" t="n">
        <x:v>102</x:v>
      </x:c>
      <x:c r="B110" s="66" t="str">
        <x:v>M5</x:v>
      </x:c>
      <x:c r="C110" s="66" t="str">
        <x:v>VisionPipeline</x:v>
      </x:c>
      <x:c r="D110" s="66" t="str">
        <x:v>视觉DAG Definition</x:v>
      </x:c>
      <x:c r="E110" s="66" t="str">
        <x:v>VisionPipeline</x:v>
      </x:c>
      <x:c r="F110" s="66" t="str">
        <x:v>Vision.Core</x:v>
      </x:c>
      <x:c r="G110" s="66" t="str">
        <x:v>31/32 Vision</x:v>
      </x:c>
      <x:c r="H110" s="66" t="str">
        <x:v>Inputs/Outputs/Nodes/Connections/Version</x:v>
      </x:c>
      <x:c r="I110" s="66" t="str">
        <x:v>Vision Designer</x:v>
      </x:c>
      <x:c r="J110" s="66" t="str">
        <x:v>RoundTrip</x:v>
      </x:c>
      <x:c r="K110" s="66" t="str">
        <x:v>Typed DataFlow可保存编译</x:v>
      </x:c>
      <x:c r="L110" s="66" t="str">
        <x:v>P0</x:v>
      </x:c>
      <x:c r="M110" s="66" t="str">
        <x:v>待完成</x:v>
      </x:c>
    </x:row>
    <x:row r="111">
      <x:c r="A111" s="58" t="n">
        <x:v>103</x:v>
      </x:c>
      <x:c r="B111" s="58" t="str">
        <x:v>M5</x:v>
      </x:c>
      <x:c r="C111" s="58" t="str">
        <x:v>Vision Type Contracts</x:v>
      </x:c>
      <x:c r="D111" s="58" t="str">
        <x:v>Image/Region/Mask/Detection/Measurement/Volume等</x:v>
      </x:c>
      <x:c r="E111" s="58" t="str">
        <x:v>VisionDataTypes</x:v>
      </x:c>
      <x:c r="F111" s="58" t="str">
        <x:v>Vision.Core/TypeSystem</x:v>
      </x:c>
      <x:c r="G111" s="58" t="str">
        <x:v>20 Graph Type/Data</x:v>
      </x:c>
      <x:c r="H111" s="58" t="str">
        <x:v>类型兼容/坐标/像素格式</x:v>
      </x:c>
      <x:c r="I111" s="58" t="str">
        <x:v>Ports/Data Viewer</x:v>
      </x:c>
      <x:c r="J111" s="58" t="str">
        <x:v>Contract tests</x:v>
      </x:c>
      <x:c r="K111" s="58" t="str">
        <x:v>不使用object万能数据</x:v>
      </x:c>
      <x:c r="L111" s="58" t="str">
        <x:v>P0</x:v>
      </x:c>
      <x:c r="M111" s="58" t="str">
        <x:v>待完成</x:v>
      </x:c>
    </x:row>
    <x:row r="112">
      <x:c r="A112" s="66" t="n">
        <x:v>104</x:v>
      </x:c>
      <x:c r="B112" s="66" t="str">
        <x:v>M5</x:v>
      </x:c>
      <x:c r="C112" s="66" t="str">
        <x:v>Vision Node Catalog</x:v>
      </x:c>
      <x:c r="D112" s="66" t="str">
        <x:v>输入/预处理/传统/AI/结果节点元数据</x:v>
      </x:c>
      <x:c r="E112" s="66" t="str">
        <x:v>VisionAlgorithmDescriptor</x:v>
      </x:c>
      <x:c r="F112" s="66" t="str">
        <x:v>Vision.Core/Studio</x:v>
      </x:c>
      <x:c r="G112" s="66" t="str">
        <x:v>07 Studio/Designer</x:v>
      </x:c>
      <x:c r="H112" s="66" t="str">
        <x:v>Typed ports/parameters/executor</x:v>
      </x:c>
      <x:c r="I112" s="66" t="str">
        <x:v>Vision Toolbox</x:v>
      </x:c>
      <x:c r="J112" s="66" t="str">
        <x:v>Catalog tests</x:v>
      </x:c>
      <x:c r="K112" s="66" t="str">
        <x:v>算法插件可注册</x:v>
      </x:c>
      <x:c r="L112" s="66" t="str">
        <x:v>P0</x:v>
      </x:c>
      <x:c r="M112" s="66" t="str">
        <x:v>待完成</x:v>
      </x:c>
    </x:row>
    <x:row r="113">
      <x:c r="A113" s="58" t="n">
        <x:v>105</x:v>
      </x:c>
      <x:c r="B113" s="58" t="str">
        <x:v>M5</x:v>
      </x:c>
      <x:c r="C113" s="58" t="str">
        <x:v>Vision Runtime/Scheduler</x:v>
      </x:c>
      <x:c r="D113" s="58" t="str">
        <x:v>依赖就绪调度与CPU/GPU执行</x:v>
      </x:c>
      <x:c r="E113" s="58" t="str">
        <x:v>VisionCompiler/VisionRuntime</x:v>
      </x:c>
      <x:c r="F113" s="58" t="str">
        <x:v>Vision.Runtime</x:v>
      </x:c>
      <x:c r="G113" s="58" t="str">
        <x:v>31/32 Vision</x:v>
      </x:c>
      <x:c r="H113" s="58" t="str">
        <x:v>DAG schedule/resource hints/cancel</x:v>
      </x:c>
      <x:c r="I113" s="58" t="str">
        <x:v>Debug/Run</x:v>
      </x:c>
      <x:c r="J113" s="58" t="str">
        <x:v>Golden/perf</x:v>
      </x:c>
      <x:c r="K113" s="58" t="str">
        <x:v>结果可重现</x:v>
      </x:c>
      <x:c r="L113" s="58" t="str">
        <x:v>P0</x:v>
      </x:c>
      <x:c r="M113" s="58" t="str">
        <x:v>待完成</x:v>
      </x:c>
    </x:row>
    <x:row r="114">
      <x:c r="A114" s="66" t="n">
        <x:v>106</x:v>
      </x:c>
      <x:c r="B114" s="66" t="str">
        <x:v>M5</x:v>
      </x:c>
      <x:c r="C114" s="66" t="str">
        <x:v>Vision DataHandle</x:v>
      </x:c>
      <x:c r="D114" s="66" t="str">
        <x:v>大图/体数据生命周期</x:v>
      </x:c>
      <x:c r="E114" s="66" t="str">
        <x:v>VisionDataHandle/BufferPool</x:v>
      </x:c>
      <x:c r="F114" s="66" t="str">
        <x:v>Vision.Runtime</x:v>
      </x:c>
      <x:c r="G114" s="66" t="str">
        <x:v>31/32 Vision</x:v>
      </x:c>
      <x:c r="H114" s="66" t="str">
        <x:v>Owner/RefCount/SharedMemory/Lifetime</x:v>
      </x:c>
      <x:c r="I114" s="66" t="str">
        <x:v>Data Viewer</x:v>
      </x:c>
      <x:c r="J114" s="66" t="str">
        <x:v>Leak/soak</x:v>
      </x:c>
      <x:c r="K114" s="66" t="str">
        <x:v>禁止无界复制</x:v>
      </x:c>
      <x:c r="L114" s="66" t="str">
        <x:v>P0</x:v>
      </x:c>
      <x:c r="M114" s="66" t="str">
        <x:v>待完成</x:v>
      </x:c>
    </x:row>
    <x:row r="115">
      <x:c r="A115" s="58" t="n">
        <x:v>107</x:v>
      </x:c>
      <x:c r="B115" s="58" t="str">
        <x:v>M5</x:v>
      </x:c>
      <x:c r="C115" s="58" t="str">
        <x:v>GPU Resource</x:v>
      </x:c>
      <x:c r="D115" s="58" t="str">
        <x:v>GPU显存/模型/队列管理</x:v>
      </x:c>
      <x:c r="E115" s="58" t="str">
        <x:v>GpuExecutionResource</x:v>
      </x:c>
      <x:c r="F115" s="58" t="str">
        <x:v>Vision.Runtime</x:v>
      </x:c>
      <x:c r="G115" s="58" t="str">
        <x:v>31/32 Vision</x:v>
      </x:c>
      <x:c r="H115" s="58" t="str">
        <x:v>VRAM/Model cache/Concurrency</x:v>
      </x:c>
      <x:c r="I115" s="58" t="str">
        <x:v>Trace/Health</x:v>
      </x:c>
      <x:c r="J115" s="58" t="str">
        <x:v>GPU stress</x:v>
      </x:c>
      <x:c r="K115" s="58" t="str">
        <x:v>多模型稳定</x:v>
      </x:c>
      <x:c r="L115" s="58" t="str">
        <x:v>P1</x:v>
      </x:c>
      <x:c r="M115" s="58" t="str">
        <x:v>待完成</x:v>
      </x:c>
    </x:row>
    <x:row r="116">
      <x:c r="A116" s="66" t="n">
        <x:v>108</x:v>
      </x:c>
      <x:c r="B116" s="66" t="str">
        <x:v>M5</x:v>
      </x:c>
      <x:c r="C116" s="66" t="str">
        <x:v>Vision Adapters</x:v>
      </x:c>
      <x:c r="D116" s="66" t="str">
        <x:v>OpenCV/Halcon/ONNX/TensorRT/自研算法</x:v>
      </x:c>
      <x:c r="E116" s="66" t="str">
        <x:v>IVisionAlgorithmExecutor</x:v>
      </x:c>
      <x:c r="F116" s="66" t="str">
        <x:v>Vision.Integration</x:v>
      </x:c>
      <x:c r="G116" s="66" t="str">
        <x:v>31/32 Vision</x:v>
      </x:c>
      <x:c r="H116" s="66" t="str">
        <x:v>第三方隔离/版本</x:v>
      </x:c>
      <x:c r="I116" s="66" t="str">
        <x:v>Vision Runtime</x:v>
      </x:c>
      <x:c r="J116" s="66" t="str">
        <x:v>Golden samples</x:v>
      </x:c>
      <x:c r="K116" s="66" t="str">
        <x:v>第三方类型不入Core</x:v>
      </x:c>
      <x:c r="L116" s="66" t="str">
        <x:v>P0</x:v>
      </x:c>
      <x:c r="M116" s="66" t="str">
        <x:v>待完成</x:v>
      </x:c>
    </x:row>
    <x:row r="117">
      <x:c r="A117" s="58" t="n">
        <x:v>109</x:v>
      </x:c>
      <x:c r="B117" s="58" t="str">
        <x:v>M5</x:v>
      </x:c>
      <x:c r="C117" s="58" t="str">
        <x:v>Vision Debug/Replay</x:v>
      </x:c>
      <x:c r="D117" s="58" t="str">
        <x:v>RunTo/Port Viewer/Intermediate/Replay/Compare</x:v>
      </x:c>
      <x:c r="E117" s="58" t="str">
        <x:v>VisionDebugger/DataViewer</x:v>
      </x:c>
      <x:c r="F117" s="58" t="str">
        <x:v>Debug/Vision</x:v>
      </x:c>
      <x:c r="G117" s="58" t="str">
        <x:v>31/32 Vision</x:v>
      </x:c>
      <x:c r="H117" s="58" t="str">
        <x:v>局部Plan/大对象懒加载</x:v>
      </x:c>
      <x:c r="I117" s="58" t="str">
        <x:v>Vision Designer</x:v>
      </x:c>
      <x:c r="J117" s="58" t="str">
        <x:v>Replay/Golden</x:v>
      </x:c>
      <x:c r="K117" s="58" t="str">
        <x:v>可定位算法与性能回归</x:v>
      </x:c>
      <x:c r="L117" s="58" t="str">
        <x:v>P0</x:v>
      </x:c>
      <x:c r="M117" s="58" t="str">
        <x:v>待完成</x:v>
      </x:c>
    </x:row>
    <x:row r="118">
      <x:c r="A118" s="66" t="n">
        <x:v>110</x:v>
      </x:c>
      <x:c r="B118" s="66" t="str">
        <x:v>M6</x:v>
      </x:c>
      <x:c r="C118" s="66" t="str">
        <x:v>InspectionFlow</x:v>
      </x:c>
      <x:c r="D118" s="66" t="str">
        <x:v>检测流程Definition</x:v>
      </x:c>
      <x:c r="E118" s="66" t="str">
        <x:v>InspectionFlow</x:v>
      </x:c>
      <x:c r="F118" s="66" t="str">
        <x:v>Inspection.Core</x:v>
      </x:c>
      <x:c r="G118" s="66" t="str">
        <x:v>35/36 Inspection</x:v>
      </x:c>
      <x:c r="H118" s="66" t="str">
        <x:v>Flow nodes/version/error policy</x:v>
      </x:c>
      <x:c r="I118" s="66" t="str">
        <x:v>Inspection Designer</x:v>
      </x:c>
      <x:c r="J118" s="66" t="str">
        <x:v>RoundTrip</x:v>
      </x:c>
      <x:c r="K118" s="66" t="str">
        <x:v>业务流程可图形化</x:v>
      </x:c>
      <x:c r="L118" s="66" t="str">
        <x:v>P0</x:v>
      </x:c>
      <x:c r="M118" s="66" t="str">
        <x:v>待完成</x:v>
      </x:c>
    </x:row>
    <x:row r="119">
      <x:c r="A119" s="58" t="n">
        <x:v>111</x:v>
      </x:c>
      <x:c r="B119" s="58" t="str">
        <x:v>M6</x:v>
      </x:c>
      <x:c r="C119" s="58" t="str">
        <x:v>Product/Point/Result Context</x:v>
      </x:c>
      <x:c r="D119" s="58" t="str">
        <x:v>产品任务上下文契约</x:v>
      </x:c>
      <x:c r="E119" s="58" t="str">
        <x:v>ProductContext/PointContext/ResultContext</x:v>
      </x:c>
      <x:c r="F119" s="58" t="str">
        <x:v>Inspection.Core</x:v>
      </x:c>
      <x:c r="G119" s="58" t="str">
        <x:v>35/36 Inspection</x:v>
      </x:c>
      <x:c r="H119" s="58" t="str">
        <x:v>产品/点位/结果/缺陷/测量</x:v>
      </x:c>
      <x:c r="I119" s="58" t="str">
        <x:v>Context Viewer</x:v>
      </x:c>
      <x:c r="J119" s="58" t="str">
        <x:v>Contract tests</x:v>
      </x:c>
      <x:c r="K119" s="58" t="str">
        <x:v>不塞UI/Vendor对象</x:v>
      </x:c>
      <x:c r="L119" s="58" t="str">
        <x:v>P0</x:v>
      </x:c>
      <x:c r="M119" s="58" t="str">
        <x:v>待完成</x:v>
      </x:c>
    </x:row>
    <x:row r="120">
      <x:c r="A120" s="66" t="n">
        <x:v>112</x:v>
      </x:c>
      <x:c r="B120" s="66" t="str">
        <x:v>M6</x:v>
      </x:c>
      <x:c r="C120" s="66" t="str">
        <x:v>Cross-domain Invocation</x:v>
      </x:c>
      <x:c r="D120" s="66" t="str">
        <x:v>RunMotion/Acquire/RunVision/MES等调用节点</x:v>
      </x:c>
      <x:c r="E120" s="66" t="str">
        <x:v>DomainInvocationNodes</x:v>
      </x:c>
      <x:c r="F120" s="66" t="str">
        <x:v>Inspection.Core/Runtime</x:v>
      </x:c>
      <x:c r="G120" s="66" t="str">
        <x:v>07 Studio/Designer</x:v>
      </x:c>
      <x:c r="H120" s="66" t="str">
        <x:v>DefinitionId+Version+Typed params/results</x:v>
      </x:c>
      <x:c r="I120" s="66" t="str">
        <x:v>Inspection Designer</x:v>
      </x:c>
      <x:c r="J120" s="66" t="str">
        <x:v>E2E</x:v>
      </x:c>
      <x:c r="K120" s="66" t="str">
        <x:v>不展开其他域内部实现</x:v>
      </x:c>
      <x:c r="L120" s="66" t="str">
        <x:v>P0</x:v>
      </x:c>
      <x:c r="M120" s="66" t="str">
        <x:v>待完成</x:v>
      </x:c>
    </x:row>
    <x:row r="121">
      <x:c r="A121" s="58" t="n">
        <x:v>113</x:v>
      </x:c>
      <x:c r="B121" s="58" t="str">
        <x:v>M6</x:v>
      </x:c>
      <x:c r="C121" s="58" t="str">
        <x:v>Retry/Retest/Review</x:v>
      </x:c>
      <x:c r="D121" s="58" t="str">
        <x:v>重试/复测/人工复判</x:v>
      </x:c>
      <x:c r="E121" s="58" t="str">
        <x:v>RetryPolicy/ReviewTask</x:v>
      </x:c>
      <x:c r="F121" s="58" t="str">
        <x:v>Inspection.Runtime</x:v>
      </x:c>
      <x:c r="G121" s="58" t="str">
        <x:v>35/36 Inspection</x:v>
      </x:c>
      <x:c r="H121" s="58" t="str">
        <x:v>次数/权限/超时/路线</x:v>
      </x:c>
      <x:c r="I121" s="58" t="str">
        <x:v>Debug/Run</x:v>
      </x:c>
      <x:c r="J121" s="58" t="str">
        <x:v>Scenario tests</x:v>
      </x:c>
      <x:c r="K121" s="58" t="str">
        <x:v>质量流程显式可配置</x:v>
      </x:c>
      <x:c r="L121" s="58" t="str">
        <x:v>P0</x:v>
      </x:c>
      <x:c r="M121" s="58" t="str">
        <x:v>待完成</x:v>
      </x:c>
    </x:row>
    <x:row r="122">
      <x:c r="A122" s="66" t="n">
        <x:v>114</x:v>
      </x:c>
      <x:c r="B122" s="66" t="str">
        <x:v>M6</x:v>
      </x:c>
      <x:c r="C122" s="66" t="str">
        <x:v>Checkpoint</x:v>
      </x:c>
      <x:c r="D122" s="66" t="str">
        <x:v>可恢复流程状态</x:v>
      </x:c>
      <x:c r="E122" s="66" t="str">
        <x:v>InspectionCheckpoint/ICheckpointStore</x:v>
      </x:c>
      <x:c r="F122" s="66" t="str">
        <x:v>Inspection.Runtime/Persistence</x:v>
      </x:c>
      <x:c r="G122" s="66" t="str">
        <x:v>35/36 Inspection</x:v>
      </x:c>
      <x:c r="H122" s="66" t="str">
        <x:v>关键边界持久化最小上下文</x:v>
      </x:c>
      <x:c r="I122" s="66" t="str">
        <x:v>Run/Recovery</x:v>
      </x:c>
      <x:c r="J122" s="66" t="str">
        <x:v>Kill/restart</x:v>
      </x:c>
      <x:c r="K122" s="66" t="str">
        <x:v>断电后按策略恢复</x:v>
      </x:c>
      <x:c r="L122" s="66" t="str">
        <x:v>P0</x:v>
      </x:c>
      <x:c r="M122" s="66" t="str">
        <x:v>待完成</x:v>
      </x:c>
    </x:row>
    <x:row r="123">
      <x:c r="A123" s="58" t="n">
        <x:v>115</x:v>
      </x:c>
      <x:c r="B123" s="58" t="str">
        <x:v>M6</x:v>
      </x:c>
      <x:c r="C123" s="58" t="str">
        <x:v>Idempotency/Compensation</x:v>
      </x:c>
      <x:c r="D123" s="58" t="str">
        <x:v>外部副作用一致性</x:v>
      </x:c>
      <x:c r="E123" s="58" t="str">
        <x:v>IdempotencyKey/CompensationAction</x:v>
      </x:c>
      <x:c r="F123" s="58" t="str">
        <x:v>Inspection.Runtime</x:v>
      </x:c>
      <x:c r="G123" s="58" t="str">
        <x:v>35/36 Inspection</x:v>
      </x:c>
      <x:c r="H123" s="58" t="str">
        <x:v>MES/文件/设备动作去重/补偿</x:v>
      </x:c>
      <x:c r="I123" s="58" t="str">
        <x:v>Trace</x:v>
      </x:c>
      <x:c r="J123" s="58" t="str">
        <x:v>Recovery tests</x:v>
      </x:c>
      <x:c r="K123" s="58" t="str">
        <x:v>恢复不重复上报</x:v>
      </x:c>
      <x:c r="L123" s="58" t="str">
        <x:v>P0</x:v>
      </x:c>
      <x:c r="M123" s="58" t="str">
        <x:v>待完成</x:v>
      </x:c>
    </x:row>
    <x:row r="124">
      <x:c r="A124" s="66" t="n">
        <x:v>116</x:v>
      </x:c>
      <x:c r="B124" s="66" t="str">
        <x:v>M6</x:v>
      </x:c>
      <x:c r="C124" s="66" t="str">
        <x:v>Task Version Pinning</x:v>
      </x:c>
      <x:c r="D124" s="66" t="str">
        <x:v>一次Task固定所有依赖版本</x:v>
      </x:c>
      <x:c r="E124" s="66" t="str">
        <x:v>ResolvedTaskManifest</x:v>
      </x:c>
      <x:c r="F124" s="66" t="str">
        <x:v>Inspection.Runtime/Versioning</x:v>
      </x:c>
      <x:c r="G124" s="66" t="str">
        <x:v>24 Graph SDK/Plugin</x:v>
      </x:c>
      <x:c r="H124" s="66" t="str">
        <x:v>Flow/Motion/Vision/Recipe/Model/Plugin</x:v>
      </x:c>
      <x:c r="I124" s="66" t="str">
        <x:v>Debug/Run</x:v>
      </x:c>
      <x:c r="J124" s="66" t="str">
        <x:v>Replay tests</x:v>
      </x:c>
      <x:c r="K124" s="66" t="str">
        <x:v>中途升级不影响在制任务</x:v>
      </x:c>
      <x:c r="L124" s="66" t="str">
        <x:v>P0</x:v>
      </x:c>
      <x:c r="M124" s="66" t="str">
        <x:v>待完成</x:v>
      </x:c>
    </x:row>
    <x:row r="125">
      <x:c r="A125" s="58" t="n">
        <x:v>117</x:v>
      </x:c>
      <x:c r="B125" s="58" t="str">
        <x:v>M6</x:v>
      </x:c>
      <x:c r="C125" s="58" t="str">
        <x:v>Result Store/MES</x:v>
      </x:c>
      <x:c r="D125" s="58" t="str">
        <x:v>结果/Artifact/MES闭环</x:v>
      </x:c>
      <x:c r="E125" s="58" t="str">
        <x:v>IResultStore/IMesGateway</x:v>
      </x:c>
      <x:c r="F125" s="58" t="str">
        <x:v>Integration</x:v>
      </x:c>
      <x:c r="G125" s="58" t="str">
        <x:v>35/36 Inspection</x:v>
      </x:c>
      <x:c r="H125" s="58" t="str">
        <x:v>StoreForward/幂等/版本追踪</x:v>
      </x:c>
      <x:c r="I125" s="58" t="str">
        <x:v>Run/Reports</x:v>
      </x:c>
      <x:c r="J125" s="58" t="str">
        <x:v>Disconnect tests</x:v>
      </x:c>
      <x:c r="K125" s="58" t="str">
        <x:v>结果可追溯</x:v>
      </x:c>
      <x:c r="L125" s="58" t="str">
        <x:v>P1</x:v>
      </x:c>
      <x:c r="M125" s="58" t="str">
        <x:v>待完成</x:v>
      </x:c>
    </x:row>
    <x:row r="126">
      <x:c r="A126" s="66" t="n">
        <x:v>118</x:v>
      </x:c>
      <x:c r="B126" s="66" t="str">
        <x:v>M6</x:v>
      </x:c>
      <x:c r="C126" s="66" t="str">
        <x:v>Inspection Debug</x:v>
      </x:c>
      <x:c r="D126" s="66" t="str">
        <x:v>Flow断点/上下文/Timeline/恢复点</x:v>
      </x:c>
      <x:c r="E126" s="66" t="str">
        <x:v>InspectionDebugger</x:v>
      </x:c>
      <x:c r="F126" s="66" t="str">
        <x:v>Debug/Inspection</x:v>
      </x:c>
      <x:c r="G126" s="66" t="str">
        <x:v>07 Studio/Designer</x:v>
      </x:c>
      <x:c r="H126" s="66" t="str">
        <x:v>Step/RunTo/Context/Checkpoint</x:v>
      </x:c>
      <x:c r="I126" s="66" t="str">
        <x:v>Inspection Designer</x:v>
      </x:c>
      <x:c r="J126" s="66" t="str">
        <x:v>Scenario/UI</x:v>
      </x:c>
      <x:c r="K126" s="66" t="str">
        <x:v>复杂分支可调试</x:v>
      </x:c>
      <x:c r="L126" s="66" t="str">
        <x:v>P1</x:v>
      </x:c>
      <x:c r="M126" s="66" t="str">
        <x:v>待完成</x:v>
      </x:c>
    </x:row>
    <x:row r="127">
      <x:c r="A127" s="58" t="n">
        <x:v>119</x:v>
      </x:c>
      <x:c r="B127" s="58" t="str">
        <x:v>M7</x:v>
      </x:c>
      <x:c r="C127" s="58" t="str">
        <x:v>Device Provider SDK</x:v>
      </x:c>
      <x:c r="D127" s="58" t="str">
        <x:v>设备驱动插件契约</x:v>
      </x:c>
      <x:c r="E127" s="58" t="str">
        <x:v>IDeviceProviderPlugin</x:v>
      </x:c>
      <x:c r="F127" s="58" t="str">
        <x:v>PluginSdk/Integration</x:v>
      </x:c>
      <x:c r="G127" s="58" t="str">
        <x:v>22 Graph Integration/Resource</x:v>
      </x:c>
      <x:c r="H127" s="58" t="str">
        <x:v>Capabilities/Config/Diagnostics</x:v>
      </x:c>
      <x:c r="I127" s="58" t="str">
        <x:v>Studio/Runtime</x:v>
      </x:c>
      <x:c r="J127" s="58" t="str">
        <x:v>Sample provider</x:v>
      </x:c>
      <x:c r="K127" s="58" t="str">
        <x:v>Vendor接入不改Core</x:v>
      </x:c>
      <x:c r="L127" s="58" t="str">
        <x:v>P1</x:v>
      </x:c>
      <x:c r="M127" s="58" t="str">
        <x:v>待完成</x:v>
      </x:c>
    </x:row>
    <x:row r="128">
      <x:c r="A128" s="66" t="n">
        <x:v>120</x:v>
      </x:c>
      <x:c r="B128" s="66" t="str">
        <x:v>M7</x:v>
      </x:c>
      <x:c r="C128" s="66" t="str">
        <x:v>Graph/Algorithm Plugin SDK</x:v>
      </x:c>
      <x:c r="D128" s="66" t="str">
        <x:v>Node/算法插件契约</x:v>
      </x:c>
      <x:c r="E128" s="66" t="str">
        <x:v>INodePlugin/IVisionAlgorithmPlugin</x:v>
      </x:c>
      <x:c r="F128" s="66" t="str">
        <x:v>PluginSdk</x:v>
      </x:c>
      <x:c r="G128" s="66" t="str">
        <x:v>31/32 Vision</x:v>
      </x:c>
      <x:c r="H128" s="66" t="str">
        <x:v>Descriptor/Executor/ApiVersion</x:v>
      </x:c>
      <x:c r="I128" s="66" t="str">
        <x:v>Toolbox/Runtime</x:v>
      </x:c>
      <x:c r="J128" s="66" t="str">
        <x:v>Sample plugins</x:v>
      </x:c>
      <x:c r="K128" s="66" t="str">
        <x:v>扩展不改主循环</x:v>
      </x:c>
      <x:c r="L128" s="66" t="str">
        <x:v>P1</x:v>
      </x:c>
      <x:c r="M128" s="66" t="str">
        <x:v>待完成</x:v>
      </x:c>
    </x:row>
    <x:row r="129">
      <x:c r="A129" s="58" t="n">
        <x:v>121</x:v>
      </x:c>
      <x:c r="B129" s="58" t="str">
        <x:v>M7</x:v>
      </x:c>
      <x:c r="C129" s="58" t="str">
        <x:v>Plugin Manifest/Signature</x:v>
      </x:c>
      <x:c r="D129" s="58" t="str">
        <x:v>插件版本依赖与完整性</x:v>
      </x:c>
      <x:c r="E129" s="58" t="str">
        <x:v>PluginManifest/SignatureValidator</x:v>
      </x:c>
      <x:c r="F129" s="58" t="str">
        <x:v>PluginHost/Security</x:v>
      </x:c>
      <x:c r="G129" s="58" t="str">
        <x:v>24 Graph SDK/Plugin</x:v>
      </x:c>
      <x:c r="H129" s="58" t="str">
        <x:v>PluginId/Version/ApiVersion/Hash</x:v>
      </x:c>
      <x:c r="I129" s="58" t="str">
        <x:v>Plugin Manager</x:v>
      </x:c>
      <x:c r="J129" s="58" t="str">
        <x:v>Compatibility/security</x:v>
      </x:c>
      <x:c r="K129" s="58" t="str">
        <x:v>生产只加载满足策略插件</x:v>
      </x:c>
      <x:c r="L129" s="58" t="str">
        <x:v>P0</x:v>
      </x:c>
      <x:c r="M129" s="58" t="str">
        <x:v>待完成</x:v>
      </x:c>
    </x:row>
    <x:row r="130">
      <x:c r="A130" s="66" t="n">
        <x:v>122</x:v>
      </x:c>
      <x:c r="B130" s="66" t="str">
        <x:v>M7</x:v>
      </x:c>
      <x:c r="C130" s="66" t="str">
        <x:v>Symbol/Graph Library</x:v>
      </x:c>
      <x:c r="D130" s="66" t="str">
        <x:v>项目/用户/团队资产库</x:v>
      </x:c>
      <x:c r="E130" s="66" t="str">
        <x:v>LibraryService</x:v>
      </x:c>
      <x:c r="F130" s="66" t="str">
        <x:v>Package/Studio</x:v>
      </x:c>
      <x:c r="G130" s="66" t="str">
        <x:v>11 Symbol</x:v>
      </x:c>
      <x:c r="H130" s="66" t="str">
        <x:v>搜索/Tag/缩略图/版本/依赖</x:v>
      </x:c>
      <x:c r="I130" s="66" t="str">
        <x:v>Workspace</x:v>
      </x:c>
      <x:c r="J130" s="66" t="str">
        <x:v>Version tests</x:v>
      </x:c>
      <x:c r="K130" s="66" t="str">
        <x:v>资产可发布升级回滚</x:v>
      </x:c>
      <x:c r="L130" s="66" t="str">
        <x:v>P1</x:v>
      </x:c>
      <x:c r="M130" s="66" t="str">
        <x:v>待完成</x:v>
      </x:c>
    </x:row>
    <x:row r="131">
      <x:c r="A131" s="58" t="n">
        <x:v>123</x:v>
      </x:c>
      <x:c r="B131" s="58" t="str">
        <x:v>M7</x:v>
      </x:c>
      <x:c r="C131" s="58" t="str">
        <x:v>RuntimeProfile</x:v>
      </x:c>
      <x:c r="D131" s="58" t="str">
        <x:v>环境/目标设备/Feature/资源解析</x:v>
      </x:c>
      <x:c r="E131" s="58" t="str">
        <x:v>RuntimeProfile/ResolvedRuntimeProfile</x:v>
      </x:c>
      <x:c r="F131" s="58" t="str">
        <x:v>Core/Deployment</x:v>
      </x:c>
      <x:c r="G131" s="58" t="str">
        <x:v>23 Graph Runtime/Reliability</x:v>
      </x:c>
      <x:c r="H131" s="58" t="str">
        <x:v>Lab/Test/Production差异</x:v>
      </x:c>
      <x:c r="I131" s="58" t="str">
        <x:v>Publish/Runtime</x:v>
      </x:c>
      <x:c r="J131" s="58" t="str">
        <x:v>Profile tests</x:v>
      </x:c>
      <x:c r="K131" s="58" t="str">
        <x:v>发布包可重现目标配置</x:v>
      </x:c>
      <x:c r="L131" s="58" t="str">
        <x:v>P0</x:v>
      </x:c>
      <x:c r="M131" s="58" t="str">
        <x:v>待完成</x:v>
      </x:c>
    </x:row>
    <x:row r="132">
      <x:c r="A132" s="66" t="n">
        <x:v>124</x:v>
      </x:c>
      <x:c r="B132" s="66" t="str">
        <x:v>M7</x:v>
      </x:c>
      <x:c r="C132" s="66" t="str">
        <x:v>Release Manifest</x:v>
      </x:c>
      <x:c r="D132" s="66" t="str">
        <x:v>Resolved版本/文件Hash/插件/模型/配置清单</x:v>
      </x:c>
      <x:c r="E132" s="66" t="str">
        <x:v>ReleaseManifest</x:v>
      </x:c>
      <x:c r="F132" s="66" t="str">
        <x:v>Publish</x:v>
      </x:c>
      <x:c r="G132" s="66" t="str">
        <x:v>23 Graph Runtime/Reliability</x:v>
      </x:c>
      <x:c r="H132" s="66" t="str">
        <x:v>完整发布快照</x:v>
      </x:c>
      <x:c r="I132" s="66" t="str">
        <x:v>Deployment/Runtime</x:v>
      </x:c>
      <x:c r="J132" s="66" t="str">
        <x:v>Manifest validation</x:v>
      </x:c>
      <x:c r="K132" s="66" t="str">
        <x:v>运行版本完全可追溯</x:v>
      </x:c>
      <x:c r="L132" s="66" t="str">
        <x:v>P0</x:v>
      </x:c>
      <x:c r="M132" s="66" t="str">
        <x:v>待完成</x:v>
      </x:c>
    </x:row>
    <x:row r="133">
      <x:c r="A133" s="58" t="n">
        <x:v>125</x:v>
      </x:c>
      <x:c r="B133" s="58" t="str">
        <x:v>M7</x:v>
      </x:c>
      <x:c r="C133" s="58" t="str">
        <x:v>Deployment/Rollback</x:v>
      </x:c>
      <x:c r="D133" s="58" t="str">
        <x:v>部署验证/切换/回滚</x:v>
      </x:c>
      <x:c r="E133" s="58" t="str">
        <x:v>DeploymentService/RollbackPlan</x:v>
      </x:c>
      <x:c r="F133" s="58" t="str">
        <x:v>Deployment</x:v>
      </x:c>
      <x:c r="G133" s="58" t="str">
        <x:v>23 Graph Runtime/Reliability</x:v>
      </x:c>
      <x:c r="H133" s="58" t="str">
        <x:v>Upload→Verify→Switch</x:v>
      </x:c>
      <x:c r="I133" s="58" t="str">
        <x:v>Ops</x:v>
      </x:c>
      <x:c r="J133" s="58" t="str">
        <x:v>Fault tests</x:v>
      </x:c>
      <x:c r="K133" s="58" t="str">
        <x:v>坏包不影响旧版本</x:v>
      </x:c>
      <x:c r="L133" s="58" t="str">
        <x:v>P0</x:v>
      </x:c>
      <x:c r="M133" s="58" t="str">
        <x:v>待完成</x:v>
      </x:c>
    </x:row>
    <x:row r="134">
      <x:c r="A134" s="66" t="n">
        <x:v>126</x:v>
      </x:c>
      <x:c r="B134" s="66" t="str">
        <x:v>M7</x:v>
      </x:c>
      <x:c r="C134" s="66" t="str">
        <x:v>Runtime Health/Watchdog</x:v>
      </x:c>
      <x:c r="D134" s="66" t="str">
        <x:v>运行健康与Worker监督</x:v>
      </x:c>
      <x:c r="E134" s="66" t="str">
        <x:v>HealthMonitor/WorkerSupervisor</x:v>
      </x:c>
      <x:c r="F134" s="66" t="str">
        <x:v>Runtime/Operations</x:v>
      </x:c>
      <x:c r="G134" s="66" t="str">
        <x:v>38/39 Operations</x:v>
      </x:c>
      <x:c r="H134" s="66" t="str">
        <x:v>heartbeat/queues/memory/subscriptions</x:v>
      </x:c>
      <x:c r="I134" s="66" t="str">
        <x:v>Ops UI</x:v>
      </x:c>
      <x:c r="J134" s="66" t="str">
        <x:v>Soak/hang injection</x:v>
      </x:c>
      <x:c r="K134" s="66" t="str">
        <x:v>异常可降级恢复</x:v>
      </x:c>
      <x:c r="L134" s="66" t="str">
        <x:v>P0</x:v>
      </x:c>
      <x:c r="M134" s="66" t="str">
        <x:v>待完成</x:v>
      </x:c>
    </x:row>
    <x:row r="135">
      <x:c r="A135" s="58" t="n">
        <x:v>127</x:v>
      </x:c>
      <x:c r="B135" s="58" t="str">
        <x:v>M7</x:v>
      </x:c>
      <x:c r="C135" s="58" t="str">
        <x:v>Backpressure/StoreForward</x:v>
      </x:c>
      <x:c r="D135" s="58" t="str">
        <x:v>有界队列/断网补传</x:v>
      </x:c>
      <x:c r="E135" s="58" t="str">
        <x:v>BackpressurePolicy/StoreForwardQueue</x:v>
      </x:c>
      <x:c r="F135" s="58" t="str">
        <x:v>Runtime/Integration</x:v>
      </x:c>
      <x:c r="G135" s="58" t="str">
        <x:v>23 Graph Runtime/Reliability</x:v>
      </x:c>
      <x:c r="H135" s="58" t="str">
        <x:v>History/MES/Vision queues</x:v>
      </x:c>
      <x:c r="I135" s="58" t="str">
        <x:v>Health</x:v>
      </x:c>
      <x:c r="J135" s="58" t="str">
        <x:v>72h/disconnect</x:v>
      </x:c>
      <x:c r="K135" s="58" t="str">
        <x:v>无无限增长</x:v>
      </x:c>
      <x:c r="L135" s="58" t="str">
        <x:v>P0</x:v>
      </x:c>
      <x:c r="M135" s="58" t="str">
        <x:v>待完成</x:v>
      </x:c>
    </x:row>
    <x:row r="136">
      <x:c r="A136" s="66" t="n">
        <x:v>128</x:v>
      </x:c>
      <x:c r="B136" s="66" t="str">
        <x:v>M7</x:v>
      </x:c>
      <x:c r="C136" s="66" t="str">
        <x:v>SDK Version Governance</x:v>
      </x:c>
      <x:c r="D136" s="66" t="str">
        <x:v>API/TypeId/NodeTypeId兼容治理</x:v>
      </x:c>
      <x:c r="E136" s="66" t="str">
        <x:v>ApiVersion/CompatibilityPolicy</x:v>
      </x:c>
      <x:c r="F136" s="66" t="str">
        <x:v>PluginSdk/Versioning</x:v>
      </x:c>
      <x:c r="G136" s="66" t="str">
        <x:v>24 Graph SDK/Plugin</x:v>
      </x:c>
      <x:c r="H136" s="66" t="str">
        <x:v>Obsolete/Alias/Migration</x:v>
      </x:c>
      <x:c r="I136" s="66" t="str">
        <x:v>Studio/Publish</x:v>
      </x:c>
      <x:c r="J136" s="66" t="str">
        <x:v>Compatibility tests</x:v>
      </x:c>
      <x:c r="K136" s="66" t="str">
        <x:v>插件生态可长期演进</x:v>
      </x:c>
      <x:c r="L136" s="66" t="str">
        <x:v>P1</x:v>
      </x:c>
      <x:c r="M136" s="66" t="str">
        <x:v>待完成</x:v>
      </x:c>
    </x:row>
    <x:row r="137">
      <x:c r="A137" s="58" t="n">
        <x:v>129</x:v>
      </x:c>
      <x:c r="B137" s="58" t="str">
        <x:v>RC</x:v>
      </x:c>
      <x:c r="C137" s="58" t="str">
        <x:v>全平台Architecture Tests</x:v>
      </x:c>
      <x:c r="D137" s="58" t="str">
        <x:v>Visual/Graph/Runtime/Domain/SDK边界自动检测</x:v>
      </x:c>
      <x:c r="E137" s="58" t="str">
        <x:v>ArchitectureTests</x:v>
      </x:c>
      <x:c r="F137" s="58" t="str">
        <x:v>Tests</x:v>
      </x:c>
      <x:c r="G137" s="58" t="str">
        <x:v>35/36 Inspection</x:v>
      </x:c>
      <x:c r="H137" s="58" t="str">
        <x:v>引用/Registry/Type/安全边界</x:v>
      </x:c>
      <x:c r="I137" s="58" t="str">
        <x:v>CI</x:v>
      </x:c>
      <x:c r="J137" s="58" t="str">
        <x:v>0违规</x:v>
      </x:c>
      <x:c r="K137" s="58" t="str">
        <x:v>架构边界不可人工记忆</x:v>
      </x:c>
      <x:c r="L137" s="58" t="str">
        <x:v>P0</x:v>
      </x:c>
      <x:c r="M137" s="58" t="str">
        <x:v>待完成</x:v>
      </x:c>
    </x:row>
    <x:row r="138">
      <x:c r="A138" s="66" t="n">
        <x:v>130</x:v>
      </x:c>
      <x:c r="B138" s="66" t="str">
        <x:v>RC</x:v>
      </x:c>
      <x:c r="C138" s="66" t="str">
        <x:v>全平台E2E Scenario</x:v>
      </x:c>
      <x:c r="D138" s="66" t="str">
        <x:v>产品检测从Tag/Motion/Acquire/Vision/Result/MES完整场景</x:v>
      </x:c>
      <x:c r="E138" s="66" t="str">
        <x:v>ScenarioHarness</x:v>
      </x:c>
      <x:c r="F138" s="66" t="str">
        <x:v>Tests</x:v>
      </x:c>
      <x:c r="G138" s="66" t="str">
        <x:v>26 Graph Test/Gate</x:v>
      </x:c>
      <x:c r="H138" s="66" t="str">
        <x:v>Simulation+Live test profile</x:v>
      </x:c>
      <x:c r="I138" s="66" t="str">
        <x:v>QA</x:v>
      </x:c>
      <x:c r="J138" s="66" t="str">
        <x:v>关键场景通过</x:v>
      </x:c>
      <x:c r="K138" s="66" t="str">
        <x:v>跨域闭环真实可用</x:v>
      </x:c>
      <x:c r="L138" s="66" t="str">
        <x:v>P0</x:v>
      </x:c>
      <x:c r="M138" s="66" t="str">
        <x:v>待完成</x:v>
      </x:c>
    </x:row>
    <x:row r="139">
      <x:c r="A139" s="58" t="n">
        <x:v>131</x:v>
      </x:c>
      <x:c r="B139" s="58" t="str">
        <x:v>RC</x:v>
      </x:c>
      <x:c r="C139" s="58" t="str">
        <x:v>72h Soak + Fault Injection</x:v>
      </x:c>
      <x:c r="D139" s="58" t="str">
        <x:v>设备断线/GPU Worker崩溃/MES断网/Runtime重启/Checkpoint恢复</x:v>
      </x:c>
      <x:c r="E139" s="58" t="str">
        <x:v>SoakHarness</x:v>
      </x:c>
      <x:c r="F139" s="58" t="str">
        <x:v>QA/Runtime</x:v>
      </x:c>
      <x:c r="G139" s="58" t="str">
        <x:v>25 Graph Perf/Diagnostics</x:v>
      </x:c>
      <x:c r="H139" s="58" t="str">
        <x:v>长期运行+恢复</x:v>
      </x:c>
      <x:c r="I139" s="58" t="str">
        <x:v>QA</x:v>
      </x:c>
      <x:c r="J139" s="58" t="str">
        <x:v>无趋势性泄漏/副作用重复</x:v>
      </x:c>
      <x:c r="K139" s="58" t="str">
        <x:v>生产稳定</x:v>
      </x:c>
      <x:c r="L139" s="58" t="str">
        <x:v>P0</x:v>
      </x:c>
      <x:c r="M139" s="58" t="str">
        <x:v>待完成</x:v>
      </x:c>
    </x:row>
    <x:row r="140">
      <x:c r="A140" s="66" t="n">
        <x:v>132</x:v>
      </x:c>
      <x:c r="B140" s="66" t="str">
        <x:v>RC</x:v>
      </x:c>
      <x:c r="C140" s="66" t="str">
        <x:v>Windows真实发布门禁</x:v>
      </x:c>
      <x:c r="D140" s="66" t="str">
        <x:v>VS2022 net48 Debug/Release + Tests + UI Smoke + Package/Deploy/Rollback演练</x:v>
      </x:c>
      <x:c r="E140" s="66" t="str">
        <x:v>Build/QA</x:v>
      </x:c>
      <x:c r="F140" s="66" t="str">
        <x:v>Build/Deployment</x:v>
      </x:c>
      <x:c r="G140" s="66" t="str">
        <x:v>23 Graph Runtime/Reliability</x:v>
      </x:c>
      <x:c r="H140" s="66" t="str">
        <x:v>最终签RC</x:v>
      </x:c>
      <x:c r="I140" s="66" t="str">
        <x:v>QA</x:v>
      </x:c>
      <x:c r="J140" s="66" t="str">
        <x:v>0 Error且证据齐全</x:v>
      </x:c>
      <x:c r="K140" s="66" t="str">
        <x:v>未过不可发布</x:v>
      </x:c>
      <x:c r="L140" s="66" t="str">
        <x:v>P0</x:v>
      </x:c>
      <x:c r="M140" s="66" t="str">
        <x:v>待完成</x:v>
      </x:c>
    </x:row>
    <x:row r="141">
      <x:c r="A141" s="58" t="n">
        <x:v>133</x:v>
      </x:c>
      <x:c r="B141" s="58" t="str">
        <x:v>M4</x:v>
      </x:c>
      <x:c r="C141" s="58" t="str">
        <x:v>Motion PointTable / Teach</x:v>
      </x:c>
      <x:c r="D141" s="58" t="str">
        <x:v>点位表、坐标系、Teach候选值与ChangeSet</x:v>
      </x:c>
      <x:c r="E141" s="58" t="str">
        <x:v>MotionPointTable/TeachChangeSetService</x:v>
      </x:c>
      <x:c r="F141" s="58" t="str">
        <x:v>Motion.Core/Application</x:v>
      </x:c>
      <x:c r="G141" s="58" t="str">
        <x:v>27/28 Motion</x:v>
      </x:c>
      <x:c r="H141" s="58" t="str">
        <x:v>点位版本/Teach来源/Promote</x:v>
      </x:c>
      <x:c r="I141" s="58" t="str">
        <x:v>Motion Studio/Debug</x:v>
      </x:c>
      <x:c r="J141" s="58" t="str">
        <x:v>Command/Transform/Safety</x:v>
      </x:c>
      <x:c r="K141" s="58" t="str">
        <x:v>Teach不直接写Project；可Undo</x:v>
      </x:c>
      <x:c r="L141" s="58" t="str">
        <x:v>P0</x:v>
      </x:c>
      <x:c r="M141" s="58" t="str">
        <x:v>待完成</x:v>
      </x:c>
    </x:row>
    <x:row r="142">
      <x:c r="A142" s="66" t="n">
        <x:v>134</x:v>
      </x:c>
      <x:c r="B142" s="66" t="str">
        <x:v>M4</x:v>
      </x:c>
      <x:c r="C142" s="66" t="str">
        <x:v>Motion CoordinateSystem</x:v>
      </x:c>
      <x:c r="D142" s="66" t="str">
        <x:v>机器/产品/相机等坐标系与Pose变换</x:v>
      </x:c>
      <x:c r="E142" s="66" t="str">
        <x:v>CoordinateSystem/TransformResolver</x:v>
      </x:c>
      <x:c r="F142" s="66" t="str">
        <x:v>Motion.Core</x:v>
      </x:c>
      <x:c r="G142" s="66" t="str">
        <x:v>27/28 Motion</x:v>
      </x:c>
      <x:c r="H142" s="66" t="str">
        <x:v>父子坐标/版本/单位/变换</x:v>
      </x:c>
      <x:c r="I142" s="66" t="str">
        <x:v>Motion Studio/Runtime</x:v>
      </x:c>
      <x:c r="J142" s="66" t="str">
        <x:v>Transform golden</x:v>
      </x:c>
      <x:c r="K142" s="66" t="str">
        <x:v>坐标变换可验证且无WPF类型</x:v>
      </x:c>
      <x:c r="L142" s="66" t="str">
        <x:v>P0</x:v>
      </x:c>
      <x:c r="M142" s="66" t="str">
        <x:v>待完成</x:v>
      </x:c>
    </x:row>
    <x:row r="143">
      <x:c r="A143" s="58" t="n">
        <x:v>135</x:v>
      </x:c>
      <x:c r="B143" s="58" t="str">
        <x:v>M4</x:v>
      </x:c>
      <x:c r="C143" s="58" t="str">
        <x:v>Motion Compile Pipeline</x:v>
      </x:c>
      <x:c r="D143" s="58" t="str">
        <x:v>Motion Validation→Resolve→Compile→Plan</x:v>
      </x:c>
      <x:c r="E143" s="58" t="str">
        <x:v>MotionValidator/MotionCompiler/MotionExecutionPlan</x:v>
      </x:c>
      <x:c r="F143" s="58" t="str">
        <x:v>Motion.Runtime</x:v>
      </x:c>
      <x:c r="G143" s="58" t="str">
        <x:v>19 Graph Foundation</x:v>
      </x:c>
      <x:c r="H143" s="58" t="str">
        <x:v>资源/互锁/设备/表达式/坐标解析</x:v>
      </x:c>
      <x:c r="I143" s="58" t="str">
        <x:v>Compile/Debug</x:v>
      </x:c>
      <x:c r="J143" s="58" t="str">
        <x:v>Compile negative/plan hash</x:v>
      </x:c>
      <x:c r="K143" s="58" t="str">
        <x:v>运行不临时解释设计树</x:v>
      </x:c>
      <x:c r="L143" s="58" t="str">
        <x:v>P0</x:v>
      </x:c>
      <x:c r="M143" s="58" t="str">
        <x:v>待完成</x:v>
      </x:c>
    </x:row>
    <x:row r="144">
      <x:c r="A144" s="66" t="n">
        <x:v>136</x:v>
      </x:c>
      <x:c r="B144" s="66" t="str">
        <x:v>M4</x:v>
      </x:c>
      <x:c r="C144" s="66" t="str">
        <x:v>Motion NodeRunner Contract</x:v>
      </x:c>
      <x:c r="D144" s="66" t="str">
        <x:v>Authorize→Acquire→Start→Await→Verify→Release→Result</x:v>
      </x:c>
      <x:c r="E144" s="66" t="str">
        <x:v>MotionNodeRunner/NodeRunState</x:v>
      </x:c>
      <x:c r="F144" s="66" t="str">
        <x:v>Motion.Runtime</x:v>
      </x:c>
      <x:c r="G144" s="66" t="str">
        <x:v>25 Graph Perf/Diagnostics</x:v>
      </x:c>
      <x:c r="H144" s="66" t="str">
        <x:v>统一动作执行骨架</x:v>
      </x:c>
      <x:c r="I144" s="66" t="str">
        <x:v>Runtime/Trace</x:v>
      </x:c>
      <x:c r="J144" s="66" t="str">
        <x:v>Node lifecycle/fault</x:v>
      </x:c>
      <x:c r="K144" s="66" t="str">
        <x:v>危险节点不可绕过安全/资源步骤</x:v>
      </x:c>
      <x:c r="L144" s="66" t="str">
        <x:v>P0</x:v>
      </x:c>
      <x:c r="M144" s="66" t="str">
        <x:v>待完成</x:v>
      </x:c>
    </x:row>
    <x:row r="145">
      <x:c r="A145" s="58" t="n">
        <x:v>137</x:v>
      </x:c>
      <x:c r="B145" s="58" t="str">
        <x:v>M4</x:v>
      </x:c>
      <x:c r="C145" s="58" t="str">
        <x:v>Motion Pause Boundary</x:v>
      </x:c>
      <x:c r="D145" s="58" t="str">
        <x:v>PauseRequested与PausedAtBoundary语义</x:v>
      </x:c>
      <x:c r="E145" s="58" t="str">
        <x:v>MotionRuntimeStateMachine</x:v>
      </x:c>
      <x:c r="F145" s="58" t="str">
        <x:v>Motion.Runtime/Debug</x:v>
      </x:c>
      <x:c r="G145" s="58" t="str">
        <x:v>27/28 Motion</x:v>
      </x:c>
      <x:c r="H145" s="58" t="str">
        <x:v>物理命令in-flight处理规则</x:v>
      </x:c>
      <x:c r="I145" s="58" t="str">
        <x:v>Motion Debug</x:v>
      </x:c>
      <x:c r="J145" s="58" t="str">
        <x:v>Pause/in-flight tests</x:v>
      </x:c>
      <x:c r="K145" s="58" t="str">
        <x:v>UI不把请求暂停显示成已停止</x:v>
      </x:c>
      <x:c r="L145" s="58" t="str">
        <x:v>P0</x:v>
      </x:c>
      <x:c r="M145" s="58" t="str">
        <x:v>待完成</x:v>
      </x:c>
    </x:row>
    <x:row r="146">
      <x:c r="A146" s="66" t="n">
        <x:v>138</x:v>
      </x:c>
      <x:c r="B146" s="66" t="str">
        <x:v>M4</x:v>
      </x:c>
      <x:c r="C146" s="66" t="str">
        <x:v>Motion Jog / Teach Mode</x:v>
      </x:c>
      <x:c r="D146" s="66" t="str">
        <x:v>Maintenance受控Jog/Teach</x:v>
      </x:c>
      <x:c r="E146" s="66" t="str">
        <x:v>MotionDebugAdapter/MaintenancePolicy</x:v>
      </x:c>
      <x:c r="F146" s="66" t="str">
        <x:v>Motion.Debug/Security</x:v>
      </x:c>
      <x:c r="G146" s="66" t="str">
        <x:v>27/28 Motion</x:v>
      </x:c>
      <x:c r="H146" s="66" t="str">
        <x:v>独占资源/Interlock/审计</x:v>
      </x:c>
      <x:c r="I146" s="66" t="str">
        <x:v>Axis/Teach Panel</x:v>
      </x:c>
      <x:c r="J146" s="66" t="str">
        <x:v>Safety/security</x:v>
      </x:c>
      <x:c r="K146" s="66" t="str">
        <x:v>Program占轴时不可Jog</x:v>
      </x:c>
      <x:c r="L146" s="66" t="str">
        <x:v>P0</x:v>
      </x:c>
      <x:c r="M146" s="66" t="str">
        <x:v>待完成</x:v>
      </x:c>
    </x:row>
    <x:row r="147">
      <x:c r="A147" s="58" t="n">
        <x:v>139</x:v>
      </x:c>
      <x:c r="B147" s="58" t="str">
        <x:v>M4</x:v>
      </x:c>
      <x:c r="C147" s="58" t="str">
        <x:v>Motion Axis/IO Snapshot</x:v>
      </x:c>
      <x:c r="D147" s="58" t="str">
        <x:v>在线轴/IO/设备状态标准快照</x:v>
      </x:c>
      <x:c r="E147" s="58" t="str">
        <x:v>AxisRuntimeSnapshot/IoRuntimeSnapshot</x:v>
      </x:c>
      <x:c r="F147" s="58" t="str">
        <x:v>Motion.Debug</x:v>
      </x:c>
      <x:c r="G147" s="58" t="str">
        <x:v>27/28 Motion</x:v>
      </x:c>
      <x:c r="H147" s="58" t="str">
        <x:v>状态/质量/命令/报警/误差</x:v>
      </x:c>
      <x:c r="I147" s="58" t="str">
        <x:v>Online Monitor</x:v>
      </x:c>
      <x:c r="J147" s="58" t="str">
        <x:v>Telemetry/perf</x:v>
      </x:c>
      <x:c r="K147" s="58" t="str">
        <x:v>UI降频且不直接读SDK</x:v>
      </x:c>
      <x:c r="L147" s="58" t="str">
        <x:v>P1</x:v>
      </x:c>
      <x:c r="M147" s="58" t="str">
        <x:v>待完成</x:v>
      </x:c>
    </x:row>
    <x:row r="148">
      <x:c r="A148" s="66" t="n">
        <x:v>140</x:v>
      </x:c>
      <x:c r="B148" s="66" t="str">
        <x:v>M4</x:v>
      </x:c>
      <x:c r="C148" s="66" t="str">
        <x:v>Motion Scan/Trigger Orchestration</x:v>
      </x:c>
      <x:c r="D148" s="66" t="str">
        <x:v>连续扫描/PositionCompare/MoveAndTrigger</x:v>
      </x:c>
      <x:c r="E148" s="66" t="str">
        <x:v>ScanMotionNode/TriggerPlan</x:v>
      </x:c>
      <x:c r="F148" s="66" t="str">
        <x:v>Motion.Core/Runtime</x:v>
      </x:c>
      <x:c r="G148" s="66" t="str">
        <x:v>27/28 Motion</x:v>
      </x:c>
      <x:c r="H148" s="66" t="str">
        <x:v>能力协商/触发位置/结果Trace</x:v>
      </x:c>
      <x:c r="I148" s="66" t="str">
        <x:v>Motion Designer/Timeline</x:v>
      </x:c>
      <x:c r="J148" s="66" t="str">
        <x:v>trigger simulation</x:v>
      </x:c>
      <x:c r="K148" s="66" t="str">
        <x:v>高速触发尽量下沉控制器</x:v>
      </x:c>
      <x:c r="L148" s="66" t="str">
        <x:v>P1</x:v>
      </x:c>
      <x:c r="M148" s="66" t="str">
        <x:v>待完成</x:v>
      </x:c>
    </x:row>
    <x:row r="149">
      <x:c r="A149" s="58" t="n">
        <x:v>141</x:v>
      </x:c>
      <x:c r="B149" s="58" t="str">
        <x:v>M4</x:v>
      </x:c>
      <x:c r="C149" s="58" t="str">
        <x:v>Motion Online Diff</x:v>
      </x:c>
      <x:c r="D149" s="58" t="str">
        <x:v>Design/Target Program/Profile/PointTable比较</x:v>
      </x:c>
      <x:c r="E149" s="58" t="str">
        <x:v>OnlineVersionDiffService</x:v>
      </x:c>
      <x:c r="F149" s="58" t="str">
        <x:v>Versioning/Motion</x:v>
      </x:c>
      <x:c r="G149" s="58" t="str">
        <x:v>21 Graph Online Debug</x:v>
      </x:c>
      <x:c r="H149" s="58" t="str">
        <x:v>Attach前Diff/兼容性</x:v>
      </x:c>
      <x:c r="I149" s="58" t="str">
        <x:v>Motion Debug</x:v>
      </x:c>
      <x:c r="J149" s="58" t="str">
        <x:v>version tests</x:v>
      </x:c>
      <x:c r="K149" s="58" t="str">
        <x:v>不调试错误版本</x:v>
      </x:c>
      <x:c r="L149" s="58" t="str">
        <x:v>P1</x:v>
      </x:c>
      <x:c r="M149" s="58" t="str">
        <x:v>待完成</x:v>
      </x:c>
    </x:row>
    <x:row r="150">
      <x:c r="A150" s="66" t="n">
        <x:v>142</x:v>
      </x:c>
      <x:c r="B150" s="66" t="str">
        <x:v>M4</x:v>
      </x:c>
      <x:c r="C150" s="66" t="str">
        <x:v>Motion Debug Override/Promote</x:v>
      </x:c>
      <x:c r="D150" s="66" t="str">
        <x:v>速度/目标/Timeout等Session override与回写</x:v>
      </x:c>
      <x:c r="E150" s="66" t="str">
        <x:v>DebugOverrideStore/MotionChangeSet</x:v>
      </x:c>
      <x:c r="F150" s="66" t="str">
        <x:v>Motion.Debug/Application</x:v>
      </x:c>
      <x:c r="G150" s="66" t="str">
        <x:v>03/04 Platform</x:v>
      </x:c>
      <x:c r="H150" s="66" t="str">
        <x:v>白名单/限值/Stop清/Promote</x:v>
      </x:c>
      <x:c r="I150" s="66" t="str">
        <x:v>Inspector/Debug</x:v>
      </x:c>
      <x:c r="J150" s="66" t="str">
        <x:v>override/undo</x:v>
      </x:c>
      <x:c r="K150" s="66" t="str">
        <x:v>调试不污染Definition</x:v>
      </x:c>
      <x:c r="L150" s="66" t="str">
        <x:v>P0</x:v>
      </x:c>
      <x:c r="M150" s="66" t="str">
        <x:v>待完成</x:v>
      </x:c>
    </x:row>
    <x:row r="151">
      <x:c r="A151" s="58" t="n">
        <x:v>143</x:v>
      </x:c>
      <x:c r="B151" s="58" t="str">
        <x:v>M4</x:v>
      </x:c>
      <x:c r="C151" s="58" t="str">
        <x:v>Motion Fault/Resource Diagnostics</x:v>
      </x:c>
      <x:c r="D151" s="58" t="str">
        <x:v>Interlock/Resource wait/Axis fault根因链</x:v>
      </x:c>
      <x:c r="E151" s="58" t="str">
        <x:v>MotionDiagnosticSnapshot</x:v>
      </x:c>
      <x:c r="F151" s="58" t="str">
        <x:v>Motion.Runtime/Debug</x:v>
      </x:c>
      <x:c r="G151" s="58" t="str">
        <x:v>25 Graph Perf/Diagnostics</x:v>
      </x:c>
      <x:c r="H151" s="58" t="str">
        <x:v>FailedRule/Lease/CommandId/AxisState</x:v>
      </x:c>
      <x:c r="I151" s="58" t="str">
        <x:v>Diagnostics/Timeline</x:v>
      </x:c>
      <x:c r="J151" s="58" t="str">
        <x:v>fault injection</x:v>
      </x:c>
      <x:c r="K151" s="58" t="str">
        <x:v>故障可定位可恢复</x:v>
      </x:c>
      <x:c r="L151" s="58" t="str">
        <x:v>P0</x:v>
      </x:c>
      <x:c r="M151" s="58" t="str">
        <x:v>待完成</x:v>
      </x:c>
    </x:row>
    <x:row r="152">
      <x:c r="A152" s="66" t="n">
        <x:v>144</x:v>
      </x:c>
      <x:c r="B152" s="66" t="str">
        <x:v>M4</x:v>
      </x:c>
      <x:c r="C152" s="66" t="str">
        <x:v>Motion Live E2E</x:v>
      </x:c>
      <x:c r="D152" s="66" t="str">
        <x:v>Studio→Agent→Motion→Adapter→Device完整在线链</x:v>
      </x:c>
      <x:c r="E152" s="66" t="str">
        <x:v>MotionDebugE2ETests</x:v>
      </x:c>
      <x:c r="F152" s="66" t="str">
        <x:v>Tests</x:v>
      </x:c>
      <x:c r="G152" s="66" t="str">
        <x:v>27/28 Motion</x:v>
      </x:c>
      <x:c r="H152" s="66" t="str">
        <x:v>Attach/Step/Jog/Disconnect/Reconcile</x:v>
      </x:c>
      <x:c r="I152" s="66" t="str">
        <x:v>Motion Debug</x:v>
      </x:c>
      <x:c r="J152" s="66" t="str">
        <x:v>E2E/network/safety</x:v>
      </x:c>
      <x:c r="K152" s="66" t="str">
        <x:v>实机调试协议闭环</x:v>
      </x:c>
      <x:c r="L152" s="66" t="str">
        <x:v>P0</x:v>
      </x:c>
      <x:c r="M152" s="66" t="str">
        <x:v>待完成</x:v>
      </x:c>
    </x:row>
    <x:row r="153">
      <x:c r="A153" s="58" t="n">
        <x:v>145</x:v>
      </x:c>
      <x:c r="B153" s="58" t="str">
        <x:v>M5</x:v>
      </x:c>
      <x:c r="C153" s="58" t="str">
        <x:v>Vision Sample / Golden</x:v>
      </x:c>
      <x:c r="D153" s="58" t="str">
        <x:v>样本集、Golden基准与版本化</x:v>
      </x:c>
      <x:c r="E153" s="58" t="str">
        <x:v>SampleSet/GoldenCase/BatchRun</x:v>
      </x:c>
      <x:c r="F153" s="58" t="str">
        <x:v>Vision.Application/Tests</x:v>
      </x:c>
      <x:c r="G153" s="58" t="str">
        <x:v>31/32 Vision</x:v>
      </x:c>
      <x:c r="H153" s="58" t="str">
        <x:v>样本标签/期望结果/容差/批量执行</x:v>
      </x:c>
      <x:c r="I153" s="58" t="str">
        <x:v>Sample/QA Workspace</x:v>
      </x:c>
      <x:c r="J153" s="58" t="str">
        <x:v>Golden regression</x:v>
      </x:c>
      <x:c r="K153" s="58" t="str">
        <x:v>算法质量可自动回归</x:v>
      </x:c>
      <x:c r="L153" s="58" t="str">
        <x:v>P0</x:v>
      </x:c>
      <x:c r="M153" s="58" t="str">
        <x:v>待完成</x:v>
      </x:c>
    </x:row>
    <x:row r="154">
      <x:c r="A154" s="66" t="n">
        <x:v>146</x:v>
      </x:c>
      <x:c r="B154" s="66" t="str">
        <x:v>M5</x:v>
      </x:c>
      <x:c r="C154" s="66" t="str">
        <x:v>Vision Model / Calibration Manager</x:v>
      </x:c>
      <x:c r="D154" s="66" t="str">
        <x:v>模型/校正资源版本、Hash与适用条件</x:v>
      </x:c>
      <x:c r="E154" s="66" t="str">
        <x:v>ModelArtifact/CalibrationArtifact</x:v>
      </x:c>
      <x:c r="F154" s="66" t="str">
        <x:v>Vision.Core/Application</x:v>
      </x:c>
      <x:c r="G154" s="66" t="str">
        <x:v>31/32 Vision</x:v>
      </x:c>
      <x:c r="H154" s="66" t="str">
        <x:v>ONNX/TensorRT/FlatField/Geometry/CAD等管理</x:v>
      </x:c>
      <x:c r="I154" s="66" t="str">
        <x:v>Model/Calibration UI</x:v>
      </x:c>
      <x:c r="J154" s="66" t="str">
        <x:v>version/load tests</x:v>
      </x:c>
      <x:c r="K154" s="66" t="str">
        <x:v>RunManifest可重现依赖</x:v>
      </x:c>
      <x:c r="L154" s="66" t="str">
        <x:v>P0</x:v>
      </x:c>
      <x:c r="M154" s="66" t="str">
        <x:v>待完成</x:v>
      </x:c>
    </x:row>
    <x:row r="155">
      <x:c r="A155" s="58" t="n">
        <x:v>147</x:v>
      </x:c>
      <x:c r="B155" s="58" t="str">
        <x:v>M5</x:v>
      </x:c>
      <x:c r="C155" s="58" t="str">
        <x:v>Vision ROI / Geometry Editor</x:v>
      </x:c>
      <x:c r="D155" s="58" t="str">
        <x:v>ROI/Region/Pose/坐标系可视编辑</x:v>
      </x:c>
      <x:c r="E155" s="58" t="str">
        <x:v>VisionGeometryModels/Editor</x:v>
      </x:c>
      <x:c r="F155" s="58" t="str">
        <x:v>Vision.Designer</x:v>
      </x:c>
      <x:c r="G155" s="58" t="str">
        <x:v>08 Renderer/Geometry</x:v>
      </x:c>
      <x:c r="H155" s="58" t="str">
        <x:v>多ROI/相对ROI/坐标变换</x:v>
      </x:c>
      <x:c r="I155" s="58" t="str">
        <x:v>Image Canvas</x:v>
      </x:c>
      <x:c r="J155" s="58" t="str">
        <x:v>geometry roundtrip</x:v>
      </x:c>
      <x:c r="K155" s="58" t="str">
        <x:v>Core不引用WPF Geometry</x:v>
      </x:c>
      <x:c r="L155" s="58" t="str">
        <x:v>P1</x:v>
      </x:c>
      <x:c r="M155" s="58" t="str">
        <x:v>待完成</x:v>
      </x:c>
    </x:row>
    <x:row r="156">
      <x:c r="A156" s="66" t="n">
        <x:v>148</x:v>
      </x:c>
      <x:c r="B156" s="66" t="str">
        <x:v>M5</x:v>
      </x:c>
      <x:c r="C156" s="66" t="str">
        <x:v>Vision Execution Modes</x:v>
      </x:c>
      <x:c r="D156" s="66" t="str">
        <x:v>SingleShot/Batch/Streaming/SubPipeline/Remote Worker</x:v>
      </x:c>
      <x:c r="E156" s="66" t="str">
        <x:v>VisionExecutionPolicy</x:v>
      </x:c>
      <x:c r="F156" s="66" t="str">
        <x:v>Vision.Runtime</x:v>
      </x:c>
      <x:c r="G156" s="66" t="str">
        <x:v>03/04 Platform</x:v>
      </x:c>
      <x:c r="H156" s="66" t="str">
        <x:v>触发/队列/并发/结果策略</x:v>
      </x:c>
      <x:c r="I156" s="66" t="str">
        <x:v>Runtime/Debug</x:v>
      </x:c>
      <x:c r="J156" s="66" t="str">
        <x:v>mode tests</x:v>
      </x:c>
      <x:c r="K156" s="66" t="str">
        <x:v>每种模式Backpressure明确</x:v>
      </x:c>
      <x:c r="L156" s="66" t="str">
        <x:v>P0</x:v>
      </x:c>
      <x:c r="M156" s="66" t="str">
        <x:v>待完成</x:v>
      </x:c>
    </x:row>
    <x:row r="157">
      <x:c r="A157" s="58" t="n">
        <x:v>149</x:v>
      </x:c>
      <x:c r="B157" s="58" t="str">
        <x:v>M5</x:v>
      </x:c>
      <x:c r="C157" s="58" t="str">
        <x:v>Vision Streaming Backpressure</x:v>
      </x:c>
      <x:c r="D157" s="58" t="str">
        <x:v>连续Frame有界队列策略</x:v>
      </x:c>
      <x:c r="E157" s="58" t="str">
        <x:v>FrameQueue/BackpressurePolicy</x:v>
      </x:c>
      <x:c r="F157" s="58" t="str">
        <x:v>Vision.Runtime</x:v>
      </x:c>
      <x:c r="G157" s="58" t="str">
        <x:v>23 Graph Runtime/Reliability</x:v>
      </x:c>
      <x:c r="H157" s="58" t="str">
        <x:v>LatestOnly/DropOldest/Block/EveryN</x:v>
      </x:c>
      <x:c r="I157" s="58" t="str">
        <x:v>Health/Profiler</x:v>
      </x:c>
      <x:c r="J157" s="58" t="str">
        <x:v>stress/72h</x:v>
      </x:c>
      <x:c r="K157" s="58" t="str">
        <x:v>无无限队列</x:v>
      </x:c>
      <x:c r="L157" s="58" t="str">
        <x:v>P0</x:v>
      </x:c>
      <x:c r="M157" s="58" t="str">
        <x:v>待完成</x:v>
      </x:c>
    </x:row>
    <x:row r="158">
      <x:c r="A158" s="66" t="n">
        <x:v>150</x:v>
      </x:c>
      <x:c r="B158" s="66" t="str">
        <x:v>M5</x:v>
      </x:c>
      <x:c r="C158" s="66" t="str">
        <x:v>Vision Data Viewer / Artifact Channel</x:v>
      </x:c>
      <x:c r="D158" s="66" t="str">
        <x:v>Image/Region/Detection/Volume按需查看</x:v>
      </x:c>
      <x:c r="E158" s="66" t="str">
        <x:v>DataSnapshotService/IDebugArtifactChannel</x:v>
      </x:c>
      <x:c r="F158" s="66" t="str">
        <x:v>Vision.Debug</x:v>
      </x:c>
      <x:c r="G158" s="66" t="str">
        <x:v>21 Graph Online Debug</x:v>
      </x:c>
      <x:c r="H158" s="66" t="str">
        <x:v>Ref/Pin/Artifact/懒加载</x:v>
      </x:c>
      <x:c r="I158" s="66" t="str">
        <x:v>Data Viewer</x:v>
      </x:c>
      <x:c r="J158" s="66" t="str">
        <x:v>memory/network</x:v>
      </x:c>
      <x:c r="K158" s="66" t="str">
        <x:v>大对象不塞Telemetry</x:v>
      </x:c>
      <x:c r="L158" s="66" t="str">
        <x:v>P0</x:v>
      </x:c>
      <x:c r="M158" s="66" t="str">
        <x:v>待完成</x:v>
      </x:c>
    </x:row>
    <x:row r="159">
      <x:c r="A159" s="58" t="n">
        <x:v>151</x:v>
      </x:c>
      <x:c r="B159" s="58" t="str">
        <x:v>M5</x:v>
      </x:c>
      <x:c r="C159" s="58" t="str">
        <x:v>Vision RunNode / RunTo / RunFrom</x:v>
      </x:c>
      <x:c r="D159" s="58" t="str">
        <x:v>局部ExecutionPlan调试</x:v>
      </x:c>
      <x:c r="E159" s="58" t="str">
        <x:v>VisionDebugAdapter/PartialPlanBuilder</x:v>
      </x:c>
      <x:c r="F159" s="58" t="str">
        <x:v>Vision.Debug/Runtime</x:v>
      </x:c>
      <x:c r="G159" s="58" t="str">
        <x:v>31/32 Vision</x:v>
      </x:c>
      <x:c r="H159" s="58" t="str">
        <x:v>依赖裁剪/输入快照/中间结果</x:v>
      </x:c>
      <x:c r="I159" s="58" t="str">
        <x:v>Pipeline Debug</x:v>
      </x:c>
      <x:c r="J159" s="58" t="str">
        <x:v>partial plan tests</x:v>
      </x:c>
      <x:c r="K159" s="58" t="str">
        <x:v>不能跳过缺失依赖</x:v>
      </x:c>
      <x:c r="L159" s="58" t="str">
        <x:v>P0</x:v>
      </x:c>
      <x:c r="M159" s="58" t="str">
        <x:v>待完成</x:v>
      </x:c>
    </x:row>
    <x:row r="160">
      <x:c r="A160" s="66" t="n">
        <x:v>152</x:v>
      </x:c>
      <x:c r="B160" s="66" t="str">
        <x:v>M5</x:v>
      </x:c>
      <x:c r="C160" s="66" t="str">
        <x:v>Vision Session Override / Promote</x:v>
      </x:c>
      <x:c r="D160" s="66" t="str">
        <x:v>算法参数/模型debug scope调优</x:v>
      </x:c>
      <x:c r="E160" s="66" t="str">
        <x:v>DebugOverrideStore/VisionChangeSet</x:v>
      </x:c>
      <x:c r="F160" s="66" t="str">
        <x:v>Vision.Debug/Application</x:v>
      </x:c>
      <x:c r="G160" s="66" t="str">
        <x:v>03/04 Platform</x:v>
      </x:c>
      <x:c r="H160" s="66" t="str">
        <x:v>A-B/Compare/Promote</x:v>
      </x:c>
      <x:c r="I160" s="66" t="str">
        <x:v>Inspector/Compare</x:v>
      </x:c>
      <x:c r="J160" s="66" t="str">
        <x:v>override/golden</x:v>
      </x:c>
      <x:c r="K160" s="66" t="str">
        <x:v>Stop后清，正式保存走Command</x:v>
      </x:c>
      <x:c r="L160" s="66" t="str">
        <x:v>P0</x:v>
      </x:c>
      <x:c r="M160" s="66" t="str">
        <x:v>待完成</x:v>
      </x:c>
    </x:row>
    <x:row r="161">
      <x:c r="A161" s="58" t="n">
        <x:v>153</x:v>
      </x:c>
      <x:c r="B161" s="58" t="str">
        <x:v>M5</x:v>
      </x:c>
      <x:c r="C161" s="58" t="str">
        <x:v>Vision Run Compare</x:v>
      </x:c>
      <x:c r="D161" s="58" t="str">
        <x:v>两个Run结果/耗时/版本对比</x:v>
      </x:c>
      <x:c r="E161" s="58" t="str">
        <x:v>RunCompareService</x:v>
      </x:c>
      <x:c r="F161" s="58" t="str">
        <x:v>Vision.Debug/QA</x:v>
      </x:c>
      <x:c r="G161" s="58" t="str">
        <x:v>07 Studio/Designer</x:v>
      </x:c>
      <x:c r="H161" s="58" t="str">
        <x:v>Result/Detection/Measurement/Timing diff</x:v>
      </x:c>
      <x:c r="I161" s="58" t="str">
        <x:v>Compare Workspace</x:v>
      </x:c>
      <x:c r="J161" s="58" t="str">
        <x:v>compare tests</x:v>
      </x:c>
      <x:c r="K161" s="58" t="str">
        <x:v>算法回归可定位</x:v>
      </x:c>
      <x:c r="L161" s="58" t="str">
        <x:v>P1</x:v>
      </x:c>
      <x:c r="M161" s="58" t="str">
        <x:v>待完成</x:v>
      </x:c>
    </x:row>
    <x:row r="162">
      <x:c r="A162" s="66" t="n">
        <x:v>154</x:v>
      </x:c>
      <x:c r="B162" s="66" t="str">
        <x:v>M5</x:v>
      </x:c>
      <x:c r="C162" s="66" t="str">
        <x:v>Vision Buffer / SharedMemory</x:v>
      </x:c>
      <x:c r="D162" s="66" t="str">
        <x:v>Image/Volume Handle所有权与跨进程零/少复制</x:v>
      </x:c>
      <x:c r="E162" s="66" t="str">
        <x:v>VisionDataHandle/BufferPool/SharedMemoryHandle</x:v>
      </x:c>
      <x:c r="F162" s="66" t="str">
        <x:v>Vision.Runtime</x:v>
      </x:c>
      <x:c r="G162" s="66" t="str">
        <x:v>31/32 Vision</x:v>
      </x:c>
      <x:c r="H162" s="66" t="str">
        <x:v>Owner/RefCount/TTL/Dispose</x:v>
      </x:c>
      <x:c r="I162" s="66" t="str">
        <x:v>Profiler</x:v>
      </x:c>
      <x:c r="J162" s="66" t="str">
        <x:v>leak/crash</x:v>
      </x:c>
      <x:c r="K162" s="66" t="str">
        <x:v>无byte[]随意Clone</x:v>
      </x:c>
      <x:c r="L162" s="66" t="str">
        <x:v>P0</x:v>
      </x:c>
      <x:c r="M162" s="66" t="str">
        <x:v>待完成</x:v>
      </x:c>
    </x:row>
    <x:row r="163">
      <x:c r="A163" s="58" t="n">
        <x:v>155</x:v>
      </x:c>
      <x:c r="B163" s="58" t="str">
        <x:v>M5</x:v>
      </x:c>
      <x:c r="C163" s="58" t="str">
        <x:v>Vision Worker / GPU Recovery</x:v>
      </x:c>
      <x:c r="D163" s="58" t="str">
        <x:v>Worker崩溃/GPU OOM/模型重载恢复</x:v>
      </x:c>
      <x:c r="E163" s="58" t="str">
        <x:v>WorkerSupervisor/GpuResourceManager</x:v>
      </x:c>
      <x:c r="F163" s="58" t="str">
        <x:v>Vision.Runtime/Operations</x:v>
      </x:c>
      <x:c r="G163" s="58" t="str">
        <x:v>31/32 Vision</x:v>
      </x:c>
      <x:c r="H163" s="58" t="str">
        <x:v>restart/reload/cancel affected run</x:v>
      </x:c>
      <x:c r="I163" s="58" t="str">
        <x:v>Health/Debug</x:v>
      </x:c>
      <x:c r="J163" s="58" t="str">
        <x:v>crash/GPU stress</x:v>
      </x:c>
      <x:c r="K163" s="58" t="str">
        <x:v>主Runtime不随Worker崩</x:v>
      </x:c>
      <x:c r="L163" s="58" t="str">
        <x:v>P0</x:v>
      </x:c>
      <x:c r="M163" s="58" t="str">
        <x:v>待完成</x:v>
      </x:c>
    </x:row>
    <x:row r="164">
      <x:c r="A164" s="66" t="n">
        <x:v>156</x:v>
      </x:c>
      <x:c r="B164" s="66" t="str">
        <x:v>M5</x:v>
      </x:c>
      <x:c r="C164" s="66" t="str">
        <x:v>Vision Live Debug E2E</x:v>
      </x:c>
      <x:c r="D164" s="66" t="str">
        <x:v>Studio→Agent→Vision Worker→Data Viewer完整链</x:v>
      </x:c>
      <x:c r="E164" s="66" t="str">
        <x:v>VisionDebugE2ETests</x:v>
      </x:c>
      <x:c r="F164" s="66" t="str">
        <x:v>Tests</x:v>
      </x:c>
      <x:c r="G164" s="66" t="str">
        <x:v>31/32 Vision</x:v>
      </x:c>
      <x:c r="H164" s="66" t="str">
        <x:v>Live Freeze/RunTo/Override/Disconnect/Replay</x:v>
      </x:c>
      <x:c r="I164" s="66" t="str">
        <x:v>Vision Debug</x:v>
      </x:c>
      <x:c r="J164" s="66" t="str">
        <x:v>E2E/perf</x:v>
      </x:c>
      <x:c r="K164" s="66" t="str">
        <x:v>在线调试不拖慢生产</x:v>
      </x:c>
      <x:c r="L164" s="66" t="str">
        <x:v>P0</x:v>
      </x:c>
      <x:c r="M164" s="66" t="str">
        <x:v>待完成</x:v>
      </x:c>
    </x:row>
    <x:row r="165">
      <x:c r="A165" s="58" t="n">
        <x:v>157</x:v>
      </x:c>
      <x:c r="B165" s="58" t="str">
        <x:v>M6</x:v>
      </x:c>
      <x:c r="C165" s="58" t="str">
        <x:v>Inspection Product/Result Schema</x:v>
      </x:c>
      <x:c r="D165" s="58" t="str">
        <x:v>Product/Point/Result Context可版本化契约</x:v>
      </x:c>
      <x:c r="E165" s="58" t="str">
        <x:v>ProductContextSchema/ResultSchema</x:v>
      </x:c>
      <x:c r="F165" s="58" t="str">
        <x:v>Inspection.Core</x:v>
      </x:c>
      <x:c r="G165" s="58" t="str">
        <x:v>35/36 Inspection</x:v>
      </x:c>
      <x:c r="H165" s="58" t="str">
        <x:v>字段/缺陷/测量/Artifact/Review</x:v>
      </x:c>
      <x:c r="I165" s="58" t="str">
        <x:v>Schema Editor/Runtime</x:v>
      </x:c>
      <x:c r="J165" s="58" t="str">
        <x:v>contract/migration</x:v>
      </x:c>
      <x:c r="K165" s="58" t="str">
        <x:v>业务上下文不使用Dictionary无约束扩展</x:v>
      </x:c>
      <x:c r="L165" s="58" t="str">
        <x:v>P0</x:v>
      </x:c>
      <x:c r="M165" s="58" t="str">
        <x:v>待完成</x:v>
      </x:c>
    </x:row>
    <x:row r="166">
      <x:c r="A166" s="66" t="n">
        <x:v>158</x:v>
      </x:c>
      <x:c r="B166" s="66" t="str">
        <x:v>M6</x:v>
      </x:c>
      <x:c r="C166" s="66" t="str">
        <x:v>Inspection Station / Task Scheduler</x:v>
      </x:c>
      <x:c r="D166" s="66" t="str">
        <x:v>多Task/工位/流水线调度</x:v>
      </x:c>
      <x:c r="E166" s="66" t="str">
        <x:v>InspectionTaskScheduler/StationDefinition</x:v>
      </x:c>
      <x:c r="F166" s="66" t="str">
        <x:v>Inspection.Runtime</x:v>
      </x:c>
      <x:c r="G166" s="66" t="str">
        <x:v>35/36 Inspection</x:v>
      </x:c>
      <x:c r="H166" s="66" t="str">
        <x:v>并发/Capacity/Priority/Station Lease</x:v>
      </x:c>
      <x:c r="I166" s="66" t="str">
        <x:v>Task/Station Monitor</x:v>
      </x:c>
      <x:c r="J166" s="66" t="str">
        <x:v>concurrency</x:v>
      </x:c>
      <x:c r="K166" s="66" t="str">
        <x:v>多产品不串Context/资源</x:v>
      </x:c>
      <x:c r="L166" s="66" t="str">
        <x:v>P0</x:v>
      </x:c>
      <x:c r="M166" s="66" t="str">
        <x:v>待完成</x:v>
      </x:c>
    </x:row>
    <x:row r="167">
      <x:c r="A167" s="58" t="n">
        <x:v>159</x:v>
      </x:c>
      <x:c r="B167" s="58" t="str">
        <x:v>M6</x:v>
      </x:c>
      <x:c r="C167" s="58" t="str">
        <x:v>Inspection Context Merge</x:v>
      </x:c>
      <x:c r="D167" s="58" t="str">
        <x:v>并行分支Context作用域与Join合并规则</x:v>
      </x:c>
      <x:c r="E167" s="58" t="str">
        <x:v>ContextScope/MergePolicy</x:v>
      </x:c>
      <x:c r="F167" s="58" t="str">
        <x:v>Inspection.Runtime</x:v>
      </x:c>
      <x:c r="G167" s="58" t="str">
        <x:v>03/04 Platform</x:v>
      </x:c>
      <x:c r="H167" s="58" t="str">
        <x:v>Fork/Join/冲突检测</x:v>
      </x:c>
      <x:c r="I167" s="58" t="str">
        <x:v>Debug Context</x:v>
      </x:c>
      <x:c r="J167" s="58" t="str">
        <x:v>race tests</x:v>
      </x:c>
      <x:c r="K167" s="58" t="str">
        <x:v>禁止并行分支随意写同字段</x:v>
      </x:c>
      <x:c r="L167" s="58" t="str">
        <x:v>P0</x:v>
      </x:c>
      <x:c r="M167" s="58" t="str">
        <x:v>待完成</x:v>
      </x:c>
    </x:row>
    <x:row r="168">
      <x:c r="A168" s="66" t="n">
        <x:v>160</x:v>
      </x:c>
      <x:c r="B168" s="66" t="str">
        <x:v>M6</x:v>
      </x:c>
      <x:c r="C168" s="66" t="str">
        <x:v>Inspection Error / Retest Policy</x:v>
      </x:c>
      <x:c r="D168" s="66" t="str">
        <x:v>错误分类与Retry/Retest/Review/Compensate</x:v>
      </x:c>
      <x:c r="E168" s="66" t="str">
        <x:v>ErrorPolicy/RetestPolicy</x:v>
      </x:c>
      <x:c r="F168" s="66" t="str">
        <x:v>Inspection.Core/Runtime</x:v>
      </x:c>
      <x:c r="G168" s="66" t="str">
        <x:v>35/36 Inspection</x:v>
      </x:c>
      <x:c r="H168" s="66" t="str">
        <x:v>按错误/缺陷/点位/次数路由</x:v>
      </x:c>
      <x:c r="I168" s="66" t="str">
        <x:v>Policy Editor/Debug</x:v>
      </x:c>
      <x:c r="J168" s="66" t="str">
        <x:v>scenario</x:v>
      </x:c>
      <x:c r="K168" s="66" t="str">
        <x:v>异常处理显式可配置</x:v>
      </x:c>
      <x:c r="L168" s="66" t="str">
        <x:v>P0</x:v>
      </x:c>
      <x:c r="M168" s="66" t="str">
        <x:v>待完成</x:v>
      </x:c>
    </x:row>
    <x:row r="169">
      <x:c r="A169" s="58" t="n">
        <x:v>161</x:v>
      </x:c>
      <x:c r="B169" s="58" t="str">
        <x:v>M6</x:v>
      </x:c>
      <x:c r="C169" s="58" t="str">
        <x:v>Inspection ExternalOperation Record</x:v>
      </x:c>
      <x:c r="D169" s="58" t="str">
        <x:v>MES/文件/外部副作用幂等与对账</x:v>
      </x:c>
      <x:c r="E169" s="58" t="str">
        <x:v>ExternalOperationRecord/IdempotencyService</x:v>
      </x:c>
      <x:c r="F169" s="58" t="str">
        <x:v>Inspection.Persistence/Integration</x:v>
      </x:c>
      <x:c r="G169" s="58" t="str">
        <x:v>35/36 Inspection</x:v>
      </x:c>
      <x:c r="H169" s="58" t="str">
        <x:v>send-before/ack/unknown/reconcile</x:v>
      </x:c>
      <x:c r="I169" s="58" t="str">
        <x:v>MES Queue/Recovery</x:v>
      </x:c>
      <x:c r="J169" s="58" t="str">
        <x:v>duplicate/recovery</x:v>
      </x:c>
      <x:c r="K169" s="58" t="str">
        <x:v>恢复不重复上报</x:v>
      </x:c>
      <x:c r="L169" s="58" t="str">
        <x:v>P0</x:v>
      </x:c>
      <x:c r="M169" s="58" t="str">
        <x:v>待完成</x:v>
      </x:c>
    </x:row>
    <x:row r="170">
      <x:c r="A170" s="66" t="n">
        <x:v>162</x:v>
      </x:c>
      <x:c r="B170" s="66" t="str">
        <x:v>M6</x:v>
      </x:c>
      <x:c r="C170" s="66" t="str">
        <x:v>Inspection TaskEvent / Checkpoint</x:v>
      </x:c>
      <x:c r="D170" s="66" t="str">
        <x:v>append-only事件+最小恢复快照</x:v>
      </x:c>
      <x:c r="E170" s="66" t="str">
        <x:v>TaskEvent/InspectionCheckpoint</x:v>
      </x:c>
      <x:c r="F170" s="66" t="str">
        <x:v>Inspection.Persistence</x:v>
      </x:c>
      <x:c r="G170" s="66" t="str">
        <x:v>35/36 Inspection</x:v>
      </x:c>
      <x:c r="H170" s="66" t="str">
        <x:v>边界/Context/版本/外部操作引用</x:v>
      </x:c>
      <x:c r="I170" s="66" t="str">
        <x:v>Timeline/Recovery</x:v>
      </x:c>
      <x:c r="J170" s="66" t="str">
        <x:v>kill/restart</x:v>
      </x:c>
      <x:c r="K170" s="66" t="str">
        <x:v>不把大图写Checkpoint</x:v>
      </x:c>
      <x:c r="L170" s="66" t="str">
        <x:v>P0</x:v>
      </x:c>
      <x:c r="M170" s="66" t="str">
        <x:v>待完成</x:v>
      </x:c>
    </x:row>
    <x:row r="171">
      <x:c r="A171" s="58" t="n">
        <x:v>163</x:v>
      </x:c>
      <x:c r="B171" s="58" t="str">
        <x:v>M6</x:v>
      </x:c>
      <x:c r="C171" s="58" t="str">
        <x:v>Inspection Scenario Runner</x:v>
      </x:c>
      <x:c r="D171" s="58" t="str">
        <x:v>正常/NG/超时/断网/Worker崩溃/Review超时/断电场景</x:v>
      </x:c>
      <x:c r="E171" s="58" t="str">
        <x:v>InspectionScenario/ScenarioRunner</x:v>
      </x:c>
      <x:c r="F171" s="58" t="str">
        <x:v>Inspection.Application/Tests</x:v>
      </x:c>
      <x:c r="G171" s="58" t="str">
        <x:v>26 Graph Test/Gate</x:v>
      </x:c>
      <x:c r="H171" s="58" t="str">
        <x:v>仿真输入/故障注入/期望结果</x:v>
      </x:c>
      <x:c r="I171" s="58" t="str">
        <x:v>Scenario Workspace</x:v>
      </x:c>
      <x:c r="J171" s="58" t="str">
        <x:v>scenario suite</x:v>
      </x:c>
      <x:c r="K171" s="58" t="str">
        <x:v>流程发布前可自动验证</x:v>
      </x:c>
      <x:c r="L171" s="58" t="str">
        <x:v>P0</x:v>
      </x:c>
      <x:c r="M171" s="58" t="str">
        <x:v>待完成</x:v>
      </x:c>
    </x:row>
    <x:row r="172">
      <x:c r="A172" s="66" t="n">
        <x:v>164</x:v>
      </x:c>
      <x:c r="B172" s="66" t="str">
        <x:v>M6</x:v>
      </x:c>
      <x:c r="C172" s="66" t="str">
        <x:v>Inspection Online Task Monitor</x:v>
      </x:c>
      <x:c r="D172" s="66" t="str">
        <x:v>Task/Flow/Context/Point/Result/MES/Checkpoint在线监视</x:v>
      </x:c>
      <x:c r="E172" s="66" t="str">
        <x:v>InspectionDebugAdapter/Snapshots</x:v>
      </x:c>
      <x:c r="F172" s="66" t="str">
        <x:v>Inspection.Debug</x:v>
      </x:c>
      <x:c r="G172" s="66" t="str">
        <x:v>22 Graph Integration/Resource</x:v>
      </x:c>
      <x:c r="H172" s="66" t="str">
        <x:v>Attach/Watch/Timeline/Version</x:v>
      </x:c>
      <x:c r="I172" s="66" t="str">
        <x:v>Debug Workspace</x:v>
      </x:c>
      <x:c r="J172" s="66" t="str">
        <x:v>telemetry/UI</x:v>
      </x:c>
      <x:c r="K172" s="66" t="str">
        <x:v>生产Observe默认只读</x:v>
      </x:c>
      <x:c r="L172" s="66" t="str">
        <x:v>P0</x:v>
      </x:c>
      <x:c r="M172" s="66" t="str">
        <x:v>待完成</x:v>
      </x:c>
    </x:row>
    <x:row r="173">
      <x:c r="A173" s="58" t="n">
        <x:v>165</x:v>
      </x:c>
      <x:c r="B173" s="58" t="str">
        <x:v>M6</x:v>
      </x:c>
      <x:c r="C173" s="58" t="str">
        <x:v>Inspection Cross-domain Step Into</x:v>
      </x:c>
      <x:c r="D173" s="58" t="str">
        <x:v>Flow→Motion/Vision子Session调试跳转</x:v>
      </x:c>
      <x:c r="E173" s="58" t="str">
        <x:v>DebugCoordinator/InvocationTrace</x:v>
      </x:c>
      <x:c r="F173" s="58" t="str">
        <x:v>Debug/Inspection</x:v>
      </x:c>
      <x:c r="G173" s="58" t="str">
        <x:v>25 Graph Perf/Diagnostics</x:v>
      </x:c>
      <x:c r="H173" s="58" t="str">
        <x:v>同Correlation调用栈/返回</x:v>
      </x:c>
      <x:c r="I173" s="58" t="str">
        <x:v>Inspection/Motion/Vision Debug</x:v>
      </x:c>
      <x:c r="J173" s="58" t="str">
        <x:v>E2E</x:v>
      </x:c>
      <x:c r="K173" s="58" t="str">
        <x:v>跨域版本/Trace不断链</x:v>
      </x:c>
      <x:c r="L173" s="58" t="str">
        <x:v>P0</x:v>
      </x:c>
      <x:c r="M173" s="58" t="str">
        <x:v>待完成</x:v>
      </x:c>
    </x:row>
    <x:row r="174">
      <x:c r="A174" s="66" t="n">
        <x:v>166</x:v>
      </x:c>
      <x:c r="B174" s="66" t="str">
        <x:v>M6</x:v>
      </x:c>
      <x:c r="C174" s="66" t="str">
        <x:v>Inspection Production Debug Policy</x:v>
      </x:c>
      <x:c r="D174" s="66" t="str">
        <x:v>生产Task与Live Test Task调试权限区分</x:v>
      </x:c>
      <x:c r="E174" s="66" t="str">
        <x:v>InspectionDebugPolicy</x:v>
      </x:c>
      <x:c r="F174" s="66" t="str">
        <x:v>Inspection.Debug/Security</x:v>
      </x:c>
      <x:c r="G174" s="66" t="str">
        <x:v>14 Security</x:v>
      </x:c>
      <x:c r="H174" s="66" t="str">
        <x:v>Skip/Retry/Context edit/Review权限矩阵</x:v>
      </x:c>
      <x:c r="I174" s="66" t="str">
        <x:v>Debug UI</x:v>
      </x:c>
      <x:c r="J174" s="66" t="str">
        <x:v>security</x:v>
      </x:c>
      <x:c r="K174" s="66" t="str">
        <x:v>生产Task不自由修改运行状态</x:v>
      </x:c>
      <x:c r="L174" s="66" t="str">
        <x:v>P0</x:v>
      </x:c>
      <x:c r="M174" s="66" t="str">
        <x:v>待完成</x:v>
      </x:c>
    </x:row>
    <x:row r="175">
      <x:c r="A175" s="58" t="n">
        <x:v>167</x:v>
      </x:c>
      <x:c r="B175" s="58" t="str">
        <x:v>M6</x:v>
      </x:c>
      <x:c r="C175" s="58" t="str">
        <x:v>Inspection Rolling Version</x:v>
      </x:c>
      <x:c r="D175" s="58" t="str">
        <x:v>Active Task旧版本共存，新Task新版本</x:v>
      </x:c>
      <x:c r="E175" s="58" t="str">
        <x:v>VersionRetention/ResolvedTaskManifest</x:v>
      </x:c>
      <x:c r="F175" s="58" t="str">
        <x:v>Inspection.Runtime/Versioning</x:v>
      </x:c>
      <x:c r="G175" s="58" t="str">
        <x:v>24 Graph SDK/Plugin</x:v>
      </x:c>
      <x:c r="H175" s="58" t="str">
        <x:v>Flow/Motion/Vision/Model/Recipe plan retention</x:v>
      </x:c>
      <x:c r="I175" s="58" t="str">
        <x:v>Version Panel</x:v>
      </x:c>
      <x:c r="J175" s="58" t="str">
        <x:v>rolling tests</x:v>
      </x:c>
      <x:c r="K175" s="58" t="str">
        <x:v>在制任务不静默漂移</x:v>
      </x:c>
      <x:c r="L175" s="58" t="str">
        <x:v>P0</x:v>
      </x:c>
      <x:c r="M175" s="58" t="str">
        <x:v>待完成</x:v>
      </x:c>
    </x:row>
    <x:row r="176">
      <x:c r="A176" s="66" t="n">
        <x:v>168</x:v>
      </x:c>
      <x:c r="B176" s="66" t="str">
        <x:v>M6</x:v>
      </x:c>
      <x:c r="C176" s="66" t="str">
        <x:v>Inspection Recovery / Debug E2E</x:v>
      </x:c>
      <x:c r="D176" s="66" t="str">
        <x:v>断电/MES未知Ack/Motion故障/Vision Worker崩溃恢复</x:v>
      </x:c>
      <x:c r="E176" s="66" t="str">
        <x:v>InspectionRecoveryE2ETests</x:v>
      </x:c>
      <x:c r="F176" s="66" t="str">
        <x:v>Tests</x:v>
      </x:c>
      <x:c r="G176" s="66" t="str">
        <x:v>26 Graph Test/Gate</x:v>
      </x:c>
      <x:c r="H176" s="66" t="str">
        <x:v>Checkpoint+Reconcile+Resume+跨域Trace</x:v>
      </x:c>
      <x:c r="I176" s="66" t="str">
        <x:v>Recovery Debug</x:v>
      </x:c>
      <x:c r="J176" s="66" t="str">
        <x:v>fault injection</x:v>
      </x:c>
      <x:c r="K176" s="66" t="str">
        <x:v>恢复可证明、不重复副作用</x:v>
      </x:c>
      <x:c r="L176" s="66" t="str">
        <x:v>P0</x:v>
      </x:c>
      <x:c r="M176" s="66" t="str">
        <x:v>待完成</x:v>
      </x:c>
    </x:row>
    <x:row r="177">
      <x:c r="A177" s="58" t="n">
        <x:v>169</x:v>
      </x:c>
      <x:c r="B177" s="58" t="str">
        <x:v>M5</x:v>
      </x:c>
      <x:c r="C177" s="58" t="str">
        <x:v>CT/3D专业数据契约</x:v>
      </x:c>
      <x:c r="D177" s="58" t="str">
        <x:v>ProjectionSeries/CTGeometry/Volume3D/Region3D/Mesh3D/Measurement3D稳定类型</x:v>
      </x:c>
      <x:c r="E177" s="58" t="str">
        <x:v>CT3D contracts</x:v>
      </x:c>
      <x:c r="F177" s="58" t="str">
        <x:v>Vision3D.Core/TypeSystem</x:v>
      </x:c>
      <x:c r="G177" s="58" t="str">
        <x:v>33/34 CT3D</x:v>
      </x:c>
      <x:c r="H177" s="58" t="str">
        <x:v>新增TypeId/Schema/坐标/单位/Quality</x:v>
      </x:c>
      <x:c r="I177" s="58" t="str">
        <x:v>CT/3D Studio/Runtime</x:v>
      </x:c>
      <x:c r="J177" s="58" t="str">
        <x:v>RoundTrip/Contract/Migration</x:v>
      </x:c>
      <x:c r="K177" s="58" t="str">
        <x:v>不使用Vendor/VTK对象作为Core契约</x:v>
      </x:c>
      <x:c r="L177" s="58" t="str">
        <x:v>P0</x:v>
      </x:c>
      <x:c r="M177" s="58" t="str">
        <x:v>待完成</x:v>
      </x:c>
    </x:row>
    <x:row r="178">
      <x:c r="A178" s="66" t="n">
        <x:v>170</x:v>
      </x:c>
      <x:c r="B178" s="66" t="str">
        <x:v>M5</x:v>
      </x:c>
      <x:c r="C178" s="66" t="str">
        <x:v>CT Geometry/Calibration</x:v>
      </x:c>
      <x:c r="D178" s="66" t="str">
        <x:v>CT几何与Dark/Flat/Geometric/Pixel等校正版本管理</x:v>
      </x:c>
      <x:c r="E178" s="66" t="str">
        <x:v>CTGeometry/CalibrationArtifact</x:v>
      </x:c>
      <x:c r="F178" s="66" t="str">
        <x:v>Vision3D.Core/Application</x:v>
      </x:c>
      <x:c r="G178" s="66" t="str">
        <x:v>33/34 CT3D</x:v>
      </x:c>
      <x:c r="H178" s="66" t="str">
        <x:v>Geometry Editor/Resolver/Version</x:v>
      </x:c>
      <x:c r="I178" s="66" t="str">
        <x:v>CT Studio/Runtime</x:v>
      </x:c>
      <x:c r="J178" s="66" t="str">
        <x:v>Geometry golden/compatibility</x:v>
      </x:c>
      <x:c r="K178" s="66" t="str">
        <x:v>重建RunManifest完整记录几何/校正</x:v>
      </x:c>
      <x:c r="L178" s="66" t="str">
        <x:v>P0</x:v>
      </x:c>
      <x:c r="M178" s="66" t="str">
        <x:v>待完成</x:v>
      </x:c>
    </x:row>
    <x:row r="179">
      <x:c r="A179" s="58" t="n">
        <x:v>171</x:v>
      </x:c>
      <x:c r="B179" s="58" t="str">
        <x:v>M5</x:v>
      </x:c>
      <x:c r="C179" s="58" t="str">
        <x:v>ProjectionSeries/Artifact</x:v>
      </x:c>
      <x:c r="D179" s="58" t="str">
        <x:v>投影序列元数据、索引、缺帧检测、大数据Artifact管理</x:v>
      </x:c>
      <x:c r="E179" s="58" t="str">
        <x:v>ProjectionSeries/ProjectionHandle</x:v>
      </x:c>
      <x:c r="F179" s="58" t="str">
        <x:v>Vision3D.Core/Runtime</x:v>
      </x:c>
      <x:c r="G179" s="58" t="str">
        <x:v>33/34 CT3D</x:v>
      </x:c>
      <x:c r="H179" s="58" t="str">
        <x:v>Series manifest/chunk/artifact/quality</x:v>
      </x:c>
      <x:c r="I179" s="58" t="str">
        <x:v>Projection Browser</x:v>
      </x:c>
      <x:c r="J179" s="58" t="str">
        <x:v>large-data/series fault</x:v>
      </x:c>
      <x:c r="K179" s="58" t="str">
        <x:v>不把Image[]/byte[]整套塞内存</x:v>
      </x:c>
      <x:c r="L179" s="58" t="str">
        <x:v>P0</x:v>
      </x:c>
      <x:c r="M179" s="58" t="str">
        <x:v>待完成</x:v>
      </x:c>
    </x:row>
    <x:row r="180">
      <x:c r="A180" s="66" t="n">
        <x:v>172</x:v>
      </x:c>
      <x:c r="B180" s="66" t="str">
        <x:v>M5</x:v>
      </x:c>
      <x:c r="C180" s="66" t="str">
        <x:v>CT Compiler/Reconstruction Plan</x:v>
      </x:c>
      <x:c r="D180" s="66" t="str">
        <x:v>CT Pipeline校验解析并生成不可变重建计划</x:v>
      </x:c>
      <x:c r="E180" s="66" t="str">
        <x:v>CTValidator/CTCompiler/CTExecutionPlan</x:v>
      </x:c>
      <x:c r="F180" s="66" t="str">
        <x:v>Vision3D.Runtime</x:v>
      </x:c>
      <x:c r="G180" s="66" t="str">
        <x:v>33/34 CT3D</x:v>
      </x:c>
      <x:c r="H180" s="66" t="str">
        <x:v>Geometry/Algorithm/GPU/TempStore/Worker resolve</x:v>
      </x:c>
      <x:c r="I180" s="66" t="str">
        <x:v>Compile/Debug</x:v>
      </x:c>
      <x:c r="J180" s="66" t="str">
        <x:v>negative/plan hash</x:v>
      </x:c>
      <x:c r="K180" s="66" t="str">
        <x:v>运行不临时解释设计树</x:v>
      </x:c>
      <x:c r="L180" s="66" t="str">
        <x:v>P0</x:v>
      </x:c>
      <x:c r="M180" s="66" t="str">
        <x:v>待完成</x:v>
      </x:c>
    </x:row>
    <x:row r="181">
      <x:c r="A181" s="58" t="n">
        <x:v>173</x:v>
      </x:c>
      <x:c r="B181" s="58" t="str">
        <x:v>M5</x:v>
      </x:c>
      <x:c r="C181" s="58" t="str">
        <x:v>CT Reconstruction Worker</x:v>
      </x:c>
      <x:c r="D181" s="58" t="str">
        <x:v>FBP/FDK/ART/SART/RTK/ASTRA/自研重建隔离执行</x:v>
      </x:c>
      <x:c r="E181" s="58" t="str">
        <x:v>IReconstructionExecutor/CTWorker</x:v>
      </x:c>
      <x:c r="F181" s="58" t="str">
        <x:v>Vision3D.Worker/Adapters</x:v>
      </x:c>
      <x:c r="G181" s="58" t="str">
        <x:v>33/34 CT3D</x:v>
      </x:c>
      <x:c r="H181" s="58" t="str">
        <x:v>Worker protocol/job/cancel/progress/error mapping</x:v>
      </x:c>
      <x:c r="I181" s="58" t="str">
        <x:v>CT Runtime</x:v>
      </x:c>
      <x:c r="J181" s="58" t="str">
        <x:v>Golden/crash/GPU</x:v>
      </x:c>
      <x:c r="K181" s="58" t="str">
        <x:v>Native崩溃不拖主Runtime</x:v>
      </x:c>
      <x:c r="L181" s="58" t="str">
        <x:v>P0</x:v>
      </x:c>
      <x:c r="M181" s="58" t="str">
        <x:v>待完成</x:v>
      </x:c>
    </x:row>
    <x:row r="182">
      <x:c r="A182" s="66" t="n">
        <x:v>174</x:v>
      </x:c>
      <x:c r="B182" s="66" t="str">
        <x:v>M5</x:v>
      </x:c>
      <x:c r="C182" s="66" t="str">
        <x:v>Volume DataHandle/Storage</x:v>
      </x:c>
      <x:c r="D182" s="66" t="str">
        <x:v>GB级Volume句柄/MemoryMap/SharedMemory/Chunk/Cache生命周期</x:v>
      </x:c>
      <x:c r="E182" s="66" t="str">
        <x:v>VolumeDataHandle/VolumeStore</x:v>
      </x:c>
      <x:c r="F182" s="66" t="str">
        <x:v>Vision3D.Runtime.Data</x:v>
      </x:c>
      <x:c r="G182" s="66" t="str">
        <x:v>33/34 CT3D</x:v>
      </x:c>
      <x:c r="H182" s="66" t="str">
        <x:v>Owner/Lifetime/TTL/ReadOnly/Cache budget</x:v>
      </x:c>
      <x:c r="I182" s="66" t="str">
        <x:v>CT Viewer/Runtime</x:v>
      </x:c>
      <x:c r="J182" s="66" t="str">
        <x:v>leak/GB volume/worker crash</x:v>
      </x:c>
      <x:c r="K182" s="66" t="str">
        <x:v>禁止反复复制完整Volume</x:v>
      </x:c>
      <x:c r="L182" s="66" t="str">
        <x:v>P0</x:v>
      </x:c>
      <x:c r="M182" s="66" t="str">
        <x:v>待完成</x:v>
      </x:c>
    </x:row>
    <x:row r="183">
      <x:c r="A183" s="58" t="n">
        <x:v>175</x:v>
      </x:c>
      <x:c r="B183" s="58" t="str">
        <x:v>M5</x:v>
      </x:c>
      <x:c r="C183" s="58" t="str">
        <x:v>CT MPR/3D Viewer</x:v>
      </x:c>
      <x:c r="D183" s="58" t="str">
        <x:v>Projection/MPR/Volume/MIP/Surface/Overlay Viewer适配</x:v>
      </x:c>
      <x:c r="E183" s="58" t="str">
        <x:v>ProjectionViewer/MprViewer/VolumeViewer</x:v>
      </x:c>
      <x:c r="F183" s="58" t="str">
        <x:v>Vision3D.Viewer</x:v>
      </x:c>
      <x:c r="G183" s="58" t="str">
        <x:v>33/34 CT3D</x:v>
      </x:c>
      <x:c r="H183" s="58" t="str">
        <x:v>read-only handle/LOD/chunk/overlay</x:v>
      </x:c>
      <x:c r="I183" s="58" t="str">
        <x:v>CT Debug Workspace</x:v>
      </x:c>
      <x:c r="J183" s="58" t="str">
        <x:v>viewer perf/memory</x:v>
      </x:c>
      <x:c r="K183" s="58" t="str">
        <x:v>Viewer不拥有算法数据唯一生命周期</x:v>
      </x:c>
      <x:c r="L183" s="58" t="str">
        <x:v>P1</x:v>
      </x:c>
      <x:c r="M183" s="58" t="str">
        <x:v>待完成</x:v>
      </x:c>
    </x:row>
    <x:row r="184">
      <x:c r="A184" s="66" t="n">
        <x:v>176</x:v>
      </x:c>
      <x:c r="B184" s="66" t="str">
        <x:v>M5</x:v>
      </x:c>
      <x:c r="C184" s="66" t="str">
        <x:v>CT 3D Algorithm Nodes</x:v>
      </x:c>
      <x:c r="D184" s="66" t="str">
        <x:v>Volume process/3D segmentation/surface/registration/measure/defect节点</x:v>
      </x:c>
      <x:c r="E184" s="66" t="str">
        <x:v>CT3D Node Catalog</x:v>
      </x:c>
      <x:c r="F184" s="66" t="str">
        <x:v>Vision3D.Core/Adapters</x:v>
      </x:c>
      <x:c r="G184" s="66" t="str">
        <x:v>33/34 CT3D</x:v>
      </x:c>
      <x:c r="H184" s="66" t="str">
        <x:v>Typed ports/params/executors</x:v>
      </x:c>
      <x:c r="I184" s="66" t="str">
        <x:v>CT Toolbox</x:v>
      </x:c>
      <x:c r="J184" s="66" t="str">
        <x:v>Golden/typed-port</x:v>
      </x:c>
      <x:c r="K184" s="66" t="str">
        <x:v>复用Vision TypedDataFlow</x:v>
      </x:c>
      <x:c r="L184" s="66" t="str">
        <x:v>P0</x:v>
      </x:c>
      <x:c r="M184" s="66" t="str">
        <x:v>待完成</x:v>
      </x:c>
    </x:row>
    <x:row r="185">
      <x:c r="A185" s="58" t="n">
        <x:v>177</x:v>
      </x:c>
      <x:c r="B185" s="58" t="str">
        <x:v>M5</x:v>
      </x:c>
      <x:c r="C185" s="58" t="str">
        <x:v>CT Golden/Quality</x:v>
      </x:c>
      <x:c r="D185" s="58" t="str">
        <x:v>Projection/Volume/Measurement/Segmentation质量Golden与性能基线</x:v>
      </x:c>
      <x:c r="E185" s="58" t="str">
        <x:v>CTSampleSet/CTGoldenCase</x:v>
      </x:c>
      <x:c r="F185" s="58" t="str">
        <x:v>Vision3D.Tests/QA</x:v>
      </x:c>
      <x:c r="G185" s="58" t="str">
        <x:v>33/34 CT3D</x:v>
      </x:c>
      <x:c r="H185" s="58" t="str">
        <x:v>质量指标/容差/算法版本/基线</x:v>
      </x:c>
      <x:c r="I185" s="58" t="str">
        <x:v>CT QA</x:v>
      </x:c>
      <x:c r="J185" s="58" t="str">
        <x:v>Golden/perf regression</x:v>
      </x:c>
      <x:c r="K185" s="58" t="str">
        <x:v>重建质量与平台稳定分别可验证</x:v>
      </x:c>
      <x:c r="L185" s="58" t="str">
        <x:v>P0</x:v>
      </x:c>
      <x:c r="M185" s="58" t="str">
        <x:v>待完成</x:v>
      </x:c>
    </x:row>
    <x:row r="186">
      <x:c r="A186" s="66" t="n">
        <x:v>178</x:v>
      </x:c>
      <x:c r="B186" s="66" t="str">
        <x:v>M5</x:v>
      </x:c>
      <x:c r="C186" s="66" t="str">
        <x:v>CT Online Debug</x:v>
      </x:c>
      <x:c r="D186" s="66" t="str">
        <x:v>Projection/Geometry/Recon/Volume/3D节点RunTo/Override/Compare</x:v>
      </x:c>
      <x:c r="E186" s="66" t="str">
        <x:v>CTDebugAdapter</x:v>
      </x:c>
      <x:c r="F186" s="66" t="str">
        <x:v>Vision3D.Debug</x:v>
      </x:c>
      <x:c r="G186" s="66" t="str">
        <x:v>33/34 CT3D</x:v>
      </x:c>
      <x:c r="H186" s="66" t="str">
        <x:v>Agent/Data channel/Job snapshots/Promote</x:v>
      </x:c>
      <x:c r="I186" s="66" t="str">
        <x:v>CT Debug</x:v>
      </x:c>
      <x:c r="J186" s="66" t="str">
        <x:v>Debug E2E/network/memory</x:v>
      </x:c>
      <x:c r="K186" s="66" t="str">
        <x:v>大数据不塞Telemetry</x:v>
      </x:c>
      <x:c r="L186" s="66" t="str">
        <x:v>P0</x:v>
      </x:c>
      <x:c r="M186" s="66" t="str">
        <x:v>待完成</x:v>
      </x:c>
    </x:row>
    <x:row r="187">
      <x:c r="A187" s="58" t="n">
        <x:v>179</x:v>
      </x:c>
      <x:c r="B187" s="58" t="str">
        <x:v>M5</x:v>
      </x:c>
      <x:c r="C187" s="58" t="str">
        <x:v>CT Resource/Performance</x:v>
      </x:c>
      <x:c r="D187" s="58" t="str">
        <x:v>GPU/VRAM/CPU/Memory/Disk/Temp/Artifact预算和Backpressure</x:v>
      </x:c>
      <x:c r="E187" s="58" t="str">
        <x:v>CTResourcePolicy/CTHealth</x:v>
      </x:c>
      <x:c r="F187" s="58" t="str">
        <x:v>Vision3D.Runtime/Operations</x:v>
      </x:c>
      <x:c r="G187" s="58" t="str">
        <x:v>33/34 CT3D</x:v>
      </x:c>
      <x:c r="H187" s="58" t="str">
        <x:v>Job queue/limits/metrics/cleanup</x:v>
      </x:c>
      <x:c r="I187" s="58" t="str">
        <x:v>Profiler/Health</x:v>
      </x:c>
      <x:c r="J187" s="58" t="str">
        <x:v>stress/disk-full/soak</x:v>
      </x:c>
      <x:c r="K187" s="58" t="str">
        <x:v>无无界临时文件/缓存</x:v>
      </x:c>
      <x:c r="L187" s="58" t="str">
        <x:v>P0</x:v>
      </x:c>
      <x:c r="M187" s="58" t="str">
        <x:v>待完成</x:v>
      </x:c>
    </x:row>
    <x:row r="188">
      <x:c r="A188" s="66" t="n">
        <x:v>180</x:v>
      </x:c>
      <x:c r="B188" s="66" t="str">
        <x:v>M6</x:v>
      </x:c>
      <x:c r="C188" s="66" t="str">
        <x:v>CT Cross-domain Acquisition</x:v>
      </x:c>
      <x:c r="D188" s="66" t="str">
        <x:v>Motion/Detector/XRay采集→ProjectionSeries→CT Pipeline→Inspection Result</x:v>
      </x:c>
      <x:c r="E188" s="66" t="str">
        <x:v>CTInvocationContracts</x:v>
      </x:c>
      <x:c r="F188" s="66" t="str">
        <x:v>Inspection/Motion/Vision3D</x:v>
      </x:c>
      <x:c r="G188" s="66" t="str">
        <x:v>33/34 CT3D</x:v>
      </x:c>
      <x:c r="H188" s="66" t="str">
        <x:v>Frame/Series/Geometry/Correlation/Version映射</x:v>
      </x:c>
      <x:c r="I188" s="66" t="str">
        <x:v>Inspection/CT Debug</x:v>
      </x:c>
      <x:c r="J188" s="66" t="str">
        <x:v>E2E/fault</x:v>
      </x:c>
      <x:c r="K188" s="66" t="str">
        <x:v>Vision不负责轴实时扫描循环</x:v>
      </x:c>
      <x:c r="L188" s="66" t="str">
        <x:v>P0</x:v>
      </x:c>
      <x:c r="M188" s="66" t="str">
        <x:v>待完成</x:v>
      </x:c>
    </x:row>
    <x:row r="189">
      <x:c r="A189" s="58" t="n">
        <x:v>181</x:v>
      </x:c>
      <x:c r="B189" s="58" t="str">
        <x:v>RC</x:v>
      </x:c>
      <x:c r="C189" s="58" t="str">
        <x:v>CT/3D E2E Production Gate</x:v>
      </x:c>
      <x:c r="D189" s="58" t="str">
        <x:v>真实投影/重建/3D检测/在线调试/Worker故障/大数据长期稳定</x:v>
      </x:c>
      <x:c r="E189" s="58" t="str">
        <x:v>CT3DE2ETests</x:v>
      </x:c>
      <x:c r="F189" s="58" t="str">
        <x:v>QA</x:v>
      </x:c>
      <x:c r="G189" s="58" t="str">
        <x:v>33/34 CT3D</x:v>
      </x:c>
      <x:c r="H189" s="58" t="str">
        <x:v>quality+performance+recovery+artifact</x:v>
      </x:c>
      <x:c r="I189" s="58" t="str">
        <x:v>RC evidence</x:v>
      </x:c>
      <x:c r="J189" s="58" t="str">
        <x:v>Golden/soak/fault</x:v>
      </x:c>
      <x:c r="K189" s="58" t="str">
        <x:v>达到项目CT质量/性能阈值</x:v>
      </x:c>
      <x:c r="L189" s="58" t="str">
        <x:v>P0</x:v>
      </x:c>
      <x:c r="M189" s="58" t="str">
        <x:v>待完成</x:v>
      </x:c>
    </x:row>
    <x:row r="190">
      <x:c r="A190" s="66" t="n">
        <x:v>182</x:v>
      </x:c>
      <x:c r="B190" s="66" t="str">
        <x:v>M4</x:v>
      </x:c>
      <x:c r="C190" s="66" t="str">
        <x:v>Robot Core Models</x:v>
      </x:c>
      <x:c r="D190" s="66" t="str">
        <x:v>RobotDefinition/Pose/Frame/Tool/WorkObject/Path稳定Schema</x:v>
      </x:c>
      <x:c r="E190" s="66" t="str">
        <x:v>Robot contracts</x:v>
      </x:c>
      <x:c r="F190" s="66" t="str">
        <x:v>Robot.Core/TypeSystem</x:v>
      </x:c>
      <x:c r="G190" s="66" t="str">
        <x:v>20 Graph Type/Data</x:v>
      </x:c>
      <x:c r="H190" s="66" t="str">
        <x:v>Stable IDs/Frame chain/Unit/Version</x:v>
      </x:c>
      <x:c r="I190" s="66" t="str">
        <x:v>Robot Studio</x:v>
      </x:c>
      <x:c r="J190" s="66" t="str">
        <x:v>RoundTrip/transform</x:v>
      </x:c>
      <x:c r="K190" s="66" t="str">
        <x:v>Core无Vendor/WPF robot类型</x:v>
      </x:c>
      <x:c r="L190" s="66" t="str">
        <x:v>P0</x:v>
      </x:c>
      <x:c r="M190" s="66" t="str">
        <x:v>待完成</x:v>
      </x:c>
    </x:row>
    <x:row r="191">
      <x:c r="A191" s="58" t="n">
        <x:v>183</x:v>
      </x:c>
      <x:c r="B191" s="58" t="str">
        <x:v>M4</x:v>
      </x:c>
      <x:c r="C191" s="58" t="str">
        <x:v>Robot Frame/Tool/WorkObject</x:v>
      </x:c>
      <x:c r="D191" s="58" t="str">
        <x:v>坐标帧、TCP/Payload、工件定义与版本解析</x:v>
      </x:c>
      <x:c r="E191" s="58" t="str">
        <x:v>Frame/Tool/WObj services</x:v>
      </x:c>
      <x:c r="F191" s="58" t="str">
        <x:v>Robot.Core/Application</x:v>
      </x:c>
      <x:c r="G191" s="58" t="str">
        <x:v>07 Studio/Designer</x:v>
      </x:c>
      <x:c r="H191" s="58" t="str">
        <x:v>Editor/TransformResolver/Version</x:v>
      </x:c>
      <x:c r="I191" s="58" t="str">
        <x:v>Robot Studio</x:v>
      </x:c>
      <x:c r="J191" s="58" t="str">
        <x:v>transform/tool tests</x:v>
      </x:c>
      <x:c r="K191" s="58" t="str">
        <x:v>Teach/路径必须引用稳定版本</x:v>
      </x:c>
      <x:c r="L191" s="58" t="str">
        <x:v>P0</x:v>
      </x:c>
      <x:c r="M191" s="58" t="str">
        <x:v>待完成</x:v>
      </x:c>
    </x:row>
    <x:row r="192">
      <x:c r="A192" s="66" t="n">
        <x:v>184</x:v>
      </x:c>
      <x:c r="B192" s="66" t="str">
        <x:v>M4</x:v>
      </x:c>
      <x:c r="C192" s="66" t="str">
        <x:v>Robot Point/Path Program</x:v>
      </x:c>
      <x:c r="D192" s="66" t="str">
        <x:v>Joint/Cartesian points + PTP/LIN/CIRC/Spline path + SubProgram</x:v>
      </x:c>
      <x:c r="E192" s="66" t="str">
        <x:v>RobotPointTable/RobotPath</x:v>
      </x:c>
      <x:c r="F192" s="66" t="str">
        <x:v>Robot.Core/Application</x:v>
      </x:c>
      <x:c r="G192" s="66" t="str">
        <x:v>29/30 Robot</x:v>
      </x:c>
      <x:c r="H192" s="66" t="str">
        <x:v>Path editor/parameters/Command/Library</x:v>
      </x:c>
      <x:c r="I192" s="66" t="str">
        <x:v>Robot Designer</x:v>
      </x:c>
      <x:c r="J192" s="66" t="str">
        <x:v>Path/Command/RoundTrip</x:v>
      </x:c>
      <x:c r="K192" s="66" t="str">
        <x:v>轨迹插补不在平台</x:v>
      </x:c>
      <x:c r="L192" s="66" t="str">
        <x:v>P0</x:v>
      </x:c>
      <x:c r="M192" s="66" t="str">
        <x:v>待完成</x:v>
      </x:c>
    </x:row>
    <x:row r="193">
      <x:c r="A193" s="58" t="n">
        <x:v>185</x:v>
      </x:c>
      <x:c r="B193" s="58" t="str">
        <x:v>M4</x:v>
      </x:c>
      <x:c r="C193" s="58" t="str">
        <x:v>Robot Controller Adapter</x:v>
      </x:c>
      <x:c r="D193" s="58" t="str">
        <x:v>IRobotController/Capabilities/State/Error标准适配</x:v>
      </x:c>
      <x:c r="E193" s="58" t="str">
        <x:v>RobotAdapter</x:v>
      </x:c>
      <x:c r="F193" s="58" t="str">
        <x:v>Robot.Integration</x:v>
      </x:c>
      <x:c r="G193" s="58" t="str">
        <x:v>22 Graph Integration/Resource</x:v>
      </x:c>
      <x:c r="H193" s="58" t="str">
        <x:v>Connect/Mode/Move/Jog/IO/Program/Dispose</x:v>
      </x:c>
      <x:c r="I193" s="58" t="str">
        <x:v>Runtime/Debug</x:v>
      </x:c>
      <x:c r="J193" s="58" t="str">
        <x:v>multi-brand contract</x:v>
      </x:c>
      <x:c r="K193" s="58" t="str">
        <x:v>品牌差异由Capability隔离</x:v>
      </x:c>
      <x:c r="L193" s="58" t="str">
        <x:v>P0</x:v>
      </x:c>
      <x:c r="M193" s="58" t="str">
        <x:v>待完成</x:v>
      </x:c>
    </x:row>
    <x:row r="194">
      <x:c r="A194" s="66" t="n">
        <x:v>186</x:v>
      </x:c>
      <x:c r="B194" s="66" t="str">
        <x:v>M4</x:v>
      </x:c>
      <x:c r="C194" s="66" t="str">
        <x:v>Robot Compiler/Runtime</x:v>
      </x:c>
      <x:c r="D194" s="66" t="str">
        <x:v>Robot Definition→RobotPlan→Motion/Robot Session</x:v>
      </x:c>
      <x:c r="E194" s="66" t="str">
        <x:v>RobotCompiler/RobotRuntimeSession</x:v>
      </x:c>
      <x:c r="F194" s="66" t="str">
        <x:v>Motion/Robot.Runtime</x:v>
      </x:c>
      <x:c r="G194" s="66" t="str">
        <x:v>35/36 Inspection</x:v>
      </x:c>
      <x:c r="H194" s="66" t="str">
        <x:v>Frame/Tool/Path/Capability/Resource resolve</x:v>
      </x:c>
      <x:c r="I194" s="66" t="str">
        <x:v>Robot Debug/Run</x:v>
      </x:c>
      <x:c r="J194" s="66" t="str">
        <x:v>plan/runtime integration</x:v>
      </x:c>
      <x:c r="K194" s="66" t="str">
        <x:v>复用Motion ControlFlow</x:v>
      </x:c>
      <x:c r="L194" s="66" t="str">
        <x:v>P0</x:v>
      </x:c>
      <x:c r="M194" s="66" t="str">
        <x:v>待完成</x:v>
      </x:c>
    </x:row>
    <x:row r="195">
      <x:c r="A195" s="58" t="n">
        <x:v>187</x:v>
      </x:c>
      <x:c r="B195" s="58" t="str">
        <x:v>M4</x:v>
      </x:c>
      <x:c r="C195" s="58" t="str">
        <x:v>Robot Resource/Interlock</x:v>
      </x:c>
      <x:c r="D195" s="58" t="str">
        <x:v>Robot/ExternalAxis/ToolDevice资源及危险动作互锁</x:v>
      </x:c>
      <x:c r="E195" s="58" t="str">
        <x:v>RobotResourcePolicy/Interlock</x:v>
      </x:c>
      <x:c r="F195" s="58" t="str">
        <x:v>Motion/Robot.Runtime/Security</x:v>
      </x:c>
      <x:c r="G195" s="58" t="str">
        <x:v>14 Security</x:v>
      </x:c>
      <x:c r="H195" s="58" t="str">
        <x:v>Lease/Mode/Safety/Permission</x:v>
      </x:c>
      <x:c r="I195" s="58" t="str">
        <x:v>Debug/Runtime</x:v>
      </x:c>
      <x:c r="J195" s="58" t="str">
        <x:v>fault/security</x:v>
      </x:c>
      <x:c r="K195" s="58" t="str">
        <x:v>平台不绕过控制器安全模式</x:v>
      </x:c>
      <x:c r="L195" s="58" t="str">
        <x:v>P0</x:v>
      </x:c>
      <x:c r="M195" s="58" t="str">
        <x:v>待完成</x:v>
      </x:c>
    </x:row>
    <x:row r="196">
      <x:c r="A196" s="66" t="n">
        <x:v>188</x:v>
      </x:c>
      <x:c r="B196" s="66" t="str">
        <x:v>M4</x:v>
      </x:c>
      <x:c r="C196" s="66" t="str">
        <x:v>Robot Jog/Teach</x:v>
      </x:c>
      <x:c r="D196" s="66" t="str">
        <x:v>Maintenance模式受控Jog/Teach/MoveToPoint与ChangeSet</x:v>
      </x:c>
      <x:c r="E196" s="66" t="str">
        <x:v>RobotDebugAdapter/TeachService</x:v>
      </x:c>
      <x:c r="F196" s="66" t="str">
        <x:v>Robot.Debug/Application</x:v>
      </x:c>
      <x:c r="G196" s="66" t="str">
        <x:v>29/30 Robot</x:v>
      </x:c>
      <x:c r="H196" s="66" t="str">
        <x:v>Target policy/resource/interlock/audit</x:v>
      </x:c>
      <x:c r="I196" s="66" t="str">
        <x:v>Robot Debug</x:v>
      </x:c>
      <x:c r="J196" s="66" t="str">
        <x:v>jog/teach safety</x:v>
      </x:c>
      <x:c r="K196" s="66" t="str">
        <x:v>CxVisual不作为认证示教器</x:v>
      </x:c>
      <x:c r="L196" s="66" t="str">
        <x:v>P0</x:v>
      </x:c>
      <x:c r="M196" s="66" t="str">
        <x:v>待完成</x:v>
      </x:c>
    </x:row>
    <x:row r="197">
      <x:c r="A197" s="58" t="n">
        <x:v>189</x:v>
      </x:c>
      <x:c r="B197" s="58" t="str">
        <x:v>M4</x:v>
      </x:c>
      <x:c r="C197" s="58" t="str">
        <x:v>Robot Path View/Simulation</x:v>
      </x:c>
      <x:c r="D197" s="58" t="str">
        <x:v>3D路径/当前segment/姿态/外部轴可视与可选仿真</x:v>
      </x:c>
      <x:c r="E197" s="58" t="str">
        <x:v>RobotPathViewer/SimulationProvider</x:v>
      </x:c>
      <x:c r="F197" s="58" t="str">
        <x:v>Robot.Designer/Simulation</x:v>
      </x:c>
      <x:c r="G197" s="58" t="str">
        <x:v>29/30 Robot</x:v>
      </x:c>
      <x:c r="H197" s="58" t="str">
        <x:v>Viewer/Reachability plugin/basic cycle estimate</x:v>
      </x:c>
      <x:c r="I197" s="58" t="str">
        <x:v>Robot Studio</x:v>
      </x:c>
      <x:c r="J197" s="58" t="str">
        <x:v>viewer/sim</x:v>
      </x:c>
      <x:c r="K197" s="58" t="str">
        <x:v>仿真提示不宣称安全碰撞认证</x:v>
      </x:c>
      <x:c r="L197" s="58" t="str">
        <x:v>P1</x:v>
      </x:c>
      <x:c r="M197" s="58" t="str">
        <x:v>待完成</x:v>
      </x:c>
    </x:row>
    <x:row r="198">
      <x:c r="A198" s="66" t="n">
        <x:v>190</x:v>
      </x:c>
      <x:c r="B198" s="66" t="str">
        <x:v>M5</x:v>
      </x:c>
      <x:c r="C198" s="66" t="str">
        <x:v>Robot Vision Guidance</x:v>
      </x:c>
      <x:c r="D198" s="66" t="str">
        <x:v>Vision Pose→Frame Transform→Quality/Age validation→Robot target</x:v>
      </x:c>
      <x:c r="E198" s="66" t="str">
        <x:v>VisionGuidanceResult/Executor</x:v>
      </x:c>
      <x:c r="F198" s="66" t="str">
        <x:v>Robot/Vision/Inspection</x:v>
      </x:c>
      <x:c r="G198" s="66" t="str">
        <x:v>29/30 Robot</x:v>
      </x:c>
      <x:c r="H198" s="66" t="str">
        <x:v>Typed contract/transform/limits/Correlation</x:v>
      </x:c>
      <x:c r="I198" s="66" t="str">
        <x:v>Cross-domain Debug</x:v>
      </x:c>
      <x:c r="J198" s="66" t="str">
        <x:v>Vision-guided E2E</x:v>
      </x:c>
      <x:c r="K198" s="66" t="str">
        <x:v>Bad/Stale/Frame mismatch禁止动作</x:v>
      </x:c>
      <x:c r="L198" s="66" t="str">
        <x:v>P0</x:v>
      </x:c>
      <x:c r="M198" s="66" t="str">
        <x:v>待完成</x:v>
      </x:c>
    </x:row>
    <x:row r="199">
      <x:c r="A199" s="58" t="n">
        <x:v>191</x:v>
      </x:c>
      <x:c r="B199" s="58" t="str">
        <x:v>M5</x:v>
      </x:c>
      <x:c r="C199" s="58" t="str">
        <x:v>Robot Hand-eye Calibration</x:v>
      </x:c>
      <x:c r="D199" s="58" t="str">
        <x:v>Eye-in-hand/Eye-to-hand样本采集、求解、质量、版本</x:v>
      </x:c>
      <x:c r="E199" s="58" t="str">
        <x:v>HandEyeCalibration</x:v>
      </x:c>
      <x:c r="F199" s="58" t="str">
        <x:v>Robot/Vision.Application</x:v>
      </x:c>
      <x:c r="G199" s="58" t="str">
        <x:v>29/30 Robot</x:v>
      </x:c>
      <x:c r="H199" s="58" t="str">
        <x:v>Calibration workflow/artifact/quality</x:v>
      </x:c>
      <x:c r="I199" s="58" t="str">
        <x:v>Calibration Wizard</x:v>
      </x:c>
      <x:c r="J199" s="58" t="str">
        <x:v>calibration golden</x:v>
      </x:c>
      <x:c r="K199" s="58" t="str">
        <x:v>Calibration版本进入Manifest</x:v>
      </x:c>
      <x:c r="L199" s="58" t="str">
        <x:v>P1</x:v>
      </x:c>
      <x:c r="M199" s="58" t="str">
        <x:v>待完成</x:v>
      </x:c>
    </x:row>
    <x:row r="200">
      <x:c r="A200" s="66" t="n">
        <x:v>192</x:v>
      </x:c>
      <x:c r="B200" s="66" t="str">
        <x:v>M4</x:v>
      </x:c>
      <x:c r="C200" s="66" t="str">
        <x:v>Robot Online Debug</x:v>
      </x:c>
      <x:c r="D200" s="66" t="str">
        <x:v>Robot status/joints/pose/frame/tool/path/signals/Step/RunTo/OnlineDiff</x:v>
      </x:c>
      <x:c r="E200" s="66" t="str">
        <x:v>RobotDebugAdapter/Snapshots</x:v>
      </x:c>
      <x:c r="F200" s="66" t="str">
        <x:v>Robot.Debug</x:v>
      </x:c>
      <x:c r="G200" s="66" t="str">
        <x:v>29/30 Robot</x:v>
      </x:c>
      <x:c r="H200" s="66" t="str">
        <x:v>Agent/Telemetry/Command/Override</x:v>
      </x:c>
      <x:c r="I200" s="66" t="str">
        <x:v>Robot Debug Workspace</x:v>
      </x:c>
      <x:c r="J200" s="66" t="str">
        <x:v>Debug E2E/network</x:v>
      </x:c>
      <x:c r="K200" s="66" t="str">
        <x:v>真实控制Target最终裁决</x:v>
      </x:c>
      <x:c r="L200" s="66" t="str">
        <x:v>P0</x:v>
      </x:c>
      <x:c r="M200" s="66" t="str">
        <x:v>待完成</x:v>
      </x:c>
    </x:row>
    <x:row r="201">
      <x:c r="A201" s="58" t="n">
        <x:v>193</x:v>
      </x:c>
      <x:c r="B201" s="58" t="str">
        <x:v>M7</x:v>
      </x:c>
      <x:c r="C201" s="58" t="str">
        <x:v>Robot Multi-brand SDK</x:v>
      </x:c>
      <x:c r="D201" s="58" t="str">
        <x:v>机器人Provider SDK/Capability matrix/厂商程序导入导出扩展</x:v>
      </x:c>
      <x:c r="E201" s="58" t="str">
        <x:v>RobotProviderPluginSdk</x:v>
      </x:c>
      <x:c r="F201" s="58" t="str">
        <x:v>PluginSdk/Robot.Integration</x:v>
      </x:c>
      <x:c r="G201" s="58" t="str">
        <x:v>22 Graph Integration/Resource</x:v>
      </x:c>
      <x:c r="H201" s="58" t="str">
        <x:v>Adapter samples/capability negotiation</x:v>
      </x:c>
      <x:c r="I201" s="58" t="str">
        <x:v>Plugin/Robot</x:v>
      </x:c>
      <x:c r="J201" s="58" t="str">
        <x:v>sample adapters/compat</x:v>
      </x:c>
      <x:c r="K201" s="58" t="str">
        <x:v>接新品牌不改Core</x:v>
      </x:c>
      <x:c r="L201" s="58" t="str">
        <x:v>P1</x:v>
      </x:c>
      <x:c r="M201" s="58" t="str">
        <x:v>待完成</x:v>
      </x:c>
    </x:row>
    <x:row r="202">
      <x:c r="A202" s="66" t="n">
        <x:v>194</x:v>
      </x:c>
      <x:c r="B202" s="66" t="str">
        <x:v>RC</x:v>
      </x:c>
      <x:c r="C202" s="66" t="str">
        <x:v>Robot E2E Production Gate</x:v>
      </x:c>
      <x:c r="D202" s="66" t="str">
        <x:v>真实机器人程序/Teach/视觉引导/断线/报警/远程观察完整门禁</x:v>
      </x:c>
      <x:c r="E202" s="66" t="str">
        <x:v>RobotE2ETests</x:v>
      </x:c>
      <x:c r="F202" s="66" t="str">
        <x:v>QA</x:v>
      </x:c>
      <x:c r="G202" s="66" t="str">
        <x:v>29/30 Robot</x:v>
      </x:c>
      <x:c r="H202" s="66" t="str">
        <x:v>safety/integration/recovery/version</x:v>
      </x:c>
      <x:c r="I202" s="66" t="str">
        <x:v>RC evidence</x:v>
      </x:c>
      <x:c r="J202" s="66" t="str">
        <x:v>real-device/fault</x:v>
      </x:c>
      <x:c r="K202" s="66" t="str">
        <x:v>达到项目安全/节拍/稳定目标</x:v>
      </x:c>
      <x:c r="L202" s="66" t="str">
        <x:v>P0</x:v>
      </x:c>
      <x:c r="M202" s="66" t="str">
        <x:v>待完成</x:v>
      </x:c>
    </x:row>
    <x:row r="203">
      <x:c r="A203" s="58" t="n">
        <x:v>195</x:v>
      </x:c>
      <x:c r="B203" s="58" t="str">
        <x:v>M7</x:v>
      </x:c>
      <x:c r="C203" s="58" t="str">
        <x:v>Station Agent</x:v>
      </x:c>
      <x:c r="D203" s="58" t="str">
        <x:v>Runtime站管理入口：Inventory/Health/Version/Deployment/Debug/Artifact/Maintenance capabilities</x:v>
      </x:c>
      <x:c r="E203" s="58" t="str">
        <x:v>IStationManagementAgent</x:v>
      </x:c>
      <x:c r="F203" s="58" t="str">
        <x:v>Operations/Station.Agent</x:v>
      </x:c>
      <x:c r="G203" s="58" t="str">
        <x:v>38/39 Operations</x:v>
      </x:c>
      <x:c r="H203" s="58" t="str">
        <x:v>Agent lifecycle/capability/security</x:v>
      </x:c>
      <x:c r="I203" s="58" t="str">
        <x:v>Ops Center/Runtime</x:v>
      </x:c>
      <x:c r="J203" s="58" t="str">
        <x:v>agent crash/network</x:v>
      </x:c>
      <x:c r="K203" s="58" t="str">
        <x:v>Agent故障不拖生产Runtime</x:v>
      </x:c>
      <x:c r="L203" s="58" t="str">
        <x:v>P0</x:v>
      </x:c>
      <x:c r="M203" s="58" t="str">
        <x:v>待完成</x:v>
      </x:c>
    </x:row>
    <x:row r="204">
      <x:c r="A204" s="66" t="n">
        <x:v>196</x:v>
      </x:c>
      <x:c r="B204" s="66" t="str">
        <x:v>M7</x:v>
      </x:c>
      <x:c r="C204" s="66" t="str">
        <x:v>Fleet Inventory</x:v>
      </x:c>
      <x:c r="D204" s="66" t="str">
        <x:v>Site/Line/Station/Asset稳定模型与资产发现</x:v>
      </x:c>
      <x:c r="E204" s="66" t="str">
        <x:v>Site/Station/Asset</x:v>
      </x:c>
      <x:c r="F204" s="66" t="str">
        <x:v>Operations.Core</x:v>
      </x:c>
      <x:c r="G204" s="66" t="str">
        <x:v>38/39 Operations</x:v>
      </x:c>
      <x:c r="H204" s="66" t="str">
        <x:v>Inventory tree/tags/owner/environment</x:v>
      </x:c>
      <x:c r="I204" s="66" t="str">
        <x:v>Operations Center</x:v>
      </x:c>
      <x:c r="J204" s="66" t="str">
        <x:v>inventory/version</x:v>
      </x:c>
      <x:c r="K204" s="66" t="str">
        <x:v>StationId稳定</x:v>
      </x:c>
      <x:c r="L204" s="66" t="str">
        <x:v>P1</x:v>
      </x:c>
      <x:c r="M204" s="66" t="str">
        <x:v>待完成</x:v>
      </x:c>
    </x:row>
    <x:row r="205">
      <x:c r="A205" s="58" t="n">
        <x:v>197</x:v>
      </x:c>
      <x:c r="B205" s="58" t="str">
        <x:v>M7</x:v>
      </x:c>
      <x:c r="C205" s="58" t="str">
        <x:v>Fleet Health Telemetry</x:v>
      </x:c>
      <x:c r="D205" s="58" t="str">
        <x:v>Station/Device/Worker/Queue/Disk/Clock/Task指标与事件</x:v>
      </x:c>
      <x:c r="E205" s="58" t="str">
        <x:v>StationHealth/Metric/Event</x:v>
      </x:c>
      <x:c r="F205" s="58" t="str">
        <x:v>Operations.Telemetry</x:v>
      </x:c>
      <x:c r="G205" s="58" t="str">
        <x:v>38/39 Operations</x:v>
      </x:c>
      <x:c r="H205" s="58" t="str">
        <x:v>sampling/retention/store-forward</x:v>
      </x:c>
      <x:c r="I205" s="58" t="str">
        <x:v>Fleet Dashboard</x:v>
      </x:c>
      <x:c r="J205" s="58" t="str">
        <x:v>network/soak</x:v>
      </x:c>
      <x:c r="K205" s="58" t="str">
        <x:v>中心断开本地自治</x:v>
      </x:c>
      <x:c r="L205" s="58" t="str">
        <x:v>P0</x:v>
      </x:c>
      <x:c r="M205" s="58" t="str">
        <x:v>待完成</x:v>
      </x:c>
    </x:row>
    <x:row r="206">
      <x:c r="A206" s="66" t="n">
        <x:v>198</x:v>
      </x:c>
      <x:c r="B206" s="66" t="str">
        <x:v>M7</x:v>
      </x:c>
      <x:c r="C206" s="66" t="str">
        <x:v>Version Inventory</x:v>
      </x:c>
      <x:c r="D206" s="66" t="str">
        <x:v>App/Release/Flow/Motion/Vision/CT/Robot/Model/Plugin/Driver/Profile版本矩阵</x:v>
      </x:c>
      <x:c r="E206" s="66" t="str">
        <x:v>StationVersionInventory</x:v>
      </x:c>
      <x:c r="F206" s="66" t="str">
        <x:v>Operations.Versioning</x:v>
      </x:c>
      <x:c r="G206" s="66" t="str">
        <x:v>38/39 Operations</x:v>
      </x:c>
      <x:c r="H206" s="66" t="str">
        <x:v>Manifest collect/diff/outlier</x:v>
      </x:c>
      <x:c r="I206" s="66" t="str">
        <x:v>Version Matrix</x:v>
      </x:c>
      <x:c r="J206" s="66" t="str">
        <x:v>compat/diff</x:v>
      </x:c>
      <x:c r="K206" s="66" t="str">
        <x:v>线上版本一眼可追溯</x:v>
      </x:c>
      <x:c r="L206" s="66" t="str">
        <x:v>P0</x:v>
      </x:c>
      <x:c r="M206" s="66" t="str">
        <x:v>待完成</x:v>
      </x:c>
    </x:row>
    <x:row r="207">
      <x:c r="A207" s="58" t="n">
        <x:v>199</x:v>
      </x:c>
      <x:c r="B207" s="58" t="str">
        <x:v>M7</x:v>
      </x:c>
      <x:c r="C207" s="58" t="str">
        <x:v>Release Repository</x:v>
      </x:c>
      <x:c r="D207" s="58" t="str">
        <x:v>Release/Plugin/Model包存储、签名、审批、Channel、Retention</x:v>
      </x:c>
      <x:c r="E207" s="58" t="str">
        <x:v>ReleaseRepository</x:v>
      </x:c>
      <x:c r="F207" s="58" t="str">
        <x:v>Operations.Deployment</x:v>
      </x:c>
      <x:c r="G207" s="58" t="str">
        <x:v>38/39 Operations</x:v>
      </x:c>
      <x:c r="H207" s="58" t="str">
        <x:v>upload/verify/dependency/signature</x:v>
      </x:c>
      <x:c r="I207" s="58" t="str">
        <x:v>Package Repository</x:v>
      </x:c>
      <x:c r="J207" s="58" t="str">
        <x:v>security/compat</x:v>
      </x:c>
      <x:c r="K207" s="58" t="str">
        <x:v>生产只用可信包</x:v>
      </x:c>
      <x:c r="L207" s="58" t="str">
        <x:v>P0</x:v>
      </x:c>
      <x:c r="M207" s="58" t="str">
        <x:v>待完成</x:v>
      </x:c>
    </x:row>
    <x:row r="208">
      <x:c r="A208" s="66" t="n">
        <x:v>200</x:v>
      </x:c>
      <x:c r="B208" s="66" t="str">
        <x:v>M7</x:v>
      </x:c>
      <x:c r="C208" s="66" t="str">
        <x:v>Fleet Rollout</x:v>
      </x:c>
      <x:c r="D208" s="66" t="str">
        <x:v>Canary/Ring/Batch/Maintenance window/Fail threshold/Auto rollback</x:v>
      </x:c>
      <x:c r="E208" s="66" t="str">
        <x:v>RolloutPlan/RolloutJob</x:v>
      </x:c>
      <x:c r="F208" s="66" t="str">
        <x:v>Operations.Deployment</x:v>
      </x:c>
      <x:c r="G208" s="66" t="str">
        <x:v>38/39 Operations</x:v>
      </x:c>
      <x:c r="H208" s="66" t="str">
        <x:v>precheck/stage/switch/verify/rollback</x:v>
      </x:c>
      <x:c r="I208" s="66" t="str">
        <x:v>Deployment Center</x:v>
      </x:c>
      <x:c r="J208" s="66" t="str">
        <x:v>fault/network</x:v>
      </x:c>
      <x:c r="K208" s="66" t="str">
        <x:v>站点Atomic switch，部分失败可对账</x:v>
      </x:c>
      <x:c r="L208" s="66" t="str">
        <x:v>P0</x:v>
      </x:c>
      <x:c r="M208" s="66" t="str">
        <x:v>待完成</x:v>
      </x:c>
    </x:row>
    <x:row r="209">
      <x:c r="A209" s="58" t="n">
        <x:v>201</x:v>
      </x:c>
      <x:c r="B209" s="58" t="str">
        <x:v>M7</x:v>
      </x:c>
      <x:c r="C209" s="58" t="str">
        <x:v>Fleet Backup/Restore</x:v>
      </x:c>
      <x:c r="D209" s="58" t="str">
        <x:v>Project package/Manifest/Profile/Plugin list/设备映射摘要备份恢复</x:v>
      </x:c>
      <x:c r="E209" s="58" t="str">
        <x:v>BackupRecord/RestorePlan</x:v>
      </x:c>
      <x:c r="F209" s="58" t="str">
        <x:v>Operations</x:v>
      </x:c>
      <x:c r="G209" s="58" t="str">
        <x:v>38/39 Operations</x:v>
      </x:c>
      <x:c r="H209" s="58" t="str">
        <x:v>backup inventory/restore precheck</x:v>
      </x:c>
      <x:c r="I209" s="58" t="str">
        <x:v>Backup Center</x:v>
      </x:c>
      <x:c r="J209" s="58" t="str">
        <x:v>restore tests</x:v>
      </x:c>
      <x:c r="K209" s="58" t="str">
        <x:v>Secret不明文集中</x:v>
      </x:c>
      <x:c r="L209" s="58" t="str">
        <x:v>P1</x:v>
      </x:c>
      <x:c r="M209" s="58" t="str">
        <x:v>待完成</x:v>
      </x:c>
    </x:row>
    <x:row r="210">
      <x:c r="A210" s="66" t="n">
        <x:v>202</x:v>
      </x:c>
      <x:c r="B210" s="66" t="str">
        <x:v>M7</x:v>
      </x:c>
      <x:c r="C210" s="66" t="str">
        <x:v>Central Ops Events</x:v>
      </x:c>
      <x:c r="D210" s="66" t="str">
        <x:v>跨站点系统健康/部署/质量异常事件聚合</x:v>
      </x:c>
      <x:c r="E210" s="66" t="str">
        <x:v>OpsEvent/HealthRule</x:v>
      </x:c>
      <x:c r="F210" s="66" t="str">
        <x:v>Operations.Telemetry</x:v>
      </x:c>
      <x:c r="G210" s="66" t="str">
        <x:v>38/39 Operations</x:v>
      </x:c>
      <x:c r="H210" s="66" t="str">
        <x:v>rules/ack/assign/suppress/escalate</x:v>
      </x:c>
      <x:c r="I210" s="66" t="str">
        <x:v>Event Center</x:v>
      </x:c>
      <x:c r="J210" s="66" t="str">
        <x:v>event storm</x:v>
      </x:c>
      <x:c r="K210" s="66" t="str">
        <x:v>不替代本地工艺Alarm</x:v>
      </x:c>
      <x:c r="L210" s="66" t="str">
        <x:v>P1</x:v>
      </x:c>
      <x:c r="M210" s="66" t="str">
        <x:v>待完成</x:v>
      </x:c>
    </x:row>
    <x:row r="211">
      <x:c r="A211" s="58" t="n">
        <x:v>203</x:v>
      </x:c>
      <x:c r="B211" s="58" t="str">
        <x:v>M7</x:v>
      </x:c>
      <x:c r="C211" s="58" t="str">
        <x:v>Diagnostic Index/Case</x:v>
      </x:c>
      <x:c r="D211" s="58" t="str">
        <x:v>Correlation/Task/Product/Version/Trace跨站搜索与Incident Case证据链</x:v>
      </x:c>
      <x:c r="E211" s="58" t="str">
        <x:v>DiagnosticIndex/DiagnosticCase</x:v>
      </x:c>
      <x:c r="F211" s="58" t="str">
        <x:v>Operations.Diagnostics</x:v>
      </x:c>
      <x:c r="G211" s="58" t="str">
        <x:v>38/39 Operations</x:v>
      </x:c>
      <x:c r="H211" s="58" t="str">
        <x:v>index/search/artifact refs/case workflow</x:v>
      </x:c>
      <x:c r="I211" s="58" t="str">
        <x:v>Case Workspace</x:v>
      </x:c>
      <x:c r="J211" s="58" t="str">
        <x:v>search/retention</x:v>
      </x:c>
      <x:c r="K211" s="58" t="str">
        <x:v>证据与版本完整</x:v>
      </x:c>
      <x:c r="L211" s="58" t="str">
        <x:v>P0</x:v>
      </x:c>
      <x:c r="M211" s="58" t="str">
        <x:v>待完成</x:v>
      </x:c>
    </x:row>
    <x:row r="212">
      <x:c r="A212" s="66" t="n">
        <x:v>204</x:v>
      </x:c>
      <x:c r="B212" s="66" t="str">
        <x:v>M7</x:v>
      </x:c>
      <x:c r="C212" s="66" t="str">
        <x:v>Remote Viewer</x:v>
      </x:c>
      <x:c r="D212" s="66" t="str">
        <x:v>远程只读Runtime/Task/Result/Health/Alarm查看</x:v>
      </x:c>
      <x:c r="E212" s="66" t="str">
        <x:v>RemoteViewerSession</x:v>
      </x:c>
      <x:c r="F212" s="66" t="str">
        <x:v>Operations.Remote</x:v>
      </x:c>
      <x:c r="G212" s="66" t="str">
        <x:v>38/39 Operations</x:v>
      </x:c>
      <x:c r="H212" s="66" t="str">
        <x:v>read-only attach/permissions/bandwidth</x:v>
      </x:c>
      <x:c r="I212" s="66" t="str">
        <x:v>Remote View</x:v>
      </x:c>
      <x:c r="J212" s="66" t="str">
        <x:v>network/security</x:v>
      </x:c>
      <x:c r="K212" s="66" t="str">
        <x:v>默认无副作用</x:v>
      </x:c>
      <x:c r="L212" s="66" t="str">
        <x:v>P1</x:v>
      </x:c>
      <x:c r="M212" s="66" t="str">
        <x:v>待完成</x:v>
      </x:c>
    </x:row>
    <x:row r="213">
      <x:c r="A213" s="58" t="n">
        <x:v>205</x:v>
      </x:c>
      <x:c r="B213" s="58" t="str">
        <x:v>M7</x:v>
      </x:c>
      <x:c r="C213" s="58" t="str">
        <x:v>Remote Engineering Broker</x:v>
      </x:c>
      <x:c r="D213" s="58" t="str">
        <x:v>远程工程申请/审批/TTL/Broker/SessionLease治理</x:v>
      </x:c>
      <x:c r="E213" s="58" t="str">
        <x:v>RemoteEngineeringSession/Broker</x:v>
      </x:c>
      <x:c r="F213" s="58" t="str">
        <x:v>Operations.Remote/Security</x:v>
      </x:c>
      <x:c r="G213" s="58" t="str">
        <x:v>38/39 Operations</x:v>
      </x:c>
      <x:c r="H213" s="58" t="str">
        <x:v>request/approve/connect/renew/close</x:v>
      </x:c>
      <x:c r="I213" s="58" t="str">
        <x:v>Remote Engineering Center</x:v>
      </x:c>
      <x:c r="J213" s="58" t="str">
        <x:v>auth/network</x:v>
      </x:c>
      <x:c r="K213" s="58" t="str">
        <x:v>中心不实现Domain调试语义</x:v>
      </x:c>
      <x:c r="L213" s="58" t="str">
        <x:v>P0</x:v>
      </x:c>
      <x:c r="M213" s="58" t="str">
        <x:v>待完成</x:v>
      </x:c>
    </x:row>
    <x:row r="214">
      <x:c r="A214" s="66" t="n">
        <x:v>206</x:v>
      </x:c>
      <x:c r="B214" s="66" t="str">
        <x:v>M7</x:v>
      </x:c>
      <x:c r="C214" s="66" t="str">
        <x:v>Remote Security/Trust</x:v>
      </x:c>
      <x:c r="D214" s="66" t="str">
        <x:v>Station identity/mTLS/RBAC/SitePolicy/Approval/Target final authorization</x:v>
      </x:c>
      <x:c r="E214" s="66" t="str">
        <x:v>RemoteSessionLease/Policy</x:v>
      </x:c>
      <x:c r="F214" s="66" t="str">
        <x:v>Operations.Security</x:v>
      </x:c>
      <x:c r="G214" s="66" t="str">
        <x:v>38/39 Operations</x:v>
      </x:c>
      <x:c r="H214" s="66" t="str">
        <x:v>identity/lease/audit/fail closed</x:v>
      </x:c>
      <x:c r="I214" s="66" t="str">
        <x:v>Ops/Agent</x:v>
      </x:c>
      <x:c r="J214" s="66" t="str">
        <x:v>security E2E</x:v>
      </x:c>
      <x:c r="K214" s="66" t="str">
        <x:v>中心不能绕过Target</x:v>
      </x:c>
      <x:c r="L214" s="66" t="str">
        <x:v>P0</x:v>
      </x:c>
      <x:c r="M214" s="66" t="str">
        <x:v>待完成</x:v>
      </x:c>
    </x:row>
    <x:row r="215">
      <x:c r="A215" s="58" t="n">
        <x:v>207</x:v>
      </x:c>
      <x:c r="B215" s="58" t="str">
        <x:v>M7</x:v>
      </x:c>
      <x:c r="C215" s="58" t="str">
        <x:v>Remote Artifact/Bandwidth</x:v>
      </x:c>
      <x:c r="D215" s="58" t="str">
        <x:v>Image/Projection/Volume/Log bundle按需chunk/ROI/LOD传输</x:v>
      </x:c>
      <x:c r="E215" s="58" t="str">
        <x:v>ArtifactTransferPolicy</x:v>
      </x:c>
      <x:c r="F215" s="58" t="str">
        <x:v>Operations.Remote/Storage</x:v>
      </x:c>
      <x:c r="G215" s="58" t="str">
        <x:v>38/39 Operations</x:v>
      </x:c>
      <x:c r="H215" s="58" t="str">
        <x:v>download authorization/resume/limits</x:v>
      </x:c>
      <x:c r="I215" s="58" t="str">
        <x:v>Remote Debug</x:v>
      </x:c>
      <x:c r="J215" s="58" t="str">
        <x:v>network stress</x:v>
      </x:c>
      <x:c r="K215" s="58" t="str">
        <x:v>大数据不自动全量上传</x:v>
      </x:c>
      <x:c r="L215" s="58" t="str">
        <x:v>P0</x:v>
      </x:c>
      <x:c r="M215" s="58" t="str">
        <x:v>待完成</x:v>
      </x:c>
    </x:row>
    <x:row r="216">
      <x:c r="A216" s="66" t="n">
        <x:v>208</x:v>
      </x:c>
      <x:c r="B216" s="66" t="str">
        <x:v>M7</x:v>
      </x:c>
      <x:c r="C216" s="66" t="str">
        <x:v>Operations Offline Autonomy</x:v>
      </x:c>
      <x:c r="D216" s="66" t="str">
        <x:v>中心/DB/Agent/网络故障时Runtime自治、重连对账、StoreForward</x:v>
      </x:c>
      <x:c r="E216" s="66" t="str">
        <x:v>OpsResiliencePolicy</x:v>
      </x:c>
      <x:c r="F216" s="66" t="str">
        <x:v>Operations/Runtime</x:v>
      </x:c>
      <x:c r="G216" s="66" t="str">
        <x:v>38/39 Operations</x:v>
      </x:c>
      <x:c r="H216" s="66" t="str">
        <x:v>partition/backoff/reconcile</x:v>
      </x:c>
      <x:c r="I216" s="66" t="str">
        <x:v>Ops Health</x:v>
      </x:c>
      <x:c r="J216" s="66" t="str">
        <x:v>partition/fault</x:v>
      </x:c>
      <x:c r="K216" s="66" t="str">
        <x:v>中心不是生产单点</x:v>
      </x:c>
      <x:c r="L216" s="66" t="str">
        <x:v>P0</x:v>
      </x:c>
      <x:c r="M216" s="66" t="str">
        <x:v>待完成</x:v>
      </x:c>
    </x:row>
    <x:row r="217">
      <x:c r="A217" s="58" t="n">
        <x:v>209</x:v>
      </x:c>
      <x:c r="B217" s="58" t="str">
        <x:v>RC</x:v>
      </x:c>
      <x:c r="C217" s="58" t="str">
        <x:v>Operations/Remote E2E Gate</x:v>
      </x:c>
      <x:c r="D217" s="58" t="str">
        <x:v>多站点健康/Canary部署/回滚/远程只读/受控调试/断网自治完整门禁</x:v>
      </x:c>
      <x:c r="E217" s="58" t="str">
        <x:v>OperationsE2ETests</x:v>
      </x:c>
      <x:c r="F217" s="58" t="str">
        <x:v>QA</x:v>
      </x:c>
      <x:c r="G217" s="58" t="str">
        <x:v>38/39 Operations</x:v>
      </x:c>
      <x:c r="H217" s="58" t="str">
        <x:v>fleet/deploy/security/network/soak</x:v>
      </x:c>
      <x:c r="I217" s="58" t="str">
        <x:v>RC evidence</x:v>
      </x:c>
      <x:c r="J217" s="58" t="str">
        <x:v>multi-agent/fault</x:v>
      </x:c>
      <x:c r="K217" s="58" t="str">
        <x:v>管理面生产可用</x:v>
      </x:c>
      <x:c r="L217" s="58" t="str">
        <x:v>P0</x:v>
      </x:c>
      <x:c r="M217" s="58" t="str">
        <x:v>待完成</x:v>
      </x:c>
    </x:row>
    <x:row r="218">
      <x:c r="A218" s="66" t="n">
        <x:v>210</x:v>
      </x:c>
      <x:c r="B218" s="66" t="str">
        <x:v>M1</x:v>
      </x:c>
      <x:c r="C218" s="66" t="str">
        <x:v>文档导航/阅读地图</x:v>
      </x:c>
      <x:c r="D218" s="66" t="str">
        <x:v>按角色/时间/阶段给出阅读路径与文档分组</x:v>
      </x:c>
      <x:c r="E218" s="66" t="str">
        <x:v>DocumentMap</x:v>
      </x:c>
      <x:c r="F218" s="66" t="str">
        <x:v>Docs</x:v>
      </x:c>
      <x:c r="G218" s="66" t="str">
        <x:v>03/04 Platform</x:v>
      </x:c>
      <x:c r="H218" s="66" t="str">
        <x:v>00/48导航与关联页</x:v>
      </x:c>
      <x:c r="I218" s="66" t="str">
        <x:v>Workbook</x:v>
      </x:c>
      <x:c r="J218" s="66" t="str">
        <x:v>review</x:v>
      </x:c>
      <x:c r="K218" s="66" t="str">
        <x:v>团队能快速找到正确设计页</x:v>
      </x:c>
      <x:c r="L218" s="66" t="str">
        <x:v>P1</x:v>
      </x:c>
      <x:c r="M218" s="66" t="str">
        <x:v>待完成</x:v>
      </x:c>
    </x:row>
    <x:row r="219">
      <x:c r="A219" s="58" t="n">
        <x:v>211</x:v>
      </x:c>
      <x:c r="B219" s="58" t="str">
        <x:v>M1</x:v>
      </x:c>
      <x:c r="C219" s="58" t="str">
        <x:v>平台能力矩阵</x:v>
      </x:c>
      <x:c r="D219" s="58" t="str">
        <x:v>Visual/SCADA/Motion/Robot/Vision/CT/Inspection/Ops共享/专有能力一页化</x:v>
      </x:c>
      <x:c r="E219" s="58" t="str">
        <x:v>CapabilityMatrix</x:v>
      </x:c>
      <x:c r="F219" s="58" t="str">
        <x:v>Docs/Architecture</x:v>
      </x:c>
      <x:c r="G219" s="58" t="str">
        <x:v>22 Graph Integration/Resource</x:v>
      </x:c>
      <x:c r="H219" s="58" t="str">
        <x:v>跨域能力归属</x:v>
      </x:c>
      <x:c r="I219" s="58" t="str">
        <x:v>Architecture review</x:v>
      </x:c>
      <x:c r="J219" s="58" t="str">
        <x:v>consistency</x:v>
      </x:c>
      <x:c r="K219" s="58" t="str">
        <x:v>减少重复造轮子</x:v>
      </x:c>
      <x:c r="L219" s="58" t="str">
        <x:v>P1</x:v>
      </x:c>
      <x:c r="M219" s="58" t="str">
        <x:v>待完成</x:v>
      </x:c>
    </x:row>
    <x:row r="220">
      <x:c r="A220" s="66" t="n">
        <x:v>212</x:v>
      </x:c>
      <x:c r="B220" s="66" t="str">
        <x:v>M1</x:v>
      </x:c>
      <x:c r="C220" s="66" t="str">
        <x:v>开发Playbook/DoR/DoD</x:v>
      </x:c>
      <x:c r="D220" s="66" t="str">
        <x:v>新Feature/Node/Provider/OnlineDebug/Release统一开发模板</x:v>
      </x:c>
      <x:c r="E220" s="66" t="str">
        <x:v>DevelopmentPlaybook</x:v>
      </x:c>
      <x:c r="F220" s="66" t="str">
        <x:v>Docs/Process</x:v>
      </x:c>
      <x:c r="G220" s="66" t="str">
        <x:v>03/04 Platform</x:v>
      </x:c>
      <x:c r="H220" s="66" t="str">
        <x:v>Ready→Vertical Slice→Evidence</x:v>
      </x:c>
      <x:c r="I220" s="66" t="str">
        <x:v>Team process</x:v>
      </x:c>
      <x:c r="J220" s="66" t="str">
        <x:v>review</x:v>
      </x:c>
      <x:c r="K220" s="66" t="str">
        <x:v>禁止只做类/只编译即完成</x:v>
      </x:c>
      <x:c r="L220" s="66" t="str">
        <x:v>P0</x:v>
      </x:c>
      <x:c r="M220" s="66" t="str">
        <x:v>待完成</x:v>
      </x:c>
    </x:row>
    <x:row r="221">
      <x:c r="A221" s="58" t="n">
        <x:v>213</x:v>
      </x:c>
      <x:c r="B221" s="58" t="str">
        <x:v>M1</x:v>
      </x:c>
      <x:c r="C221" s="58" t="str">
        <x:v>统一术语表</x:v>
      </x:c>
      <x:c r="D221" s="58" t="str">
        <x:v>Definition/Plan/Session/Agent/Artifact/Robot/CT/Ops等正式术语统一</x:v>
      </x:c>
      <x:c r="E221" s="58" t="str">
        <x:v>Glossary</x:v>
      </x:c>
      <x:c r="F221" s="58" t="str">
        <x:v>Docs</x:v>
      </x:c>
      <x:c r="G221" s="58" t="str">
        <x:v>03/04 Platform</x:v>
      </x:c>
      <x:c r="H221" s="58" t="str">
        <x:v>代码/文档命名基线</x:v>
      </x:c>
      <x:c r="I221" s="58" t="str">
        <x:v>Review</x:v>
      </x:c>
      <x:c r="J221" s="58" t="str">
        <x:v>terminology scan</x:v>
      </x:c>
      <x:c r="K221" s="58" t="str">
        <x:v>减少概念漂移</x:v>
      </x:c>
      <x:c r="L221" s="58" t="str">
        <x:v>P1</x:v>
      </x:c>
      <x:c r="M221" s="58" t="str">
        <x:v>待完成</x:v>
      </x:c>
    </x:row>
    <x:row r="222">
      <x:c r="A222" s="66" t="n">
        <x:v>214</x:v>
      </x:c>
      <x:c r="B222" s="66" t="str">
        <x:v>RC</x:v>
      </x:c>
      <x:c r="C222" s="66" t="str">
        <x:v>文档-代码-追踪一致性门禁</x:v>
      </x:c>
      <x:c r="D222" s="66" t="str">
        <x:v>02/03/23/24/领域页/58与Solution/API/测试证据一致</x:v>
      </x:c>
      <x:c r="E222" s="66" t="str">
        <x:v>DocumentationGovernance</x:v>
      </x:c>
      <x:c r="F222" s="66" t="str">
        <x:v>QA/Architecture</x:v>
      </x:c>
      <x:c r="G222" s="66" t="str">
        <x:v>26 Graph Test/Gate</x:v>
      </x:c>
      <x:c r="H222" s="66" t="str">
        <x:v>release review/checklist</x:v>
      </x:c>
      <x:c r="I222" s="66" t="str">
        <x:v>RC evidence</x:v>
      </x:c>
      <x:c r="J222" s="66" t="str">
        <x:v>manual+automation</x:v>
      </x:c>
      <x:c r="K222" s="66" t="str">
        <x:v>发布前不存在双轨术语/遗漏追踪</x:v>
      </x:c>
      <x:c r="L222" s="66" t="str">
        <x:v>P0</x:v>
      </x:c>
      <x:c r="M222" s="66" t="str">
        <x:v>待完成</x:v>
      </x:c>
    </x:row>
    <x:row r="223">
      <x:c r="A223" t="n">
        <x:v>215</x:v>
      </x:c>
      <x:c r="B223" t="str">
        <x:v>M1</x:v>
      </x:c>
      <x:c r="C223" t="str">
        <x:v>Studio固定9一级菜单</x:v>
      </x:c>
      <x:c r="D223" t="str">
        <x:v>工程生命周期Shell长期稳定</x:v>
      </x:c>
      <x:c r="E223" t="str">
        <x:v>AppShell / RibbonShell / StudioShellSession</x:v>
      </x:c>
      <x:c r="F223" t="str">
        <x:v>Designer.Application/Wpf</x:v>
      </x:c>
      <x:c r="G223" t="str">
        <x:v>07/45</x:v>
      </x:c>
      <x:c r="H223" t="str">
        <x:v>新增/重构固定菜单、模式状态与上下文容器</x:v>
      </x:c>
      <x:c r="I223" t="str">
        <x:v>Studio Shell</x:v>
      </x:c>
      <x:c r="J223" t="str">
        <x:v>UI Smoke/Architecture</x:v>
      </x:c>
      <x:c r="K223" t="str">
        <x:v>文件/编辑/视图/工程/调试/运行/发布/工具/帮助固定，专业Domain不做永久一级菜单</x:v>
      </x:c>
      <x:c r="L223" t="str">
        <x:v>P0</x:v>
      </x:c>
      <x:c r="M223" t="str">
        <x:v>待完成</x:v>
      </x:c>
    </x:row>
    <x:row r="224">
      <x:c r="A224" t="n">
        <x:v>216</x:v>
      </x:c>
      <x:c r="B224" t="str">
        <x:v>M1</x:v>
      </x:c>
      <x:c r="C224" t="str">
        <x:v>Contextual Ribbon Provider</x:v>
      </x:c>
      <x:c r="D224" t="str">
        <x:v>活动Document/Workspace动态注册专业页签</x:v>
      </x:c>
      <x:c r="E224" t="str">
        <x:v>IWorkspaceProvider / ContextualRibbonDescriptor / CommandDescriptor</x:v>
      </x:c>
      <x:c r="F224" t="str">
        <x:v>Designer.Application/Wpf</x:v>
      </x:c>
      <x:c r="G224" t="str">
        <x:v>07/45</x:v>
      </x:c>
      <x:c r="H224" t="str">
        <x:v>建立Provider Registry、Context切换和命令描述</x:v>
      </x:c>
      <x:c r="I224" t="str">
        <x:v>Studio Workspace</x:v>
      </x:c>
      <x:c r="J224" t="str">
        <x:v>Context switch/UI Smoke</x:v>
      </x:c>
      <x:c r="K224" t="str">
        <x:v>切换HMI/SCADA/Graph/Motion/Robot/Vision/CT/Inspection显隐正确且不残留状态</x:v>
      </x:c>
      <x:c r="L224" t="str">
        <x:v>P0</x:v>
      </x:c>
      <x:c r="M224" t="str">
        <x:v>待完成</x:v>
      </x:c>
    </x:row>
    <x:row r="225">
      <x:c r="A225" t="n">
        <x:v>217</x:v>
      </x:c>
      <x:c r="B225" t="str">
        <x:v>M1</x:v>
      </x:c>
      <x:c r="C225" t="str">
        <x:v>Studio Command Routing Gate</x:v>
      </x:c>
      <x:c r="D225" t="str">
        <x:v>UI不穿透Domain/Vendor</x:v>
      </x:c>
      <x:c r="E225" t="str">
        <x:v>CommandRouter / CapabilityGate / PermissionGate</x:v>
      </x:c>
      <x:c r="F225" t="str">
        <x:v>Designer.Application</x:v>
      </x:c>
      <x:c r="G225" t="str">
        <x:v>03/07/45</x:v>
      </x:c>
      <x:c r="H225" t="str">
        <x:v>统一CommandDescriptor→Application Service路由</x:v>
      </x:c>
      <x:c r="I225" t="str">
        <x:v>Studio Shell</x:v>
      </x:c>
      <x:c r="J225" t="str">
        <x:v>Architecture/Security</x:v>
      </x:c>
      <x:c r="K225" t="str">
        <x:v>所有命令有Mode/Capability/Permission/Selection判定与Disabled原因</x:v>
      </x:c>
      <x:c r="L225" t="str">
        <x:v>P0</x:v>
      </x:c>
      <x:c r="M225" t="str">
        <x:v>待完成</x:v>
      </x:c>
    </x:row>
    <x:row r="226">
      <x:c r="A226" t="n">
        <x:v>218</x:v>
      </x:c>
      <x:c r="B226" t="str">
        <x:v>M1</x:v>
      </x:c>
      <x:c r="C226" t="str">
        <x:v>共享Engineering工具窗</x:v>
      </x:c>
      <x:c r="D226" t="str">
        <x:v>所有Domain复用Project Tree/Inspector/Catalog/Dock</x:v>
      </x:c>
      <x:c r="E226" t="str">
        <x:v>ProjectBrowserVM / InspectorVM / Diagnostics Dock</x:v>
      </x:c>
      <x:c r="F226" t="str">
        <x:v>Designer.Wpf/Application</x:v>
      </x:c>
      <x:c r="G226" t="str">
        <x:v>07/45</x:v>
      </x:c>
      <x:c r="H226" t="str">
        <x:v>统一共享面板与Context数据源</x:v>
      </x:c>
      <x:c r="I226" t="str">
        <x:v>Studio</x:v>
      </x:c>
      <x:c r="J226" t="str">
        <x:v>UI Smoke/Search</x:v>
      </x:c>
      <x:c r="K226" t="str">
        <x:v>Domain不得自建第二套公共工程树/属性/Watch/Trace</x:v>
      </x:c>
      <x:c r="L226" t="str">
        <x:v>P1</x:v>
      </x:c>
      <x:c r="M226" t="str">
        <x:v>待完成</x:v>
      </x:c>
    </x:row>
    <x:row r="227">
      <x:c r="A227" t="n">
        <x:v>219</x:v>
      </x:c>
      <x:c r="B227" t="str">
        <x:v>M2</x:v>
      </x:c>
      <x:c r="C227" t="str">
        <x:v>DeviceVariable Provider接入</x:v>
      </x:c>
      <x:c r="D227" t="str">
        <x:v>现有变量底层通过唯一IVariableProvider进入CxVisual</x:v>
      </x:c>
      <x:c r="E227" t="str">
        <x:v>DeviceVariableProvider / MetadataAdapter / Catalog</x:v>
      </x:c>
      <x:c r="F227" t="str">
        <x:v>Integration</x:v>
      </x:c>
      <x:c r="G227" t="str">
        <x:v>17/46</x:v>
      </x:c>
      <x:c r="H227" t="str">
        <x:v>完成Legacy ACL并由ProviderHost统一装配</x:v>
      </x:c>
      <x:c r="I227" t="str">
        <x:v>Designer/Runtime</x:v>
      </x:c>
      <x:c r="J227" t="str">
        <x:v>Provider contract/Integration</x:v>
      </x:c>
      <x:c r="K227" t="str">
        <x:v>UI/Runtime/Graph均不直接访问VariableManager</x:v>
      </x:c>
      <x:c r="L227" t="str">
        <x:v>P0</x:v>
      </x:c>
      <x:c r="M227" t="str">
        <x:v>待完成</x:v>
      </x:c>
    </x:row>
    <x:row r="228">
      <x:c r="A228" t="n">
        <x:v>220</x:v>
      </x:c>
      <x:c r="B228" t="str">
        <x:v>M2</x:v>
      </x:c>
      <x:c r="C228" t="str">
        <x:v>DeviceVariable→Project Variables同步</x:v>
      </x:c>
      <x:c r="D228" t="str">
        <x:v>稳定工程变量身份</x:v>
      </x:c>
      <x:c r="E228" t="str">
        <x:v>ProjectVariableSyncService / VariableDefinition / VariableId</x:v>
      </x:c>
      <x:c r="F228" t="str">
        <x:v>Core/Designer.Application</x:v>
      </x:c>
      <x:c r="G228" t="str">
        <x:v>12/17/46</x:v>
      </x:c>
      <x:c r="H228" t="str">
        <x:v>发现/匹配/同步DeviceVariable到ProjectModel.Variables</x:v>
      </x:c>
      <x:c r="I228" t="str">
        <x:v>Designer</x:v>
      </x:c>
      <x:c r="J228" t="str">
        <x:v>RoundTrip/Rename</x:v>
      </x:c>
      <x:c r="K228" t="str">
        <x:v>设备改名不导致工程Binding整体失效</x:v>
      </x:c>
      <x:c r="L228" t="str">
        <x:v>P0</x:v>
      </x:c>
      <x:c r="M228" t="str">
        <x:v>待完成</x:v>
      </x:c>
    </x:row>
    <x:row r="229">
      <x:c r="A229" t="n">
        <x:v>221</x:v>
      </x:c>
      <x:c r="B229" t="str">
        <x:v>M2</x:v>
      </x:c>
      <x:c r="C229" t="str">
        <x:v>VariableReference Binding闭环</x:v>
      </x:c>
      <x:c r="D229" t="str">
        <x:v>设备变量可直接选择/拖放绑定图元</x:v>
      </x:c>
      <x:c r="E229" t="str">
        <x:v>VariableReferenceFactory / BindingEditor</x:v>
      </x:c>
      <x:c r="F229" t="str">
        <x:v>Designer.Application/Wpf</x:v>
      </x:c>
      <x:c r="G229" t="str">
        <x:v>10/46</x:v>
      </x:c>
      <x:c r="H229" t="str">
        <x:v>变量树→选择/DragDrop→类型校验→Command提交Binding</x:v>
      </x:c>
      <x:c r="I229" t="str">
        <x:v>Designer/Runtime</x:v>
      </x:c>
      <x:c r="J229" t="str">
        <x:v>UI/Binding integration</x:v>
      </x:c>
      <x:c r="K229" t="str">
        <x:v>保存重开后引用保持；运行值真实驱动画面</x:v>
      </x:c>
      <x:c r="L229" t="str">
        <x:v>P0</x:v>
      </x:c>
      <x:c r="M229" t="str">
        <x:v>待完成</x:v>
      </x:c>
    </x:row>
    <x:row r="230">
      <x:c r="A230" t="n">
        <x:v>222</x:v>
      </x:c>
      <x:c r="B230" t="str">
        <x:v>M2</x:v>
      </x:c>
      <x:c r="C230" t="str">
        <x:v>Variable Provider生命周期</x:v>
      </x:c>
      <x:c r="D230" t="str">
        <x:v>统一Create/Connect/Subscribe/Reconnect/Dispose</x:v>
      </x:c>
      <x:c r="E230" t="str">
        <x:v>VariableProviderHost / ProviderRegistry</x:v>
      </x:c>
      <x:c r="F230" t="str">
        <x:v>Runtime.Core/Integration</x:v>
      </x:c>
      <x:c r="G230" t="str">
        <x:v>18/46</x:v>
      </x:c>
      <x:c r="H230" t="str">
        <x:v>Composition Root初始化、断线重连、反向释放</x:v>
      </x:c>
      <x:c r="I230" t="str">
        <x:v>Runtime</x:v>
      </x:c>
      <x:c r="J230" t="str">
        <x:v>Lifecycle/Fault/Soak</x:v>
      </x:c>
      <x:c r="K230" t="str">
        <x:v>Provider临时离线不丢工程Reference；Stop/Dispose幂等</x:v>
      </x:c>
      <x:c r="L230" t="str">
        <x:v>P0</x:v>
      </x:c>
      <x:c r="M230" t="str">
        <x:v>待完成</x:v>
      </x:c>
    </x:row>
    <x:row r="231">
      <x:c r="A231" t="n">
        <x:v>223</x:v>
      </x:c>
      <x:c r="B231" t="str">
        <x:v>M2</x:v>
      </x:c>
      <x:c r="C231" t="str">
        <x:v>VariableValue语义贯通</x:v>
      </x:c>
      <x:c r="D231" t="str">
        <x:v>Quality/TimestampUtc/Sequence/Source端到端</x:v>
      </x:c>
      <x:c r="E231" t="str">
        <x:v>VariableValue / VariableMetadata / VariableEngine</x:v>
      </x:c>
      <x:c r="F231" t="str">
        <x:v>Abstractions/Runtime</x:v>
      </x:c>
      <x:c r="G231" t="str">
        <x:v>17/20/46</x:v>
      </x:c>
      <x:c r="H231" t="str">
        <x:v>统一值包并改造Binding/Alarm/Trend/Watch消费</x:v>
      </x:c>
      <x:c r="I231" t="str">
        <x:v>Runtime/SCADA</x:v>
      </x:c>
      <x:c r="J231" t="str">
        <x:v>Contract/Replay</x:v>
      </x:c>
      <x:c r="K231" t="str">
        <x:v>不得退化为Value+HasInitialValue</x:v>
      </x:c>
      <x:c r="L231" t="str">
        <x:v>P0</x:v>
      </x:c>
      <x:c r="M231" t="str">
        <x:v>待完成</x:v>
      </x:c>
    </x:row>
    <x:row r="232">
      <x:c r="A232" t="n">
        <x:v>224</x:v>
      </x:c>
      <x:c r="B232" t="str">
        <x:v>M2</x:v>
      </x:c>
      <x:c r="C232" t="str">
        <x:v>VariableChangeDispatcher</x:v>
      </x:c>
      <x:c r="D232" t="str">
        <x:v>高频变量有界分发与慢订阅隔离</x:v>
      </x:c>
      <x:c r="E232" t="str">
        <x:v>IVariableChangeDispatcher / VariableChangeBatch / SubscriptionPolicy</x:v>
      </x:c>
      <x:c r="F232" t="str">
        <x:v>Runtime.Core</x:v>
      </x:c>
      <x:c r="G232" t="str">
        <x:v>18/25/46</x:v>
      </x:c>
      <x:c r="H232" t="str">
        <x:v>LatestOnly/All/Sampled、bounded queue、metrics</x:v>
      </x:c>
      <x:c r="I232" t="str">
        <x:v>Runtime</x:v>
      </x:c>
      <x:c r="J232" t="str">
        <x:v>Stress/72h subset</x:v>
      </x:c>
      <x:c r="K232" t="str">
        <x:v>不叠加固定100ms延迟；队列不无界增长</x:v>
      </x:c>
      <x:c r="L232" t="str">
        <x:v>P0</x:v>
      </x:c>
      <x:c r="M232" t="str">
        <x:v>待完成</x:v>
      </x:c>
    </x:row>
    <x:row r="233">
      <x:c r="A233" t="n">
        <x:v>225</x:v>
      </x:c>
      <x:c r="B233" t="str">
        <x:v>M2</x:v>
      </x:c>
      <x:c r="C233" t="str">
        <x:v>Alarm/Trend/State统一变量源</x:v>
      </x:c>
      <x:c r="D233" t="str">
        <x:v>同一VariableReference驱动监控与视觉</x:v>
      </x:c>
      <x:c r="E233" t="str">
        <x:v>AlarmEngine / Historian / Trend / StateRule</x:v>
      </x:c>
      <x:c r="F233" t="str">
        <x:v>Alarm/History/Runtime</x:v>
      </x:c>
      <x:c r="G233" t="str">
        <x:v>10/16/17/46</x:v>
      </x:c>
      <x:c r="H233" t="str">
        <x:v>取消重复Tag缓存语义，统一Quality/时间戳</x:v>
      </x:c>
      <x:c r="I233" t="str">
        <x:v>Runtime/Studio</x:v>
      </x:c>
      <x:c r="J233" t="str">
        <x:v>SCADA integration</x:v>
      </x:c>
      <x:c r="K233" t="str">
        <x:v>Binding/State/Alarm/Trend读到同一事实源</x:v>
      </x:c>
      <x:c r="L233" t="str">
        <x:v>P0</x:v>
      </x:c>
      <x:c r="M233" t="str">
        <x:v>待完成</x:v>
      </x:c>
    </x:row>
    <x:row r="234">
      <x:c r="A234" t="n">
        <x:v>226</x:v>
      </x:c>
      <x:c r="B234" t="str">
        <x:v>M2</x:v>
      </x:c>
      <x:c r="C234" t="str">
        <x:v>Controlled Variable Write</x:v>
      </x:c>
      <x:c r="D234" t="str">
        <x:v>真实设备写入不可绕过</x:v>
      </x:c>
      <x:c r="E234" t="str">
        <x:v>WritePipeline / WriteRequest / WriteResult</x:v>
      </x:c>
      <x:c r="F234" t="str">
        <x:v>Security/Runtime/Audit</x:v>
      </x:c>
      <x:c r="G234" t="str">
        <x:v>14/46</x:v>
      </x:c>
      <x:c r="H234" t="str">
        <x:v>Mode/Auth/Type/Range/Interlock/Audit→Provider.Write→Readback</x:v>
      </x:c>
      <x:c r="I234" t="str">
        <x:v>Runtime/Graph/Control</x:v>
      </x:c>
      <x:c r="J234" t="str">
        <x:v>Security/Fault</x:v>
      </x:c>
      <x:c r="K234" t="str">
        <x:v>VariableTable.UpdateVariable不被视为PLC写成功</x:v>
      </x:c>
      <x:c r="L234" t="str">
        <x:v>P0</x:v>
      </x:c>
      <x:c r="M234" t="str">
        <x:v>待完成</x:v>
      </x:c>
    </x:row>
    <x:row r="235">
      <x:c r="A235" t="n">
        <x:v>227</x:v>
      </x:c>
      <x:c r="B235" t="str">
        <x:v>M2</x:v>
      </x:c>
      <x:c r="C235" t="str">
        <x:v>DeviceVariable保存/重开/离线</x:v>
      </x:c>
      <x:c r="D235" t="str">
        <x:v>工程引用在Provider不可用时仍可维护</x:v>
      </x:c>
      <x:c r="E235" t="str">
        <x:v>VariableDefinition / VariableReference / ProviderProfile</x:v>
      </x:c>
      <x:c r="F235" t="str">
        <x:v>Serialization/Core</x:v>
      </x:c>
      <x:c r="G235" t="str">
        <x:v>12/46</x:v>
      </x:c>
      <x:c r="H235" t="str">
        <x:v>Schema/Migration/Offline reopen</x:v>
      </x:c>
      <x:c r="I235" t="str">
        <x:v>Designer/Runtime</x:v>
      </x:c>
      <x:c r="J235" t="str">
        <x:v>RoundTrip/Offline</x:v>
      </x:c>
      <x:c r="K235" t="str">
        <x:v>离线不删引用；重连后恢复订阅</x:v>
      </x:c>
      <x:c r="L235" t="str">
        <x:v>P0</x:v>
      </x:c>
      <x:c r="M235" t="str">
        <x:v>待完成</x:v>
      </x:c>
    </x:row>
    <x:row r="236">
      <x:c r="A236" t="n">
        <x:v>228</x:v>
      </x:c>
      <x:c r="B236" t="str">
        <x:v>M2</x:v>
      </x:c>
      <x:c r="C236" t="str">
        <x:v>HMI/SCADA Contextual Ribbon</x:v>
      </x:c>
      <x:c r="D236" t="str">
        <x:v>绘图与SCADA配置成为上下文专业页签</x:v>
      </x:c>
      <x:c r="E236" t="str">
        <x:v>HmiWorkspaceProvider / ScadaWorkspaceProvider</x:v>
      </x:c>
      <x:c r="F236" t="str">
        <x:v>Designer.Wpf</x:v>
      </x:c>
      <x:c r="G236" t="str">
        <x:v>07/17/45</x:v>
      </x:c>
      <x:c r="H236" t="str">
        <x:v>HMI绘图/排列/图层/绑定；SCADA设备/变量/报警/历史/配方</x:v>
      </x:c>
      <x:c r="I236" t="str">
        <x:v>Studio</x:v>
      </x:c>
      <x:c r="J236" t="str">
        <x:v>UI Smoke</x:v>
      </x:c>
      <x:c r="K236" t="str">
        <x:v>绘图不再永久顶层；变量页签加载统一Catalog</x:v>
      </x:c>
      <x:c r="L236" t="str">
        <x:v>P1</x:v>
      </x:c>
      <x:c r="M236" t="str">
        <x:v>待完成</x:v>
      </x:c>
    </x:row>
    <x:row r="237">
      <x:c r="A237" t="n">
        <x:v>229</x:v>
      </x:c>
      <x:c r="B237" t="str">
        <x:v>M3</x:v>
      </x:c>
      <x:c r="C237" t="str">
        <x:v>SCADA Graph VariableChanged</x:v>
      </x:c>
      <x:c r="D237" t="str">
        <x:v>变量变化触发Graph且保留质量时序</x:v>
      </x:c>
      <x:c r="E237" t="str">
        <x:v>VariableChangedNode / VariableEngine adapter</x:v>
      </x:c>
      <x:c r="F237" t="str">
        <x:v>Graph/SCADA</x:v>
      </x:c>
      <x:c r="G237" t="str">
        <x:v>19/22/46</x:v>
      </x:c>
      <x:c r="H237" t="str">
        <x:v>实现订阅、Typed output、取消订阅</x:v>
      </x:c>
      <x:c r="I237" t="str">
        <x:v>Graph Runtime</x:v>
      </x:c>
      <x:c r="J237" t="str">
        <x:v>Graph integration</x:v>
      </x:c>
      <x:c r="K237" t="str">
        <x:v>输出Value/Quality/Timestamp/Sequence/Source</x:v>
      </x:c>
      <x:c r="L237" t="str">
        <x:v>P0</x:v>
      </x:c>
      <x:c r="M237" t="str">
        <x:v>待完成</x:v>
      </x:c>
    </x:row>
    <x:row r="238">
      <x:c r="A238" t="n">
        <x:v>230</x:v>
      </x:c>
      <x:c r="B238" t="str">
        <x:v>M3</x:v>
      </x:c>
      <x:c r="C238" t="str">
        <x:v>SCADA Graph ReadVariable</x:v>
      </x:c>
      <x:c r="D238" t="str">
        <x:v>Graph读取统一变量事实源</x:v>
      </x:c>
      <x:c r="E238" t="str">
        <x:v>ReadVariableNode</x:v>
      </x:c>
      <x:c r="F238" t="str">
        <x:v>Graph/SCADA</x:v>
      </x:c>
      <x:c r="G238" t="str">
        <x:v>19/22/46</x:v>
      </x:c>
      <x:c r="H238" t="str">
        <x:v>调用VariableEngine/IVariableProvider读取</x:v>
      </x:c>
      <x:c r="I238" t="str">
        <x:v>Graph Runtime</x:v>
      </x:c>
      <x:c r="J238" t="str">
        <x:v>Graph integration</x:v>
      </x:c>
      <x:c r="K238" t="str">
        <x:v>禁止直连Legacy VariableManager</x:v>
      </x:c>
      <x:c r="L238" t="str">
        <x:v>P0</x:v>
      </x:c>
      <x:c r="M238" t="str">
        <x:v>待完成</x:v>
      </x:c>
    </x:row>
    <x:row r="239">
      <x:c r="A239" t="n">
        <x:v>231</x:v>
      </x:c>
      <x:c r="B239" t="str">
        <x:v>M3</x:v>
      </x:c>
      <x:c r="C239" t="str">
        <x:v>SCADA Graph WriteVariable</x:v>
      </x:c>
      <x:c r="D239" t="str">
        <x:v>Graph写入进入Controlled Write</x:v>
      </x:c>
      <x:c r="E239" t="str">
        <x:v>WriteVariableNode / WritePipeline</x:v>
      </x:c>
      <x:c r="F239" t="str">
        <x:v>Graph/Security</x:v>
      </x:c>
      <x:c r="G239" t="str">
        <x:v>14/19/22/46</x:v>
      </x:c>
      <x:c r="H239" t="str">
        <x:v>构造WriteRequest并消费WriteResult/Readback</x:v>
      </x:c>
      <x:c r="I239" t="str">
        <x:v>Graph Runtime</x:v>
      </x:c>
      <x:c r="J239" t="str">
        <x:v>Security/Graph</x:v>
      </x:c>
      <x:c r="K239" t="str">
        <x:v>节点不得本地Update冒充设备成功</x:v>
      </x:c>
      <x:c r="L239" t="str">
        <x:v>P0</x:v>
      </x:c>
      <x:c r="M239" t="str">
        <x:v>待完成</x:v>
      </x:c>
    </x:row>
    <x:row r="240">
      <x:c r="A240" t="n">
        <x:v>232</x:v>
      </x:c>
      <x:c r="B240" t="str">
        <x:v>M3</x:v>
      </x:c>
      <x:c r="C240" t="str">
        <x:v>DeviceVariable E2E Gate</x:v>
      </x:c>
      <x:c r="D240" t="str">
        <x:v>证明变量链而非Adapter单测</x:v>
      </x:c>
      <x:c r="E240" t="str">
        <x:v>VAR-E2E-01~07</x:v>
      </x:c>
      <x:c r="F240" t="str">
        <x:v>Tests</x:v>
      </x:c>
      <x:c r="G240" t="str">
        <x:v>26/46</x:v>
      </x:c>
      <x:c r="H240" t="str">
        <x:v>Project/Binding/AlarmTrend/Graph/Offline/Write/SaveReopen场景</x:v>
      </x:c>
      <x:c r="I240" t="str">
        <x:v>RC Evidence</x:v>
      </x:c>
      <x:c r="J240" t="str">
        <x:v>Integration/Fault</x:v>
      </x:c>
      <x:c r="K240" t="str">
        <x:v>完整闭环有自动证据</x:v>
      </x:c>
      <x:c r="L240" t="str">
        <x:v>P0</x:v>
      </x:c>
      <x:c r="M240" t="str">
        <x:v>待完成</x:v>
      </x:c>
    </x:row>
    <x:row r="241">
      <x:c r="A241" t="n">
        <x:v>233</x:v>
      </x:c>
      <x:c r="B241" t="str">
        <x:v>M3</x:v>
      </x:c>
      <x:c r="C241" t="str">
        <x:v>Graph Contextual Ribbon</x:v>
      </x:c>
      <x:c r="D241" t="str">
        <x:v>Graph专业建模与统一Debug接入Shell</x:v>
      </x:c>
      <x:c r="E241" t="str">
        <x:v>GraphWorkspaceProvider</x:v>
      </x:c>
      <x:c r="F241" t="str">
        <x:v>Designer.Wpf/Graph</x:v>
      </x:c>
      <x:c r="G241" t="str">
        <x:v>19/45</x:v>
      </x:c>
      <x:c r="H241" t="str">
        <x:v>节点/连线/Graph页签+Debug工具窗</x:v>
      </x:c>
      <x:c r="I241" t="str">
        <x:v>Studio</x:v>
      </x:c>
      <x:c r="J241" t="str">
        <x:v>UI/Debug Smoke</x:v>
      </x:c>
      <x:c r="K241" t="str">
        <x:v>Context只改变命令集合，不改变GraphKind/Compiler边界</x:v>
      </x:c>
      <x:c r="L241" t="str">
        <x:v>P1</x:v>
      </x:c>
      <x:c r="M241" t="str">
        <x:v>待完成</x:v>
      </x:c>
    </x:row>
    <x:row r="242">
      <x:c r="A242" t="n">
        <x:v>234</x:v>
      </x:c>
      <x:c r="B242" t="str">
        <x:v>M4</x:v>
      </x:c>
      <x:c r="C242" t="str">
        <x:v>工业硬件Capability体系</x:v>
      </x:c>
      <x:c r="D242" t="str">
        <x:v>完整覆盖机台硬件而非只轴/IO/气缸</x:v>
      </x:c>
      <x:c r="E242" t="str">
        <x:v>IIndustrialDevice + controller/fieldbus/axis/io/sensor/safety/process interfaces</x:v>
      </x:c>
      <x:c r="F242" t="str">
        <x:v>Motion/Abstractions</x:v>
      </x:c>
      <x:c r="G242" t="str">
        <x:v>05/27/47</x:v>
      </x:c>
      <x:c r="H242" t="str">
        <x:v>建立窄接口、Capability、Profile、Registry</x:v>
      </x:c>
      <x:c r="I242" t="str">
        <x:v>Motion Runtime</x:v>
      </x:c>
      <x:c r="J242" t="str">
        <x:v>Architecture/Contract</x:v>
      </x:c>
      <x:c r="K242" t="str">
        <x:v>Vendor SDK不进Core/Studio/Graph；不建万能Device接口</x:v>
      </x:c>
      <x:c r="L242" t="str">
        <x:v>P0</x:v>
      </x:c>
      <x:c r="M242" t="str">
        <x:v>待完成</x:v>
      </x:c>
    </x:row>
    <x:row r="243">
      <x:c r="A243" s="117" t="n">
        <x:v>243</x:v>
      </x:c>
      <x:c r="B243" s="117" t="str">
        <x:v>V6.0</x:v>
      </x:c>
      <x:c r="C243" s="117" t="str">
        <x:v>1 Platform + 6 Workbench 架构冻结</x:v>
      </x:c>
      <x:c r="D243" s="117" t="str">
        <x:v>一级Owner/依赖/三平面冻结</x:v>
      </x:c>
      <x:c r="E243" s="117" t="str">
        <x:v>Constitution/01~08/Architecture Gate</x:v>
      </x:c>
      <x:c r="F243" s="117" t="str">
        <x:v>Platform</x:v>
      </x:c>
      <x:c r="G243" s="117" t="str">
        <x:v>03/04/49</x:v>
      </x:c>
      <x:c r="H243" s="117" t="str">
        <x:v>冻结</x:v>
      </x:c>
      <x:c r="I243" s="117" t="str">
        <x:v>全平台</x:v>
      </x:c>
      <x:c r="J243" s="117" t="str">
        <x:v>Architecture Gate</x:v>
      </x:c>
      <x:c r="K243" s="117" t="str">
        <x:v>不再随项目新增一级Workbench</x:v>
      </x:c>
      <x:c r="L243" s="117" t="str">
        <x:v>P0</x:v>
      </x:c>
      <x:c r="M243" s="117" t="str">
        <x:v>已完成</x:v>
      </x:c>
      <x:c r="N243" s="117"/>
      <x:c r="O243" s="117"/>
      <x:c r="P243" s="117"/>
    </x:row>
    <x:row r="244">
      <x:c r="A244" s="117" t="n">
        <x:v>244</x:v>
      </x:c>
      <x:c r="B244" s="117" t="str">
        <x:v>V6.1</x:v>
      </x:c>
      <x:c r="C244" s="117" t="str">
        <x:v>ICS工程模型</x:v>
      </x:c>
      <x:c r="D244" s="117" t="str">
        <x:v>DeviceTemplate/Instance/UDT/Connection/PlanHash</x:v>
      </x:c>
      <x:c r="E244" s="117" t="str">
        <x:v>ICS Engineering Model</x:v>
      </x:c>
      <x:c r="F244" s="117" t="str">
        <x:v>Automation</x:v>
      </x:c>
      <x:c r="G244" s="117" t="str">
        <x:v>17/49</x:v>
      </x:c>
      <x:c r="H244" s="117" t="str">
        <x:v>实现+Case</x:v>
      </x:c>
      <x:c r="I244" s="117" t="str">
        <x:v>Runtime</x:v>
      </x:c>
      <x:c r="J244" s="117" t="str">
        <x:v>Case/Source Gate</x:v>
      </x:c>
      <x:c r="K244" s="117" t="str">
        <x:v>Definition/Runtime/Provider边界成立</x:v>
      </x:c>
      <x:c r="L244" s="117" t="str">
        <x:v>P0</x:v>
      </x:c>
      <x:c r="M244" s="117" t="str">
        <x:v>已完成</x:v>
      </x:c>
      <x:c r="N244" s="117"/>
      <x:c r="O244" s="117"/>
      <x:c r="P244" s="117"/>
    </x:row>
    <x:row r="245">
      <x:c r="A245" s="117" t="n">
        <x:v>245</x:v>
      </x:c>
      <x:c r="B245" s="117" t="str">
        <x:v>V6.1</x:v>
      </x:c>
      <x:c r="C245" s="117" t="str">
        <x:v>SCADA状态与写入基础</x:v>
      </x:c>
      <x:c r="D245" s="117" t="str">
        <x:v>StateCache/Alarm/Historian/Recipe/WritePipeline</x:v>
      </x:c>
      <x:c r="E245" s="117" t="str">
        <x:v>SCADA Runtime</x:v>
      </x:c>
      <x:c r="F245" s="117" t="str">
        <x:v>Automation</x:v>
      </x:c>
      <x:c r="G245" s="117" t="str">
        <x:v>17/14/49</x:v>
      </x:c>
      <x:c r="H245" s="117" t="str">
        <x:v>实现+Case</x:v>
      </x:c>
      <x:c r="I245" s="117" t="str">
        <x:v>Runtime</x:v>
      </x:c>
      <x:c r="J245" s="117" t="str">
        <x:v>Case</x:v>
      </x:c>
      <x:c r="K245" s="117" t="str">
        <x:v>统一事实源+受控写</x:v>
      </x:c>
      <x:c r="L245" s="117" t="str">
        <x:v>P0</x:v>
      </x:c>
      <x:c r="M245" s="117" t="str">
        <x:v>已完成</x:v>
      </x:c>
      <x:c r="N245" s="117"/>
      <x:c r="O245" s="117"/>
      <x:c r="P245" s="117"/>
    </x:row>
    <x:row r="246">
      <x:c r="A246" s="117" t="n">
        <x:v>246</x:v>
      </x:c>
      <x:c r="B246" s="117" t="str">
        <x:v>V6.1</x:v>
      </x:c>
      <x:c r="C246" s="117" t="str">
        <x:v>Motion安全与资源</x:v>
      </x:c>
      <x:c r="D246" s="117" t="str">
        <x:v>Axis/Home/Move/IO/Lease/Interlock</x:v>
      </x:c>
      <x:c r="E246" s="117" t="str">
        <x:v>Automation Motion</x:v>
      </x:c>
      <x:c r="F246" s="117" t="str">
        <x:v>Automation</x:v>
      </x:c>
      <x:c r="G246" s="117" t="str">
        <x:v>27/47/49</x:v>
      </x:c>
      <x:c r="H246" s="117" t="str">
        <x:v>实现+Case</x:v>
      </x:c>
      <x:c r="I246" s="117" t="str">
        <x:v>Runtime</x:v>
      </x:c>
      <x:c r="J246" s="117" t="str">
        <x:v>Motion Case</x:v>
      </x:c>
      <x:c r="K246" s="117" t="str">
        <x:v>不绕过资源/互锁</x:v>
      </x:c>
      <x:c r="L246" s="117" t="str">
        <x:v>P0</x:v>
      </x:c>
      <x:c r="M246" s="117" t="str">
        <x:v>已完成</x:v>
      </x:c>
      <x:c r="N246" s="117"/>
      <x:c r="O246" s="117"/>
      <x:c r="P246" s="117"/>
    </x:row>
    <x:row r="247">
      <x:c r="A247" s="117" t="n">
        <x:v>247</x:v>
      </x:c>
      <x:c r="B247" s="117" t="str">
        <x:v>V6.2</x:v>
      </x:c>
      <x:c r="C247" s="117" t="str">
        <x:v>Station Start/Stop/Restart</x:v>
      </x:c>
      <x:c r="D247" s="117" t="str">
        <x:v>可重复启停Worker/Subscription/Provider</x:v>
      </x:c>
      <x:c r="E247" s="117" t="str">
        <x:v>AutomationStationRuntime</x:v>
      </x:c>
      <x:c r="F247" s="117" t="str">
        <x:v>Runtime</x:v>
      </x:c>
      <x:c r="G247" s="117" t="str">
        <x:v>18/37/49</x:v>
      </x:c>
      <x:c r="H247" s="117" t="str">
        <x:v>故障修复</x:v>
      </x:c>
      <x:c r="I247" s="117" t="str">
        <x:v>Runtime</x:v>
      </x:c>
      <x:c r="J247" s="117" t="str">
        <x:v>Lifecycle Case</x:v>
      </x:c>
      <x:c r="K247" s="117" t="str">
        <x:v>Stop幂等/Restart不泄漏</x:v>
      </x:c>
      <x:c r="L247" s="117" t="str">
        <x:v>P0</x:v>
      </x:c>
      <x:c r="M247" s="117" t="str">
        <x:v>已完成</x:v>
      </x:c>
      <x:c r="N247" s="117"/>
      <x:c r="O247" s="117"/>
      <x:c r="P247" s="117"/>
    </x:row>
    <x:row r="248">
      <x:c r="A248" s="117" t="n">
        <x:v>248</x:v>
      </x:c>
      <x:c r="B248" s="117" t="str">
        <x:v>V6.2</x:v>
      </x:c>
      <x:c r="C248" s="117" t="str">
        <x:v>10k Tag / Alarm Storm / StoreForward</x:v>
      </x:c>
      <x:c r="D248" s="117" t="str">
        <x:v>有界队列、Drop指标、History恢复</x:v>
      </x:c>
      <x:c r="E248" s="117" t="str">
        <x:v>SCADA Reliability</x:v>
      </x:c>
      <x:c r="F248" s="117" t="str">
        <x:v>Automation</x:v>
      </x:c>
      <x:c r="G248" s="117" t="str">
        <x:v>17/25/49</x:v>
      </x:c>
      <x:c r="H248" s="117" t="str">
        <x:v>压力Case</x:v>
      </x:c>
      <x:c r="I248" s="117" t="str">
        <x:v>Runtime</x:v>
      </x:c>
      <x:c r="J248" s="117" t="str">
        <x:v>Stress Case</x:v>
      </x:c>
      <x:c r="K248" s="117" t="str">
        <x:v>无无界增长</x:v>
      </x:c>
      <x:c r="L248" s="117" t="str">
        <x:v>P0</x:v>
      </x:c>
      <x:c r="M248" s="117" t="str">
        <x:v>已完成</x:v>
      </x:c>
      <x:c r="N248" s="117"/>
      <x:c r="O248" s="117"/>
      <x:c r="P248" s="117"/>
    </x:row>
    <x:row r="249">
      <x:c r="A249" s="117" t="n">
        <x:v>249</x:v>
      </x:c>
      <x:c r="B249" s="117" t="str">
        <x:v>V6.3</x:v>
      </x:c>
      <x:c r="C249" s="117" t="str">
        <x:v>ICS Recovery / Resource contention</x:v>
      </x:c>
      <x:c r="D249" s="117" t="str">
        <x:v>连接Backoff、单设备恢复、Motion资源竞争</x:v>
      </x:c>
      <x:c r="E249" s="117" t="str">
        <x:v>Recovery Monitor/Lease</x:v>
      </x:c>
      <x:c r="F249" s="117" t="str">
        <x:v>Automation</x:v>
      </x:c>
      <x:c r="G249" s="117" t="str">
        <x:v>17/27/49</x:v>
      </x:c>
      <x:c r="H249" s="117" t="str">
        <x:v>故障Case</x:v>
      </x:c>
      <x:c r="I249" s="117" t="str">
        <x:v>Runtime</x:v>
      </x:c>
      <x:c r="J249" s="117" t="str">
        <x:v>Fault Case</x:v>
      </x:c>
      <x:c r="K249" s="117" t="str">
        <x:v>局部故障不拖全站</x:v>
      </x:c>
      <x:c r="L249" s="117" t="str">
        <x:v>P0</x:v>
      </x:c>
      <x:c r="M249" s="117" t="str">
        <x:v>已完成</x:v>
      </x:c>
      <x:c r="N249" s="117"/>
      <x:c r="O249" s="117"/>
      <x:c r="P249" s="117"/>
    </x:row>
    <x:row r="250">
      <x:c r="A250" s="117" t="n">
        <x:v>250</x:v>
      </x:c>
      <x:c r="B250" s="117" t="str">
        <x:v>V6.4</x:v>
      </x:c>
      <x:c r="C250" s="117" t="str">
        <x:v>真实Socket Modbus TCP Provider</x:v>
      </x:c>
      <x:c r="D250" s="117" t="str">
        <x:v>FC01/02/03/04/05/06/15/16 + Codec + Poll batching</x:v>
      </x:c>
      <x:c r="E250" s="117" t="str">
        <x:v>Automation.Drivers.Modbus</x:v>
      </x:c>
      <x:c r="F250" s="117" t="str">
        <x:v>Automation.Drivers</x:v>
      </x:c>
      <x:c r="G250" s="117" t="str">
        <x:v>17/49</x:v>
      </x:c>
      <x:c r="H250" s="117" t="str">
        <x:v>实现+协议Case</x:v>
      </x:c>
      <x:c r="I250" s="117" t="str">
        <x:v>Runtime</x:v>
      </x:c>
      <x:c r="J250" s="117" t="str">
        <x:v>V64Modbus...</x:v>
      </x:c>
      <x:c r="K250" s="117" t="str">
        <x:v>协议细节不进Platform</x:v>
      </x:c>
      <x:c r="L250" s="117" t="str">
        <x:v>P0</x:v>
      </x:c>
      <x:c r="M250" s="117" t="str">
        <x:v>已完成</x:v>
      </x:c>
      <x:c r="N250" s="117"/>
      <x:c r="O250" s="117"/>
      <x:c r="P250" s="117"/>
    </x:row>
    <x:row r="251">
      <x:c r="A251" s="117" t="n">
        <x:v>251</x:v>
      </x:c>
      <x:c r="B251" s="117" t="str">
        <x:v>V6.4</x:v>
      </x:c>
      <x:c r="C251" s="117" t="str">
        <x:v>SCADA Readback/Audit强化</x:v>
      </x:c>
      <x:c r="D251" s="117" t="str">
        <x:v>Authorization→Policy→Write→bounded Readback→Audit</x:v>
      </x:c>
      <x:c r="E251" s="117" t="str">
        <x:v>WritePipeline</x:v>
      </x:c>
      <x:c r="F251" s="117" t="str">
        <x:v>Platform/Automation</x:v>
      </x:c>
      <x:c r="G251" s="117" t="str">
        <x:v>14/17/49</x:v>
      </x:c>
      <x:c r="H251" s="117" t="str">
        <x:v>实现+Case</x:v>
      </x:c>
      <x:c r="I251" s="117" t="str">
        <x:v>Runtime</x:v>
      </x:c>
      <x:c r="J251" s="117" t="str">
        <x:v>Mismatch Case</x:v>
      </x:c>
      <x:c r="K251" s="117" t="str">
        <x:v>Provider success不等于现场值成功</x:v>
      </x:c>
      <x:c r="L251" s="117" t="str">
        <x:v>P0</x:v>
      </x:c>
      <x:c r="M251" s="117" t="str">
        <x:v>已完成</x:v>
      </x:c>
      <x:c r="N251" s="117"/>
      <x:c r="O251" s="117"/>
      <x:c r="P251" s="117"/>
    </x:row>
    <x:row r="252">
      <x:c r="A252" s="117" t="n">
        <x:v>252</x:v>
      </x:c>
      <x:c r="B252" s="117" t="str">
        <x:v>V6.4</x:v>
      </x:c>
      <x:c r="C252" s="117" t="str">
        <x:v>PLC断线恢复</x:v>
      </x:c>
      <x:c r="D252" s="117" t="str">
        <x:v>Disconnected→Reconnect→Good；不重建Resource</x:v>
      </x:c>
      <x:c r="E252" s="117" t="str">
        <x:v>Modbus provider/recovery</x:v>
      </x:c>
      <x:c r="F252" s="117" t="str">
        <x:v>Automation.Drivers</x:v>
      </x:c>
      <x:c r="G252" s="117" t="str">
        <x:v>17/49</x:v>
      </x:c>
      <x:c r="H252" s="117" t="str">
        <x:v>Case</x:v>
      </x:c>
      <x:c r="I252" s="117" t="str">
        <x:v>Runtime</x:v>
      </x:c>
      <x:c r="J252" s="117" t="str">
        <x:v>Disconnect Case</x:v>
      </x:c>
      <x:c r="K252" s="117" t="str">
        <x:v>引用稳定</x:v>
      </x:c>
      <x:c r="L252" s="117" t="str">
        <x:v>P0</x:v>
      </x:c>
      <x:c r="M252" s="117" t="str">
        <x:v>已完成</x:v>
      </x:c>
      <x:c r="N252" s="117"/>
      <x:c r="O252" s="117"/>
      <x:c r="P252" s="117"/>
    </x:row>
    <x:row r="253">
      <x:c r="A253" s="117" t="n">
        <x:v>253</x:v>
      </x:c>
      <x:c r="B253" s="117" t="str">
        <x:v>V6.4</x:v>
      </x:c>
      <x:c r="C253" s="117" t="str">
        <x:v>MotionProgram Compile + Parallel</x:v>
      </x:c>
      <x:c r="D253" s="117" t="str">
        <x:v>Definition→Validate→Compile→ExecutionPlan→Runtime</x:v>
      </x:c>
      <x:c r="E253" s="117" t="str">
        <x:v>Motion Compiler/Runtime</x:v>
      </x:c>
      <x:c r="F253" s="117" t="str">
        <x:v>Automation</x:v>
      </x:c>
      <x:c r="G253" s="117" t="str">
        <x:v>27/37/49</x:v>
      </x:c>
      <x:c r="H253" s="117" t="str">
        <x:v>实现+Case</x:v>
      </x:c>
      <x:c r="I253" s="117" t="str">
        <x:v>Runtime</x:v>
      </x:c>
      <x:c r="J253" s="117" t="str">
        <x:v>Parallel Case</x:v>
      </x:c>
      <x:c r="K253" s="117" t="str">
        <x:v>不回退万能GraphExecutor</x:v>
      </x:c>
      <x:c r="L253" s="117" t="str">
        <x:v>P0</x:v>
      </x:c>
      <x:c r="M253" s="117" t="str">
        <x:v>已完成</x:v>
      </x:c>
      <x:c r="N253" s="117"/>
      <x:c r="O253" s="117"/>
      <x:c r="P253" s="117"/>
    </x:row>
    <x:row r="254">
      <x:c r="A254" s="117" t="n">
        <x:v>254</x:v>
      </x:c>
      <x:c r="B254" s="117" t="str">
        <x:v>V6.4</x:v>
      </x:c>
      <x:c r="C254" s="117" t="str">
        <x:v>Source Integrity / Release Gate</x:v>
      </x:c>
      <x:c r="D254" s="117" t="str">
        <x:v>源码证据、ProjectReference、Solution、ZIP SHA256</x:v>
      </x:c>
      <x:c r="E254" s="117" t="str">
        <x:v>verify-v64-*</x:v>
      </x:c>
      <x:c r="F254" s="117" t="str">
        <x:v>Tests/Release</x:v>
      </x:c>
      <x:c r="G254" s="117" t="str">
        <x:v>26/49</x:v>
      </x:c>
      <x:c r="H254" s="117" t="str">
        <x:v>Gate</x:v>
      </x:c>
      <x:c r="I254" s="117" t="str">
        <x:v>Build/Release</x:v>
      </x:c>
      <x:c r="J254" s="117" t="str">
        <x:v>Source Integrity</x:v>
      </x:c>
      <x:c r="K254" s="117" t="str">
        <x:v>报告与源码快照绑定</x:v>
      </x:c>
      <x:c r="L254" s="117" t="str">
        <x:v>P0</x:v>
      </x:c>
      <x:c r="M254" s="117" t="str">
        <x:v>已完成</x:v>
      </x:c>
      <x:c r="N254" s="117"/>
      <x:c r="O254" s="117"/>
      <x:c r="P254" s="117"/>
    </x:row>
    <x:row r="255">
      <x:c r="A255" s="117" t="n">
        <x:v>255</x:v>
      </x:c>
      <x:c r="B255" s="117" t="str">
        <x:v>V6.4</x:v>
      </x:c>
      <x:c r="C255" s="117" t="str">
        <x:v>Windows VS2022 Build/Test/UiSmoke</x:v>
      </x:c>
      <x:c r="D255" s="117" t="str">
        <x:v>Debug/Release + Tests + WPF STA Smoke</x:v>
      </x:c>
      <x:c r="E255" s="117" t="str">
        <x:v>verify-v64-windows.ps1</x:v>
      </x:c>
      <x:c r="F255" s="117" t="str">
        <x:v>Tests</x:v>
      </x:c>
      <x:c r="G255" s="117" t="str">
        <x:v>26/49</x:v>
      </x:c>
      <x:c r="H255" s="117" t="str">
        <x:v>执行Windows Gate</x:v>
      </x:c>
      <x:c r="I255" s="117" t="str">
        <x:v>Windows</x:v>
      </x:c>
      <x:c r="J255" s="117" t="str">
        <x:v>Build/Test/UI</x:v>
      </x:c>
      <x:c r="K255" s="117" t="str">
        <x:v>真实0 Error与测试证据</x:v>
      </x:c>
      <x:c r="L255" s="117" t="str">
        <x:v>P0</x:v>
      </x:c>
      <x:c r="M255" s="117" t="str">
        <x:v>待完成</x:v>
      </x:c>
      <x:c r="N255" s="117"/>
      <x:c r="O255" s="117"/>
      <x:c r="P255" s="117"/>
    </x:row>
    <x:row r="256">
      <x:c r="A256" s="117" t="n">
        <x:v>256</x:v>
      </x:c>
      <x:c r="B256" s="117" t="str">
        <x:v>V6.4</x:v>
      </x:c>
      <x:c r="C256" s="117" t="str">
        <x:v>真实Modbus PLC认证</x:v>
      </x:c>
      <x:c r="D256" s="117" t="str">
        <x:v>读写/拔线/重启/超时/非法响应/24h轮询</x:v>
      </x:c>
      <x:c r="E256" s="117" t="str">
        <x:v>Physical PLC Case</x:v>
      </x:c>
      <x:c r="F256" s="117" t="str">
        <x:v>Automation</x:v>
      </x:c>
      <x:c r="G256" s="117" t="str">
        <x:v>17/49</x:v>
      </x:c>
      <x:c r="H256" s="117" t="str">
        <x:v>现场验证</x:v>
      </x:c>
      <x:c r="I256" s="117" t="str">
        <x:v>Target</x:v>
      </x:c>
      <x:c r="J256" s="117" t="str">
        <x:v>Integration/Soak</x:v>
      </x:c>
      <x:c r="K256" s="117" t="str">
        <x:v>至少一台真实PLC</x:v>
      </x:c>
      <x:c r="L256" s="117" t="str">
        <x:v>P0</x:v>
      </x:c>
      <x:c r="M256" s="117" t="str">
        <x:v>待完成</x:v>
      </x:c>
      <x:c r="N256" s="117"/>
      <x:c r="O256" s="117"/>
      <x:c r="P256" s="117"/>
    </x:row>
    <x:row r="257">
      <x:c r="A257" s="117" t="n">
        <x:v>257</x:v>
      </x:c>
      <x:c r="B257" s="117" t="str">
        <x:v>V6.4</x:v>
      </x:c>
      <x:c r="C257" s="117" t="str">
        <x:v>真实Motion Controller认证</x:v>
      </x:c>
      <x:c r="D257" s="117" t="str">
        <x:v>Home/Move/Jog/DI/DO/Alarm/Reset/Scan/PositionCompare</x:v>
      </x:c>
      <x:c r="E257" s="117" t="str">
        <x:v>Physical Motion Case</x:v>
      </x:c>
      <x:c r="F257" s="117" t="str">
        <x:v>Automation</x:v>
      </x:c>
      <x:c r="G257" s="117" t="str">
        <x:v>27/47/49</x:v>
      </x:c>
      <x:c r="H257" s="117" t="str">
        <x:v>现场验证</x:v>
      </x:c>
      <x:c r="I257" s="117" t="str">
        <x:v>Target</x:v>
      </x:c>
      <x:c r="J257" s="117" t="str">
        <x:v>Integration/Safety</x:v>
      </x:c>
      <x:c r="K257" s="117" t="str">
        <x:v>真实轴卡/控制器</x:v>
      </x:c>
      <x:c r="L257" s="117" t="str">
        <x:v>P0</x:v>
      </x:c>
      <x:c r="M257" s="117" t="str">
        <x:v>待完成</x:v>
      </x:c>
      <x:c r="N257" s="117"/>
      <x:c r="O257" s="117"/>
      <x:c r="P257" s="117"/>
    </x:row>
    <x:row r="258">
      <x:c r="A258" s="117" t="n">
        <x:v>258</x:v>
      </x:c>
      <x:c r="B258" s="117" t="str">
        <x:v>V6.4</x:v>
      </x:c>
      <x:c r="C258" s="117" t="str">
        <x:v>24h→72h Soak</x:v>
      </x:c>
      <x:c r="D258" s="117" t="str">
        <x:v>内存/线程/句柄/队列/订阅趋势稳定</x:v>
      </x:c>
      <x:c r="E258" s="117" t="str">
        <x:v>Soak Harness</x:v>
      </x:c>
      <x:c r="F258" s="117" t="str">
        <x:v>QA</x:v>
      </x:c>
      <x:c r="G258" s="117" t="str">
        <x:v>17/25/26/49</x:v>
      </x:c>
      <x:c r="H258" s="117" t="str">
        <x:v>老化</x:v>
      </x:c>
      <x:c r="I258" s="117" t="str">
        <x:v>Target</x:v>
      </x:c>
      <x:c r="J258" s="117" t="str">
        <x:v>Soak</x:v>
      </x:c>
      <x:c r="K258" s="117" t="str">
        <x:v>无趋势性增长</x:v>
      </x:c>
      <x:c r="L258" s="117" t="str">
        <x:v>P0</x:v>
      </x:c>
      <x:c r="M258" s="117" t="str">
        <x:v>待完成</x:v>
      </x:c>
      <x:c r="N258" s="117"/>
      <x:c r="O258" s="117"/>
      <x:c r="P258" s="117"/>
    </x:row>
    <x:row r="259">
      <x:c r="A259" s="117" t="n">
        <x:v>259</x:v>
      </x:c>
      <x:c r="B259" s="117" t="str">
        <x:v>V6.5</x:v>
      </x:c>
      <x:c r="C259" s="117" t="str">
        <x:v>Universal Variable Foundation设计</x:v>
      </x:c>
      <x:c r="D259" s="117" t="str">
        <x:v>VariableSpace/Group/Variable&lt;T&gt;/Snapshot/Binding</x:v>
      </x:c>
      <x:c r="E259" s="117" t="str">
        <x:v>Platform.Variables</x:v>
      </x:c>
      <x:c r="F259" s="117" t="str">
        <x:v>Platform</x:v>
      </x:c>
      <x:c r="G259" s="117" t="str">
        <x:v>46/50</x:v>
      </x:c>
      <x:c r="H259" s="117" t="str">
        <x:v>设计+PoC</x:v>
      </x:c>
      <x:c r="I259" s="117" t="str">
        <x:v>Platform</x:v>
      </x:c>
      <x:c r="J259" s="117" t="str">
        <x:v>VAR-GEN Case</x:v>
      </x:c>
      <x:c r="K259" s="117" t="str">
        <x:v>变量脱离Device，保留强类型锁/OldValue优点</x:v>
      </x:c>
      <x:c r="L259" s="117" t="str">
        <x:v>P0</x:v>
      </x:c>
      <x:c r="M259" s="117" t="str">
        <x:v>进行中</x:v>
      </x:c>
      <x:c r="N259" s="117"/>
      <x:c r="O259" s="117"/>
      <x:c r="P259" s="117"/>
    </x:row>
    <x:row r="260">
      <x:c r="A260" s="117" t="n">
        <x:v>260</x:v>
      </x:c>
      <x:c r="B260" s="117" t="str">
        <x:v>V6.5</x:v>
      </x:c>
      <x:c r="C260" s="117" t="str">
        <x:v>Legacy DeviceVariable迁移</x:v>
      </x:c>
      <x:c r="D260" s="117" t="str">
        <x:v>MeasureXxx/VariableManager→LegacyAdapter→VariableRuntime</x:v>
      </x:c>
      <x:c r="E260" s="117" t="str">
        <x:v>Compatibility/Migration</x:v>
      </x:c>
      <x:c r="F260" s="117" t="str">
        <x:v>Platform/Automation</x:v>
      </x:c>
      <x:c r="G260" s="117" t="str">
        <x:v>46/50</x:v>
      </x:c>
      <x:c r="H260" s="117" t="str">
        <x:v>分阶段迁移</x:v>
      </x:c>
      <x:c r="I260" s="117" t="str">
        <x:v>Runtime</x:v>
      </x:c>
      <x:c r="J260" s="117" t="str">
        <x:v>Golden Migration</x:v>
      </x:c>
      <x:c r="K260" s="117" t="str">
        <x:v>新代码禁止直访static Manager</x:v>
      </x:c>
      <x:c r="L260" s="117" t="str">
        <x:v>P0</x:v>
      </x:c>
      <x:c r="M260" s="117" t="str">
        <x:v>待完成</x:v>
      </x:c>
      <x:c r="N260" s="117"/>
      <x:c r="O260" s="117"/>
      <x:c r="P260" s="117"/>
    </x:row>
  </x:sheetData>
  <x:conditionalFormatting sqref="M9:M222">
    <x:cfRule type="expression" dxfId="0" priority="1">
      <x:formula>M9="已完成"</x:formula>
    </x:cfRule>
    <x:cfRule type="expression" dxfId="1" priority="2">
      <x:formula>M9="进行中"</x:formula>
    </x:cfRule>
    <x:cfRule type="expression" dxfId="2" priority="3">
      <x:formula>M9="阻塞"</x:formula>
    </x:cfRule>
  </x:conditionalFormatting>
  <x:conditionalFormatting sqref="L9:L222">
    <x:cfRule type="expression" dxfId="3" priority="4">
      <x:formula>L9="P0"</x:formula>
    </x:cfRule>
    <x:cfRule type="expression" dxfId="4" priority="5">
      <x:formula>L9="P1"</x:formula>
    </x:cfRule>
  </x:conditionalFormatting>
  <x:dataValidations count="2">
    <x:dataValidation type="list" sqref="M9:M222">
      <x:formula1>"待完成,进行中,已完成,阻塞,N/A"</x:formula1>
    </x:dataValidation>
    <x:dataValidation type="list" sqref="M243:M260">
      <x:formula1>"待完成,进行中,已完成,阻塞"</x:formula1>
    </x:dataValidation>
  </x:dataValidations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28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28" hidden="0" customWidth="1"/>
    <x:col min="9" max="9" width="20" hidden="0" customWidth="1"/>
    <x:col min="10" max="10" width="24" hidden="0" customWidth="1"/>
  </x:cols>
  <x:sheetData>
    <x:row r="1" ht="30" customHeight="1">
      <x:c r="A1" s="8" t="str">
        <x:v>CxVisual 开发 Playbook / DoR / DoD</x:v>
      </x:c>
      <x:c r="B1" s="8"/>
      <x:c r="C1" s="8"/>
      <x:c r="D1" s="8"/>
      <x:c r="E1" s="8"/>
      <x:c r="F1" s="8"/>
      <x:c r="G1" s="8"/>
      <x:c r="H1" s="8"/>
      <x:c r="I1" s="8"/>
      <x:c r="J1" s="8"/>
    </x:row>
    <x:row r="2" ht="38" customHeight="1">
      <x:c r="A2" s="16" t="str">
        <x:v>团队开工操作手册：任何Feature/Node/Provider/Debug能力先过DoR，再按垂直切片实现；完成证据引用26，状态写入41。</x:v>
      </x:c>
      <x:c r="B2" s="16"/>
      <x:c r="C2" s="16"/>
      <x:c r="D2" s="16"/>
      <x:c r="E2" s="16"/>
      <x:c r="F2" s="16"/>
      <x:c r="G2" s="16"/>
      <x:c r="H2" s="16"/>
      <x:c r="I2" s="16"/>
      <x:c r="J2" s="16"/>
    </x:row>
    <x:row r="3">
      <x:c r="A3" s="30" t="str">
        <x:v>本页唯一权威</x:v>
      </x:c>
      <x:c r="B3" s="31" t="str">
        <x:v>Definition of Ready、垂直切片顺序、新Graph Node模板、新Provider模板、Online Debug DoD。</x:v>
      </x:c>
      <x:c r="C3" s="31"/>
      <x:c r="D3" s="31"/>
      <x:c r="E3" s="31"/>
      <x:c r="F3" s="31"/>
      <x:c r="G3" s="31"/>
      <x:c r="H3" s="31"/>
      <x:c r="I3" s="31"/>
      <x:c r="J3" s="31"/>
    </x:row>
    <x:row r="4">
      <x:c r="A4" s="30" t="str">
        <x:v>不在本页维护</x:v>
      </x:c>
      <x:c r="B4" s="31" t="str">
        <x:v>RC/发布测试证据清单（见26）、真实进度（见41）、具体Domain设计（见27~39）。</x:v>
      </x:c>
      <x:c r="C4" s="31"/>
      <x:c r="D4" s="31"/>
      <x:c r="E4" s="31"/>
      <x:c r="F4" s="31"/>
      <x:c r="G4" s="31"/>
      <x:c r="H4" s="31"/>
      <x:c r="I4" s="31"/>
      <x:c r="J4" s="31"/>
    </x:row>
    <x:row r="5">
      <x:c r="A5" s="30" t="str">
        <x:v>关联分页</x:v>
      </x:c>
      <x:c r="B5" s="31" t="str">
        <x:v>26_Graph平台测试与架构门禁；27~39_Domain；41_开发追踪矩阵；44_项目实例规格与ADR治理。</x:v>
      </x:c>
      <x:c r="C5" s="31"/>
      <x:c r="D5" s="31"/>
      <x:c r="E5" s="31"/>
      <x:c r="F5" s="31"/>
      <x:c r="G5" s="31"/>
      <x:c r="H5" s="31"/>
      <x:c r="I5" s="31"/>
      <x:c r="J5" s="31"/>
    </x:row>
    <x:row r="6">
      <x:c r="A6"/>
      <x:c r="B6"/>
      <x:c r="C6"/>
      <x:c r="D6"/>
      <x:c r="E6"/>
      <x:c r="F6"/>
      <x:c r="G6"/>
      <x:c r="H6"/>
      <x:c r="I6"/>
      <x:c r="J6"/>
    </x:row>
    <x:row r="7" ht="24" customHeight="1">
      <x:c r="A7" s="40" t="str">
        <x:v>A. Definition of Ready — 开工前必须明确</x:v>
      </x:c>
      <x:c r="B7" s="40"/>
      <x:c r="C7" s="40"/>
      <x:c r="D7" s="40"/>
      <x:c r="E7" s="40"/>
      <x:c r="F7" s="40"/>
      <x:c r="G7" s="40"/>
      <x:c r="H7" s="40"/>
      <x:c r="I7" s="40"/>
      <x:c r="J7" s="40"/>
    </x:row>
    <x:row r="8" ht="28" customHeight="1">
      <x:c r="A8" s="50" t="str">
        <x:v>检查项</x:v>
      </x:c>
      <x:c r="B8" s="50" t="str">
        <x:v>必须回答</x:v>
      </x:c>
      <x:c r="C8" s="50" t="str">
        <x:v>来源分页</x:v>
      </x:c>
      <x:c r="D8" s="50" t="str">
        <x:v>产物</x:v>
      </x:c>
      <x:c r="E8" s="50" t="str">
        <x:v>责任角色</x:v>
      </x:c>
      <x:c r="F8" s="50" t="str">
        <x:v>不明确时动作</x:v>
      </x:c>
      <x:c r="G8" s="50" t="str">
        <x:v>阻断级别</x:v>
      </x:c>
      <x:c r="H8" s="50" t="str">
        <x:v>示例</x:v>
      </x:c>
      <x:c r="I8" s="50" t="str">
        <x:v>审查方式</x:v>
      </x:c>
      <x:c r="J8" s="50" t="str">
        <x:v>状态</x:v>
      </x:c>
    </x:row>
    <x:row r="9">
      <x:c r="A9" s="58" t="str">
        <x:v>业务目标</x:v>
      </x:c>
      <x:c r="B9" s="58" t="str">
        <x:v>用户为什么需要、完整操作闭环是什么</x:v>
      </x:c>
      <x:c r="C9" s="58" t="str">
        <x:v>02/领域完整蓝图/56</x:v>
      </x:c>
      <x:c r="D9" s="58" t="str">
        <x:v>Use Case/Acceptance</x:v>
      </x:c>
      <x:c r="E9" s="58" t="str">
        <x:v>产品/域负责人</x:v>
      </x:c>
      <x:c r="F9" s="58" t="str">
        <x:v>补需求场景</x:v>
      </x:c>
      <x:c r="G9" s="58" t="str">
        <x:v>P0</x:v>
      </x:c>
      <x:c r="H9" s="58" t="str">
        <x:v>Vision RunTo：从选节点→执行→查看数据→比较结果</x:v>
      </x:c>
      <x:c r="I9" s="58" t="str">
        <x:v>需求评审</x:v>
      </x:c>
      <x:c r="J9" s="58" t="str">
        <x:v>必需</x:v>
      </x:c>
    </x:row>
    <x:row r="10">
      <x:c r="A10" s="66" t="str">
        <x:v>域归属</x:v>
      </x:c>
      <x:c r="B10" s="66" t="str">
        <x:v>属于Visual/SCADA/Motion/Robot/Vision/CT/Inspection/Ops哪个域</x:v>
      </x:c>
      <x:c r="C10" s="66" t="str">
        <x:v>25/49/56</x:v>
      </x:c>
      <x:c r="D10" s="66" t="str">
        <x:v>Domain Decision</x:v>
      </x:c>
      <x:c r="E10" s="66" t="str">
        <x:v>架构</x:v>
      </x:c>
      <x:c r="F10" s="66" t="str">
        <x:v>先做边界评审</x:v>
      </x:c>
      <x:c r="G10" s="66" t="str">
        <x:v>P0</x:v>
      </x:c>
      <x:c r="H10" s="66" t="str">
        <x:v>CT重建属于Vision扩展，不另起平台</x:v>
      </x:c>
      <x:c r="I10" s="66" t="str">
        <x:v>架构评审</x:v>
      </x:c>
      <x:c r="J10" s="66" t="str">
        <x:v>必需</x:v>
      </x:c>
    </x:row>
    <x:row r="11">
      <x:c r="A11" s="58" t="str">
        <x:v>非目标/边界</x:v>
      </x:c>
      <x:c r="B11" s="58" t="str">
        <x:v>明确本功能不承担什么</x:v>
      </x:c>
      <x:c r="C11" s="58" t="str">
        <x:v>03/49/领域页</x:v>
      </x:c>
      <x:c r="D11" s="58" t="str">
        <x:v>Boundary Note</x:v>
      </x:c>
      <x:c r="E11" s="58" t="str">
        <x:v>架构/域负责人</x:v>
      </x:c>
      <x:c r="F11" s="58" t="str">
        <x:v>写反例</x:v>
      </x:c>
      <x:c r="G11" s="58" t="str">
        <x:v>P0</x:v>
      </x:c>
      <x:c r="H11" s="58" t="str">
        <x:v>Robot不做实时插补</x:v>
      </x:c>
      <x:c r="I11" s="58" t="str">
        <x:v>Review checklist</x:v>
      </x:c>
      <x:c r="J11" s="58" t="str">
        <x:v>必需</x:v>
      </x:c>
    </x:row>
    <x:row r="12">
      <x:c r="A12" s="66" t="str">
        <x:v>核心对象</x:v>
      </x:c>
      <x:c r="B12" s="66" t="str">
        <x:v>Definition/Value/Runtime State/Artifact分别是什么</x:v>
      </x:c>
      <x:c r="C12" s="66" t="str">
        <x:v>13/30/领域页</x:v>
      </x:c>
      <x:c r="D12" s="66" t="str">
        <x:v>Object/Schema draft</x:v>
      </x:c>
      <x:c r="E12" s="66" t="str">
        <x:v>域负责人</x:v>
      </x:c>
      <x:c r="F12" s="66" t="str">
        <x:v>先定模型</x:v>
      </x:c>
      <x:c r="G12" s="66" t="str">
        <x:v>P0</x:v>
      </x:c>
      <x:c r="H12" s="66" t="str">
        <x:v>Volume3D metadata vs VolumeDataHandle</x:v>
      </x:c>
      <x:c r="I12" s="66" t="str">
        <x:v>Schema review</x:v>
      </x:c>
      <x:c r="J12" s="66" t="str">
        <x:v>必需</x:v>
      </x:c>
    </x:row>
    <x:row r="13">
      <x:c r="A13" s="58" t="str">
        <x:v>稳定标识</x:v>
      </x:c>
      <x:c r="B13" s="58" t="str">
        <x:v>TypeId/NodeTypeId/DefinitionId/PropertyKey是否稳定</x:v>
      </x:c>
      <x:c r="C13" s="58" t="str">
        <x:v>03/16/29/30</x:v>
      </x:c>
      <x:c r="D13" s="58" t="str">
        <x:v>ID list</x:v>
      </x:c>
      <x:c r="E13" s="58" t="str">
        <x:v>域负责人</x:v>
      </x:c>
      <x:c r="F13" s="58" t="str">
        <x:v>分配正式ID</x:v>
      </x:c>
      <x:c r="G13" s="58" t="str">
        <x:v>P0</x:v>
      </x:c>
      <x:c r="H13" s="58" t="str">
        <x:v>vision.ct.recon.fdk</x:v>
      </x:c>
      <x:c r="I13" s="58" t="str">
        <x:v>Registry review</x:v>
      </x:c>
      <x:c r="J13" s="58" t="str">
        <x:v>必需</x:v>
      </x:c>
    </x:row>
    <x:row r="14">
      <x:c r="A14" s="66" t="str">
        <x:v>用户入口</x:v>
      </x:c>
      <x:c r="B14" s="66" t="str">
        <x:v>在Project Tree/Toolbox/Canvas/Inspector/Debug哪里出现</x:v>
      </x:c>
      <x:c r="C14" s="66" t="str">
        <x:v>08/27/领域Studio页</x:v>
      </x:c>
      <x:c r="D14" s="66" t="str">
        <x:v>UX Flow</x:v>
      </x:c>
      <x:c r="E14" s="66" t="str">
        <x:v>UI/产品</x:v>
      </x:c>
      <x:c r="F14" s="66" t="str">
        <x:v>画操作路径</x:v>
      </x:c>
      <x:c r="G14" s="66" t="str">
        <x:v>P1</x:v>
      </x:c>
      <x:c r="H14" s="66" t="str">
        <x:v>Robot Tool Editor→Path node→Debug</x:v>
      </x:c>
      <x:c r="I14" s="66" t="str">
        <x:v>UI review</x:v>
      </x:c>
      <x:c r="J14" s="66" t="str">
        <x:v>必需</x:v>
      </x:c>
    </x:row>
    <x:row r="15">
      <x:c r="A15" s="58" t="str">
        <x:v>执行语义</x:v>
      </x:c>
      <x:c r="B15" s="58" t="str">
        <x:v>Validate/Resolve/Compile/State/Cancel/Timeout/Error/Result</x:v>
      </x:c>
      <x:c r="C15" s="58" t="str">
        <x:v>29/38/领域页</x:v>
      </x:c>
      <x:c r="D15" s="58" t="str">
        <x:v>Execution contract</x:v>
      </x:c>
      <x:c r="E15" s="58" t="str">
        <x:v>Runtime负责人</x:v>
      </x:c>
      <x:c r="F15" s="58" t="str">
        <x:v>补状态机</x:v>
      </x:c>
      <x:c r="G15" s="58" t="str">
        <x:v>P0</x:v>
      </x:c>
      <x:c r="H15" s="58" t="str">
        <x:v>ReconstructionJob Cancel语义</x:v>
      </x:c>
      <x:c r="I15" s="58" t="str">
        <x:v>Runtime review</x:v>
      </x:c>
      <x:c r="J15" s="58" t="str">
        <x:v>必需</x:v>
      </x:c>
    </x:row>
    <x:row r="16">
      <x:c r="A16" s="66" t="str">
        <x:v>资源/性能</x:v>
      </x:c>
      <x:c r="B16" s="66" t="str">
        <x:v>CPU/GPU/Memory/Disk/Axis/Robot/Camera等资源预算</x:v>
      </x:c>
      <x:c r="C16" s="66" t="str">
        <x:v>21/35/36/领域页</x:v>
      </x:c>
      <x:c r="D16" s="66" t="str">
        <x:v>Resource budget</x:v>
      </x:c>
      <x:c r="E16" s="66" t="str">
        <x:v>Runtime/性能</x:v>
      </x:c>
      <x:c r="F16" s="66" t="str">
        <x:v>定上限/Backpressure</x:v>
      </x:c>
      <x:c r="G16" s="66" t="str">
        <x:v>P0</x:v>
      </x:c>
      <x:c r="H16" s="66" t="str">
        <x:v>Volume pin上限/VRAM预算</x:v>
      </x:c>
      <x:c r="I16" s="66" t="str">
        <x:v>Perf review</x:v>
      </x:c>
      <x:c r="J16" s="66" t="str">
        <x:v>按需必需</x:v>
      </x:c>
    </x:row>
    <x:row r="17">
      <x:c r="A17" s="58" t="str">
        <x:v>安全权限</x:v>
      </x:c>
      <x:c r="B17" s="58" t="str">
        <x:v>真实写/危险动作/远程/数据权限/审计</x:v>
      </x:c>
      <x:c r="C17" s="58" t="str">
        <x:v>18/39/55/领域Debug页</x:v>
      </x:c>
      <x:c r="D17" s="58" t="str">
        <x:v>Security policy</x:v>
      </x:c>
      <x:c r="E17" s="58" t="str">
        <x:v>Security/域负责人</x:v>
      </x:c>
      <x:c r="F17" s="58" t="str">
        <x:v>补权限矩阵</x:v>
      </x:c>
      <x:c r="G17" s="58" t="str">
        <x:v>P0</x:v>
      </x:c>
      <x:c r="H17" s="58" t="str">
        <x:v>Robot Jog需要Maintenance+Lease+Interlock</x:v>
      </x:c>
      <x:c r="I17" s="58" t="str">
        <x:v>Security review</x:v>
      </x:c>
      <x:c r="J17" s="58" t="str">
        <x:v>按需必需</x:v>
      </x:c>
    </x:row>
    <x:row r="18">
      <x:c r="A18" s="66" t="str">
        <x:v>版本/兼容</x:v>
      </x:c>
      <x:c r="B18" s="66" t="str">
        <x:v>持久化/Plugin/Model/Driver/Active Task升级行为</x:v>
      </x:c>
      <x:c r="C18" s="66" t="str">
        <x:v>14/36/37/领域页</x:v>
      </x:c>
      <x:c r="D18" s="66" t="str">
        <x:v>Version policy</x:v>
      </x:c>
      <x:c r="E18" s="66" t="str">
        <x:v>平台/域负责人</x:v>
      </x:c>
      <x:c r="F18" s="66" t="str">
        <x:v>定义Migration/Pinning</x:v>
      </x:c>
      <x:c r="G18" s="66" t="str">
        <x:v>P0</x:v>
      </x:c>
      <x:c r="H18" s="66" t="str">
        <x:v>Inspection active task继续旧Plan</x:v>
      </x:c>
      <x:c r="I18" s="66" t="str">
        <x:v>Compatibility review</x:v>
      </x:c>
      <x:c r="J18" s="66" t="str">
        <x:v>必需</x:v>
      </x:c>
    </x:row>
    <x:row r="19">
      <x:c r="A19" s="58" t="str">
        <x:v>测试证据</x:v>
      </x:c>
      <x:c r="B19" s="58" t="str">
        <x:v>Unit/Integration/Golden/Fault/UI/E2E/Soak需要哪些</x:v>
      </x:c>
      <x:c r="C19" s="58" t="str">
        <x:v>22/领域页</x:v>
      </x:c>
      <x:c r="D19" s="58" t="str">
        <x:v>Test plan</x:v>
      </x:c>
      <x:c r="E19" s="58" t="str">
        <x:v>QA/开发</x:v>
      </x:c>
      <x:c r="F19" s="58" t="str">
        <x:v>先写验收测试</x:v>
      </x:c>
      <x:c r="G19" s="58" t="str">
        <x:v>P0</x:v>
      </x:c>
      <x:c r="H19" s="58" t="str">
        <x:v>CT Worker crash + Golden</x:v>
      </x:c>
      <x:c r="I19" s="58" t="str">
        <x:v>Test review</x:v>
      </x:c>
      <x:c r="J19" s="58" t="str">
        <x:v>必需</x:v>
      </x:c>
    </x:row>
    <x:row r="20">
      <x:c r="A20"/>
      <x:c r="B20"/>
      <x:c r="C20"/>
      <x:c r="D20"/>
      <x:c r="E20"/>
      <x:c r="F20"/>
      <x:c r="G20"/>
      <x:c r="H20"/>
      <x:c r="I20"/>
      <x:c r="J20"/>
    </x:row>
    <x:row r="21" ht="24" customHeight="1">
      <x:c r="A21" s="40" t="str">
        <x:v>B. 标准垂直切片实现顺序</x:v>
      </x:c>
      <x:c r="B21" s="40"/>
      <x:c r="C21" s="40"/>
      <x:c r="D21" s="40"/>
      <x:c r="E21" s="40"/>
      <x:c r="F21" s="40"/>
      <x:c r="G21" s="40"/>
      <x:c r="H21" s="40"/>
      <x:c r="I21" s="40"/>
      <x:c r="J21" s="40"/>
    </x:row>
    <x:row r="22" ht="28" customHeight="1">
      <x:c r="A22" s="50" t="str">
        <x:v>顺序</x:v>
      </x:c>
      <x:c r="B22" s="50" t="str">
        <x:v>实现层</x:v>
      </x:c>
      <x:c r="C22" s="50" t="str">
        <x:v>必须完成</x:v>
      </x:c>
      <x:c r="D22" s="50" t="str">
        <x:v>产物</x:v>
      </x:c>
      <x:c r="E22" s="50" t="str">
        <x:v>本步测试</x:v>
      </x:c>
      <x:c r="F22" s="50" t="str">
        <x:v>下一步前门禁</x:v>
      </x:c>
      <x:c r="G22" s="50" t="str">
        <x:v>典型错误</x:v>
      </x:c>
      <x:c r="H22" s="50" t="str">
        <x:v>示例</x:v>
      </x:c>
      <x:c r="I22" s="50" t="str">
        <x:v>Owner</x:v>
      </x:c>
      <x:c r="J22" s="50" t="str">
        <x:v>状态</x:v>
      </x:c>
    </x:row>
    <x:row r="23">
      <x:c r="A23" s="66" t="str">
        <x:v>1</x:v>
      </x:c>
      <x:c r="B23" s="66" t="str">
        <x:v>Core/Schema</x:v>
      </x:c>
      <x:c r="C23" s="66" t="str">
        <x:v>Model/Value/Stable Id/JSON/Migration/Unknown保底</x:v>
      </x:c>
      <x:c r="D23" s="66" t="str">
        <x:v>Definition contracts</x:v>
      </x:c>
      <x:c r="E23" s="66" t="str">
        <x:v>RoundTrip/Golden JSON</x:v>
      </x:c>
      <x:c r="F23" s="66" t="str">
        <x:v>保存打开语义一致</x:v>
      </x:c>
      <x:c r="G23" s="66" t="str">
        <x:v>直接先做UI</x:v>
      </x:c>
      <x:c r="H23" s="66" t="str">
        <x:v>RobotPose</x:v>
      </x:c>
      <x:c r="I23" s="66" t="str">
        <x:v>Domain dev</x:v>
      </x:c>
      <x:c r="J23" s="66"/>
    </x:row>
    <x:row r="24">
      <x:c r="A24" s="58" t="str">
        <x:v>2</x:v>
      </x:c>
      <x:c r="B24" s="58" t="str">
        <x:v>Metadata/Catalog</x:v>
      </x:c>
      <x:c r="C24" s="58" t="str">
        <x:v>Descriptor/Properties/Ports/Capabilities/Factory registration</x:v>
      </x:c>
      <x:c r="D24" s="58" t="str">
        <x:v>Catalog entry</x:v>
      </x:c>
      <x:c r="E24" s="58" t="str">
        <x:v>Registry coverage</x:v>
      </x:c>
      <x:c r="F24" s="58" t="str">
        <x:v>Toolbox/Inspector能解析</x:v>
      </x:c>
      <x:c r="G24" s="58" t="str">
        <x:v>switch(typeName)散落</x:v>
      </x:c>
      <x:c r="H24" s="58" t="str">
        <x:v>CT Recon descriptor</x:v>
      </x:c>
      <x:c r="I24" s="58" t="str">
        <x:v>Domain dev</x:v>
      </x:c>
      <x:c r="J24" s="58"/>
    </x:row>
    <x:row r="25">
      <x:c r="A25" s="66" t="str">
        <x:v>3</x:v>
      </x:c>
      <x:c r="B25" s="66" t="str">
        <x:v>Command/Application</x:v>
      </x:c>
      <x:c r="C25" s="66" t="str">
        <x:v>Add/Delete/Edit/Connect/Batch/ChangeSet/Undo</x:v>
      </x:c>
      <x:c r="D25" s="66" t="str">
        <x:v>Commands/Use cases</x:v>
      </x:c>
      <x:c r="E25" s="66" t="str">
        <x:v>Execute→Undo→Redo</x:v>
      </x:c>
      <x:c r="F25" s="66" t="str">
        <x:v>永久修改不直改Model</x:v>
      </x:c>
      <x:c r="G25" s="66" t="str">
        <x:v>code-behind写Model</x:v>
      </x:c>
      <x:c r="H25" s="66" t="str">
        <x:v>Teach ChangeSet</x:v>
      </x:c>
      <x:c r="I25" s="66" t="str">
        <x:v>App dev</x:v>
      </x:c>
      <x:c r="J25" s="66"/>
    </x:row>
    <x:row r="26">
      <x:c r="A26" s="58" t="str">
        <x:v>4</x:v>
      </x:c>
      <x:c r="B26" s="58" t="str">
        <x:v>Designer UX</x:v>
      </x:c>
      <x:c r="C26" s="58" t="str">
        <x:v>Canvas/Editor/Inspector/Search/Validation feedback</x:v>
      </x:c>
      <x:c r="D26" s="58" t="str">
        <x:v>可操作UI</x:v>
      </x:c>
      <x:c r="E26" s="58" t="str">
        <x:v>UI smoke</x:v>
      </x:c>
      <x:c r="F26" s="58" t="str">
        <x:v>完整用户闭环可走</x:v>
      </x:c>
      <x:c r="G26" s="58" t="str">
        <x:v>只有按钮/占位窗</x:v>
      </x:c>
      <x:c r="H26" s="58" t="str">
        <x:v>Volume Viewer入口</x:v>
      </x:c>
      <x:c r="I26" s="58" t="str">
        <x:v>UI dev</x:v>
      </x:c>
      <x:c r="J26" s="58"/>
    </x:row>
    <x:row r="27">
      <x:c r="A27" s="66" t="str">
        <x:v>5</x:v>
      </x:c>
      <x:c r="B27" s="66" t="str">
        <x:v>Validator/Resolver</x:v>
      </x:c>
      <x:c r="C27" s="66" t="str">
        <x:v>结构/类型/资源/版本/Capability/安全预检查</x:v>
      </x:c>
      <x:c r="D27" s="66" t="str">
        <x:v>ValidationReport/Resolved model</x:v>
      </x:c>
      <x:c r="E27" s="66" t="str">
        <x:v>Negative tests</x:v>
      </x:c>
      <x:c r="F27" s="66" t="str">
        <x:v>Fatal能定位对象</x:v>
      </x:c>
      <x:c r="G27" s="66" t="str">
        <x:v>Runtime才报所有错误</x:v>
      </x:c>
      <x:c r="H27" s="66" t="str">
        <x:v>Robot Frame chain</x:v>
      </x:c>
      <x:c r="I27" s="66" t="str">
        <x:v>Runtime dev</x:v>
      </x:c>
      <x:c r="J27" s="66"/>
    </x:row>
    <x:row r="28">
      <x:c r="A28" s="58" t="str">
        <x:v>6</x:v>
      </x:c>
      <x:c r="B28" s="58" t="str">
        <x:v>Compiler/Plan</x:v>
      </x:c>
      <x:c r="C28" s="58" t="str">
        <x:v>Definition→immutable plan；解析依赖/表达式/执行器</x:v>
      </x:c>
      <x:c r="D28" s="58" t="str">
        <x:v>ExecutionPlan/PlanHash</x:v>
      </x:c>
      <x:c r="E28" s="58" t="str">
        <x:v>Compile tests</x:v>
      </x:c>
      <x:c r="F28" s="58" t="str">
        <x:v>同Snapshot Plan可重现</x:v>
      </x:c>
      <x:c r="G28" s="58" t="str">
        <x:v>运行反射/解释设计树</x:v>
      </x:c>
      <x:c r="H28" s="58" t="str">
        <x:v>Vision DAG plan</x:v>
      </x:c>
      <x:c r="I28" s="58" t="str">
        <x:v>Runtime dev</x:v>
      </x:c>
      <x:c r="J28" s="58"/>
    </x:row>
    <x:row r="29">
      <x:c r="A29" s="66" t="str">
        <x:v>7</x:v>
      </x:c>
      <x:c r="B29" s="66" t="str">
        <x:v>Runtime/Executor</x:v>
      </x:c>
      <x:c r="C29" s="66" t="str">
        <x:v>Session/Node state/Cancel/Timeout/Result/Dispose</x:v>
      </x:c>
      <x:c r="D29" s="66" t="str">
        <x:v>Runtime result/Trace</x:v>
      </x:c>
      <x:c r="E29" s="66" t="str">
        <x:v>Integration/fault</x:v>
      </x:c>
      <x:c r="F29" s="66" t="str">
        <x:v>状态机稳定/资源释放</x:v>
      </x:c>
      <x:c r="G29" s="66" t="str">
        <x:v>万能Execute(object)</x:v>
      </x:c>
      <x:c r="H29" s="66" t="str">
        <x:v>Motion Move runner</x:v>
      </x:c>
      <x:c r="I29" s="66" t="str">
        <x:v>Runtime dev</x:v>
      </x:c>
      <x:c r="J29" s="66"/>
    </x:row>
    <x:row r="30">
      <x:c r="A30" s="58" t="str">
        <x:v>8</x:v>
      </x:c>
      <x:c r="B30" s="58" t="str">
        <x:v>Integration/Worker</x:v>
      </x:c>
      <x:c r="C30" s="58" t="str">
        <x:v>Vendor/Native/External adapter + error/capability mapping</x:v>
      </x:c>
      <x:c r="D30" s="58" t="str">
        <x:v>Adapter/Worker</x:v>
      </x:c>
      <x:c r="E30" s="58" t="str">
        <x:v>Contract/real device</x:v>
      </x:c>
      <x:c r="F30" s="58" t="str">
        <x:v>第三方类型不进Core</x:v>
      </x:c>
      <x:c r="G30" s="58" t="str">
        <x:v>Node直接引用SDK</x:v>
      </x:c>
      <x:c r="H30" s="58" t="str">
        <x:v>CT ASTRA Worker</x:v>
      </x:c>
      <x:c r="I30" s="58" t="str">
        <x:v>Integration</x:v>
      </x:c>
      <x:c r="J30" s="58"/>
    </x:row>
    <x:row r="31">
      <x:c r="A31" s="66" t="str">
        <x:v>9</x:v>
      </x:c>
      <x:c r="B31" s="66" t="str">
        <x:v>Debug/Observability</x:v>
      </x:c>
      <x:c r="C31" s="66" t="str">
        <x:v>Snapshot/Watch/Trace/Timeline/DataRef/Override/Step/RunTo</x:v>
      </x:c>
      <x:c r="D31" s="66" t="str">
        <x:v>Debug Adapter</x:v>
      </x:c>
      <x:c r="E31" s="66" t="str">
        <x:v>Debug E2E</x:v>
      </x:c>
      <x:c r="F31" s="66" t="str">
        <x:v>在线可定位且不影响Runtime</x:v>
      </x:c>
      <x:c r="G31" s="66" t="str">
        <x:v>弹MessageBox/只有日志</x:v>
      </x:c>
      <x:c r="H31" s="66" t="str">
        <x:v>Robot Axis/Pose panel</x:v>
      </x:c>
      <x:c r="I31" s="66" t="str">
        <x:v>Debug dev</x:v>
      </x:c>
      <x:c r="J31" s="66"/>
    </x:row>
    <x:row r="32">
      <x:c r="A32" s="58" t="str">
        <x:v>10</x:v>
      </x:c>
      <x:c r="B32" s="58" t="str">
        <x:v>Performance/Reliability</x:v>
      </x:c>
      <x:c r="C32" s="58" t="str">
        <x:v>Bounded queue/cache/Retention/Health/Restart/Recovery</x:v>
      </x:c>
      <x:c r="D32" s="58" t="str">
        <x:v>Metrics/Policies</x:v>
      </x:c>
      <x:c r="E32" s="58" t="str">
        <x:v>Stress/Soak</x:v>
      </x:c>
      <x:c r="F32" s="58" t="str">
        <x:v>无趋势性增长</x:v>
      </x:c>
      <x:c r="G32" s="58" t="str">
        <x:v>无限List/cache</x:v>
      </x:c>
      <x:c r="H32" s="58" t="str">
        <x:v>Vision Streaming</x:v>
      </x:c>
      <x:c r="I32" s="58" t="str">
        <x:v>Runtime/QA</x:v>
      </x:c>
      <x:c r="J32" s="58"/>
    </x:row>
    <x:row r="33">
      <x:c r="A33" s="66" t="str">
        <x:v>11</x:v>
      </x:c>
      <x:c r="B33" s="66" t="str">
        <x:v>Docs/Tracking</x:v>
      </x:c>
      <x:c r="C33" s="66" t="str">
        <x:v>更新02/03/领域页/24/58及用户帮助提示</x:v>
      </x:c>
      <x:c r="D33" s="66" t="str">
        <x:v>Document update</x:v>
      </x:c>
      <x:c r="E33" s="66" t="str">
        <x:v>一致性检查</x:v>
      </x:c>
      <x:c r="F33" s="66" t="str">
        <x:v>文档和代码同版本</x:v>
      </x:c>
      <x:c r="G33" s="66" t="str">
        <x:v>代码做了文档没更新</x:v>
      </x:c>
      <x:c r="H33" s="66" t="str">
        <x:v>新增CT Node</x:v>
      </x:c>
      <x:c r="I33" s="66" t="str">
        <x:v>Owner</x:v>
      </x:c>
      <x:c r="J33" s="66"/>
    </x:row>
    <x:row r="34">
      <x:c r="A34"/>
      <x:c r="B34"/>
      <x:c r="C34"/>
      <x:c r="D34"/>
      <x:c r="E34"/>
      <x:c r="F34"/>
      <x:c r="G34"/>
      <x:c r="H34"/>
      <x:c r="I34"/>
      <x:c r="J34"/>
    </x:row>
    <x:row r="35" ht="24" customHeight="1">
      <x:c r="A35" s="40" t="str">
        <x:v>C. 新 Graph Node 开发模板</x:v>
      </x:c>
      <x:c r="B35" s="40"/>
      <x:c r="C35" s="40"/>
      <x:c r="D35" s="40"/>
      <x:c r="E35" s="40"/>
      <x:c r="F35" s="40"/>
      <x:c r="G35" s="40"/>
      <x:c r="H35" s="40"/>
      <x:c r="I35" s="40"/>
      <x:c r="J35" s="40"/>
    </x:row>
    <x:row r="36" ht="28" customHeight="1">
      <x:c r="A36" s="50" t="str">
        <x:v>字段</x:v>
      </x:c>
      <x:c r="B36" s="50" t="str">
        <x:v>必须定义</x:v>
      </x:c>
      <x:c r="C36" s="50" t="str">
        <x:v>示例(Motion)</x:v>
      </x:c>
      <x:c r="D36" s="50" t="str">
        <x:v>示例(Vision)</x:v>
      </x:c>
      <x:c r="E36" s="50" t="str">
        <x:v>示例(Inspection)</x:v>
      </x:c>
      <x:c r="F36" s="50" t="str">
        <x:v>示例(CT/Robot)</x:v>
      </x:c>
      <x:c r="G36" s="50" t="str">
        <x:v>代码落点</x:v>
      </x:c>
      <x:c r="H36" s="50" t="str">
        <x:v>测试</x:v>
      </x:c>
      <x:c r="I36" s="50" t="str">
        <x:v>DoD</x:v>
      </x:c>
      <x:c r="J36" s="50" t="str">
        <x:v>备注</x:v>
      </x:c>
    </x:row>
    <x:row r="37">
      <x:c r="A37" s="58" t="str">
        <x:v>NodeTypeId</x:v>
      </x:c>
      <x:c r="B37" s="58" t="str">
        <x:v>稳定、版本化、不可随类名变</x:v>
      </x:c>
      <x:c r="C37" s="58" t="str">
        <x:v>motion.moveAbs</x:v>
      </x:c>
      <x:c r="D37" s="58" t="str">
        <x:v>vision.threshold</x:v>
      </x:c>
      <x:c r="E37" s="58" t="str">
        <x:v>inspection.runVision</x:v>
      </x:c>
      <x:c r="F37" s="58" t="str">
        <x:v>ct.reconstruct.fdk / robot.moveL</x:v>
      </x:c>
      <x:c r="G37" s="58" t="str">
        <x:v>Descriptor/Schema</x:v>
      </x:c>
      <x:c r="H37" s="58" t="str">
        <x:v>Registry/Migration</x:v>
      </x:c>
      <x:c r="I37" s="58" t="str">
        <x:v>旧工程仍可解析</x:v>
      </x:c>
      <x:c r="J37" s="58"/>
    </x:row>
    <x:row r="38">
      <x:c r="A38" s="66" t="str">
        <x:v>显示元数据</x:v>
      </x:c>
      <x:c r="B38" s="66" t="str">
        <x:v>Name/Category/Icon/Description/Keywords</x:v>
      </x:c>
      <x:c r="C38" s="66" t="str">
        <x:v>轴/Move</x:v>
      </x:c>
      <x:c r="D38" s="66" t="str">
        <x:v>预处理/Threshold</x:v>
      </x:c>
      <x:c r="E38" s="66" t="str">
        <x:v>域调用/Run Vision</x:v>
      </x:c>
      <x:c r="F38" s="66" t="str">
        <x:v>重建/FDK</x:v>
      </x:c>
      <x:c r="G38" s="66" t="str">
        <x:v>Metadata</x:v>
      </x:c>
      <x:c r="H38" s="66" t="str">
        <x:v>Catalog UI</x:v>
      </x:c>
      <x:c r="I38" s="66" t="str">
        <x:v>可搜索/分类</x:v>
      </x:c>
      <x:c r="J38" s="66"/>
    </x:row>
    <x:row r="39">
      <x:c r="A39" s="58" t="str">
        <x:v>Ports</x:v>
      </x:c>
      <x:c r="B39" s="58" t="str">
        <x:v>Direction/DataType/Cardinality/Optional</x:v>
      </x:c>
      <x:c r="C39" s="58" t="str">
        <x:v>AxisRef/Target→MotionResult</x:v>
      </x:c>
      <x:c r="D39" s="58" t="str">
        <x:v>Image→Region</x:v>
      </x:c>
      <x:c r="E39" s="58" t="str">
        <x:v>Context/Image→VisionResult</x:v>
      </x:c>
      <x:c r="F39" s="58" t="str">
        <x:v>ProjectionSeries+Geometry→Volume3D</x:v>
      </x:c>
      <x:c r="G39" s="58" t="str">
        <x:v>TypeSystem</x:v>
      </x:c>
      <x:c r="H39" s="58" t="str">
        <x:v>Compatibility</x:v>
      </x:c>
      <x:c r="I39" s="58" t="str">
        <x:v>错误连接禁止</x:v>
      </x:c>
      <x:c r="J39" s="58"/>
    </x:row>
    <x:row r="40">
      <x:c r="A40" s="66" t="str">
        <x:v>Parameters</x:v>
      </x:c>
      <x:c r="B40" s="66" t="str">
        <x:v>Type/Default/Range/Unit/Editor/Expression/Recipe</x:v>
      </x:c>
      <x:c r="C40" s="66" t="str">
        <x:v>Vel/Acc/Timeout</x:v>
      </x:c>
      <x:c r="D40" s="66" t="str">
        <x:v>Threshold/ROI</x:v>
      </x:c>
      <x:c r="E40" s="66" t="str">
        <x:v>PipelineRef/Mapping</x:v>
      </x:c>
      <x:c r="F40" s="66" t="str">
        <x:v>VoxelSize/Filter/GPU</x:v>
      </x:c>
      <x:c r="G40" s="66" t="str">
        <x:v>Metadata/Config</x:v>
      </x:c>
      <x:c r="H40" s="66" t="str">
        <x:v>Validation</x:v>
      </x:c>
      <x:c r="I40" s="66" t="str">
        <x:v>Inspector完整</x:v>
      </x:c>
      <x:c r="J40" s="66"/>
    </x:row>
    <x:row r="41">
      <x:c r="A41" s="58" t="str">
        <x:v>Resources</x:v>
      </x:c>
      <x:c r="B41" s="58" t="str">
        <x:v>ResourceRequirement/Mode/Capacity</x:v>
      </x:c>
      <x:c r="C41" s="58" t="str">
        <x:v>Axis exclusive</x:v>
      </x:c>
      <x:c r="D41" s="58" t="str">
        <x:v>GPU capacity</x:v>
      </x:c>
      <x:c r="E41" s="58" t="str">
        <x:v>Station/Vision worker</x:v>
      </x:c>
      <x:c r="F41" s="58" t="str">
        <x:v>GPU+temp disk / Robot exclusive</x:v>
      </x:c>
      <x:c r="G41" s="58" t="str">
        <x:v>Plan/Resource</x:v>
      </x:c>
      <x:c r="H41" s="58" t="str">
        <x:v>Contention</x:v>
      </x:c>
      <x:c r="I41" s="58" t="str">
        <x:v>无隐式资源抢占</x:v>
      </x:c>
      <x:c r="J41" s="58"/>
    </x:row>
    <x:row r="42">
      <x:c r="A42" s="66" t="str">
        <x:v>Security/Interlock</x:v>
      </x:c>
      <x:c r="B42" s="66" t="str">
        <x:v>是否危险/权限/规则</x:v>
      </x:c>
      <x:c r="C42" s="66" t="str">
        <x:v>Move/Servo</x:v>
      </x:c>
      <x:c r="D42" s="66" t="str">
        <x:v>通常无设备写</x:v>
      </x:c>
      <x:c r="E42" s="66" t="str">
        <x:v>Skip/Review</x:v>
      </x:c>
      <x:c r="F42" s="66" t="str">
        <x:v>Robot Move/Jog</x:v>
      </x:c>
      <x:c r="G42" s="66" t="str">
        <x:v>Runtime policy</x:v>
      </x:c>
      <x:c r="H42" s="66" t="str">
        <x:v>Security tests</x:v>
      </x:c>
      <x:c r="I42" s="66" t="str">
        <x:v>不可绕过</x:v>
      </x:c>
      <x:c r="J42" s="66"/>
    </x:row>
    <x:row r="43">
      <x:c r="A43" s="58" t="str">
        <x:v>Compile</x:v>
      </x:c>
      <x:c r="B43" s="58" t="str">
        <x:v>如何变成Plan</x:v>
      </x:c>
      <x:c r="C43" s="58" t="str">
        <x:v>MoveAbsPlan</x:v>
      </x:c>
      <x:c r="D43" s="58" t="str">
        <x:v>ThresholdPlan</x:v>
      </x:c>
      <x:c r="E43" s="58" t="str">
        <x:v>RunVisionInvocationPlan</x:v>
      </x:c>
      <x:c r="F43" s="58" t="str">
        <x:v>ReconstructionPlan</x:v>
      </x:c>
      <x:c r="G43" s="58" t="str">
        <x:v>Domain Compiler</x:v>
      </x:c>
      <x:c r="H43" s="58" t="str">
        <x:v>Plan test</x:v>
      </x:c>
      <x:c r="I43" s="58" t="str">
        <x:v>Runtime不读UI Model</x:v>
      </x:c>
      <x:c r="J43" s="58"/>
    </x:row>
    <x:row r="44">
      <x:c r="A44" s="66" t="str">
        <x:v>Runtime</x:v>
      </x:c>
      <x:c r="B44" s="66" t="str">
        <x:v>状态/Executor/Cancel/Timeout/Result</x:v>
      </x:c>
      <x:c r="C44" s="66" t="str">
        <x:v>MoveExecutor</x:v>
      </x:c>
      <x:c r="D44" s="66" t="str">
        <x:v>AlgorithmExecutor</x:v>
      </x:c>
      <x:c r="E44" s="66" t="str">
        <x:v>InvocationExecutor</x:v>
      </x:c>
      <x:c r="F44" s="66" t="str">
        <x:v>CT Worker/Robot adapter</x:v>
      </x:c>
      <x:c r="G44" s="66" t="str">
        <x:v>Domain Runtime</x:v>
      </x:c>
      <x:c r="H44" s="66" t="str">
        <x:v>Fault/Cancel</x:v>
      </x:c>
      <x:c r="I44" s="66" t="str">
        <x:v>标准PlatformError/Trace</x:v>
      </x:c>
      <x:c r="J44" s="66"/>
    </x:row>
    <x:row r="45">
      <x:c r="A45" s="58" t="str">
        <x:v>Debug</x:v>
      </x:c>
      <x:c r="B45" s="58" t="str">
        <x:v>输入输出/状态/Viewer/Step能力</x:v>
      </x:c>
      <x:c r="C45" s="58" t="str">
        <x:v>Axis/command</x:v>
      </x:c>
      <x:c r="D45" s="58" t="str">
        <x:v>Image/Region</x:v>
      </x:c>
      <x:c r="E45" s="58" t="str">
        <x:v>Context/child run</x:v>
      </x:c>
      <x:c r="F45" s="58" t="str">
        <x:v>Volume/Path</x:v>
      </x:c>
      <x:c r="G45" s="58" t="str">
        <x:v>Debug Adapter</x:v>
      </x:c>
      <x:c r="H45" s="58" t="str">
        <x:v>Debug tests</x:v>
      </x:c>
      <x:c r="I45" s="58" t="str">
        <x:v>可定位/可观察</x:v>
      </x:c>
      <x:c r="J45" s="58"/>
    </x:row>
    <x:row r="46">
      <x:c r="A46" s="66" t="str">
        <x:v>Migration</x:v>
      </x:c>
      <x:c r="B46" s="66" t="str">
        <x:v>参数/端口变化策略</x:v>
      </x:c>
      <x:c r="C46" s="66" t="str">
        <x:v>Alias/default</x:v>
      </x:c>
      <x:c r="D46" s="66" t="str">
        <x:v>parameter migration</x:v>
      </x:c>
      <x:c r="E46" s="66" t="str">
        <x:v>Version ref migration</x:v>
      </x:c>
      <x:c r="F46" s="66" t="str">
        <x:v>CT config upgrade</x:v>
      </x:c>
      <x:c r="G46" s="66" t="str">
        <x:v>Serialization</x:v>
      </x:c>
      <x:c r="H46" s="66" t="str">
        <x:v>Golden old project</x:v>
      </x:c>
      <x:c r="I46" s="66" t="str">
        <x:v>不破旧工程</x:v>
      </x:c>
      <x:c r="J46" s="66"/>
    </x:row>
    <x:row r="47">
      <x:c r="A47"/>
      <x:c r="B47"/>
      <x:c r="C47"/>
      <x:c r="D47"/>
      <x:c r="E47"/>
      <x:c r="F47"/>
      <x:c r="G47"/>
      <x:c r="H47"/>
      <x:c r="I47"/>
      <x:c r="J47"/>
    </x:row>
    <x:row r="48" ht="24" customHeight="1">
      <x:c r="A48" s="40" t="str">
        <x:v>D. 新 Device/Algorithm Provider 开发模板</x:v>
      </x:c>
      <x:c r="B48" s="40"/>
      <x:c r="C48" s="40"/>
      <x:c r="D48" s="40"/>
      <x:c r="E48" s="40"/>
      <x:c r="F48" s="40"/>
      <x:c r="G48" s="40"/>
      <x:c r="H48" s="40"/>
      <x:c r="I48" s="40"/>
      <x:c r="J48" s="40"/>
    </x:row>
    <x:row r="49" ht="28" customHeight="1">
      <x:c r="A49" s="50" t="str">
        <x:v>项</x:v>
      </x:c>
      <x:c r="B49" s="50" t="str">
        <x:v>Device Provider</x:v>
      </x:c>
      <x:c r="C49" s="50" t="str">
        <x:v>Vision/CT Algorithm Plugin</x:v>
      </x:c>
      <x:c r="D49" s="50" t="str">
        <x:v>Station/Ops Adapter</x:v>
      </x:c>
      <x:c r="E49" s="50" t="str">
        <x:v>必须产物</x:v>
      </x:c>
      <x:c r="F49" s="50" t="str">
        <x:v>测试</x:v>
      </x:c>
      <x:c r="G49" s="50" t="str">
        <x:v>错误处理</x:v>
      </x:c>
      <x:c r="H49" s="50" t="str">
        <x:v>版本</x:v>
      </x:c>
      <x:c r="I49" s="50" t="str">
        <x:v>禁止</x:v>
      </x:c>
      <x:c r="J49" s="50" t="str">
        <x:v>备注</x:v>
      </x:c>
    </x:row>
    <x:row r="50">
      <x:c r="A50" s="58" t="str">
        <x:v>Contract</x:v>
      </x:c>
      <x:c r="B50" s="58" t="str">
        <x:v>Capability/Connect/Command/State/Dispose</x:v>
      </x:c>
      <x:c r="C50" s="58" t="str">
        <x:v>Typed ports/parameters/Execute/Dispose</x:v>
      </x:c>
      <x:c r="D50" s="58" t="str">
        <x:v>Agent/API capability</x:v>
      </x:c>
      <x:c r="E50" s="58" t="str">
        <x:v>Stable interface + Descriptor</x:v>
      </x:c>
      <x:c r="F50" s="58" t="str">
        <x:v>Contract tests</x:v>
      </x:c>
      <x:c r="G50" s="58" t="str">
        <x:v>PlatformError map</x:v>
      </x:c>
      <x:c r="H50" s="58" t="str">
        <x:v>Plugin/ApiVersion</x:v>
      </x:c>
      <x:c r="I50" s="58" t="str">
        <x:v>Core引用Vendor类型</x:v>
      </x:c>
      <x:c r="J50" s="58"/>
    </x:row>
    <x:row r="51">
      <x:c r="A51" s="66" t="str">
        <x:v>Configuration</x:v>
      </x:c>
      <x:c r="B51" s="66" t="str">
        <x:v>ConnectionProfile/DeviceDefinition</x:v>
      </x:c>
      <x:c r="C51" s="66" t="str">
        <x:v>Model/Algorithm config/Artifact refs</x:v>
      </x:c>
      <x:c r="D51" s="66" t="str">
        <x:v>Endpoint/Policy/Profile</x:v>
      </x:c>
      <x:c r="E51" s="66" t="str">
        <x:v>Serializable config</x:v>
      </x:c>
      <x:c r="F51" s="66" t="str">
        <x:v>RoundTrip</x:v>
      </x:c>
      <x:c r="G51" s="66" t="str">
        <x:v>Invalid config diagnostic</x:v>
      </x:c>
      <x:c r="H51" s="66" t="str">
        <x:v>SchemaVersion</x:v>
      </x:c>
      <x:c r="I51" s="66" t="str">
        <x:v>明文Secret</x:v>
      </x:c>
      <x:c r="J51" s="66"/>
    </x:row>
    <x:row r="52">
      <x:c r="A52" s="58" t="str">
        <x:v>Lifecycle</x:v>
      </x:c>
      <x:c r="B52" s="58" t="str">
        <x:v>Discover→Connect→Prepare→Execute→Fault→Dispose</x:v>
      </x:c>
      <x:c r="C52" s="58" t="str">
        <x:v>Load→Prepare→Execute→Unload/Crash</x:v>
      </x:c>
      <x:c r="D52" s="58" t="str">
        <x:v>Handshake→Stream/Job→Reconnect</x:v>
      </x:c>
      <x:c r="E52" s="58" t="str">
        <x:v>State machine</x:v>
      </x:c>
      <x:c r="F52" s="58" t="str">
        <x:v>100 cycles</x:v>
      </x:c>
      <x:c r="G52" s="58" t="str">
        <x:v>Recoverable flag</x:v>
      </x:c>
      <x:c r="H52" s="58" t="str">
        <x:v>Driver/PluginVersion</x:v>
      </x:c>
      <x:c r="I52" s="58" t="str">
        <x:v>静态单例永不Dispose</x:v>
      </x:c>
      <x:c r="J52" s="58"/>
    </x:row>
    <x:row r="53">
      <x:c r="A53" s="66" t="str">
        <x:v>Capabilities</x:v>
      </x:c>
      <x:c r="B53" s="66" t="str">
        <x:v>Commands/limits/features</x:v>
      </x:c>
      <x:c r="C53" s="66" t="str">
        <x:v>GPU/shape/data types/concurrency</x:v>
      </x:c>
      <x:c r="D53" s="66" t="str">
        <x:v>Agent actions/protocol/data access</x:v>
      </x:c>
      <x:c r="E53" s="66" t="str">
        <x:v>Capability descriptor</x:v>
      </x:c>
      <x:c r="F53" s="66" t="str">
        <x:v>Capability matrix</x:v>
      </x:c>
      <x:c r="G53" s="66" t="str">
        <x:v>Unsupported明确</x:v>
      </x:c>
      <x:c r="H53" s="66" t="str">
        <x:v>Version negotiation</x:v>
      </x:c>
      <x:c r="I53" s="66" t="str">
        <x:v>按型号if散落各层</x:v>
      </x:c>
      <x:c r="J53" s="66"/>
    </x:row>
    <x:row r="54">
      <x:c r="A54" s="58" t="str">
        <x:v>Diagnostics</x:v>
      </x:c>
      <x:c r="B54" s="58" t="str">
        <x:v>Connection/latency/error/health</x:v>
      </x:c>
      <x:c r="C54" s="58" t="str">
        <x:v>Node timing/VRAM/model/error</x:v>
      </x:c>
      <x:c r="D54" s="58" t="str">
        <x:v>network/job/agent health</x:v>
      </x:c>
      <x:c r="E54" s="58" t="str">
        <x:v>Diagnostic schema</x:v>
      </x:c>
      <x:c r="F54" s="58" t="str">
        <x:v>Fault injection</x:v>
      </x:c>
      <x:c r="G54" s="58" t="str">
        <x:v>RootCause/Code</x:v>
      </x:c>
      <x:c r="H54" s="58" t="str">
        <x:v>Mapping version</x:v>
      </x:c>
      <x:c r="I54" s="58" t="str">
        <x:v>只抛厂商字符串</x:v>
      </x:c>
      <x:c r="J54" s="58"/>
    </x:row>
    <x:row r="55">
      <x:c r="A55" s="66" t="str">
        <x:v>Isolation</x:v>
      </x:c>
      <x:c r="B55" s="66" t="str">
        <x:v>按风险同进程/Worker</x:v>
      </x:c>
      <x:c r="C55" s="66" t="str">
        <x:v>Native/GPU建议Worker</x:v>
      </x:c>
      <x:c r="D55" s="66" t="str">
        <x:v>Remote/network service</x:v>
      </x:c>
      <x:c r="E55" s="66" t="str">
        <x:v>Deployment choice</x:v>
      </x:c>
      <x:c r="F55" s="66" t="str">
        <x:v>Crash tests</x:v>
      </x:c>
      <x:c r="G55" s="66" t="str">
        <x:v>Supervisor</x:v>
      </x:c>
      <x:c r="H55" s="66" t="str">
        <x:v>Protocol version</x:v>
      </x:c>
      <x:c r="I55" s="66" t="str">
        <x:v>高风险Native全进主Runtime</x:v>
      </x:c>
      <x:c r="J55" s="66"/>
    </x:row>
    <x:row r="56">
      <x:c r="A56"/>
      <x:c r="B56"/>
      <x:c r="C56"/>
      <x:c r="D56"/>
      <x:c r="E56"/>
      <x:c r="F56"/>
      <x:c r="G56"/>
      <x:c r="H56"/>
      <x:c r="I56"/>
      <x:c r="J56"/>
    </x:row>
    <x:row r="57" ht="24" customHeight="1">
      <x:c r="A57" s="40" t="str">
        <x:v>E. Online Debug 功能DoD</x:v>
      </x:c>
      <x:c r="B57" s="40"/>
      <x:c r="C57" s="40"/>
      <x:c r="D57" s="40"/>
      <x:c r="E57" s="40"/>
      <x:c r="F57" s="40"/>
      <x:c r="G57" s="40"/>
      <x:c r="H57" s="40"/>
      <x:c r="I57" s="40"/>
      <x:c r="J57" s="40"/>
    </x:row>
    <x:row r="58" ht="28" customHeight="1">
      <x:c r="A58" s="50" t="str">
        <x:v>检查项</x:v>
      </x:c>
      <x:c r="B58" s="50" t="str">
        <x:v>平台要求</x:v>
      </x:c>
      <x:c r="C58" s="50" t="str">
        <x:v>Motion/Robot</x:v>
      </x:c>
      <x:c r="D58" s="50" t="str">
        <x:v>Vision/CT</x:v>
      </x:c>
      <x:c r="E58" s="50" t="str">
        <x:v>Inspection</x:v>
      </x:c>
      <x:c r="F58" s="50" t="str">
        <x:v>Operations Remote</x:v>
      </x:c>
      <x:c r="G58" s="50" t="str">
        <x:v>测试</x:v>
      </x:c>
      <x:c r="H58" s="50" t="str">
        <x:v>证据</x:v>
      </x:c>
      <x:c r="I58" s="50" t="str">
        <x:v>阻断</x:v>
      </x:c>
      <x:c r="J58" s="50" t="str">
        <x:v>备注</x:v>
      </x:c>
    </x:row>
    <x:row r="59">
      <x:c r="A59" s="58" t="str">
        <x:v>连接/握手</x:v>
      </x:c>
      <x:c r="B59" s="58" t="str">
        <x:v>Client→Agent，Capability/API/Version明确</x:v>
      </x:c>
      <x:c r="C59" s="58" t="str">
        <x:v>Controller/Mode</x:v>
      </x:c>
      <x:c r="D59" s="58" t="str">
        <x:v>Worker/Model</x:v>
      </x:c>
      <x:c r="E59" s="58" t="str">
        <x:v>Task/Dependencies</x:v>
      </x:c>
      <x:c r="F59" s="58" t="str">
        <x:v>Station/Lease</x:v>
      </x:c>
      <x:c r="G59" s="58" t="str">
        <x:v>Protocol tests</x:v>
      </x:c>
      <x:c r="H59" s="58" t="str">
        <x:v>Handshake log</x:v>
      </x:c>
      <x:c r="I59" s="58" t="str">
        <x:v>P0</x:v>
      </x:c>
      <x:c r="J59" s="58"/>
    </x:row>
    <x:row r="60">
      <x:c r="A60" s="66" t="str">
        <x:v>安全</x:v>
      </x:c>
      <x:c r="B60" s="66" t="str">
        <x:v>Target最终Authorize；默认只读；危险操作强审计</x:v>
      </x:c>
      <x:c r="C60" s="66" t="str">
        <x:v>Interlock/Resource/Jog</x:v>
      </x:c>
      <x:c r="D60" s="66" t="str">
        <x:v>设备采集/Model/Artifact</x:v>
      </x:c>
      <x:c r="E60" s="66" t="str">
        <x:v>Retry/Recovery/Review</x:v>
      </x:c>
      <x:c r="F60" s="66" t="str">
        <x:v>Approval/TTL/Site policy</x:v>
      </x:c>
      <x:c r="G60" s="66" t="str">
        <x:v>Security E2E</x:v>
      </x:c>
      <x:c r="H60" s="66" t="str">
        <x:v>Audit records</x:v>
      </x:c>
      <x:c r="I60" s="66" t="str">
        <x:v>P0</x:v>
      </x:c>
      <x:c r="J60" s="66"/>
    </x:row>
    <x:row r="61">
      <x:c r="A61" s="58" t="str">
        <x:v>状态机</x:v>
      </x:c>
      <x:c r="B61" s="58" t="str">
        <x:v>ExpectedState + CommandId；断线DetachedUnknown</x:v>
      </x:c>
      <x:c r="C61" s="58" t="str">
        <x:v>Pause boundary</x:v>
      </x:c>
      <x:c r="D61" s="58" t="str">
        <x:v>Run/Worker state</x:v>
      </x:c>
      <x:c r="E61" s="58" t="str">
        <x:v>Task/Waiting/Recovery</x:v>
      </x:c>
      <x:c r="F61" s="58" t="str">
        <x:v>Remote lease</x:v>
      </x:c>
      <x:c r="G61" s="58" t="str">
        <x:v>Network tests</x:v>
      </x:c>
      <x:c r="H61" s="58" t="str">
        <x:v>State trace</x:v>
      </x:c>
      <x:c r="I61" s="58" t="str">
        <x:v>P0</x:v>
      </x:c>
      <x:c r="J61" s="58"/>
    </x:row>
    <x:row r="62">
      <x:c r="A62" s="66" t="str">
        <x:v>Telemetry</x:v>
      </x:c>
      <x:c r="B62" s="66" t="str">
        <x:v>有界、可采样、Snapshot+Sequence</x:v>
      </x:c>
      <x:c r="C62" s="66" t="str">
        <x:v>Axis/IO/Resource</x:v>
      </x:c>
      <x:c r="D62" s="66" t="str">
        <x:v>Node/Data/GPU/Volume</x:v>
      </x:c>
      <x:c r="E62" s="66" t="str">
        <x:v>Context/Result/MES</x:v>
      </x:c>
      <x:c r="F62" s="66" t="str">
        <x:v>Fleet metrics</x:v>
      </x:c>
      <x:c r="G62" s="66" t="str">
        <x:v>Stress</x:v>
      </x:c>
      <x:c r="H62" s="66" t="str">
        <x:v>Drop/Gap metrics</x:v>
      </x:c>
      <x:c r="I62" s="66" t="str">
        <x:v>P0</x:v>
      </x:c>
      <x:c r="J62" s="66"/>
    </x:row>
    <x:row r="63">
      <x:c r="A63" s="58" t="str">
        <x:v>大数据</x:v>
      </x:c>
      <x:c r="B63" s="58" t="str">
        <x:v>Artifact/Data Channel按需</x:v>
      </x:c>
      <x:c r="C63" s="58" t="str">
        <x:v>少量</x:v>
      </x:c>
      <x:c r="D63" s="58" t="str">
        <x:v>Image/Projection/Volume</x:v>
      </x:c>
      <x:c r="E63" s="58" t="str">
        <x:v>Result artifacts</x:v>
      </x:c>
      <x:c r="F63" s="58" t="str">
        <x:v>远程chunk/LOD</x:v>
      </x:c>
      <x:c r="G63" s="58" t="str">
        <x:v>Bandwidth tests</x:v>
      </x:c>
      <x:c r="H63" s="58" t="str">
        <x:v>Transfer report</x:v>
      </x:c>
      <x:c r="I63" s="58" t="str">
        <x:v>P0</x:v>
      </x:c>
      <x:c r="J63" s="58"/>
    </x:row>
    <x:row r="64">
      <x:c r="A64" s="66" t="str">
        <x:v>Override</x:v>
      </x:c>
      <x:c r="B64" s="66" t="str">
        <x:v>Session层；Stop清；Promote→ChangeSet</x:v>
      </x:c>
      <x:c r="C64" s="66" t="str">
        <x:v>Point/Speed</x:v>
      </x:c>
      <x:c r="D64" s="66" t="str">
        <x:v>Algorithm/Geometry</x:v>
      </x:c>
      <x:c r="E64" s="66" t="str">
        <x:v>Test Context/Tunable</x:v>
      </x:c>
      <x:c r="F64" s="66" t="str">
        <x:v>Policy有限</x:v>
      </x:c>
      <x:c r="G64" s="66" t="str">
        <x:v>Override tests</x:v>
      </x:c>
      <x:c r="H64" s="66" t="str">
        <x:v>Diff/Undo</x:v>
      </x:c>
      <x:c r="I64" s="66" t="str">
        <x:v>P0</x:v>
      </x:c>
      <x:c r="J64" s="66"/>
    </x:row>
    <x:row r="65">
      <x:c r="A65" s="58" t="str">
        <x:v>Debug E2E</x:v>
      </x:c>
      <x:c r="B65" s="58" t="str">
        <x:v>从Studio操作到Runtime证据闭环</x:v>
      </x:c>
      <x:c r="C65" s="58" t="str">
        <x:v>Move/Jog/Teach</x:v>
      </x:c>
      <x:c r="D65" s="58" t="str">
        <x:v>RunTo/Replay</x:v>
      </x:c>
      <x:c r="E65" s="58" t="str">
        <x:v>StepInto/Recovery</x:v>
      </x:c>
      <x:c r="F65" s="58" t="str">
        <x:v>Remote Observe/Controlled</x:v>
      </x:c>
      <x:c r="G65" s="58" t="str">
        <x:v>E2E</x:v>
      </x:c>
      <x:c r="H65" s="58" t="str">
        <x:v>video/log/report</x:v>
      </x:c>
      <x:c r="I65" s="58" t="str">
        <x:v>P0</x:v>
      </x:c>
      <x:c r="J65" s="58"/>
    </x:row>
    <x:row r="66">
      <x:c r="A66"/>
      <x:c r="B66"/>
      <x:c r="C66"/>
      <x:c r="D66"/>
      <x:c r="E66"/>
      <x:c r="F66"/>
      <x:c r="G66"/>
      <x:c r="H66"/>
      <x:c r="I66"/>
      <x:c r="J66"/>
    </x:row>
    <x:row r="67">
      <x:c r="A67"/>
      <x:c r="B67"/>
      <x:c r="C67"/>
      <x:c r="D67"/>
      <x:c r="E67"/>
      <x:c r="F67"/>
      <x:c r="G67"/>
      <x:c r="H67"/>
      <x:c r="I67"/>
      <x:c r="J67"/>
    </x:row>
    <x:row r="68" ht="24" customHeight="1">
      <x:c r="A68" s="40" t="str">
        <x:v>F. Release / Completion 证据引用</x:v>
      </x:c>
      <x:c r="B68" s="40"/>
      <x:c r="C68" s="40"/>
      <x:c r="D68" s="40"/>
      <x:c r="E68" s="40"/>
      <x:c r="F68" s="40"/>
      <x:c r="G68" s="40"/>
      <x:c r="H68" s="40"/>
      <x:c r="I68" s="40"/>
      <x:c r="J68" s="40"/>
    </x:row>
    <x:row r="69" ht="28" customHeight="1">
      <x:c r="A69" s="50" t="str">
        <x:v>主题</x:v>
      </x:c>
      <x:c r="B69" s="50" t="str">
        <x:v>唯一权威</x:v>
      </x:c>
      <x:c r="C69" s="50" t="str">
        <x:v>Playbook规则</x:v>
      </x:c>
      <x:c r="D69" s="50"/>
      <x:c r="E69" s="50"/>
      <x:c r="F69" s="50"/>
      <x:c r="G69" s="50"/>
      <x:c r="H69" s="50"/>
      <x:c r="I69" s="50"/>
      <x:c r="J69" s="50"/>
    </x:row>
    <x:row r="70">
      <x:c r="A70" s="66" t="str">
        <x:v>发布/完成证据</x:v>
      </x:c>
      <x:c r="B70" s="66" t="str">
        <x:v>26_Graph平台测试与架构门禁</x:v>
      </x:c>
      <x:c r="C70" s="66" t="str">
        <x:v>本页不复制RC证据清单；开发者按26准备Build/Architecture/UI/Integration/Fault/Perf/Soak/Docs证据</x:v>
      </x:c>
      <x:c r="D70" s="66"/>
      <x:c r="E70" s="66"/>
      <x:c r="F70" s="66"/>
      <x:c r="G70" s="66"/>
      <x:c r="H70" s="66"/>
      <x:c r="I70" s="66"/>
      <x:c r="J70" s="66"/>
    </x:row>
    <x:row r="71">
      <x:c r="A71" s="58" t="str">
        <x:v>真实状态</x:v>
      </x:c>
      <x:c r="B71" s="58" t="str">
        <x:v>41_开发追踪矩阵</x:v>
      </x:c>
      <x:c r="C71" s="58" t="str">
        <x:v>DoD证据齐全后才能把Status改为已完成</x:v>
      </x:c>
      <x:c r="D71" s="58"/>
      <x:c r="E71" s="58"/>
      <x:c r="F71" s="58"/>
      <x:c r="G71" s="58"/>
      <x:c r="H71" s="58"/>
      <x:c r="I71" s="58"/>
      <x:c r="J71" s="58"/>
    </x:row>
  </x:sheetData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42" hidden="0" customWidth="1"/>
    <x:col min="4" max="4" width="38" hidden="0" customWidth="1"/>
    <x:col min="5" max="5" width="28" hidden="0" customWidth="1"/>
    <x:col min="6" max="6" width="24" hidden="0" customWidth="1"/>
    <x:col min="7" max="7" width="20" hidden="0" customWidth="1"/>
    <x:col min="8" max="8" width="16" hidden="0" customWidth="1"/>
    <x:col min="9" max="9" width="24" hidden="0" customWidth="1"/>
  </x:cols>
  <x:sheetData>
    <x:row r="1" ht="30" customHeight="1">
      <x:c r="A1" s="137" t="str">
        <x:v>CxVisual V6.4 — 统一术语与正式代码名</x:v>
      </x:c>
      <x:c r="B1" s="137"/>
      <x:c r="C1" s="137"/>
      <x:c r="D1" s="137"/>
      <x:c r="E1" s="137"/>
      <x:c r="F1" s="137"/>
      <x:c r="G1" s="137"/>
      <x:c r="H1" s="137"/>
      <x:c r="I1" s="137"/>
    </x:row>
    <x:row r="2" ht="38" customHeight="1">
      <x:c r="A2" s="16" t="str">
        <x:v>Platform、6 Workbenches、Resource/Runtime/Provider、Automation/ICS/SCADA/Motion、Variable、Simulation、Invocation等唯一术语字典；历史Domain/家族叫法若冲突，以本页和03为准。</x:v>
      </x:c>
      <x:c r="B2" s="16"/>
      <x:c r="C2" s="16"/>
      <x:c r="D2" s="16"/>
      <x:c r="E2" s="16"/>
      <x:c r="F2" s="16"/>
      <x:c r="G2" s="16"/>
      <x:c r="H2" s="16"/>
      <x:c r="I2" s="16"/>
    </x:row>
    <x:row r="3">
      <x:c r="A3" s="30" t="str">
        <x:v>本页唯一权威</x:v>
      </x:c>
      <x:c r="B3" s="31" t="str">
        <x:v>正式名、英文/代码名、定义、禁止误解、主要对象、所属层。</x:v>
      </x:c>
      <x:c r="C3" s="31"/>
      <x:c r="D3" s="31"/>
      <x:c r="E3" s="31"/>
      <x:c r="F3" s="31"/>
      <x:c r="G3" s="31"/>
      <x:c r="H3" s="31"/>
      <x:c r="I3" s="31"/>
    </x:row>
    <x:row r="4">
      <x:c r="A4" s="30" t="str">
        <x:v>不在本页维护</x:v>
      </x:c>
      <x:c r="B4" s="31" t="str">
        <x:v>文档导航（见00）、功能定义（见02）、Domain设计细节。</x:v>
      </x:c>
      <x:c r="C4" s="31"/>
      <x:c r="D4" s="31"/>
      <x:c r="E4" s="31"/>
      <x:c r="F4" s="31"/>
      <x:c r="G4" s="31"/>
      <x:c r="H4" s="31"/>
      <x:c r="I4" s="31"/>
    </x:row>
    <x:row r="5">
      <x:c r="A5" s="30" t="str">
        <x:v>关联分页</x:v>
      </x:c>
      <x:c r="B5" s="31" t="str">
        <x:v>00/02/03；17/18；27~39；46/50；49_V6.4同步审计。</x:v>
      </x:c>
      <x:c r="C5" s="31"/>
      <x:c r="D5" s="31"/>
      <x:c r="E5" s="31"/>
      <x:c r="F5" s="31"/>
      <x:c r="G5" s="31"/>
      <x:c r="H5" s="31"/>
      <x:c r="I5" s="31"/>
    </x:row>
    <x:row r="6">
      <x:c r="A6"/>
      <x:c r="B6"/>
      <x:c r="C6"/>
      <x:c r="D6"/>
      <x:c r="E6"/>
      <x:c r="F6"/>
      <x:c r="G6"/>
      <x:c r="H6"/>
      <x:c r="I6"/>
    </x:row>
    <x:row r="7" ht="24" customHeight="1">
      <x:c r="A7" s="40" t="str">
        <x:v>A. 平台与架构术语</x:v>
      </x:c>
      <x:c r="B7" s="40"/>
      <x:c r="C7" s="40"/>
      <x:c r="D7" s="40"/>
      <x:c r="E7" s="40"/>
      <x:c r="F7" s="40"/>
      <x:c r="G7" s="40"/>
      <x:c r="H7" s="40"/>
      <x:c r="I7" s="40"/>
    </x:row>
    <x:row r="8" ht="28" customHeight="1">
      <x:c r="A8" s="50" t="str">
        <x:v>正式名</x:v>
      </x:c>
      <x:c r="B8" s="50" t="str">
        <x:v>英文/代码名</x:v>
      </x:c>
      <x:c r="C8" s="50" t="str">
        <x:v>定义</x:v>
      </x:c>
      <x:c r="D8" s="50" t="str">
        <x:v>不要混用/误解</x:v>
      </x:c>
      <x:c r="E8" s="50" t="str">
        <x:v>主要对象</x:v>
      </x:c>
      <x:c r="F8" s="50" t="str">
        <x:v>关键页</x:v>
      </x:c>
      <x:c r="G8" s="50" t="str">
        <x:v>所属层</x:v>
      </x:c>
      <x:c r="H8" s="50" t="str">
        <x:v>稳定性</x:v>
      </x:c>
      <x:c r="I8" s="50" t="str">
        <x:v>备注</x:v>
      </x:c>
    </x:row>
    <x:row r="9">
      <x:c r="A9" s="58" t="str">
        <x:v>Visual Model</x:v>
      </x:c>
      <x:c r="B9" s="58" t="str">
        <x:v>Visual Model</x:v>
      </x:c>
      <x:c r="C9" s="58" t="str">
        <x:v>显示/交互对象主轴：Page/Element/Symbol等</x:v>
      </x:c>
      <x:c r="D9" s="58" t="str">
        <x:v>不要把业务流程塞Element</x:v>
      </x:c>
      <x:c r="E9" s="58" t="str">
        <x:v>Page/Element/Symbol</x:v>
      </x:c>
      <x:c r="F9" s="58" t="str">
        <x:v>00/03/26</x:v>
      </x:c>
      <x:c r="G9" s="58" t="str">
        <x:v>Platform</x:v>
      </x:c>
      <x:c r="H9" s="58" t="str">
        <x:v>高</x:v>
      </x:c>
      <x:c r="I9" s="58"/>
    </x:row>
    <x:row r="10">
      <x:c r="A10" s="66" t="str">
        <x:v>Execution Model</x:v>
      </x:c>
      <x:c r="B10" s="66" t="str">
        <x:v>Execution Model</x:v>
      </x:c>
      <x:c r="C10" s="66" t="str">
        <x:v>执行/编排对象主轴：Graph/Node/Port/Connection/Workflow</x:v>
      </x:c>
      <x:c r="D10" s="66" t="str">
        <x:v>不要把UI控件塞Graph</x:v>
      </x:c>
      <x:c r="E10" s="66" t="str">
        <x:v>GraphDefinition</x:v>
      </x:c>
      <x:c r="F10" s="66" t="str">
        <x:v>00/29/38</x:v>
      </x:c>
      <x:c r="G10" s="66" t="str">
        <x:v>Platform</x:v>
      </x:c>
      <x:c r="H10" s="66" t="str">
        <x:v>高</x:v>
      </x:c>
      <x:c r="I10" s="66"/>
    </x:row>
    <x:row r="11">
      <x:c r="A11" s="58" t="str">
        <x:v>Definition</x:v>
      </x:c>
      <x:c r="B11" s="58" t="str">
        <x:v>Definition</x:v>
      </x:c>
      <x:c r="C11" s="58" t="str">
        <x:v>可持久化、可版本化的设计态定义</x:v>
      </x:c>
      <x:c r="D11" s="58" t="str">
        <x:v>不是Runtime状态/Handle</x:v>
      </x:c>
      <x:c r="E11" s="58" t="str">
        <x:v>*Definition/*Program/*Pipeline/*Flow</x:v>
      </x:c>
      <x:c r="F11" s="58" t="str">
        <x:v>13/38/57</x:v>
      </x:c>
      <x:c r="G11" s="58" t="str">
        <x:v>Core</x:v>
      </x:c>
      <x:c r="H11" s="58" t="str">
        <x:v>高</x:v>
      </x:c>
      <x:c r="I11" s="58"/>
    </x:row>
    <x:row r="12">
      <x:c r="A12" s="66" t="str">
        <x:v>Resolved Model</x:v>
      </x:c>
      <x:c r="B12" s="66" t="str">
        <x:v>ResolvedGraph/ResolvedProfile</x:v>
      </x:c>
      <x:c r="C12" s="66" t="str">
        <x:v>把版本/引用/资源/Capability解析后的定义</x:v>
      </x:c>
      <x:c r="D12" s="66" t="str">
        <x:v>不是最终Runtime状态</x:v>
      </x:c>
      <x:c r="E12" s="66" t="str">
        <x:v>ResolvedGraph/ResolvedRuntimeProfile</x:v>
      </x:c>
      <x:c r="F12" s="66" t="str">
        <x:v>29/36/38</x:v>
      </x:c>
      <x:c r="G12" s="66" t="str">
        <x:v>Resolve</x:v>
      </x:c>
      <x:c r="H12" s="66" t="str">
        <x:v>高</x:v>
      </x:c>
      <x:c r="I12" s="66"/>
    </x:row>
    <x:row r="13">
      <x:c r="A13" s="58" t="str">
        <x:v>ExecutionPlan</x:v>
      </x:c>
      <x:c r="B13" s="58" t="str">
        <x:v>Execution Plan</x:v>
      </x:c>
      <x:c r="C13" s="58" t="str">
        <x:v>Compile后不可变运行计划</x:v>
      </x:c>
      <x:c r="D13" s="58" t="str">
        <x:v>不是Design Model</x:v>
      </x:c>
      <x:c r="E13" s="58" t="str">
        <x:v>MotionPlan/VisionPlan/...</x:v>
      </x:c>
      <x:c r="F13" s="58" t="str">
        <x:v>29/38/49</x:v>
      </x:c>
      <x:c r="G13" s="58" t="str">
        <x:v>Compiler</x:v>
      </x:c>
      <x:c r="H13" s="58" t="str">
        <x:v>高</x:v>
      </x:c>
      <x:c r="I13" s="58"/>
    </x:row>
    <x:row r="14">
      <x:c r="A14" s="66" t="str">
        <x:v>Runtime Session</x:v>
      </x:c>
      <x:c r="B14" s="66" t="str">
        <x:v>Runtime Session</x:v>
      </x:c>
      <x:c r="C14" s="66" t="str">
        <x:v>一次Program/Pipeline/Task/Job运行状态容器</x:v>
      </x:c>
      <x:c r="D14" s="66" t="str">
        <x:v>不持久化回Project</x:v>
      </x:c>
      <x:c r="E14" s="66" t="str">
        <x:v>MotionRuntimeSession等</x:v>
      </x:c>
      <x:c r="F14" s="66" t="str">
        <x:v>15/38/49</x:v>
      </x:c>
      <x:c r="G14" s="66" t="str">
        <x:v>Runtime</x:v>
      </x:c>
      <x:c r="H14" s="66" t="str">
        <x:v>高</x:v>
      </x:c>
      <x:c r="I14" s="66"/>
    </x:row>
    <x:row r="15">
      <x:c r="A15" s="58" t="str">
        <x:v>Domain Runtime</x:v>
      </x:c>
      <x:c r="B15" s="58" t="str">
        <x:v>Domain Runtime</x:v>
      </x:c>
      <x:c r="C15" s="58" t="str">
        <x:v>Motion/Vision/Inspection等各自执行引擎</x:v>
      </x:c>
      <x:c r="D15" s="58" t="str">
        <x:v>不是万能Runtime</x:v>
      </x:c>
      <x:c r="E15" s="58" t="str">
        <x:v>MotionRuntime/VisionRuntime/...</x:v>
      </x:c>
      <x:c r="F15" s="58" t="str">
        <x:v>15/25/38</x:v>
      </x:c>
      <x:c r="G15" s="58" t="str">
        <x:v>Runtime</x:v>
      </x:c>
      <x:c r="H15" s="58" t="str">
        <x:v>高</x:v>
      </x:c>
      <x:c r="I15" s="58"/>
    </x:row>
    <x:row r="16">
      <x:c r="A16" s="66" t="str">
        <x:v>Adapter</x:v>
      </x:c>
      <x:c r="B16" s="66" t="str">
        <x:v>Adapter</x:v>
      </x:c>
      <x:c r="C16" s="66" t="str">
        <x:v>平台Contract到Vendor/外部系统的防腐层</x:v>
      </x:c>
      <x:c r="D16" s="66" t="str">
        <x:v>不是Core中的Vendor wrapper对象</x:v>
      </x:c>
      <x:c r="E16" s="66" t="str">
        <x:v>Motion/Camera/MES Adapter</x:v>
      </x:c>
      <x:c r="F16" s="66" t="str">
        <x:v>35/49/57</x:v>
      </x:c>
      <x:c r="G16" s="66" t="str">
        <x:v>Integration</x:v>
      </x:c>
      <x:c r="H16" s="66" t="str">
        <x:v>高</x:v>
      </x:c>
      <x:c r="I16" s="66"/>
    </x:row>
    <x:row r="17">
      <x:c r="A17" s="58" t="str">
        <x:v>Worker</x:v>
      </x:c>
      <x:c r="B17" s="58" t="str">
        <x:v>Worker</x:v>
      </x:c>
      <x:c r="C17" s="58" t="str">
        <x:v>用于Native/GPU/高风险任务的隔离执行进程</x:v>
      </x:c>
      <x:c r="D17" s="58" t="str">
        <x:v>不是所有模块都微服务化</x:v>
      </x:c>
      <x:c r="E17" s="58" t="str">
        <x:v>Vision/CT Worker</x:v>
      </x:c>
      <x:c r="F17" s="58" t="str">
        <x:v>36/42/50</x:v>
      </x:c>
      <x:c r="G17" s="58" t="str">
        <x:v>Integration</x:v>
      </x:c>
      <x:c r="H17" s="58" t="str">
        <x:v>中高</x:v>
      </x:c>
      <x:c r="I17" s="58"/>
    </x:row>
    <x:row r="18">
      <x:c r="A18" s="66" t="str">
        <x:v>Management Plane</x:v>
      </x:c>
      <x:c r="B18" s="66" t="str">
        <x:v>Management Plane</x:v>
      </x:c>
      <x:c r="C18" s="66" t="str">
        <x:v>Fleet/Deployment/Remote Ops集中管理面</x:v>
      </x:c>
      <x:c r="D18" s="66" t="str">
        <x:v>不能成为生产Runtime依赖</x:v>
      </x:c>
      <x:c r="E18" s="66" t="str">
        <x:v>Operations Center</x:v>
      </x:c>
      <x:c r="F18" s="66" t="str">
        <x:v>49/54/55</x:v>
      </x:c>
      <x:c r="G18" s="66" t="str">
        <x:v>Operations</x:v>
      </x:c>
      <x:c r="H18" s="66" t="str">
        <x:v>高</x:v>
      </x:c>
      <x:c r="I18" s="66"/>
    </x:row>
    <x:row r="19">
      <x:c r="A19" s="58" t="str">
        <x:v>Engineering Plane</x:v>
      </x:c>
      <x:c r="B19" s="58" t="str">
        <x:v>Engineering Plane</x:v>
      </x:c>
      <x:c r="C19" s="58" t="str">
        <x:v>Studio设计/调试/发布环境</x:v>
      </x:c>
      <x:c r="D19" s="58" t="str">
        <x:v>不是生产运行必要进程</x:v>
      </x:c>
      <x:c r="E19" s="58" t="str">
        <x:v>CxVisual Studio</x:v>
      </x:c>
      <x:c r="F19" s="58" t="str">
        <x:v>49</x:v>
      </x:c>
      <x:c r="G19" s="58" t="str">
        <x:v>Studio</x:v>
      </x:c>
      <x:c r="H19" s="58" t="str">
        <x:v>高</x:v>
      </x:c>
      <x:c r="I19" s="58"/>
    </x:row>
    <x:row r="20">
      <x:c r="A20" s="66" t="str">
        <x:v>Runtime Plane</x:v>
      </x:c>
      <x:c r="B20" s="66" t="str">
        <x:v>Runtime Plane</x:v>
      </x:c>
      <x:c r="C20" s="66" t="str">
        <x:v>设备本地自治运行面</x:v>
      </x:c>
      <x:c r="D20" s="66" t="str">
        <x:v>不能依赖Studio/中心实时在线</x:v>
      </x:c>
      <x:c r="E20" s="66" t="str">
        <x:v>Runtime Host/Workers</x:v>
      </x:c>
      <x:c r="F20" s="66" t="str">
        <x:v>49/54</x:v>
      </x:c>
      <x:c r="G20" s="66" t="str">
        <x:v>Runtime</x:v>
      </x:c>
      <x:c r="H20" s="66" t="str">
        <x:v>高</x:v>
      </x:c>
      <x:c r="I20" s="66"/>
    </x:row>
    <x:row r="21">
      <x:c r="A21"/>
      <x:c r="B21"/>
      <x:c r="C21"/>
      <x:c r="D21"/>
      <x:c r="E21"/>
      <x:c r="F21"/>
      <x:c r="G21"/>
      <x:c r="H21"/>
      <x:c r="I21"/>
    </x:row>
    <x:row r="22" ht="24" customHeight="1">
      <x:c r="A22" s="40" t="str">
        <x:v>B. Graph / 数据 / 资源术语</x:v>
      </x:c>
      <x:c r="B22" s="40"/>
      <x:c r="C22" s="40"/>
      <x:c r="D22" s="40"/>
      <x:c r="E22" s="40"/>
      <x:c r="F22" s="40"/>
      <x:c r="G22" s="40"/>
      <x:c r="H22" s="40"/>
      <x:c r="I22" s="40"/>
    </x:row>
    <x:row r="23" ht="28" customHeight="1">
      <x:c r="A23" s="50" t="str">
        <x:v>正式名</x:v>
      </x:c>
      <x:c r="B23" s="50" t="str">
        <x:v>英文/代码名</x:v>
      </x:c>
      <x:c r="C23" s="50" t="str">
        <x:v>定义</x:v>
      </x:c>
      <x:c r="D23" s="50" t="str">
        <x:v>不要混用/误解</x:v>
      </x:c>
      <x:c r="E23" s="50" t="str">
        <x:v>主要对象</x:v>
      </x:c>
      <x:c r="F23" s="50" t="str">
        <x:v>关键页</x:v>
      </x:c>
      <x:c r="G23" s="50" t="str">
        <x:v>所属层</x:v>
      </x:c>
      <x:c r="H23" s="50" t="str">
        <x:v>稳定性</x:v>
      </x:c>
      <x:c r="I23" s="50" t="str">
        <x:v>备注</x:v>
      </x:c>
    </x:row>
    <x:row r="24">
      <x:c r="A24" s="58" t="str">
        <x:v>GraphKind</x:v>
      </x:c>
      <x:c r="B24" s="58" t="str">
        <x:v>GraphKind</x:v>
      </x:c>
      <x:c r="C24" s="58" t="str">
        <x:v>Graph所属执行语义类型</x:v>
      </x:c>
      <x:c r="D24" s="58" t="str">
        <x:v>不要靠类名猜Runtime</x:v>
      </x:c>
      <x:c r="E24" s="58" t="str">
        <x:v>motion/vision/inspection等</x:v>
      </x:c>
      <x:c r="F24" s="58" t="str">
        <x:v>29/38</x:v>
      </x:c>
      <x:c r="G24" s="58" t="str">
        <x:v>Graph</x:v>
      </x:c>
      <x:c r="H24" s="58" t="str">
        <x:v>高</x:v>
      </x:c>
      <x:c r="I24" s="58"/>
    </x:row>
    <x:row r="25">
      <x:c r="A25" s="66" t="str">
        <x:v>NodeTypeId</x:v>
      </x:c>
      <x:c r="B25" s="66" t="str">
        <x:v>NodeTypeId</x:v>
      </x:c>
      <x:c r="C25" s="66" t="str">
        <x:v>节点类型稳定标识</x:v>
      </x:c>
      <x:c r="D25" s="66" t="str">
        <x:v>不可随CLR类名重构改变</x:v>
      </x:c>
      <x:c r="E25" s="66" t="str">
        <x:v>Descriptor key</x:v>
      </x:c>
      <x:c r="F25" s="66" t="str">
        <x:v>29/57</x:v>
      </x:c>
      <x:c r="G25" s="66" t="str">
        <x:v>Metadata</x:v>
      </x:c>
      <x:c r="H25" s="66" t="str">
        <x:v>高</x:v>
      </x:c>
      <x:c r="I25" s="66"/>
    </x:row>
    <x:row r="26">
      <x:c r="A26" s="58" t="str">
        <x:v>Typed Port</x:v>
      </x:c>
      <x:c r="B26" s="58" t="str">
        <x:v>Typed Port</x:v>
      </x:c>
      <x:c r="C26" s="58" t="str">
        <x:v>有Direction/DataType/Cardinality约束的Graph端口</x:v>
      </x:c>
      <x:c r="D26" s="58" t="str">
        <x:v>不是object万能连接</x:v>
      </x:c>
      <x:c r="E26" s="58" t="str">
        <x:v>GraphPortModel</x:v>
      </x:c>
      <x:c r="F26" s="58" t="str">
        <x:v>29/30</x:v>
      </x:c>
      <x:c r="G26" s="58" t="str">
        <x:v>Graph</x:v>
      </x:c>
      <x:c r="H26" s="58" t="str">
        <x:v>高</x:v>
      </x:c>
      <x:c r="I26" s="58"/>
    </x:row>
    <x:row r="27">
      <x:c r="A27" s="66" t="str">
        <x:v>DataValue</x:v>
      </x:c>
      <x:c r="B27" s="66" t="str">
        <x:v>DataValue&lt;T&gt;</x:v>
      </x:c>
      <x:c r="C27" s="66" t="str">
        <x:v>Value+Quality+Timestamp+Source+Correlation动态值语义</x:v>
      </x:c>
      <x:c r="D27" s="66" t="str">
        <x:v>不要用null表示BadQuality</x:v>
      </x:c>
      <x:c r="E27" s="66" t="str">
        <x:v>DataValue&lt;T&gt;</x:v>
      </x:c>
      <x:c r="F27" s="66" t="str">
        <x:v>30</x:v>
      </x:c>
      <x:c r="G27" s="66" t="str">
        <x:v>Abstraction</x:v>
      </x:c>
      <x:c r="H27" s="66" t="str">
        <x:v>高</x:v>
      </x:c>
      <x:c r="I27" s="66"/>
    </x:row>
    <x:row r="28">
      <x:c r="A28" s="58" t="str">
        <x:v>DataHandle</x:v>
      </x:c>
      <x:c r="B28" s="58" t="str">
        <x:v>Data Handle</x:v>
      </x:c>
      <x:c r="C28" s="58" t="str">
        <x:v>大对象运行期引用/租约，不直接复制数据</x:v>
      </x:c>
      <x:c r="D28" s="58" t="str">
        <x:v>不是可长期持久化的工程对象</x:v>
      </x:c>
      <x:c r="E28" s="58" t="str">
        <x:v>VisionDataHandle/VolumeDataHandle</x:v>
      </x:c>
      <x:c r="F28" s="58" t="str">
        <x:v>30/42/50</x:v>
      </x:c>
      <x:c r="G28" s="58" t="str">
        <x:v>Runtime</x:v>
      </x:c>
      <x:c r="H28" s="58" t="str">
        <x:v>高</x:v>
      </x:c>
      <x:c r="I28" s="58"/>
    </x:row>
    <x:row r="29">
      <x:c r="A29" s="66" t="str">
        <x:v>ArtifactRef</x:v>
      </x:c>
      <x:c r="B29" s="66" t="str">
        <x:v>Artifact Reference</x:v>
      </x:c>
      <x:c r="C29" s="66" t="str">
        <x:v>指向图像/Volume/Mesh/日志包等持久化大对象</x:v>
      </x:c>
      <x:c r="D29" s="66" t="str">
        <x:v>不是把大对象Base64塞JSON</x:v>
      </x:c>
      <x:c r="E29" s="66" t="str">
        <x:v>ArtifactRef</x:v>
      </x:c>
      <x:c r="F29" s="66" t="str">
        <x:v>42/50/54</x:v>
      </x:c>
      <x:c r="G29" s="66" t="str">
        <x:v>Storage</x:v>
      </x:c>
      <x:c r="H29" s="66" t="str">
        <x:v>高</x:v>
      </x:c>
      <x:c r="I29" s="66"/>
    </x:row>
    <x:row r="30">
      <x:c r="A30" s="58" t="str">
        <x:v>ResourceDefinition</x:v>
      </x:c>
      <x:c r="B30" s="58" t="str">
        <x:v>ResourceDefinition</x:v>
      </x:c>
      <x:c r="C30" s="58" t="str">
        <x:v>Axis/GPU/Camera/Robot/Station等可调度资源定义</x:v>
      </x:c>
      <x:c r="D30" s="58" t="str">
        <x:v>不是Vendor对象</x:v>
      </x:c>
      <x:c r="E30" s="58" t="str">
        <x:v>ResourceDefinition</x:v>
      </x:c>
      <x:c r="F30" s="58" t="str">
        <x:v>35</x:v>
      </x:c>
      <x:c r="G30" s="58" t="str">
        <x:v>Runtime</x:v>
      </x:c>
      <x:c r="H30" s="58" t="str">
        <x:v>高</x:v>
      </x:c>
      <x:c r="I30" s="58"/>
    </x:row>
    <x:row r="31">
      <x:c r="A31" s="66" t="str">
        <x:v>ResourceRequirement</x:v>
      </x:c>
      <x:c r="B31" s="66" t="str">
        <x:v>ResourceRequirement</x:v>
      </x:c>
      <x:c r="C31" s="66" t="str">
        <x:v>Node/Program/Task对资源的需求声明</x:v>
      </x:c>
      <x:c r="D31" s="66" t="str">
        <x:v>不是运行时lock本身</x:v>
      </x:c>
      <x:c r="E31" s="66" t="str">
        <x:v>ResourceRequirement</x:v>
      </x:c>
      <x:c r="F31" s="66" t="str">
        <x:v>35</x:v>
      </x:c>
      <x:c r="G31" s="66" t="str">
        <x:v>Compile</x:v>
      </x:c>
      <x:c r="H31" s="66" t="str">
        <x:v>高</x:v>
      </x:c>
      <x:c r="I31" s="66"/>
    </x:row>
    <x:row r="32">
      <x:c r="A32" s="58" t="str">
        <x:v>ResourceLease</x:v>
      </x:c>
      <x:c r="B32" s="58" t="str">
        <x:v>ResourceLease</x:v>
      </x:c>
      <x:c r="C32" s="58" t="str">
        <x:v>Runtime对共享资源的受控占用句柄</x:v>
      </x:c>
      <x:c r="D32" s="58" t="str">
        <x:v>必须可释放/超时/诊断</x:v>
      </x:c>
      <x:c r="E32" s="58" t="str">
        <x:v>ResourceLease</x:v>
      </x:c>
      <x:c r="F32" s="58" t="str">
        <x:v>35</x:v>
      </x:c>
      <x:c r="G32" s="58" t="str">
        <x:v>Runtime</x:v>
      </x:c>
      <x:c r="H32" s="58" t="str">
        <x:v>高</x:v>
      </x:c>
      <x:c r="I32" s="58"/>
    </x:row>
    <x:row r="33">
      <x:c r="A33" s="66" t="str">
        <x:v>CorrelationId</x:v>
      </x:c>
      <x:c r="B33" s="66" t="str">
        <x:v>CorrelationId</x:v>
      </x:c>
      <x:c r="C33" s="66" t="str">
        <x:v>跨Task/Run/Node/Device/External operation的链路标识</x:v>
      </x:c>
      <x:c r="D33" s="66" t="str">
        <x:v>不要靠时间戳人工对日志</x:v>
      </x:c>
      <x:c r="E33" s="66" t="str">
        <x:v>CorrelationContext</x:v>
      </x:c>
      <x:c r="F33" s="66" t="str">
        <x:v>34/39/46</x:v>
      </x:c>
      <x:c r="G33" s="66" t="str">
        <x:v>Diagnostics</x:v>
      </x:c>
      <x:c r="H33" s="66" t="str">
        <x:v>高</x:v>
      </x:c>
      <x:c r="I33" s="66"/>
    </x:row>
    <x:row r="34">
      <x:c r="A34"/>
      <x:c r="B34"/>
      <x:c r="C34"/>
      <x:c r="D34"/>
      <x:c r="E34"/>
      <x:c r="F34"/>
      <x:c r="G34"/>
      <x:c r="H34"/>
      <x:c r="I34"/>
    </x:row>
    <x:row r="35" ht="24" customHeight="1">
      <x:c r="A35" s="40" t="str">
        <x:v>C. Online Debug术语</x:v>
      </x:c>
      <x:c r="B35" s="40"/>
      <x:c r="C35" s="40"/>
      <x:c r="D35" s="40"/>
      <x:c r="E35" s="40"/>
      <x:c r="F35" s="40"/>
      <x:c r="G35" s="40"/>
      <x:c r="H35" s="40"/>
      <x:c r="I35" s="40"/>
    </x:row>
    <x:row r="36" ht="28" customHeight="1">
      <x:c r="A36" s="50" t="str">
        <x:v>正式名</x:v>
      </x:c>
      <x:c r="B36" s="50" t="str">
        <x:v>英文/代码名</x:v>
      </x:c>
      <x:c r="C36" s="50" t="str">
        <x:v>定义</x:v>
      </x:c>
      <x:c r="D36" s="50" t="str">
        <x:v>不要混用/误解</x:v>
      </x:c>
      <x:c r="E36" s="50" t="str">
        <x:v>主要对象</x:v>
      </x:c>
      <x:c r="F36" s="50" t="str">
        <x:v>关键页</x:v>
      </x:c>
      <x:c r="G36" s="50" t="str">
        <x:v>所属层</x:v>
      </x:c>
      <x:c r="H36" s="50" t="str">
        <x:v>稳定性</x:v>
      </x:c>
      <x:c r="I36" s="50" t="str">
        <x:v>备注</x:v>
      </x:c>
    </x:row>
    <x:row r="37">
      <x:c r="A37" s="58" t="str">
        <x:v>Debug Session</x:v>
      </x:c>
      <x:c r="B37" s="58" t="str">
        <x:v>DebugSession</x:v>
      </x:c>
      <x:c r="C37" s="58" t="str">
        <x:v>一次统一调试会话</x:v>
      </x:c>
      <x:c r="D37" s="58" t="str">
        <x:v>不是Domain业务Session本身</x:v>
      </x:c>
      <x:c r="E37" s="58" t="str">
        <x:v>DebugSession</x:v>
      </x:c>
      <x:c r="F37" s="58" t="str">
        <x:v>34/39</x:v>
      </x:c>
      <x:c r="G37" s="58" t="str">
        <x:v>Debug</x:v>
      </x:c>
      <x:c r="H37" s="58" t="str">
        <x:v>高</x:v>
      </x:c>
      <x:c r="I37" s="58"/>
    </x:row>
    <x:row r="38">
      <x:c r="A38" s="66" t="str">
        <x:v>Runtime Debug Agent</x:v>
      </x:c>
      <x:c r="B38" s="66" t="str">
        <x:v>RuntimeDebugAgent</x:v>
      </x:c>
      <x:c r="C38" s="66" t="str">
        <x:v>Runtime Station暴露安全调试协议的Target端组件</x:v>
      </x:c>
      <x:c r="D38" s="66" t="str">
        <x:v>Studio不能绕过它直连设备</x:v>
      </x:c>
      <x:c r="E38" s="66" t="str">
        <x:v>RuntimeDebugAgent</x:v>
      </x:c>
      <x:c r="F38" s="66" t="str">
        <x:v>39/55</x:v>
      </x:c>
      <x:c r="G38" s="66" t="str">
        <x:v>Debug</x:v>
      </x:c>
      <x:c r="H38" s="66" t="str">
        <x:v>高</x:v>
      </x:c>
      <x:c r="I38" s="66"/>
    </x:row>
    <x:row r="39">
      <x:c r="A39" s="58" t="str">
        <x:v>Domain Debug Adapter</x:v>
      </x:c>
      <x:c r="B39" s="58" t="str">
        <x:v>IDomainDebugAdapter</x:v>
      </x:c>
      <x:c r="C39" s="58" t="str">
        <x:v>统一Debug命令到Motion/Vision/Inspection等语义的适配器</x:v>
      </x:c>
      <x:c r="D39" s="58" t="str">
        <x:v>不是万能Executor</x:v>
      </x:c>
      <x:c r="E39" s="58" t="str">
        <x:v>MotionDebugAdapter等</x:v>
      </x:c>
      <x:c r="F39" s="58" t="str">
        <x:v>39/41/43/45</x:v>
      </x:c>
      <x:c r="G39" s="58" t="str">
        <x:v>Debug</x:v>
      </x:c>
      <x:c r="H39" s="58" t="str">
        <x:v>高</x:v>
      </x:c>
      <x:c r="I39" s="58"/>
    </x:row>
    <x:row r="40">
      <x:c r="A40" s="66" t="str">
        <x:v>Control Plane</x:v>
      </x:c>
      <x:c r="B40" s="66" t="str">
        <x:v>Control Plane</x:v>
      </x:c>
      <x:c r="C40" s="66" t="str">
        <x:v>可靠有Ack的调试控制通道</x:v>
      </x:c>
      <x:c r="D40" s="66" t="str">
        <x:v>不要与高频Telemetry混用</x:v>
      </x:c>
      <x:c r="E40" s="66" t="str">
        <x:v>IDebugControlChannel</x:v>
      </x:c>
      <x:c r="F40" s="66" t="str">
        <x:v>39</x:v>
      </x:c>
      <x:c r="G40" s="66" t="str">
        <x:v>Debug</x:v>
      </x:c>
      <x:c r="H40" s="66" t="str">
        <x:v>高</x:v>
      </x:c>
      <x:c r="I40" s="66"/>
    </x:row>
    <x:row r="41">
      <x:c r="A41" s="58" t="str">
        <x:v>Telemetry Plane</x:v>
      </x:c>
      <x:c r="B41" s="58" t="str">
        <x:v>Telemetry Plane</x:v>
      </x:c>
      <x:c r="C41" s="58" t="str">
        <x:v>有界、可采样的状态/Trace/Watch观测流</x:v>
      </x:c>
      <x:c r="D41" s="58" t="str">
        <x:v>不保证每条低优先级事件绝不丢</x:v>
      </x:c>
      <x:c r="E41" s="58" t="str">
        <x:v>IDebugTelemetryChannel</x:v>
      </x:c>
      <x:c r="F41" s="58" t="str">
        <x:v>39/55</x:v>
      </x:c>
      <x:c r="G41" s="58" t="str">
        <x:v>Debug</x:v>
      </x:c>
      <x:c r="H41" s="58" t="str">
        <x:v>高</x:v>
      </x:c>
      <x:c r="I41" s="58"/>
    </x:row>
    <x:row r="42">
      <x:c r="A42" s="66" t="str">
        <x:v>Artifact/Data Channel</x:v>
      </x:c>
      <x:c r="B42" s="66" t="str">
        <x:v>Artifact Channel</x:v>
      </x:c>
      <x:c r="C42" s="66" t="str">
        <x:v>Image/Volume等大对象按需传输通道</x:v>
      </x:c>
      <x:c r="D42" s="66" t="str">
        <x:v>不要把大图塞Telemetry</x:v>
      </x:c>
      <x:c r="E42" s="66" t="str">
        <x:v>IDebugArtifactChannel</x:v>
      </x:c>
      <x:c r="F42" s="66" t="str">
        <x:v>39/43/51/55</x:v>
      </x:c>
      <x:c r="G42" s="66" t="str">
        <x:v>Debug</x:v>
      </x:c>
      <x:c r="H42" s="66" t="str">
        <x:v>高</x:v>
      </x:c>
      <x:c r="I42" s="66"/>
    </x:row>
    <x:row r="43">
      <x:c r="A43" s="58" t="str">
        <x:v>Session Override</x:v>
      </x:c>
      <x:c r="B43" s="58" t="str">
        <x:v>Debug Override</x:v>
      </x:c>
      <x:c r="C43" s="58" t="str">
        <x:v>仅当前Debug Session生效的临时参数/模型/Context层</x:v>
      </x:c>
      <x:c r="D43" s="58" t="str">
        <x:v>不是直接修改Definition</x:v>
      </x:c>
      <x:c r="E43" s="58" t="str">
        <x:v>DebugOverrideStore</x:v>
      </x:c>
      <x:c r="F43" s="58" t="str">
        <x:v>39/41/43/45</x:v>
      </x:c>
      <x:c r="G43" s="58" t="str">
        <x:v>Debug</x:v>
      </x:c>
      <x:c r="H43" s="58" t="str">
        <x:v>高</x:v>
      </x:c>
      <x:c r="I43" s="58"/>
    </x:row>
    <x:row r="44">
      <x:c r="A44" s="66" t="str">
        <x:v>Promote</x:v>
      </x:c>
      <x:c r="B44" s="66" t="str">
        <x:v>Promote ChangeSet</x:v>
      </x:c>
      <x:c r="C44" s="66" t="str">
        <x:v>把确认有效的Override显式生成ChangeSet，再经Designer Command写工程</x:v>
      </x:c>
      <x:c r="D44" s="66" t="str">
        <x:v>不是Target直接写Project</x:v>
      </x:c>
      <x:c r="E44" s="66" t="str">
        <x:v>DebugChangeSet</x:v>
      </x:c>
      <x:c r="F44" s="66" t="str">
        <x:v>39/57</x:v>
      </x:c>
      <x:c r="G44" s="66" t="str">
        <x:v>Application</x:v>
      </x:c>
      <x:c r="H44" s="66" t="str">
        <x:v>高</x:v>
      </x:c>
      <x:c r="I44" s="66"/>
    </x:row>
    <x:row r="45">
      <x:c r="A45" s="58" t="str">
        <x:v>DetachedUnknown</x:v>
      </x:c>
      <x:c r="B45" s="58" t="str">
        <x:v>DetachedUnknown</x:v>
      </x:c>
      <x:c r="C45" s="58" t="str">
        <x:v>控制连接断开但Target真实状态未知</x:v>
      </x:c>
      <x:c r="D45" s="58" t="str">
        <x:v>不能假设已停止/成功</x:v>
      </x:c>
      <x:c r="E45" s="58" t="str">
        <x:v>DebugSessionState</x:v>
      </x:c>
      <x:c r="F45" s="58" t="str">
        <x:v>39/55</x:v>
      </x:c>
      <x:c r="G45" s="58" t="str">
        <x:v>Debug</x:v>
      </x:c>
      <x:c r="H45" s="58" t="str">
        <x:v>高</x:v>
      </x:c>
      <x:c r="I45" s="58"/>
    </x:row>
    <x:row r="46">
      <x:c r="A46" s="66" t="str">
        <x:v>Live Controlled</x:v>
      </x:c>
      <x:c r="B46" s="66" t="str">
        <x:v>Live Controlled Debug</x:v>
      </x:c>
      <x:c r="C46" s="66" t="str">
        <x:v>真实设备受控写调试模式</x:v>
      </x:c>
      <x:c r="D46" s="66" t="str">
        <x:v>不是生产默认模式</x:v>
      </x:c>
      <x:c r="E46" s="66" t="str">
        <x:v>DebugMode</x:v>
      </x:c>
      <x:c r="F46" s="66" t="str">
        <x:v>34/39</x:v>
      </x:c>
      <x:c r="G46" s="66" t="str">
        <x:v>Debug</x:v>
      </x:c>
      <x:c r="H46" s="66" t="str">
        <x:v>高</x:v>
      </x:c>
      <x:c r="I46" s="66"/>
    </x:row>
    <x:row r="47">
      <x:c r="A47" s="58" t="str">
        <x:v>Maintenance Mode</x:v>
      </x:c>
      <x:c r="B47" s="58" t="str">
        <x:v>Maintenance/Commissioning</x:v>
      </x:c>
      <x:c r="C47" s="58" t="str">
        <x:v>Jog/Teach/设备测试等受控维护模式</x:v>
      </x:c>
      <x:c r="D47" s="58" t="str">
        <x:v>不等于普通Debug</x:v>
      </x:c>
      <x:c r="E47" s="58" t="str">
        <x:v>Motion/Robot maintenance</x:v>
      </x:c>
      <x:c r="F47" s="58" t="str">
        <x:v>41/53</x:v>
      </x:c>
      <x:c r="G47" s="58" t="str">
        <x:v>Debug</x:v>
      </x:c>
      <x:c r="H47" s="58" t="str">
        <x:v>高</x:v>
      </x:c>
      <x:c r="I47" s="58"/>
    </x:row>
    <x:row r="48">
      <x:c r="A48"/>
      <x:c r="B48"/>
      <x:c r="C48"/>
      <x:c r="D48"/>
      <x:c r="E48"/>
      <x:c r="F48"/>
      <x:c r="G48"/>
      <x:c r="H48"/>
      <x:c r="I48"/>
    </x:row>
    <x:row r="49" ht="24" customHeight="1">
      <x:c r="A49" s="40" t="str">
        <x:v>D. Motion / Robot术语</x:v>
      </x:c>
      <x:c r="B49" s="40"/>
      <x:c r="C49" s="40"/>
      <x:c r="D49" s="40"/>
      <x:c r="E49" s="40"/>
      <x:c r="F49" s="40"/>
      <x:c r="G49" s="40"/>
      <x:c r="H49" s="40"/>
      <x:c r="I49" s="40"/>
    </x:row>
    <x:row r="50" ht="28" customHeight="1">
      <x:c r="A50" s="50" t="str">
        <x:v>正式名</x:v>
      </x:c>
      <x:c r="B50" s="50" t="str">
        <x:v>英文/代码名</x:v>
      </x:c>
      <x:c r="C50" s="50" t="str">
        <x:v>定义</x:v>
      </x:c>
      <x:c r="D50" s="50" t="str">
        <x:v>不要混用/误解</x:v>
      </x:c>
      <x:c r="E50" s="50" t="str">
        <x:v>主要对象</x:v>
      </x:c>
      <x:c r="F50" s="50" t="str">
        <x:v>关键页</x:v>
      </x:c>
      <x:c r="G50" s="50" t="str">
        <x:v>所属层</x:v>
      </x:c>
      <x:c r="H50" s="50" t="str">
        <x:v>稳定性</x:v>
      </x:c>
      <x:c r="I50" s="50" t="str">
        <x:v>备注</x:v>
      </x:c>
    </x:row>
    <x:row r="51">
      <x:c r="A51" s="66" t="str">
        <x:v>Motion Program</x:v>
      </x:c>
      <x:c r="B51" s="66" t="str">
        <x:v>MotionProgram</x:v>
      </x:c>
      <x:c r="C51" s="66" t="str">
        <x:v>设备动作控制流定义</x:v>
      </x:c>
      <x:c r="D51" s="66" t="str">
        <x:v>不是PLC实时程序替代</x:v>
      </x:c>
      <x:c r="E51" s="66" t="str">
        <x:v>MotionProgram</x:v>
      </x:c>
      <x:c r="F51" s="66" t="str">
        <x:v>31/40</x:v>
      </x:c>
      <x:c r="G51" s="66" t="str">
        <x:v>Motion</x:v>
      </x:c>
      <x:c r="H51" s="66" t="str">
        <x:v>高</x:v>
      </x:c>
      <x:c r="I51" s="66"/>
    </x:row>
    <x:row r="52">
      <x:c r="A52" s="58" t="str">
        <x:v>Point Table</x:v>
      </x:c>
      <x:c r="B52" s="58" t="str">
        <x:v>MotionPointTable</x:v>
      </x:c>
      <x:c r="C52" s="58" t="str">
        <x:v>工艺点/轴位置/坐标系/速度等版本化点位表</x:v>
      </x:c>
      <x:c r="D52" s="58" t="str">
        <x:v>不要Teach时直接写散落字段</x:v>
      </x:c>
      <x:c r="E52" s="58" t="str">
        <x:v>MotionPointTable</x:v>
      </x:c>
      <x:c r="F52" s="58" t="str">
        <x:v>40/41</x:v>
      </x:c>
      <x:c r="G52" s="58" t="str">
        <x:v>Motion</x:v>
      </x:c>
      <x:c r="H52" s="58" t="str">
        <x:v>高</x:v>
      </x:c>
      <x:c r="I52" s="58"/>
    </x:row>
    <x:row r="53">
      <x:c r="A53" s="66" t="str">
        <x:v>Coordinate System</x:v>
      </x:c>
      <x:c r="B53" s="66" t="str">
        <x:v>CoordinateSystem</x:v>
      </x:c>
      <x:c r="C53" s="66" t="str">
        <x:v>机器/产品/相机等坐标系及变换</x:v>
      </x:c>
      <x:c r="D53" s="66" t="str">
        <x:v>不要用WPF Matrix持久化</x:v>
      </x:c>
      <x:c r="E53" s="66" t="str">
        <x:v>CoordinateSystem</x:v>
      </x:c>
      <x:c r="F53" s="66" t="str">
        <x:v>40</x:v>
      </x:c>
      <x:c r="G53" s="66" t="str">
        <x:v>Motion</x:v>
      </x:c>
      <x:c r="H53" s="66" t="str">
        <x:v>高</x:v>
      </x:c>
      <x:c r="I53" s="66"/>
    </x:row>
    <x:row r="54">
      <x:c r="A54" s="58" t="str">
        <x:v>Interlock</x:v>
      </x:c>
      <x:c r="B54" s="58" t="str">
        <x:v>Interlock</x:v>
      </x:c>
      <x:c r="C54" s="58" t="str">
        <x:v>动作执行前必须评估的条件链</x:v>
      </x:c>
      <x:c r="D54" s="58" t="str">
        <x:v>不是UI禁用按钮</x:v>
      </x:c>
      <x:c r="E54" s="58" t="str">
        <x:v>IInterlockService</x:v>
      </x:c>
      <x:c r="F54" s="58" t="str">
        <x:v>18/40/41</x:v>
      </x:c>
      <x:c r="G54" s="58" t="str">
        <x:v>Safety</x:v>
      </x:c>
      <x:c r="H54" s="58" t="str">
        <x:v>高</x:v>
      </x:c>
      <x:c r="I54" s="58"/>
    </x:row>
    <x:row r="55">
      <x:c r="A55" s="66" t="str">
        <x:v>Pause Boundary</x:v>
      </x:c>
      <x:c r="B55" s="66" t="str">
        <x:v>PausedAtBoundary</x:v>
      </x:c>
      <x:c r="C55" s="66" t="str">
        <x:v>Domain可安全暂停的节点/段边界</x:v>
      </x:c>
      <x:c r="D55" s="66" t="str">
        <x:v>按下Pause不等于硬件已冻结</x:v>
      </x:c>
      <x:c r="E55" s="66" t="str">
        <x:v>MotionRuntime state</x:v>
      </x:c>
      <x:c r="F55" s="66" t="str">
        <x:v>40/41</x:v>
      </x:c>
      <x:c r="G55" s="66" t="str">
        <x:v>Runtime</x:v>
      </x:c>
      <x:c r="H55" s="66" t="str">
        <x:v>高</x:v>
      </x:c>
      <x:c r="I55" s="66"/>
    </x:row>
    <x:row r="56">
      <x:c r="A56" s="58" t="str">
        <x:v>Robot Frame</x:v>
      </x:c>
      <x:c r="B56" s="58" t="str">
        <x:v>RobotFrame</x:v>
      </x:c>
      <x:c r="C56" s="58" t="str">
        <x:v>World/Base/Tool/WorkObject/User/Camera等坐标帧</x:v>
      </x:c>
      <x:c r="D56" s="58" t="str">
        <x:v>不要只存显示名称引用</x:v>
      </x:c>
      <x:c r="E56" s="58" t="str">
        <x:v>RobotFrame</x:v>
      </x:c>
      <x:c r="F56" s="58" t="str">
        <x:v>52/53</x:v>
      </x:c>
      <x:c r="G56" s="58" t="str">
        <x:v>Robot</x:v>
      </x:c>
      <x:c r="H56" s="58" t="str">
        <x:v>高</x:v>
      </x:c>
      <x:c r="I56" s="58"/>
    </x:row>
    <x:row r="57">
      <x:c r="A57" s="66" t="str">
        <x:v>Robot Tool</x:v>
      </x:c>
      <x:c r="B57" s="66" t="str">
        <x:v>RobotTool</x:v>
      </x:c>
      <x:c r="C57" s="66" t="str">
        <x:v>TCP/Payload/COG等工具定义</x:v>
      </x:c>
      <x:c r="D57" s="66" t="str">
        <x:v>不等于Vendor tool handle</x:v>
      </x:c>
      <x:c r="E57" s="66" t="str">
        <x:v>RobotTool</x:v>
      </x:c>
      <x:c r="F57" s="66" t="str">
        <x:v>52</x:v>
      </x:c>
      <x:c r="G57" s="66" t="str">
        <x:v>Robot</x:v>
      </x:c>
      <x:c r="H57" s="66" t="str">
        <x:v>高</x:v>
      </x:c>
      <x:c r="I57" s="66"/>
    </x:row>
    <x:row r="58">
      <x:c r="A58" s="58" t="str">
        <x:v>WorkObject</x:v>
      </x:c>
      <x:c r="B58" s="58" t="str">
        <x:v>WorkObject</x:v>
      </x:c>
      <x:c r="C58" s="58" t="str">
        <x:v>工件/夹具坐标定义</x:v>
      </x:c>
      <x:c r="D58" s="58" t="str">
        <x:v>不是Inspection ProductContext</x:v>
      </x:c>
      <x:c r="E58" s="58" t="str">
        <x:v>WorkObject</x:v>
      </x:c>
      <x:c r="F58" s="58" t="str">
        <x:v>52</x:v>
      </x:c>
      <x:c r="G58" s="58" t="str">
        <x:v>Robot</x:v>
      </x:c>
      <x:c r="H58" s="58" t="str">
        <x:v>高</x:v>
      </x:c>
      <x:c r="I58" s="58"/>
    </x:row>
    <x:row r="59">
      <x:c r="A59" s="66" t="str">
        <x:v>Robot Path</x:v>
      </x:c>
      <x:c r="B59" s="66" t="str">
        <x:v>RobotPath</x:v>
      </x:c>
      <x:c r="C59" s="66" t="str">
        <x:v>由PTP/LIN/CIRC等Segment组成的路径定义</x:v>
      </x:c>
      <x:c r="D59" s="66" t="str">
        <x:v>平台不做实时轨迹插补</x:v>
      </x:c>
      <x:c r="E59" s="66" t="str">
        <x:v>RobotPath</x:v>
      </x:c>
      <x:c r="F59" s="66" t="str">
        <x:v>52/53</x:v>
      </x:c>
      <x:c r="G59" s="66" t="str">
        <x:v>Robot</x:v>
      </x:c>
      <x:c r="H59" s="66" t="str">
        <x:v>高</x:v>
      </x:c>
      <x:c r="I59" s="66"/>
    </x:row>
    <x:row r="60">
      <x:c r="A60" s="58" t="str">
        <x:v>Vision Guidance</x:v>
      </x:c>
      <x:c r="B60" s="58" t="str">
        <x:v>VisionGuidanceResult</x:v>
      </x:c>
      <x:c r="C60" s="58" t="str">
        <x:v>Vision输出经Frame转换/质量/时效验证后用于Robot目标偏置</x:v>
      </x:c>
      <x:c r="D60" s="58" t="str">
        <x:v>不是Vision XYZ直接Move</x:v>
      </x:c>
      <x:c r="E60" s="58" t="str">
        <x:v>VisionGuidanceResult</x:v>
      </x:c>
      <x:c r="F60" s="58" t="str">
        <x:v>52/53</x:v>
      </x:c>
      <x:c r="G60" s="58" t="str">
        <x:v>Cross-domain</x:v>
      </x:c>
      <x:c r="H60" s="58" t="str">
        <x:v>中高</x:v>
      </x:c>
      <x:c r="I60" s="58"/>
    </x:row>
    <x:row r="61">
      <x:c r="A61"/>
      <x:c r="B61"/>
      <x:c r="C61"/>
      <x:c r="D61"/>
      <x:c r="E61"/>
      <x:c r="F61"/>
      <x:c r="G61"/>
      <x:c r="H61"/>
      <x:c r="I61"/>
    </x:row>
    <x:row r="62" ht="24" customHeight="1">
      <x:c r="A62" s="40" t="str">
        <x:v>E. Vision / CT术语</x:v>
      </x:c>
      <x:c r="B62" s="40"/>
      <x:c r="C62" s="40"/>
      <x:c r="D62" s="40"/>
      <x:c r="E62" s="40"/>
      <x:c r="F62" s="40"/>
      <x:c r="G62" s="40"/>
      <x:c r="H62" s="40"/>
      <x:c r="I62" s="40"/>
    </x:row>
    <x:row r="63" ht="28" customHeight="1">
      <x:c r="A63" s="50" t="str">
        <x:v>正式名</x:v>
      </x:c>
      <x:c r="B63" s="50" t="str">
        <x:v>英文/代码名</x:v>
      </x:c>
      <x:c r="C63" s="50" t="str">
        <x:v>定义</x:v>
      </x:c>
      <x:c r="D63" s="50" t="str">
        <x:v>不要混用/误解</x:v>
      </x:c>
      <x:c r="E63" s="50" t="str">
        <x:v>主要对象</x:v>
      </x:c>
      <x:c r="F63" s="50" t="str">
        <x:v>关键页</x:v>
      </x:c>
      <x:c r="G63" s="50" t="str">
        <x:v>所属层</x:v>
      </x:c>
      <x:c r="H63" s="50" t="str">
        <x:v>稳定性</x:v>
      </x:c>
      <x:c r="I63" s="50" t="str">
        <x:v>备注</x:v>
      </x:c>
    </x:row>
    <x:row r="64">
      <x:c r="A64" s="66" t="str">
        <x:v>Vision Pipeline</x:v>
      </x:c>
      <x:c r="B64" s="66" t="str">
        <x:v>VisionPipeline</x:v>
      </x:c>
      <x:c r="C64" s="66" t="str">
        <x:v>强类型算法DAG定义</x:v>
      </x:c>
      <x:c r="D64" s="66" t="str">
        <x:v>不是Inspection Flow</x:v>
      </x:c>
      <x:c r="E64" s="66" t="str">
        <x:v>VisionPipeline</x:v>
      </x:c>
      <x:c r="F64" s="66" t="str">
        <x:v>32/42</x:v>
      </x:c>
      <x:c r="G64" s="66" t="str">
        <x:v>Vision</x:v>
      </x:c>
      <x:c r="H64" s="66" t="str">
        <x:v>高</x:v>
      </x:c>
      <x:c r="I64" s="66"/>
    </x:row>
    <x:row r="65">
      <x:c r="A65" s="58" t="str">
        <x:v>Vision Run</x:v>
      </x:c>
      <x:c r="B65" s="58" t="str">
        <x:v>VisionRunSession</x:v>
      </x:c>
      <x:c r="C65" s="58" t="str">
        <x:v>一次Pipeline执行实例</x:v>
      </x:c>
      <x:c r="D65" s="58" t="str">
        <x:v>不是Pipeline Definition</x:v>
      </x:c>
      <x:c r="E65" s="58" t="str">
        <x:v>VisionRunSession</x:v>
      </x:c>
      <x:c r="F65" s="58" t="str">
        <x:v>42/43</x:v>
      </x:c>
      <x:c r="G65" s="58" t="str">
        <x:v>Vision</x:v>
      </x:c>
      <x:c r="H65" s="58" t="str">
        <x:v>高</x:v>
      </x:c>
      <x:c r="I65" s="58"/>
    </x:row>
    <x:row r="66">
      <x:c r="A66" s="66" t="str">
        <x:v>Golden Case</x:v>
      </x:c>
      <x:c r="B66" s="66" t="str">
        <x:v>GoldenCase</x:v>
      </x:c>
      <x:c r="C66" s="66" t="str">
        <x:v>固定输入/版本/期望输出/容差的算法回归样本</x:v>
      </x:c>
      <x:c r="D66" s="66" t="str">
        <x:v>不是人工看起来差不多</x:v>
      </x:c>
      <x:c r="E66" s="66" t="str">
        <x:v>GoldenCase</x:v>
      </x:c>
      <x:c r="F66" s="66" t="str">
        <x:v>42/57</x:v>
      </x:c>
      <x:c r="G66" s="66" t="str">
        <x:v>QA</x:v>
      </x:c>
      <x:c r="H66" s="66" t="str">
        <x:v>高</x:v>
      </x:c>
      <x:c r="I66" s="66"/>
    </x:row>
    <x:row r="67">
      <x:c r="A67" s="58" t="str">
        <x:v>Projection Series</x:v>
      </x:c>
      <x:c r="B67" s="58" t="str">
        <x:v>ProjectionSeries</x:v>
      </x:c>
      <x:c r="C67" s="58" t="str">
        <x:v>CT多角度投影序列+采集元数据/几何引用</x:v>
      </x:c>
      <x:c r="D67" s="58" t="str">
        <x:v>不是简单Image[]列表</x:v>
      </x:c>
      <x:c r="E67" s="58" t="str">
        <x:v>ProjectionSeries</x:v>
      </x:c>
      <x:c r="F67" s="58" t="str">
        <x:v>50/51</x:v>
      </x:c>
      <x:c r="G67" s="58" t="str">
        <x:v>CT</x:v>
      </x:c>
      <x:c r="H67" s="58" t="str">
        <x:v>高</x:v>
      </x:c>
      <x:c r="I67" s="58"/>
    </x:row>
    <x:row r="68">
      <x:c r="A68" s="66" t="str">
        <x:v>CT Geometry</x:v>
      </x:c>
      <x:c r="B68" s="66" t="str">
        <x:v>CTGeometry</x:v>
      </x:c>
      <x:c r="C68" s="66" t="str">
        <x:v>CT源/物体/探测器/旋转轴/轨迹几何定义</x:v>
      </x:c>
      <x:c r="D68" s="66" t="str">
        <x:v>不要和Viewer坐标混淆</x:v>
      </x:c>
      <x:c r="E68" s="66" t="str">
        <x:v>CTGeometry</x:v>
      </x:c>
      <x:c r="F68" s="66" t="str">
        <x:v>50/51</x:v>
      </x:c>
      <x:c r="G68" s="66" t="str">
        <x:v>CT</x:v>
      </x:c>
      <x:c r="H68" s="66" t="str">
        <x:v>高</x:v>
      </x:c>
      <x:c r="I68" s="66"/>
    </x:row>
    <x:row r="69">
      <x:c r="A69" s="58" t="str">
        <x:v>Volume3D</x:v>
      </x:c>
      <x:c r="B69" s="58" t="str">
        <x:v>Volume3D</x:v>
      </x:c>
      <x:c r="C69" s="58" t="str">
        <x:v>体数据元信息契约</x:v>
      </x:c>
      <x:c r="D69" s="58" t="str">
        <x:v>不是实际GB级Buffer对象</x:v>
      </x:c>
      <x:c r="E69" s="58" t="str">
        <x:v>Volume3D</x:v>
      </x:c>
      <x:c r="F69" s="58" t="str">
        <x:v>50</x:v>
      </x:c>
      <x:c r="G69" s="58" t="str">
        <x:v>CT</x:v>
      </x:c>
      <x:c r="H69" s="58" t="str">
        <x:v>高</x:v>
      </x:c>
      <x:c r="I69" s="58"/>
    </x:row>
    <x:row r="70">
      <x:c r="A70" s="66" t="str">
        <x:v>VolumeDataHandle</x:v>
      </x:c>
      <x:c r="B70" s="66" t="str">
        <x:v>VolumeDataHandle</x:v>
      </x:c>
      <x:c r="C70" s="66" t="str">
        <x:v>Runtime中Volume数据位置/布局/生命周期句柄</x:v>
      </x:c>
      <x:c r="D70" s="66" t="str">
        <x:v>不能写入Project JSON</x:v>
      </x:c>
      <x:c r="E70" s="66" t="str">
        <x:v>VolumeDataHandle</x:v>
      </x:c>
      <x:c r="F70" s="66" t="str">
        <x:v>50/51</x:v>
      </x:c>
      <x:c r="G70" s="66" t="str">
        <x:v>CT Runtime</x:v>
      </x:c>
      <x:c r="H70" s="66" t="str">
        <x:v>高</x:v>
      </x:c>
      <x:c r="I70" s="66"/>
    </x:row>
    <x:row r="71">
      <x:c r="A71" s="58" t="str">
        <x:v>Reconstruction Job</x:v>
      </x:c>
      <x:c r="B71" s="58" t="str">
        <x:v>ReconstructionJob</x:v>
      </x:c>
      <x:c r="C71" s="58" t="str">
        <x:v>一次重建执行任务/Attempt</x:v>
      </x:c>
      <x:c r="D71" s="58" t="str">
        <x:v>不是Inspection Task</x:v>
      </x:c>
      <x:c r="E71" s="58" t="str">
        <x:v>ReconstructionJob</x:v>
      </x:c>
      <x:c r="F71" s="58" t="str">
        <x:v>50/51</x:v>
      </x:c>
      <x:c r="G71" s="58" t="str">
        <x:v>CT Runtime</x:v>
      </x:c>
      <x:c r="H71" s="58" t="str">
        <x:v>高</x:v>
      </x:c>
      <x:c r="I71" s="58"/>
    </x:row>
    <x:row r="72">
      <x:c r="A72" s="66" t="str">
        <x:v>MPR</x:v>
      </x:c>
      <x:c r="B72" s="66" t="str">
        <x:v>Multi-Planar Reconstruction View</x:v>
      </x:c>
      <x:c r="C72" s="66" t="str">
        <x:v>Axial/Sagittal/Coronal/Oblique等多平面重切显示</x:v>
      </x:c>
      <x:c r="D72" s="66" t="str">
        <x:v>不要把Viewer状态当算法结果</x:v>
      </x:c>
      <x:c r="E72" s="66" t="str">
        <x:v>MprViewState</x:v>
      </x:c>
      <x:c r="F72" s="66" t="str">
        <x:v>50/51</x:v>
      </x:c>
      <x:c r="G72" s="66" t="str">
        <x:v>Viewer</x:v>
      </x:c>
      <x:c r="H72" s="66" t="str">
        <x:v>中高</x:v>
      </x:c>
      <x:c r="I72" s="66"/>
    </x:row>
    <x:row r="73">
      <x:c r="A73"/>
      <x:c r="B73"/>
      <x:c r="C73"/>
      <x:c r="D73"/>
      <x:c r="E73"/>
      <x:c r="F73"/>
      <x:c r="G73"/>
      <x:c r="H73"/>
      <x:c r="I73"/>
    </x:row>
    <x:row r="74" ht="24" customHeight="1">
      <x:c r="A74" s="40" t="str">
        <x:v>F. Inspection / Operations术语</x:v>
      </x:c>
      <x:c r="B74" s="40"/>
      <x:c r="C74" s="40"/>
      <x:c r="D74" s="40"/>
      <x:c r="E74" s="40"/>
      <x:c r="F74" s="40"/>
      <x:c r="G74" s="40"/>
      <x:c r="H74" s="40"/>
      <x:c r="I74" s="40"/>
    </x:row>
    <x:row r="75" ht="28" customHeight="1">
      <x:c r="A75" s="50" t="str">
        <x:v>正式名</x:v>
      </x:c>
      <x:c r="B75" s="50" t="str">
        <x:v>英文/代码名</x:v>
      </x:c>
      <x:c r="C75" s="50" t="str">
        <x:v>定义</x:v>
      </x:c>
      <x:c r="D75" s="50" t="str">
        <x:v>不要混用/误解</x:v>
      </x:c>
      <x:c r="E75" s="50" t="str">
        <x:v>主要对象</x:v>
      </x:c>
      <x:c r="F75" s="50" t="str">
        <x:v>关键页</x:v>
      </x:c>
      <x:c r="G75" s="50" t="str">
        <x:v>所属层</x:v>
      </x:c>
      <x:c r="H75" s="50" t="str">
        <x:v>稳定性</x:v>
      </x:c>
      <x:c r="I75" s="50" t="str">
        <x:v>备注</x:v>
      </x:c>
    </x:row>
    <x:row r="76">
      <x:c r="A76" s="58" t="str">
        <x:v>Inspection Flow</x:v>
      </x:c>
      <x:c r="B76" s="58" t="str">
        <x:v>InspectionFlow</x:v>
      </x:c>
      <x:c r="C76" s="58" t="str">
        <x:v>产品级可持久恢复业务工作流Definition</x:v>
      </x:c>
      <x:c r="D76" s="58" t="str">
        <x:v>不是Vision Pipeline</x:v>
      </x:c>
      <x:c r="E76" s="58" t="str">
        <x:v>InspectionFlow</x:v>
      </x:c>
      <x:c r="F76" s="58" t="str">
        <x:v>33/44</x:v>
      </x:c>
      <x:c r="G76" s="58" t="str">
        <x:v>Inspection</x:v>
      </x:c>
      <x:c r="H76" s="58" t="str">
        <x:v>高</x:v>
      </x:c>
      <x:c r="I76" s="58"/>
    </x:row>
    <x:row r="77">
      <x:c r="A77" s="66" t="str">
        <x:v>Inspection Task</x:v>
      </x:c>
      <x:c r="B77" s="66" t="str">
        <x:v>InspectionTask</x:v>
      </x:c>
      <x:c r="C77" s="66" t="str">
        <x:v>一个产品/工单的一次运行实例</x:v>
      </x:c>
      <x:c r="D77" s="66" t="str">
        <x:v>不是Flow Definition</x:v>
      </x:c>
      <x:c r="E77" s="66" t="str">
        <x:v>InspectionTask</x:v>
      </x:c>
      <x:c r="F77" s="66" t="str">
        <x:v>44/45</x:v>
      </x:c>
      <x:c r="G77" s="66" t="str">
        <x:v>Inspection Runtime</x:v>
      </x:c>
      <x:c r="H77" s="66" t="str">
        <x:v>高</x:v>
      </x:c>
      <x:c r="I77" s="66"/>
    </x:row>
    <x:row r="78">
      <x:c r="A78" s="58" t="str">
        <x:v>Product Context</x:v>
      </x:c>
      <x:c r="B78" s="58" t="str">
        <x:v>ProductContext</x:v>
      </x:c>
      <x:c r="C78" s="58" t="str">
        <x:v>产品级业务上下文</x:v>
      </x:c>
      <x:c r="D78" s="58" t="str">
        <x:v>不要塞UI/Vendor对象</x:v>
      </x:c>
      <x:c r="E78" s="58" t="str">
        <x:v>ProductContext</x:v>
      </x:c>
      <x:c r="F78" s="58" t="str">
        <x:v>44</x:v>
      </x:c>
      <x:c r="G78" s="58" t="str">
        <x:v>Inspection</x:v>
      </x:c>
      <x:c r="H78" s="58" t="str">
        <x:v>高</x:v>
      </x:c>
      <x:c r="I78" s="58"/>
    </x:row>
    <x:row r="79">
      <x:c r="A79" s="66" t="str">
        <x:v>Point Context</x:v>
      </x:c>
      <x:c r="B79" s="66" t="str">
        <x:v>PointContext</x:v>
      </x:c>
      <x:c r="C79" s="66" t="str">
        <x:v>检测点位/工位级上下文</x:v>
      </x:c>
      <x:c r="D79" s="66" t="str">
        <x:v>不是Motion Point Table</x:v>
      </x:c>
      <x:c r="E79" s="66" t="str">
        <x:v>PointContext</x:v>
      </x:c>
      <x:c r="F79" s="66" t="str">
        <x:v>44</x:v>
      </x:c>
      <x:c r="G79" s="66" t="str">
        <x:v>Inspection</x:v>
      </x:c>
      <x:c r="H79" s="66" t="str">
        <x:v>高</x:v>
      </x:c>
      <x:c r="I79" s="66"/>
    </x:row>
    <x:row r="80">
      <x:c r="A80" s="58" t="str">
        <x:v>Result Context</x:v>
      </x:c>
      <x:c r="B80" s="58" t="str">
        <x:v>ResultContext</x:v>
      </x:c>
      <x:c r="C80" s="58" t="str">
        <x:v>统一检测结果容器</x:v>
      </x:c>
      <x:c r="D80" s="58" t="str">
        <x:v>不是VisionResult本身</x:v>
      </x:c>
      <x:c r="E80" s="58" t="str">
        <x:v>ResultContext</x:v>
      </x:c>
      <x:c r="F80" s="58" t="str">
        <x:v>44</x:v>
      </x:c>
      <x:c r="G80" s="58" t="str">
        <x:v>Inspection</x:v>
      </x:c>
      <x:c r="H80" s="58" t="str">
        <x:v>高</x:v>
      </x:c>
      <x:c r="I80" s="58"/>
    </x:row>
    <x:row r="81">
      <x:c r="A81" s="66" t="str">
        <x:v>Checkpoint</x:v>
      </x:c>
      <x:c r="B81" s="66" t="str">
        <x:v>InspectionCheckpoint</x:v>
      </x:c>
      <x:c r="C81" s="66" t="str">
        <x:v>安全边界的最小可恢复状态快照</x:v>
      </x:c>
      <x:c r="D81" s="66" t="str">
        <x:v>不是每节点保存所有图像</x:v>
      </x:c>
      <x:c r="E81" s="66" t="str">
        <x:v>InspectionCheckpoint</x:v>
      </x:c>
      <x:c r="F81" s="66" t="str">
        <x:v>44/45</x:v>
      </x:c>
      <x:c r="G81" s="66" t="str">
        <x:v>Persistence</x:v>
      </x:c>
      <x:c r="H81" s="66" t="str">
        <x:v>高</x:v>
      </x:c>
      <x:c r="I81" s="66"/>
    </x:row>
    <x:row r="82">
      <x:c r="A82" s="58" t="str">
        <x:v>Idempotency Key</x:v>
      </x:c>
      <x:c r="B82" s="58" t="str">
        <x:v>IdempotencyKey</x:v>
      </x:c>
      <x:c r="C82" s="58" t="str">
        <x:v>外部副作用去重/对账标识</x:v>
      </x:c>
      <x:c r="D82" s="58" t="str">
        <x:v>不是普通Retry次数</x:v>
      </x:c>
      <x:c r="E82" s="58" t="str">
        <x:v>ExternalOperationRecord</x:v>
      </x:c>
      <x:c r="F82" s="58" t="str">
        <x:v>44/45</x:v>
      </x:c>
      <x:c r="G82" s="58" t="str">
        <x:v>Reliability</x:v>
      </x:c>
      <x:c r="H82" s="58" t="str">
        <x:v>高</x:v>
      </x:c>
      <x:c r="I82" s="58"/>
    </x:row>
    <x:row r="83">
      <x:c r="A83" s="66" t="str">
        <x:v>Station Agent</x:v>
      </x:c>
      <x:c r="B83" s="66" t="str">
        <x:v>StationAgent</x:v>
      </x:c>
      <x:c r="C83" s="66" t="str">
        <x:v>Runtime站点管理入口，组合Health/Version/Deployment/Debug等能力</x:v>
      </x:c>
      <x:c r="D83" s="66" t="str">
        <x:v>不是生产Runtime本身</x:v>
      </x:c>
      <x:c r="E83" s="66" t="str">
        <x:v>CxVisual.Station.Agent</x:v>
      </x:c>
      <x:c r="F83" s="66" t="str">
        <x:v>54/55</x:v>
      </x:c>
      <x:c r="G83" s="66" t="str">
        <x:v>Operations</x:v>
      </x:c>
      <x:c r="H83" s="66" t="str">
        <x:v>高</x:v>
      </x:c>
      <x:c r="I83" s="66"/>
    </x:row>
    <x:row r="84">
      <x:c r="A84" s="58" t="str">
        <x:v>Operations Center</x:v>
      </x:c>
      <x:c r="B84" s="58" t="str">
        <x:v>Operations Center</x:v>
      </x:c>
      <x:c r="C84" s="58" t="str">
        <x:v>集中Fleet/Version/Deploy/Case/Remote Engineering管理面</x:v>
      </x:c>
      <x:c r="D84" s="58" t="str">
        <x:v>不能成为本机生产依赖</x:v>
      </x:c>
      <x:c r="E84" s="58" t="str">
        <x:v>Operations services</x:v>
      </x:c>
      <x:c r="F84" s="58" t="str">
        <x:v>54/55</x:v>
      </x:c>
      <x:c r="G84" s="58" t="str">
        <x:v>Operations</x:v>
      </x:c>
      <x:c r="H84" s="58" t="str">
        <x:v>高</x:v>
      </x:c>
      <x:c r="I84" s="58"/>
    </x:row>
    <x:row r="85">
      <x:c r="A85" s="66" t="str">
        <x:v>Fleet Rollout</x:v>
      </x:c>
      <x:c r="B85" s="66" t="str">
        <x:v>RolloutPlan</x:v>
      </x:c>
      <x:c r="C85" s="66" t="str">
        <x:v>跨站点分批Canary/Ring部署计划</x:v>
      </x:c>
      <x:c r="D85" s="66" t="str">
        <x:v>不是单机Deploy动作</x:v>
      </x:c>
      <x:c r="E85" s="66" t="str">
        <x:v>RolloutPlan</x:v>
      </x:c>
      <x:c r="F85" s="66" t="str">
        <x:v>54</x:v>
      </x:c>
      <x:c r="G85" s="66" t="str">
        <x:v>Operations</x:v>
      </x:c>
      <x:c r="H85" s="66" t="str">
        <x:v>高</x:v>
      </x:c>
      <x:c r="I85" s="66"/>
    </x:row>
    <x:row r="86">
      <x:c r="A86" s="58" t="str">
        <x:v>Remote Session Lease</x:v>
      </x:c>
      <x:c r="B86" s="58" t="str">
        <x:v>RemoteSessionLease</x:v>
      </x:c>
      <x:c r="C86" s="58" t="str">
        <x:v>远程工程短期授权会话凭证/TTL/范围</x:v>
      </x:c>
      <x:c r="D86" s="58" t="str">
        <x:v>不是长期共享账号Token</x:v>
      </x:c>
      <x:c r="E86" s="58" t="str">
        <x:v>RemoteEngineeringSession</x:v>
      </x:c>
      <x:c r="F86" s="58" t="str">
        <x:v>55</x:v>
      </x:c>
      <x:c r="G86" s="58" t="str">
        <x:v>Security</x:v>
      </x:c>
      <x:c r="H86" s="58" t="str">
        <x:v>高</x:v>
      </x:c>
      <x:c r="I86" s="58"/>
    </x:row>
    <x:row r="88">
      <x:c r="A88" t="str">
        <x:v>G. 历史 V3.3 新增术语（V6.4若冲突以E区/03为准）</x:v>
      </x:c>
      <x:c r="B88"/>
      <x:c r="C88"/>
      <x:c r="D88"/>
      <x:c r="E88"/>
      <x:c r="F88"/>
      <x:c r="G88"/>
      <x:c r="H88"/>
      <x:c r="I88"/>
    </x:row>
    <x:row r="89">
      <x:c r="A89" t="str">
        <x:v>正式名</x:v>
      </x:c>
      <x:c r="B89" t="str">
        <x:v>英文/代码名</x:v>
      </x:c>
      <x:c r="C89" t="str">
        <x:v>定义</x:v>
      </x:c>
      <x:c r="D89" t="str">
        <x:v>不要混用/误解</x:v>
      </x:c>
      <x:c r="E89" t="str">
        <x:v>主要对象</x:v>
      </x:c>
      <x:c r="F89" t="str">
        <x:v>关键页</x:v>
      </x:c>
      <x:c r="G89" t="str">
        <x:v>所属层</x:v>
      </x:c>
      <x:c r="H89" t="str">
        <x:v>稳定性</x:v>
      </x:c>
      <x:c r="I89" t="str">
        <x:v>备注</x:v>
      </x:c>
    </x:row>
    <x:row r="90">
      <x:c r="A90" t="str">
        <x:v>Studio Shell Session</x:v>
      </x:c>
      <x:c r="B90" t="str">
        <x:v>StudioShellSession</x:v>
      </x:c>
      <x:c r="C90" t="str">
        <x:v>维护ActiveProject/Document/Workspace/StudioMode/Context；工程外Session状态</x:v>
      </x:c>
      <x:c r="D90" t="str">
        <x:v>不要持久化到Project</x:v>
      </x:c>
      <x:c r="E90" t="str">
        <x:v>StudioShellSession</x:v>
      </x:c>
      <x:c r="F90" t="str">
        <x:v>07/45</x:v>
      </x:c>
      <x:c r="G90" t="str">
        <x:v>Studio</x:v>
      </x:c>
      <x:c r="H90" t="str">
        <x:v>高</x:v>
      </x:c>
      <x:c r="I90"/>
    </x:row>
    <x:row r="91">
      <x:c r="A91" t="str">
        <x:v>Contextual Ribbon</x:v>
      </x:c>
      <x:c r="B91" t="str">
        <x:v>Contextual Ribbon</x:v>
      </x:c>
      <x:c r="C91" t="str">
        <x:v>由活动Document/Workspace动态出现的专业页签集合</x:v>
      </x:c>
      <x:c r="D91" t="str">
        <x:v>不是永久主菜单/安全边界</x:v>
      </x:c>
      <x:c r="E91" t="str">
        <x:v>ContextualRibbonDescriptor/Provider</x:v>
      </x:c>
      <x:c r="F91" t="str">
        <x:v>07/45</x:v>
      </x:c>
      <x:c r="G91" t="str">
        <x:v>Studio</x:v>
      </x:c>
      <x:c r="H91" t="str">
        <x:v>高</x:v>
      </x:c>
      <x:c r="I91"/>
    </x:row>
    <x:row r="92">
      <x:c r="A92" t="str">
        <x:v>Command Descriptor</x:v>
      </x:c>
      <x:c r="B92" t="str">
        <x:v>CommandDescriptor</x:v>
      </x:c>
      <x:c r="C92" t="str">
        <x:v>描述CommandId/Label/Icon/Execute/CanExecute/Capability/Mode/Permission/Selection条件</x:v>
      </x:c>
      <x:c r="D92" t="str">
        <x:v>不是直接Domain对象</x:v>
      </x:c>
      <x:c r="E92" t="str">
        <x:v>CommandDescriptor/CommandRouter</x:v>
      </x:c>
      <x:c r="F92" t="str">
        <x:v>03/45</x:v>
      </x:c>
      <x:c r="G92" t="str">
        <x:v>Studio/Application</x:v>
      </x:c>
      <x:c r="H92" t="str">
        <x:v>高</x:v>
      </x:c>
      <x:c r="I92"/>
    </x:row>
    <x:row r="93">
      <x:c r="A93" t="str">
        <x:v>Variable Id</x:v>
      </x:c>
      <x:c r="B93" t="str">
        <x:v>VariableId</x:v>
      </x:c>
      <x:c r="C93" t="str">
        <x:v>工程内稳定变量身份；设备显示名/地址变化时仍保持引用</x:v>
      </x:c>
      <x:c r="D93" t="str">
        <x:v>不是当前设备Path字符串</x:v>
      </x:c>
      <x:c r="E93" t="str">
        <x:v>VariableDefinition.VariableId</x:v>
      </x:c>
      <x:c r="F93" t="str">
        <x:v>12/46</x:v>
      </x:c>
      <x:c r="G93" t="str">
        <x:v>Core/SCADA</x:v>
      </x:c>
      <x:c r="H93" t="str">
        <x:v>高</x:v>
      </x:c>
      <x:c r="I93"/>
    </x:row>
    <x:row r="94">
      <x:c r="A94" t="str">
        <x:v>Variable Reference</x:v>
      </x:c>
      <x:c r="B94" t="str">
        <x:v>VariableReference</x:v>
      </x:c>
      <x:c r="C94" t="str">
        <x:v>跨Binding/Alarm/Trend/Graph的稳定变量引用，以VariableId为主</x:v>
      </x:c>
      <x:c r="D94" t="str">
        <x:v>不是Value，也不是Legacy变量对象</x:v>
      </x:c>
      <x:c r="E94" t="str">
        <x:v>VariableReference</x:v>
      </x:c>
      <x:c r="F94" t="str">
        <x:v>10/12/46</x:v>
      </x:c>
      <x:c r="G94" t="str">
        <x:v>Core</x:v>
      </x:c>
      <x:c r="H94" t="str">
        <x:v>高</x:v>
      </x:c>
      <x:c r="I94"/>
    </x:row>
    <x:row r="95">
      <x:c r="A95" t="str">
        <x:v>Device Variable Provider</x:v>
      </x:c>
      <x:c r="B95" t="str">
        <x:v>DeviceVariableProvider</x:v>
      </x:c>
      <x:c r="C95" t="str">
        <x:v>把现有DeviceVariable/VariableManager适配到IVariableProvider的ACL</x:v>
      </x:c>
      <x:c r="D95" t="str">
        <x:v>不是新的第二套变量系统</x:v>
      </x:c>
      <x:c r="E95" t="str">
        <x:v>DeviceVariableProvider</x:v>
      </x:c>
      <x:c r="F95" t="str">
        <x:v>17/46</x:v>
      </x:c>
      <x:c r="G95" t="str">
        <x:v>Integration</x:v>
      </x:c>
      <x:c r="H95" t="str">
        <x:v>高</x:v>
      </x:c>
      <x:c r="I95"/>
    </x:row>
    <x:row r="96">
      <x:c r="A96" t="str">
        <x:v>Variable Value</x:v>
      </x:c>
      <x:c r="B96" t="str">
        <x:v>VariableValue</x:v>
      </x:c>
      <x:c r="C96" t="str">
        <x:v>运行变量标准包：Value/Quality/TimestampUtc/Sequence/Source</x:v>
      </x:c>
      <x:c r="D96" t="str">
        <x:v>不要退化为Value+HasInitialValue</x:v>
      </x:c>
      <x:c r="E96" t="str">
        <x:v>VariableValue</x:v>
      </x:c>
      <x:c r="F96" t="str">
        <x:v>20/46</x:v>
      </x:c>
      <x:c r="G96" t="str">
        <x:v>Runtime/SCADA</x:v>
      </x:c>
      <x:c r="H96" t="str">
        <x:v>高</x:v>
      </x:c>
      <x:c r="I96"/>
    </x:row>
    <x:row r="97">
      <x:c r="A97" t="str">
        <x:v>Variable Change Dispatcher</x:v>
      </x:c>
      <x:c r="B97" t="str">
        <x:v>IVariableChangeDispatcher</x:v>
      </x:c>
      <x:c r="C97" t="str">
        <x:v>统一变量分发与Backpressure，支持LatestOnly/All/Sampled和慢订阅隔离</x:v>
      </x:c>
      <x:c r="D97" t="str">
        <x:v>不是固定100ms Timer</x:v>
      </x:c>
      <x:c r="E97" t="str">
        <x:v>VariableChangeBatch/SubscriptionPolicy</x:v>
      </x:c>
      <x:c r="F97" t="str">
        <x:v>18/46</x:v>
      </x:c>
      <x:c r="G97" t="str">
        <x:v>Runtime</x:v>
      </x:c>
      <x:c r="H97" t="str">
        <x:v>高</x:v>
      </x:c>
      <x:c r="I97"/>
    </x:row>
    <x:row r="98">
      <x:c r="A98" t="str">
        <x:v>Controlled Write</x:v>
      </x:c>
      <x:c r="B98" t="str">
        <x:v>WritePipeline</x:v>
      </x:c>
      <x:c r="C98" t="str">
        <x:v>所有真实变量/硬件写入的安全执行链</x:v>
      </x:c>
      <x:c r="D98" t="str">
        <x:v>不是VariableTable.UpdateVariable</x:v>
      </x:c>
      <x:c r="E98" t="str">
        <x:v>WriteRequest/WriteResult</x:v>
      </x:c>
      <x:c r="F98" t="str">
        <x:v>14/46</x:v>
      </x:c>
      <x:c r="G98" t="str">
        <x:v>Security/Runtime</x:v>
      </x:c>
      <x:c r="H98" t="str">
        <x:v>高</x:v>
      </x:c>
      <x:c r="I98"/>
    </x:row>
    <x:row r="99">
      <x:c r="A99" t="str">
        <x:v>Industrial Device</x:v>
      </x:c>
      <x:c r="B99" t="str">
        <x:v>IIndustrialDevice</x:v>
      </x:c>
      <x:c r="C99" t="str">
        <x:v>具有生命周期/状态/诊断的工业设备根能力；具体控制通过窄接口</x:v>
      </x:c>
      <x:c r="D99" t="str">
        <x:v>不是万能IMotionDevice命令字典</x:v>
      </x:c>
      <x:c r="E99" t="str">
        <x:v>DeviceState/Diagnostics/Capabilities</x:v>
      </x:c>
      <x:c r="F99" t="str">
        <x:v>05/47</x:v>
      </x:c>
      <x:c r="G99" t="str">
        <x:v>Abstraction/Device</x:v>
      </x:c>
      <x:c r="H99" t="str">
        <x:v>高</x:v>
      </x:c>
      <x:c r="I99"/>
    </x:row>
    <x:row r="100">
      <x:c r="A100" t="str">
        <x:v>Fieldbus Master</x:v>
      </x:c>
      <x:c r="B100" t="str">
        <x:v>IFieldbusMaster</x:v>
      </x:c>
      <x:c r="C100" t="str">
        <x:v>EtherCAT等总线主站能力：拓扑/状态/诊断/从站发现</x:v>
      </x:c>
      <x:c r="D100" t="str">
        <x:v>不是Motion Controller同义词</x:v>
      </x:c>
      <x:c r="E100" t="str">
        <x:v>IFieldbusMaster</x:v>
      </x:c>
      <x:c r="F100" t="str">
        <x:v>05/47</x:v>
      </x:c>
      <x:c r="G100" t="str">
        <x:v>Motion/Integration</x:v>
      </x:c>
      <x:c r="H100" t="str">
        <x:v>高</x:v>
      </x:c>
      <x:c r="I100"/>
    </x:row>
    <x:row r="101">
      <x:c r="A101" t="str">
        <x:v>Fieldbus Device</x:v>
      </x:c>
      <x:c r="B101" t="str">
        <x:v>IFieldbusDevice</x:v>
      </x:c>
      <x:c r="C101" t="str">
        <x:v>总线从站/IO/驱动/耦合器的协议中立设备能力</x:v>
      </x:c>
      <x:c r="D101" t="str">
        <x:v>不是Vendor Slave SDK对象</x:v>
      </x:c>
      <x:c r="E101" t="str">
        <x:v>IFieldbusDevice</x:v>
      </x:c>
      <x:c r="F101" t="str">
        <x:v>05/47</x:v>
      </x:c>
      <x:c r="G101" t="str">
        <x:v>Motion/Integration</x:v>
      </x:c>
      <x:c r="H101" t="str">
        <x:v>高</x:v>
      </x:c>
      <x:c r="I101"/>
    </x:row>
    <x:row r="102">
      <x:c r="A102" t="str">
        <x:v>Hardware Command Risk</x:v>
      </x:c>
      <x:c r="B102" t="str">
        <x:v>HardwareCommandRisk</x:v>
      </x:c>
      <x:c r="C102" t="str">
        <x:v>硬件命令风险分类，用于Policy/授权/审计</x:v>
      </x:c>
      <x:c r="D102" t="str">
        <x:v>不是UI颜色/日志级别</x:v>
      </x:c>
      <x:c r="E102" t="str">
        <x:v>IHardwareCommandPolicy</x:v>
      </x:c>
      <x:c r="F102" t="str">
        <x:v>14/47</x:v>
      </x:c>
      <x:c r="G102" t="str">
        <x:v>Security/Motion</x:v>
      </x:c>
      <x:c r="H102" t="str">
        <x:v>高</x:v>
      </x:c>
      <x:c r="I102"/>
    </x:row>
    <x:row r="103">
      <x:c r="A103" t="str">
        <x:v>Domain Family Reuse</x:v>
      </x:c>
      <x:c r="B103" t="str">
        <x:v>Family reuse by contract/composition</x:v>
      </x:c>
      <x:c r="C103" t="str">
        <x:v>Robot复用Motion、CT3D复用Vision的公共Contract/Resource/Debug，而非强制CLR深继承</x:v>
      </x:c>
      <x:c r="D103" t="str">
        <x:v>不是把专业Domain合并为同一Runtime类</x:v>
      </x:c>
      <x:c r="E103" t="str">
        <x:v>Motion/Robot; Vision/CT3D</x:v>
      </x:c>
      <x:c r="F103" t="str">
        <x:v>03/29/33</x:v>
      </x:c>
      <x:c r="G103" t="str">
        <x:v>Architecture</x:v>
      </x:c>
      <x:c r="H103" t="str">
        <x:v>高</x:v>
      </x:c>
      <x:c r="I103"/>
    </x:row>
    <x:row r="104">
      <x:c r="A104" s="118" t="str">
        <x:v>E. V6.4 架构与通用变量新增术语</x:v>
      </x:c>
      <x:c r="B104" s="118"/>
      <x:c r="C104" s="118"/>
      <x:c r="D104" s="118"/>
      <x:c r="E104" s="118"/>
      <x:c r="F104" s="118"/>
      <x:c r="G104" s="118"/>
      <x:c r="H104" s="118"/>
      <x:c r="I104" s="118"/>
    </x:row>
    <x:row r="105">
      <x:c r="A105" s="119" t="str">
        <x:v>正式名</x:v>
      </x:c>
      <x:c r="B105" s="119" t="str">
        <x:v>英文/代码名</x:v>
      </x:c>
      <x:c r="C105" s="119" t="str">
        <x:v>定义</x:v>
      </x:c>
      <x:c r="D105" s="119" t="str">
        <x:v>不要混用/误解</x:v>
      </x:c>
      <x:c r="E105" s="119" t="str">
        <x:v>主要对象</x:v>
      </x:c>
      <x:c r="F105" s="119" t="str">
        <x:v>关键页</x:v>
      </x:c>
      <x:c r="G105" s="119" t="str">
        <x:v>所属层</x:v>
      </x:c>
      <x:c r="H105" s="119" t="str">
        <x:v>稳定性</x:v>
      </x:c>
      <x:c r="I105" s="119" t="str">
        <x:v>备注</x:v>
      </x:c>
    </x:row>
    <x:row r="106">
      <x:c r="A106" s="117" t="str">
        <x:v>Workbench</x:v>
      </x:c>
      <x:c r="B106" s="117" t="str">
        <x:v>Workbench</x:v>
      </x:c>
      <x:c r="C106" s="117" t="str">
        <x:v>用户专业工程工作空间；固定六个</x:v>
      </x:c>
      <x:c r="D106" s="117" t="str">
        <x:v>不等于csproj/行业名词/Domain继承树</x:v>
      </x:c>
      <x:c r="E106" s="117" t="str">
        <x:v>Automation/Simulation/HMI/Vision/CT3D/Inspection</x:v>
      </x:c>
      <x:c r="F106" s="117" t="str">
        <x:v>03/49</x:v>
      </x:c>
      <x:c r="G106" s="117" t="str">
        <x:v>Product Architecture</x:v>
      </x:c>
      <x:c r="H106" s="117" t="str">
        <x:v>高</x:v>
      </x:c>
      <x:c r="I106" s="117" t="str"/>
    </x:row>
    <x:row r="107">
      <x:c r="A107" s="117" t="str">
        <x:v>Automation</x:v>
      </x:c>
      <x:c r="B107" s="117" t="str">
        <x:v>Automation Workbench</x:v>
      </x:c>
      <x:c r="C107" s="117" t="str">
        <x:v>机器连接/控制/采集/测量/设备级编排</x:v>
      </x:c>
      <x:c r="D107" s="117" t="str">
        <x:v>不要拆出Motion/Robot/SCADA为一级Workbench</x:v>
      </x:c>
      <x:c r="E107" s="117" t="str">
        <x:v>ICS/SCADA/Motion/Robot/Device</x:v>
      </x:c>
      <x:c r="F107" s="117" t="str">
        <x:v>17/27/29/47</x:v>
      </x:c>
      <x:c r="G107" s="117" t="str">
        <x:v>Workbench</x:v>
      </x:c>
      <x:c r="H107" s="117" t="str">
        <x:v>高</x:v>
      </x:c>
      <x:c r="I107" s="117" t="str"/>
    </x:row>
    <x:row r="108">
      <x:c r="A108" s="117" t="str">
        <x:v>Capability</x:v>
      </x:c>
      <x:c r="B108" s="117" t="str">
        <x:v>Capability</x:v>
      </x:c>
      <x:c r="C108" s="117" t="str">
        <x:v>描述“能做什么”的可组合能力</x:v>
      </x:c>
      <x:c r="D108" s="117" t="str">
        <x:v>不要用深继承树猜能力</x:v>
      </x:c>
      <x:c r="E108" s="117" t="str">
        <x:v>IMovable/IHomeable/IPositionTrigger等</x:v>
      </x:c>
      <x:c r="F108" s="117" t="str">
        <x:v>03/47</x:v>
      </x:c>
      <x:c r="G108" s="117" t="str">
        <x:v>Cross-cutting</x:v>
      </x:c>
      <x:c r="H108" s="117" t="str">
        <x:v>高</x:v>
      </x:c>
      <x:c r="I108" s="117" t="str"/>
    </x:row>
    <x:row r="109">
      <x:c r="A109" s="117" t="str">
        <x:v>VariableSpace</x:v>
      </x:c>
      <x:c r="B109" s="117" t="str">
        <x:v>VariableSpace</x:v>
      </x:c>
      <x:c r="C109" s="117" t="str">
        <x:v>变量命名/运行空间，隔离工程/Session/Simulation</x:v>
      </x:c>
      <x:c r="D109" s="117" t="str">
        <x:v>不是static全局VariableManager</x:v>
      </x:c>
      <x:c r="E109" s="117" t="str">
        <x:v>SpaceId/RootGroup</x:v>
      </x:c>
      <x:c r="F109" s="117" t="str">
        <x:v>46/50</x:v>
      </x:c>
      <x:c r="G109" s="117" t="str">
        <x:v>Platform</x:v>
      </x:c>
      <x:c r="H109" s="117" t="str">
        <x:v>目标</x:v>
      </x:c>
      <x:c r="I109" s="117" t="str">
        <x:v>V6.5候选</x:v>
      </x:c>
    </x:row>
    <x:row r="110">
      <x:c r="A110" s="117" t="str">
        <x:v>VariableId</x:v>
      </x:c>
      <x:c r="B110" s="117" t="str">
        <x:v>VariableId</x:v>
      </x:c>
      <x:c r="C110" s="117" t="str">
        <x:v>变量稳定唯一身份</x:v>
      </x:c>
      <x:c r="D110" s="117" t="str">
        <x:v>不等于Path/Provider地址/DeviceName</x:v>
      </x:c>
      <x:c r="E110" s="117" t="str">
        <x:v>StableId</x:v>
      </x:c>
      <x:c r="F110" s="117" t="str">
        <x:v>46/50</x:v>
      </x:c>
      <x:c r="G110" s="117" t="str">
        <x:v>Platform</x:v>
      </x:c>
      <x:c r="H110" s="117" t="str">
        <x:v>目标</x:v>
      </x:c>
      <x:c r="I110" s="117" t="str">
        <x:v>改名/换协议不变</x:v>
      </x:c>
    </x:row>
    <x:row r="111">
      <x:c r="A111" s="117" t="str">
        <x:v>VariableGroup</x:v>
      </x:c>
      <x:c r="B111" s="117" t="str">
        <x:v>VariableGroup</x:v>
      </x:c>
      <x:c r="C111" s="117" t="str">
        <x:v>变量主层次组织节点</x:v>
      </x:c>
      <x:c r="D111" s="117" t="str">
        <x:v>不表示一个标量值</x:v>
      </x:c>
      <x:c r="E111" s="117" t="str">
        <x:v>Parent/Children/Tags</x:v>
      </x:c>
      <x:c r="F111" s="117" t="str">
        <x:v>46/50</x:v>
      </x:c>
      <x:c r="G111" s="117" t="str">
        <x:v>Platform</x:v>
      </x:c>
      <x:c r="H111" s="117" t="str">
        <x:v>目标</x:v>
      </x:c>
      <x:c r="I111" s="117" t="str">
        <x:v>Device可为特殊Group</x:v>
      </x:c>
    </x:row>
    <x:row r="112">
      <x:c r="A112" s="117" t="str">
        <x:v>Variable&lt;T&gt;</x:v>
      </x:c>
      <x:c r="B112" s="117" t="str">
        <x:v>Variable&lt;T&gt;</x:v>
      </x:c>
      <x:c r="C112" s="117" t="str">
        <x:v>强类型线程安全变量对象</x:v>
      </x:c>
      <x:c r="D112" s="117" t="str">
        <x:v>不再用MeasureDouble Device表达标量</x:v>
      </x:c>
      <x:c r="E112" s="117" t="str">
        <x:v>ValueStore/Snapshot</x:v>
      </x:c>
      <x:c r="F112" s="117" t="str">
        <x:v>46/50</x:v>
      </x:c>
      <x:c r="G112" s="117" t="str">
        <x:v>Platform</x:v>
      </x:c>
      <x:c r="H112" s="117" t="str">
        <x:v>目标</x:v>
      </x:c>
      <x:c r="I112" s="117" t="str">
        <x:v>保留每变量独立锁优点</x:v>
      </x:c>
    </x:row>
    <x:row r="113">
      <x:c r="A113" s="117" t="str">
        <x:v>VariableSnapshot</x:v>
      </x:c>
      <x:c r="B113" s="117" t="str">
        <x:v>VariableSnapshot&lt;T&gt;</x:v>
      </x:c>
      <x:c r="C113" s="117" t="str">
        <x:v>一次一致读取的Value/Old/Quality/Time/Sequence</x:v>
      </x:c>
      <x:c r="D113" s="117" t="str">
        <x:v>不要分别读多个易竞态字段</x:v>
      </x:c>
      <x:c r="E113" s="117" t="str">
        <x:v>Current/Previous</x:v>
      </x:c>
      <x:c r="F113" s="117" t="str">
        <x:v>46/50</x:v>
      </x:c>
      <x:c r="G113" s="117" t="str">
        <x:v>Platform</x:v>
      </x:c>
      <x:c r="H113" s="117" t="str">
        <x:v>目标</x:v>
      </x:c>
      <x:c r="I113" s="117" t="str">
        <x:v>不可变快照</x:v>
      </x:c>
    </x:row>
    <x:row r="114">
      <x:c r="A114" s="117" t="str">
        <x:v>VariableBinding</x:v>
      </x:c>
      <x:c r="B114" s="117" t="str">
        <x:v>VariableBinding</x:v>
      </x:c>
      <x:c r="C114" s="117" t="str">
        <x:v>稳定VariableId到Provider来源的绑定</x:v>
      </x:c>
      <x:c r="D114" s="117" t="str">
        <x:v>不要把PLC地址写进VariableDefinition</x:v>
      </x:c>
      <x:c r="E114" s="117" t="str">
        <x:v>ProviderId/BindingId</x:v>
      </x:c>
      <x:c r="F114" s="117" t="str">
        <x:v>46/50</x:v>
      </x:c>
      <x:c r="G114" s="117" t="str">
        <x:v>Platform/Automation</x:v>
      </x:c>
      <x:c r="H114" s="117" t="str">
        <x:v>目标</x:v>
      </x:c>
      <x:c r="I114" s="117" t="str">
        <x:v>协议细节在Driver</x:v>
      </x:c>
    </x:row>
    <x:row r="115">
      <x:c r="A115" s="117" t="str">
        <x:v>DeviceNode</x:v>
      </x:c>
      <x:c r="B115" s="117" t="str">
        <x:v>DeviceNode</x:v>
      </x:c>
      <x:c r="C115" s="117" t="str">
        <x:v>带设备语义的VariableGroup/Owner</x:v>
      </x:c>
      <x:c r="D115" s="117" t="str">
        <x:v>Device不是通用标量Variable</x:v>
      </x:c>
      <x:c r="E115" s="117" t="str">
        <x:v>Capabilities/Lifecycle/VariableRefs</x:v>
      </x:c>
      <x:c r="F115" s="117" t="str">
        <x:v>46/47/50</x:v>
      </x:c>
      <x:c r="G115" s="117" t="str">
        <x:v>Automation</x:v>
      </x:c>
      <x:c r="H115" s="117" t="str">
        <x:v>目标</x:v>
      </x:c>
      <x:c r="I115" s="117" t="str">
        <x:v>旧Device迁移方向</x:v>
      </x:c>
    </x:row>
    <x:row r="116">
      <x:c r="A116" s="117" t="str">
        <x:v>Industrial Practical</x:v>
      </x:c>
      <x:c r="B116" s="117" t="str">
        <x:v>Industrial Practical</x:v>
      </x:c>
      <x:c r="C116" s="117" t="str">
        <x:v>经过协议/故障/生命周期/专业Runtime Case验证的工程基线</x:v>
      </x:c>
      <x:c r="D116" s="117" t="str">
        <x:v>不等于全部实机认证完成</x:v>
      </x:c>
      <x:c r="E116" s="117" t="str">
        <x:v>V6.4 evidence</x:v>
      </x:c>
      <x:c r="F116" s="117" t="str">
        <x:v>49</x:v>
      </x:c>
      <x:c r="G116" s="117" t="str">
        <x:v>Release maturity</x:v>
      </x:c>
      <x:c r="H116" s="117" t="str">
        <x:v>高</x:v>
      </x:c>
      <x:c r="I116" s="117" t="str"/>
    </x:row>
  </x:sheetData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42" hidden="0" customWidth="1"/>
    <x:col min="4" max="4" width="34" hidden="0" customWidth="1"/>
    <x:col min="5" max="5" width="30" hidden="0" customWidth="1"/>
    <x:col min="6" max="6" width="30" hidden="0" customWidth="1"/>
    <x:col min="7" max="7" width="28" hidden="0" customWidth="1"/>
    <x:col min="8" max="8" width="28" hidden="0" customWidth="1"/>
    <x:col min="9" max="9" width="28" hidden="0" customWidth="1"/>
  </x:cols>
  <x:sheetData>
    <x:row r="1" ht="30" customHeight="1">
      <x:c r="A1" s="8" t="str">
        <x:v>CxVisual 项目实例规格与 ADR 治理</x:v>
      </x:c>
      <x:c r="B1" s="8"/>
      <x:c r="C1" s="8"/>
      <x:c r="D1" s="8"/>
      <x:c r="E1" s="8"/>
      <x:c r="F1" s="8"/>
      <x:c r="G1" s="8"/>
      <x:c r="H1" s="8"/>
      <x:c r="I1" s="8"/>
    </x:row>
    <x:row r="2" ht="38" customHeight="1">
      <x:c r="A2" s="16" t="str">
        <x:v>明确平台基线、Domain设计与客户/机台实例规格三层边界，并提供项目规格模板和架构决策ADR流程，防止项目差异污染平台Core。</x:v>
      </x:c>
      <x:c r="B2" s="16"/>
      <x:c r="C2" s="16"/>
      <x:c r="D2" s="16"/>
      <x:c r="E2" s="16"/>
      <x:c r="F2" s="16"/>
      <x:c r="G2" s="16"/>
      <x:c r="H2" s="16"/>
      <x:c r="I2" s="16"/>
    </x:row>
    <x:row r="3">
      <x:c r="A3" s="30" t="str">
        <x:v>本页唯一权威</x:v>
      </x:c>
      <x:c r="B3" s="31" t="str">
        <x:v>L1/L2/L3文档关系、项目实例规格、平台变更判定、ADR模板。</x:v>
      </x:c>
      <x:c r="C3" s="31"/>
      <x:c r="D3" s="31"/>
      <x:c r="E3" s="31"/>
      <x:c r="F3" s="31"/>
      <x:c r="G3" s="31"/>
      <x:c r="H3" s="31"/>
      <x:c r="I3" s="31"/>
    </x:row>
    <x:row r="4">
      <x:c r="A4" s="30" t="str">
        <x:v>不在本页维护</x:v>
      </x:c>
      <x:c r="B4" s="31" t="str">
        <x:v>具体项目参数本身；它们应形成项目独立规格/配置，不写入本工作簿的通用基线。</x:v>
      </x:c>
      <x:c r="C4" s="31"/>
      <x:c r="D4" s="31"/>
      <x:c r="E4" s="31"/>
      <x:c r="F4" s="31"/>
      <x:c r="G4" s="31"/>
      <x:c r="H4" s="31"/>
      <x:c r="I4" s="31"/>
    </x:row>
    <x:row r="5">
      <x:c r="A5" s="30" t="str">
        <x:v>关联分页</x:v>
      </x:c>
      <x:c r="B5" s="31" t="str">
        <x:v>03_架构总纲与领域边界；27~39_Domain设计；42_开发Playbook。</x:v>
      </x:c>
      <x:c r="C5" s="31"/>
      <x:c r="D5" s="31"/>
      <x:c r="E5" s="31"/>
      <x:c r="F5" s="31"/>
      <x:c r="G5" s="31"/>
      <x:c r="H5" s="31"/>
      <x:c r="I5" s="31"/>
    </x:row>
    <x:row r="6">
      <x:c r="A6"/>
      <x:c r="B6"/>
      <x:c r="C6"/>
      <x:c r="D6"/>
      <x:c r="E6"/>
      <x:c r="F6"/>
      <x:c r="G6"/>
      <x:c r="H6"/>
      <x:c r="I6"/>
    </x:row>
    <x:row r="7" ht="24" customHeight="1">
      <x:c r="A7" s="40" t="str">
        <x:v>A. 三层文档治理模型</x:v>
      </x:c>
      <x:c r="B7" s="40"/>
      <x:c r="C7" s="40"/>
      <x:c r="D7" s="40"/>
      <x:c r="E7" s="40"/>
      <x:c r="F7" s="40"/>
      <x:c r="G7" s="40"/>
      <x:c r="H7" s="40"/>
      <x:c r="I7" s="40"/>
    </x:row>
    <x:row r="8" ht="28" customHeight="1">
      <x:c r="A8" s="50" t="str">
        <x:v>层级</x:v>
      </x:c>
      <x:c r="B8" s="50" t="str">
        <x:v>负责内容</x:v>
      </x:c>
      <x:c r="C8" s="50" t="str">
        <x:v>例子</x:v>
      </x:c>
      <x:c r="D8" s="50" t="str">
        <x:v>谁维护</x:v>
      </x:c>
      <x:c r="E8" s="50" t="str">
        <x:v>禁止</x:v>
      </x:c>
      <x:c r="F8" s="50"/>
      <x:c r="G8" s="50"/>
      <x:c r="H8" s="50"/>
      <x:c r="I8" s="50"/>
    </x:row>
    <x:row r="9">
      <x:c r="A9" s="58" t="str">
        <x:v>L1 平台总基线</x:v>
      </x:c>
      <x:c r="B9" s="58" t="str">
        <x:v>平台WHY/BOUNDARY/Graph公共机制</x:v>
      </x:c>
      <x:c r="C9" s="58" t="str">
        <x:v>03、19~26</x:v>
      </x:c>
      <x:c r="D9" s="58" t="str">
        <x:v>平台架构Owner</x:v>
      </x:c>
      <x:c r="E9" s="58" t="str">
        <x:v>写死某客户IO/阈值</x:v>
      </x:c>
      <x:c r="F9" s="58"/>
      <x:c r="G9" s="58"/>
      <x:c r="H9" s="58"/>
      <x:c r="I9" s="58"/>
    </x:row>
    <x:row r="10">
      <x:c r="A10" s="66" t="str">
        <x:v>L2 Domain详细设计</x:v>
      </x:c>
      <x:c r="B10" s="66" t="str">
        <x:v>Motion/Robot/Vision/CT/Inspection/Ops HOW</x:v>
      </x:c>
      <x:c r="C10" s="66" t="str">
        <x:v>27~39</x:v>
      </x:c>
      <x:c r="D10" s="66" t="str">
        <x:v>Domain Lead</x:v>
      </x:c>
      <x:c r="E10" s="66" t="str">
        <x:v>复制平台公共机制</x:v>
      </x:c>
      <x:c r="F10" s="66"/>
      <x:c r="G10" s="66"/>
      <x:c r="H10" s="66"/>
      <x:c r="I10" s="66"/>
    </x:row>
    <x:row r="11">
      <x:c r="A11" s="58" t="str">
        <x:v>L3 项目/设备实例规格</x:v>
      </x:c>
      <x:c r="B11" s="58" t="str">
        <x:v>具体机台设备/参数/算法/流程/网络/性能目标</x:v>
      </x:c>
      <x:c r="C11" s="58" t="str">
        <x:v>X9601/4009/CT机台配置</x:v>
      </x:c>
      <x:c r="D11" s="58" t="str">
        <x:v>项目负责人</x:v>
      </x:c>
      <x:c r="E11" s="58" t="str">
        <x:v>反向修改平台Core解决项目差异</x:v>
      </x:c>
      <x:c r="F11" s="58"/>
      <x:c r="G11" s="58"/>
      <x:c r="H11" s="58"/>
      <x:c r="I11" s="58"/>
    </x:row>
    <x:row r="12">
      <x:c r="A12"/>
      <x:c r="B12"/>
      <x:c r="C12"/>
      <x:c r="D12"/>
      <x:c r="E12"/>
      <x:c r="F12"/>
      <x:c r="G12"/>
      <x:c r="H12"/>
      <x:c r="I12"/>
    </x:row>
    <x:row r="13" ht="24" customHeight="1">
      <x:c r="A13" s="40" t="str">
        <x:v>B. 项目实例规格模板</x:v>
      </x:c>
      <x:c r="B13" s="40"/>
      <x:c r="C13" s="40"/>
      <x:c r="D13" s="40"/>
      <x:c r="E13" s="40"/>
      <x:c r="F13" s="40"/>
      <x:c r="G13" s="40"/>
      <x:c r="H13" s="40"/>
      <x:c r="I13" s="40"/>
    </x:row>
    <x:row r="14" ht="28" customHeight="1">
      <x:c r="A14" s="50" t="str">
        <x:v>规格域</x:v>
      </x:c>
      <x:c r="B14" s="50" t="str">
        <x:v>必须包含</x:v>
      </x:c>
      <x:c r="C14" s="50" t="str">
        <x:v>平台落点/生成物</x:v>
      </x:c>
      <x:c r="D14" s="50" t="str">
        <x:v>验收</x:v>
      </x:c>
      <x:c r="E14" s="50" t="str">
        <x:v>Owner</x:v>
      </x:c>
      <x:c r="F14" s="50"/>
      <x:c r="G14" s="50"/>
      <x:c r="H14" s="50"/>
      <x:c r="I14" s="50"/>
    </x:row>
    <x:row r="15">
      <x:c r="A15" s="66" t="str">
        <x:v>设备/IO</x:v>
      </x:c>
      <x:c r="B15" s="66" t="str">
        <x:v>PLC/Axis/IO/Camera/XRay/Detector/Robot型号、地址、Capability、Firmware</x:v>
      </x:c>
      <x:c r="C15" s="66" t="str">
        <x:v>RuntimeProfile/DeviceDefinition</x:v>
      </x:c>
      <x:c r="D15" s="66" t="str">
        <x:v>Integration/实机联调</x:v>
      </x:c>
      <x:c r="E15" s="66" t="str">
        <x:v>项目/电气/集成</x:v>
      </x:c>
      <x:c r="F15" s="66"/>
      <x:c r="G15" s="66"/>
      <x:c r="H15" s="66"/>
      <x:c r="I15" s="66"/>
    </x:row>
    <x:row r="16">
      <x:c r="A16" s="58" t="str">
        <x:v>Motion/Robot</x:v>
      </x:c>
      <x:c r="B16" s="58" t="str">
        <x:v>PointTable、Speed/Acc、Coord/Frame、Tool/WObj、Scan/Trigger、安全Mode</x:v>
      </x:c>
      <x:c r="C16" s="58" t="str">
        <x:v>Motion/Robot assets</x:v>
      </x:c>
      <x:c r="D16" s="58" t="str">
        <x:v>节拍/安全/重复定位</x:v>
      </x:c>
      <x:c r="E16" s="58" t="str">
        <x:v>Motion/Robot</x:v>
      </x:c>
      <x:c r="F16" s="58"/>
      <x:c r="G16" s="58"/>
      <x:c r="H16" s="58"/>
      <x:c r="I16" s="58"/>
    </x:row>
    <x:row r="17">
      <x:c r="A17" s="66" t="str">
        <x:v>Vision/AI</x:v>
      </x:c>
      <x:c r="B17" s="66" t="str">
        <x:v>Pipeline、ROI、Model、Threshold、Calibration、Golden样本、缺陷定义</x:v>
      </x:c>
      <x:c r="C17" s="66" t="str">
        <x:v>Vision assets/Model artifacts</x:v>
      </x:c>
      <x:c r="D17" s="66" t="str">
        <x:v>Golden/Precision/Recall/性能</x:v>
      </x:c>
      <x:c r="E17" s="66" t="str">
        <x:v>算法</x:v>
      </x:c>
      <x:c r="F17" s="66"/>
      <x:c r="G17" s="66"/>
      <x:c r="H17" s="66"/>
      <x:c r="I17" s="66"/>
    </x:row>
    <x:row r="18">
      <x:c r="A18" s="58" t="str">
        <x:v>CT/3D</x:v>
      </x:c>
      <x:c r="B18" s="58" t="str">
        <x:v>SOD/SDD/FOD/FDD、Detector、Projection数、Voxel、Recon参数、CT Golden</x:v>
      </x:c>
      <x:c r="C18" s="58" t="str">
        <x:v>CTGeometry/Calibration/CT assets</x:v>
      </x:c>
      <x:c r="D18" s="58" t="str">
        <x:v>重建质量/体素/耗时/显存</x:v>
      </x:c>
      <x:c r="E18" s="58" t="str">
        <x:v>CT算法</x:v>
      </x:c>
      <x:c r="F18" s="58"/>
      <x:c r="G18" s="58"/>
      <x:c r="H18" s="58"/>
      <x:c r="I18" s="58"/>
    </x:row>
    <x:row r="19">
      <x:c r="A19" s="66" t="str">
        <x:v>Inspection</x:v>
      </x:c>
      <x:c r="B19" s="66" t="str">
        <x:v>Product/Point/Station/Recipe/Retest/Review/MES字段/Result mapping</x:v>
      </x:c>
      <x:c r="C19" s="66" t="str">
        <x:v>Inspection Flow/Schemas/Mapping</x:v>
      </x:c>
      <x:c r="D19" s="66" t="str">
        <x:v>Scenario/E2E/Recovery</x:v>
      </x:c>
      <x:c r="E19" s="66" t="str">
        <x:v>项目/软件</x:v>
      </x:c>
      <x:c r="F19" s="66"/>
      <x:c r="G19" s="66"/>
      <x:c r="H19" s="66"/>
      <x:c r="I19" s="66"/>
    </x:row>
    <x:row r="20">
      <x:c r="A20" s="58" t="str">
        <x:v>Performance</x:v>
      </x:c>
      <x:c r="B20" s="58" t="str">
        <x:v>UPH/CycleTime/FPS/ReconSec/Memory/VRAM/站点数/网络</x:v>
      </x:c>
      <x:c r="C20" s="58" t="str">
        <x:v>Performance Spec</x:v>
      </x:c>
      <x:c r="D20" s="58" t="str">
        <x:v>Benchmark/Soak</x:v>
      </x:c>
      <x:c r="E20" s="58" t="str">
        <x:v>性能Owner</x:v>
      </x:c>
      <x:c r="F20" s="58"/>
      <x:c r="G20" s="58"/>
      <x:c r="H20" s="58"/>
      <x:c r="I20" s="58"/>
    </x:row>
    <x:row r="21">
      <x:c r="A21" s="66" t="str">
        <x:v>Security/Network</x:v>
      </x:c>
      <x:c r="B21" s="66" t="str">
        <x:v>账号、证书、网络区、RemotePolicy、Approval、安全PLC边界</x:v>
      </x:c>
      <x:c r="C21" s="66" t="str">
        <x:v>Security Deployment Spec/OpsPolicy</x:v>
      </x:c>
      <x:c r="D21" s="66" t="str">
        <x:v>Security review/E2E</x:v>
      </x:c>
      <x:c r="E21" s="66" t="str">
        <x:v>IT/Safety</x:v>
      </x:c>
      <x:c r="F21" s="66"/>
      <x:c r="G21" s="66"/>
      <x:c r="H21" s="66"/>
      <x:c r="I21" s="66"/>
    </x:row>
    <x:row r="22">
      <x:c r="A22"/>
      <x:c r="B22"/>
      <x:c r="C22"/>
      <x:c r="D22"/>
      <x:c r="E22"/>
      <x:c r="F22"/>
      <x:c r="G22"/>
      <x:c r="H22"/>
      <x:c r="I22"/>
    </x:row>
    <x:row r="23" ht="24" customHeight="1">
      <x:c r="A23" s="40" t="str">
        <x:v>C. 何时改项目、何时改Domain、何时改平台</x:v>
      </x:c>
      <x:c r="B23" s="40"/>
      <x:c r="C23" s="40"/>
      <x:c r="D23" s="40"/>
      <x:c r="E23" s="40"/>
      <x:c r="F23" s="40"/>
      <x:c r="G23" s="40"/>
      <x:c r="H23" s="40"/>
      <x:c r="I23" s="40"/>
    </x:row>
    <x:row r="24" ht="28" customHeight="1">
      <x:c r="A24" s="50" t="str">
        <x:v>变化</x:v>
      </x:c>
      <x:c r="B24" s="50" t="str">
        <x:v>正确归属</x:v>
      </x:c>
      <x:c r="C24" s="50" t="str">
        <x:v>判断标准</x:v>
      </x:c>
      <x:c r="D24" s="50" t="str">
        <x:v>必须评审</x:v>
      </x:c>
      <x:c r="E24" s="50"/>
      <x:c r="F24" s="50"/>
      <x:c r="G24" s="50"/>
      <x:c r="H24" s="50"/>
      <x:c r="I24" s="50"/>
    </x:row>
    <x:row r="25">
      <x:c r="A25" s="58" t="str">
        <x:v>客户阈值/IO/地址/点位变化</x:v>
      </x:c>
      <x:c r="B25" s="58" t="str">
        <x:v>L3项目规格</x:v>
      </x:c>
      <x:c r="C25" s="58" t="str">
        <x:v>只改变实例配置，不新增通用语义</x:v>
      </x:c>
      <x:c r="D25" s="58" t="str">
        <x:v>项目评审</x:v>
      </x:c>
      <x:c r="E25" s="58"/>
      <x:c r="F25" s="58"/>
      <x:c r="G25" s="58"/>
      <x:c r="H25" s="58"/>
      <x:c r="I25" s="58"/>
    </x:row>
    <x:row r="26">
      <x:c r="A26" s="66" t="str">
        <x:v>新Vendor/新设备型号</x:v>
      </x:c>
      <x:c r="B26" s="66" t="str">
        <x:v>Provider/Adapter + L3</x:v>
      </x:c>
      <x:c r="C26" s="66" t="str">
        <x:v>平台Contract足够，仅Capability不同</x:v>
      </x:c>
      <x:c r="D26" s="66" t="str">
        <x:v>Integration contract review</x:v>
      </x:c>
      <x:c r="E26" s="66"/>
      <x:c r="F26" s="66"/>
      <x:c r="G26" s="66"/>
      <x:c r="H26" s="66"/>
      <x:c r="I26" s="66"/>
    </x:row>
    <x:row r="27">
      <x:c r="A27" s="58" t="str">
        <x:v>Domain出现通用新能力</x:v>
      </x:c>
      <x:c r="B27" s="58" t="str">
        <x:v>L2 Domain设计</x:v>
      </x:c>
      <x:c r="C27" s="58" t="str">
        <x:v>多个项目需要，且属于现有执行语义</x:v>
      </x:c>
      <x:c r="D27" s="58" t="str">
        <x:v>Domain+架构评审</x:v>
      </x:c>
      <x:c r="E27" s="58"/>
      <x:c r="F27" s="58"/>
      <x:c r="G27" s="58"/>
      <x:c r="H27" s="58"/>
      <x:c r="I27" s="58"/>
    </x:row>
    <x:row r="28">
      <x:c r="A28" s="66" t="str">
        <x:v>出现新的跨Domain公共机制</x:v>
      </x:c>
      <x:c r="B28" s="66" t="str">
        <x:v>L1 Graph/平台</x:v>
      </x:c>
      <x:c r="C28" s="66" t="str">
        <x:v>多个Domain都需要，且不能由现有19~26表达</x:v>
      </x:c>
      <x:c r="D28" s="66" t="str">
        <x:v>Architecture Decision Review</x:v>
      </x:c>
      <x:c r="E28" s="66"/>
      <x:c r="F28" s="66"/>
      <x:c r="G28" s="66"/>
      <x:c r="H28" s="66"/>
      <x:c r="I28" s="66"/>
    </x:row>
    <x:row r="29">
      <x:c r="A29" s="58" t="str">
        <x:v>出现新的执行语义</x:v>
      </x:c>
      <x:c r="B29" s="58" t="str">
        <x:v>可能修改L1</x:v>
      </x:c>
      <x:c r="C29" s="58" t="str">
        <x:v>无法归入ControlFlow/TypedDataFlow/DurableWorkflow/Management Job</x:v>
      </x:c>
      <x:c r="D29" s="58" t="str">
        <x:v>正式ADR + 架构委员会</x:v>
      </x:c>
      <x:c r="E29" s="58"/>
      <x:c r="F29" s="58"/>
      <x:c r="G29" s="58"/>
      <x:c r="H29" s="58"/>
      <x:c r="I29" s="58"/>
    </x:row>
    <x:row r="30">
      <x:c r="A30"/>
      <x:c r="B30"/>
      <x:c r="C30"/>
      <x:c r="D30"/>
      <x:c r="E30"/>
      <x:c r="F30"/>
      <x:c r="G30"/>
      <x:c r="H30"/>
      <x:c r="I30"/>
    </x:row>
    <x:row r="31" ht="24" customHeight="1">
      <x:c r="A31" s="40" t="str">
        <x:v>D. ADR — Architecture Decision Record模板</x:v>
      </x:c>
      <x:c r="B31" s="40"/>
      <x:c r="C31" s="40"/>
      <x:c r="D31" s="40"/>
      <x:c r="E31" s="40"/>
      <x:c r="F31" s="40"/>
      <x:c r="G31" s="40"/>
      <x:c r="H31" s="40"/>
      <x:c r="I31" s="40"/>
    </x:row>
    <x:row r="32" ht="28" customHeight="1">
      <x:c r="A32" s="50" t="str">
        <x:v>字段</x:v>
      </x:c>
      <x:c r="B32" s="50" t="str">
        <x:v>内容要求</x:v>
      </x:c>
      <x:c r="C32" s="50"/>
      <x:c r="D32" s="50"/>
      <x:c r="E32" s="50"/>
      <x:c r="F32" s="50"/>
      <x:c r="G32" s="50"/>
      <x:c r="H32" s="50"/>
      <x:c r="I32" s="50"/>
    </x:row>
    <x:row r="33">
      <x:c r="A33" s="66" t="str">
        <x:v>ADR-ID</x:v>
      </x:c>
      <x:c r="B33" s="66" t="str">
        <x:v>ADR-YYYY-NNN，稳定不可复用</x:v>
      </x:c>
      <x:c r="C33" s="66"/>
      <x:c r="D33" s="66"/>
      <x:c r="E33" s="66"/>
      <x:c r="F33" s="66"/>
      <x:c r="G33" s="66"/>
      <x:c r="H33" s="66"/>
      <x:c r="I33" s="66"/>
    </x:row>
    <x:row r="34">
      <x:c r="A34" s="58" t="str">
        <x:v>Context</x:v>
      </x:c>
      <x:c r="B34" s="58" t="str">
        <x:v>为什么出现问题、当前约束、涉及Domain/项目</x:v>
      </x:c>
      <x:c r="C34" s="58"/>
      <x:c r="D34" s="58"/>
      <x:c r="E34" s="58"/>
      <x:c r="F34" s="58"/>
      <x:c r="G34" s="58"/>
      <x:c r="H34" s="58"/>
      <x:c r="I34" s="58"/>
    </x:row>
    <x:row r="35">
      <x:c r="A35" s="66" t="str">
        <x:v>Decision</x:v>
      </x:c>
      <x:c r="B35" s="66" t="str">
        <x:v>最终决定是什么</x:v>
      </x:c>
      <x:c r="C35" s="66"/>
      <x:c r="D35" s="66"/>
      <x:c r="E35" s="66"/>
      <x:c r="F35" s="66"/>
      <x:c r="G35" s="66"/>
      <x:c r="H35" s="66"/>
      <x:c r="I35" s="66"/>
    </x:row>
    <x:row r="36">
      <x:c r="A36" s="58" t="str">
        <x:v>Alternatives</x:v>
      </x:c>
      <x:c r="B36" s="58" t="str">
        <x:v>至少列出主要替代方案与未采用原因</x:v>
      </x:c>
      <x:c r="C36" s="58"/>
      <x:c r="D36" s="58"/>
      <x:c r="E36" s="58"/>
      <x:c r="F36" s="58"/>
      <x:c r="G36" s="58"/>
      <x:c r="H36" s="58"/>
      <x:c r="I36" s="58"/>
    </x:row>
    <x:row r="37">
      <x:c r="A37" s="66" t="str">
        <x:v>Impact</x:v>
      </x:c>
      <x:c r="B37" s="66" t="str">
        <x:v>影响的Solution/Schema/Runtime/Debug/Test/Deployment</x:v>
      </x:c>
      <x:c r="C37" s="66"/>
      <x:c r="D37" s="66"/>
      <x:c r="E37" s="66"/>
      <x:c r="F37" s="66"/>
      <x:c r="G37" s="66"/>
      <x:c r="H37" s="66"/>
      <x:c r="I37" s="66"/>
    </x:row>
    <x:row r="38">
      <x:c r="A38" s="58" t="str">
        <x:v>Affected Pages</x:v>
      </x:c>
      <x:c r="B38" s="58" t="str">
        <x:v>需要同步更新的权威分页编号</x:v>
      </x:c>
      <x:c r="C38" s="58"/>
      <x:c r="D38" s="58"/>
      <x:c r="E38" s="58"/>
      <x:c r="F38" s="58"/>
      <x:c r="G38" s="58"/>
      <x:c r="H38" s="58"/>
      <x:c r="I38" s="58"/>
    </x:row>
    <x:row r="39">
      <x:c r="A39" s="66" t="str">
        <x:v>Migration</x:v>
      </x:c>
      <x:c r="B39" s="66" t="str">
        <x:v>旧工程/旧Release/旧Plugin怎样兼容</x:v>
      </x:c>
      <x:c r="C39" s="66"/>
      <x:c r="D39" s="66"/>
      <x:c r="E39" s="66"/>
      <x:c r="F39" s="66"/>
      <x:c r="G39" s="66"/>
      <x:c r="H39" s="66"/>
      <x:c r="I39" s="66"/>
    </x:row>
    <x:row r="40">
      <x:c r="A40" s="58" t="str">
        <x:v>Evidence</x:v>
      </x:c>
      <x:c r="B40" s="58" t="str">
        <x:v>PoC/Test/Benchmark/现场证据</x:v>
      </x:c>
      <x:c r="C40" s="58"/>
      <x:c r="D40" s="58"/>
      <x:c r="E40" s="58"/>
      <x:c r="F40" s="58"/>
      <x:c r="G40" s="58"/>
      <x:c r="H40" s="58"/>
      <x:c r="I40" s="58"/>
    </x:row>
    <x:row r="41">
      <x:c r="A41" s="66" t="str">
        <x:v>Owner / Date / Status</x:v>
      </x:c>
      <x:c r="B41" s="66" t="str">
        <x:v>负责人、日期、Proposed/Accepted/Superseded</x:v>
      </x:c>
      <x:c r="C41" s="66"/>
      <x:c r="D41" s="66"/>
      <x:c r="E41" s="66"/>
      <x:c r="F41" s="66"/>
      <x:c r="G41" s="66"/>
      <x:c r="H41" s="66"/>
      <x:c r="I41" s="66"/>
    </x:row>
    <x:row r="42">
      <x:c r="A42"/>
      <x:c r="B42"/>
      <x:c r="C42"/>
      <x:c r="D42"/>
      <x:c r="E42"/>
      <x:c r="F42"/>
      <x:c r="G42"/>
      <x:c r="H42"/>
      <x:c r="I42"/>
    </x:row>
    <x:row r="43" ht="24" customHeight="1">
      <x:c r="A43" s="40" t="str">
        <x:v>E. 从旧“完整性审查”保留的项目级边界</x:v>
      </x:c>
      <x:c r="B43" s="40"/>
      <x:c r="C43" s="40"/>
      <x:c r="D43" s="40"/>
      <x:c r="E43" s="40"/>
      <x:c r="F43" s="40"/>
      <x:c r="G43" s="40"/>
      <x:c r="H43" s="40"/>
      <x:c r="I43" s="40"/>
    </x:row>
    <x:row r="44" ht="24" customHeight="1">
      <x:c r="A44" s="40" t="str">
        <x:v>B. 仍然必须另写的项目/设备实例规格</x:v>
      </x:c>
      <x:c r="B44" s="40"/>
      <x:c r="C44" s="40"/>
      <x:c r="D44" s="40"/>
      <x:c r="E44" s="40"/>
      <x:c r="F44" s="40"/>
      <x:c r="G44" s="40"/>
      <x:c r="H44" s="40"/>
      <x:c r="I44" s="40"/>
    </x:row>
    <x:row r="45" ht="28" customHeight="1">
      <x:c r="A45" s="50" t="str">
        <x:v>规格</x:v>
      </x:c>
      <x:c r="B45" s="50" t="str">
        <x:v>为什么不能写死在总基线</x:v>
      </x:c>
      <x:c r="C45" s="50" t="str">
        <x:v>建议内容</x:v>
      </x:c>
      <x:c r="D45" s="50" t="str">
        <x:v>生成/落点</x:v>
      </x:c>
      <x:c r="E45" s="50" t="str">
        <x:v>Owner</x:v>
      </x:c>
      <x:c r="F45" s="50" t="str">
        <x:v>关联平台页</x:v>
      </x:c>
      <x:c r="G45" s="50" t="str">
        <x:v>变更频率</x:v>
      </x:c>
      <x:c r="H45" s="50" t="str">
        <x:v>验收</x:v>
      </x:c>
      <x:c r="I45" s="50" t="str">
        <x:v>示例</x:v>
      </x:c>
    </x:row>
    <x:row r="46">
      <x:c r="A46" s="58" t="str">
        <x:v>机台IO/轴/设备映射</x:v>
      </x:c>
      <x:c r="B46" s="58" t="str">
        <x:v>不同机型/客户/控制器完全不同</x:v>
      </x:c>
      <x:c r="C46" s="58" t="str">
        <x:v>PLC地址、AxisId、IO、相机、XRay、Detector、Robot resource</x:v>
      </x:c>
      <x:c r="D46" s="58" t="str">
        <x:v>RuntimeProfile/Device configs</x:v>
      </x:c>
      <x:c r="E46" s="58" t="str">
        <x:v>项目/电气</x:v>
      </x:c>
      <x:c r="F46" s="58" t="str">
        <x:v>28/35/40/52</x:v>
      </x:c>
      <x:c r="G46" s="58" t="str">
        <x:v>项目级</x:v>
      </x:c>
      <x:c r="H46" s="58" t="str">
        <x:v>Integration</x:v>
      </x:c>
      <x:c r="I46" s="58" t="str">
        <x:v>X9601轴/IO表</x:v>
      </x:c>
    </x:row>
    <x:row r="47">
      <x:c r="A47" s="66" t="str">
        <x:v>Motion/Robot参数</x:v>
      </x:c>
      <x:c r="B47" s="66" t="str">
        <x:v>速度/加速度/点位/Tool/Frame/安全模式依现场</x:v>
      </x:c>
      <x:c r="C47" s="66" t="str">
        <x:v>PointTable/SpeedProfile/Robot Tool/WorkObject/Controller Capability</x:v>
      </x:c>
      <x:c r="D47" s="66" t="str">
        <x:v>Project assets</x:v>
      </x:c>
      <x:c r="E47" s="66" t="str">
        <x:v>Motion/Robot</x:v>
      </x:c>
      <x:c r="F47" s="66" t="str">
        <x:v>40/52</x:v>
      </x:c>
      <x:c r="G47" s="66" t="str">
        <x:v>频繁</x:v>
      </x:c>
      <x:c r="H47" s="66" t="str">
        <x:v>实机节拍/安全</x:v>
      </x:c>
      <x:c r="I47" s="66" t="str">
        <x:v>工艺点位</x:v>
      </x:c>
    </x:row>
    <x:row r="48">
      <x:c r="A48" s="58" t="str">
        <x:v>Vision/AI算法规格</x:v>
      </x:c>
      <x:c r="B48" s="58" t="str">
        <x:v>缺陷、模型、阈值、ROI、数据集变化快</x:v>
      </x:c>
      <x:c r="C48" s="58" t="str">
        <x:v>Pipeline参数/ModelId/Golden样本/缺陷定义</x:v>
      </x:c>
      <x:c r="D48" s="58" t="str">
        <x:v>Vision assets</x:v>
      </x:c>
      <x:c r="E48" s="58" t="str">
        <x:v>算法</x:v>
      </x:c>
      <x:c r="F48" s="58" t="str">
        <x:v>42/43</x:v>
      </x:c>
      <x:c r="G48" s="58" t="str">
        <x:v>频繁</x:v>
      </x:c>
      <x:c r="H48" s="58" t="str">
        <x:v>Golden/Recall/Precision</x:v>
      </x:c>
      <x:c r="I48" s="58" t="str">
        <x:v>9601模型</x:v>
      </x:c>
    </x:row>
    <x:row r="49">
      <x:c r="A49" s="66" t="str">
        <x:v>CT几何/重建规格</x:v>
      </x:c>
      <x:c r="B49" s="66" t="str">
        <x:v>设备几何、投影数、体素、质量目标项目化</x:v>
      </x:c>
      <x:c r="C49" s="66" t="str">
        <x:v>SOD/SDD/Detector/Trajectory/Voxel/Recon params/CT Golden</x:v>
      </x:c>
      <x:c r="D49" s="66" t="str">
        <x:v>CT assets/Profile</x:v>
      </x:c>
      <x:c r="E49" s="66" t="str">
        <x:v>CT算法</x:v>
      </x:c>
      <x:c r="F49" s="66" t="str">
        <x:v>50/51</x:v>
      </x:c>
      <x:c r="G49" s="66" t="str">
        <x:v>项目级</x:v>
      </x:c>
      <x:c r="H49" s="66" t="str">
        <x:v>质量/性能</x:v>
      </x:c>
      <x:c r="I49" s="66" t="str">
        <x:v>平面CT几何</x:v>
      </x:c>
    </x:row>
    <x:row r="50">
      <x:c r="A50" s="58" t="str">
        <x:v>Inspection业务流程</x:v>
      </x:c>
      <x:c r="B50" s="58" t="str">
        <x:v>产品点位/MES/复测规则/人工流程客户化</x:v>
      </x:c>
      <x:c r="C50" s="58" t="str">
        <x:v>Product Schema/Point definitions/Recipe mapping/Flow/MES mapping</x:v>
      </x:c>
      <x:c r="D50" s="58" t="str">
        <x:v>Inspection project</x:v>
      </x:c>
      <x:c r="E50" s="58" t="str">
        <x:v>项目/软件</x:v>
      </x:c>
      <x:c r="F50" s="58" t="str">
        <x:v>44/46</x:v>
      </x:c>
      <x:c r="G50" s="58" t="str">
        <x:v>项目级</x:v>
      </x:c>
      <x:c r="H50" s="58" t="str">
        <x:v>Scenario/E2E</x:v>
      </x:c>
      <x:c r="I50" s="58" t="str">
        <x:v>多点位检测</x:v>
      </x:c>
    </x:row>
    <x:row r="51">
      <x:c r="A51" s="66" t="str">
        <x:v>性能目标</x:v>
      </x:c>
      <x:c r="B51" s="66" t="str">
        <x:v>硬件/UPH/图像/并发/网络决定</x:v>
      </x:c>
      <x:c r="C51" s="66" t="str">
        <x:v>CycleTime/UPH/FPS/ReconSec/Memory/VRAM/Station count</x:v>
      </x:c>
      <x:c r="D51" s="66" t="str">
        <x:v>Performance spec</x:v>
      </x:c>
      <x:c r="E51" s="66" t="str">
        <x:v>项目/性能</x:v>
      </x:c>
      <x:c r="F51" s="66" t="str">
        <x:v>21/50/54</x:v>
      </x:c>
      <x:c r="G51" s="66" t="str">
        <x:v>项目级</x:v>
      </x:c>
      <x:c r="H51" s="66" t="str">
        <x:v>Benchmark</x:v>
      </x:c>
      <x:c r="I51" s="66" t="str">
        <x:v>UPH3700</x:v>
      </x:c>
    </x:row>
    <x:row r="52">
      <x:c r="A52" s="58" t="str">
        <x:v>安全/网络策略</x:v>
      </x:c>
      <x:c r="B52" s="58" t="str">
        <x:v>客户IT/工厂网络/法规不同</x:v>
      </x:c>
      <x:c r="C52" s="58" t="str">
        <x:v>Network zone/Accounts/Remote policy/Approvals/Safety PLC boundary</x:v>
      </x:c>
      <x:c r="D52" s="58" t="str">
        <x:v>Security deployment spec</x:v>
      </x:c>
      <x:c r="E52" s="58" t="str">
        <x:v>IT/Safety</x:v>
      </x:c>
      <x:c r="F52" s="58" t="str">
        <x:v>18/55</x:v>
      </x:c>
      <x:c r="G52" s="58" t="str">
        <x:v>项目/客户级</x:v>
      </x:c>
      <x:c r="H52" s="58" t="str">
        <x:v>Security review</x:v>
      </x:c>
      <x:c r="I52" s="58" t="str">
        <x:v>远程维护策略</x:v>
      </x:c>
    </x:row>
    <x:row r="53">
      <x:c r="A53"/>
      <x:c r="B53"/>
      <x:c r="C53"/>
      <x:c r="D53"/>
      <x:c r="E53"/>
      <x:c r="F53"/>
      <x:c r="G53"/>
      <x:c r="H53"/>
      <x:c r="I53"/>
    </x:row>
    <x:row r="54" ht="24" customHeight="1">
      <x:c r="A54" s="40" t="str">
        <x:v>C. 文档完整性原则：总文档什么时候需要新增页？</x:v>
      </x:c>
      <x:c r="B54" s="40"/>
      <x:c r="C54" s="40"/>
      <x:c r="D54" s="40"/>
      <x:c r="E54" s="40"/>
      <x:c r="F54" s="40"/>
      <x:c r="G54" s="40"/>
      <x:c r="H54" s="40"/>
      <x:c r="I54" s="40"/>
    </x:row>
    <x:row r="55" ht="28" customHeight="1">
      <x:c r="A55" s="50" t="str">
        <x:v>触发条件</x:v>
      </x:c>
      <x:c r="B55" s="50" t="str">
        <x:v>是否加总基线页</x:v>
      </x:c>
      <x:c r="C55" s="50" t="str">
        <x:v>正确处理</x:v>
      </x:c>
      <x:c r="D55" s="50" t="str">
        <x:v>错误处理</x:v>
      </x:c>
      <x:c r="E55" s="50" t="str">
        <x:v>必须同步</x:v>
      </x:c>
      <x:c r="F55" s="50" t="str">
        <x:v>评审人</x:v>
      </x:c>
      <x:c r="G55" s="50" t="str">
        <x:v>示例</x:v>
      </x:c>
      <x:c r="H55" s="50" t="str">
        <x:v>门禁</x:v>
      </x:c>
      <x:c r="I55" s="50" t="str">
        <x:v>备注</x:v>
      </x:c>
    </x:row>
    <x:row r="56">
      <x:c r="A56" s="66" t="str">
        <x:v>出现新的执行语义</x:v>
      </x:c>
      <x:c r="B56" s="66" t="str">
        <x:v>可能是</x:v>
      </x:c>
      <x:c r="C56" s="66" t="str">
        <x:v>先验证是否真正不同于ControlFlow/TypedDataFlow/DurableWorkflow</x:v>
      </x:c>
      <x:c r="D56" s="66" t="str">
        <x:v>因为功能大就另建Graph体系</x:v>
      </x:c>
      <x:c r="E56" s="66" t="str">
        <x:v>03/25/29/49</x:v>
      </x:c>
      <x:c r="F56" s="66" t="str">
        <x:v>架构</x:v>
      </x:c>
      <x:c r="G56" s="66" t="str">
        <x:v>未来实时流式控制域</x:v>
      </x:c>
      <x:c r="H56" s="66" t="str">
        <x:v>ADR</x:v>
      </x:c>
      <x:c r="I56" s="66"/>
    </x:row>
    <x:row r="57">
      <x:c r="A57" s="58" t="str">
        <x:v>出现专业数据/调试需求</x:v>
      </x:c>
      <x:c r="B57" s="58" t="str">
        <x:v>是专题页</x:v>
      </x:c>
      <x:c r="C57" s="58" t="str">
        <x:v>复用平台基础，新增专业模型/Viewer/Worker/Adapter</x:v>
      </x:c>
      <x:c r="D57" s="58" t="str">
        <x:v>复制Project/Version/Debug</x:v>
      </x:c>
      <x:c r="E57" s="58" t="str">
        <x:v>02/03/24/58</x:v>
      </x:c>
      <x:c r="F57" s="58" t="str">
        <x:v>Domain+架构</x:v>
      </x:c>
      <x:c r="G57" s="58" t="str">
        <x:v>CT/Robot</x:v>
      </x:c>
      <x:c r="H57" s="58" t="str">
        <x:v>Architecture</x:v>
      </x:c>
      <x:c r="I57" s="58"/>
    </x:row>
    <x:row r="58">
      <x:c r="A58" s="66" t="str">
        <x:v>只是新Vendor/新设备</x:v>
      </x:c>
      <x:c r="B58" s="66" t="str">
        <x:v>通常不加大架构页</x:v>
      </x:c>
      <x:c r="C58" s="66" t="str">
        <x:v>做Provider/Capability/项目实例规格</x:v>
      </x:c>
      <x:c r="D58" s="66" t="str">
        <x:v>把Vendor SDK写进Core</x:v>
      </x:c>
      <x:c r="E58" s="66" t="str">
        <x:v>35/37/57</x:v>
      </x:c>
      <x:c r="F58" s="66" t="str">
        <x:v>Integration</x:v>
      </x:c>
      <x:c r="G58" s="66" t="str">
        <x:v>新机器人品牌</x:v>
      </x:c>
      <x:c r="H58" s="66" t="str">
        <x:v>Contract</x:v>
      </x:c>
      <x:c r="I58" s="66"/>
    </x:row>
    <x:row r="59">
      <x:c r="A59" s="58" t="str">
        <x:v>只是客户参数变化</x:v>
      </x:c>
      <x:c r="B59" s="58" t="str">
        <x:v>否</x:v>
      </x:c>
      <x:c r="C59" s="58" t="str">
        <x:v>更新项目规格/Recipe/Profile/Flow配置</x:v>
      </x:c>
      <x:c r="D59" s="58" t="str">
        <x:v>改平台Core</x:v>
      </x:c>
      <x:c r="E59" s="58" t="str">
        <x:v>项目文档/配置</x:v>
      </x:c>
      <x:c r="F59" s="58" t="str">
        <x:v>Project Lead</x:v>
      </x:c>
      <x:c r="G59" s="58" t="str">
        <x:v>MES字段/阈值</x:v>
      </x:c>
      <x:c r="H59" s="58" t="str">
        <x:v>Project review</x:v>
      </x:c>
      <x:c r="I59" s="58"/>
    </x:row>
    <x:row r="60">
      <x:c r="A60" s="66" t="str">
        <x:v>出现跨站点管理能力</x:v>
      </x:c>
      <x:c r="B60" s="66" t="str">
        <x:v>是Operations专题</x:v>
      </x:c>
      <x:c r="C60" s="66" t="str">
        <x:v>放Management Plane，保证Runtime自治</x:v>
      </x:c>
      <x:c r="D60" s="66" t="str">
        <x:v>把中心调用塞进本地Task路径</x:v>
      </x:c>
      <x:c r="E60" s="66" t="str">
        <x:v>03/36/49/54/55</x:v>
      </x:c>
      <x:c r="F60" s="66" t="str">
        <x:v>平台架构</x:v>
      </x:c>
      <x:c r="G60" s="66" t="str">
        <x:v>集中运维</x:v>
      </x:c>
      <x:c r="H60" s="66" t="str">
        <x:v>Partition tests</x:v>
      </x:c>
      <x:c r="I60" s="66"/>
    </x:row>
    <x:row r="61">
      <x:c r="A61" s="58" t="str">
        <x:v>现有页越来越难读</x:v>
      </x:c>
      <x:c r="B61" s="58" t="str">
        <x:v>可以拆专题页</x:v>
      </x:c>
      <x:c r="C61" s="58" t="str">
        <x:v>概要页保留边界与导航，深入页承载细节</x:v>
      </x:c>
      <x:c r="D61" s="58" t="str">
        <x:v>重复复制内容不建立关系</x:v>
      </x:c>
      <x:c r="E61" s="58" t="str">
        <x:v>00/48/58</x:v>
      </x:c>
      <x:c r="F61" s="58" t="str">
        <x:v>文档Owner</x:v>
      </x:c>
      <x:c r="G61" s="58" t="str">
        <x:v>31概要→40/41深入</x:v>
      </x:c>
      <x:c r="H61" s="58" t="str">
        <x:v>Doc review</x:v>
      </x:c>
      <x:c r="I61" s="58"/>
    </x:row>
    <x:row r="62">
      <x:c r="A62" s="118" t="str">
        <x:v>F. V6.4 之后重点 ADR / 设计决策队列</x:v>
      </x:c>
      <x:c r="B62" s="118"/>
      <x:c r="C62" s="118"/>
      <x:c r="D62" s="118"/>
      <x:c r="E62" s="118"/>
      <x:c r="F62" s="118"/>
      <x:c r="G62" s="118"/>
      <x:c r="H62" s="118"/>
      <x:c r="I62" s="118"/>
    </x:row>
    <x:row r="63">
      <x:c r="A63" s="119" t="str">
        <x:v>ADR候选</x:v>
      </x:c>
      <x:c r="B63" s="119" t="str">
        <x:v>问题</x:v>
      </x:c>
      <x:c r="C63" s="119" t="str">
        <x:v>当前倾向</x:v>
      </x:c>
      <x:c r="D63" s="119" t="str">
        <x:v>为什么现在不直接定死</x:v>
      </x:c>
      <x:c r="E63" s="119" t="str">
        <x:v>必须用什么Case验证</x:v>
      </x:c>
      <x:c r="F63" s="119" t="str">
        <x:v>影响页</x:v>
      </x:c>
      <x:c r="G63" s="119" t="str">
        <x:v>优先级</x:v>
      </x:c>
      <x:c r="H63" s="119" t="str">
        <x:v>状态</x:v>
      </x:c>
      <x:c r="I63" s="119" t="str">
        <x:v>备注</x:v>
      </x:c>
    </x:row>
    <x:row r="64">
      <x:c r="A64" s="117" t="str">
        <x:v>ADR-VAR-001</x:v>
      </x:c>
      <x:c r="B64" s="117" t="str">
        <x:v>通用Variable与Device关系</x:v>
      </x:c>
      <x:c r="C64" s="117" t="str">
        <x:v>Variable&lt;T&gt;为Platform值对象；DeviceNode为特殊Group/Owner</x:v>
      </x:c>
      <x:c r="D64" s="117" t="str">
        <x:v>需兼容旧MeasureXxx/VariableManager</x:v>
      </x:c>
      <x:c r="E64" s="117" t="str">
        <x:v>Local变量+PLC Binding+旧工程迁移</x:v>
      </x:c>
      <x:c r="F64" s="117" t="str">
        <x:v>46/50/17/05</x:v>
      </x:c>
      <x:c r="G64" s="117" t="str">
        <x:v>P0</x:v>
      </x:c>
      <x:c r="H64" s="117" t="str">
        <x:v>Proposed</x:v>
      </x:c>
      <x:c r="I64" s="117" t="str">
        <x:v>当前讨论已形成核心方向</x:v>
      </x:c>
    </x:row>
    <x:row r="65">
      <x:c r="A65" s="117" t="str">
        <x:v>ADR-VAR-002</x:v>
      </x:c>
      <x:c r="B65" s="117" t="str">
        <x:v>VariableId/Path/Owner/Group关系</x:v>
      </x:c>
      <x:c r="C65" s="117" t="str">
        <x:v>Id稳定唯一；Parent/Path用于组织；OwnerRef可独立</x:v>
      </x:c>
      <x:c r="D65" s="117" t="str">
        <x:v>需验证重命名/移动/换Provider</x:v>
      </x:c>
      <x:c r="E65" s="117" t="str">
        <x:v>VAR-GEN-02/05</x:v>
      </x:c>
      <x:c r="F65" s="117" t="str">
        <x:v>46/50</x:v>
      </x:c>
      <x:c r="G65" s="117" t="str">
        <x:v>P0</x:v>
      </x:c>
      <x:c r="H65" s="117" t="str">
        <x:v>Proposed</x:v>
      </x:c>
      <x:c r="I65" s="117" t="str"/>
    </x:row>
    <x:row r="66">
      <x:c r="A66" s="117" t="str">
        <x:v>ADR-VAR-003</x:v>
      </x:c>
      <x:c r="B66" s="117" t="str">
        <x:v>Value/OldValue/Raw/Setpoint扩展模型</x:v>
      </x:c>
      <x:c r="C66" s="117" t="str">
        <x:v>Current/Previous一等概念 + 可扩展ValueSlot</x:v>
      </x:c>
      <x:c r="D66" s="117" t="str">
        <x:v>避免不断加XXXValue属性</x:v>
      </x:c>
      <x:c r="E66" s="117" t="str">
        <x:v>并发Snapshot/Setpoint Case</x:v>
      </x:c>
      <x:c r="F66" s="117" t="str">
        <x:v>46/50</x:v>
      </x:c>
      <x:c r="G66" s="117" t="str">
        <x:v>P0</x:v>
      </x:c>
      <x:c r="H66" s="117" t="str">
        <x:v>Proposed</x:v>
      </x:c>
      <x:c r="I66" s="117" t="str"/>
    </x:row>
    <x:row r="67">
      <x:c r="A67" s="117" t="str">
        <x:v>ADR-INV-001</x:v>
      </x:c>
      <x:c r="B67" s="117" t="str">
        <x:v>Cross-Workbench Invocation同步/异步/Job语义</x:v>
      </x:c>
      <x:c r="C67" s="117" t="str">
        <x:v>Command/Invocation/Job/Stream明确分型</x:v>
      </x:c>
      <x:c r="D67" s="117" t="str">
        <x:v>需由CT/Vision/Inspection真实Case压</x:v>
      </x:c>
      <x:c r="E67" s="117" t="str">
        <x:v>X-Ray/CT Case</x:v>
      </x:c>
      <x:c r="F67" s="117" t="str">
        <x:v>03/37</x:v>
      </x:c>
      <x:c r="G67" s="117" t="str">
        <x:v>P1</x:v>
      </x:c>
      <x:c r="H67" s="117" t="str">
        <x:v>Open</x:v>
      </x:c>
      <x:c r="I67" s="117" t="str">
        <x:v>宪法遗留</x:v>
      </x:c>
    </x:row>
    <x:row r="68">
      <x:c r="A68" s="117" t="str">
        <x:v>ADR-RES-001</x:v>
      </x:c>
      <x:c r="B68" s="117" t="str">
        <x:v>ResourceDescriptor/LifecycleKind/Compiler/Provider最终接口</x:v>
      </x:c>
      <x:c r="C68" s="117" t="str">
        <x:v>保持多生命周期，不强制模板</x:v>
      </x:c>
      <x:c r="D68" s="117" t="str">
        <x:v>需更多资源类型实证</x:v>
      </x:c>
      <x:c r="E68" s="117" t="str">
        <x:v>Automation/Vision/CT/Inspection Case</x:v>
      </x:c>
      <x:c r="F68" s="117" t="str">
        <x:v>03/05</x:v>
      </x:c>
      <x:c r="G68" s="117" t="str">
        <x:v>P1</x:v>
      </x:c>
      <x:c r="H68" s="117" t="str">
        <x:v>Open</x:v>
      </x:c>
      <x:c r="I68" s="117" t="str">
        <x:v>宪法遗留</x:v>
      </x:c>
    </x:row>
    <x:row r="69">
      <x:c r="A69" s="117" t="str">
        <x:v>ADR-REL-001</x:v>
      </x:c>
      <x:c r="B69" s="117" t="str">
        <x:v>ReleaseManifest追踪Driver/Firmware/External Service粒度</x:v>
      </x:c>
      <x:c r="C69" s="117" t="str">
        <x:v>生产Release必须可复现</x:v>
      </x:c>
      <x:c r="D69" s="117" t="str">
        <x:v>需实机部署/升级Case</x:v>
      </x:c>
      <x:c r="E69" s="117" t="str">
        <x:v>PLC/运动卡现场发布</x:v>
      </x:c>
      <x:c r="F69" s="117" t="str">
        <x:v>23/38/39</x:v>
      </x:c>
      <x:c r="G69" s="117" t="str">
        <x:v>P1</x:v>
      </x:c>
      <x:c r="H69" s="117" t="str">
        <x:v>Open</x:v>
      </x:c>
      <x:c r="I69" s="117" t="str">
        <x:v>宪法遗留</x:v>
      </x:c>
    </x:row>
  </x:sheetData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34" hidden="0" customWidth="1"/>
    <x:col min="4" max="4" width="28" hidden="0" customWidth="1"/>
    <x:col min="5" max="5" width="22" hidden="0" customWidth="1"/>
    <x:col min="6" max="6" width="22" hidden="0" customWidth="1"/>
    <x:col min="7" max="7" width="18" hidden="0" customWidth="1"/>
    <x:col min="8" max="8" width="20" hidden="0" customWidth="1"/>
  </x:cols>
  <x:sheetData>
    <x:row r="1" ht="30" hidden="0" customHeight="1">
      <x:c r="A1" s="108" t="str">
        <x:v>CxVisual V6.4 — Studio Shell / 固定一级菜单 / Contextual Ribbon 正式基线</x:v>
      </x:c>
      <x:c r="B1" s="108"/>
      <x:c r="C1" s="108"/>
      <x:c r="D1" s="108"/>
      <x:c r="E1" s="108"/>
      <x:c r="F1" s="108"/>
      <x:c r="G1" s="108"/>
      <x:c r="H1" s="108"/>
    </x:row>
    <x:row r="2" ht="42" hidden="0" customHeight="1">
      <x:c r="A2" s="85" t="str">
        <x:v>固定工程生命周期菜单；六Workbench及Automation内部专业能力按Active Resource/Document动态贡献Ribbon；Studio只组合Editor/Outline/Property/Command，不持有Vendor SDK或专业Runtime内部对象。</x:v>
      </x:c>
      <x:c r="B2" s="85"/>
      <x:c r="C2" s="85"/>
      <x:c r="D2" s="85"/>
      <x:c r="E2" s="85"/>
      <x:c r="F2" s="85"/>
      <x:c r="G2" s="85"/>
      <x:c r="H2" s="85"/>
    </x:row>
    <x:row r="3" ht="15" hidden="0" customHeight="1">
      <x:c r="A3" s="87" t="str">
        <x:v>本页唯一权威</x:v>
      </x:c>
      <x:c r="B3" s="88" t="str">
        <x:v>固定9一级菜单、Contextual Ribbon映射、Design/Debug/Run可见与启用规则、命令路由、Domain扩展注册要求。</x:v>
      </x:c>
      <x:c r="C3" s="88"/>
      <x:c r="D3" s="88"/>
      <x:c r="E3" s="88"/>
      <x:c r="F3" s="88"/>
      <x:c r="G3" s="88"/>
      <x:c r="H3" s="88"/>
    </x:row>
    <x:row r="4" ht="15" hidden="0" customHeight="1">
      <x:c r="A4" s="87" t="str">
        <x:v>不在本页维护</x:v>
      </x:c>
      <x:c r="B4" s="88" t="str">
        <x:v>各Domain内部对象/Runtime算法细节；见27~39。真实实现状态见41。</x:v>
      </x:c>
      <x:c r="C4" s="88"/>
      <x:c r="D4" s="88"/>
      <x:c r="E4" s="88"/>
      <x:c r="F4" s="88"/>
      <x:c r="G4" s="88"/>
      <x:c r="H4" s="88"/>
    </x:row>
    <x:row r="5" ht="15" hidden="0" customHeight="1">
      <x:c r="A5" s="87" t="str">
        <x:v>关联分页</x:v>
      </x:c>
      <x:c r="B5" s="88" t="str">
        <x:v>03_架构总纲与领域边界；07_StudioDesigner架构；21_Graph统一OnlineDebug架构；40/41；46/47/49/50。</x:v>
      </x:c>
      <x:c r="C5" s="88"/>
      <x:c r="D5" s="88"/>
      <x:c r="E5" s="88"/>
      <x:c r="F5" s="88"/>
      <x:c r="G5" s="88"/>
      <x:c r="H5" s="88"/>
    </x:row>
    <x:row r="6" ht="15" hidden="0" customHeight="1">
      <x:c r="A6" s="79"/>
      <x:c r="B6" s="79"/>
      <x:c r="C6" s="79"/>
      <x:c r="D6" s="79"/>
      <x:c r="E6" s="79"/>
      <x:c r="F6" s="79"/>
      <x:c r="G6" s="79"/>
      <x:c r="H6" s="79"/>
    </x:row>
    <x:row r="7" ht="15" hidden="0" customHeight="1">
      <x:c r="A7" s="91" t="str">
        <x:v>A. 固定一级菜单（长期稳定）</x:v>
      </x:c>
      <x:c r="B7" s="91"/>
      <x:c r="C7" s="91"/>
      <x:c r="D7" s="91"/>
      <x:c r="E7" s="91"/>
      <x:c r="F7" s="91"/>
      <x:c r="G7" s="91"/>
      <x:c r="H7" s="91"/>
    </x:row>
    <x:row r="8" ht="15" hidden="0" customHeight="1">
      <x:c r="A8" s="95" t="str">
        <x:v>一级菜单</x:v>
      </x:c>
      <x:c r="B8" s="95" t="str">
        <x:v>定位</x:v>
      </x:c>
      <x:c r="C8" s="95" t="str">
        <x:v>主要内容</x:v>
      </x:c>
      <x:c r="D8" s="95" t="str">
        <x:v>性质</x:v>
      </x:c>
      <x:c r="E8" s="95" t="str">
        <x:v>服务/入口</x:v>
      </x:c>
      <x:c r="F8" s="95" t="str">
        <x:v>安全/模式规则</x:v>
      </x:c>
      <x:c r="G8" s="95" t="str">
        <x:v>阶段</x:v>
      </x:c>
      <x:c r="H8" s="95" t="str">
        <x:v>备注</x:v>
      </x:c>
    </x:row>
    <x:row r="9" ht="21.600000381469727" hidden="0" customHeight="1">
      <x:c r="A9" s="79" t="str">
        <x:v>文件</x:v>
      </x:c>
      <x:c r="B9" s="79" t="str">
        <x:v>工程文件生命周期</x:v>
      </x:c>
      <x:c r="C9" s="79" t="str">
        <x:v>开始/新建/打开/最近工程/保存/全部保存/另存为/导入/导出/打印/关闭</x:v>
      </x:c>
      <x:c r="D9" s="79" t="str">
        <x:v>永久固定</x:v>
      </x:c>
      <x:c r="E9" s="79" t="str">
        <x:v>File services</x:v>
      </x:c>
      <x:c r="F9" s="79" t="str">
        <x:v>全模式按状态启用</x:v>
      </x:c>
      <x:c r="G9" s="79" t="str">
        <x:v>M1</x:v>
      </x:c>
      <x:c r="H9" s="79"/>
    </x:row>
    <x:row r="10" ht="32.400001525878906" hidden="0" customHeight="1">
      <x:c r="A10" s="79" t="str">
        <x:v>编辑</x:v>
      </x:c>
      <x:c r="B10" s="79" t="str">
        <x:v>通用对象编辑</x:v>
      </x:c>
      <x:c r="C10" s="79" t="str">
        <x:v>Undo/Redo/Command History/剪切/复制/粘贴/删除/克隆/重命名/查找/替换/全选</x:v>
      </x:c>
      <x:c r="D10" s="79" t="str">
        <x:v>永久固定</x:v>
      </x:c>
      <x:c r="E10" s="79" t="str">
        <x:v>Command/Selection</x:v>
      </x:c>
      <x:c r="F10" s="79" t="str">
        <x:v>Run时编辑命令禁用</x:v>
      </x:c>
      <x:c r="G10" s="79" t="str">
        <x:v>M1</x:v>
      </x:c>
      <x:c r="H10" s="79"/>
    </x:row>
    <x:row r="11" ht="21.600000381469727" hidden="0" customHeight="1">
      <x:c r="A11" s="79" t="str">
        <x:v>视图</x:v>
      </x:c>
      <x:c r="B11" s="79" t="str">
        <x:v>Studio显示与布局</x:v>
      </x:c>
      <x:c r="C11" s="79" t="str">
        <x:v>缩放/适应/网格/标尺/参考线/工具箱/工程树/属性/Output/Diagnostics/Watch/Trace/布局/主题</x:v>
      </x:c>
      <x:c r="D11" s="79" t="str">
        <x:v>永久固定</x:v>
      </x:c>
      <x:c r="E11" s="79" t="str">
        <x:v>Shell layout</x:v>
      </x:c>
      <x:c r="F11" s="79" t="str">
        <x:v>不改变Domain边界</x:v>
      </x:c>
      <x:c r="G11" s="79" t="str">
        <x:v>M1</x:v>
      </x:c>
      <x:c r="H11" s="79"/>
    </x:row>
    <x:row r="12" ht="21.600000381469727" hidden="0" customHeight="1">
      <x:c r="A12" s="79" t="str">
        <x:v>工程</x:v>
      </x:c>
      <x:c r="B12" s="79" t="str">
        <x:v>Project管理中心</x:v>
      </x:c>
      <x:c r="C12" s="79" t="str">
        <x:v>工程属性/页面/Symbol/Graph/设备/变量/资源/配方/报警/引用/插件/版本/验证</x:v>
      </x:c>
      <x:c r="D12" s="79" t="str">
        <x:v>永久固定</x:v>
      </x:c>
      <x:c r="E12" s="79" t="str">
        <x:v>Project services</x:v>
      </x:c>
      <x:c r="F12" s="79" t="str">
        <x:v>工程资产入口</x:v>
      </x:c>
      <x:c r="G12" s="79" t="str">
        <x:v>M1~M7</x:v>
      </x:c>
      <x:c r="H12" s="79"/>
    </x:row>
    <x:row r="13" ht="21.600000381469727" hidden="0" customHeight="1">
      <x:c r="A13" s="79" t="str">
        <x:v>调试</x:v>
      </x:c>
      <x:c r="B13" s="79" t="str">
        <x:v>Engineering Debug</x:v>
      </x:c>
      <x:c r="C13" s="79" t="str">
        <x:v>Simulation/Live/Replay/会话/断点/单步/RunTo/Watch/Trace/Timeline/Real Write Unlock</x:v>
      </x:c>
      <x:c r="D13" s="79" t="str">
        <x:v>永久固定</x:v>
      </x:c>
      <x:c r="E13" s="79" t="str">
        <x:v>DebugSession</x:v>
      </x:c>
      <x:c r="F13" s="79" t="str">
        <x:v>与Run分离</x:v>
      </x:c>
      <x:c r="G13" s="79" t="str">
        <x:v>M3</x:v>
      </x:c>
      <x:c r="H13" s="79"/>
    </x:row>
    <x:row r="14" ht="21.600000381469727" hidden="0" customHeight="1">
      <x:c r="A14" s="79" t="str">
        <x:v>运行</x:v>
      </x:c>
      <x:c r="B14" s="79" t="str">
        <x:v>Runtime行为</x:v>
      </x:c>
      <x:c r="C14" s="79" t="str">
        <x:v>预览/启动/停止/重启/Operation/Alarm/Trend/Task/Result/Health/维护模式</x:v>
      </x:c>
      <x:c r="D14" s="79" t="str">
        <x:v>永久固定</x:v>
      </x:c>
      <x:c r="E14" s="79" t="str">
        <x:v>RuntimeHost</x:v>
      </x:c>
      <x:c r="F14" s="79" t="str">
        <x:v>执行发布版本</x:v>
      </x:c>
      <x:c r="G14" s="79" t="str">
        <x:v>M3+</x:v>
      </x:c>
      <x:c r="H14" s="79"/>
    </x:row>
    <x:row r="15" ht="21.600000381469727" hidden="0" customHeight="1">
      <x:c r="A15" s="79" t="str">
        <x:v>发布</x:v>
      </x:c>
      <x:c r="B15" s="79" t="str">
        <x:v>工程到现场</x:v>
      </x:c>
      <x:c r="C15" s="79" t="str">
        <x:v>Precheck/Build/Release/签名Hash/部署/验证/回滚/记录</x:v>
      </x:c>
      <x:c r="D15" s="79" t="str">
        <x:v>永久固定</x:v>
      </x:c>
      <x:c r="E15" s="79" t="str">
        <x:v>Publish/Deployment</x:v>
      </x:c>
      <x:c r="F15" s="79" t="str">
        <x:v>可追溯Release</x:v>
      </x:c>
      <x:c r="G15" s="79" t="str">
        <x:v>M7</x:v>
      </x:c>
      <x:c r="H15" s="79"/>
    </x:row>
    <x:row r="16" ht="21.600000381469727" hidden="0" customHeight="1">
      <x:c r="A16" s="79" t="str">
        <x:v>工具</x:v>
      </x:c>
      <x:c r="B16" s="79" t="str">
        <x:v>平台辅助</x:v>
      </x:c>
      <x:c r="C16" s="79" t="str">
        <x:v>Options/Plugins/Device Diagnostics/Communication Test/Script/Resource/Performance/Logs</x:v>
      </x:c>
      <x:c r="D16" s="79" t="str">
        <x:v>永久固定</x:v>
      </x:c>
      <x:c r="E16" s="79" t="str">
        <x:v>Tool services</x:v>
      </x:c>
      <x:c r="F16" s="79" t="str">
        <x:v>工具不旁路安全</x:v>
      </x:c>
      <x:c r="G16" s="79" t="str">
        <x:v>M1~M7</x:v>
      </x:c>
      <x:c r="H16" s="79"/>
    </x:row>
    <x:row r="17" ht="21.600000381469727" hidden="0" customHeight="1">
      <x:c r="A17" s="79" t="str">
        <x:v>帮助</x:v>
      </x:c>
      <x:c r="B17" s="79" t="str">
        <x:v>产品与开发帮助</x:v>
      </x:c>
      <x:c r="C17" s="79" t="str">
        <x:v>使用帮助/快捷键/SDK/API/Release Notes/系统信息/关于</x:v>
      </x:c>
      <x:c r="D17" s="79" t="str">
        <x:v>永久固定</x:v>
      </x:c>
      <x:c r="E17" s="79" t="str">
        <x:v>Help services</x:v>
      </x:c>
      <x:c r="F17" s="79" t="str">
        <x:v>版本信息可追溯</x:v>
      </x:c>
      <x:c r="G17" s="79" t="str">
        <x:v>M1~M7</x:v>
      </x:c>
      <x:c r="H17" s="79"/>
    </x:row>
    <x:row r="18" ht="15" hidden="0" customHeight="1">
      <x:c r="A18" s="79"/>
      <x:c r="B18" s="79"/>
      <x:c r="C18" s="79"/>
      <x:c r="D18" s="79"/>
      <x:c r="E18" s="79"/>
      <x:c r="F18" s="79"/>
      <x:c r="G18" s="79"/>
      <x:c r="H18" s="79"/>
    </x:row>
    <x:row r="19" ht="15" hidden="0" customHeight="1">
      <x:c r="A19" s="91" t="str">
        <x:v>B. Domain Contextual Ribbon 映射</x:v>
      </x:c>
      <x:c r="B19" s="91"/>
      <x:c r="C19" s="91"/>
      <x:c r="D19" s="91"/>
      <x:c r="E19" s="91"/>
      <x:c r="F19" s="91"/>
      <x:c r="G19" s="91"/>
      <x:c r="H19" s="91"/>
    </x:row>
    <x:row r="20" ht="24" hidden="0" customHeight="1">
      <x:c r="A20" s="95" t="str">
        <x:v>当前Document/Workspace</x:v>
      </x:c>
      <x:c r="B20" s="95" t="str">
        <x:v>上下文一级页签</x:v>
      </x:c>
      <x:c r="C20" s="95" t="str">
        <x:v>定位</x:v>
      </x:c>
      <x:c r="D20" s="95" t="str">
        <x:v>Provider</x:v>
      </x:c>
      <x:c r="E20" s="95" t="str">
        <x:v>阶段</x:v>
      </x:c>
      <x:c r="F20" s="95" t="str">
        <x:v>关键规则</x:v>
      </x:c>
      <x:c r="G20" s="95" t="str">
        <x:v>DesignRef</x:v>
      </x:c>
      <x:c r="H20" s="95" t="str">
        <x:v>备注</x:v>
      </x:c>
    </x:row>
    <x:row r="21" ht="15" hidden="0" customHeight="1">
      <x:c r="A21" s="79" t="str">
        <x:v>Screen / Symbol</x:v>
      </x:c>
      <x:c r="B21" s="79" t="str">
        <x:v>绘图｜排列｜图层｜绑定</x:v>
      </x:c>
      <x:c r="C21" s="79" t="str">
        <x:v>Visual/HMI专业编辑</x:v>
      </x:c>
      <x:c r="D21" s="79" t="str">
        <x:v>HmiWorkspaceProvider</x:v>
      </x:c>
      <x:c r="E21" s="79" t="str">
        <x:v>M2</x:v>
      </x:c>
      <x:c r="F21" s="79" t="str">
        <x:v>绘图不是永久一级菜单</x:v>
      </x:c>
      <x:c r="G21" s="79" t="str">
        <x:v>45/07</x:v>
      </x:c>
      <x:c r="H21" s="79"/>
    </x:row>
    <x:row r="22" ht="15" hidden="0" customHeight="1">
      <x:c r="A22" s="79" t="str">
        <x:v>SCADA Config</x:v>
      </x:c>
      <x:c r="B22" s="79" t="str">
        <x:v>设备｜变量｜报警｜历史｜配方</x:v>
      </x:c>
      <x:c r="C22" s="79" t="str">
        <x:v>SCADA/ICS配置</x:v>
      </x:c>
      <x:c r="D22" s="79" t="str">
        <x:v>ScadaWorkspaceProvider</x:v>
      </x:c>
      <x:c r="E22" s="79" t="str">
        <x:v>M2</x:v>
      </x:c>
      <x:c r="F22" s="79" t="str">
        <x:v>变量树接DeviceVariableProvider</x:v>
      </x:c>
      <x:c r="G22" s="79" t="str">
        <x:v>45/17/46</x:v>
      </x:c>
      <x:c r="H22" s="79"/>
    </x:row>
    <x:row r="23" ht="21.600000381469727" hidden="0" customHeight="1">
      <x:c r="A23" s="79" t="str">
        <x:v>Graph</x:v>
      </x:c>
      <x:c r="B23" s="79" t="str">
        <x:v>节点｜连线｜Graph</x:v>
      </x:c>
      <x:c r="C23" s="79" t="str">
        <x:v>通用执行图建模</x:v>
      </x:c>
      <x:c r="D23" s="79" t="str">
        <x:v>GraphWorkspaceProvider</x:v>
      </x:c>
      <x:c r="E23" s="79" t="str">
        <x:v>M3</x:v>
      </x:c>
      <x:c r="F23" s="79" t="str">
        <x:v>执行语义由GraphKind/Compiler决定</x:v>
      </x:c>
      <x:c r="G23" s="79" t="str">
        <x:v>45/19</x:v>
      </x:c>
      <x:c r="H23" s="79"/>
    </x:row>
    <x:row r="24" ht="15" hidden="0" customHeight="1">
      <x:c r="A24" s="79" t="str">
        <x:v>Motion</x:v>
      </x:c>
      <x:c r="B24" s="79" t="str">
        <x:v>运动｜轴/IO｜硬件</x:v>
      </x:c>
      <x:c r="C24" s="79" t="str">
        <x:v>运动控制与机台硬件</x:v>
      </x:c>
      <x:c r="D24" s="79" t="str">
        <x:v>MotionWorkspaceProvider</x:v>
      </x:c>
      <x:c r="E24" s="79" t="str">
        <x:v>M4</x:v>
      </x:c>
      <x:c r="F24" s="79" t="str">
        <x:v>受Resource/Interlock/Policy约束</x:v>
      </x:c>
      <x:c r="G24" s="79" t="str">
        <x:v>45/27/47</x:v>
      </x:c>
      <x:c r="H24" s="79"/>
    </x:row>
    <x:row r="25" ht="15" hidden="0" customHeight="1">
      <x:c r="A25" s="79" t="str">
        <x:v>Robot</x:v>
      </x:c>
      <x:c r="B25" s="79" t="str">
        <x:v>机器人｜路径｜示教</x:v>
      </x:c>
      <x:c r="C25" s="79" t="str">
        <x:v>机器人专业扩展</x:v>
      </x:c>
      <x:c r="D25" s="79" t="str">
        <x:v>RobotWorkspaceProvider</x:v>
      </x:c>
      <x:c r="E25" s="79" t="str">
        <x:v>M4+</x:v>
      </x:c>
      <x:c r="F25" s="79" t="str">
        <x:v>Automation 内 Motion 专业上下文</x:v>
      </x:c>
      <x:c r="G25" s="79" t="str">
        <x:v>45/29</x:v>
      </x:c>
      <x:c r="H25" s="79"/>
    </x:row>
    <x:row r="26" ht="15" hidden="0" customHeight="1">
      <x:c r="A26" s="79" t="str">
        <x:v>Vision</x:v>
      </x:c>
      <x:c r="B26" s="79" t="str">
        <x:v>视觉｜算法｜标定｜图像</x:v>
      </x:c>
      <x:c r="C26" s="79" t="str">
        <x:v>2D/算法/视觉专业能力</x:v>
      </x:c>
      <x:c r="D26" s="79" t="str">
        <x:v>VisionWorkspaceProvider</x:v>
      </x:c>
      <x:c r="E26" s="79" t="str">
        <x:v>M5</x:v>
      </x:c>
      <x:c r="F26" s="79" t="str">
        <x:v>大数据Viewer按需</x:v>
      </x:c>
      <x:c r="G26" s="79" t="str">
        <x:v>45/31</x:v>
      </x:c>
      <x:c r="H26" s="79"/>
    </x:row>
    <x:row r="27" ht="15" hidden="0" customHeight="1">
      <x:c r="A27" s="79" t="str">
        <x:v>CT / 3D</x:v>
      </x:c>
      <x:c r="B27" s="79" t="str">
        <x:v>CT/3D｜重建｜可视化</x:v>
      </x:c>
      <x:c r="C27" s="79" t="str">
        <x:v>CT与三维视觉专业扩展</x:v>
      </x:c>
      <x:c r="D27" s="79" t="str">
        <x:v>Ct3dWorkspaceProvider</x:v>
      </x:c>
      <x:c r="E27" s="79" t="str">
        <x:v>M5+</x:v>
      </x:c>
      <x:c r="F27" s="79" t="str">
        <x:v>CT3D 平级 Workbench，上下文独立贡献</x:v>
      </x:c>
      <x:c r="G27" s="79" t="str">
        <x:v>45/33</x:v>
      </x:c>
      <x:c r="H27" s="79"/>
    </x:row>
    <x:row r="28" ht="15" hidden="0" customHeight="1">
      <x:c r="A28" s="79" t="str">
        <x:v>Inspection</x:v>
      </x:c>
      <x:c r="B28" s="79" t="str">
        <x:v>流程｜检测｜工位</x:v>
      </x:c>
      <x:c r="C28" s="79" t="str">
        <x:v>检测业务Durable Workflow</x:v>
      </x:c>
      <x:c r="D28" s="79" t="str">
        <x:v>InspectionWorkspaceProvider</x:v>
      </x:c>
      <x:c r="E28" s="79" t="str">
        <x:v>M6</x:v>
      </x:c>
      <x:c r="F28" s="79" t="str">
        <x:v>生产Run结构锁定</x:v>
      </x:c>
      <x:c r="G28" s="79" t="str">
        <x:v>45/35</x:v>
      </x:c>
      <x:c r="H28" s="79"/>
    </x:row>
    <x:row r="29" ht="15" hidden="0" customHeight="1">
      <x:c r="A29" s="79"/>
      <x:c r="B29" s="79"/>
      <x:c r="C29" s="79"/>
      <x:c r="D29" s="79"/>
      <x:c r="E29" s="79"/>
      <x:c r="F29" s="79"/>
      <x:c r="G29" s="79"/>
      <x:c r="H29" s="79"/>
    </x:row>
    <x:row r="30" ht="15" hidden="0" customHeight="1">
      <x:c r="A30" s="91" t="str">
        <x:v>C. Design / Debug / Run 可见性与权限矩阵</x:v>
      </x:c>
      <x:c r="B30" s="91"/>
      <x:c r="C30" s="91"/>
      <x:c r="D30" s="91"/>
      <x:c r="E30" s="91"/>
      <x:c r="F30" s="91"/>
      <x:c r="G30" s="91"/>
      <x:c r="H30" s="91"/>
    </x:row>
    <x:row r="31" ht="15" hidden="0" customHeight="1">
      <x:c r="A31" s="95" t="str">
        <x:v>场景</x:v>
      </x:c>
      <x:c r="B31" s="95" t="str">
        <x:v>固定菜单</x:v>
      </x:c>
      <x:c r="C31" s="95" t="str">
        <x:v>上下文页签</x:v>
      </x:c>
      <x:c r="D31" s="95" t="str">
        <x:v>工程结构</x:v>
      </x:c>
      <x:c r="E31" s="95" t="str">
        <x:v>真实写入</x:v>
      </x:c>
      <x:c r="F31" s="95" t="str">
        <x:v>关键规则</x:v>
      </x:c>
      <x:c r="G31" s="95" t="str">
        <x:v>阶段</x:v>
      </x:c>
      <x:c r="H31" s="95" t="str">
        <x:v>备注</x:v>
      </x:c>
    </x:row>
    <x:row r="32" ht="15" hidden="0" customHeight="1">
      <x:c r="A32" s="79" t="str">
        <x:v>未打开工程</x:v>
      </x:c>
      <x:c r="B32" s="79" t="str">
        <x:v>文件/视图/工具/帮助为主</x:v>
      </x:c>
      <x:c r="C32" s="79" t="str">
        <x:v>无</x:v>
      </x:c>
      <x:c r="D32" s="79" t="str">
        <x:v>无工程结构</x:v>
      </x:c>
      <x:c r="E32" s="79" t="str">
        <x:v>无真实写</x:v>
      </x:c>
      <x:c r="F32" s="79" t="str">
        <x:v>工程/调试/运行/发布禁用或精简</x:v>
      </x:c>
      <x:c r="G32" s="79" t="str">
        <x:v>M1</x:v>
      </x:c>
      <x:c r="H32" s="79"/>
    </x:row>
    <x:row r="33" ht="21.600000381469727" hidden="0" customHeight="1">
      <x:c r="A33" s="79" t="str">
        <x:v>Design</x:v>
      </x:c>
      <x:c r="B33" s="79" t="str">
        <x:v>全部固定菜单可见</x:v>
      </x:c>
      <x:c r="C33" s="79" t="str">
        <x:v>按活动文档显示</x:v>
      </x:c>
      <x:c r="D33" s="79" t="str">
        <x:v>允许结构/属性/流程编辑</x:v>
      </x:c>
      <x:c r="E33" s="79" t="str">
        <x:v>关闭</x:v>
      </x:c>
      <x:c r="F33" s="79" t="str">
        <x:v>所有永久修改走Command/Transaction</x:v>
      </x:c>
      <x:c r="G33" s="79" t="str">
        <x:v>M1~M7</x:v>
      </x:c>
      <x:c r="H33" s="79"/>
    </x:row>
    <x:row r="34" ht="15" hidden="0" customHeight="1">
      <x:c r="A34" s="79" t="str">
        <x:v>Debug - Simulation</x:v>
      </x:c>
      <x:c r="B34" s="79" t="str">
        <x:v>全部固定菜单可见</x:v>
      </x:c>
      <x:c r="C34" s="79" t="str">
        <x:v>按活动文档显示</x:v>
      </x:c>
      <x:c r="D34" s="79" t="str">
        <x:v>结构默认锁定；允许受控参数Override</x:v>
      </x:c>
      <x:c r="E34" s="79" t="str">
        <x:v>仿真，无真实设备写</x:v>
      </x:c>
      <x:c r="F34" s="79" t="str">
        <x:v>Breakpoint/Step/Watch/Trace</x:v>
      </x:c>
      <x:c r="G34" s="79" t="str">
        <x:v>M3+</x:v>
      </x:c>
      <x:c r="H34" s="79"/>
    </x:row>
    <x:row r="35" ht="32.400001525878906" hidden="0" customHeight="1">
      <x:c r="A35" s="79" t="str">
        <x:v>Debug - Live</x:v>
      </x:c>
      <x:c r="B35" s="79" t="str">
        <x:v>全部固定菜单可见</x:v>
      </x:c>
      <x:c r="C35" s="79" t="str">
        <x:v>按活动文档显示</x:v>
      </x:c>
      <x:c r="D35" s="79" t="str">
        <x:v>结构默认锁定；受控Hot Tuning</x:v>
      </x:c>
      <x:c r="E35" s="79" t="str">
        <x:v>默认关闭，显式Unlock</x:v>
      </x:c>
      <x:c r="F35" s="79" t="str">
        <x:v>Target Capability/Permission/Interlock/Lease/Audit最终裁决</x:v>
      </x:c>
      <x:c r="G35" s="79" t="str">
        <x:v>M3+</x:v>
      </x:c>
      <x:c r="H35" s="79"/>
    </x:row>
    <x:row r="36" ht="32.400001525878906" hidden="0" customHeight="1">
      <x:c r="A36" s="79" t="str">
        <x:v>Run</x:v>
      </x:c>
      <x:c r="B36" s="79" t="str">
        <x:v>固定菜单可见，工程编辑类命令禁用</x:v>
      </x:c>
      <x:c r="C36" s="79" t="str">
        <x:v>以运行查看/诊断Context为主</x:v>
      </x:c>
      <x:c r="D36" s="79" t="str">
        <x:v>结构锁定</x:v>
      </x:c>
      <x:c r="E36" s="79" t="str">
        <x:v>按发布策略</x:v>
      </x:c>
      <x:c r="F36" s="79" t="str">
        <x:v>执行发布Runtime Plan；不允许未发布结构直接生效</x:v>
      </x:c>
      <x:c r="G36" s="79" t="str">
        <x:v>M3+</x:v>
      </x:c>
      <x:c r="H36" s="79"/>
    </x:row>
    <x:row r="37" ht="21.600000381469727" hidden="0" customHeight="1">
      <x:c r="A37" s="79" t="str">
        <x:v>无活动专业文档</x:v>
      </x:c>
      <x:c r="B37" s="79" t="str">
        <x:v>固定菜单保留</x:v>
      </x:c>
      <x:c r="C37" s="79" t="str">
        <x:v>隐藏</x:v>
      </x:c>
      <x:c r="D37" s="79" t="str">
        <x:v>不变化</x:v>
      </x:c>
      <x:c r="E37" s="79" t="str">
        <x:v>不变化</x:v>
      </x:c>
      <x:c r="F37" s="79" t="str">
        <x:v>不能残留上一个Domain页签/命令状态</x:v>
      </x:c>
      <x:c r="G37" s="79" t="str">
        <x:v>M1</x:v>
      </x:c>
      <x:c r="H37" s="79"/>
    </x:row>
    <x:row r="38" ht="15" hidden="0" customHeight="1">
      <x:c r="A38" s="79"/>
      <x:c r="B38" s="79"/>
      <x:c r="C38" s="79"/>
      <x:c r="D38" s="79"/>
      <x:c r="E38" s="79"/>
      <x:c r="F38" s="79"/>
      <x:c r="G38" s="79"/>
      <x:c r="H38" s="79"/>
    </x:row>
    <x:row r="39" ht="15" hidden="0" customHeight="1">
      <x:c r="A39" s="91" t="str">
        <x:v>D. Ribbon命令→软件架构统一路由</x:v>
      </x:c>
      <x:c r="B39" s="91"/>
      <x:c r="C39" s="91"/>
      <x:c r="D39" s="91"/>
      <x:c r="E39" s="91"/>
      <x:c r="F39" s="91"/>
      <x:c r="G39" s="91"/>
      <x:c r="H39" s="91"/>
    </x:row>
    <x:row r="40" ht="15" hidden="0" customHeight="1">
      <x:c r="A40" s="95" t="str">
        <x:v>序号</x:v>
      </x:c>
      <x:c r="B40" s="95" t="str">
        <x:v>层级</x:v>
      </x:c>
      <x:c r="C40" s="95" t="str">
        <x:v>职责</x:v>
      </x:c>
      <x:c r="D40" s="95" t="str">
        <x:v>关键边界</x:v>
      </x:c>
      <x:c r="E40" s="95" t="str">
        <x:v>所属层</x:v>
      </x:c>
      <x:c r="F40" s="95" t="str">
        <x:v>测试</x:v>
      </x:c>
      <x:c r="G40" s="95" t="str">
        <x:v>备注</x:v>
      </x:c>
      <x:c r="H40" s="95" t="str"/>
    </x:row>
    <x:row r="41" ht="15" hidden="0" customHeight="1">
      <x:c r="A41" s="79" t="str">
        <x:v>1</x:v>
      </x:c>
      <x:c r="B41" s="79" t="str">
        <x:v>Ribbon/Menu</x:v>
      </x:c>
      <x:c r="C41" s="79" t="str">
        <x:v>只负责呈现CommandDescriptor与CanExecute状态</x:v>
      </x:c>
      <x:c r="D41" s="79" t="str">
        <x:v>UI不持Domain Runtime/Vendor SDK</x:v>
      </x:c>
      <x:c r="E41" s="79" t="str">
        <x:v>Shell</x:v>
      </x:c>
      <x:c r="F41" s="79" t="str">
        <x:v>Architecture/UI</x:v>
      </x:c>
      <x:c r="G41" s="79"/>
      <x:c r="H41" s="79"/>
    </x:row>
    <x:row r="42" ht="21.600000381469727" hidden="0" customHeight="1">
      <x:c r="A42" s="79" t="str">
        <x:v>2</x:v>
      </x:c>
      <x:c r="B42" s="79" t="str">
        <x:v>Command / CommandDescriptor</x:v>
      </x:c>
      <x:c r="C42" s="79" t="str">
        <x:v>CommandId/Label/Icon/Shortcut/Execute/CanExecute/Capability/Mode/Permission/Selection</x:v>
      </x:c>
      <x:c r="D42" s="79" t="str">
        <x:v>统一命令元数据</x:v>
      </x:c>
      <x:c r="E42" s="79" t="str">
        <x:v>Application</x:v>
      </x:c>
      <x:c r="F42" s="79" t="str">
        <x:v>Unit/contract</x:v>
      </x:c>
      <x:c r="G42" s="79"/>
      <x:c r="H42" s="79"/>
    </x:row>
    <x:row r="43" ht="15" hidden="0" customHeight="1">
      <x:c r="A43" s="79" t="str">
        <x:v>3</x:v>
      </x:c>
      <x:c r="B43" s="79" t="str">
        <x:v>Workspace / Document ViewModel</x:v>
      </x:c>
      <x:c r="C43" s="79" t="str">
        <x:v>当前文档/选择/Session上下文</x:v>
      </x:c>
      <x:c r="D43" s="79" t="str">
        <x:v>不直接操作文件/Vendor</x:v>
      </x:c>
      <x:c r="E43" s="79" t="str">
        <x:v>Studio</x:v>
      </x:c>
      <x:c r="F43" s="79" t="str">
        <x:v>UI Smoke</x:v>
      </x:c>
      <x:c r="G43" s="79"/>
      <x:c r="H43" s="79"/>
    </x:row>
    <x:row r="44" ht="15" hidden="0" customHeight="1">
      <x:c r="A44" s="79" t="str">
        <x:v>4</x:v>
      </x:c>
      <x:c r="B44" s="79" t="str">
        <x:v>Application Service</x:v>
      </x:c>
      <x:c r="C44" s="79" t="str">
        <x:v>完成用例编排/Command/Transaction/Validation</x:v>
      </x:c>
      <x:c r="D44" s="79" t="str">
        <x:v>持久修改从这里进入领域服务</x:v>
      </x:c>
      <x:c r="E44" s="79" t="str">
        <x:v>Application</x:v>
      </x:c>
      <x:c r="F44" s="79" t="str">
        <x:v>Integration</x:v>
      </x:c>
      <x:c r="G44" s="79"/>
      <x:c r="H44" s="79"/>
    </x:row>
    <x:row r="45" ht="21.600000381469727" hidden="0" customHeight="1">
      <x:c r="A45" s="79" t="str">
        <x:v>5</x:v>
      </x:c>
      <x:c r="B45" s="79" t="str">
        <x:v>Domain Contract / Runtime / Debug Client</x:v>
      </x:c>
      <x:c r="C45" s="79" t="str">
        <x:v>专业公开Contract；Simulation/Live/Replay一致入口</x:v>
      </x:c>
      <x:c r="D45" s="79" t="str">
        <x:v>Domain内部实现不泄漏</x:v>
      </x:c>
      <x:c r="E45" s="79" t="str">
        <x:v>Domain</x:v>
      </x:c>
      <x:c r="F45" s="79" t="str">
        <x:v>Contract</x:v>
      </x:c>
      <x:c r="G45" s="79"/>
      <x:c r="H45" s="79"/>
    </x:row>
    <x:row r="46" ht="21.600000381469727" hidden="0" customHeight="1">
      <x:c r="A46" s="79" t="str">
        <x:v>6</x:v>
      </x:c>
      <x:c r="B46" s="79" t="str">
        <x:v>Integration Adapter / Worker / Vendor SDK</x:v>
      </x:c>
      <x:c r="C46" s="79" t="str">
        <x:v>唯一允许接厂商SDK/Native/外部系统的位置</x:v>
      </x:c>
      <x:c r="D46" s="79" t="str">
        <x:v>异常/崩溃/协议隔离</x:v>
      </x:c>
      <x:c r="E46" s="79" t="str">
        <x:v>Integration</x:v>
      </x:c>
      <x:c r="F46" s="79" t="str">
        <x:v>Architecture/Fault</x:v>
      </x:c>
      <x:c r="G46" s="79"/>
      <x:c r="H46" s="79"/>
    </x:row>
    <x:row r="47" ht="15" hidden="0" customHeight="1">
      <x:c r="A47" s="79"/>
      <x:c r="B47" s="79"/>
      <x:c r="C47" s="79"/>
      <x:c r="D47" s="79"/>
      <x:c r="E47" s="79"/>
      <x:c r="F47" s="79"/>
      <x:c r="G47" s="79"/>
      <x:c r="H47" s="79"/>
    </x:row>
    <x:row r="48" ht="15" hidden="0" customHeight="1">
      <x:c r="A48" s="91" t="str">
        <x:v>E. 重点专业域页签与功能基线</x:v>
      </x:c>
      <x:c r="B48" s="91"/>
      <x:c r="C48" s="91"/>
      <x:c r="D48" s="91"/>
      <x:c r="E48" s="91"/>
      <x:c r="F48" s="91"/>
      <x:c r="G48" s="91"/>
      <x:c r="H48" s="91"/>
    </x:row>
    <x:row r="49" ht="15" hidden="0" customHeight="1">
      <x:c r="A49" s="95" t="str">
        <x:v>Domain</x:v>
      </x:c>
      <x:c r="B49" s="95" t="str">
        <x:v>页签</x:v>
      </x:c>
      <x:c r="C49" s="95" t="str">
        <x:v>主要功能</x:v>
      </x:c>
      <x:c r="D49" s="95" t="str">
        <x:v>活动文档</x:v>
      </x:c>
      <x:c r="E49" s="95" t="str">
        <x:v>阶段</x:v>
      </x:c>
      <x:c r="F49" s="95" t="str">
        <x:v>安全/性能</x:v>
      </x:c>
      <x:c r="G49" s="95" t="str">
        <x:v>DesignRef</x:v>
      </x:c>
      <x:c r="H49" s="95" t="str">
        <x:v>备注</x:v>
      </x:c>
    </x:row>
    <x:row r="50" ht="32.400001525878906" hidden="0" customHeight="1">
      <x:c r="A50" s="79" t="str">
        <x:v>HMI</x:v>
      </x:c>
      <x:c r="B50" s="79" t="str">
        <x:v>绘图</x:v>
      </x:c>
      <x:c r="C50" s="79" t="str">
        <x:v>选择、线/折线、矩形、圆/椭圆、多边形、星形、圆弧、二/三次Bezier、FreeCurve、Path、Text、Image、SVG</x:v>
      </x:c>
      <x:c r="D50" s="79" t="str">
        <x:v>Screen/Symbol</x:v>
      </x:c>
      <x:c r="E50" s="79" t="str">
        <x:v>M2</x:v>
      </x:c>
      <x:c r="F50" s="79"/>
      <x:c r="G50" s="79"/>
      <x:c r="H50" s="79"/>
    </x:row>
    <x:row r="51" ht="21.600000381469727" hidden="0" customHeight="1">
      <x:c r="A51" s="79" t="str">
        <x:v>HMI</x:v>
      </x:c>
      <x:c r="B51" s="79" t="str">
        <x:v>排列</x:v>
      </x:c>
      <x:c r="C51" s="79" t="str">
        <x:v>Align/Distribute/Front/Back/Rotate/Flip/Group/Ungroup</x:v>
      </x:c>
      <x:c r="D51" s="79" t="str">
        <x:v>Screen/Symbol</x:v>
      </x:c>
      <x:c r="E51" s="79" t="str">
        <x:v>M2</x:v>
      </x:c>
      <x:c r="F51" s="79"/>
      <x:c r="G51" s="79"/>
      <x:c r="H51" s="79"/>
    </x:row>
    <x:row r="52" ht="15" hidden="0" customHeight="1">
      <x:c r="A52" s="79" t="str">
        <x:v>HMI</x:v>
      </x:c>
      <x:c r="B52" s="79" t="str">
        <x:v>图层</x:v>
      </x:c>
      <x:c r="C52" s="79" t="str">
        <x:v>Add/Delete/Visible/Locked/Sort/Move object to layer</x:v>
      </x:c>
      <x:c r="D52" s="79" t="str">
        <x:v>Screen/Symbol</x:v>
      </x:c>
      <x:c r="E52" s="79" t="str">
        <x:v>M2</x:v>
      </x:c>
      <x:c r="F52" s="79"/>
      <x:c r="G52" s="79"/>
      <x:c r="H52" s="79"/>
    </x:row>
    <x:row r="53" ht="21.600000381469727" hidden="0" customHeight="1">
      <x:c r="A53" s="79" t="str">
        <x:v>HMI</x:v>
      </x:c>
      <x:c r="B53" s="79" t="str">
        <x:v>绑定</x:v>
      </x:c>
      <x:c r="C53" s="79" t="str">
        <x:v>Variable/Expression/State/Animation/Event/Action/Script entry/Runtime diagnostics</x:v>
      </x:c>
      <x:c r="D53" s="79" t="str">
        <x:v>Screen/Symbol</x:v>
      </x:c>
      <x:c r="E53" s="79" t="str">
        <x:v>M2</x:v>
      </x:c>
      <x:c r="F53" s="79"/>
      <x:c r="G53" s="79"/>
      <x:c r="H53" s="79"/>
    </x:row>
    <x:row r="54" ht="21.600000381469727" hidden="0" customHeight="1">
      <x:c r="A54" s="79" t="str">
        <x:v>Motion</x:v>
      </x:c>
      <x:c r="B54" s="79" t="str">
        <x:v>运动</x:v>
      </x:c>
      <x:c r="C54" s="79" t="str">
        <x:v>Program/Point/Home/Abs-Rel Move/Interpolation/Scan/Velocity-Acceleration/State</x:v>
      </x:c>
      <x:c r="D54" s="79" t="str">
        <x:v>Motion</x:v>
      </x:c>
      <x:c r="E54" s="79" t="str">
        <x:v>M4</x:v>
      </x:c>
      <x:c r="F54" s="79"/>
      <x:c r="G54" s="79"/>
      <x:c r="H54" s="79"/>
    </x:row>
    <x:row r="55" ht="21.600000381469727" hidden="0" customHeight="1">
      <x:c r="A55" s="79" t="str">
        <x:v>Motion</x:v>
      </x:c>
      <x:c r="B55" s="79" t="str">
        <x:v>轴/IO</x:v>
      </x:c>
      <x:c r="C55" s="79" t="str">
        <x:v>Axis/DI/DO/AI/AO/Cylinder/Valve/Vacuum/Feedback/Trigger/Position Compare</x:v>
      </x:c>
      <x:c r="D55" s="79" t="str">
        <x:v>Motion</x:v>
      </x:c>
      <x:c r="E55" s="79" t="str">
        <x:v>M4</x:v>
      </x:c>
      <x:c r="F55" s="79"/>
      <x:c r="G55" s="79"/>
      <x:c r="H55" s="79"/>
    </x:row>
    <x:row r="56" ht="32.400001525878906" hidden="0" customHeight="1">
      <x:c r="A56" s="79" t="str">
        <x:v>Motion</x:v>
      </x:c>
      <x:c r="B56" s="79" t="str">
        <x:v>硬件</x:v>
      </x:c>
      <x:c r="C56" s="79" t="str">
        <x:v>Motion Controller/PLC/EtherCAT Master-Slave/VFD/Safety/X-Ray/Detector/Camera/Registry/Simulation/Diagnostics</x:v>
      </x:c>
      <x:c r="D56" s="79" t="str">
        <x:v>Motion</x:v>
      </x:c>
      <x:c r="E56" s="79" t="str">
        <x:v>M4</x:v>
      </x:c>
      <x:c r="F56" s="79"/>
      <x:c r="G56" s="79"/>
      <x:c r="H56" s="79"/>
    </x:row>
    <x:row r="57" ht="21.600000381469727" hidden="0" customHeight="1">
      <x:c r="A57" s="79" t="str">
        <x:v>Robot</x:v>
      </x:c>
      <x:c r="B57" s="79" t="str">
        <x:v>机器人</x:v>
      </x:c>
      <x:c r="C57" s="79" t="str">
        <x:v>Definition/Controller/Joint/TCP-Tool/Base-Frame/WorkObject/Home/External Axis/Safety-Status</x:v>
      </x:c>
      <x:c r="D57" s="79" t="str">
        <x:v>Robot</x:v>
      </x:c>
      <x:c r="E57" s="79" t="str">
        <x:v>M4+</x:v>
      </x:c>
      <x:c r="F57" s="79"/>
      <x:c r="G57" s="79"/>
      <x:c r="H57" s="79"/>
    </x:row>
    <x:row r="58" ht="15" hidden="0" customHeight="1">
      <x:c r="A58" s="79" t="str">
        <x:v>Robot</x:v>
      </x:c>
      <x:c r="B58" s="79" t="str">
        <x:v>路径</x:v>
      </x:c>
      <x:c r="C58" s="79" t="str">
        <x:v>Point/PTP/LIN/CIRC/Spline/Path Validate/Path Preview</x:v>
      </x:c>
      <x:c r="D58" s="79" t="str">
        <x:v>Robot</x:v>
      </x:c>
      <x:c r="E58" s="79" t="str">
        <x:v>M4+</x:v>
      </x:c>
      <x:c r="F58" s="79"/>
      <x:c r="G58" s="79"/>
      <x:c r="H58" s="79"/>
    </x:row>
    <x:row r="59" ht="21.600000381469727" hidden="0" customHeight="1">
      <x:c r="A59" s="79" t="str">
        <x:v>Robot</x:v>
      </x:c>
      <x:c r="B59" s="79" t="str">
        <x:v>示教</x:v>
      </x:c>
      <x:c r="C59" s="79" t="str">
        <x:v>Joint/Cartesian Jog/Teach Point/Set TCP/Set Frame/Online Position</x:v>
      </x:c>
      <x:c r="D59" s="79" t="str">
        <x:v>Robot</x:v>
      </x:c>
      <x:c r="E59" s="79" t="str">
        <x:v>M4+</x:v>
      </x:c>
      <x:c r="F59" s="79"/>
      <x:c r="G59" s="79"/>
      <x:c r="H59" s="79"/>
    </x:row>
    <x:row r="60" ht="21.600000381469727" hidden="0" customHeight="1">
      <x:c r="A60" s="79" t="str">
        <x:v>Vision</x:v>
      </x:c>
      <x:c r="B60" s="79" t="str">
        <x:v>视觉</x:v>
      </x:c>
      <x:c r="C60" s="79" t="str">
        <x:v>Pipeline/Input-Output/Camera-Detector source/Node organization/Result browser</x:v>
      </x:c>
      <x:c r="D60" s="79" t="str">
        <x:v>Vision</x:v>
      </x:c>
      <x:c r="E60" s="79" t="str">
        <x:v>M5</x:v>
      </x:c>
      <x:c r="F60" s="79"/>
      <x:c r="G60" s="79"/>
      <x:c r="H60" s="79"/>
    </x:row>
    <x:row r="61" ht="21.600000381469727" hidden="0" customHeight="1">
      <x:c r="A61" s="79" t="str">
        <x:v>Vision</x:v>
      </x:c>
      <x:c r="B61" s="79" t="str">
        <x:v>算法</x:v>
      </x:c>
      <x:c r="C61" s="79" t="str">
        <x:v>Preprocess/Locate/Detect/Segment/Classify/Measure/Postprocess/AI-Traditional Plugin</x:v>
      </x:c>
      <x:c r="D61" s="79" t="str">
        <x:v>Vision</x:v>
      </x:c>
      <x:c r="E61" s="79" t="str">
        <x:v>M5</x:v>
      </x:c>
      <x:c r="F61" s="79"/>
      <x:c r="G61" s="79"/>
      <x:c r="H61" s="79"/>
    </x:row>
    <x:row r="62" ht="21.600000381469727" hidden="0" customHeight="1">
      <x:c r="A62" s="79" t="str">
        <x:v>Vision</x:v>
      </x:c>
      <x:c r="B62" s="79" t="str">
        <x:v>标定</x:v>
      </x:c>
      <x:c r="C62" s="79" t="str">
        <x:v>Pixel-World/Distortion/Geometry/Multi-camera/Device Calibration/Version</x:v>
      </x:c>
      <x:c r="D62" s="79" t="str">
        <x:v>Vision</x:v>
      </x:c>
      <x:c r="E62" s="79" t="str">
        <x:v>M5</x:v>
      </x:c>
      <x:c r="F62" s="79"/>
      <x:c r="G62" s="79"/>
      <x:c r="H62" s="79"/>
    </x:row>
    <x:row r="63" ht="32.400001525878906" hidden="0" customHeight="1">
      <x:c r="A63" s="79" t="str">
        <x:v>Vision</x:v>
      </x:c>
      <x:c r="B63" s="79" t="str">
        <x:v>图像</x:v>
      </x:c>
      <x:c r="C63" s="79" t="str">
        <x:v>Image Viewer/ROI/Gray-WL/Histogram/Overlay/Compare/Replay</x:v>
      </x:c>
      <x:c r="D63" s="79" t="str">
        <x:v>Vision</x:v>
      </x:c>
      <x:c r="E63" s="79" t="str">
        <x:v>M5</x:v>
      </x:c>
      <x:c r="F63" s="79"/>
      <x:c r="G63" s="79"/>
      <x:c r="H63" s="79"/>
    </x:row>
    <x:row r="64" ht="21.600000381469727" hidden="0" customHeight="1">
      <x:c r="A64" s="79" t="str">
        <x:v>CT3D</x:v>
      </x:c>
      <x:c r="B64" s="79" t="str">
        <x:v>CT/3D</x:v>
      </x:c>
      <x:c r="C64" s="79" t="str">
        <x:v>Projection/Geometry(SOD-SDD-FOD-FDD)/Calibration/Job/Resource</x:v>
      </x:c>
      <x:c r="D64" s="79" t="str">
        <x:v>CT3D</x:v>
      </x:c>
      <x:c r="E64" s="79" t="str">
        <x:v>M5+</x:v>
      </x:c>
      <x:c r="F64" s="79"/>
      <x:c r="G64" s="79"/>
      <x:c r="H64" s="79"/>
    </x:row>
    <x:row r="65" ht="21.600000381469727" hidden="0" customHeight="1">
      <x:c r="A65" s="79" t="str">
        <x:v>CT3D</x:v>
      </x:c>
      <x:c r="B65" s="79" t="str">
        <x:v>重建</x:v>
      </x:c>
      <x:c r="C65" s="79" t="str">
        <x:v>FDK/SART-Iterative/Preprocess/Correction/Run/Progress/Cancel/Plan-Manifest/Volume Handle</x:v>
      </x:c>
      <x:c r="D65" s="79" t="str">
        <x:v>CT3D</x:v>
      </x:c>
      <x:c r="E65" s="79" t="str">
        <x:v>M5+</x:v>
      </x:c>
      <x:c r="F65" s="79"/>
      <x:c r="G65" s="79"/>
      <x:c r="H65" s="79"/>
    </x:row>
    <x:row r="66" ht="21.600000381469727" hidden="0" customHeight="1">
      <x:c r="A66" s="79" t="str">
        <x:v>CT3D</x:v>
      </x:c>
      <x:c r="B66" s="79" t="str">
        <x:v>可视化</x:v>
      </x:c>
      <x:c r="C66" s="79" t="str">
        <x:v>Axial/Coronal/Sagittal/Oblique-MPR/Volume Rendering/MIP-MinIP/Surface/Mesh/3D Measure</x:v>
      </x:c>
      <x:c r="D66" s="79" t="str">
        <x:v>CT3D</x:v>
      </x:c>
      <x:c r="E66" s="79" t="str">
        <x:v>M5+</x:v>
      </x:c>
      <x:c r="F66" s="79"/>
      <x:c r="G66" s="79"/>
      <x:c r="H66" s="79"/>
    </x:row>
    <x:row r="67" ht="21.600000381469727" hidden="0" customHeight="1">
      <x:c r="A67" s="79" t="str">
        <x:v>Inspection</x:v>
      </x:c>
      <x:c r="B67" s="79" t="str">
        <x:v>流程</x:v>
      </x:c>
      <x:c r="C67" s="79" t="str">
        <x:v>Workflow/Step/Branch/Loop/Checkpoint/SubFlow/Cross-domain Invocation</x:v>
      </x:c>
      <x:c r="D67" s="79" t="str">
        <x:v>Inspection</x:v>
      </x:c>
      <x:c r="E67" s="79" t="str">
        <x:v>M6</x:v>
      </x:c>
      <x:c r="F67" s="79"/>
      <x:c r="G67" s="79"/>
      <x:c r="H67" s="79"/>
    </x:row>
    <x:row r="68" ht="21.600000381469727" hidden="0" customHeight="1">
      <x:c r="A68" s="79" t="str">
        <x:v>Inspection</x:v>
      </x:c>
      <x:c r="B68" s="79" t="str">
        <x:v>检测</x:v>
      </x:c>
      <x:c r="C68" s="79" t="str">
        <x:v>Product/Task Context/Motion-Vision-CT invocation/Result Merge/Judge/Recovery</x:v>
      </x:c>
      <x:c r="D68" s="79" t="str">
        <x:v>Inspection</x:v>
      </x:c>
      <x:c r="E68" s="79" t="str">
        <x:v>M6</x:v>
      </x:c>
      <x:c r="F68" s="79"/>
      <x:c r="G68" s="79"/>
      <x:c r="H68" s="79"/>
    </x:row>
    <x:row r="69" ht="21.600000381469727" hidden="0" customHeight="1">
      <x:c r="A69" s="79" t="str">
        <x:v>Inspection</x:v>
      </x:c>
      <x:c r="B69" s="79" t="str">
        <x:v>工位</x:v>
      </x:c>
      <x:c r="C69" s="79" t="str">
        <x:v>Station/Recipe/Device Mapping/Process Config/MES-PLC strategy</x:v>
      </x:c>
      <x:c r="D69" s="79" t="str">
        <x:v>Inspection</x:v>
      </x:c>
      <x:c r="E69" s="79" t="str">
        <x:v>M6</x:v>
      </x:c>
      <x:c r="F69" s="79"/>
      <x:c r="G69" s="79"/>
      <x:c r="H69" s="79"/>
    </x:row>
    <x:row r="70" ht="15" hidden="0" customHeight="1">
      <x:c r="A70" s="79"/>
      <x:c r="B70" s="79"/>
      <x:c r="C70" s="79"/>
      <x:c r="D70" s="79"/>
      <x:c r="E70" s="79"/>
      <x:c r="F70" s="79"/>
      <x:c r="G70" s="79"/>
      <x:c r="H70" s="79"/>
    </x:row>
    <x:row r="71" ht="15" hidden="0" customHeight="1">
      <x:c r="A71" s="91" t="str">
        <x:v>F. 新增Domain扩展注册清单</x:v>
      </x:c>
      <x:c r="B71" s="91"/>
      <x:c r="C71" s="91"/>
      <x:c r="D71" s="91"/>
      <x:c r="E71" s="91"/>
      <x:c r="F71" s="91"/>
      <x:c r="G71" s="91"/>
      <x:c r="H71" s="91"/>
    </x:row>
    <x:row r="72" ht="15" hidden="0" customHeight="1">
      <x:c r="A72" s="95" t="str">
        <x:v>扩展项</x:v>
      </x:c>
      <x:c r="B72" s="95" t="str">
        <x:v>必须提供</x:v>
      </x:c>
      <x:c r="C72" s="95" t="str">
        <x:v>要求</x:v>
      </x:c>
      <x:c r="D72" s="95" t="str">
        <x:v>禁止</x:v>
      </x:c>
      <x:c r="E72" s="95" t="str">
        <x:v>测试</x:v>
      </x:c>
      <x:c r="F72" s="95" t="str">
        <x:v>阶段</x:v>
      </x:c>
      <x:c r="G72" s="95" t="str">
        <x:v>DesignRef</x:v>
      </x:c>
      <x:c r="H72" s="95" t="str">
        <x:v>备注</x:v>
      </x:c>
    </x:row>
    <x:row r="73" ht="21.600000381469727" hidden="0" customHeight="1">
      <x:c r="A73" s="79" t="str">
        <x:v>Document/Workspace注册</x:v>
      </x:c>
      <x:c r="B73" s="79" t="str">
        <x:v>提供类型ID、显示名、图标、Workspace Provider</x:v>
      </x:c>
      <x:c r="C73" s="79" t="str">
        <x:v>必须</x:v>
      </x:c>
      <x:c r="D73" s="79" t="str">
        <x:v>不得修改固定9菜单</x:v>
      </x:c>
      <x:c r="E73" s="79"/>
      <x:c r="F73" s="79"/>
      <x:c r="G73" s="79"/>
      <x:c r="H73" s="79"/>
    </x:row>
    <x:row r="74" ht="15" hidden="0" customHeight="1">
      <x:c r="A74" s="79" t="str">
        <x:v>Contextual Ribbon描述</x:v>
      </x:c>
      <x:c r="B74" s="79" t="str">
        <x:v>Tabs/Groups/CommandDescriptor</x:v>
      </x:c>
      <x:c r="C74" s="79" t="str">
        <x:v>必须</x:v>
      </x:c>
      <x:c r="D74" s="79" t="str">
        <x:v>页签只因活动上下文可见</x:v>
      </x:c>
      <x:c r="E74" s="79"/>
      <x:c r="F74" s="79"/>
      <x:c r="G74" s="79"/>
      <x:c r="H74" s="79"/>
    </x:row>
    <x:row r="75" ht="21.600000381469727" hidden="0" customHeight="1">
      <x:c r="A75" s="79" t="str">
        <x:v>Command Gate</x:v>
      </x:c>
      <x:c r="B75" s="79" t="str">
        <x:v>Capability/Mode/Permission/Selection/Reason</x:v>
      </x:c>
      <x:c r="C75" s="79" t="str">
        <x:v>必须</x:v>
      </x:c>
      <x:c r="D75" s="79" t="str">
        <x:v>Disabled必须可解释</x:v>
      </x:c>
      <x:c r="E75" s="79"/>
      <x:c r="F75" s="79"/>
      <x:c r="G75" s="79"/>
      <x:c r="H75" s="79"/>
    </x:row>
    <x:row r="76" ht="21.600000381469727" hidden="0" customHeight="1">
      <x:c r="A76" s="79" t="str">
        <x:v>Application/Debug/Runtime入口</x:v>
      </x:c>
      <x:c r="B76" s="79" t="str">
        <x:v>稳定公开Contract</x:v>
      </x:c>
      <x:c r="C76" s="79" t="str">
        <x:v>必须</x:v>
      </x:c>
      <x:c r="D76" s="79" t="str">
        <x:v>UI不直接new Runtime</x:v>
      </x:c>
      <x:c r="E76" s="79"/>
      <x:c r="F76" s="79"/>
      <x:c r="G76" s="79"/>
      <x:c r="H76" s="79"/>
    </x:row>
    <x:row r="77" ht="15" hidden="0" customHeight="1">
      <x:c r="A77" s="79" t="str">
        <x:v>资源</x:v>
      </x:c>
      <x:c r="B77" s="79" t="str">
        <x:v>图标/快捷键/状态提示/Help</x:v>
      </x:c>
      <x:c r="C77" s="79" t="str">
        <x:v>必须</x:v>
      </x:c>
      <x:c r="D77" s="79" t="str">
        <x:v>统一Design System</x:v>
      </x:c>
      <x:c r="E77" s="79"/>
      <x:c r="F77" s="79"/>
      <x:c r="G77" s="79"/>
      <x:c r="H77" s="79"/>
    </x:row>
    <x:row r="78" ht="32.400001525878906" hidden="0" customHeight="1">
      <x:c r="A78" s="79" t="str">
        <x:v>测试</x:v>
      </x:c>
      <x:c r="B78" s="79" t="str">
        <x:v>UI Smoke/Command Routing/Permission/Safety/Context Switch</x:v>
      </x:c>
      <x:c r="C78" s="79" t="str">
        <x:v>必须</x:v>
      </x:c>
      <x:c r="D78" s="79" t="str">
        <x:v>新增Domain不通过测试不得接入Shell</x:v>
      </x:c>
      <x:c r="E78" s="79"/>
      <x:c r="F78" s="79"/>
      <x:c r="G78" s="79"/>
      <x:c r="H78" s="79"/>
    </x:row>
    <x:row r="79">
      <x:c r="A79" s="76"/>
      <x:c r="B79" s="76"/>
      <x:c r="C79" s="76"/>
      <x:c r="D79" s="76"/>
      <x:c r="E79" s="76"/>
      <x:c r="F79" s="76"/>
      <x:c r="G79" s="76"/>
      <x:c r="H79" s="76"/>
    </x:row>
    <x:row r="80">
      <x:c r="A80" s="76"/>
      <x:c r="B80" s="76"/>
      <x:c r="C80" s="76"/>
      <x:c r="D80" s="76"/>
      <x:c r="E80" s="76"/>
      <x:c r="F80" s="76"/>
      <x:c r="G80" s="76"/>
      <x:c r="H80" s="76"/>
    </x:row>
    <x:row r="81">
      <x:c r="A81" s="76"/>
      <x:c r="B81" s="76"/>
      <x:c r="C81" s="76"/>
      <x:c r="D81" s="76"/>
      <x:c r="E81" s="76"/>
      <x:c r="F81" s="76"/>
      <x:c r="G81" s="76"/>
      <x:c r="H81" s="76"/>
    </x:row>
    <x:row r="82">
      <x:c r="A82" s="76"/>
      <x:c r="B82" s="76"/>
      <x:c r="C82" s="76"/>
      <x:c r="D82" s="76"/>
      <x:c r="E82" s="76"/>
      <x:c r="F82" s="76"/>
      <x:c r="G82" s="76"/>
      <x:c r="H82" s="76"/>
    </x:row>
    <x:row r="83">
      <x:c r="A83" s="76"/>
      <x:c r="B83" s="76"/>
      <x:c r="C83" s="76"/>
      <x:c r="D83" s="76"/>
      <x:c r="E83" s="76"/>
      <x:c r="F83" s="76"/>
      <x:c r="G83" s="76"/>
      <x:c r="H83" s="76"/>
    </x:row>
    <x:row r="84">
      <x:c r="A84" s="76"/>
      <x:c r="B84" s="76"/>
      <x:c r="C84" s="76"/>
      <x:c r="D84" s="76"/>
      <x:c r="E84" s="76"/>
      <x:c r="F84" s="76"/>
      <x:c r="G84" s="76"/>
      <x:c r="H84" s="76"/>
    </x:row>
    <x:row r="85">
      <x:c r="A85" s="76"/>
      <x:c r="B85" s="76"/>
      <x:c r="C85" s="76"/>
      <x:c r="D85" s="76"/>
      <x:c r="E85" s="76"/>
      <x:c r="F85" s="76"/>
      <x:c r="G85" s="76"/>
      <x:c r="H85" s="76"/>
    </x:row>
    <x:row r="86">
      <x:c r="A86" s="76"/>
      <x:c r="B86" s="76"/>
      <x:c r="C86" s="76"/>
      <x:c r="D86" s="76"/>
      <x:c r="E86" s="76"/>
      <x:c r="F86" s="76"/>
      <x:c r="G86" s="76"/>
      <x:c r="H86" s="76"/>
    </x:row>
    <x:row r="87">
      <x:c r="A87" s="76"/>
      <x:c r="B87" s="76"/>
      <x:c r="C87" s="76"/>
      <x:c r="D87" s="76"/>
      <x:c r="E87" s="76"/>
      <x:c r="F87" s="76"/>
      <x:c r="G87" s="76"/>
      <x:c r="H87" s="76"/>
    </x:row>
    <x:row r="88">
      <x:c r="A88" s="76"/>
      <x:c r="B88" s="76"/>
      <x:c r="C88" s="76"/>
      <x:c r="D88" s="76"/>
      <x:c r="E88" s="76"/>
      <x:c r="F88" s="76"/>
      <x:c r="G88" s="76"/>
      <x:c r="H88" s="76"/>
    </x:row>
    <x:row r="89">
      <x:c r="A89" s="76"/>
      <x:c r="B89" s="76"/>
      <x:c r="C89" s="76"/>
      <x:c r="D89" s="76"/>
      <x:c r="E89" s="76"/>
      <x:c r="F89" s="76"/>
      <x:c r="G89" s="76"/>
      <x:c r="H89" s="76"/>
    </x:row>
    <x:row r="90">
      <x:c r="A90" s="76"/>
      <x:c r="B90" s="76"/>
      <x:c r="C90" s="76"/>
      <x:c r="D90" s="76"/>
      <x:c r="E90" s="76"/>
      <x:c r="F90" s="76"/>
      <x:c r="G90" s="76"/>
      <x:c r="H90" s="76"/>
    </x:row>
    <x:row r="91">
      <x:c r="A91" s="76"/>
      <x:c r="B91" s="76"/>
      <x:c r="C91" s="76"/>
      <x:c r="D91" s="76"/>
      <x:c r="E91" s="76"/>
      <x:c r="F91" s="76"/>
      <x:c r="G91" s="76"/>
      <x:c r="H91" s="76"/>
    </x:row>
    <x:row r="92">
      <x:c r="A92" s="76"/>
      <x:c r="B92" s="76"/>
      <x:c r="C92" s="76"/>
      <x:c r="D92" s="76"/>
      <x:c r="E92" s="76"/>
      <x:c r="F92" s="76"/>
      <x:c r="G92" s="76"/>
      <x:c r="H92" s="76"/>
    </x:row>
    <x:row r="93">
      <x:c r="A93" s="76"/>
      <x:c r="B93" s="76"/>
      <x:c r="C93" s="76"/>
      <x:c r="D93" s="76"/>
      <x:c r="E93" s="76"/>
      <x:c r="F93" s="76"/>
      <x:c r="G93" s="76"/>
      <x:c r="H93" s="76"/>
    </x:row>
    <x:row r="94">
      <x:c r="A94" s="76"/>
      <x:c r="B94" s="76"/>
      <x:c r="C94" s="76"/>
      <x:c r="D94" s="76"/>
      <x:c r="E94" s="76"/>
      <x:c r="F94" s="76"/>
      <x:c r="G94" s="76"/>
      <x:c r="H94" s="76"/>
    </x:row>
    <x:row r="95">
      <x:c r="A95" s="76"/>
      <x:c r="B95" s="76"/>
      <x:c r="C95" s="76"/>
      <x:c r="D95" s="76"/>
      <x:c r="E95" s="76"/>
      <x:c r="F95" s="76"/>
      <x:c r="G95" s="76"/>
      <x:c r="H95" s="76"/>
    </x:row>
    <x:row r="96">
      <x:c r="A96" s="76"/>
      <x:c r="B96" s="76"/>
      <x:c r="C96" s="76"/>
      <x:c r="D96" s="76"/>
      <x:c r="E96" s="76"/>
      <x:c r="F96" s="76"/>
      <x:c r="G96" s="76"/>
      <x:c r="H96" s="76"/>
    </x:row>
    <x:row r="97">
      <x:c r="A97" s="76"/>
      <x:c r="B97" s="76"/>
      <x:c r="C97" s="76"/>
      <x:c r="D97" s="76"/>
      <x:c r="E97" s="76"/>
      <x:c r="F97" s="76"/>
      <x:c r="G97" s="76"/>
      <x:c r="H97" s="76"/>
    </x:row>
    <x:row r="98">
      <x:c r="A98" s="76"/>
      <x:c r="B98" s="76"/>
      <x:c r="C98" s="76"/>
      <x:c r="D98" s="76"/>
      <x:c r="E98" s="76"/>
      <x:c r="F98" s="76"/>
      <x:c r="G98" s="76"/>
      <x:c r="H98" s="76"/>
    </x:row>
    <x:row r="99">
      <x:c r="A99" s="76"/>
      <x:c r="B99" s="76"/>
      <x:c r="C99" s="76"/>
      <x:c r="D99" s="76"/>
      <x:c r="E99" s="76"/>
      <x:c r="F99" s="76"/>
      <x:c r="G99" s="76"/>
      <x:c r="H99" s="76"/>
    </x:row>
    <x:row r="100">
      <x:c r="A100" s="76"/>
      <x:c r="B100" s="76"/>
      <x:c r="C100" s="76"/>
      <x:c r="D100" s="76"/>
      <x:c r="E100" s="76"/>
      <x:c r="F100" s="76"/>
      <x:c r="G100" s="76"/>
      <x:c r="H100" s="76"/>
    </x:row>
    <x:row r="101">
      <x:c r="A101" s="76"/>
      <x:c r="B101" s="76"/>
      <x:c r="C101" s="76"/>
      <x:c r="D101" s="76"/>
      <x:c r="E101" s="76"/>
      <x:c r="F101" s="76"/>
      <x:c r="G101" s="76"/>
      <x:c r="H101" s="76"/>
    </x:row>
    <x:row r="102">
      <x:c r="A102" s="76"/>
      <x:c r="B102" s="76"/>
      <x:c r="C102" s="76"/>
      <x:c r="D102" s="76"/>
      <x:c r="E102" s="76"/>
      <x:c r="F102" s="76"/>
      <x:c r="G102" s="76"/>
      <x:c r="H102" s="76"/>
    </x:row>
    <x:row r="103">
      <x:c r="A103" s="76"/>
      <x:c r="B103" s="76"/>
      <x:c r="C103" s="76"/>
      <x:c r="D103" s="76"/>
      <x:c r="E103" s="76"/>
      <x:c r="F103" s="76"/>
      <x:c r="G103" s="76"/>
      <x:c r="H103" s="76"/>
    </x:row>
    <x:row r="104">
      <x:c r="A104" s="76"/>
      <x:c r="B104" s="76"/>
      <x:c r="C104" s="76"/>
      <x:c r="D104" s="76"/>
      <x:c r="E104" s="76"/>
      <x:c r="F104" s="76"/>
      <x:c r="G104" s="76"/>
      <x:c r="H104" s="76"/>
    </x:row>
    <x:row r="105">
      <x:c r="A105" s="76"/>
      <x:c r="B105" s="76"/>
      <x:c r="C105" s="76"/>
      <x:c r="D105" s="76"/>
      <x:c r="E105" s="76"/>
      <x:c r="F105" s="76"/>
      <x:c r="G105" s="76"/>
      <x:c r="H105" s="76"/>
    </x:row>
    <x:row r="106">
      <x:c r="A106" s="76"/>
      <x:c r="B106" s="76"/>
      <x:c r="C106" s="76"/>
      <x:c r="D106" s="76"/>
      <x:c r="E106" s="76"/>
      <x:c r="F106" s="76"/>
      <x:c r="G106" s="76"/>
      <x:c r="H106" s="76"/>
    </x:row>
    <x:row r="107">
      <x:c r="A107" s="76"/>
      <x:c r="B107" s="76"/>
      <x:c r="C107" s="76"/>
      <x:c r="D107" s="76"/>
      <x:c r="E107" s="76"/>
      <x:c r="F107" s="76"/>
      <x:c r="G107" s="76"/>
      <x:c r="H107" s="76"/>
    </x:row>
    <x:row r="108">
      <x:c r="A108" s="76"/>
      <x:c r="B108" s="76"/>
      <x:c r="C108" s="76"/>
      <x:c r="D108" s="76"/>
      <x:c r="E108" s="76"/>
      <x:c r="F108" s="76"/>
      <x:c r="G108" s="76"/>
      <x:c r="H108" s="76"/>
    </x:row>
    <x:row r="109">
      <x:c r="A109" s="76"/>
      <x:c r="B109" s="76"/>
      <x:c r="C109" s="76"/>
      <x:c r="D109" s="76"/>
      <x:c r="E109" s="76"/>
      <x:c r="F109" s="76"/>
      <x:c r="G109" s="76"/>
      <x:c r="H109" s="76"/>
    </x:row>
    <x:row r="110">
      <x:c r="A110" s="76"/>
      <x:c r="B110" s="76"/>
      <x:c r="C110" s="76"/>
      <x:c r="D110" s="76"/>
      <x:c r="E110" s="76"/>
      <x:c r="F110" s="76"/>
      <x:c r="G110" s="76"/>
      <x:c r="H110" s="76"/>
    </x:row>
    <x:row r="111">
      <x:c r="A111" s="76"/>
      <x:c r="B111" s="76"/>
      <x:c r="C111" s="76"/>
      <x:c r="D111" s="76"/>
      <x:c r="E111" s="76"/>
      <x:c r="F111" s="76"/>
      <x:c r="G111" s="76"/>
      <x:c r="H111" s="76"/>
    </x:row>
    <x:row r="112">
      <x:c r="A112" s="76"/>
      <x:c r="B112" s="76"/>
      <x:c r="C112" s="76"/>
      <x:c r="D112" s="76"/>
      <x:c r="E112" s="76"/>
      <x:c r="F112" s="76"/>
      <x:c r="G112" s="76"/>
      <x:c r="H112" s="76"/>
    </x:row>
    <x:row r="113">
      <x:c r="A113" s="76"/>
      <x:c r="B113" s="76"/>
      <x:c r="C113" s="76"/>
      <x:c r="D113" s="76"/>
      <x:c r="E113" s="76"/>
      <x:c r="F113" s="76"/>
      <x:c r="G113" s="76"/>
      <x:c r="H113" s="76"/>
    </x:row>
    <x:row r="114">
      <x:c r="A114" s="76"/>
      <x:c r="B114" s="76"/>
      <x:c r="C114" s="76"/>
      <x:c r="D114" s="76"/>
      <x:c r="E114" s="76"/>
      <x:c r="F114" s="76"/>
      <x:c r="G114" s="76"/>
      <x:c r="H114" s="76"/>
    </x:row>
    <x:row r="115">
      <x:c r="A115" s="76"/>
      <x:c r="B115" s="76"/>
      <x:c r="C115" s="76"/>
      <x:c r="D115" s="76"/>
      <x:c r="E115" s="76"/>
      <x:c r="F115" s="76"/>
      <x:c r="G115" s="76"/>
      <x:c r="H115" s="76"/>
    </x:row>
    <x:row r="116">
      <x:c r="A116" s="76"/>
      <x:c r="B116" s="76"/>
      <x:c r="C116" s="76"/>
      <x:c r="D116" s="76"/>
      <x:c r="E116" s="76"/>
      <x:c r="F116" s="76"/>
      <x:c r="G116" s="76"/>
      <x:c r="H116" s="76"/>
    </x:row>
    <x:row r="117">
      <x:c r="A117" s="76"/>
      <x:c r="B117" s="76"/>
      <x:c r="C117" s="76"/>
      <x:c r="D117" s="76"/>
      <x:c r="E117" s="76"/>
      <x:c r="F117" s="76"/>
      <x:c r="G117" s="76"/>
      <x:c r="H117" s="76"/>
    </x:row>
    <x:row r="118">
      <x:c r="A118" s="76"/>
      <x:c r="B118" s="76"/>
      <x:c r="C118" s="76"/>
      <x:c r="D118" s="76"/>
      <x:c r="E118" s="76"/>
      <x:c r="F118" s="76"/>
      <x:c r="G118" s="76"/>
      <x:c r="H118" s="76"/>
    </x:row>
    <x:row r="119">
      <x:c r="A119" s="76"/>
      <x:c r="B119" s="76"/>
      <x:c r="C119" s="76"/>
      <x:c r="D119" s="76"/>
      <x:c r="E119" s="76"/>
      <x:c r="F119" s="76"/>
      <x:c r="G119" s="76"/>
      <x:c r="H119" s="76"/>
    </x:row>
    <x:row r="120">
      <x:c r="A120" s="76"/>
      <x:c r="B120" s="76"/>
      <x:c r="C120" s="76"/>
      <x:c r="D120" s="76"/>
      <x:c r="E120" s="76"/>
      <x:c r="F120" s="76"/>
      <x:c r="G120" s="76"/>
      <x:c r="H120" s="76"/>
    </x:row>
    <x:row r="121">
      <x:c r="A121" s="76"/>
      <x:c r="B121" s="76"/>
      <x:c r="C121" s="76"/>
      <x:c r="D121" s="76"/>
      <x:c r="E121" s="76"/>
      <x:c r="F121" s="76"/>
      <x:c r="G121" s="76"/>
      <x:c r="H121" s="76"/>
    </x:row>
    <x:row r="122">
      <x:c r="A122" s="76"/>
      <x:c r="B122" s="76"/>
      <x:c r="C122" s="76"/>
      <x:c r="D122" s="76"/>
      <x:c r="E122" s="76"/>
      <x:c r="F122" s="76"/>
      <x:c r="G122" s="76"/>
      <x:c r="H122" s="76"/>
    </x:row>
    <x:row r="123">
      <x:c r="A123" s="76"/>
      <x:c r="B123" s="76"/>
      <x:c r="C123" s="76"/>
      <x:c r="D123" s="76"/>
      <x:c r="E123" s="76"/>
      <x:c r="F123" s="76"/>
      <x:c r="G123" s="76"/>
      <x:c r="H123" s="76"/>
    </x:row>
    <x:row r="124">
      <x:c r="A124" s="76"/>
      <x:c r="B124" s="76"/>
      <x:c r="C124" s="76"/>
      <x:c r="D124" s="76"/>
      <x:c r="E124" s="76"/>
      <x:c r="F124" s="76"/>
      <x:c r="G124" s="76"/>
      <x:c r="H124" s="76"/>
    </x:row>
    <x:row r="125">
      <x:c r="A125" s="76"/>
      <x:c r="B125" s="76"/>
      <x:c r="C125" s="76"/>
      <x:c r="D125" s="76"/>
      <x:c r="E125" s="76"/>
      <x:c r="F125" s="76"/>
      <x:c r="G125" s="76"/>
      <x:c r="H125" s="76"/>
    </x:row>
    <x:row r="126">
      <x:c r="A126" s="76"/>
      <x:c r="B126" s="76"/>
      <x:c r="C126" s="76"/>
      <x:c r="D126" s="76"/>
      <x:c r="E126" s="76"/>
      <x:c r="F126" s="76"/>
      <x:c r="G126" s="76"/>
      <x:c r="H126" s="76"/>
    </x:row>
    <x:row r="127">
      <x:c r="A127" s="76"/>
      <x:c r="B127" s="76"/>
      <x:c r="C127" s="76"/>
      <x:c r="D127" s="76"/>
      <x:c r="E127" s="76"/>
      <x:c r="F127" s="76"/>
      <x:c r="G127" s="76"/>
      <x:c r="H127" s="76"/>
    </x:row>
    <x:row r="128">
      <x:c r="A128" s="76"/>
      <x:c r="B128" s="76"/>
      <x:c r="C128" s="76"/>
      <x:c r="D128" s="76"/>
      <x:c r="E128" s="76"/>
      <x:c r="F128" s="76"/>
      <x:c r="G128" s="76"/>
      <x:c r="H128" s="76"/>
    </x:row>
    <x:row r="129">
      <x:c r="A129" s="76"/>
      <x:c r="B129" s="76"/>
      <x:c r="C129" s="76"/>
      <x:c r="D129" s="76"/>
      <x:c r="E129" s="76"/>
      <x:c r="F129" s="76"/>
      <x:c r="G129" s="76"/>
      <x:c r="H129" s="76"/>
    </x:row>
    <x:row r="130">
      <x:c r="A130" s="76"/>
      <x:c r="B130" s="76"/>
      <x:c r="C130" s="76"/>
      <x:c r="D130" s="76"/>
      <x:c r="E130" s="76"/>
      <x:c r="F130" s="76"/>
      <x:c r="G130" s="76"/>
      <x:c r="H130" s="76"/>
    </x:row>
    <x:row r="131">
      <x:c r="A131" s="76"/>
      <x:c r="B131" s="76"/>
      <x:c r="C131" s="76"/>
      <x:c r="D131" s="76"/>
      <x:c r="E131" s="76"/>
      <x:c r="F131" s="76"/>
      <x:c r="G131" s="76"/>
      <x:c r="H131" s="76"/>
    </x:row>
    <x:row r="132">
      <x:c r="A132" s="76"/>
      <x:c r="B132" s="76"/>
      <x:c r="C132" s="76"/>
      <x:c r="D132" s="76"/>
      <x:c r="E132" s="76"/>
      <x:c r="F132" s="76"/>
      <x:c r="G132" s="76"/>
      <x:c r="H132" s="76"/>
    </x:row>
    <x:row r="133">
      <x:c r="A133" s="76"/>
      <x:c r="B133" s="76"/>
      <x:c r="C133" s="76"/>
      <x:c r="D133" s="76"/>
      <x:c r="E133" s="76"/>
      <x:c r="F133" s="76"/>
      <x:c r="G133" s="76"/>
      <x:c r="H133" s="76"/>
    </x:row>
    <x:row r="134">
      <x:c r="A134" s="76"/>
      <x:c r="B134" s="76"/>
      <x:c r="C134" s="76"/>
      <x:c r="D134" s="76"/>
      <x:c r="E134" s="76"/>
      <x:c r="F134" s="76"/>
      <x:c r="G134" s="76"/>
      <x:c r="H134" s="76"/>
    </x:row>
    <x:row r="135">
      <x:c r="A135" s="76"/>
      <x:c r="B135" s="76"/>
      <x:c r="C135" s="76"/>
      <x:c r="D135" s="76"/>
      <x:c r="E135" s="76"/>
      <x:c r="F135" s="76"/>
      <x:c r="G135" s="76"/>
      <x:c r="H135" s="76"/>
    </x:row>
    <x:row r="136">
      <x:c r="A136" s="76"/>
      <x:c r="B136" s="76"/>
      <x:c r="C136" s="76"/>
      <x:c r="D136" s="76"/>
      <x:c r="E136" s="76"/>
      <x:c r="F136" s="76"/>
      <x:c r="G136" s="76"/>
      <x:c r="H136" s="76"/>
    </x:row>
    <x:row r="137">
      <x:c r="A137" s="76"/>
      <x:c r="B137" s="76"/>
      <x:c r="C137" s="76"/>
      <x:c r="D137" s="76"/>
      <x:c r="E137" s="76"/>
      <x:c r="F137" s="76"/>
      <x:c r="G137" s="76"/>
      <x:c r="H137" s="76"/>
    </x:row>
    <x:row r="138">
      <x:c r="A138" s="76"/>
      <x:c r="B138" s="76"/>
      <x:c r="C138" s="76"/>
      <x:c r="D138" s="76"/>
      <x:c r="E138" s="76"/>
      <x:c r="F138" s="76"/>
      <x:c r="G138" s="76"/>
      <x:c r="H138" s="76"/>
    </x:row>
    <x:row r="139">
      <x:c r="A139" s="76"/>
      <x:c r="B139" s="76"/>
      <x:c r="C139" s="76"/>
      <x:c r="D139" s="76"/>
      <x:c r="E139" s="76"/>
      <x:c r="F139" s="76"/>
      <x:c r="G139" s="76"/>
      <x:c r="H139" s="76"/>
    </x:row>
    <x:row r="140">
      <x:c r="A140" s="76"/>
      <x:c r="B140" s="76"/>
      <x:c r="C140" s="76"/>
      <x:c r="D140" s="76"/>
      <x:c r="E140" s="76"/>
      <x:c r="F140" s="76"/>
      <x:c r="G140" s="76"/>
      <x:c r="H140" s="76"/>
    </x:row>
    <x:row r="141">
      <x:c r="A141" s="76"/>
      <x:c r="B141" s="76"/>
      <x:c r="C141" s="76"/>
      <x:c r="D141" s="76"/>
      <x:c r="E141" s="76"/>
      <x:c r="F141" s="76"/>
      <x:c r="G141" s="76"/>
      <x:c r="H141" s="76"/>
    </x:row>
    <x:row r="142">
      <x:c r="A142" s="76"/>
      <x:c r="B142" s="76"/>
      <x:c r="C142" s="76"/>
      <x:c r="D142" s="76"/>
      <x:c r="E142" s="76"/>
      <x:c r="F142" s="76"/>
      <x:c r="G142" s="76"/>
      <x:c r="H142" s="76"/>
    </x:row>
    <x:row r="143">
      <x:c r="A143" s="76"/>
      <x:c r="B143" s="76"/>
      <x:c r="C143" s="76"/>
      <x:c r="D143" s="76"/>
      <x:c r="E143" s="76"/>
      <x:c r="F143" s="76"/>
      <x:c r="G143" s="76"/>
      <x:c r="H143" s="76"/>
    </x:row>
    <x:row r="144">
      <x:c r="A144" s="76"/>
      <x:c r="B144" s="76"/>
      <x:c r="C144" s="76"/>
      <x:c r="D144" s="76"/>
      <x:c r="E144" s="76"/>
      <x:c r="F144" s="76"/>
      <x:c r="G144" s="76"/>
      <x:c r="H144" s="76"/>
    </x:row>
    <x:row r="145">
      <x:c r="A145" s="76"/>
      <x:c r="B145" s="76"/>
      <x:c r="C145" s="76"/>
      <x:c r="D145" s="76"/>
      <x:c r="E145" s="76"/>
      <x:c r="F145" s="76"/>
      <x:c r="G145" s="76"/>
      <x:c r="H145" s="76"/>
    </x:row>
    <x:row r="146">
      <x:c r="A146" s="76"/>
      <x:c r="B146" s="76"/>
      <x:c r="C146" s="76"/>
      <x:c r="D146" s="76"/>
      <x:c r="E146" s="76"/>
      <x:c r="F146" s="76"/>
      <x:c r="G146" s="76"/>
      <x:c r="H146" s="76"/>
    </x:row>
    <x:row r="147">
      <x:c r="A147" s="76"/>
      <x:c r="B147" s="76"/>
      <x:c r="C147" s="76"/>
      <x:c r="D147" s="76"/>
      <x:c r="E147" s="76"/>
      <x:c r="F147" s="76"/>
      <x:c r="G147" s="76"/>
      <x:c r="H147" s="76"/>
    </x:row>
    <x:row r="148">
      <x:c r="A148" s="76"/>
      <x:c r="B148" s="76"/>
      <x:c r="C148" s="76"/>
      <x:c r="D148" s="76"/>
      <x:c r="E148" s="76"/>
      <x:c r="F148" s="76"/>
      <x:c r="G148" s="76"/>
      <x:c r="H148" s="76"/>
    </x:row>
    <x:row r="149">
      <x:c r="A149" s="76"/>
      <x:c r="B149" s="76"/>
      <x:c r="C149" s="76"/>
      <x:c r="D149" s="76"/>
      <x:c r="E149" s="76"/>
      <x:c r="F149" s="76"/>
      <x:c r="G149" s="76"/>
      <x:c r="H149" s="76"/>
    </x:row>
    <x:row r="150">
      <x:c r="A150" s="76"/>
      <x:c r="B150" s="76"/>
      <x:c r="C150" s="76"/>
      <x:c r="D150" s="76"/>
      <x:c r="E150" s="76"/>
      <x:c r="F150" s="76"/>
      <x:c r="G150" s="76"/>
      <x:c r="H150" s="76"/>
    </x:row>
    <x:row r="151">
      <x:c r="A151" s="76"/>
      <x:c r="B151" s="76"/>
      <x:c r="C151" s="76"/>
      <x:c r="D151" s="76"/>
      <x:c r="E151" s="76"/>
      <x:c r="F151" s="76"/>
      <x:c r="G151" s="76"/>
      <x:c r="H151" s="76"/>
    </x:row>
    <x:row r="152">
      <x:c r="A152" s="76"/>
      <x:c r="B152" s="76"/>
      <x:c r="C152" s="76"/>
      <x:c r="D152" s="76"/>
      <x:c r="E152" s="76"/>
      <x:c r="F152" s="76"/>
      <x:c r="G152" s="76"/>
      <x:c r="H152" s="76"/>
    </x:row>
    <x:row r="153">
      <x:c r="A153" s="76"/>
      <x:c r="B153" s="76"/>
      <x:c r="C153" s="76"/>
      <x:c r="D153" s="76"/>
      <x:c r="E153" s="76"/>
      <x:c r="F153" s="76"/>
      <x:c r="G153" s="76"/>
      <x:c r="H153" s="76"/>
    </x:row>
    <x:row r="154">
      <x:c r="A154" s="76"/>
      <x:c r="B154" s="76"/>
      <x:c r="C154" s="76"/>
      <x:c r="D154" s="76"/>
      <x:c r="E154" s="76"/>
      <x:c r="F154" s="76"/>
      <x:c r="G154" s="76"/>
      <x:c r="H154" s="76"/>
    </x:row>
    <x:row r="155">
      <x:c r="A155" s="76"/>
      <x:c r="B155" s="76"/>
      <x:c r="C155" s="76"/>
      <x:c r="D155" s="76"/>
      <x:c r="E155" s="76"/>
      <x:c r="F155" s="76"/>
      <x:c r="G155" s="76"/>
      <x:c r="H155" s="76"/>
    </x:row>
    <x:row r="156">
      <x:c r="A156" s="76"/>
      <x:c r="B156" s="76"/>
      <x:c r="C156" s="76"/>
      <x:c r="D156" s="76"/>
      <x:c r="E156" s="76"/>
      <x:c r="F156" s="76"/>
      <x:c r="G156" s="76"/>
      <x:c r="H156" s="76"/>
    </x:row>
    <x:row r="157">
      <x:c r="A157" s="76"/>
      <x:c r="B157" s="76"/>
      <x:c r="C157" s="76"/>
      <x:c r="D157" s="76"/>
      <x:c r="E157" s="76"/>
      <x:c r="F157" s="76"/>
      <x:c r="G157" s="76"/>
      <x:c r="H157" s="76"/>
    </x:row>
    <x:row r="158">
      <x:c r="A158" s="76"/>
      <x:c r="B158" s="76"/>
      <x:c r="C158" s="76"/>
      <x:c r="D158" s="76"/>
      <x:c r="E158" s="76"/>
      <x:c r="F158" s="76"/>
      <x:c r="G158" s="76"/>
      <x:c r="H158" s="76"/>
    </x:row>
    <x:row r="159">
      <x:c r="A159" s="76"/>
      <x:c r="B159" s="76"/>
      <x:c r="C159" s="76"/>
      <x:c r="D159" s="76"/>
      <x:c r="E159" s="76"/>
      <x:c r="F159" s="76"/>
      <x:c r="G159" s="76"/>
      <x:c r="H159" s="76"/>
    </x:row>
    <x:row r="160">
      <x:c r="A160" s="76"/>
      <x:c r="B160" s="76"/>
      <x:c r="C160" s="76"/>
      <x:c r="D160" s="76"/>
      <x:c r="E160" s="76"/>
      <x:c r="F160" s="76"/>
      <x:c r="G160" s="76"/>
      <x:c r="H160" s="76"/>
    </x:row>
    <x:row r="161">
      <x:c r="A161" s="76"/>
      <x:c r="B161" s="76"/>
      <x:c r="C161" s="76"/>
      <x:c r="D161" s="76"/>
      <x:c r="E161" s="76"/>
      <x:c r="F161" s="76"/>
      <x:c r="G161" s="76"/>
      <x:c r="H161" s="76"/>
    </x:row>
    <x:row r="162">
      <x:c r="A162" s="76"/>
      <x:c r="B162" s="76"/>
      <x:c r="C162" s="76"/>
      <x:c r="D162" s="76"/>
      <x:c r="E162" s="76"/>
      <x:c r="F162" s="76"/>
      <x:c r="G162" s="76"/>
      <x:c r="H162" s="76"/>
    </x:row>
    <x:row r="163">
      <x:c r="A163" s="76"/>
      <x:c r="B163" s="76"/>
      <x:c r="C163" s="76"/>
      <x:c r="D163" s="76"/>
      <x:c r="E163" s="76"/>
      <x:c r="F163" s="76"/>
      <x:c r="G163" s="76"/>
      <x:c r="H163" s="76"/>
    </x:row>
    <x:row r="164">
      <x:c r="A164" s="76"/>
      <x:c r="B164" s="76"/>
      <x:c r="C164" s="76"/>
      <x:c r="D164" s="76"/>
      <x:c r="E164" s="76"/>
      <x:c r="F164" s="76"/>
      <x:c r="G164" s="76"/>
      <x:c r="H164" s="76"/>
    </x:row>
    <x:row r="165">
      <x:c r="A165" s="76"/>
      <x:c r="B165" s="76"/>
      <x:c r="C165" s="76"/>
      <x:c r="D165" s="76"/>
      <x:c r="E165" s="76"/>
      <x:c r="F165" s="76"/>
      <x:c r="G165" s="76"/>
      <x:c r="H165" s="76"/>
    </x:row>
    <x:row r="166">
      <x:c r="A166" s="76"/>
      <x:c r="B166" s="76"/>
      <x:c r="C166" s="76"/>
      <x:c r="D166" s="76"/>
      <x:c r="E166" s="76"/>
      <x:c r="F166" s="76"/>
      <x:c r="G166" s="76"/>
      <x:c r="H166" s="76"/>
    </x:row>
    <x:row r="167">
      <x:c r="A167" s="76"/>
      <x:c r="B167" s="76"/>
      <x:c r="C167" s="76"/>
      <x:c r="D167" s="76"/>
      <x:c r="E167" s="76"/>
      <x:c r="F167" s="76"/>
      <x:c r="G167" s="76"/>
      <x:c r="H167" s="76"/>
    </x:row>
    <x:row r="168">
      <x:c r="A168" s="76"/>
      <x:c r="B168" s="76"/>
      <x:c r="C168" s="76"/>
      <x:c r="D168" s="76"/>
      <x:c r="E168" s="76"/>
      <x:c r="F168" s="76"/>
      <x:c r="G168" s="76"/>
      <x:c r="H168" s="76"/>
    </x:row>
    <x:row r="169">
      <x:c r="A169" s="76"/>
      <x:c r="B169" s="76"/>
      <x:c r="C169" s="76"/>
      <x:c r="D169" s="76"/>
      <x:c r="E169" s="76"/>
      <x:c r="F169" s="76"/>
      <x:c r="G169" s="76"/>
      <x:c r="H169" s="76"/>
    </x:row>
    <x:row r="170">
      <x:c r="A170" s="76"/>
      <x:c r="B170" s="76"/>
      <x:c r="C170" s="76"/>
      <x:c r="D170" s="76"/>
      <x:c r="E170" s="76"/>
      <x:c r="F170" s="76"/>
      <x:c r="G170" s="76"/>
      <x:c r="H170" s="76"/>
    </x:row>
    <x:row r="171">
      <x:c r="A171" s="76"/>
      <x:c r="B171" s="76"/>
      <x:c r="C171" s="76"/>
      <x:c r="D171" s="76"/>
      <x:c r="E171" s="76"/>
      <x:c r="F171" s="76"/>
      <x:c r="G171" s="76"/>
      <x:c r="H171" s="76"/>
    </x:row>
    <x:row r="172">
      <x:c r="A172" s="76"/>
      <x:c r="B172" s="76"/>
      <x:c r="C172" s="76"/>
      <x:c r="D172" s="76"/>
      <x:c r="E172" s="76"/>
      <x:c r="F172" s="76"/>
      <x:c r="G172" s="76"/>
      <x:c r="H172" s="76"/>
    </x:row>
    <x:row r="173">
      <x:c r="A173" s="76"/>
      <x:c r="B173" s="76"/>
      <x:c r="C173" s="76"/>
      <x:c r="D173" s="76"/>
      <x:c r="E173" s="76"/>
      <x:c r="F173" s="76"/>
      <x:c r="G173" s="76"/>
      <x:c r="H173" s="76"/>
    </x:row>
    <x:row r="174">
      <x:c r="A174" s="76"/>
      <x:c r="B174" s="76"/>
      <x:c r="C174" s="76"/>
      <x:c r="D174" s="76"/>
      <x:c r="E174" s="76"/>
      <x:c r="F174" s="76"/>
      <x:c r="G174" s="76"/>
      <x:c r="H174" s="76"/>
    </x:row>
    <x:row r="175">
      <x:c r="A175" s="76"/>
      <x:c r="B175" s="76"/>
      <x:c r="C175" s="76"/>
      <x:c r="D175" s="76"/>
      <x:c r="E175" s="76"/>
      <x:c r="F175" s="76"/>
      <x:c r="G175" s="76"/>
      <x:c r="H175" s="76"/>
    </x:row>
    <x:row r="176">
      <x:c r="A176" s="76"/>
      <x:c r="B176" s="76"/>
      <x:c r="C176" s="76"/>
      <x:c r="D176" s="76"/>
      <x:c r="E176" s="76"/>
      <x:c r="F176" s="76"/>
      <x:c r="G176" s="76"/>
      <x:c r="H176" s="76"/>
    </x:row>
    <x:row r="177">
      <x:c r="A177" s="76"/>
      <x:c r="B177" s="76"/>
      <x:c r="C177" s="76"/>
      <x:c r="D177" s="76"/>
      <x:c r="E177" s="76"/>
      <x:c r="F177" s="76"/>
      <x:c r="G177" s="76"/>
      <x:c r="H177" s="76"/>
    </x:row>
    <x:row r="178">
      <x:c r="A178" s="76"/>
      <x:c r="B178" s="76"/>
      <x:c r="C178" s="76"/>
      <x:c r="D178" s="76"/>
      <x:c r="E178" s="76"/>
      <x:c r="F178" s="76"/>
      <x:c r="G178" s="76"/>
      <x:c r="H178" s="76"/>
    </x:row>
    <x:row r="179">
      <x:c r="A179" s="76"/>
      <x:c r="B179" s="76"/>
      <x:c r="C179" s="76"/>
      <x:c r="D179" s="76"/>
      <x:c r="E179" s="76"/>
      <x:c r="F179" s="76"/>
      <x:c r="G179" s="76"/>
      <x:c r="H179" s="76"/>
    </x:row>
    <x:row r="180">
      <x:c r="A180" s="76"/>
      <x:c r="B180" s="76"/>
      <x:c r="C180" s="76"/>
      <x:c r="D180" s="76"/>
      <x:c r="E180" s="76"/>
      <x:c r="F180" s="76"/>
      <x:c r="G180" s="76"/>
      <x:c r="H180" s="76"/>
    </x:row>
    <x:row r="181">
      <x:c r="A181" s="76"/>
      <x:c r="B181" s="76"/>
      <x:c r="C181" s="76"/>
      <x:c r="D181" s="76"/>
      <x:c r="E181" s="76"/>
      <x:c r="F181" s="76"/>
      <x:c r="G181" s="76"/>
      <x:c r="H181" s="76"/>
    </x:row>
    <x:row r="182">
      <x:c r="A182" s="76"/>
      <x:c r="B182" s="76"/>
      <x:c r="C182" s="76"/>
      <x:c r="D182" s="76"/>
      <x:c r="E182" s="76"/>
      <x:c r="F182" s="76"/>
      <x:c r="G182" s="76"/>
      <x:c r="H182" s="76"/>
    </x:row>
    <x:row r="183">
      <x:c r="A183" s="76"/>
      <x:c r="B183" s="76"/>
      <x:c r="C183" s="76"/>
      <x:c r="D183" s="76"/>
      <x:c r="E183" s="76"/>
      <x:c r="F183" s="76"/>
      <x:c r="G183" s="76"/>
      <x:c r="H183" s="76"/>
    </x:row>
    <x:row r="184">
      <x:c r="A184" s="76"/>
      <x:c r="B184" s="76"/>
      <x:c r="C184" s="76"/>
      <x:c r="D184" s="76"/>
      <x:c r="E184" s="76"/>
      <x:c r="F184" s="76"/>
      <x:c r="G184" s="76"/>
      <x:c r="H184" s="76"/>
    </x:row>
    <x:row r="185">
      <x:c r="A185" s="76"/>
      <x:c r="B185" s="76"/>
      <x:c r="C185" s="76"/>
      <x:c r="D185" s="76"/>
      <x:c r="E185" s="76"/>
      <x:c r="F185" s="76"/>
      <x:c r="G185" s="76"/>
      <x:c r="H185" s="76"/>
    </x:row>
    <x:row r="186">
      <x:c r="A186" s="76"/>
      <x:c r="B186" s="76"/>
      <x:c r="C186" s="76"/>
      <x:c r="D186" s="76"/>
      <x:c r="E186" s="76"/>
      <x:c r="F186" s="76"/>
      <x:c r="G186" s="76"/>
      <x:c r="H186" s="76"/>
    </x:row>
    <x:row r="187">
      <x:c r="A187" s="76"/>
      <x:c r="B187" s="76"/>
      <x:c r="C187" s="76"/>
      <x:c r="D187" s="76"/>
      <x:c r="E187" s="76"/>
      <x:c r="F187" s="76"/>
      <x:c r="G187" s="76"/>
      <x:c r="H187" s="76"/>
    </x:row>
    <x:row r="188">
      <x:c r="A188" s="76"/>
      <x:c r="B188" s="76"/>
      <x:c r="C188" s="76"/>
      <x:c r="D188" s="76"/>
      <x:c r="E188" s="76"/>
      <x:c r="F188" s="76"/>
      <x:c r="G188" s="76"/>
      <x:c r="H188" s="76"/>
    </x:row>
    <x:row r="189">
      <x:c r="A189" s="76"/>
      <x:c r="B189" s="76"/>
      <x:c r="C189" s="76"/>
      <x:c r="D189" s="76"/>
      <x:c r="E189" s="76"/>
      <x:c r="F189" s="76"/>
      <x:c r="G189" s="76"/>
      <x:c r="H189" s="76"/>
    </x:row>
    <x:row r="190">
      <x:c r="A190" s="76"/>
      <x:c r="B190" s="76"/>
      <x:c r="C190" s="76"/>
      <x:c r="D190" s="76"/>
      <x:c r="E190" s="76"/>
      <x:c r="F190" s="76"/>
      <x:c r="G190" s="76"/>
      <x:c r="H190" s="76"/>
    </x:row>
    <x:row r="191">
      <x:c r="A191" s="76"/>
      <x:c r="B191" s="76"/>
      <x:c r="C191" s="76"/>
      <x:c r="D191" s="76"/>
      <x:c r="E191" s="76"/>
      <x:c r="F191" s="76"/>
      <x:c r="G191" s="76"/>
      <x:c r="H191" s="76"/>
    </x:row>
    <x:row r="192">
      <x:c r="A192" s="76"/>
      <x:c r="B192" s="76"/>
      <x:c r="C192" s="76"/>
      <x:c r="D192" s="76"/>
      <x:c r="E192" s="76"/>
      <x:c r="F192" s="76"/>
      <x:c r="G192" s="76"/>
      <x:c r="H192" s="76"/>
    </x:row>
    <x:row r="193">
      <x:c r="A193" s="76"/>
      <x:c r="B193" s="76"/>
      <x:c r="C193" s="76"/>
      <x:c r="D193" s="76"/>
      <x:c r="E193" s="76"/>
      <x:c r="F193" s="76"/>
      <x:c r="G193" s="76"/>
      <x:c r="H193" s="76"/>
    </x:row>
    <x:row r="194">
      <x:c r="A194" s="76"/>
      <x:c r="B194" s="76"/>
      <x:c r="C194" s="76"/>
      <x:c r="D194" s="76"/>
      <x:c r="E194" s="76"/>
      <x:c r="F194" s="76"/>
      <x:c r="G194" s="76"/>
      <x:c r="H194" s="76"/>
    </x:row>
    <x:row r="195">
      <x:c r="A195" s="76"/>
      <x:c r="B195" s="76"/>
      <x:c r="C195" s="76"/>
      <x:c r="D195" s="76"/>
      <x:c r="E195" s="76"/>
      <x:c r="F195" s="76"/>
      <x:c r="G195" s="76"/>
      <x:c r="H195" s="76"/>
    </x:row>
    <x:row r="196">
      <x:c r="A196" s="76"/>
      <x:c r="B196" s="76"/>
      <x:c r="C196" s="76"/>
      <x:c r="D196" s="76"/>
      <x:c r="E196" s="76"/>
      <x:c r="F196" s="76"/>
      <x:c r="G196" s="76"/>
      <x:c r="H196" s="76"/>
    </x:row>
    <x:row r="197">
      <x:c r="A197" s="76"/>
      <x:c r="B197" s="76"/>
      <x:c r="C197" s="76"/>
      <x:c r="D197" s="76"/>
      <x:c r="E197" s="76"/>
      <x:c r="F197" s="76"/>
      <x:c r="G197" s="76"/>
      <x:c r="H197" s="76"/>
    </x:row>
    <x:row r="198">
      <x:c r="A198" s="76"/>
      <x:c r="B198" s="76"/>
      <x:c r="C198" s="76"/>
      <x:c r="D198" s="76"/>
      <x:c r="E198" s="76"/>
      <x:c r="F198" s="76"/>
      <x:c r="G198" s="76"/>
      <x:c r="H198" s="76"/>
    </x:row>
    <x:row r="199">
      <x:c r="A199" s="76"/>
      <x:c r="B199" s="76"/>
      <x:c r="C199" s="76"/>
      <x:c r="D199" s="76"/>
      <x:c r="E199" s="76"/>
      <x:c r="F199" s="76"/>
      <x:c r="G199" s="76"/>
      <x:c r="H199" s="76"/>
    </x:row>
    <x:row r="200">
      <x:c r="A200" s="76"/>
      <x:c r="B200" s="76"/>
      <x:c r="C200" s="76"/>
      <x:c r="D200" s="76"/>
      <x:c r="E200" s="76"/>
      <x:c r="F200" s="76"/>
      <x:c r="G200" s="76"/>
      <x:c r="H200" s="76"/>
    </x:row>
  </x:sheetData>
  <x:mergeCells>
    <x:mergeCell ref="A1:H1"/>
    <x:mergeCell ref="A2:H2"/>
    <x:mergeCell ref="B3:H3"/>
    <x:mergeCell ref="B4:H4"/>
    <x:mergeCell ref="B5:H5"/>
    <x:mergeCell ref="A7:H7"/>
    <x:mergeCell ref="A19:H19"/>
    <x:mergeCell ref="A30:H30"/>
    <x:mergeCell ref="A39:H39"/>
    <x:mergeCell ref="A48:H48"/>
    <x:mergeCell ref="A71:H71"/>
  </x:mergeCells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32" hidden="0" customWidth="1"/>
    <x:col min="4" max="4" width="28" hidden="0" customWidth="1"/>
    <x:col min="5" max="5" width="26" hidden="0" customWidth="1"/>
    <x:col min="6" max="6" width="22" hidden="0" customWidth="1"/>
    <x:col min="7" max="7" width="16" hidden="0" customWidth="1"/>
    <x:col min="8" max="8" width="24" hidden="0" customWidth="1"/>
  </x:cols>
  <x:sheetData>
    <x:row r="1" ht="30" hidden="0" customHeight="1">
      <x:c r="A1" s="116" t="str">
        <x:v>CxVisual V6.4→V6.5 — 通用变量平台 / DeviceVariable 兼容迁移基线</x:v>
      </x:c>
      <x:c r="B1" s="116"/>
      <x:c r="C1" s="116"/>
      <x:c r="D1" s="116"/>
      <x:c r="E1" s="116"/>
      <x:c r="F1" s="116"/>
      <x:c r="G1" s="116"/>
      <x:c r="H1" s="116"/>
    </x:row>
    <x:row r="2" ht="42" hidden="0" customHeight="1">
      <x:c r="A2" s="100" t="str">
        <x:v>核心方向：保留旧Device中“强类型值对象 + 每变量独立锁 + Value/OldValue状态”的优点，把它抽成通用 Variable&lt;T&gt;；Device退回现实世界对象/Group，不再把MeasureDouble/Integer/String整个Device当一个变量。</x:v>
      </x:c>
      <x:c r="B2" s="100"/>
      <x:c r="C2" s="100"/>
      <x:c r="D2" s="100"/>
      <x:c r="E2" s="100"/>
      <x:c r="F2" s="100"/>
      <x:c r="G2" s="100"/>
      <x:c r="H2" s="100"/>
    </x:row>
    <x:row r="3" ht="15" hidden="0" customHeight="1">
      <x:c r="A3" s="87" t="str">
        <x:v>本页唯一权威</x:v>
      </x:c>
      <x:c r="B3" s="88" t="str">
        <x:v>通用变量核心模型、唯一身份、层次/Group、Snapshot并发语义、ProviderBinding、DeviceVariable迁移和Case DoD。</x:v>
      </x:c>
      <x:c r="C3" s="88"/>
      <x:c r="D3" s="88"/>
      <x:c r="E3" s="88"/>
      <x:c r="F3" s="88"/>
      <x:c r="G3" s="88"/>
      <x:c r="H3" s="88"/>
    </x:row>
    <x:row r="4" ht="15" hidden="0" customHeight="1">
      <x:c r="A4" s="87" t="str">
        <x:v>不在本页维护</x:v>
      </x:c>
      <x:c r="B4" s="88" t="str">
        <x:v>Modbus/S7协议细节（Automation.Drivers）；具体Alarm/Historian实现（17）；真实完成状态（41）。</x:v>
      </x:c>
      <x:c r="C4" s="88"/>
      <x:c r="D4" s="88"/>
      <x:c r="E4" s="88"/>
      <x:c r="F4" s="88"/>
      <x:c r="G4" s="88"/>
      <x:c r="H4" s="88"/>
    </x:row>
    <x:row r="5" ht="15" hidden="0" customHeight="1">
      <x:c r="A5" s="87" t="str">
        <x:v>关联分页</x:v>
      </x:c>
      <x:c r="B5" s="88" t="str">
        <x:v>03/05/10/12/14/17/18/20/22/25/26/40/41/43/47/49；50_通用变量平台蓝图为进一步设计视图。</x:v>
      </x:c>
      <x:c r="C5" s="88"/>
      <x:c r="D5" s="88"/>
      <x:c r="E5" s="88"/>
      <x:c r="F5" s="88"/>
      <x:c r="G5" s="88"/>
      <x:c r="H5" s="88"/>
    </x:row>
    <x:row r="6" ht="15" hidden="0" customHeight="1">
      <x:c r="A6" s="79"/>
      <x:c r="B6" s="79"/>
      <x:c r="C6" s="79"/>
      <x:c r="D6" s="79"/>
      <x:c r="E6" s="79"/>
      <x:c r="F6" s="79"/>
      <x:c r="G6" s="79"/>
      <x:c r="H6" s="79"/>
    </x:row>
    <x:row r="7" ht="15" hidden="0" customHeight="1">
      <x:c r="A7" s="118" t="str">
        <x:v>A. 核心模型</x:v>
      </x:c>
      <x:c r="B7" s="118"/>
      <x:c r="C7" s="118"/>
      <x:c r="D7" s="118"/>
      <x:c r="E7" s="118"/>
      <x:c r="F7" s="118"/>
      <x:c r="G7" s="118"/>
      <x:c r="H7" s="118"/>
    </x:row>
    <x:row r="8" ht="15" hidden="0" customHeight="1">
      <x:c r="A8" s="146" t="str">
        <x:v>对象</x:v>
      </x:c>
      <x:c r="B8" s="146" t="str">
        <x:v>职责</x:v>
      </x:c>
      <x:c r="C8" s="146" t="str">
        <x:v>关键字段</x:v>
      </x:c>
      <x:c r="D8" s="146" t="str">
        <x:v>并发/生命周期</x:v>
      </x:c>
      <x:c r="E8" s="146" t="str">
        <x:v>唯一性</x:v>
      </x:c>
      <x:c r="F8" s="146" t="str">
        <x:v>所属层</x:v>
      </x:c>
      <x:c r="G8" s="146" t="str">
        <x:v>迁移说明</x:v>
      </x:c>
      <x:c r="H8" s="146" t="str">
        <x:v>备注</x:v>
      </x:c>
    </x:row>
    <x:row r="9" ht="21.600000381469727" hidden="0" customHeight="1">
      <x:c r="A9" s="79" t="str">
        <x:v>VariableSpace</x:v>
      </x:c>
      <x:c r="B9" s="79" t="str">
        <x:v>变量命名空间/运行空间</x:v>
      </x:c>
      <x:c r="C9" s="79" t="str">
        <x:v>SpaceId/Name/RootGroup</x:v>
      </x:c>
      <x:c r="D9" s="79" t="str">
        <x:v>Session/Project级</x:v>
      </x:c>
      <x:c r="E9" s="79" t="str">
        <x:v>SpaceId唯一</x:v>
      </x:c>
      <x:c r="F9" s="79" t="str">
        <x:v>Platform</x:v>
      </x:c>
      <x:c r="G9" s="79" t="str">
        <x:v>新增</x:v>
      </x:c>
      <x:c r="H9" s="79" t="str">
        <x:v>支持工程/Runtime/Simulation隔离</x:v>
      </x:c>
    </x:row>
    <x:row r="10" ht="21.600000381469727" hidden="0" customHeight="1">
      <x:c r="A10" s="79" t="str">
        <x:v>VariableNodeBase</x:v>
      </x:c>
      <x:c r="B10" s="79" t="str">
        <x:v>变量树共同节点</x:v>
      </x:c>
      <x:c r="C10" s="79" t="str">
        <x:v>Id/Name/ParentId/Path/Tags/Metadata</x:v>
      </x:c>
      <x:c r="D10" s="79" t="str">
        <x:v>不可变身份+可变组织</x:v>
      </x:c>
      <x:c r="E10" s="79" t="str">
        <x:v>Id稳定</x:v>
      </x:c>
      <x:c r="F10" s="79" t="str">
        <x:v>Platform</x:v>
      </x:c>
      <x:c r="G10" s="79" t="str">
        <x:v>新增</x:v>
      </x:c>
      <x:c r="H10" s="79" t="str">
        <x:v>Group/Variable共用</x:v>
      </x:c>
    </x:row>
    <x:row r="11" ht="15" hidden="0" customHeight="1">
      <x:c r="A11" s="79" t="str">
        <x:v>VariableGroup</x:v>
      </x:c>
      <x:c r="B11" s="79" t="str">
        <x:v>管理/组织子节点</x:v>
      </x:c>
      <x:c r="C11" s="79" t="str">
        <x:v>Children/GroupType</x:v>
      </x:c>
      <x:c r="D11" s="79" t="str">
        <x:v>自身通常无值</x:v>
      </x:c>
      <x:c r="E11" s="79" t="str">
        <x:v>Path内同名约束</x:v>
      </x:c>
      <x:c r="F11" s="79" t="str">
        <x:v>Platform</x:v>
      </x:c>
      <x:c r="G11" s="79" t="str">
        <x:v>由旧Device容器演化</x:v>
      </x:c>
      <x:c r="H11" s="79" t="str">
        <x:v>允许任意层级</x:v>
      </x:c>
    </x:row>
    <x:row r="12" ht="21.600000381469727" hidden="0" customHeight="1">
      <x:c r="A12" s="79" t="str">
        <x:v>DeviceNode</x:v>
      </x:c>
      <x:c r="B12" s="79" t="str">
        <x:v>带设备语义的Group</x:v>
      </x:c>
      <x:c r="C12" s="79" t="str">
        <x:v>DeviceRef/Capabilities/Lifecycle</x:v>
      </x:c>
      <x:c r="D12" s="79" t="str">
        <x:v>Provider拥有连接</x:v>
      </x:c>
      <x:c r="E12" s="79" t="str">
        <x:v>DeviceId稳定</x:v>
      </x:c>
      <x:c r="F12" s="79" t="str">
        <x:v>Automation</x:v>
      </x:c>
      <x:c r="G12" s="79" t="str">
        <x:v>旧Device迁入</x:v>
      </x:c>
      <x:c r="H12" s="79" t="str">
        <x:v>Device不是Variable本身</x:v>
      </x:c>
    </x:row>
    <x:row r="13" ht="21.600000381469727" hidden="0" customHeight="1">
      <x:c r="A13" s="79" t="str">
        <x:v>VariableBase</x:v>
      </x:c>
      <x:c r="B13" s="79" t="str">
        <x:v>非泛型变量契约</x:v>
      </x:c>
      <x:c r="C13" s="79" t="str">
        <x:v>VariableId/DataTypeId/Access/Unit</x:v>
      </x:c>
      <x:c r="D13" s="79" t="str">
        <x:v>每变量独立一致性单元</x:v>
      </x:c>
      <x:c r="E13" s="79" t="str">
        <x:v>VariableId稳定</x:v>
      </x:c>
      <x:c r="F13" s="79" t="str">
        <x:v>Platform</x:v>
      </x:c>
      <x:c r="G13" s="79" t="str">
        <x:v>新增正式基类</x:v>
      </x:c>
      <x:c r="H13" s="79" t="str">
        <x:v>不要Dictionary&lt;object&gt;</x:v>
      </x:c>
    </x:row>
    <x:row r="14" ht="15" hidden="0" customHeight="1">
      <x:c r="A14" s="79" t="str">
        <x:v>Variable&lt;T&gt;</x:v>
      </x:c>
      <x:c r="B14" s="79" t="str">
        <x:v>强类型变量</x:v>
      </x:c>
      <x:c r="C14" s="79" t="str">
        <x:v>ValueStore&lt;T&gt;/Snapshot/Changed</x:v>
      </x:c>
      <x:c r="D14" s="79" t="str">
        <x:v>独立lock或原子Snapshot</x:v>
      </x:c>
      <x:c r="E14" s="79" t="str">
        <x:v>VariableId稳定</x:v>
      </x:c>
      <x:c r="F14" s="79" t="str">
        <x:v>Platform</x:v>
      </x:c>
      <x:c r="G14" s="79" t="str">
        <x:v>MeasureXxx收敛</x:v>
      </x:c>
      <x:c r="H14" s="79" t="str">
        <x:v>T为运行时类型</x:v>
      </x:c>
    </x:row>
    <x:row r="15" ht="15" hidden="0" customHeight="1">
      <x:c r="A15" s="79" t="str">
        <x:v>VariableSnapshot&lt;T&gt;</x:v>
      </x:c>
      <x:c r="B15" s="79" t="str">
        <x:v>一次一致读的值快照</x:v>
      </x:c>
      <x:c r="C15" s="79" t="str">
        <x:v>Value/OldValue/Quality/Timestamp/Sequence/Source/Correlation</x:v>
      </x:c>
      <x:c r="D15" s="79" t="str">
        <x:v>不可变快照</x:v>
      </x:c>
      <x:c r="E15" s="79" t="str">
        <x:v>随Sequence演进</x:v>
      </x:c>
      <x:c r="F15" s="79" t="str">
        <x:v>Platform</x:v>
      </x:c>
      <x:c r="G15" s="79" t="str">
        <x:v>替代散读多个字段</x:v>
      </x:c>
      <x:c r="H15" s="79" t="str">
        <x:v>外部优先读Snapshot</x:v>
      </x:c>
    </x:row>
    <x:row r="16" ht="21.600000381469727" hidden="0" customHeight="1">
      <x:c r="A16" s="79" t="str">
        <x:v>VariableValueStore&lt;T&gt;</x:v>
      </x:c>
      <x:c r="B16" s="79" t="str">
        <x:v>Current/Previous/可选ValueSlot</x:v>
      </x:c>
      <x:c r="C16" s="79" t="str">
        <x:v>Current/Previous/Raw/Setpoint/Override等</x:v>
      </x:c>
      <x:c r="D16" s="79" t="str">
        <x:v>Set时原子切换</x:v>
      </x:c>
      <x:c r="E16" s="79" t="str">
        <x:v>内部状态</x:v>
      </x:c>
      <x:c r="F16" s="79" t="str">
        <x:v>Platform</x:v>
      </x:c>
      <x:c r="G16" s="79" t="str">
        <x:v>扩展Value/OldValue思路</x:v>
      </x:c>
      <x:c r="H16" s="79" t="str">
        <x:v>不要无限加XxxValue属性</x:v>
      </x:c>
    </x:row>
    <x:row r="17" ht="21.600000381469727" hidden="0" customHeight="1">
      <x:c r="A17" s="79"/>
      <x:c r="B17" s="79"/>
      <x:c r="C17" s="79"/>
      <x:c r="D17" s="79"/>
      <x:c r="E17" s="79"/>
      <x:c r="F17" s="79"/>
      <x:c r="G17" s="79"/>
      <x:c r="H17" s="79"/>
    </x:row>
    <x:row r="18" ht="15" hidden="0" customHeight="1">
      <x:c r="A18" s="79"/>
      <x:c r="B18" s="79"/>
      <x:c r="C18" s="79"/>
      <x:c r="D18" s="79"/>
      <x:c r="E18" s="79"/>
      <x:c r="F18" s="79"/>
      <x:c r="G18" s="79"/>
      <x:c r="H18" s="79"/>
    </x:row>
    <x:row r="19" ht="15" hidden="0" customHeight="1">
      <x:c r="A19" s="118" t="str">
        <x:v>B. 身份、层次与全局唯一</x:v>
      </x:c>
      <x:c r="B19" s="118"/>
      <x:c r="C19" s="118"/>
      <x:c r="D19" s="118"/>
      <x:c r="E19" s="118"/>
      <x:c r="F19" s="118"/>
      <x:c r="G19" s="118"/>
      <x:c r="H19" s="118"/>
    </x:row>
    <x:row r="20" ht="15" hidden="0" customHeight="1">
      <x:c r="A20" s="146" t="str">
        <x:v>概念</x:v>
      </x:c>
      <x:c r="B20" s="146" t="str">
        <x:v>正式规则</x:v>
      </x:c>
      <x:c r="C20" s="146" t="str">
        <x:v>为什么</x:v>
      </x:c>
      <x:c r="D20" s="146" t="str">
        <x:v>示例</x:v>
      </x:c>
      <x:c r="E20" s="146" t="str">
        <x:v>禁止</x:v>
      </x:c>
      <x:c r="F20" s="146" t="str">
        <x:v>所属</x:v>
      </x:c>
      <x:c r="G20" s="146" t="str">
        <x:v>迁移</x:v>
      </x:c>
      <x:c r="H20" s="146" t="str">
        <x:v>备注</x:v>
      </x:c>
    </x:row>
    <x:row r="21" ht="15" hidden="0" customHeight="1">
      <x:c r="A21" s="79" t="str">
        <x:v>VariableId</x:v>
      </x:c>
      <x:c r="B21" s="79" t="str">
        <x:v>真正稳定身份；改名/移动Group/换Provider均不变</x:v>
      </x:c>
      <x:c r="C21" s="79" t="str">
        <x:v>保护Binding/Alarm/Historian/Graph引用</x:v>
      </x:c>
      <x:c r="D21" s="79" t="str">
        <x:v>Guid/StableId</x:v>
      </x:c>
      <x:c r="E21" s="79" t="str">
        <x:v>用Path/设备名当唯一键</x:v>
      </x:c>
      <x:c r="F21" s="79" t="str">
        <x:v>Platform</x:v>
      </x:c>
      <x:c r="G21" s="79" t="str">
        <x:v>旧SourceKey映射</x:v>
      </x:c>
      <x:c r="H21" s="79" t="str">
        <x:v>P0</x:v>
      </x:c>
    </x:row>
    <x:row r="22" ht="15" hidden="0" customHeight="1">
      <x:c r="A22" s="79" t="str">
        <x:v>ParentId</x:v>
      </x:c>
      <x:c r="B22" s="79" t="str">
        <x:v>只表达树组织</x:v>
      </x:c>
      <x:c r="C22" s="79" t="str">
        <x:v>允许Machine/PLC/Axis/System等任意层级</x:v>
      </x:c>
      <x:c r="D22" s="79" t="str">
        <x:v>/Line1/Machine1/...</x:v>
      </x:c>
      <x:c r="E22" s="79" t="str">
        <x:v>把业务Owner混同Parent</x:v>
      </x:c>
      <x:c r="F22" s="79" t="str">
        <x:v>Platform</x:v>
      </x:c>
      <x:c r="G22" s="79" t="str">
        <x:v>由旧Device分组迁移</x:v>
      </x:c>
      <x:c r="H22" s="79" t="str">
        <x:v>P0</x:v>
      </x:c>
    </x:row>
    <x:row r="23" ht="32.400001525878906" hidden="0" customHeight="1">
      <x:c r="A23" s="79" t="str">
        <x:v>VariablePath</x:v>
      </x:c>
      <x:c r="B23" s="79" t="str">
        <x:v>人类可读逻辑地址，可由Parent+Name生成</x:v>
      </x:c>
      <x:c r="C23" s="79" t="str">
        <x:v>浏览/搜索/Binding显示</x:v>
      </x:c>
      <x:c r="D23" s="79" t="str">
        <x:v>/Line1/PLC1/Temperature</x:v>
      </x:c>
      <x:c r="E23" s="79" t="str">
        <x:v>Path变化导致引用失效</x:v>
      </x:c>
      <x:c r="F23" s="79" t="str">
        <x:v>Platform</x:v>
      </x:c>
      <x:c r="G23" s="79" t="str">
        <x:v>保持Alias映射</x:v>
      </x:c>
      <x:c r="H23" s="79" t="str">
        <x:v>P0</x:v>
      </x:c>
    </x:row>
    <x:row r="24" ht="21.600000381469727" hidden="0" customHeight="1">
      <x:c r="A24" s="79" t="str">
        <x:v>Tags</x:v>
      </x:c>
      <x:c r="B24" s="79" t="str">
        <x:v>横向分类</x:v>
      </x:c>
      <x:c r="C24" s="79" t="str">
        <x:v>Historian/AlarmSource/Maintenance等多维检索</x:v>
      </x:c>
      <x:c r="D24" s="79" t="str">
        <x:v>Critical; Historian</x:v>
      </x:c>
      <x:c r="E24" s="79" t="str">
        <x:v>为每种分类再造树</x:v>
      </x:c>
      <x:c r="F24" s="79" t="str">
        <x:v>Platform</x:v>
      </x:c>
      <x:c r="G24" s="79" t="str">
        <x:v>可从旧属性生成</x:v>
      </x:c>
      <x:c r="H24" s="79" t="str">
        <x:v>P1</x:v>
      </x:c>
    </x:row>
    <x:row r="25" ht="15" hidden="0" customHeight="1">
      <x:c r="A25" s="79" t="str">
        <x:v>OwnerRef</x:v>
      </x:c>
      <x:c r="B25" s="79" t="str">
        <x:v>业务所有者可选引用</x:v>
      </x:c>
      <x:c r="C25" s="79" t="str">
        <x:v>组织位置与业务Owner解耦</x:v>
      </x:c>
      <x:c r="D25" s="79" t="str">
        <x:v>AxisResourceId</x:v>
      </x:c>
      <x:c r="E25" s="79" t="str">
        <x:v>把Owner当Parent</x:v>
      </x:c>
      <x:c r="F25" s="79" t="str">
        <x:v>Platform/Automation</x:v>
      </x:c>
      <x:c r="G25" s="79" t="str">
        <x:v>后续引入</x:v>
      </x:c>
      <x:c r="H25" s="79" t="str">
        <x:v>P1</x:v>
      </x:c>
    </x:row>
    <x:row r="26" ht="15" hidden="0" customHeight="1">
      <x:c r="A26" s="79"/>
      <x:c r="B26" s="79"/>
      <x:c r="C26" s="79"/>
      <x:c r="D26" s="79"/>
      <x:c r="E26" s="79"/>
      <x:c r="F26" s="79"/>
      <x:c r="G26" s="79"/>
      <x:c r="H26" s="79"/>
    </x:row>
    <x:row r="27" ht="15" hidden="0" customHeight="1">
      <x:c r="A27" s="79"/>
      <x:c r="B27" s="79"/>
      <x:c r="C27" s="79"/>
      <x:c r="D27" s="79"/>
      <x:c r="E27" s="79"/>
      <x:c r="F27" s="79"/>
      <x:c r="G27" s="79"/>
      <x:c r="H27" s="79"/>
    </x:row>
    <x:row r="28" ht="21.600000381469727" hidden="0" customHeight="1">
      <x:c r="A28" s="131" t="str">
        <x:v>C. Variable 与 Device 的最终关系</x:v>
      </x:c>
      <x:c r="B28" s="131"/>
      <x:c r="C28" s="131"/>
      <x:c r="D28" s="131"/>
      <x:c r="E28" s="131"/>
      <x:c r="F28" s="131"/>
      <x:c r="G28" s="131"/>
      <x:c r="H28" s="131"/>
    </x:row>
    <x:row r="29" ht="21.600000381469727" hidden="0" customHeight="1">
      <x:c r="A29" s="135" t="str">
        <x:v>旧模型</x:v>
      </x:c>
      <x:c r="B29" s="135" t="str">
        <x:v>问题</x:v>
      </x:c>
      <x:c r="C29" s="135" t="str">
        <x:v>新模型</x:v>
      </x:c>
      <x:c r="D29" s="135" t="str">
        <x:v>收益</x:v>
      </x:c>
      <x:c r="E29" s="135" t="str">
        <x:v>兼容策略</x:v>
      </x:c>
      <x:c r="F29" s="135" t="str">
        <x:v>Owner</x:v>
      </x:c>
      <x:c r="G29" s="135" t="str">
        <x:v>阶段</x:v>
      </x:c>
      <x:c r="H29" s="135" t="str">
        <x:v>备注</x:v>
      </x:c>
    </x:row>
    <x:row r="30" ht="15" hidden="0" customHeight="1">
      <x:c r="A30" s="79" t="str">
        <x:v>MeasureDouble : Device</x:v>
      </x:c>
      <x:c r="B30" s="79" t="str">
        <x:v>数据类型被建模成设备；协议需创建虚假Device</x:v>
      </x:c>
      <x:c r="C30" s="79" t="str">
        <x:v>Variable&lt;double&gt;；DeviceNode : VariableGroup</x:v>
      </x:c>
      <x:c r="D30" s="79" t="str">
        <x:v>强类型+锁保留，语义正确</x:v>
      </x:c>
      <x:c r="E30" s="79" t="str">
        <x:v>MeasureDouble→Legacy adapter→Variable&lt;double&gt;</x:v>
      </x:c>
      <x:c r="F30" s="79" t="str">
        <x:v>Platform/Compatibility</x:v>
      </x:c>
      <x:c r="G30" s="79" t="str">
        <x:v>V6.5</x:v>
      </x:c>
      <x:c r="H30" s="79" t="str">
        <x:v>最终删除MeasureXxx</x:v>
      </x:c>
    </x:row>
    <x:row r="31" ht="15" hidden="0" customHeight="1">
      <x:c r="A31" s="90" t="str">
        <x:v>Device owns VariableTable</x:v>
      </x:c>
      <x:c r="B31" s="90" t="str">
        <x:v>变量只能依附Device</x:v>
      </x:c>
      <x:c r="C31" s="90" t="str">
        <x:v>DeviceNode引用/组织VariableRef；Local/Calculated变量可无Device</x:v>
      </x:c>
      <x:c r="D31" s="90" t="str">
        <x:v>支持系统/配方/运行/仿真变量</x:v>
      </x:c>
      <x:c r="E31" s="90" t="str">
        <x:v>VariableTable→VariableStateCache</x:v>
      </x:c>
      <x:c r="F31" s="90" t="str">
        <x:v>Platform</x:v>
      </x:c>
      <x:c r="G31" s="90" t="str">
        <x:v>V6.5</x:v>
      </x:c>
      <x:c r="H31" s="90" t="str">
        <x:v>Device只是生产者/消费者之一</x:v>
      </x:c>
    </x:row>
    <x:row r="32" ht="15" hidden="0" customHeight="1">
      <x:c r="A32" s="104" t="str">
        <x:v>DeviceName+VariableName</x:v>
      </x:c>
      <x:c r="B32" s="104" t="str">
        <x:v>改名/换协议破引用</x:v>
      </x:c>
      <x:c r="C32" s="104" t="str">
        <x:v>VariableId + VariableBinding</x:v>
      </x:c>
      <x:c r="D32" s="104" t="str">
        <x:v>Provider可替换，上层不变</x:v>
      </x:c>
      <x:c r="E32" s="104" t="str">
        <x:v>生成稳定ID并保留Alias</x:v>
      </x:c>
      <x:c r="F32" s="104" t="str">
        <x:v>Platform/Automation</x:v>
      </x:c>
      <x:c r="G32" s="104" t="str">
        <x:v>V6.5</x:v>
      </x:c>
      <x:c r="H32" s="104" t="str">
        <x:v>P0</x:v>
      </x:c>
    </x:row>
    <x:row r="33" ht="21.600000381469727" hidden="0" customHeight="1">
      <x:c r="A33" s="79"/>
      <x:c r="B33" s="79"/>
      <x:c r="C33" s="79"/>
      <x:c r="D33" s="79"/>
      <x:c r="E33" s="79"/>
      <x:c r="F33" s="79"/>
      <x:c r="G33" s="79"/>
      <x:c r="H33" s="79"/>
    </x:row>
    <x:row r="34" ht="15" hidden="0" customHeight="1">
      <x:c r="A34" s="79"/>
      <x:c r="B34" s="79"/>
      <x:c r="C34" s="79"/>
      <x:c r="D34" s="79"/>
      <x:c r="E34" s="79"/>
      <x:c r="F34" s="79"/>
      <x:c r="G34" s="79"/>
      <x:c r="H34" s="79"/>
    </x:row>
    <x:row r="35" ht="15" hidden="0" customHeight="1">
      <x:c r="A35" s="131" t="str">
        <x:v>D. Provider / Binding / Source</x:v>
      </x:c>
      <x:c r="B35" s="131"/>
      <x:c r="C35" s="131"/>
      <x:c r="D35" s="131"/>
      <x:c r="E35" s="131"/>
      <x:c r="F35" s="131"/>
      <x:c r="G35" s="131"/>
      <x:c r="H35" s="131"/>
    </x:row>
    <x:row r="36" ht="15" hidden="0" customHeight="1">
      <x:c r="A36" s="135" t="str">
        <x:v>对象</x:v>
      </x:c>
      <x:c r="B36" s="135" t="str">
        <x:v>职责</x:v>
      </x:c>
      <x:c r="C36" s="135" t="str">
        <x:v>Platform字段</x:v>
      </x:c>
      <x:c r="D36" s="135" t="str">
        <x:v>专业扩展</x:v>
      </x:c>
      <x:c r="E36" s="135" t="str">
        <x:v>Runtime行为</x:v>
      </x:c>
      <x:c r="F36" s="135" t="str">
        <x:v>禁止</x:v>
      </x:c>
      <x:c r="G36" s="135" t="str">
        <x:v>阶段</x:v>
      </x:c>
      <x:c r="H36" s="135" t="str">
        <x:v>备注</x:v>
      </x:c>
    </x:row>
    <x:row r="37" ht="15" hidden="0" customHeight="1">
      <x:c r="A37" s="79" t="str">
        <x:v>VariableDefinition</x:v>
      </x:c>
      <x:c r="B37" s="79" t="str">
        <x:v>这个变量是什么</x:v>
      </x:c>
      <x:c r="C37" s="79" t="str">
        <x:v>VariableId/Name/DataTypeId/Access/Unit/Default/Range</x:v>
      </x:c>
      <x:c r="D37" s="79" t="str">
        <x:v>无协议字段</x:v>
      </x:c>
      <x:c r="E37" s="79" t="str">
        <x:v>进入Catalog</x:v>
      </x:c>
      <x:c r="F37" s="79" t="str">
        <x:v>写入DB/寄存器地址</x:v>
      </x:c>
      <x:c r="G37" s="79" t="str">
        <x:v>V6.5</x:v>
      </x:c>
      <x:c r="H37" s="79" t="str">
        <x:v>工程定义</x:v>
      </x:c>
    </x:row>
    <x:row r="38" ht="32.400001525878906" hidden="0" customHeight="1">
      <x:c r="A38" s="79" t="str">
        <x:v>VariableRef</x:v>
      </x:c>
      <x:c r="B38" s="79" t="str">
        <x:v>别人如何稳定引用变量</x:v>
      </x:c>
      <x:c r="C38" s="79" t="str">
        <x:v>VariableId(+SpaceId)</x:v>
      </x:c>
      <x:c r="D38" s="79" t="str">
        <x:v>显示Path仅诊断</x:v>
      </x:c>
      <x:c r="E38" s="79" t="str">
        <x:v>Resolve到Runtime</x:v>
      </x:c>
      <x:c r="F38" s="79" t="str">
        <x:v>复制Provider地址</x:v>
      </x:c>
      <x:c r="G38" s="79" t="str">
        <x:v>V6.5</x:v>
      </x:c>
      <x:c r="H38" s="79" t="str">
        <x:v>HMI/Alarm/Graph均只持Ref</x:v>
      </x:c>
    </x:row>
    <x:row r="39" ht="15" hidden="0" customHeight="1">
      <x:c r="A39" s="79" t="str">
        <x:v>VariableBinding</x:v>
      </x:c>
      <x:c r="B39" s="79" t="str">
        <x:v>值从哪里来</x:v>
      </x:c>
      <x:c r="C39" s="79" t="str">
        <x:v>VariableId/ProviderId/BindingId</x:v>
      </x:c>
      <x:c r="D39" s="79" t="str">
        <x:v>Modbus/S7/Motion Binding</x:v>
      </x:c>
      <x:c r="E39" s="79" t="str">
        <x:v>Runtime Resolve后建立Source</x:v>
      </x:c>
      <x:c r="F39" s="79" t="str">
        <x:v>Platform知道DB1/HR40001</x:v>
      </x:c>
      <x:c r="G39" s="79" t="str">
        <x:v>V6.5</x:v>
      </x:c>
      <x:c r="H39" s="79" t="str">
        <x:v>可切Real/Virtual/Replay</x:v>
      </x:c>
    </x:row>
    <x:row r="40" ht="15" hidden="0" customHeight="1">
      <x:c r="A40" s="90" t="str">
        <x:v>IVariableProvider</x:v>
      </x:c>
      <x:c r="B40" s="90" t="str">
        <x:v>读取/订阅/写入提供者</x:v>
      </x:c>
      <x:c r="C40" s="90" t="str">
        <x:v>Read/Subscribe/Write/Metadata/Diagnostics</x:v>
      </x:c>
      <x:c r="D40" s="90" t="str">
        <x:v>BatchRead/BatchWrite等Capability</x:v>
      </x:c>
      <x:c r="E40" s="90" t="str">
        <x:v>ProviderRouter调度</x:v>
      </x:c>
      <x:c r="F40" s="90" t="str">
        <x:v>万能Provider强制所有能力</x:v>
      </x:c>
      <x:c r="G40" s="90" t="str">
        <x:v>V6.4已有→正规化</x:v>
      </x:c>
      <x:c r="H40" s="90" t="str">
        <x:v>接口保留</x:v>
      </x:c>
    </x:row>
    <x:row r="41" ht="15" hidden="0" customHeight="1">
      <x:c r="A41" s="104" t="str">
        <x:v>VariableStateCache</x:v>
      </x:c>
      <x:c r="B41" s="104" t="str">
        <x:v>当前一致状态</x:v>
      </x:c>
      <x:c r="C41" s="104" t="str">
        <x:v>VariableId→Snapshot</x:v>
      </x:c>
      <x:c r="D41" s="104" t="str">
        <x:v>无协议语义</x:v>
      </x:c>
      <x:c r="E41" s="104" t="str">
        <x:v>Runtime共享事实源</x:v>
      </x:c>
      <x:c r="F41" s="104" t="str">
        <x:v>每个消费者再建缓存</x:v>
      </x:c>
      <x:c r="G41" s="104" t="str">
        <x:v>V6.5</x:v>
      </x:c>
      <x:c r="H41" s="104" t="str">
        <x:v>旧VariableTable演化</x:v>
      </x:c>
    </x:row>
    <x:row r="42" ht="15" hidden="0" customHeight="1">
      <x:c r="A42" s="79"/>
      <x:c r="B42" s="79"/>
      <x:c r="C42" s="79"/>
      <x:c r="D42" s="79"/>
      <x:c r="E42" s="79"/>
      <x:c r="F42" s="79"/>
      <x:c r="G42" s="79"/>
      <x:c r="H42" s="79"/>
    </x:row>
    <x:row r="43" ht="15" hidden="0" customHeight="1">
      <x:c r="A43" s="79"/>
      <x:c r="B43" s="79"/>
      <x:c r="C43" s="79"/>
      <x:c r="D43" s="79"/>
      <x:c r="E43" s="79"/>
      <x:c r="F43" s="79"/>
      <x:c r="G43" s="79"/>
      <x:c r="H43" s="79"/>
    </x:row>
    <x:row r="44" ht="15" hidden="0" customHeight="1">
      <x:c r="A44" s="131" t="str">
        <x:v>E. 值语义与并发</x:v>
      </x:c>
      <x:c r="B44" s="131"/>
      <x:c r="C44" s="131"/>
      <x:c r="D44" s="131"/>
      <x:c r="E44" s="131"/>
      <x:c r="F44" s="131"/>
      <x:c r="G44" s="131"/>
      <x:c r="H44" s="131"/>
    </x:row>
    <x:row r="45" ht="15" hidden="0" customHeight="1">
      <x:c r="A45" s="135" t="str">
        <x:v>主题</x:v>
      </x:c>
      <x:c r="B45" s="135" t="str">
        <x:v>正式规则</x:v>
      </x:c>
      <x:c r="C45" s="135" t="str">
        <x:v>实现要点</x:v>
      </x:c>
      <x:c r="D45" s="135" t="str">
        <x:v>收益</x:v>
      </x:c>
      <x:c r="E45" s="135" t="str">
        <x:v>禁止</x:v>
      </x:c>
      <x:c r="F45" s="135" t="str">
        <x:v>测试</x:v>
      </x:c>
      <x:c r="G45" s="135" t="str">
        <x:v>阶段</x:v>
      </x:c>
      <x:c r="H45" s="135" t="str">
        <x:v>备注</x:v>
      </x:c>
    </x:row>
    <x:row r="46" ht="15" hidden="0" customHeight="1">
      <x:c r="A46" s="79" t="str">
        <x:v>每变量独立一致性</x:v>
      </x:c>
      <x:c r="B46" s="79" t="str">
        <x:v>Variable&lt;T&gt;是最小并发一致性单元</x:v>
      </x:c>
      <x:c r="C46" s="79" t="str">
        <x:v>Set时锁/原子替换完整Snapshot；事件在锁外发布</x:v>
      </x:c>
      <x:c r="D46" s="79" t="str">
        <x:v>不会用VariableManager全局大锁</x:v>
      </x:c>
      <x:c r="E46" s="79" t="str">
        <x:v>Dictionary&lt;object&gt;+全局锁</x:v>
      </x:c>
      <x:c r="F46" s="79" t="str">
        <x:v>并发写/读快照一致</x:v>
      </x:c>
      <x:c r="G46" s="79" t="str">
        <x:v>V6.5</x:v>
      </x:c>
      <x:c r="H46" s="79" t="str">
        <x:v>继承旧Device优点</x:v>
      </x:c>
    </x:row>
    <x:row r="47" ht="15" hidden="0" customHeight="1">
      <x:c r="A47" s="79" t="str">
        <x:v>Current/Previous</x:v>
      </x:c>
      <x:c r="B47" s="79" t="str">
        <x:v>Current与Previous是一等概念</x:v>
      </x:c>
      <x:c r="C47" s="79" t="str">
        <x:v>OldValue来自前一Snapshot</x:v>
      </x:c>
      <x:c r="D47" s="79" t="str">
        <x:v>边沿/变化检测自然</x:v>
      </x:c>
      <x:c r="E47" s="79" t="str">
        <x:v>分别读取Value/OldValue导致竞态</x:v>
      </x:c>
      <x:c r="F47" s="79" t="str">
        <x:v>Sequence测试</x:v>
      </x:c>
      <x:c r="G47" s="79" t="str">
        <x:v>V6.5</x:v>
      </x:c>
      <x:c r="H47" s="79" t="str">
        <x:v>P0</x:v>
      </x:c>
    </x:row>
    <x:row r="48" ht="21.600000381469727" hidden="0" customHeight="1">
      <x:c r="A48" s="79" t="str">
        <x:v>Quality/Time/Sequence</x:v>
      </x:c>
      <x:c r="B48" s="79" t="str">
        <x:v>Value与Quality/Timestamp/Sequence同快照</x:v>
      </x:c>
      <x:c r="C48" s="79" t="str">
        <x:v>Provider故障时只更新Quality也产生新Sequence</x:v>
      </x:c>
      <x:c r="D48" s="79" t="str">
        <x:v>工业数据语义完整</x:v>
      </x:c>
      <x:c r="E48" s="79" t="str">
        <x:v>null代替BadQuality</x:v>
      </x:c>
      <x:c r="F48" s="79" t="str">
        <x:v>故障/重连</x:v>
      </x:c>
      <x:c r="G48" s="79" t="str">
        <x:v>V6.4已有→整合</x:v>
      </x:c>
      <x:c r="H48" s="79" t="str">
        <x:v>P0</x:v>
      </x:c>
    </x:row>
    <x:row r="49" ht="21.600000381469727" hidden="0" customHeight="1">
      <x:c r="A49" s="79" t="str">
        <x:v>扩展ValueSlot</x:v>
      </x:c>
      <x:c r="B49" s="79" t="str">
        <x:v>Raw/Setpoint/Simulation/Override等可选Slot</x:v>
      </x:c>
      <x:c r="C49" s="79" t="str">
        <x:v>ValueStore注册稳定SlotKey</x:v>
      </x:c>
      <x:c r="D49" s="79" t="str">
        <x:v>避免Variable类不断加属性</x:v>
      </x:c>
      <x:c r="E49" s="79" t="str">
        <x:v>无边界XXXValue膨胀</x:v>
      </x:c>
      <x:c r="F49" s="79" t="str">
        <x:v>Slot兼容</x:v>
      </x:c>
      <x:c r="G49" s="79" t="str">
        <x:v>V6.5</x:v>
      </x:c>
      <x:c r="H49" s="79" t="str">
        <x:v>不要把大数据塞Slot</x:v>
      </x:c>
    </x:row>
    <x:row r="50" ht="21.600000381469727" hidden="0" customHeight="1">
      <x:c r="A50" s="79"/>
      <x:c r="B50" s="79"/>
      <x:c r="C50" s="79"/>
      <x:c r="D50" s="79"/>
      <x:c r="E50" s="79"/>
      <x:c r="F50" s="79"/>
      <x:c r="G50" s="79"/>
      <x:c r="H50" s="79"/>
    </x:row>
    <x:row r="51" ht="15" hidden="0" customHeight="1">
      <x:c r="A51" s="79"/>
      <x:c r="B51" s="79"/>
      <x:c r="C51" s="79"/>
      <x:c r="D51" s="79"/>
      <x:c r="E51" s="79"/>
      <x:c r="F51" s="79"/>
      <x:c r="G51" s="79"/>
      <x:c r="H51" s="79"/>
    </x:row>
    <x:row r="52" ht="15" hidden="0" customHeight="1">
      <x:c r="A52" s="131" t="str">
        <x:v>F. 数据面边界</x:v>
      </x:c>
      <x:c r="B52" s="131"/>
      <x:c r="C52" s="131"/>
      <x:c r="D52" s="131"/>
      <x:c r="E52" s="131"/>
      <x:c r="F52" s="131"/>
      <x:c r="G52" s="131"/>
      <x:c r="H52" s="131"/>
    </x:row>
    <x:row r="53" ht="15" hidden="0" customHeight="1">
      <x:c r="A53" s="119" t="str">
        <x:v>数据类型</x:v>
      </x:c>
      <x:c r="B53" s="119" t="str">
        <x:v>应该走Variable?</x:v>
      </x:c>
      <x:c r="C53" s="119" t="str">
        <x:v>正式通道</x:v>
      </x:c>
      <x:c r="D53" s="119" t="str">
        <x:v>理由</x:v>
      </x:c>
      <x:c r="E53" s="119" t="str">
        <x:v>示例</x:v>
      </x:c>
      <x:c r="F53" s="119" t="str">
        <x:v>规则</x:v>
      </x:c>
      <x:c r="G53" s="119" t="str">
        <x:v>阶段</x:v>
      </x:c>
      <x:c r="H53" s="119" t="str">
        <x:v>备注</x:v>
      </x:c>
    </x:row>
    <x:row r="54" ht="15" hidden="0" customHeight="1">
      <x:c r="A54" s="104" t="str">
        <x:v>低频状态/标量</x:v>
      </x:c>
      <x:c r="B54" s="104" t="str">
        <x:v>是</x:v>
      </x:c>
      <x:c r="C54" s="104" t="str">
        <x:v>Variable</x:v>
      </x:c>
      <x:c r="D54" s="104" t="str">
        <x:v>有“最新值”语义</x:v>
      </x:c>
      <x:c r="E54" s="104" t="str">
        <x:v>Mode/Position/Pressure/RecipeName</x:v>
      </x:c>
      <x:c r="F54" s="104" t="str">
        <x:v>强类型+Quality</x:v>
      </x:c>
      <x:c r="G54" s="104" t="str">
        <x:v>正式</x:v>
      </x:c>
      <x:c r="H54" s="104"/>
    </x:row>
    <x:row r="55" ht="21.600000381469727" hidden="0" customHeight="1">
      <x:c r="A55" s="79" t="str">
        <x:v>命令/动作</x:v>
      </x:c>
      <x:c r="B55" s="79" t="str">
        <x:v>否</x:v>
      </x:c>
      <x:c r="C55" s="79" t="str">
        <x:v>Command/Invocation</x:v>
      </x:c>
      <x:c r="D55" s="79" t="str">
        <x:v>动作不是状态</x:v>
      </x:c>
      <x:c r="E55" s="79" t="str">
        <x:v>Home/MoveAbs/XRayOn</x:v>
      </x:c>
      <x:c r="F55" s="79" t="str">
        <x:v>必须受权限/资源/互锁</x:v>
      </x:c>
      <x:c r="G55" s="79" t="str">
        <x:v>正式</x:v>
      </x:c>
      <x:c r="H55" s="79"/>
    </x:row>
    <x:row r="56" ht="15" hidden="0" customHeight="1">
      <x:c r="A56" s="79" t="str">
        <x:v>一次变化事实</x:v>
      </x:c>
      <x:c r="B56" s="79" t="str">
        <x:v>通常否</x:v>
      </x:c>
      <x:c r="C56" s="79" t="str">
        <x:v>Event</x:v>
      </x:c>
      <x:c r="D56" s="79" t="str">
        <x:v>事件不等于当前值</x:v>
      </x:c>
      <x:c r="E56" s="79" t="str">
        <x:v>AlarmAcked/TaskStarted</x:v>
      </x:c>
      <x:c r="F56" s="79" t="str">
        <x:v>可由Variable变化触发</x:v>
      </x:c>
      <x:c r="G56" s="79" t="str">
        <x:v>正式</x:v>
      </x:c>
      <x:c r="H56" s="79"/>
    </x:row>
    <x:row r="57" ht="21.600000381469727" hidden="0" customHeight="1">
      <x:c r="A57" s="79" t="str">
        <x:v>高频连续数据</x:v>
      </x:c>
      <x:c r="B57" s="79" t="str">
        <x:v>否</x:v>
      </x:c>
      <x:c r="C57" s="79" t="str">
        <x:v>Stream</x:v>
      </x:c>
      <x:c r="D57" s="79" t="str">
        <x:v>Variable无法表达高频历史</x:v>
      </x:c>
      <x:c r="E57" s="79" t="str">
        <x:v>DAQ波形/高速位置流</x:v>
      </x:c>
      <x:c r="F57" s="79" t="str">
        <x:v>有界/Backpressure</x:v>
      </x:c>
      <x:c r="G57" s="79" t="str">
        <x:v>正式</x:v>
      </x:c>
      <x:c r="H57" s="79"/>
    </x:row>
    <x:row r="58" ht="15" hidden="0" customHeight="1">
      <x:c r="A58" s="79" t="str">
        <x:v>Image/Projection/Volume</x:v>
      </x:c>
      <x:c r="B58" s="79" t="str">
        <x:v>否</x:v>
      </x:c>
      <x:c r="C58" s="79" t="str">
        <x:v>DataHandle/Artifact</x:v>
      </x:c>
      <x:c r="D58" s="79" t="str">
        <x:v>禁止大对象深拷贝进变量</x:v>
      </x:c>
      <x:c r="E58" s="79" t="str">
        <x:v>XRay image/CT volume</x:v>
      </x:c>
      <x:c r="F58" s="79" t="str">
        <x:v>引用+生命周期</x:v>
      </x:c>
      <x:c r="G58" s="79" t="str">
        <x:v>正式</x:v>
      </x:c>
      <x:c r="H58" s="79"/>
    </x:row>
    <x:row r="59" ht="21.600000381469727" hidden="0" customHeight="1">
      <x:c r="A59" s="79"/>
      <x:c r="B59" s="79"/>
      <x:c r="C59" s="79"/>
      <x:c r="D59" s="79"/>
      <x:c r="E59" s="79"/>
      <x:c r="F59" s="79"/>
      <x:c r="G59" s="79"/>
      <x:c r="H59" s="79"/>
    </x:row>
    <x:row r="60" ht="15" hidden="0" customHeight="1">
      <x:c r="A60" s="79"/>
      <x:c r="B60" s="79"/>
      <x:c r="C60" s="79"/>
      <x:c r="D60" s="79"/>
      <x:c r="E60" s="79"/>
      <x:c r="F60" s="79"/>
      <x:c r="G60" s="79"/>
      <x:c r="H60" s="79"/>
    </x:row>
    <x:row r="61" ht="15" hidden="0" customHeight="1">
      <x:c r="A61" s="118" t="str">
        <x:v>G. 兼容迁移路线</x:v>
      </x:c>
      <x:c r="B61" s="118"/>
      <x:c r="C61" s="118"/>
      <x:c r="D61" s="118"/>
      <x:c r="E61" s="118"/>
      <x:c r="F61" s="118"/>
      <x:c r="G61" s="118"/>
      <x:c r="H61" s="118"/>
    </x:row>
    <x:row r="62" ht="15" hidden="0" customHeight="1">
      <x:c r="A62" s="146" t="str">
        <x:v>阶段</x:v>
      </x:c>
      <x:c r="B62" s="146" t="str">
        <x:v>动作</x:v>
      </x:c>
      <x:c r="C62" s="146" t="str">
        <x:v>旧系统</x:v>
      </x:c>
      <x:c r="D62" s="146" t="str">
        <x:v>新系统</x:v>
      </x:c>
      <x:c r="E62" s="146" t="str">
        <x:v>Gate</x:v>
      </x:c>
      <x:c r="F62" s="146" t="str">
        <x:v>状态</x:v>
      </x:c>
      <x:c r="G62" s="146" t="str">
        <x:v>Owner</x:v>
      </x:c>
      <x:c r="H62" s="146" t="str">
        <x:v>备注</x:v>
      </x:c>
    </x:row>
    <x:row r="63" ht="32.400001525878906" hidden="0" customHeight="1">
      <x:c r="A63" s="79" t="str">
        <x:v>P1</x:v>
      </x:c>
      <x:c r="B63" s="79" t="str">
        <x:v>建立VariableSpace/Node/Variable&lt;T&gt;/Snapshot</x:v>
      </x:c>
      <x:c r="C63" s="79" t="str">
        <x:v>DeviceVariable保持不变</x:v>
      </x:c>
      <x:c r="D63" s="79" t="str">
        <x:v>Platform.Variables并行存在</x:v>
      </x:c>
      <x:c r="E63" s="79" t="str">
        <x:v>Local Variable Case</x:v>
      </x:c>
      <x:c r="F63" s="79" t="str">
        <x:v>设计中</x:v>
      </x:c>
      <x:c r="G63" s="79" t="str">
        <x:v>Platform</x:v>
      </x:c>
      <x:c r="H63" s="79" t="str">
        <x:v>不影响V6.4</x:v>
      </x:c>
    </x:row>
    <x:row r="64" ht="15" hidden="0" customHeight="1">
      <x:c r="A64" s="79" t="str">
        <x:v>P2</x:v>
      </x:c>
      <x:c r="B64" s="79" t="str">
        <x:v>LegacyDeviceVariableProvider接新Runtime</x:v>
      </x:c>
      <x:c r="C64" s="79" t="str">
        <x:v>VariableManager仍可用</x:v>
      </x:c>
      <x:c r="D64" s="79" t="str">
        <x:v>统一VariableRuntime消费</x:v>
      </x:c>
      <x:c r="E64" s="79" t="str">
        <x:v>双向一致性测试</x:v>
      </x:c>
      <x:c r="F64" s="79" t="str">
        <x:v>计划</x:v>
      </x:c>
      <x:c r="G64" s="79" t="str">
        <x:v>Compatibility</x:v>
      </x:c>
      <x:c r="H64" s="79" t="str">
        <x:v>禁止新代码直访Manager</x:v>
      </x:c>
    </x:row>
    <x:row r="65" ht="21.600000381469727" hidden="0" customHeight="1">
      <x:c r="A65" s="79" t="str">
        <x:v>P3</x:v>
      </x:c>
      <x:c r="B65" s="79" t="str">
        <x:v>Modbus/S7 PointItem改绑定</x:v>
      </x:c>
      <x:c r="C65" s="79" t="str">
        <x:v>DeviceName+VariableName</x:v>
      </x:c>
      <x:c r="D65" s="79" t="str">
        <x:v>VariableId + ProviderBinding</x:v>
      </x:c>
      <x:c r="E65" s="79" t="str">
        <x:v>真实PLC Case</x:v>
      </x:c>
      <x:c r="F65" s="79" t="str">
        <x:v>计划</x:v>
      </x:c>
      <x:c r="G65" s="79" t="str">
        <x:v>Automation.Drivers</x:v>
      </x:c>
      <x:c r="H65" s="79" t="str">
        <x:v>Driver不再创建Device</x:v>
      </x:c>
    </x:row>
    <x:row r="66" ht="32.400001525878906" hidden="0" customHeight="1">
      <x:c r="A66" s="79" t="str">
        <x:v>P4</x:v>
      </x:c>
      <x:c r="B66" s="79" t="str">
        <x:v>Device改为Group/Owner</x:v>
      </x:c>
      <x:c r="C66" s="79" t="str">
        <x:v>MeasureXxx Device</x:v>
      </x:c>
      <x:c r="D66" s="79" t="str">
        <x:v>DeviceNode + VariableRef[]</x:v>
      </x:c>
      <x:c r="E66" s="79" t="str">
        <x:v>工程迁移RoundTrip</x:v>
      </x:c>
      <x:c r="F66" s="79" t="str">
        <x:v>计划</x:v>
      </x:c>
      <x:c r="G66" s="79" t="str">
        <x:v>Automation</x:v>
      </x:c>
      <x:c r="H66" s="79" t="str">
        <x:v>保留Alias</x:v>
      </x:c>
    </x:row>
    <x:row r="67" ht="15" hidden="0" customHeight="1">
      <x:c r="A67" s="79" t="str">
        <x:v>P5</x:v>
      </x:c>
      <x:c r="B67" s="79" t="str">
        <x:v>禁止新VariableManager调用</x:v>
      </x:c>
      <x:c r="C67" s="79" t="str">
        <x:v>static manager只兼容</x:v>
      </x:c>
      <x:c r="D67" s="79" t="str">
        <x:v>Runtime完全实例化</x:v>
      </x:c>
      <x:c r="E67" s="79" t="str">
        <x:v>Architecture Gate</x:v>
      </x:c>
      <x:c r="F67" s="79" t="str">
        <x:v>计划</x:v>
      </x:c>
      <x:c r="G67" s="79" t="str">
        <x:v>Platform</x:v>
      </x:c>
      <x:c r="H67" s="79" t="str">
        <x:v>支持多Session</x:v>
      </x:c>
    </x:row>
    <x:row r="68" ht="15" hidden="0" customHeight="1">
      <x:c r="A68" s="90" t="str">
        <x:v>P6</x:v>
      </x:c>
      <x:c r="B68" s="90" t="str">
        <x:v>删除MeasureDouble/Integer/Long/String领域类型</x:v>
      </x:c>
      <x:c r="C68" s="90" t="str">
        <x:v>兼容映射保留一版</x:v>
      </x:c>
      <x:c r="D68" s="90" t="str">
        <x:v>统一Variable&lt;T&gt;</x:v>
      </x:c>
      <x:c r="E68" s="90" t="str">
        <x:v>旧工程迁移Golden</x:v>
      </x:c>
      <x:c r="F68" s="90" t="str">
        <x:v>计划</x:v>
      </x:c>
      <x:c r="G68" s="90" t="str">
        <x:v>Compatibility</x:v>
      </x:c>
      <x:c r="H68" s="90" t="str">
        <x:v>最终收口</x:v>
      </x:c>
    </x:row>
    <x:row r="69" ht="15" hidden="0" customHeight="1">
      <x:c r="A69" s="104"/>
      <x:c r="B69" s="104"/>
      <x:c r="C69" s="104"/>
      <x:c r="D69" s="104"/>
      <x:c r="E69" s="104"/>
      <x:c r="F69" s="104"/>
      <x:c r="G69" s="104"/>
      <x:c r="H69" s="104"/>
    </x:row>
    <x:row r="70" ht="15" hidden="0" customHeight="1">
      <x:c r="A70" s="79"/>
      <x:c r="B70" s="79"/>
      <x:c r="C70" s="79"/>
      <x:c r="D70" s="79"/>
      <x:c r="E70" s="79"/>
      <x:c r="F70" s="79"/>
      <x:c r="G70" s="79"/>
      <x:c r="H70" s="79"/>
    </x:row>
    <x:row r="71" ht="15" hidden="0" customHeight="1">
      <x:c r="A71" s="79"/>
      <x:c r="B71" s="79"/>
      <x:c r="C71" s="79"/>
      <x:c r="D71" s="79"/>
      <x:c r="E71" s="79"/>
      <x:c r="F71" s="79"/>
      <x:c r="G71" s="79"/>
      <x:c r="H71" s="79"/>
    </x:row>
    <x:row r="72" ht="15" hidden="0" customHeight="1">
      <x:c r="A72" s="131" t="str">
        <x:v>H. 必须攻击的 Case</x:v>
      </x:c>
      <x:c r="B72" s="131"/>
      <x:c r="C72" s="131"/>
      <x:c r="D72" s="131"/>
      <x:c r="E72" s="131"/>
      <x:c r="F72" s="131"/>
      <x:c r="G72" s="131"/>
      <x:c r="H72" s="131"/>
    </x:row>
    <x:row r="73" ht="15" hidden="0" customHeight="1">
      <x:c r="A73" s="135" t="str">
        <x:v>Case</x:v>
      </x:c>
      <x:c r="B73" s="135" t="str">
        <x:v>目标</x:v>
      </x:c>
      <x:c r="C73" s="135" t="str">
        <x:v>通过标准</x:v>
      </x:c>
      <x:c r="D73" s="135" t="str">
        <x:v>攻击点</x:v>
      </x:c>
      <x:c r="E73" s="135" t="str">
        <x:v>证据</x:v>
      </x:c>
      <x:c r="F73" s="135" t="str">
        <x:v>优先级</x:v>
      </x:c>
      <x:c r="G73" s="135" t="str">
        <x:v>状态</x:v>
      </x:c>
      <x:c r="H73" s="135" t="str">
        <x:v>备注</x:v>
      </x:c>
    </x:row>
    <x:row r="74" ht="15" hidden="0" customHeight="1">
      <x:c r="A74" s="79" t="str">
        <x:v>VAR-GEN-01 无Device本地变量</x:v>
      </x:c>
      <x:c r="B74" s="79" t="str">
        <x:v>证明Variable独立于Device</x:v>
      </x:c>
      <x:c r="C74" s="79" t="str">
        <x:v>Local/Calculated/HMI/Alarm/Historian全部工作，不创建Device</x:v>
      </x:c>
      <x:c r="D74" s="79" t="str">
        <x:v>纯通用变量</x:v>
      </x:c>
      <x:c r="E74" s="79" t="str">
        <x:v>Case report</x:v>
      </x:c>
      <x:c r="F74" s="79" t="str">
        <x:v>P0</x:v>
      </x:c>
      <x:c r="G74" s="79" t="str">
        <x:v>待实现</x:v>
      </x:c>
      <x:c r="H74" s="79" t="str">
        <x:v>第一优先</x:v>
      </x:c>
    </x:row>
    <x:row r="75" ht="15" hidden="0" customHeight="1">
      <x:c r="A75" s="79" t="str">
        <x:v>VAR-GEN-02 PLC绑定切换</x:v>
      </x:c>
      <x:c r="B75" s="79" t="str">
        <x:v>证明身份与来源解耦</x:v>
      </x:c>
      <x:c r="C75" s="79" t="str">
        <x:v>同VariableId在S7/Modbus/Virtual/Replay切换，上层Definition不改</x:v>
      </x:c>
      <x:c r="D75" s="79" t="str">
        <x:v>Binding/Provider</x:v>
      </x:c>
      <x:c r="E75" s="79" t="str">
        <x:v>Case report</x:v>
      </x:c>
      <x:c r="F75" s="79" t="str">
        <x:v>P0</x:v>
      </x:c>
      <x:c r="G75" s="79" t="str">
        <x:v>待实现</x:v>
      </x:c>
      <x:c r="H75" s="79" t="str">
        <x:v>第二优先</x:v>
      </x:c>
    </x:row>
    <x:row r="76" ht="15" hidden="0" customHeight="1">
      <x:c r="A76" s="79" t="str">
        <x:v>VAR-GEN-03 并发快照</x:v>
      </x:c>
      <x:c r="B76" s="79" t="str">
        <x:v>证明锁与Snapshot正确</x:v>
      </x:c>
      <x:c r="C76" s="79" t="str">
        <x:v>多线程Set/Read无撕裂；Value/Old/Quality/Sequence一致</x:v>
      </x:c>
      <x:c r="D76" s="79" t="str">
        <x:v>并发模型</x:v>
      </x:c>
      <x:c r="E76" s="79" t="str">
        <x:v>Stress test</x:v>
      </x:c>
      <x:c r="F76" s="79" t="str">
        <x:v>P0</x:v>
      </x:c>
      <x:c r="G76" s="79" t="str">
        <x:v>待实现</x:v>
      </x:c>
      <x:c r="H76" s="79" t="str">
        <x:v>继承旧Device优势</x:v>
      </x:c>
    </x:row>
    <x:row r="77" ht="15" hidden="0" customHeight="1">
      <x:c r="A77" s="79" t="str">
        <x:v>VAR-GEN-04 10k Tag</x:v>
      </x:c>
      <x:c r="B77" s="79" t="str">
        <x:v>证明Runtime可扩展</x:v>
      </x:c>
      <x:c r="C77" s="79" t="str">
        <x:v>Provider Batch+StateCache有界；订阅者不建第二缓存</x:v>
      </x:c>
      <x:c r="D77" s="79" t="str">
        <x:v>Batch/Backpressure</x:v>
      </x:c>
      <x:c r="E77" s="79" t="str">
        <x:v>Perf report</x:v>
      </x:c>
      <x:c r="F77" s="79" t="str">
        <x:v>P0</x:v>
      </x:c>
      <x:c r="G77" s="79" t="str">
        <x:v>待实现</x:v>
      </x:c>
      <x:c r="H77" s="79" t="str">
        <x:v>目标机定量</x:v>
      </x:c>
    </x:row>
    <x:row r="78" ht="15" hidden="0" customHeight="1">
      <x:c r="A78" s="90" t="str">
        <x:v>VAR-GEN-05 工程迁移</x:v>
      </x:c>
      <x:c r="B78" s="90" t="str">
        <x:v>证明旧项目可升级</x:v>
      </x:c>
      <x:c r="C78" s="90" t="str">
        <x:v>MeasureXxx/VariableManager工程可迁移、保存重开引用稳定</x:v>
      </x:c>
      <x:c r="D78" s="90" t="str">
        <x:v>Compatibility</x:v>
      </x:c>
      <x:c r="E78" s="90" t="str">
        <x:v>Golden migration</x:v>
      </x:c>
      <x:c r="F78" s="90" t="str">
        <x:v>P0</x:v>
      </x:c>
      <x:c r="G78" s="90" t="str">
        <x:v>待实现</x:v>
      </x:c>
      <x:c r="H78" s="90" t="str">
        <x:v>不可一次性替换</x:v>
      </x:c>
    </x:row>
    <x:row r="79" ht="15" hidden="0" customHeight="1">
      <x:c r="A79" s="104"/>
      <x:c r="B79" s="104"/>
      <x:c r="C79" s="104"/>
      <x:c r="D79" s="104"/>
      <x:c r="E79" s="104"/>
      <x:c r="F79" s="104"/>
      <x:c r="G79" s="104"/>
      <x:c r="H79" s="104"/>
    </x:row>
    <x:row r="80" ht="15" hidden="0" customHeight="1">
      <x:c r="A80" s="79"/>
      <x:c r="B80" s="79"/>
      <x:c r="C80" s="79"/>
      <x:c r="D80" s="79"/>
      <x:c r="E80" s="79"/>
      <x:c r="F80" s="79"/>
      <x:c r="G80" s="79"/>
      <x:c r="H80" s="79"/>
    </x:row>
    <x:row r="81" ht="21.600000381469727" hidden="0" customHeight="1">
      <x:c r="A81" s="79"/>
      <x:c r="B81" s="79"/>
      <x:c r="C81" s="79"/>
      <x:c r="D81" s="79"/>
      <x:c r="E81" s="79"/>
      <x:c r="F81" s="79"/>
      <x:c r="G81" s="79"/>
      <x:c r="H81" s="79"/>
    </x:row>
    <x:row r="82" ht="15" hidden="0" customHeight="1">
      <x:c r="A82" s="131" t="str">
        <x:v>I. DoD</x:v>
      </x:c>
      <x:c r="B82" s="131"/>
      <x:c r="C82" s="131"/>
      <x:c r="D82" s="131"/>
      <x:c r="E82" s="131"/>
      <x:c r="F82" s="131"/>
      <x:c r="G82" s="131"/>
      <x:c r="H82" s="131"/>
    </x:row>
    <x:row r="83" ht="15" hidden="0" customHeight="1">
      <x:c r="A83" s="135" t="str">
        <x:v>ID</x:v>
      </x:c>
      <x:c r="B83" s="135" t="str">
        <x:v>完成条件</x:v>
      </x:c>
      <x:c r="C83" s="135" t="str">
        <x:v>验证方式</x:v>
      </x:c>
      <x:c r="D83" s="135" t="str">
        <x:v>必须证据</x:v>
      </x:c>
      <x:c r="E83" s="135" t="str">
        <x:v>阶段</x:v>
      </x:c>
      <x:c r="F83" s="135" t="str">
        <x:v>Owner</x:v>
      </x:c>
      <x:c r="G83" s="135" t="str">
        <x:v>状态</x:v>
      </x:c>
      <x:c r="H83" s="135" t="str">
        <x:v>备注</x:v>
      </x:c>
    </x:row>
    <x:row r="84" ht="15" hidden="0" customHeight="1">
      <x:c r="A84" s="79" t="str">
        <x:v>VAR-DOD-01</x:v>
      </x:c>
      <x:c r="B84" s="79" t="str">
        <x:v>Variable可脱离Device独立存在</x:v>
      </x:c>
      <x:c r="C84" s="79" t="str">
        <x:v>Local+Calculated Case</x:v>
      </x:c>
      <x:c r="D84" s="79" t="str">
        <x:v>RoundTrip+Runtime</x:v>
      </x:c>
      <x:c r="E84" s="79" t="str">
        <x:v>V6.5</x:v>
      </x:c>
      <x:c r="F84" s="79" t="str">
        <x:v>Platform</x:v>
      </x:c>
      <x:c r="G84" s="79" t="str">
        <x:v>待实现</x:v>
      </x:c>
      <x:c r="H84" s="79" t="str"/>
    </x:row>
    <x:row r="85" ht="21.600000381469727" hidden="0" customHeight="1">
      <x:c r="A85" s="79" t="str">
        <x:v>VAR-DOD-02</x:v>
      </x:c>
      <x:c r="B85" s="79" t="str">
        <x:v>VariableId改名/移动/换Provider均不变</x:v>
      </x:c>
      <x:c r="C85" s="79" t="str">
        <x:v>迁移/Binding Case</x:v>
      </x:c>
      <x:c r="D85" s="79" t="str">
        <x:v>Reference test</x:v>
      </x:c>
      <x:c r="E85" s="79" t="str">
        <x:v>V6.5</x:v>
      </x:c>
      <x:c r="F85" s="79" t="str">
        <x:v>Platform</x:v>
      </x:c>
      <x:c r="G85" s="79" t="str">
        <x:v>待实现</x:v>
      </x:c>
      <x:c r="H85" s="79" t="str"/>
    </x:row>
    <x:row r="86" ht="15" hidden="0" customHeight="1">
      <x:c r="A86" s="79" t="str">
        <x:v>VAR-DOD-03</x:v>
      </x:c>
      <x:c r="B86" s="79" t="str">
        <x:v>每变量独立并发一致性+Snapshot</x:v>
      </x:c>
      <x:c r="C86" s="79" t="str">
        <x:v>Stress</x:v>
      </x:c>
      <x:c r="D86" s="79" t="str">
        <x:v>Concurrency report</x:v>
      </x:c>
      <x:c r="E86" s="79" t="str">
        <x:v>V6.5</x:v>
      </x:c>
      <x:c r="F86" s="79" t="str">
        <x:v>Platform</x:v>
      </x:c>
      <x:c r="G86" s="79" t="str">
        <x:v>待实现</x:v>
      </x:c>
      <x:c r="H86" s="79" t="str"/>
    </x:row>
    <x:row r="87" ht="15" hidden="0" customHeight="1">
      <x:c r="A87" s="90" t="str">
        <x:v>VAR-DOD-04</x:v>
      </x:c>
      <x:c r="B87" s="90" t="str">
        <x:v>DeviceNode只组织/拥有Ref，不再表示一个标量值</x:v>
      </x:c>
      <x:c r="C87" s="90" t="str">
        <x:v>Architecture Gate</x:v>
      </x:c>
      <x:c r="D87" s="90" t="str">
        <x:v>Source scan</x:v>
      </x:c>
      <x:c r="E87" s="90" t="str">
        <x:v>V6.5</x:v>
      </x:c>
      <x:c r="F87" s="90" t="str">
        <x:v>Automation</x:v>
      </x:c>
      <x:c r="G87" s="90" t="str">
        <x:v>待实现</x:v>
      </x:c>
      <x:c r="H87" s="90" t="str"/>
    </x:row>
    <x:row r="88" ht="15" hidden="0" customHeight="1">
      <x:c r="A88" s="104" t="str">
        <x:v>VAR-DOD-05</x:v>
      </x:c>
      <x:c r="B88" s="104" t="str">
        <x:v>Modbus/S7 Driver不再CreateAndRegister MeasureDevice</x:v>
      </x:c>
      <x:c r="C88" s="104" t="str">
        <x:v>Driver Case</x:v>
      </x:c>
      <x:c r="D88" s="104" t="str">
        <x:v>Architecture test</x:v>
      </x:c>
      <x:c r="E88" s="104" t="str">
        <x:v>V6.5</x:v>
      </x:c>
      <x:c r="F88" s="104" t="str">
        <x:v>Automation.Drivers</x:v>
      </x:c>
      <x:c r="G88" s="104" t="str">
        <x:v>待实现</x:v>
      </x:c>
      <x:c r="H88" s="104" t="str"/>
    </x:row>
    <x:row r="89" ht="15" hidden="0" customHeight="1">
      <x:c r="A89" s="79" t="str">
        <x:v>VAR-DOD-06</x:v>
      </x:c>
      <x:c r="B89" s="79" t="str">
        <x:v>Legacy DeviceVariable只存在Compatibility/Migration</x:v>
      </x:c>
      <x:c r="C89" s="79" t="str">
        <x:v>Source Gate</x:v>
      </x:c>
      <x:c r="D89" s="79" t="str">
        <x:v>Namespace/Dependency report</x:v>
      </x:c>
      <x:c r="E89" s="79" t="str">
        <x:v>V6.5+</x:v>
      </x:c>
      <x:c r="F89" s="79" t="str">
        <x:v>Platform</x:v>
      </x:c>
      <x:c r="G89" s="79" t="str">
        <x:v>待实现</x:v>
      </x:c>
      <x:c r="H89" s="79" t="str"/>
    </x:row>
    <x:row r="90" ht="21.600000381469727" hidden="0" customHeight="1">
      <x:c r="A90" s="79"/>
      <x:c r="B90" s="79"/>
      <x:c r="C90" s="79"/>
      <x:c r="D90" s="79"/>
      <x:c r="E90" s="79"/>
      <x:c r="F90" s="79"/>
      <x:c r="G90" s="79"/>
      <x:c r="H90" s="79"/>
    </x:row>
    <x:row r="91" ht="15" hidden="0" customHeight="1">
      <x:c r="A91" s="79"/>
      <x:c r="B91" s="79"/>
      <x:c r="C91" s="79"/>
      <x:c r="D91" s="79"/>
      <x:c r="E91" s="79"/>
      <x:c r="F91" s="79"/>
      <x:c r="G91" s="79"/>
      <x:c r="H91" s="79"/>
    </x:row>
    <x:row r="92" ht="15" hidden="0" customHeight="1">
      <x:c r="A92" s="79"/>
      <x:c r="B92" s="79"/>
      <x:c r="C92" s="79"/>
      <x:c r="D92" s="79"/>
      <x:c r="E92" s="79"/>
      <x:c r="F92" s="79"/>
      <x:c r="G92" s="79"/>
      <x:c r="H92" s="79"/>
    </x:row>
    <x:row r="93" ht="15" hidden="0" customHeight="1">
      <x:c r="A93" s="79"/>
      <x:c r="B93" s="79"/>
      <x:c r="C93" s="79"/>
      <x:c r="D93" s="79"/>
      <x:c r="E93" s="79"/>
      <x:c r="F93" s="79"/>
      <x:c r="G93" s="79"/>
      <x:c r="H93" s="79"/>
    </x:row>
    <x:row r="94" ht="15" hidden="0" customHeight="1">
      <x:c r="A94" s="79"/>
      <x:c r="B94" s="79"/>
      <x:c r="C94" s="79"/>
      <x:c r="D94" s="79"/>
      <x:c r="E94" s="79"/>
      <x:c r="F94" s="79"/>
      <x:c r="G94" s="79"/>
      <x:c r="H94" s="79"/>
    </x:row>
    <x:row r="95" ht="15" hidden="0" customHeight="1">
      <x:c r="A95" s="79"/>
      <x:c r="B95" s="79"/>
      <x:c r="C95" s="79"/>
      <x:c r="D95" s="79"/>
      <x:c r="E95" s="79"/>
      <x:c r="F95" s="79"/>
      <x:c r="G95" s="79"/>
      <x:c r="H95" s="79"/>
    </x:row>
    <x:row r="96" ht="21.600000381469727" hidden="0" customHeight="1">
      <x:c r="A96" s="79"/>
      <x:c r="B96" s="79"/>
      <x:c r="C96" s="79"/>
      <x:c r="D96" s="79"/>
      <x:c r="E96" s="79"/>
      <x:c r="F96" s="79"/>
      <x:c r="G96" s="79"/>
      <x:c r="H96" s="79"/>
    </x:row>
    <x:row r="97">
      <x:c r="A97" s="76"/>
      <x:c r="B97" s="76"/>
      <x:c r="C97" s="76"/>
      <x:c r="D97" s="76"/>
      <x:c r="E97" s="76"/>
      <x:c r="F97" s="76"/>
      <x:c r="G97" s="76"/>
      <x:c r="H97" s="76"/>
    </x:row>
    <x:row r="98">
      <x:c r="A98" s="76"/>
      <x:c r="B98" s="76"/>
      <x:c r="C98" s="76"/>
      <x:c r="D98" s="76"/>
      <x:c r="E98" s="76"/>
      <x:c r="F98" s="76"/>
      <x:c r="G98" s="76"/>
      <x:c r="H98" s="76"/>
    </x:row>
    <x:row r="99">
      <x:c r="A99" s="76"/>
      <x:c r="B99" s="76"/>
      <x:c r="C99" s="76"/>
      <x:c r="D99" s="76"/>
      <x:c r="E99" s="76"/>
      <x:c r="F99" s="76"/>
      <x:c r="G99" s="76"/>
      <x:c r="H99" s="76"/>
    </x:row>
    <x:row r="100">
      <x:c r="A100" s="76"/>
      <x:c r="B100" s="76"/>
      <x:c r="C100" s="76"/>
      <x:c r="D100" s="76"/>
      <x:c r="E100" s="76"/>
      <x:c r="F100" s="76"/>
      <x:c r="G100" s="76"/>
      <x:c r="H100" s="76"/>
    </x:row>
    <x:row r="101">
      <x:c r="A101" s="76"/>
      <x:c r="B101" s="76"/>
      <x:c r="C101" s="76"/>
      <x:c r="D101" s="76"/>
      <x:c r="E101" s="76"/>
      <x:c r="F101" s="76"/>
      <x:c r="G101" s="76"/>
      <x:c r="H101" s="76"/>
    </x:row>
    <x:row r="102">
      <x:c r="A102" s="76"/>
      <x:c r="B102" s="76"/>
      <x:c r="C102" s="76"/>
      <x:c r="D102" s="76"/>
      <x:c r="E102" s="76"/>
      <x:c r="F102" s="76"/>
      <x:c r="G102" s="76"/>
      <x:c r="H102" s="76"/>
    </x:row>
    <x:row r="103">
      <x:c r="A103" s="76"/>
      <x:c r="B103" s="76"/>
      <x:c r="C103" s="76"/>
      <x:c r="D103" s="76"/>
      <x:c r="E103" s="76"/>
      <x:c r="F103" s="76"/>
      <x:c r="G103" s="76"/>
      <x:c r="H103" s="76"/>
    </x:row>
    <x:row r="104">
      <x:c r="A104" s="76"/>
      <x:c r="B104" s="76"/>
      <x:c r="C104" s="76"/>
      <x:c r="D104" s="76"/>
      <x:c r="E104" s="76"/>
      <x:c r="F104" s="76"/>
      <x:c r="G104" s="76"/>
      <x:c r="H104" s="76"/>
    </x:row>
    <x:row r="105">
      <x:c r="A105" s="76"/>
      <x:c r="B105" s="76"/>
      <x:c r="C105" s="76"/>
      <x:c r="D105" s="76"/>
      <x:c r="E105" s="76"/>
      <x:c r="F105" s="76"/>
      <x:c r="G105" s="76"/>
      <x:c r="H105" s="76"/>
    </x:row>
    <x:row r="106">
      <x:c r="A106" s="76"/>
      <x:c r="B106" s="76"/>
      <x:c r="C106" s="76"/>
      <x:c r="D106" s="76"/>
      <x:c r="E106" s="76"/>
      <x:c r="F106" s="76"/>
      <x:c r="G106" s="76"/>
      <x:c r="H106" s="76"/>
    </x:row>
    <x:row r="107">
      <x:c r="A107" s="76"/>
      <x:c r="B107" s="76"/>
      <x:c r="C107" s="76"/>
      <x:c r="D107" s="76"/>
      <x:c r="E107" s="76"/>
      <x:c r="F107" s="76"/>
      <x:c r="G107" s="76"/>
      <x:c r="H107" s="76"/>
    </x:row>
    <x:row r="108">
      <x:c r="A108" s="76"/>
      <x:c r="B108" s="76"/>
      <x:c r="C108" s="76"/>
      <x:c r="D108" s="76"/>
      <x:c r="E108" s="76"/>
      <x:c r="F108" s="76"/>
      <x:c r="G108" s="76"/>
      <x:c r="H108" s="76"/>
    </x:row>
    <x:row r="109">
      <x:c r="A109" s="76"/>
      <x:c r="B109" s="76"/>
      <x:c r="C109" s="76"/>
      <x:c r="D109" s="76"/>
      <x:c r="E109" s="76"/>
      <x:c r="F109" s="76"/>
      <x:c r="G109" s="76"/>
      <x:c r="H109" s="76"/>
    </x:row>
    <x:row r="110">
      <x:c r="A110" s="76"/>
      <x:c r="B110" s="76"/>
      <x:c r="C110" s="76"/>
      <x:c r="D110" s="76"/>
      <x:c r="E110" s="76"/>
      <x:c r="F110" s="76"/>
      <x:c r="G110" s="76"/>
      <x:c r="H110" s="76"/>
    </x:row>
    <x:row r="111">
      <x:c r="A111" s="76"/>
      <x:c r="B111" s="76"/>
      <x:c r="C111" s="76"/>
      <x:c r="D111" s="76"/>
      <x:c r="E111" s="76"/>
      <x:c r="F111" s="76"/>
      <x:c r="G111" s="76"/>
      <x:c r="H111" s="76"/>
    </x:row>
    <x:row r="112">
      <x:c r="A112" s="76"/>
      <x:c r="B112" s="76"/>
      <x:c r="C112" s="76"/>
      <x:c r="D112" s="76"/>
      <x:c r="E112" s="76"/>
      <x:c r="F112" s="76"/>
      <x:c r="G112" s="76"/>
      <x:c r="H112" s="76"/>
    </x:row>
    <x:row r="113">
      <x:c r="A113" s="76"/>
      <x:c r="B113" s="76"/>
      <x:c r="C113" s="76"/>
      <x:c r="D113" s="76"/>
      <x:c r="E113" s="76"/>
      <x:c r="F113" s="76"/>
      <x:c r="G113" s="76"/>
      <x:c r="H113" s="76"/>
    </x:row>
    <x:row r="114">
      <x:c r="A114" s="76"/>
      <x:c r="B114" s="76"/>
      <x:c r="C114" s="76"/>
      <x:c r="D114" s="76"/>
      <x:c r="E114" s="76"/>
      <x:c r="F114" s="76"/>
      <x:c r="G114" s="76"/>
      <x:c r="H114" s="76"/>
    </x:row>
    <x:row r="115">
      <x:c r="A115" s="76"/>
      <x:c r="B115" s="76"/>
      <x:c r="C115" s="76"/>
      <x:c r="D115" s="76"/>
      <x:c r="E115" s="76"/>
      <x:c r="F115" s="76"/>
      <x:c r="G115" s="76"/>
      <x:c r="H115" s="76"/>
    </x:row>
    <x:row r="116">
      <x:c r="A116" s="76"/>
      <x:c r="B116" s="76"/>
      <x:c r="C116" s="76"/>
      <x:c r="D116" s="76"/>
      <x:c r="E116" s="76"/>
      <x:c r="F116" s="76"/>
      <x:c r="G116" s="76"/>
      <x:c r="H116" s="76"/>
    </x:row>
    <x:row r="117">
      <x:c r="A117" s="76"/>
      <x:c r="B117" s="76"/>
      <x:c r="C117" s="76"/>
      <x:c r="D117" s="76"/>
      <x:c r="E117" s="76"/>
      <x:c r="F117" s="76"/>
      <x:c r="G117" s="76"/>
      <x:c r="H117" s="76"/>
    </x:row>
    <x:row r="118">
      <x:c r="A118" s="76"/>
      <x:c r="B118" s="76"/>
      <x:c r="C118" s="76"/>
      <x:c r="D118" s="76"/>
      <x:c r="E118" s="76"/>
      <x:c r="F118" s="76"/>
      <x:c r="G118" s="76"/>
      <x:c r="H118" s="76"/>
    </x:row>
    <x:row r="119">
      <x:c r="A119" s="76"/>
      <x:c r="B119" s="76"/>
      <x:c r="C119" s="76"/>
      <x:c r="D119" s="76"/>
      <x:c r="E119" s="76"/>
      <x:c r="F119" s="76"/>
      <x:c r="G119" s="76"/>
      <x:c r="H119" s="76"/>
    </x:row>
    <x:row r="120">
      <x:c r="A120" s="76"/>
      <x:c r="B120" s="76"/>
      <x:c r="C120" s="76"/>
      <x:c r="D120" s="76"/>
      <x:c r="E120" s="76"/>
      <x:c r="F120" s="76"/>
      <x:c r="G120" s="76"/>
      <x:c r="H120" s="76"/>
    </x:row>
    <x:row r="121">
      <x:c r="A121" s="76"/>
      <x:c r="B121" s="76"/>
      <x:c r="C121" s="76"/>
      <x:c r="D121" s="76"/>
      <x:c r="E121" s="76"/>
      <x:c r="F121" s="76"/>
      <x:c r="G121" s="76"/>
      <x:c r="H121" s="76"/>
    </x:row>
    <x:row r="122">
      <x:c r="A122" s="76"/>
      <x:c r="B122" s="76"/>
      <x:c r="C122" s="76"/>
      <x:c r="D122" s="76"/>
      <x:c r="E122" s="76"/>
      <x:c r="F122" s="76"/>
      <x:c r="G122" s="76"/>
      <x:c r="H122" s="76"/>
    </x:row>
    <x:row r="123">
      <x:c r="A123" s="76"/>
      <x:c r="B123" s="76"/>
      <x:c r="C123" s="76"/>
      <x:c r="D123" s="76"/>
      <x:c r="E123" s="76"/>
      <x:c r="F123" s="76"/>
      <x:c r="G123" s="76"/>
      <x:c r="H123" s="76"/>
    </x:row>
    <x:row r="124">
      <x:c r="A124" s="76"/>
      <x:c r="B124" s="76"/>
      <x:c r="C124" s="76"/>
      <x:c r="D124" s="76"/>
      <x:c r="E124" s="76"/>
      <x:c r="F124" s="76"/>
      <x:c r="G124" s="76"/>
      <x:c r="H124" s="76"/>
    </x:row>
    <x:row r="125">
      <x:c r="A125" s="76"/>
      <x:c r="B125" s="76"/>
      <x:c r="C125" s="76"/>
      <x:c r="D125" s="76"/>
      <x:c r="E125" s="76"/>
      <x:c r="F125" s="76"/>
      <x:c r="G125" s="76"/>
      <x:c r="H125" s="76"/>
    </x:row>
    <x:row r="126">
      <x:c r="A126" s="76"/>
      <x:c r="B126" s="76"/>
      <x:c r="C126" s="76"/>
      <x:c r="D126" s="76"/>
      <x:c r="E126" s="76"/>
      <x:c r="F126" s="76"/>
      <x:c r="G126" s="76"/>
      <x:c r="H126" s="76"/>
    </x:row>
    <x:row r="127">
      <x:c r="A127" s="76"/>
      <x:c r="B127" s="76"/>
      <x:c r="C127" s="76"/>
      <x:c r="D127" s="76"/>
      <x:c r="E127" s="76"/>
      <x:c r="F127" s="76"/>
      <x:c r="G127" s="76"/>
      <x:c r="H127" s="76"/>
    </x:row>
    <x:row r="128">
      <x:c r="A128" s="76"/>
      <x:c r="B128" s="76"/>
      <x:c r="C128" s="76"/>
      <x:c r="D128" s="76"/>
      <x:c r="E128" s="76"/>
      <x:c r="F128" s="76"/>
      <x:c r="G128" s="76"/>
      <x:c r="H128" s="76"/>
    </x:row>
    <x:row r="129">
      <x:c r="A129" s="76"/>
      <x:c r="B129" s="76"/>
      <x:c r="C129" s="76"/>
      <x:c r="D129" s="76"/>
      <x:c r="E129" s="76"/>
      <x:c r="F129" s="76"/>
      <x:c r="G129" s="76"/>
      <x:c r="H129" s="76"/>
    </x:row>
    <x:row r="130">
      <x:c r="A130" s="76"/>
      <x:c r="B130" s="76"/>
      <x:c r="C130" s="76"/>
      <x:c r="D130" s="76"/>
      <x:c r="E130" s="76"/>
      <x:c r="F130" s="76"/>
      <x:c r="G130" s="76"/>
      <x:c r="H130" s="76"/>
    </x:row>
    <x:row r="131">
      <x:c r="A131" s="76"/>
      <x:c r="B131" s="76"/>
      <x:c r="C131" s="76"/>
      <x:c r="D131" s="76"/>
      <x:c r="E131" s="76"/>
      <x:c r="F131" s="76"/>
      <x:c r="G131" s="76"/>
      <x:c r="H131" s="76"/>
    </x:row>
    <x:row r="132">
      <x:c r="A132" s="76"/>
      <x:c r="B132" s="76"/>
      <x:c r="C132" s="76"/>
      <x:c r="D132" s="76"/>
      <x:c r="E132" s="76"/>
      <x:c r="F132" s="76"/>
      <x:c r="G132" s="76"/>
      <x:c r="H132" s="76"/>
    </x:row>
    <x:row r="133">
      <x:c r="A133" s="76"/>
      <x:c r="B133" s="76"/>
      <x:c r="C133" s="76"/>
      <x:c r="D133" s="76"/>
      <x:c r="E133" s="76"/>
      <x:c r="F133" s="76"/>
      <x:c r="G133" s="76"/>
      <x:c r="H133" s="76"/>
    </x:row>
    <x:row r="134">
      <x:c r="A134" s="76"/>
      <x:c r="B134" s="76"/>
      <x:c r="C134" s="76"/>
      <x:c r="D134" s="76"/>
      <x:c r="E134" s="76"/>
      <x:c r="F134" s="76"/>
      <x:c r="G134" s="76"/>
      <x:c r="H134" s="76"/>
    </x:row>
    <x:row r="135">
      <x:c r="A135" s="76"/>
      <x:c r="B135" s="76"/>
      <x:c r="C135" s="76"/>
      <x:c r="D135" s="76"/>
      <x:c r="E135" s="76"/>
      <x:c r="F135" s="76"/>
      <x:c r="G135" s="76"/>
      <x:c r="H135" s="76"/>
    </x:row>
    <x:row r="136">
      <x:c r="A136" s="76"/>
      <x:c r="B136" s="76"/>
      <x:c r="C136" s="76"/>
      <x:c r="D136" s="76"/>
      <x:c r="E136" s="76"/>
      <x:c r="F136" s="76"/>
      <x:c r="G136" s="76"/>
      <x:c r="H136" s="76"/>
    </x:row>
    <x:row r="137">
      <x:c r="A137" s="76"/>
      <x:c r="B137" s="76"/>
      <x:c r="C137" s="76"/>
      <x:c r="D137" s="76"/>
      <x:c r="E137" s="76"/>
      <x:c r="F137" s="76"/>
      <x:c r="G137" s="76"/>
      <x:c r="H137" s="76"/>
    </x:row>
    <x:row r="138">
      <x:c r="A138" s="76"/>
      <x:c r="B138" s="76"/>
      <x:c r="C138" s="76"/>
      <x:c r="D138" s="76"/>
      <x:c r="E138" s="76"/>
      <x:c r="F138" s="76"/>
      <x:c r="G138" s="76"/>
      <x:c r="H138" s="76"/>
    </x:row>
    <x:row r="139">
      <x:c r="A139" s="76"/>
      <x:c r="B139" s="76"/>
      <x:c r="C139" s="76"/>
      <x:c r="D139" s="76"/>
      <x:c r="E139" s="76"/>
      <x:c r="F139" s="76"/>
      <x:c r="G139" s="76"/>
      <x:c r="H139" s="76"/>
    </x:row>
    <x:row r="140">
      <x:c r="A140" s="76"/>
      <x:c r="B140" s="76"/>
      <x:c r="C140" s="76"/>
      <x:c r="D140" s="76"/>
      <x:c r="E140" s="76"/>
      <x:c r="F140" s="76"/>
      <x:c r="G140" s="76"/>
      <x:c r="H140" s="76"/>
    </x:row>
    <x:row r="141">
      <x:c r="A141" s="76"/>
      <x:c r="B141" s="76"/>
      <x:c r="C141" s="76"/>
      <x:c r="D141" s="76"/>
      <x:c r="E141" s="76"/>
      <x:c r="F141" s="76"/>
      <x:c r="G141" s="76"/>
      <x:c r="H141" s="76"/>
    </x:row>
    <x:row r="142">
      <x:c r="A142" s="76"/>
      <x:c r="B142" s="76"/>
      <x:c r="C142" s="76"/>
      <x:c r="D142" s="76"/>
      <x:c r="E142" s="76"/>
      <x:c r="F142" s="76"/>
      <x:c r="G142" s="76"/>
      <x:c r="H142" s="76"/>
    </x:row>
    <x:row r="143">
      <x:c r="A143" s="76"/>
      <x:c r="B143" s="76"/>
      <x:c r="C143" s="76"/>
      <x:c r="D143" s="76"/>
      <x:c r="E143" s="76"/>
      <x:c r="F143" s="76"/>
      <x:c r="G143" s="76"/>
      <x:c r="H143" s="76"/>
    </x:row>
    <x:row r="144">
      <x:c r="A144" s="76"/>
      <x:c r="B144" s="76"/>
      <x:c r="C144" s="76"/>
      <x:c r="D144" s="76"/>
      <x:c r="E144" s="76"/>
      <x:c r="F144" s="76"/>
      <x:c r="G144" s="76"/>
      <x:c r="H144" s="76"/>
    </x:row>
    <x:row r="145">
      <x:c r="A145" s="76"/>
      <x:c r="B145" s="76"/>
      <x:c r="C145" s="76"/>
      <x:c r="D145" s="76"/>
      <x:c r="E145" s="76"/>
      <x:c r="F145" s="76"/>
      <x:c r="G145" s="76"/>
      <x:c r="H145" s="76"/>
    </x:row>
    <x:row r="146">
      <x:c r="A146" s="76"/>
      <x:c r="B146" s="76"/>
      <x:c r="C146" s="76"/>
      <x:c r="D146" s="76"/>
      <x:c r="E146" s="76"/>
      <x:c r="F146" s="76"/>
      <x:c r="G146" s="76"/>
      <x:c r="H146" s="76"/>
    </x:row>
    <x:row r="147">
      <x:c r="A147" s="76"/>
      <x:c r="B147" s="76"/>
      <x:c r="C147" s="76"/>
      <x:c r="D147" s="76"/>
      <x:c r="E147" s="76"/>
      <x:c r="F147" s="76"/>
      <x:c r="G147" s="76"/>
      <x:c r="H147" s="76"/>
    </x:row>
    <x:row r="148">
      <x:c r="A148" s="76"/>
      <x:c r="B148" s="76"/>
      <x:c r="C148" s="76"/>
      <x:c r="D148" s="76"/>
      <x:c r="E148" s="76"/>
      <x:c r="F148" s="76"/>
      <x:c r="G148" s="76"/>
      <x:c r="H148" s="76"/>
    </x:row>
    <x:row r="149">
      <x:c r="A149" s="76"/>
      <x:c r="B149" s="76"/>
      <x:c r="C149" s="76"/>
      <x:c r="D149" s="76"/>
      <x:c r="E149" s="76"/>
      <x:c r="F149" s="76"/>
      <x:c r="G149" s="76"/>
      <x:c r="H149" s="76"/>
    </x:row>
    <x:row r="150">
      <x:c r="A150" s="76"/>
      <x:c r="B150" s="76"/>
      <x:c r="C150" s="76"/>
      <x:c r="D150" s="76"/>
      <x:c r="E150" s="76"/>
      <x:c r="F150" s="76"/>
      <x:c r="G150" s="76"/>
      <x:c r="H150" s="76"/>
    </x:row>
    <x:row r="151">
      <x:c r="A151" s="76"/>
      <x:c r="B151" s="76"/>
      <x:c r="C151" s="76"/>
      <x:c r="D151" s="76"/>
      <x:c r="E151" s="76"/>
      <x:c r="F151" s="76"/>
      <x:c r="G151" s="76"/>
      <x:c r="H151" s="76"/>
    </x:row>
    <x:row r="152">
      <x:c r="A152" s="76"/>
      <x:c r="B152" s="76"/>
      <x:c r="C152" s="76"/>
      <x:c r="D152" s="76"/>
      <x:c r="E152" s="76"/>
      <x:c r="F152" s="76"/>
      <x:c r="G152" s="76"/>
      <x:c r="H152" s="76"/>
    </x:row>
    <x:row r="153">
      <x:c r="A153" s="76"/>
      <x:c r="B153" s="76"/>
      <x:c r="C153" s="76"/>
      <x:c r="D153" s="76"/>
      <x:c r="E153" s="76"/>
      <x:c r="F153" s="76"/>
      <x:c r="G153" s="76"/>
      <x:c r="H153" s="76"/>
    </x:row>
    <x:row r="154">
      <x:c r="A154" s="76"/>
      <x:c r="B154" s="76"/>
      <x:c r="C154" s="76"/>
      <x:c r="D154" s="76"/>
      <x:c r="E154" s="76"/>
      <x:c r="F154" s="76"/>
      <x:c r="G154" s="76"/>
      <x:c r="H154" s="76"/>
    </x:row>
    <x:row r="155">
      <x:c r="A155" s="76"/>
      <x:c r="B155" s="76"/>
      <x:c r="C155" s="76"/>
      <x:c r="D155" s="76"/>
      <x:c r="E155" s="76"/>
      <x:c r="F155" s="76"/>
      <x:c r="G155" s="76"/>
      <x:c r="H155" s="76"/>
    </x:row>
    <x:row r="156">
      <x:c r="A156" s="76"/>
      <x:c r="B156" s="76"/>
      <x:c r="C156" s="76"/>
      <x:c r="D156" s="76"/>
      <x:c r="E156" s="76"/>
      <x:c r="F156" s="76"/>
      <x:c r="G156" s="76"/>
      <x:c r="H156" s="76"/>
    </x:row>
    <x:row r="157">
      <x:c r="A157" s="76"/>
      <x:c r="B157" s="76"/>
      <x:c r="C157" s="76"/>
      <x:c r="D157" s="76"/>
      <x:c r="E157" s="76"/>
      <x:c r="F157" s="76"/>
      <x:c r="G157" s="76"/>
      <x:c r="H157" s="76"/>
    </x:row>
    <x:row r="158">
      <x:c r="A158" s="76"/>
      <x:c r="B158" s="76"/>
      <x:c r="C158" s="76"/>
      <x:c r="D158" s="76"/>
      <x:c r="E158" s="76"/>
      <x:c r="F158" s="76"/>
      <x:c r="G158" s="76"/>
      <x:c r="H158" s="76"/>
    </x:row>
    <x:row r="159">
      <x:c r="A159" s="76"/>
      <x:c r="B159" s="76"/>
      <x:c r="C159" s="76"/>
      <x:c r="D159" s="76"/>
      <x:c r="E159" s="76"/>
      <x:c r="F159" s="76"/>
      <x:c r="G159" s="76"/>
      <x:c r="H159" s="76"/>
    </x:row>
    <x:row r="160">
      <x:c r="A160" s="76"/>
      <x:c r="B160" s="76"/>
      <x:c r="C160" s="76"/>
      <x:c r="D160" s="76"/>
      <x:c r="E160" s="76"/>
      <x:c r="F160" s="76"/>
      <x:c r="G160" s="76"/>
      <x:c r="H160" s="76"/>
    </x:row>
    <x:row r="161">
      <x:c r="A161" s="76"/>
      <x:c r="B161" s="76"/>
      <x:c r="C161" s="76"/>
      <x:c r="D161" s="76"/>
      <x:c r="E161" s="76"/>
      <x:c r="F161" s="76"/>
      <x:c r="G161" s="76"/>
      <x:c r="H161" s="76"/>
    </x:row>
    <x:row r="162">
      <x:c r="A162" s="76"/>
      <x:c r="B162" s="76"/>
      <x:c r="C162" s="76"/>
      <x:c r="D162" s="76"/>
      <x:c r="E162" s="76"/>
      <x:c r="F162" s="76"/>
      <x:c r="G162" s="76"/>
      <x:c r="H162" s="76"/>
    </x:row>
    <x:row r="163">
      <x:c r="A163" s="76"/>
      <x:c r="B163" s="76"/>
      <x:c r="C163" s="76"/>
      <x:c r="D163" s="76"/>
      <x:c r="E163" s="76"/>
      <x:c r="F163" s="76"/>
      <x:c r="G163" s="76"/>
      <x:c r="H163" s="76"/>
    </x:row>
    <x:row r="164">
      <x:c r="A164" s="76"/>
      <x:c r="B164" s="76"/>
      <x:c r="C164" s="76"/>
      <x:c r="D164" s="76"/>
      <x:c r="E164" s="76"/>
      <x:c r="F164" s="76"/>
      <x:c r="G164" s="76"/>
      <x:c r="H164" s="76"/>
    </x:row>
    <x:row r="165">
      <x:c r="A165" s="76"/>
      <x:c r="B165" s="76"/>
      <x:c r="C165" s="76"/>
      <x:c r="D165" s="76"/>
      <x:c r="E165" s="76"/>
      <x:c r="F165" s="76"/>
      <x:c r="G165" s="76"/>
      <x:c r="H165" s="76"/>
    </x:row>
    <x:row r="166">
      <x:c r="A166" s="76"/>
      <x:c r="B166" s="76"/>
      <x:c r="C166" s="76"/>
      <x:c r="D166" s="76"/>
      <x:c r="E166" s="76"/>
      <x:c r="F166" s="76"/>
      <x:c r="G166" s="76"/>
      <x:c r="H166" s="76"/>
    </x:row>
    <x:row r="167">
      <x:c r="A167" s="76"/>
      <x:c r="B167" s="76"/>
      <x:c r="C167" s="76"/>
      <x:c r="D167" s="76"/>
      <x:c r="E167" s="76"/>
      <x:c r="F167" s="76"/>
      <x:c r="G167" s="76"/>
      <x:c r="H167" s="76"/>
    </x:row>
    <x:row r="168">
      <x:c r="A168" s="76"/>
      <x:c r="B168" s="76"/>
      <x:c r="C168" s="76"/>
      <x:c r="D168" s="76"/>
      <x:c r="E168" s="76"/>
      <x:c r="F168" s="76"/>
      <x:c r="G168" s="76"/>
      <x:c r="H168" s="76"/>
    </x:row>
    <x:row r="169">
      <x:c r="A169" s="76"/>
      <x:c r="B169" s="76"/>
      <x:c r="C169" s="76"/>
      <x:c r="D169" s="76"/>
      <x:c r="E169" s="76"/>
      <x:c r="F169" s="76"/>
      <x:c r="G169" s="76"/>
      <x:c r="H169" s="76"/>
    </x:row>
    <x:row r="170">
      <x:c r="A170" s="76"/>
      <x:c r="B170" s="76"/>
      <x:c r="C170" s="76"/>
      <x:c r="D170" s="76"/>
      <x:c r="E170" s="76"/>
      <x:c r="F170" s="76"/>
      <x:c r="G170" s="76"/>
      <x:c r="H170" s="76"/>
    </x:row>
    <x:row r="171">
      <x:c r="A171" s="76"/>
      <x:c r="B171" s="76"/>
      <x:c r="C171" s="76"/>
      <x:c r="D171" s="76"/>
      <x:c r="E171" s="76"/>
      <x:c r="F171" s="76"/>
      <x:c r="G171" s="76"/>
      <x:c r="H171" s="76"/>
    </x:row>
    <x:row r="172">
      <x:c r="A172" s="76"/>
      <x:c r="B172" s="76"/>
      <x:c r="C172" s="76"/>
      <x:c r="D172" s="76"/>
      <x:c r="E172" s="76"/>
      <x:c r="F172" s="76"/>
      <x:c r="G172" s="76"/>
      <x:c r="H172" s="76"/>
    </x:row>
    <x:row r="173">
      <x:c r="A173" s="76"/>
      <x:c r="B173" s="76"/>
      <x:c r="C173" s="76"/>
      <x:c r="D173" s="76"/>
      <x:c r="E173" s="76"/>
      <x:c r="F173" s="76"/>
      <x:c r="G173" s="76"/>
      <x:c r="H173" s="76"/>
    </x:row>
    <x:row r="174">
      <x:c r="A174" s="76"/>
      <x:c r="B174" s="76"/>
      <x:c r="C174" s="76"/>
      <x:c r="D174" s="76"/>
      <x:c r="E174" s="76"/>
      <x:c r="F174" s="76"/>
      <x:c r="G174" s="76"/>
      <x:c r="H174" s="76"/>
    </x:row>
    <x:row r="175">
      <x:c r="A175" s="76"/>
      <x:c r="B175" s="76"/>
      <x:c r="C175" s="76"/>
      <x:c r="D175" s="76"/>
      <x:c r="E175" s="76"/>
      <x:c r="F175" s="76"/>
      <x:c r="G175" s="76"/>
      <x:c r="H175" s="76"/>
    </x:row>
    <x:row r="176">
      <x:c r="A176" s="76"/>
      <x:c r="B176" s="76"/>
      <x:c r="C176" s="76"/>
      <x:c r="D176" s="76"/>
      <x:c r="E176" s="76"/>
      <x:c r="F176" s="76"/>
      <x:c r="G176" s="76"/>
      <x:c r="H176" s="76"/>
    </x:row>
    <x:row r="177">
      <x:c r="A177" s="76"/>
      <x:c r="B177" s="76"/>
      <x:c r="C177" s="76"/>
      <x:c r="D177" s="76"/>
      <x:c r="E177" s="76"/>
      <x:c r="F177" s="76"/>
      <x:c r="G177" s="76"/>
      <x:c r="H177" s="76"/>
    </x:row>
    <x:row r="178">
      <x:c r="A178" s="76"/>
      <x:c r="B178" s="76"/>
      <x:c r="C178" s="76"/>
      <x:c r="D178" s="76"/>
      <x:c r="E178" s="76"/>
      <x:c r="F178" s="76"/>
      <x:c r="G178" s="76"/>
      <x:c r="H178" s="76"/>
    </x:row>
    <x:row r="179">
      <x:c r="A179" s="76"/>
      <x:c r="B179" s="76"/>
      <x:c r="C179" s="76"/>
      <x:c r="D179" s="76"/>
      <x:c r="E179" s="76"/>
      <x:c r="F179" s="76"/>
      <x:c r="G179" s="76"/>
      <x:c r="H179" s="76"/>
    </x:row>
    <x:row r="180">
      <x:c r="A180" s="76"/>
      <x:c r="B180" s="76"/>
      <x:c r="C180" s="76"/>
      <x:c r="D180" s="76"/>
      <x:c r="E180" s="76"/>
      <x:c r="F180" s="76"/>
      <x:c r="G180" s="76"/>
      <x:c r="H180" s="76"/>
    </x:row>
    <x:row r="181">
      <x:c r="A181" s="76"/>
      <x:c r="B181" s="76"/>
      <x:c r="C181" s="76"/>
      <x:c r="D181" s="76"/>
      <x:c r="E181" s="76"/>
      <x:c r="F181" s="76"/>
      <x:c r="G181" s="76"/>
      <x:c r="H181" s="76"/>
    </x:row>
    <x:row r="182">
      <x:c r="A182" s="76"/>
      <x:c r="B182" s="76"/>
      <x:c r="C182" s="76"/>
      <x:c r="D182" s="76"/>
      <x:c r="E182" s="76"/>
      <x:c r="F182" s="76"/>
      <x:c r="G182" s="76"/>
      <x:c r="H182" s="76"/>
    </x:row>
    <x:row r="183">
      <x:c r="A183" s="76"/>
      <x:c r="B183" s="76"/>
      <x:c r="C183" s="76"/>
      <x:c r="D183" s="76"/>
      <x:c r="E183" s="76"/>
      <x:c r="F183" s="76"/>
      <x:c r="G183" s="76"/>
      <x:c r="H183" s="76"/>
    </x:row>
    <x:row r="184">
      <x:c r="A184" s="76"/>
      <x:c r="B184" s="76"/>
      <x:c r="C184" s="76"/>
      <x:c r="D184" s="76"/>
      <x:c r="E184" s="76"/>
      <x:c r="F184" s="76"/>
      <x:c r="G184" s="76"/>
      <x:c r="H184" s="76"/>
    </x:row>
    <x:row r="185">
      <x:c r="A185" s="76"/>
      <x:c r="B185" s="76"/>
      <x:c r="C185" s="76"/>
      <x:c r="D185" s="76"/>
      <x:c r="E185" s="76"/>
      <x:c r="F185" s="76"/>
      <x:c r="G185" s="76"/>
      <x:c r="H185" s="76"/>
    </x:row>
    <x:row r="186">
      <x:c r="A186" s="76"/>
      <x:c r="B186" s="76"/>
      <x:c r="C186" s="76"/>
      <x:c r="D186" s="76"/>
      <x:c r="E186" s="76"/>
      <x:c r="F186" s="76"/>
      <x:c r="G186" s="76"/>
      <x:c r="H186" s="76"/>
    </x:row>
    <x:row r="187">
      <x:c r="A187" s="76"/>
      <x:c r="B187" s="76"/>
      <x:c r="C187" s="76"/>
      <x:c r="D187" s="76"/>
      <x:c r="E187" s="76"/>
      <x:c r="F187" s="76"/>
      <x:c r="G187" s="76"/>
      <x:c r="H187" s="76"/>
    </x:row>
    <x:row r="188">
      <x:c r="A188" s="76"/>
      <x:c r="B188" s="76"/>
      <x:c r="C188" s="76"/>
      <x:c r="D188" s="76"/>
      <x:c r="E188" s="76"/>
      <x:c r="F188" s="76"/>
      <x:c r="G188" s="76"/>
      <x:c r="H188" s="76"/>
    </x:row>
    <x:row r="189">
      <x:c r="A189" s="76"/>
      <x:c r="B189" s="76"/>
      <x:c r="C189" s="76"/>
      <x:c r="D189" s="76"/>
      <x:c r="E189" s="76"/>
      <x:c r="F189" s="76"/>
      <x:c r="G189" s="76"/>
      <x:c r="H189" s="76"/>
    </x:row>
    <x:row r="190">
      <x:c r="A190" s="76"/>
      <x:c r="B190" s="76"/>
      <x:c r="C190" s="76"/>
      <x:c r="D190" s="76"/>
      <x:c r="E190" s="76"/>
      <x:c r="F190" s="76"/>
      <x:c r="G190" s="76"/>
      <x:c r="H190" s="76"/>
    </x:row>
    <x:row r="191">
      <x:c r="A191" s="76"/>
      <x:c r="B191" s="76"/>
      <x:c r="C191" s="76"/>
      <x:c r="D191" s="76"/>
      <x:c r="E191" s="76"/>
      <x:c r="F191" s="76"/>
      <x:c r="G191" s="76"/>
      <x:c r="H191" s="76"/>
    </x:row>
    <x:row r="192">
      <x:c r="A192" s="76"/>
      <x:c r="B192" s="76"/>
      <x:c r="C192" s="76"/>
      <x:c r="D192" s="76"/>
      <x:c r="E192" s="76"/>
      <x:c r="F192" s="76"/>
      <x:c r="G192" s="76"/>
      <x:c r="H192" s="76"/>
    </x:row>
    <x:row r="193">
      <x:c r="A193" s="76"/>
      <x:c r="B193" s="76"/>
      <x:c r="C193" s="76"/>
      <x:c r="D193" s="76"/>
      <x:c r="E193" s="76"/>
      <x:c r="F193" s="76"/>
      <x:c r="G193" s="76"/>
      <x:c r="H193" s="76"/>
    </x:row>
    <x:row r="194">
      <x:c r="A194" s="76"/>
      <x:c r="B194" s="76"/>
      <x:c r="C194" s="76"/>
      <x:c r="D194" s="76"/>
      <x:c r="E194" s="76"/>
      <x:c r="F194" s="76"/>
      <x:c r="G194" s="76"/>
      <x:c r="H194" s="76"/>
    </x:row>
    <x:row r="195">
      <x:c r="A195" s="76"/>
      <x:c r="B195" s="76"/>
      <x:c r="C195" s="76"/>
      <x:c r="D195" s="76"/>
      <x:c r="E195" s="76"/>
      <x:c r="F195" s="76"/>
      <x:c r="G195" s="76"/>
      <x:c r="H195" s="76"/>
    </x:row>
    <x:row r="196">
      <x:c r="A196" s="76"/>
      <x:c r="B196" s="76"/>
      <x:c r="C196" s="76"/>
      <x:c r="D196" s="76"/>
      <x:c r="E196" s="76"/>
      <x:c r="F196" s="76"/>
      <x:c r="G196" s="76"/>
      <x:c r="H196" s="76"/>
    </x:row>
    <x:row r="197">
      <x:c r="A197" s="76"/>
      <x:c r="B197" s="76"/>
      <x:c r="C197" s="76"/>
      <x:c r="D197" s="76"/>
      <x:c r="E197" s="76"/>
      <x:c r="F197" s="76"/>
      <x:c r="G197" s="76"/>
      <x:c r="H197" s="76"/>
    </x:row>
    <x:row r="198">
      <x:c r="A198" s="76"/>
      <x:c r="B198" s="76"/>
      <x:c r="C198" s="76"/>
      <x:c r="D198" s="76"/>
      <x:c r="E198" s="76"/>
      <x:c r="F198" s="76"/>
      <x:c r="G198" s="76"/>
      <x:c r="H198" s="76"/>
    </x:row>
    <x:row r="199">
      <x:c r="A199" s="76"/>
      <x:c r="B199" s="76"/>
      <x:c r="C199" s="76"/>
      <x:c r="D199" s="76"/>
      <x:c r="E199" s="76"/>
      <x:c r="F199" s="76"/>
      <x:c r="G199" s="76"/>
      <x:c r="H199" s="76"/>
    </x:row>
    <x:row r="200">
      <x:c r="A200" s="76"/>
      <x:c r="B200" s="76"/>
      <x:c r="C200" s="76"/>
      <x:c r="D200" s="76"/>
      <x:c r="E200" s="76"/>
      <x:c r="F200" s="76"/>
      <x:c r="G200" s="76"/>
      <x:c r="H200" s="76"/>
    </x:row>
  </x:sheetData>
  <x:mergeCells>
    <x:mergeCell ref="A1:H1"/>
    <x:mergeCell ref="A2:H2"/>
    <x:mergeCell ref="B3:H3"/>
    <x:mergeCell ref="B4:H4"/>
    <x:mergeCell ref="B5:H5"/>
    <x:mergeCell ref="A7:H7"/>
    <x:mergeCell ref="A19:H19"/>
    <x:mergeCell ref="A31:H31"/>
    <x:mergeCell ref="A40:H40"/>
    <x:mergeCell ref="A53:H53"/>
    <x:mergeCell ref="A61:H61"/>
    <x:mergeCell ref="A68:H68"/>
    <x:mergeCell ref="A78:H78"/>
    <x:mergeCell ref="A87:H87"/>
  </x:mergeCells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34" hidden="0" customWidth="1"/>
    <x:col min="4" max="4" width="28" hidden="0" customWidth="1"/>
    <x:col min="5" max="5" width="22" hidden="0" customWidth="1"/>
    <x:col min="6" max="6" width="22" hidden="0" customWidth="1"/>
    <x:col min="7" max="7" width="18" hidden="0" customWidth="1"/>
    <x:col min="8" max="8" width="20" hidden="0" customWidth="1"/>
  </x:cols>
  <x:sheetData>
    <x:row r="1" ht="30" hidden="0" customHeight="1">
      <x:c r="A1" s="108" t="str">
        <x:v>CxVisual V6.4 — Automation 机台硬件 / Motion / IO / Safety / Process Device 抽象体系</x:v>
      </x:c>
      <x:c r="B1" s="108"/>
      <x:c r="C1" s="108"/>
      <x:c r="D1" s="108"/>
      <x:c r="E1" s="108"/>
      <x:c r="F1" s="108"/>
      <x:c r="G1" s="108"/>
      <x:c r="H1" s="108"/>
    </x:row>
    <x:row r="2" ht="42" hidden="0" customHeight="1">
      <x:c r="A2" s="85" t="str">
        <x:v>全部归 Automation 能力族：统一Controller、PLC、Fieldbus、Axis/Actuator、气动、IO、反馈、触发、安全、X-Ray/Detector/Camera等工艺硬件；Platform只提供Resource/Command/State/Diagnostics等机制。</x:v>
      </x:c>
      <x:c r="B2" s="85"/>
      <x:c r="C2" s="85"/>
      <x:c r="D2" s="85"/>
      <x:c r="E2" s="85"/>
      <x:c r="F2" s="85"/>
      <x:c r="G2" s="85"/>
      <x:c r="H2" s="85"/>
    </x:row>
    <x:row r="3" ht="15" hidden="0" customHeight="1">
      <x:c r="A3" s="87" t="str">
        <x:v>本页唯一权威</x:v>
      </x:c>
      <x:c r="B3" s="88" t="str">
        <x:v>工业硬件分类、公共Capability接口、Ownership/Lifecycle、Resource/Interlock/Diagnostics，以及Robot/CT跨域关系。</x:v>
      </x:c>
      <x:c r="C3" s="88"/>
      <x:c r="D3" s="88"/>
      <x:c r="E3" s="88"/>
      <x:c r="F3" s="88"/>
      <x:c r="G3" s="88"/>
      <x:c r="H3" s="88"/>
    </x:row>
    <x:row r="4" ht="15" hidden="0" customHeight="1">
      <x:c r="A4" s="87" t="str">
        <x:v>不在本页维护</x:v>
      </x:c>
      <x:c r="B4" s="88" t="str">
        <x:v>厂商品牌SDK实现细节与具体客户IO表；见项目实例规格/Adapter实现。</x:v>
      </x:c>
      <x:c r="C4" s="88"/>
      <x:c r="D4" s="88"/>
      <x:c r="E4" s="88"/>
      <x:c r="F4" s="88"/>
      <x:c r="G4" s="88"/>
      <x:c r="H4" s="88"/>
    </x:row>
    <x:row r="5" ht="15" hidden="0" customHeight="1">
      <x:c r="A5" s="87" t="str">
        <x:v>关联分页</x:v>
      </x:c>
      <x:c r="B5" s="88" t="str">
        <x:v>05_平台公共接口与核心类；14_Security写入审计；22_Graph集成与资源管理；27/28 Motion；29/30 Robot；33/37；41。</x:v>
      </x:c>
      <x:c r="C5" s="88"/>
      <x:c r="D5" s="88"/>
      <x:c r="E5" s="88"/>
      <x:c r="F5" s="88"/>
      <x:c r="G5" s="88"/>
      <x:c r="H5" s="88"/>
    </x:row>
    <x:row r="6" ht="15" hidden="0" customHeight="1">
      <x:c r="A6" s="79"/>
      <x:c r="B6" s="79"/>
      <x:c r="C6" s="79"/>
      <x:c r="D6" s="79"/>
      <x:c r="E6" s="79"/>
      <x:c r="F6" s="79"/>
      <x:c r="G6" s="79"/>
      <x:c r="H6" s="79"/>
    </x:row>
    <x:row r="7" ht="15" hidden="0" customHeight="1">
      <x:c r="A7" s="91" t="str">
        <x:v>A. 硬件抽象八条总原则</x:v>
      </x:c>
      <x:c r="B7" s="91"/>
      <x:c r="C7" s="91"/>
      <x:c r="D7" s="91"/>
      <x:c r="E7" s="91"/>
      <x:c r="F7" s="91"/>
      <x:c r="G7" s="91"/>
      <x:c r="H7" s="91"/>
    </x:row>
    <x:row r="8" ht="15" hidden="0" customHeight="1">
      <x:c r="A8" s="95" t="str">
        <x:v>原则</x:v>
      </x:c>
      <x:c r="B8" s="95" t="str">
        <x:v>正式规则</x:v>
      </x:c>
      <x:c r="C8" s="95" t="str">
        <x:v>目的</x:v>
      </x:c>
      <x:c r="D8" s="95" t="str">
        <x:v>核心对象</x:v>
      </x:c>
      <x:c r="E8" s="95" t="str">
        <x:v>禁止事项</x:v>
      </x:c>
      <x:c r="F8" s="95" t="str">
        <x:v>阶段</x:v>
      </x:c>
      <x:c r="G8" s="95" t="str">
        <x:v>测试</x:v>
      </x:c>
      <x:c r="H8" s="95" t="str">
        <x:v>备注</x:v>
      </x:c>
    </x:row>
    <x:row r="9" ht="21.600000381469727" hidden="0" customHeight="1">
      <x:c r="A9" s="79" t="str">
        <x:v>能力优先</x:v>
      </x:c>
      <x:c r="B9" s="79" t="str">
        <x:v>按稳定能力接口而不是品牌/设备名抽象</x:v>
      </x:c>
      <x:c r="C9" s="79" t="str">
        <x:v>可替换Vendor Adapter</x:v>
      </x:c>
      <x:c r="D9" s="79" t="str">
        <x:v>IMotionController/IAxis/ITriggerIO/...</x:v>
      </x:c>
      <x:c r="E9" s="79" t="str">
        <x:v>禁止Vendor SDK类型进入Core/Studio/Graph</x:v>
      </x:c>
      <x:c r="F9" s="79"/>
      <x:c r="G9" s="79"/>
      <x:c r="H9" s="79"/>
    </x:row>
    <x:row r="10" ht="21.600000381469727" hidden="0" customHeight="1">
      <x:c r="A10" s="79" t="str">
        <x:v>三层对象</x:v>
      </x:c>
      <x:c r="B10" s="79" t="str">
        <x:v>Device / Resource / Channel区分</x:v>
      </x:c>
      <x:c r="C10" s="79" t="str">
        <x:v>Device拥有连接；Resource参与调度；Channel通常由父设备拥有</x:v>
      </x:c>
      <x:c r="D10" s="79" t="str">
        <x:v>Controller/Axis/DI</x:v>
      </x:c>
      <x:c r="E10" s="79" t="str">
        <x:v>避免每个叶子对象都管理连接</x:v>
      </x:c>
      <x:c r="F10" s="79"/>
      <x:c r="G10" s="79"/>
      <x:c r="H10" s="79"/>
    </x:row>
    <x:row r="11" ht="21.600000381469727" hidden="0" customHeight="1">
      <x:c r="A11" s="79" t="str">
        <x:v>窄接口组合</x:v>
      </x:c>
      <x:c r="B11" s="79" t="str">
        <x:v>一个设备可实现多个Capability</x:v>
      </x:c>
      <x:c r="C11" s="79" t="str">
        <x:v>例如控制器可同时提供IMotionController+IFieldbusMaster</x:v>
      </x:c>
      <x:c r="D11" s="79" t="str">
        <x:v>Capability/Composition</x:v>
      </x:c>
      <x:c r="E11" s="79" t="str">
        <x:v>不建万能IMotionDevice</x:v>
      </x:c>
      <x:c r="F11" s="79"/>
      <x:c r="G11" s="79"/>
      <x:c r="H11" s="79"/>
    </x:row>
    <x:row r="12" ht="21.600000381469727" hidden="0" customHeight="1">
      <x:c r="A12" s="79" t="str">
        <x:v>Resource Lease</x:v>
      </x:c>
      <x:c r="B12" s="79" t="str">
        <x:v>可产生动作/占用工艺资源的对象有稳定ResourceId</x:v>
      </x:c>
      <x:c r="C12" s="79" t="str">
        <x:v>axis:/robot:/camera:/xray:/detector:</x:v>
      </x:c>
      <x:c r="D12" s="79" t="str">
        <x:v>ResourceManager</x:v>
      </x:c>
      <x:c r="E12" s="79" t="str">
        <x:v>默认不抢占</x:v>
      </x:c>
      <x:c r="F12" s="79"/>
      <x:c r="G12" s="79"/>
      <x:c r="H12" s="79"/>
    </x:row>
    <x:row r="13" ht="21.600000381469727" hidden="0" customHeight="1">
      <x:c r="A13" s="79" t="str">
        <x:v>Safety隔离</x:v>
      </x:c>
      <x:c r="B13" s="79" t="str">
        <x:v>Safety Input/Device/Controller与普通IO分层</x:v>
      </x:c>
      <x:c r="C13" s="79" t="str">
        <x:v>安全逻辑由认证硬件/控制器负责</x:v>
      </x:c>
      <x:c r="D13" s="79" t="str">
        <x:v>ISafety*</x:v>
      </x:c>
      <x:c r="E13" s="79" t="str">
        <x:v>QuickStop不等于EStop</x:v>
      </x:c>
      <x:c r="F13" s="79"/>
      <x:c r="G13" s="79"/>
      <x:c r="H13" s="79"/>
    </x:row>
    <x:row r="14" ht="21.600000381469727" hidden="0" customHeight="1">
      <x:c r="A14" s="79" t="str">
        <x:v>高速下沉</x:v>
      </x:c>
      <x:c r="B14" s="79" t="str">
        <x:v>1ms闭环、Position Compare、Trigger Pulse等下沉控制器/硬件</x:v>
      </x:c>
      <x:c r="C14" s="79" t="str">
        <x:v>Windows/.NET做编排监督</x:v>
      </x:c>
      <x:c r="D14" s="79" t="str">
        <x:v>IPositionTrigger/ITriggerIO</x:v>
      </x:c>
      <x:c r="E14" s="79" t="str">
        <x:v>禁止软循环替代硬实时</x:v>
      </x:c>
      <x:c r="F14" s="79"/>
      <x:c r="G14" s="79"/>
      <x:c r="H14" s="79"/>
    </x:row>
    <x:row r="15" ht="21.600000381469727" hidden="0" customHeight="1">
      <x:c r="A15" s="79" t="str">
        <x:v>生命周期</x:v>
      </x:c>
      <x:c r="B15" s="79" t="str">
        <x:v>Provider/Controller/Master拥有SDK句柄；子对象引用父Owner</x:v>
      </x:c>
      <x:c r="C15" s="79" t="str">
        <x:v>Stop/Dispose反向释放</x:v>
      </x:c>
      <x:c r="D15" s="79" t="str">
        <x:v>DeviceRegistry</x:v>
      </x:c>
      <x:c r="E15" s="79" t="str">
        <x:v>防重复Dispose</x:v>
      </x:c>
      <x:c r="F15" s="79"/>
      <x:c r="G15" s="79"/>
      <x:c r="H15" s="79"/>
    </x:row>
    <x:row r="16" ht="21.600000381469727" hidden="0" customHeight="1">
      <x:c r="A16" s="79" t="str">
        <x:v>诊断一等公民</x:v>
      </x:c>
      <x:c r="B16" s="79" t="str">
        <x:v>所有设备/资源提供State/Quality/Fault/Capabilities/LastError</x:v>
      </x:c>
      <x:c r="C16" s="79" t="str">
        <x:v>Studio Hardware Tree/Runtime Health</x:v>
      </x:c>
      <x:c r="D16" s="79" t="str">
        <x:v>Diagnostics</x:v>
      </x:c>
      <x:c r="E16" s="79" t="str">
        <x:v>现场问题可解释</x:v>
      </x:c>
      <x:c r="F16" s="79"/>
      <x:c r="G16" s="79"/>
      <x:c r="H16" s="79"/>
    </x:row>
    <x:row r="17" ht="32.400001525878906" hidden="0" customHeight="1">
      <x:c r="A17" s="79" t="str">
        <x:v>安全写入</x:v>
      </x:c>
      <x:c r="B17" s="79" t="str">
        <x:v>所有硬件写/动作经过Mode/Auth/Resource/Interlock/HardwareCommandPolicy/Audit</x:v>
      </x:c>
      <x:c r="C17" s="79" t="str">
        <x:v>Target最终裁决</x:v>
      </x:c>
      <x:c r="D17" s="79" t="str">
        <x:v>HardwareCommandRisk</x:v>
      </x:c>
      <x:c r="E17" s="79" t="str">
        <x:v>UI隐藏不是安全</x:v>
      </x:c>
      <x:c r="F17" s="79"/>
      <x:c r="G17" s="79"/>
      <x:c r="H17" s="79"/>
    </x:row>
    <x:row r="18" ht="15" hidden="0" customHeight="1">
      <x:c r="A18" s="79"/>
      <x:c r="B18" s="79"/>
      <x:c r="C18" s="79"/>
      <x:c r="D18" s="79"/>
      <x:c r="E18" s="79"/>
      <x:c r="F18" s="79"/>
      <x:c r="G18" s="79"/>
      <x:c r="H18" s="79"/>
    </x:row>
    <x:row r="19" ht="15" hidden="0" customHeight="1">
      <x:c r="A19" s="91" t="str">
        <x:v>B. 完整硬件分类与CxVisual建议抽象</x:v>
      </x:c>
      <x:c r="B19" s="91"/>
      <x:c r="C19" s="91"/>
      <x:c r="D19" s="91"/>
      <x:c r="E19" s="91"/>
      <x:c r="F19" s="91"/>
      <x:c r="G19" s="91"/>
      <x:c r="H19" s="91"/>
    </x:row>
    <x:row r="20" ht="15" hidden="0" customHeight="1">
      <x:c r="A20" s="95" t="str">
        <x:v>层级</x:v>
      </x:c>
      <x:c r="B20" s="95" t="str">
        <x:v>硬件</x:v>
      </x:c>
      <x:c r="C20" s="95" t="str">
        <x:v>典型例子</x:v>
      </x:c>
      <x:c r="D20" s="95" t="str">
        <x:v>CxVisual接口</x:v>
      </x:c>
      <x:c r="E20" s="95" t="str">
        <x:v>所有权/形态</x:v>
      </x:c>
      <x:c r="F20" s="95" t="str">
        <x:v>核心语义</x:v>
      </x:c>
      <x:c r="G20" s="95" t="str">
        <x:v>关键边界</x:v>
      </x:c>
      <x:c r="H20" s="95" t="str">
        <x:v>备注</x:v>
      </x:c>
    </x:row>
    <x:row r="21" ht="15" hidden="0" customHeight="1">
      <x:c r="A21" s="79" t="str">
        <x:v>控制核心</x:v>
      </x:c>
      <x:c r="B21" s="79" t="str">
        <x:v>运动控制器</x:v>
      </x:c>
      <x:c r="C21" s="79" t="str">
        <x:v>固高/雷赛/Zerolib/ACS/PMAC等</x:v>
      </x:c>
      <x:c r="D21" s="79" t="str">
        <x:v>IMotionController</x:v>
      </x:c>
      <x:c r="E21" s="79" t="str">
        <x:v>Provider-owned Device</x:v>
      </x:c>
      <x:c r="F21" s="79" t="str">
        <x:v>Axis集合/状态/能力/故障</x:v>
      </x:c>
      <x:c r="G21" s="79" t="str">
        <x:v>厂商SDK仅Adapter</x:v>
      </x:c>
      <x:c r="H21" s="79"/>
    </x:row>
    <x:row r="22" ht="21.600000381469727" hidden="0" customHeight="1">
      <x:c r="A22" s="79" t="str">
        <x:v>控制核心</x:v>
      </x:c>
      <x:c r="B22" s="79" t="str">
        <x:v>PLC</x:v>
      </x:c>
      <x:c r="C22" s="79" t="str">
        <x:v>汇川/西门子/倍福/三菱</x:v>
      </x:c>
      <x:c r="D22" s="79" t="str">
        <x:v>IPlcDevice</x:v>
      </x:c>
      <x:c r="E22" s="79" t="str">
        <x:v>Provider-owned Device</x:v>
      </x:c>
      <x:c r="F22" s="79" t="str">
        <x:v>结构化PLC/诊断；变量仍可经IVariableProvider</x:v>
      </x:c>
      <x:c r="G22" s="79" t="str">
        <x:v>不等同MotionController</x:v>
      </x:c>
      <x:c r="H22" s="79"/>
    </x:row>
    <x:row r="23" ht="15" hidden="0" customHeight="1">
      <x:c r="A23" s="79" t="str">
        <x:v>控制核心</x:v>
      </x:c>
      <x:c r="B23" s="79" t="str">
        <x:v>运动控制卡</x:v>
      </x:c>
      <x:c r="C23" s="79" t="str">
        <x:v>PCI/PCIe/EtherCAT运动卡</x:v>
      </x:c>
      <x:c r="D23" s="79" t="str">
        <x:v>IMotionController</x:v>
      </x:c>
      <x:c r="E23" s="79" t="str">
        <x:v>Provider-owned Device</x:v>
      </x:c>
      <x:c r="F23" s="79" t="str">
        <x:v>逻辑上仍是Motion Controller</x:v>
      </x:c>
      <x:c r="G23" s="79" t="str">
        <x:v>按品牌Adapter</x:v>
      </x:c>
      <x:c r="H23" s="79"/>
    </x:row>
    <x:row r="24" ht="15" hidden="0" customHeight="1">
      <x:c r="A24" s="79" t="str">
        <x:v>总线</x:v>
      </x:c>
      <x:c r="B24" s="79" t="str">
        <x:v>EtherCAT Master</x:v>
      </x:c>
      <x:c r="C24" s="79" t="str">
        <x:v>IPC主站/控制卡</x:v>
      </x:c>
      <x:c r="D24" s="79" t="str">
        <x:v>IFieldbusMaster</x:v>
      </x:c>
      <x:c r="E24" s="79" t="str">
        <x:v>Provider-owned Device</x:v>
      </x:c>
      <x:c r="F24" s="79" t="str">
        <x:v>Topology/Scan/State/Diagnostics</x:v>
      </x:c>
      <x:c r="G24" s="79" t="str">
        <x:v>协议中立</x:v>
      </x:c>
      <x:c r="H24" s="79"/>
    </x:row>
    <x:row r="25" ht="21.600000381469727" hidden="0" customHeight="1">
      <x:c r="A25" s="79" t="str">
        <x:v>总线</x:v>
      </x:c>
      <x:c r="B25" s="79" t="str">
        <x:v>EtherCAT从站</x:v>
      </x:c>
      <x:c r="C25" s="79" t="str">
        <x:v>IO模块/驱动器/耦合器</x:v>
      </x:c>
      <x:c r="D25" s="79" t="str">
        <x:v>IFieldbusDevice</x:v>
      </x:c>
      <x:c r="E25" s="79" t="str">
        <x:v>Master-owned Device</x:v>
      </x:c>
      <x:c r="F25" s="79" t="str">
        <x:v>Identity/State/Capabilities/ProcessData</x:v>
      </x:c>
      <x:c r="G25" s="79" t="str">
        <x:v>生命周期通常归Master</x:v>
      </x:c>
      <x:c r="H25" s="79"/>
    </x:row>
    <x:row r="26" ht="21.600000381469727" hidden="0" customHeight="1">
      <x:c r="A26" s="79" t="str">
        <x:v>执行</x:v>
      </x:c>
      <x:c r="B26" s="79" t="str">
        <x:v>伺服驱动器</x:v>
      </x:c>
      <x:c r="C26" s="79" t="str">
        <x:v>松下/安川/汇川等</x:v>
      </x:c>
      <x:c r="D26" s="79" t="str">
        <x:v>IAxis（通常）</x:v>
      </x:c>
      <x:c r="E26" s="79" t="str">
        <x:v>Axis internal component</x:v>
      </x:c>
      <x:c r="F26" s="79" t="str">
        <x:v>通过逻辑Axis控制；可扩展DriveDiagnostics capability</x:v>
      </x:c>
      <x:c r="G26" s="79" t="str">
        <x:v>不单独暴露万能Vendor对象</x:v>
      </x:c>
      <x:c r="H26" s="79"/>
    </x:row>
    <x:row r="27" ht="15" hidden="0" customHeight="1">
      <x:c r="A27" s="79" t="str">
        <x:v>执行</x:v>
      </x:c>
      <x:c r="B27" s="79" t="str">
        <x:v>伺服电机</x:v>
      </x:c>
      <x:c r="C27" s="79" t="str">
        <x:v>旋转伺服</x:v>
      </x:c>
      <x:c r="D27" s="79" t="str">
        <x:v>IAxis（通常）</x:v>
      </x:c>
      <x:c r="E27" s="79" t="str">
        <x:v>Axis internal component</x:v>
      </x:c>
      <x:c r="F27" s="79" t="str">
        <x:v>位置/速度/扭矩由Axis语义统一</x:v>
      </x:c>
      <x:c r="G27" s="79" t="str">
        <x:v>—</x:v>
      </x:c>
      <x:c r="H27" s="79"/>
    </x:row>
    <x:row r="28" ht="15" hidden="0" customHeight="1">
      <x:c r="A28" s="79" t="str">
        <x:v>执行</x:v>
      </x:c>
      <x:c r="B28" s="79" t="str">
        <x:v>直线电机</x:v>
      </x:c>
      <x:c r="C28" s="79" t="str">
        <x:v>Linear Motor</x:v>
      </x:c>
      <x:c r="D28" s="79" t="str">
        <x:v>IAxis</x:v>
      </x:c>
      <x:c r="E28" s="79" t="str">
        <x:v>Controller-owned Resource</x:v>
      </x:c>
      <x:c r="F28" s="79" t="str">
        <x:v>线性位置轴</x:v>
      </x:c>
      <x:c r="G28" s="79" t="str">
        <x:v>—</x:v>
      </x:c>
      <x:c r="H28" s="79"/>
    </x:row>
    <x:row r="29" ht="15" hidden="0" customHeight="1">
      <x:c r="A29" s="79" t="str">
        <x:v>执行</x:v>
      </x:c>
      <x:c r="B29" s="79" t="str">
        <x:v>步进电机</x:v>
      </x:c>
      <x:c r="C29" s="79" t="str">
        <x:v>Stepper</x:v>
      </x:c>
      <x:c r="D29" s="79" t="str">
        <x:v>IAxis</x:v>
      </x:c>
      <x:c r="E29" s="79" t="str">
        <x:v>Controller-owned Resource</x:v>
      </x:c>
      <x:c r="F29" s="79" t="str">
        <x:v>位置轴/开环能力显式</x:v>
      </x:c>
      <x:c r="G29" s="79" t="str">
        <x:v>—</x:v>
      </x:c>
      <x:c r="H29" s="79"/>
    </x:row>
    <x:row r="30" ht="15" hidden="0" customHeight="1">
      <x:c r="A30" s="79" t="str">
        <x:v>执行</x:v>
      </x:c>
      <x:c r="B30" s="79" t="str">
        <x:v>DD马达</x:v>
      </x:c>
      <x:c r="C30" s="79" t="str">
        <x:v>转台/CT旋转</x:v>
      </x:c>
      <x:c r="D30" s="79" t="str">
        <x:v>IAxis</x:v>
      </x:c>
      <x:c r="E30" s="79" t="str">
        <x:v>Controller-owned Resource</x:v>
      </x:c>
      <x:c r="F30" s="79" t="str">
        <x:v>旋转轴/角度单位</x:v>
      </x:c>
      <x:c r="G30" s="79" t="str">
        <x:v>—</x:v>
      </x:c>
      <x:c r="H30" s="79"/>
    </x:row>
    <x:row r="31" ht="15" hidden="0" customHeight="1">
      <x:c r="A31" s="79" t="str">
        <x:v>执行</x:v>
      </x:c>
      <x:c r="B31" s="79" t="str">
        <x:v>电动缸</x:v>
      </x:c>
      <x:c r="C31" s="79" t="str">
        <x:v>伺服压装/定位</x:v>
      </x:c>
      <x:c r="D31" s="79" t="str">
        <x:v>IAxis 或 IActuator</x:v>
      </x:c>
      <x:c r="E31" s="79" t="str">
        <x:v>Device/Resource</x:v>
      </x:c>
      <x:c r="F31" s="79" t="str">
        <x:v>是否有完整位置轴语义决定接口</x:v>
      </x:c>
      <x:c r="G31" s="79" t="str">
        <x:v>—</x:v>
      </x:c>
      <x:c r="H31" s="79"/>
    </x:row>
    <x:row r="32" ht="21.600000381469727" hidden="0" customHeight="1">
      <x:c r="A32" s="79" t="str">
        <x:v>执行</x:v>
      </x:c>
      <x:c r="B32" s="79" t="str">
        <x:v>变频器</x:v>
      </x:c>
      <x:c r="C32" s="79" t="str">
        <x:v>输送带/风机</x:v>
      </x:c>
      <x:c r="D32" s="79" t="str">
        <x:v>IVariableFrequencyDrive</x:v>
      </x:c>
      <x:c r="E32" s="79" t="str">
        <x:v>Device/Resource</x:v>
      </x:c>
      <x:c r="F32" s="79" t="str">
        <x:v>Run/Stop/Frequency/Direction/Fault</x:v>
      </x:c>
      <x:c r="G32" s="79" t="str">
        <x:v>不以散乱DO代替</x:v>
      </x:c>
      <x:c r="H32" s="79"/>
    </x:row>
    <x:row r="33" ht="15" hidden="0" customHeight="1">
      <x:c r="A33" s="79" t="str">
        <x:v>气动</x:v>
      </x:c>
      <x:c r="B33" s="79" t="str">
        <x:v>气缸</x:v>
      </x:c>
      <x:c r="C33" s="79" t="str">
        <x:v>夹紧/顶升</x:v>
      </x:c>
      <x:c r="D33" s="79" t="str">
        <x:v>ICylinder</x:v>
      </x:c>
      <x:c r="E33" s="79" t="str">
        <x:v>Channel/Resource</x:v>
      </x:c>
      <x:c r="F33" s="79" t="str">
        <x:v>Extend/Retract + 到位反馈</x:v>
      </x:c>
      <x:c r="G33" s="79" t="str">
        <x:v>Timeout/Interlock</x:v>
      </x:c>
      <x:c r="H33" s="79"/>
    </x:row>
    <x:row r="34" ht="15" hidden="0" customHeight="1">
      <x:c r="A34" s="79" t="str">
        <x:v>气动</x:v>
      </x:c>
      <x:c r="B34" s="79" t="str">
        <x:v>电磁阀</x:v>
      </x:c>
      <x:c r="C34" s="79" t="str">
        <x:v>二位五通等</x:v>
      </x:c>
      <x:c r="D34" s="79" t="str">
        <x:v>IValve / IDigitalOutput</x:v>
      </x:c>
      <x:c r="E34" s="79" t="str">
        <x:v>Channel</x:v>
      </x:c>
      <x:c r="F34" s="79" t="str">
        <x:v>简单阀可由DO Adapter实现</x:v>
      </x:c>
      <x:c r="G34" s="79" t="str">
        <x:v>语义优先</x:v>
      </x:c>
      <x:c r="H34" s="79"/>
    </x:row>
    <x:row r="35" ht="15" hidden="0" customHeight="1">
      <x:c r="A35" s="79" t="str">
        <x:v>气动</x:v>
      </x:c>
      <x:c r="B35" s="79" t="str">
        <x:v>阀岛</x:v>
      </x:c>
      <x:c r="C35" s="79" t="str">
        <x:v>SMC/Festo</x:v>
      </x:c>
      <x:c r="D35" s="79" t="str">
        <x:v>IValveManifold</x:v>
      </x:c>
      <x:c r="E35" s="79" t="str">
        <x:v>Provider-owned Device</x:v>
      </x:c>
      <x:c r="F35" s="79" t="str">
        <x:v>多阀/压力/诊断</x:v>
      </x:c>
      <x:c r="G35" s="79" t="str">
        <x:v>Composite</x:v>
      </x:c>
      <x:c r="H35" s="79"/>
    </x:row>
    <x:row r="36" ht="21.600000381469727" hidden="0" customHeight="1">
      <x:c r="A36" s="79" t="str">
        <x:v>气动</x:v>
      </x:c>
      <x:c r="B36" s="79" t="str">
        <x:v>真空</x:v>
      </x:c>
      <x:c r="C36" s="79" t="str">
        <x:v>吸盘/真空发生器</x:v>
      </x:c>
      <x:c r="D36" s="79" t="str">
        <x:v>IVacuum</x:v>
      </x:c>
      <x:c r="E36" s="79" t="str">
        <x:v>Device/Resource</x:v>
      </x:c>
      <x:c r="F36" s="79" t="str">
        <x:v>Enable/Release/Pressure/VacuumOk</x:v>
      </x:c>
      <x:c r="G36" s="79" t="str">
        <x:v>Timeout/Interlock</x:v>
      </x:c>
      <x:c r="H36" s="79"/>
    </x:row>
    <x:row r="37" ht="15" hidden="0" customHeight="1">
      <x:c r="A37" s="79" t="str">
        <x:v>IO</x:v>
      </x:c>
      <x:c r="B37" s="79" t="str">
        <x:v>数字输入</x:v>
      </x:c>
      <x:c r="C37" s="79" t="str">
        <x:v>光电/接近/按钮</x:v>
      </x:c>
      <x:c r="D37" s="79" t="str">
        <x:v>IDigitalInput</x:v>
      </x:c>
      <x:c r="E37" s="79" t="str">
        <x:v>Parent-owned Channel</x:v>
      </x:c>
      <x:c r="F37" s="79" t="str">
        <x:v>Value/Quality/Timestamp</x:v>
      </x:c>
      <x:c r="G37" s="79" t="str">
        <x:v>Read-only</x:v>
      </x:c>
      <x:c r="H37" s="79"/>
    </x:row>
    <x:row r="38" ht="15" hidden="0" customHeight="1">
      <x:c r="A38" s="79" t="str">
        <x:v>IO</x:v>
      </x:c>
      <x:c r="B38" s="79" t="str">
        <x:v>数字输出</x:v>
      </x:c>
      <x:c r="C38" s="79" t="str">
        <x:v>灯/继电器/简单阀</x:v>
      </x:c>
      <x:c r="D38" s="79" t="str">
        <x:v>IDigitalOutput</x:v>
      </x:c>
      <x:c r="E38" s="79" t="str">
        <x:v>Parent-owned Channel</x:v>
      </x:c>
      <x:c r="F38" s="79" t="str">
        <x:v>Write via policy</x:v>
      </x:c>
      <x:c r="G38" s="79" t="str">
        <x:v>受权限/审计</x:v>
      </x:c>
      <x:c r="H38" s="79"/>
    </x:row>
    <x:row r="39" ht="21.600000381469727" hidden="0" customHeight="1">
      <x:c r="A39" s="79" t="str">
        <x:v>IO</x:v>
      </x:c>
      <x:c r="B39" s="79" t="str">
        <x:v>模拟输入</x:v>
      </x:c>
      <x:c r="C39" s="79" t="str">
        <x:v>压力/温度/位移</x:v>
      </x:c>
      <x:c r="D39" s="79" t="str">
        <x:v>IAnalogInput</x:v>
      </x:c>
      <x:c r="E39" s="79" t="str">
        <x:v>Parent-owned Channel</x:v>
      </x:c>
      <x:c r="F39" s="79" t="str">
        <x:v>Raw/EngineeringValue/Unit/Quality</x:v>
      </x:c>
      <x:c r="G39" s="79" t="str">
        <x:v>缩放/标定显式</x:v>
      </x:c>
      <x:c r="H39" s="79"/>
    </x:row>
    <x:row r="40" ht="15" hidden="0" customHeight="1">
      <x:c r="A40" s="79" t="str">
        <x:v>IO</x:v>
      </x:c>
      <x:c r="B40" s="79" t="str">
        <x:v>模拟输出</x:v>
      </x:c>
      <x:c r="C40" s="79" t="str">
        <x:v>电压/电流设定</x:v>
      </x:c>
      <x:c r="D40" s="79" t="str">
        <x:v>IAnalogOutput</x:v>
      </x:c>
      <x:c r="E40" s="79" t="str">
        <x:v>Parent-owned Channel</x:v>
      </x:c>
      <x:c r="F40" s="79" t="str">
        <x:v>Value/Unit/Range</x:v>
      </x:c>
      <x:c r="G40" s="79" t="str">
        <x:v>范围校验</x:v>
      </x:c>
      <x:c r="H40" s="79"/>
    </x:row>
    <x:row r="41" ht="21.600000381469727" hidden="0" customHeight="1">
      <x:c r="A41" s="79" t="str">
        <x:v>反馈</x:v>
      </x:c>
      <x:c r="B41" s="79" t="str">
        <x:v>编码器</x:v>
      </x:c>
      <x:c r="C41" s="79" t="str">
        <x:v>增量/绝对编码器</x:v>
      </x:c>
      <x:c r="D41" s="79" t="str">
        <x:v>IAxis（通常）</x:v>
      </x:c>
      <x:c r="E41" s="79" t="str">
        <x:v>Axis internal feedback</x:v>
      </x:c>
      <x:c r="F41" s="79" t="str">
        <x:v>归轴闭环/状态</x:v>
      </x:c>
      <x:c r="G41" s="79" t="str">
        <x:v>独立编码器可扩展IPositionFeedback</x:v>
      </x:c>
      <x:c r="H41" s="79"/>
    </x:row>
    <x:row r="42" ht="15" hidden="0" customHeight="1">
      <x:c r="A42" s="79" t="str">
        <x:v>反馈</x:v>
      </x:c>
      <x:c r="B42" s="79" t="str">
        <x:v>光栅尺</x:v>
      </x:c>
      <x:c r="C42" s="79" t="str">
        <x:v>高精度位置反馈</x:v>
      </x:c>
      <x:c r="D42" s="79" t="str">
        <x:v>IPositionFeedback</x:v>
      </x:c>
      <x:c r="E42" s="79" t="str">
        <x:v>Sensor/Resource</x:v>
      </x:c>
      <x:c r="F42" s="79" t="str">
        <x:v>Position/Quality/Timestamp</x:v>
      </x:c>
      <x:c r="G42" s="79" t="str">
        <x:v>可与Axis反馈比对</x:v>
      </x:c>
      <x:c r="H42" s="79"/>
    </x:row>
    <x:row r="43" ht="15" hidden="0" customHeight="1">
      <x:c r="A43" s="79" t="str">
        <x:v>反馈</x:v>
      </x:c>
      <x:c r="B43" s="79" t="str">
        <x:v>激光位移计</x:v>
      </x:c>
      <x:c r="C43" s="79" t="str">
        <x:v>高度/位移</x:v>
      </x:c>
      <x:c r="D43" s="79" t="str">
        <x:v>ISensor</x:v>
      </x:c>
      <x:c r="E43" s="79" t="str">
        <x:v>Device/Resource</x:v>
      </x:c>
      <x:c r="F43" s="79" t="str">
        <x:v>Value/Unit/Quality/Calibration</x:v>
      </x:c>
      <x:c r="G43" s="79" t="str">
        <x:v>高频采样可独立通道</x:v>
      </x:c>
      <x:c r="H43" s="79"/>
    </x:row>
    <x:row r="44" ht="15" hidden="0" customHeight="1">
      <x:c r="A44" s="79" t="str">
        <x:v>反馈</x:v>
      </x:c>
      <x:c r="B44" s="79" t="str">
        <x:v>力传感器</x:v>
      </x:c>
      <x:c r="C44" s="79" t="str">
        <x:v>压装力</x:v>
      </x:c>
      <x:c r="D44" s="79" t="str">
        <x:v>IForceSensor</x:v>
      </x:c>
      <x:c r="E44" s="79" t="str">
        <x:v>Device/Resource</x:v>
      </x:c>
      <x:c r="F44" s="79" t="str">
        <x:v>Force/Unit/Quality/Calibration</x:v>
      </x:c>
      <x:c r="G44" s="79" t="str">
        <x:v>—</x:v>
      </x:c>
      <x:c r="H44" s="79"/>
    </x:row>
    <x:row r="45" ht="15" hidden="0" customHeight="1">
      <x:c r="A45" s="79" t="str">
        <x:v>反馈</x:v>
      </x:c>
      <x:c r="B45" s="79" t="str">
        <x:v>扭矩传感器</x:v>
      </x:c>
      <x:c r="C45" s="79" t="str">
        <x:v>拧紧/旋转</x:v>
      </x:c>
      <x:c r="D45" s="79" t="str">
        <x:v>ITorqueSensor</x:v>
      </x:c>
      <x:c r="E45" s="79" t="str">
        <x:v>Device/Resource</x:v>
      </x:c>
      <x:c r="F45" s="79" t="str">
        <x:v>Torque/Unit/Quality/Calibration</x:v>
      </x:c>
      <x:c r="G45" s="79" t="str">
        <x:v>—</x:v>
      </x:c>
      <x:c r="H45" s="79"/>
    </x:row>
    <x:row r="46" ht="15" hidden="0" customHeight="1">
      <x:c r="A46" s="79" t="str">
        <x:v>反馈</x:v>
      </x:c>
      <x:c r="B46" s="79" t="str">
        <x:v>压力传感器</x:v>
      </x:c>
      <x:c r="C46" s="79" t="str">
        <x:v>气压检测</x:v>
      </x:c>
      <x:c r="D46" s="79" t="str">
        <x:v>IPressureSensor</x:v>
      </x:c>
      <x:c r="E46" s="79" t="str">
        <x:v>Device/Resource</x:v>
      </x:c>
      <x:c r="F46" s="79" t="str">
        <x:v>Pressure/Unit/Quality/Calibration</x:v>
      </x:c>
      <x:c r="G46" s="79" t="str">
        <x:v>—</x:v>
      </x:c>
      <x:c r="H46" s="79"/>
    </x:row>
    <x:row r="47" ht="15" hidden="0" customHeight="1">
      <x:c r="A47" s="79" t="str">
        <x:v>触发</x:v>
      </x:c>
      <x:c r="B47" s="79" t="str">
        <x:v>高速输入/输出</x:v>
      </x:c>
      <x:c r="C47" s="79" t="str">
        <x:v>相机触发/X-Ray曝光同步</x:v>
      </x:c>
      <x:c r="D47" s="79" t="str">
        <x:v>ITriggerIO</x:v>
      </x:c>
      <x:c r="E47" s="79" t="str">
        <x:v>Controller/Device Capability</x:v>
      </x:c>
      <x:c r="F47" s="79" t="str">
        <x:v>Arm/Disarm/Counter/Timing</x:v>
      </x:c>
      <x:c r="G47" s="79" t="str">
        <x:v>高速执行下沉硬件</x:v>
      </x:c>
      <x:c r="H47" s="79"/>
    </x:row>
    <x:row r="48" ht="15" hidden="0" customHeight="1">
      <x:c r="A48" s="79" t="str">
        <x:v>触发</x:v>
      </x:c>
      <x:c r="B48" s="79" t="str">
        <x:v>位置比较输出</x:v>
      </x:c>
      <x:c r="C48" s="79" t="str">
        <x:v>Position Compare</x:v>
      </x:c>
      <x:c r="D48" s="79" t="str">
        <x:v>IPositionTrigger</x:v>
      </x:c>
      <x:c r="E48" s="79" t="str">
        <x:v>Controller/Axis Capability</x:v>
      </x:c>
      <x:c r="F48" s="79" t="str">
        <x:v>Compare Table/Arm/Status</x:v>
      </x:c>
      <x:c r="G48" s="79" t="str">
        <x:v>禁止Windows逐点软脉冲</x:v>
      </x:c>
      <x:c r="H48" s="79"/>
    </x:row>
    <x:row r="49" ht="15" hidden="0" customHeight="1">
      <x:c r="A49" s="79" t="str">
        <x:v>安全</x:v>
      </x:c>
      <x:c r="B49" s="79" t="str">
        <x:v>急停</x:v>
      </x:c>
      <x:c r="C49" s="79" t="str">
        <x:v>E-Stop</x:v>
      </x:c>
      <x:c r="D49" s="79" t="str">
        <x:v>ISafetyInput</x:v>
      </x:c>
      <x:c r="E49" s="79" t="str">
        <x:v>Safety-owned Channel</x:v>
      </x:c>
      <x:c r="F49" s="79" t="str">
        <x:v>SafeState/Diagnostics</x:v>
      </x:c>
      <x:c r="G49" s="79" t="str">
        <x:v>软件不得伪造解除</x:v>
      </x:c>
      <x:c r="H49" s="79"/>
    </x:row>
    <x:row r="50" ht="15" hidden="0" customHeight="1">
      <x:c r="A50" s="79" t="str">
        <x:v>安全</x:v>
      </x:c>
      <x:c r="B50" s="79" t="str">
        <x:v>安全门</x:v>
      </x:c>
      <x:c r="C50" s="79" t="str">
        <x:v>Door Interlock</x:v>
      </x:c>
      <x:c r="D50" s="79" t="str">
        <x:v>ISafetyInput</x:v>
      </x:c>
      <x:c r="E50" s="79" t="str">
        <x:v>Safety-owned Channel</x:v>
      </x:c>
      <x:c r="F50" s="79" t="str">
        <x:v>SafeState</x:v>
      </x:c>
      <x:c r="G50" s="79" t="str">
        <x:v>—</x:v>
      </x:c>
      <x:c r="H50" s="79"/>
    </x:row>
    <x:row r="51" ht="15" hidden="0" customHeight="1">
      <x:c r="A51" s="79" t="str">
        <x:v>安全</x:v>
      </x:c>
      <x:c r="B51" s="79" t="str">
        <x:v>光栅</x:v>
      </x:c>
      <x:c r="C51" s="79" t="str">
        <x:v>Safety Light Curtain</x:v>
      </x:c>
      <x:c r="D51" s="79" t="str">
        <x:v>ISafetyInput</x:v>
      </x:c>
      <x:c r="E51" s="79" t="str">
        <x:v>Safety-owned Channel</x:v>
      </x:c>
      <x:c r="F51" s="79" t="str">
        <x:v>SafeState</x:v>
      </x:c>
      <x:c r="G51" s="79" t="str">
        <x:v>—</x:v>
      </x:c>
      <x:c r="H51" s="79"/>
    </x:row>
    <x:row r="52" ht="15" hidden="0" customHeight="1">
      <x:c r="A52" s="79" t="str">
        <x:v>安全</x:v>
      </x:c>
      <x:c r="B52" s="79" t="str">
        <x:v>安全继电器</x:v>
      </x:c>
      <x:c r="C52" s="79" t="str">
        <x:v>Pilz等</x:v>
      </x:c>
      <x:c r="D52" s="79" t="str">
        <x:v>ISafetyDevice</x:v>
      </x:c>
      <x:c r="E52" s="79" t="str">
        <x:v>Provider-owned Safety Device</x:v>
      </x:c>
      <x:c r="F52" s="79" t="str">
        <x:v>State/Diagnostics/Test capability</x:v>
      </x:c>
      <x:c r="G52" s="79" t="str">
        <x:v>认证安全逻辑在设备</x:v>
      </x:c>
      <x:c r="H52" s="79"/>
    </x:row>
    <x:row r="53" ht="21.600000381469727" hidden="0" customHeight="1">
      <x:c r="A53" s="79" t="str">
        <x:v>安全</x:v>
      </x:c>
      <x:c r="B53" s="79" t="str">
        <x:v>Safety PLC</x:v>
      </x:c>
      <x:c r="C53" s="79" t="str">
        <x:v>TwinSAFE/Siemens Safety</x:v>
      </x:c>
      <x:c r="D53" s="79" t="str">
        <x:v>ISafetyController</x:v>
      </x:c>
      <x:c r="E53" s="79" t="str">
        <x:v>Provider-owned Safety Controller</x:v>
      </x:c>
      <x:c r="F53" s="79" t="str">
        <x:v>SafetyState/Diagnostics/ProgramVersion</x:v>
      </x:c>
      <x:c r="G53" s="79" t="str">
        <x:v>Target最终权威</x:v>
      </x:c>
      <x:c r="H53" s="79"/>
    </x:row>
    <x:row r="54" ht="15" hidden="0" customHeight="1">
      <x:c r="A54" s="79" t="str">
        <x:v>辅助执行</x:v>
      </x:c>
      <x:c r="B54" s="79" t="str">
        <x:v>电磁锁</x:v>
      </x:c>
      <x:c r="C54" s="79" t="str">
        <x:v>门锁</x:v>
      </x:c>
      <x:c r="D54" s="79" t="str">
        <x:v>ILock</x:v>
      </x:c>
      <x:c r="E54" s="79" t="str">
        <x:v>Device/Resource</x:v>
      </x:c>
      <x:c r="F54" s="79" t="str">
        <x:v>Lock/Unlock/State/Interlock</x:v>
      </x:c>
      <x:c r="G54" s="79" t="str">
        <x:v>解锁受安全条件</x:v>
      </x:c>
      <x:c r="H54" s="79"/>
    </x:row>
    <x:row r="55" ht="15" hidden="0" customHeight="1">
      <x:c r="A55" s="79" t="str">
        <x:v>辅助执行</x:v>
      </x:c>
      <x:c r="B55" s="79" t="str">
        <x:v>三色灯/蜂鸣器</x:v>
      </x:c>
      <x:c r="C55" s="79" t="str">
        <x:v>设备状态</x:v>
      </x:c>
      <x:c r="D55" s="79" t="str">
        <x:v>ISignalTower</x:v>
      </x:c>
      <x:c r="E55" s="79" t="str">
        <x:v>Device/Resource</x:v>
      </x:c>
      <x:c r="F55" s="79" t="str">
        <x:v>SetPattern/State</x:v>
      </x:c>
      <x:c r="G55" s="79" t="str">
        <x:v>避免散乱DO脚本</x:v>
      </x:c>
      <x:c r="H55" s="79"/>
    </x:row>
    <x:row r="56" ht="21.600000381469727" hidden="0" customHeight="1">
      <x:c r="A56" s="79" t="str">
        <x:v>工艺设备</x:v>
      </x:c>
      <x:c r="B56" s="79" t="str">
        <x:v>X-Ray源</x:v>
      </x:c>
      <x:c r="C56" s="79" t="str">
        <x:v>高压/曝光</x:v>
      </x:c>
      <x:c r="D56" s="79" t="str">
        <x:v>IXraySource</x:v>
      </x:c>
      <x:c r="E56" s="79" t="str">
        <x:v>Provider-owned Process Device</x:v>
      </x:c>
      <x:c r="F56" s="79" t="str">
        <x:v>Ready/Fault/kV/uA/Exposure/Enable</x:v>
      </x:c>
      <x:c r="G56" s="79" t="str">
        <x:v>ProcessEnergy风险级别</x:v>
      </x:c>
      <x:c r="H56" s="79"/>
    </x:row>
    <x:row r="57" ht="21.600000381469727" hidden="0" customHeight="1">
      <x:c r="A57" s="79" t="str">
        <x:v>工艺设备</x:v>
      </x:c>
      <x:c r="B57" s="79" t="str">
        <x:v>探测器</x:v>
      </x:c>
      <x:c r="C57" s="79" t="str">
        <x:v>X-Ray采图</x:v>
      </x:c>
      <x:c r="D57" s="79" t="str">
        <x:v>IDetector</x:v>
      </x:c>
      <x:c r="E57" s="79" t="str">
        <x:v>Provider-owned Process Device</x:v>
      </x:c>
      <x:c r="F57" s="79" t="str">
        <x:v>Ready/Acquire/Trigger/Frame/Diagnostics</x:v>
      </x:c>
      <x:c r="G57" s="79" t="str">
        <x:v>Frame走Handle/Buffer</x:v>
      </x:c>
      <x:c r="H57" s="79"/>
    </x:row>
    <x:row r="58" ht="21.600000381469727" hidden="0" customHeight="1">
      <x:c r="A58" s="79" t="str">
        <x:v>工艺设备</x:v>
      </x:c>
      <x:c r="B58" s="79" t="str">
        <x:v>相机</x:v>
      </x:c>
      <x:c r="C58" s="79" t="str">
        <x:v>Vision采集</x:v>
      </x:c>
      <x:c r="D58" s="79" t="str">
        <x:v>ICamera</x:v>
      </x:c>
      <x:c r="E58" s="79" t="str">
        <x:v>Provider-owned Process Device</x:v>
      </x:c>
      <x:c r="F58" s="79" t="str">
        <x:v>Ready/Acquire/Trigger/Exposure/Gain</x:v>
      </x:c>
      <x:c r="G58" s="79" t="str">
        <x:v>大图不走普通Telemetry</x:v>
      </x:c>
      <x:c r="H58" s="79"/>
    </x:row>
    <x:row r="59" ht="15" hidden="0" customHeight="1">
      <x:c r="A59" s="79"/>
      <x:c r="B59" s="79"/>
      <x:c r="C59" s="79"/>
      <x:c r="D59" s="79"/>
      <x:c r="E59" s="79"/>
      <x:c r="F59" s="79"/>
      <x:c r="G59" s="79"/>
      <x:c r="H59" s="79"/>
    </x:row>
    <x:row r="60" ht="15" hidden="0" customHeight="1">
      <x:c r="A60" s="91" t="str">
        <x:v>C. Device / Resource / Channel 生命周期</x:v>
      </x:c>
      <x:c r="B60" s="91"/>
      <x:c r="C60" s="91"/>
      <x:c r="D60" s="91"/>
      <x:c r="E60" s="91"/>
      <x:c r="F60" s="91"/>
      <x:c r="G60" s="91"/>
      <x:c r="H60" s="91"/>
    </x:row>
    <x:row r="61" ht="15" hidden="0" customHeight="1">
      <x:c r="A61" s="95" t="str">
        <x:v>阶段</x:v>
      </x:c>
      <x:c r="B61" s="95" t="str">
        <x:v>输入/Owner</x:v>
      </x:c>
      <x:c r="C61" s="95" t="str">
        <x:v>动作</x:v>
      </x:c>
      <x:c r="D61" s="95" t="str">
        <x:v>异常/回滚</x:v>
      </x:c>
      <x:c r="E61" s="95" t="str">
        <x:v>所有权</x:v>
      </x:c>
      <x:c r="F61" s="95" t="str">
        <x:v>诊断</x:v>
      </x:c>
      <x:c r="G61" s="95" t="str">
        <x:v>阶段门禁</x:v>
      </x:c>
      <x:c r="H61" s="95" t="str">
        <x:v>备注</x:v>
      </x:c>
    </x:row>
    <x:row r="62" ht="15" hidden="0" customHeight="1">
      <x:c r="A62" s="79" t="str">
        <x:v>Create</x:v>
      </x:c>
      <x:c r="B62" s="79" t="str">
        <x:v>Provider读取Profile/Settings</x:v>
      </x:c>
      <x:c r="C62" s="79" t="str">
        <x:v>创建Vendor对象但尚未对外注册</x:v>
      </x:c>
      <x:c r="D62" s="79" t="str">
        <x:v>失败立即回滚</x:v>
      </x:c>
      <x:c r="E62" s="79" t="str">
        <x:v>Provider-owned</x:v>
      </x:c>
      <x:c r="F62" s="79"/>
      <x:c r="G62" s="79"/>
      <x:c r="H62" s="79"/>
    </x:row>
    <x:row r="63" ht="15" hidden="0" customHeight="1">
      <x:c r="A63" s="79" t="str">
        <x:v>Configure</x:v>
      </x:c>
      <x:c r="B63" s="79" t="str">
        <x:v>设置轴映射/IO/通信/参数</x:v>
      </x:c>
      <x:c r="C63" s="79" t="str">
        <x:v>不进行危险动作</x:v>
      </x:c>
      <x:c r="D63" s="79" t="str">
        <x:v>配置校验失败阻断Activate</x:v>
      </x:c>
      <x:c r="E63" s="79" t="str">
        <x:v>Provider-owned</x:v>
      </x:c>
      <x:c r="F63" s="79"/>
      <x:c r="G63" s="79"/>
      <x:c r="H63" s="79"/>
    </x:row>
    <x:row r="64" ht="15" hidden="0" customHeight="1">
      <x:c r="A64" s="79" t="str">
        <x:v>Connect/Activate</x:v>
      </x:c>
      <x:c r="B64" s="79" t="str">
        <x:v>建立连接/初始化/读取能力</x:v>
      </x:c>
      <x:c r="C64" s="79" t="str">
        <x:v>生成Capability/State/Diagnostics</x:v>
      </x:c>
      <x:c r="D64" s="79" t="str">
        <x:v>设置Timeout/Cancel</x:v>
      </x:c>
      <x:c r="E64" s="79" t="str">
        <x:v>Provider-owned</x:v>
      </x:c>
      <x:c r="F64" s="79"/>
      <x:c r="G64" s="79"/>
      <x:c r="H64" s="79"/>
    </x:row>
    <x:row r="65" ht="21.600000381469727" hidden="0" customHeight="1">
      <x:c r="A65" s="79" t="str">
        <x:v>Register</x:v>
      </x:c>
      <x:c r="B65" s="79" t="str">
        <x:v>DeviceRegistry/ResourceManager注册Device/Resource/Channel</x:v>
      </x:c>
      <x:c r="C65" s="79" t="str">
        <x:v>稳定DeviceId/ResourceId</x:v>
      </x:c>
      <x:c r="D65" s="79" t="str">
        <x:v>重复ID阻断</x:v>
      </x:c>
      <x:c r="E65" s="79" t="str">
        <x:v>Runtime-owned registry</x:v>
      </x:c>
      <x:c r="F65" s="79"/>
      <x:c r="G65" s="79"/>
      <x:c r="H65" s="79"/>
    </x:row>
    <x:row r="66" ht="21.600000381469727" hidden="0" customHeight="1">
      <x:c r="A66" s="79" t="str">
        <x:v>Run</x:v>
      </x:c>
      <x:c r="B66" s="79" t="str">
        <x:v>通过公开Contract执行读/写/运动/触发</x:v>
      </x:c>
      <x:c r="C66" s="79" t="str">
        <x:v>动作前Mode/Auth/Lease/Interlock</x:v>
      </x:c>
      <x:c r="D66" s="79" t="str">
        <x:v>所有结果结构化</x:v>
      </x:c>
      <x:c r="E66" s="79" t="str">
        <x:v>Runtime</x:v>
      </x:c>
      <x:c r="F66" s="79"/>
      <x:c r="G66" s="79"/>
      <x:c r="H66" s="79"/>
    </x:row>
    <x:row r="67" ht="15" hidden="0" customHeight="1">
      <x:c r="A67" s="79" t="str">
        <x:v>Fault</x:v>
      </x:c>
      <x:c r="B67" s="79" t="str">
        <x:v>设备Fault/Disconnected进入Health</x:v>
      </x:c>
      <x:c r="C67" s="79" t="str">
        <x:v>资源状态失效；等待Recovery Policy</x:v>
      </x:c>
      <x:c r="D67" s="79" t="str">
        <x:v>不静默自动重发副作用</x:v>
      </x:c>
      <x:c r="E67" s="79" t="str">
        <x:v>Runtime/Provider</x:v>
      </x:c>
      <x:c r="F67" s="79"/>
      <x:c r="G67" s="79"/>
      <x:c r="H67" s="79"/>
    </x:row>
    <x:row r="68" ht="21.600000381469727" hidden="0" customHeight="1">
      <x:c r="A68" s="79" t="str">
        <x:v>Stop</x:v>
      </x:c>
      <x:c r="B68" s="79" t="str">
        <x:v>停止新命令→取消等待→按设备策略安全停止/释放资源</x:v>
      </x:c>
      <x:c r="C68" s="79" t="str">
        <x:v>不把普通Stop当EStop</x:v>
      </x:c>
      <x:c r="D68" s="79" t="str">
        <x:v>幂等</x:v>
      </x:c>
      <x:c r="E68" s="79" t="str">
        <x:v>Runtime</x:v>
      </x:c>
      <x:c r="F68" s="79"/>
      <x:c r="G68" s="79"/>
      <x:c r="H68" s="79"/>
    </x:row>
    <x:row r="69" ht="21.600000381469727" hidden="0" customHeight="1">
      <x:c r="A69" s="79" t="str">
        <x:v>Dispose</x:v>
      </x:c>
      <x:c r="B69" s="79" t="str">
        <x:v>先消费者→Runtime资源→子对象→Controller/Master→Provider</x:v>
      </x:c>
      <x:c r="C69" s="79" t="str">
        <x:v>断开Vendor连接/释放句柄</x:v>
      </x:c>
      <x:c r="D69" s="79" t="str">
        <x:v>幂等且可追踪</x:v>
      </x:c>
      <x:c r="E69" s="79" t="str">
        <x:v>Composition Root</x:v>
      </x:c>
      <x:c r="F69" s="79"/>
      <x:c r="G69" s="79"/>
      <x:c r="H69" s="79"/>
    </x:row>
    <x:row r="70" ht="15" hidden="0" customHeight="1">
      <x:c r="A70" s="79"/>
      <x:c r="B70" s="79"/>
      <x:c r="C70" s="79"/>
      <x:c r="D70" s="79"/>
      <x:c r="E70" s="79"/>
      <x:c r="F70" s="79"/>
      <x:c r="G70" s="79"/>
      <x:c r="H70" s="79"/>
    </x:row>
    <x:row r="71" ht="15" hidden="0" customHeight="1">
      <x:c r="A71" s="91" t="str">
        <x:v>D. Robot / Vision / CT / Inspection 与硬件关系</x:v>
      </x:c>
      <x:c r="B71" s="91"/>
      <x:c r="C71" s="91"/>
      <x:c r="D71" s="91"/>
      <x:c r="E71" s="91"/>
      <x:c r="F71" s="91"/>
      <x:c r="G71" s="91"/>
      <x:c r="H71" s="91"/>
    </x:row>
    <x:row r="72" ht="15" hidden="0" customHeight="1">
      <x:c r="A72" s="95" t="str">
        <x:v>Domain</x:v>
      </x:c>
      <x:c r="B72" s="95" t="str">
        <x:v>复用硬件/平台能力</x:v>
      </x:c>
      <x:c r="C72" s="95" t="str">
        <x:v>专业新增</x:v>
      </x:c>
      <x:c r="D72" s="95" t="str">
        <x:v>关键边界</x:v>
      </x:c>
      <x:c r="E72" s="95" t="str">
        <x:v>DesignRef</x:v>
      </x:c>
      <x:c r="F72" s="95" t="str">
        <x:v>阶段</x:v>
      </x:c>
      <x:c r="G72" s="95" t="str">
        <x:v>测试</x:v>
      </x:c>
      <x:c r="H72" s="95" t="str">
        <x:v>备注</x:v>
      </x:c>
    </x:row>
    <x:row r="73" ht="32.400001525878906" hidden="0" customHeight="1">
      <x:c r="A73" s="79" t="str">
        <x:v>Robot</x:v>
      </x:c>
      <x:c r="B73" s="79" t="str">
        <x:v>复用Motion Resource/Interlock/Device/Debug/Write安全公共契约</x:v>
      </x:c>
      <x:c r="C73" s="79" t="str">
        <x:v>Robot增加Controller/Joint/Frame/Tool/Pose/Path/Teach</x:v>
      </x:c>
      <x:c r="D73" s="79" t="str">
        <x:v>组合/调用；不复制第二套Axis/IO</x:v>
      </x:c>
      <x:c r="E73" s="79" t="str">
        <x:v>29/30</x:v>
      </x:c>
      <x:c r="F73" s="79"/>
      <x:c r="G73" s="79"/>
      <x:c r="H73" s="79"/>
    </x:row>
    <x:row r="74" ht="21.600000381469727" hidden="0" customHeight="1">
      <x:c r="A74" s="79" t="str">
        <x:v>CT采集</x:v>
      </x:c>
      <x:c r="B74" s="79" t="str">
        <x:v>Motion/Robot控制Axis/XRay/Detector/Trigger并产生ProjectionSeries</x:v>
      </x:c>
      <x:c r="C74" s="79" t="str">
        <x:v>CT3D消费Projection/Geometry/Calibration</x:v>
      </x:c>
      <x:c r="D74" s="79" t="str">
        <x:v>CT Runtime不做实时轴闭环</x:v>
      </x:c>
      <x:c r="E74" s="79" t="str">
        <x:v>33/37</x:v>
      </x:c>
      <x:c r="F74" s="79"/>
      <x:c r="G74" s="79"/>
      <x:c r="H74" s="79"/>
    </x:row>
    <x:row r="75" ht="32.400001525878906" hidden="0" customHeight="1">
      <x:c r="A75" s="79" t="str">
        <x:v>Vision</x:v>
      </x:c>
      <x:c r="B75" s="79" t="str">
        <x:v>Camera/Detector作为工艺设备进入采集；图像通过DataHandle进入Vision Pipeline</x:v>
      </x:c>
      <x:c r="C75" s="79" t="str">
        <x:v>硬件对象不进入Vision Core算法节点</x:v>
      </x:c>
      <x:c r="D75" s="79" t="str">
        <x:v>Adapter/Handle隔离</x:v>
      </x:c>
      <x:c r="E75" s="79" t="str">
        <x:v>31</x:v>
      </x:c>
      <x:c r="F75" s="79"/>
      <x:c r="G75" s="79"/>
      <x:c r="H75" s="79"/>
    </x:row>
    <x:row r="76" ht="21.600000381469727" hidden="0" customHeight="1">
      <x:c r="A76" s="79" t="str">
        <x:v>Inspection</x:v>
      </x:c>
      <x:c r="B76" s="79" t="str">
        <x:v>通过稳定Program/Pipeline/Device Invocation组织产品流程</x:v>
      </x:c>
      <x:c r="C76" s="79" t="str">
        <x:v>资源/互锁/版本/Correlation贯通</x:v>
      </x:c>
      <x:c r="D76" s="79" t="str">
        <x:v>不直接展开Vendor命令</x:v>
      </x:c>
      <x:c r="E76" s="79" t="str">
        <x:v>35/37</x:v>
      </x:c>
      <x:c r="F76" s="79"/>
      <x:c r="G76" s="79"/>
      <x:c r="H76" s="79"/>
    </x:row>
    <x:row r="77">
      <x:c r="A77" s="76"/>
      <x:c r="B77" s="76"/>
      <x:c r="C77" s="76"/>
      <x:c r="D77" s="76"/>
      <x:c r="E77" s="76"/>
      <x:c r="F77" s="76"/>
      <x:c r="G77" s="76"/>
      <x:c r="H77" s="76"/>
    </x:row>
    <x:row r="78">
      <x:c r="A78" s="76"/>
      <x:c r="B78" s="76"/>
      <x:c r="C78" s="76"/>
      <x:c r="D78" s="76"/>
      <x:c r="E78" s="76"/>
      <x:c r="F78" s="76"/>
      <x:c r="G78" s="76"/>
      <x:c r="H78" s="76"/>
    </x:row>
    <x:row r="79">
      <x:c r="A79" s="76"/>
      <x:c r="B79" s="76"/>
      <x:c r="C79" s="76"/>
      <x:c r="D79" s="76"/>
      <x:c r="E79" s="76"/>
      <x:c r="F79" s="76"/>
      <x:c r="G79" s="76"/>
      <x:c r="H79" s="76"/>
    </x:row>
    <x:row r="80">
      <x:c r="A80" s="76"/>
      <x:c r="B80" s="76"/>
      <x:c r="C80" s="76"/>
      <x:c r="D80" s="76"/>
      <x:c r="E80" s="76"/>
      <x:c r="F80" s="76"/>
      <x:c r="G80" s="76"/>
      <x:c r="H80" s="76"/>
    </x:row>
    <x:row r="81">
      <x:c r="A81" s="76"/>
      <x:c r="B81" s="76"/>
      <x:c r="C81" s="76"/>
      <x:c r="D81" s="76"/>
      <x:c r="E81" s="76"/>
      <x:c r="F81" s="76"/>
      <x:c r="G81" s="76"/>
      <x:c r="H81" s="76"/>
    </x:row>
    <x:row r="82">
      <x:c r="A82" s="76"/>
      <x:c r="B82" s="76"/>
      <x:c r="C82" s="76"/>
      <x:c r="D82" s="76"/>
      <x:c r="E82" s="76"/>
      <x:c r="F82" s="76"/>
      <x:c r="G82" s="76"/>
      <x:c r="H82" s="76"/>
    </x:row>
    <x:row r="83">
      <x:c r="A83" s="76"/>
      <x:c r="B83" s="76"/>
      <x:c r="C83" s="76"/>
      <x:c r="D83" s="76"/>
      <x:c r="E83" s="76"/>
      <x:c r="F83" s="76"/>
      <x:c r="G83" s="76"/>
      <x:c r="H83" s="76"/>
    </x:row>
    <x:row r="84">
      <x:c r="A84" s="76"/>
      <x:c r="B84" s="76"/>
      <x:c r="C84" s="76"/>
      <x:c r="D84" s="76"/>
      <x:c r="E84" s="76"/>
      <x:c r="F84" s="76"/>
      <x:c r="G84" s="76"/>
      <x:c r="H84" s="76"/>
    </x:row>
    <x:row r="85">
      <x:c r="A85" s="76"/>
      <x:c r="B85" s="76"/>
      <x:c r="C85" s="76"/>
      <x:c r="D85" s="76"/>
      <x:c r="E85" s="76"/>
      <x:c r="F85" s="76"/>
      <x:c r="G85" s="76"/>
      <x:c r="H85" s="76"/>
    </x:row>
    <x:row r="86">
      <x:c r="A86" s="76"/>
      <x:c r="B86" s="76"/>
      <x:c r="C86" s="76"/>
      <x:c r="D86" s="76"/>
      <x:c r="E86" s="76"/>
      <x:c r="F86" s="76"/>
      <x:c r="G86" s="76"/>
      <x:c r="H86" s="76"/>
    </x:row>
    <x:row r="87">
      <x:c r="A87" s="76"/>
      <x:c r="B87" s="76"/>
      <x:c r="C87" s="76"/>
      <x:c r="D87" s="76"/>
      <x:c r="E87" s="76"/>
      <x:c r="F87" s="76"/>
      <x:c r="G87" s="76"/>
      <x:c r="H87" s="76"/>
    </x:row>
    <x:row r="88">
      <x:c r="A88" s="76"/>
      <x:c r="B88" s="76"/>
      <x:c r="C88" s="76"/>
      <x:c r="D88" s="76"/>
      <x:c r="E88" s="76"/>
      <x:c r="F88" s="76"/>
      <x:c r="G88" s="76"/>
      <x:c r="H88" s="76"/>
    </x:row>
    <x:row r="89">
      <x:c r="A89" s="76"/>
      <x:c r="B89" s="76"/>
      <x:c r="C89" s="76"/>
      <x:c r="D89" s="76"/>
      <x:c r="E89" s="76"/>
      <x:c r="F89" s="76"/>
      <x:c r="G89" s="76"/>
      <x:c r="H89" s="76"/>
    </x:row>
    <x:row r="90">
      <x:c r="A90" s="76"/>
      <x:c r="B90" s="76"/>
      <x:c r="C90" s="76"/>
      <x:c r="D90" s="76"/>
      <x:c r="E90" s="76"/>
      <x:c r="F90" s="76"/>
      <x:c r="G90" s="76"/>
      <x:c r="H90" s="76"/>
    </x:row>
    <x:row r="91">
      <x:c r="A91" s="76"/>
      <x:c r="B91" s="76"/>
      <x:c r="C91" s="76"/>
      <x:c r="D91" s="76"/>
      <x:c r="E91" s="76"/>
      <x:c r="F91" s="76"/>
      <x:c r="G91" s="76"/>
      <x:c r="H91" s="76"/>
    </x:row>
    <x:row r="92">
      <x:c r="A92" s="76"/>
      <x:c r="B92" s="76"/>
      <x:c r="C92" s="76"/>
      <x:c r="D92" s="76"/>
      <x:c r="E92" s="76"/>
      <x:c r="F92" s="76"/>
      <x:c r="G92" s="76"/>
      <x:c r="H92" s="76"/>
    </x:row>
    <x:row r="93">
      <x:c r="A93" s="76"/>
      <x:c r="B93" s="76"/>
      <x:c r="C93" s="76"/>
      <x:c r="D93" s="76"/>
      <x:c r="E93" s="76"/>
      <x:c r="F93" s="76"/>
      <x:c r="G93" s="76"/>
      <x:c r="H93" s="76"/>
    </x:row>
    <x:row r="94">
      <x:c r="A94" s="76"/>
      <x:c r="B94" s="76"/>
      <x:c r="C94" s="76"/>
      <x:c r="D94" s="76"/>
      <x:c r="E94" s="76"/>
      <x:c r="F94" s="76"/>
      <x:c r="G94" s="76"/>
      <x:c r="H94" s="76"/>
    </x:row>
    <x:row r="95">
      <x:c r="A95" s="76"/>
      <x:c r="B95" s="76"/>
      <x:c r="C95" s="76"/>
      <x:c r="D95" s="76"/>
      <x:c r="E95" s="76"/>
      <x:c r="F95" s="76"/>
      <x:c r="G95" s="76"/>
      <x:c r="H95" s="76"/>
    </x:row>
    <x:row r="96">
      <x:c r="A96" s="76"/>
      <x:c r="B96" s="76"/>
      <x:c r="C96" s="76"/>
      <x:c r="D96" s="76"/>
      <x:c r="E96" s="76"/>
      <x:c r="F96" s="76"/>
      <x:c r="G96" s="76"/>
      <x:c r="H96" s="76"/>
    </x:row>
    <x:row r="97">
      <x:c r="A97" s="76"/>
      <x:c r="B97" s="76"/>
      <x:c r="C97" s="76"/>
      <x:c r="D97" s="76"/>
      <x:c r="E97" s="76"/>
      <x:c r="F97" s="76"/>
      <x:c r="G97" s="76"/>
      <x:c r="H97" s="76"/>
    </x:row>
    <x:row r="98">
      <x:c r="A98" s="76"/>
      <x:c r="B98" s="76"/>
      <x:c r="C98" s="76"/>
      <x:c r="D98" s="76"/>
      <x:c r="E98" s="76"/>
      <x:c r="F98" s="76"/>
      <x:c r="G98" s="76"/>
      <x:c r="H98" s="76"/>
    </x:row>
    <x:row r="99">
      <x:c r="A99" s="76"/>
      <x:c r="B99" s="76"/>
      <x:c r="C99" s="76"/>
      <x:c r="D99" s="76"/>
      <x:c r="E99" s="76"/>
      <x:c r="F99" s="76"/>
      <x:c r="G99" s="76"/>
      <x:c r="H99" s="76"/>
    </x:row>
    <x:row r="100">
      <x:c r="A100" s="76"/>
      <x:c r="B100" s="76"/>
      <x:c r="C100" s="76"/>
      <x:c r="D100" s="76"/>
      <x:c r="E100" s="76"/>
      <x:c r="F100" s="76"/>
      <x:c r="G100" s="76"/>
      <x:c r="H100" s="76"/>
    </x:row>
    <x:row r="101">
      <x:c r="A101" s="76"/>
      <x:c r="B101" s="76"/>
      <x:c r="C101" s="76"/>
      <x:c r="D101" s="76"/>
      <x:c r="E101" s="76"/>
      <x:c r="F101" s="76"/>
      <x:c r="G101" s="76"/>
      <x:c r="H101" s="76"/>
    </x:row>
    <x:row r="102">
      <x:c r="A102" s="76"/>
      <x:c r="B102" s="76"/>
      <x:c r="C102" s="76"/>
      <x:c r="D102" s="76"/>
      <x:c r="E102" s="76"/>
      <x:c r="F102" s="76"/>
      <x:c r="G102" s="76"/>
      <x:c r="H102" s="76"/>
    </x:row>
    <x:row r="103">
      <x:c r="A103" s="76"/>
      <x:c r="B103" s="76"/>
      <x:c r="C103" s="76"/>
      <x:c r="D103" s="76"/>
      <x:c r="E103" s="76"/>
      <x:c r="F103" s="76"/>
      <x:c r="G103" s="76"/>
      <x:c r="H103" s="76"/>
    </x:row>
    <x:row r="104">
      <x:c r="A104" s="76"/>
      <x:c r="B104" s="76"/>
      <x:c r="C104" s="76"/>
      <x:c r="D104" s="76"/>
      <x:c r="E104" s="76"/>
      <x:c r="F104" s="76"/>
      <x:c r="G104" s="76"/>
      <x:c r="H104" s="76"/>
    </x:row>
    <x:row r="105">
      <x:c r="A105" s="76"/>
      <x:c r="B105" s="76"/>
      <x:c r="C105" s="76"/>
      <x:c r="D105" s="76"/>
      <x:c r="E105" s="76"/>
      <x:c r="F105" s="76"/>
      <x:c r="G105" s="76"/>
      <x:c r="H105" s="76"/>
    </x:row>
    <x:row r="106">
      <x:c r="A106" s="76"/>
      <x:c r="B106" s="76"/>
      <x:c r="C106" s="76"/>
      <x:c r="D106" s="76"/>
      <x:c r="E106" s="76"/>
      <x:c r="F106" s="76"/>
      <x:c r="G106" s="76"/>
      <x:c r="H106" s="76"/>
    </x:row>
    <x:row r="107">
      <x:c r="A107" s="76"/>
      <x:c r="B107" s="76"/>
      <x:c r="C107" s="76"/>
      <x:c r="D107" s="76"/>
      <x:c r="E107" s="76"/>
      <x:c r="F107" s="76"/>
      <x:c r="G107" s="76"/>
      <x:c r="H107" s="76"/>
    </x:row>
    <x:row r="108">
      <x:c r="A108" s="76"/>
      <x:c r="B108" s="76"/>
      <x:c r="C108" s="76"/>
      <x:c r="D108" s="76"/>
      <x:c r="E108" s="76"/>
      <x:c r="F108" s="76"/>
      <x:c r="G108" s="76"/>
      <x:c r="H108" s="76"/>
    </x:row>
    <x:row r="109">
      <x:c r="A109" s="76"/>
      <x:c r="B109" s="76"/>
      <x:c r="C109" s="76"/>
      <x:c r="D109" s="76"/>
      <x:c r="E109" s="76"/>
      <x:c r="F109" s="76"/>
      <x:c r="G109" s="76"/>
      <x:c r="H109" s="76"/>
    </x:row>
    <x:row r="110">
      <x:c r="A110" s="76"/>
      <x:c r="B110" s="76"/>
      <x:c r="C110" s="76"/>
      <x:c r="D110" s="76"/>
      <x:c r="E110" s="76"/>
      <x:c r="F110" s="76"/>
      <x:c r="G110" s="76"/>
      <x:c r="H110" s="76"/>
    </x:row>
    <x:row r="111">
      <x:c r="A111" s="76"/>
      <x:c r="B111" s="76"/>
      <x:c r="C111" s="76"/>
      <x:c r="D111" s="76"/>
      <x:c r="E111" s="76"/>
      <x:c r="F111" s="76"/>
      <x:c r="G111" s="76"/>
      <x:c r="H111" s="76"/>
    </x:row>
    <x:row r="112">
      <x:c r="A112" s="76"/>
      <x:c r="B112" s="76"/>
      <x:c r="C112" s="76"/>
      <x:c r="D112" s="76"/>
      <x:c r="E112" s="76"/>
      <x:c r="F112" s="76"/>
      <x:c r="G112" s="76"/>
      <x:c r="H112" s="76"/>
    </x:row>
    <x:row r="113">
      <x:c r="A113" s="76"/>
      <x:c r="B113" s="76"/>
      <x:c r="C113" s="76"/>
      <x:c r="D113" s="76"/>
      <x:c r="E113" s="76"/>
      <x:c r="F113" s="76"/>
      <x:c r="G113" s="76"/>
      <x:c r="H113" s="76"/>
    </x:row>
    <x:row r="114">
      <x:c r="A114" s="76"/>
      <x:c r="B114" s="76"/>
      <x:c r="C114" s="76"/>
      <x:c r="D114" s="76"/>
      <x:c r="E114" s="76"/>
      <x:c r="F114" s="76"/>
      <x:c r="G114" s="76"/>
      <x:c r="H114" s="76"/>
    </x:row>
    <x:row r="115">
      <x:c r="A115" s="76"/>
      <x:c r="B115" s="76"/>
      <x:c r="C115" s="76"/>
      <x:c r="D115" s="76"/>
      <x:c r="E115" s="76"/>
      <x:c r="F115" s="76"/>
      <x:c r="G115" s="76"/>
      <x:c r="H115" s="76"/>
    </x:row>
    <x:row r="116">
      <x:c r="A116" s="76"/>
      <x:c r="B116" s="76"/>
      <x:c r="C116" s="76"/>
      <x:c r="D116" s="76"/>
      <x:c r="E116" s="76"/>
      <x:c r="F116" s="76"/>
      <x:c r="G116" s="76"/>
      <x:c r="H116" s="76"/>
    </x:row>
    <x:row r="117">
      <x:c r="A117" s="76"/>
      <x:c r="B117" s="76"/>
      <x:c r="C117" s="76"/>
      <x:c r="D117" s="76"/>
      <x:c r="E117" s="76"/>
      <x:c r="F117" s="76"/>
      <x:c r="G117" s="76"/>
      <x:c r="H117" s="76"/>
    </x:row>
    <x:row r="118">
      <x:c r="A118" s="76"/>
      <x:c r="B118" s="76"/>
      <x:c r="C118" s="76"/>
      <x:c r="D118" s="76"/>
      <x:c r="E118" s="76"/>
      <x:c r="F118" s="76"/>
      <x:c r="G118" s="76"/>
      <x:c r="H118" s="76"/>
    </x:row>
    <x:row r="119">
      <x:c r="A119" s="76"/>
      <x:c r="B119" s="76"/>
      <x:c r="C119" s="76"/>
      <x:c r="D119" s="76"/>
      <x:c r="E119" s="76"/>
      <x:c r="F119" s="76"/>
      <x:c r="G119" s="76"/>
      <x:c r="H119" s="76"/>
    </x:row>
    <x:row r="120">
      <x:c r="A120" s="76"/>
      <x:c r="B120" s="76"/>
      <x:c r="C120" s="76"/>
      <x:c r="D120" s="76"/>
      <x:c r="E120" s="76"/>
      <x:c r="F120" s="76"/>
      <x:c r="G120" s="76"/>
      <x:c r="H120" s="76"/>
    </x:row>
    <x:row r="121">
      <x:c r="A121" s="76"/>
      <x:c r="B121" s="76"/>
      <x:c r="C121" s="76"/>
      <x:c r="D121" s="76"/>
      <x:c r="E121" s="76"/>
      <x:c r="F121" s="76"/>
      <x:c r="G121" s="76"/>
      <x:c r="H121" s="76"/>
    </x:row>
    <x:row r="122">
      <x:c r="A122" s="76"/>
      <x:c r="B122" s="76"/>
      <x:c r="C122" s="76"/>
      <x:c r="D122" s="76"/>
      <x:c r="E122" s="76"/>
      <x:c r="F122" s="76"/>
      <x:c r="G122" s="76"/>
      <x:c r="H122" s="76"/>
    </x:row>
    <x:row r="123">
      <x:c r="A123" s="76"/>
      <x:c r="B123" s="76"/>
      <x:c r="C123" s="76"/>
      <x:c r="D123" s="76"/>
      <x:c r="E123" s="76"/>
      <x:c r="F123" s="76"/>
      <x:c r="G123" s="76"/>
      <x:c r="H123" s="76"/>
    </x:row>
    <x:row r="124">
      <x:c r="A124" s="76"/>
      <x:c r="B124" s="76"/>
      <x:c r="C124" s="76"/>
      <x:c r="D124" s="76"/>
      <x:c r="E124" s="76"/>
      <x:c r="F124" s="76"/>
      <x:c r="G124" s="76"/>
      <x:c r="H124" s="76"/>
    </x:row>
    <x:row r="125">
      <x:c r="A125" s="76"/>
      <x:c r="B125" s="76"/>
      <x:c r="C125" s="76"/>
      <x:c r="D125" s="76"/>
      <x:c r="E125" s="76"/>
      <x:c r="F125" s="76"/>
      <x:c r="G125" s="76"/>
      <x:c r="H125" s="76"/>
    </x:row>
    <x:row r="126">
      <x:c r="A126" s="76"/>
      <x:c r="B126" s="76"/>
      <x:c r="C126" s="76"/>
      <x:c r="D126" s="76"/>
      <x:c r="E126" s="76"/>
      <x:c r="F126" s="76"/>
      <x:c r="G126" s="76"/>
      <x:c r="H126" s="76"/>
    </x:row>
    <x:row r="127">
      <x:c r="A127" s="76"/>
      <x:c r="B127" s="76"/>
      <x:c r="C127" s="76"/>
      <x:c r="D127" s="76"/>
      <x:c r="E127" s="76"/>
      <x:c r="F127" s="76"/>
      <x:c r="G127" s="76"/>
      <x:c r="H127" s="76"/>
    </x:row>
    <x:row r="128">
      <x:c r="A128" s="76"/>
      <x:c r="B128" s="76"/>
      <x:c r="C128" s="76"/>
      <x:c r="D128" s="76"/>
      <x:c r="E128" s="76"/>
      <x:c r="F128" s="76"/>
      <x:c r="G128" s="76"/>
      <x:c r="H128" s="76"/>
    </x:row>
    <x:row r="129">
      <x:c r="A129" s="76"/>
      <x:c r="B129" s="76"/>
      <x:c r="C129" s="76"/>
      <x:c r="D129" s="76"/>
      <x:c r="E129" s="76"/>
      <x:c r="F129" s="76"/>
      <x:c r="G129" s="76"/>
      <x:c r="H129" s="76"/>
    </x:row>
    <x:row r="130">
      <x:c r="A130" s="76"/>
      <x:c r="B130" s="76"/>
      <x:c r="C130" s="76"/>
      <x:c r="D130" s="76"/>
      <x:c r="E130" s="76"/>
      <x:c r="F130" s="76"/>
      <x:c r="G130" s="76"/>
      <x:c r="H130" s="76"/>
    </x:row>
    <x:row r="131">
      <x:c r="A131" s="76"/>
      <x:c r="B131" s="76"/>
      <x:c r="C131" s="76"/>
      <x:c r="D131" s="76"/>
      <x:c r="E131" s="76"/>
      <x:c r="F131" s="76"/>
      <x:c r="G131" s="76"/>
      <x:c r="H131" s="76"/>
    </x:row>
    <x:row r="132">
      <x:c r="A132" s="76"/>
      <x:c r="B132" s="76"/>
      <x:c r="C132" s="76"/>
      <x:c r="D132" s="76"/>
      <x:c r="E132" s="76"/>
      <x:c r="F132" s="76"/>
      <x:c r="G132" s="76"/>
      <x:c r="H132" s="76"/>
    </x:row>
    <x:row r="133">
      <x:c r="A133" s="76"/>
      <x:c r="B133" s="76"/>
      <x:c r="C133" s="76"/>
      <x:c r="D133" s="76"/>
      <x:c r="E133" s="76"/>
      <x:c r="F133" s="76"/>
      <x:c r="G133" s="76"/>
      <x:c r="H133" s="76"/>
    </x:row>
    <x:row r="134">
      <x:c r="A134" s="76"/>
      <x:c r="B134" s="76"/>
      <x:c r="C134" s="76"/>
      <x:c r="D134" s="76"/>
      <x:c r="E134" s="76"/>
      <x:c r="F134" s="76"/>
      <x:c r="G134" s="76"/>
      <x:c r="H134" s="76"/>
    </x:row>
    <x:row r="135">
      <x:c r="A135" s="76"/>
      <x:c r="B135" s="76"/>
      <x:c r="C135" s="76"/>
      <x:c r="D135" s="76"/>
      <x:c r="E135" s="76"/>
      <x:c r="F135" s="76"/>
      <x:c r="G135" s="76"/>
      <x:c r="H135" s="76"/>
    </x:row>
    <x:row r="136">
      <x:c r="A136" s="76"/>
      <x:c r="B136" s="76"/>
      <x:c r="C136" s="76"/>
      <x:c r="D136" s="76"/>
      <x:c r="E136" s="76"/>
      <x:c r="F136" s="76"/>
      <x:c r="G136" s="76"/>
      <x:c r="H136" s="76"/>
    </x:row>
    <x:row r="137">
      <x:c r="A137" s="76"/>
      <x:c r="B137" s="76"/>
      <x:c r="C137" s="76"/>
      <x:c r="D137" s="76"/>
      <x:c r="E137" s="76"/>
      <x:c r="F137" s="76"/>
      <x:c r="G137" s="76"/>
      <x:c r="H137" s="76"/>
    </x:row>
    <x:row r="138">
      <x:c r="A138" s="76"/>
      <x:c r="B138" s="76"/>
      <x:c r="C138" s="76"/>
      <x:c r="D138" s="76"/>
      <x:c r="E138" s="76"/>
      <x:c r="F138" s="76"/>
      <x:c r="G138" s="76"/>
      <x:c r="H138" s="76"/>
    </x:row>
    <x:row r="139">
      <x:c r="A139" s="76"/>
      <x:c r="B139" s="76"/>
      <x:c r="C139" s="76"/>
      <x:c r="D139" s="76"/>
      <x:c r="E139" s="76"/>
      <x:c r="F139" s="76"/>
      <x:c r="G139" s="76"/>
      <x:c r="H139" s="76"/>
    </x:row>
    <x:row r="140">
      <x:c r="A140" s="76"/>
      <x:c r="B140" s="76"/>
      <x:c r="C140" s="76"/>
      <x:c r="D140" s="76"/>
      <x:c r="E140" s="76"/>
      <x:c r="F140" s="76"/>
      <x:c r="G140" s="76"/>
      <x:c r="H140" s="76"/>
    </x:row>
    <x:row r="141">
      <x:c r="A141" s="76"/>
      <x:c r="B141" s="76"/>
      <x:c r="C141" s="76"/>
      <x:c r="D141" s="76"/>
      <x:c r="E141" s="76"/>
      <x:c r="F141" s="76"/>
      <x:c r="G141" s="76"/>
      <x:c r="H141" s="76"/>
    </x:row>
    <x:row r="142">
      <x:c r="A142" s="76"/>
      <x:c r="B142" s="76"/>
      <x:c r="C142" s="76"/>
      <x:c r="D142" s="76"/>
      <x:c r="E142" s="76"/>
      <x:c r="F142" s="76"/>
      <x:c r="G142" s="76"/>
      <x:c r="H142" s="76"/>
    </x:row>
    <x:row r="143">
      <x:c r="A143" s="76"/>
      <x:c r="B143" s="76"/>
      <x:c r="C143" s="76"/>
      <x:c r="D143" s="76"/>
      <x:c r="E143" s="76"/>
      <x:c r="F143" s="76"/>
      <x:c r="G143" s="76"/>
      <x:c r="H143" s="76"/>
    </x:row>
    <x:row r="144">
      <x:c r="A144" s="76"/>
      <x:c r="B144" s="76"/>
      <x:c r="C144" s="76"/>
      <x:c r="D144" s="76"/>
      <x:c r="E144" s="76"/>
      <x:c r="F144" s="76"/>
      <x:c r="G144" s="76"/>
      <x:c r="H144" s="76"/>
    </x:row>
    <x:row r="145">
      <x:c r="A145" s="76"/>
      <x:c r="B145" s="76"/>
      <x:c r="C145" s="76"/>
      <x:c r="D145" s="76"/>
      <x:c r="E145" s="76"/>
      <x:c r="F145" s="76"/>
      <x:c r="G145" s="76"/>
      <x:c r="H145" s="76"/>
    </x:row>
    <x:row r="146">
      <x:c r="A146" s="76"/>
      <x:c r="B146" s="76"/>
      <x:c r="C146" s="76"/>
      <x:c r="D146" s="76"/>
      <x:c r="E146" s="76"/>
      <x:c r="F146" s="76"/>
      <x:c r="G146" s="76"/>
      <x:c r="H146" s="76"/>
    </x:row>
    <x:row r="147">
      <x:c r="A147" s="76"/>
      <x:c r="B147" s="76"/>
      <x:c r="C147" s="76"/>
      <x:c r="D147" s="76"/>
      <x:c r="E147" s="76"/>
      <x:c r="F147" s="76"/>
      <x:c r="G147" s="76"/>
      <x:c r="H147" s="76"/>
    </x:row>
    <x:row r="148">
      <x:c r="A148" s="76"/>
      <x:c r="B148" s="76"/>
      <x:c r="C148" s="76"/>
      <x:c r="D148" s="76"/>
      <x:c r="E148" s="76"/>
      <x:c r="F148" s="76"/>
      <x:c r="G148" s="76"/>
      <x:c r="H148" s="76"/>
    </x:row>
    <x:row r="149">
      <x:c r="A149" s="76"/>
      <x:c r="B149" s="76"/>
      <x:c r="C149" s="76"/>
      <x:c r="D149" s="76"/>
      <x:c r="E149" s="76"/>
      <x:c r="F149" s="76"/>
      <x:c r="G149" s="76"/>
      <x:c r="H149" s="76"/>
    </x:row>
    <x:row r="150">
      <x:c r="A150" s="76"/>
      <x:c r="B150" s="76"/>
      <x:c r="C150" s="76"/>
      <x:c r="D150" s="76"/>
      <x:c r="E150" s="76"/>
      <x:c r="F150" s="76"/>
      <x:c r="G150" s="76"/>
      <x:c r="H150" s="76"/>
    </x:row>
    <x:row r="151">
      <x:c r="A151" s="76"/>
      <x:c r="B151" s="76"/>
      <x:c r="C151" s="76"/>
      <x:c r="D151" s="76"/>
      <x:c r="E151" s="76"/>
      <x:c r="F151" s="76"/>
      <x:c r="G151" s="76"/>
      <x:c r="H151" s="76"/>
    </x:row>
    <x:row r="152">
      <x:c r="A152" s="76"/>
      <x:c r="B152" s="76"/>
      <x:c r="C152" s="76"/>
      <x:c r="D152" s="76"/>
      <x:c r="E152" s="76"/>
      <x:c r="F152" s="76"/>
      <x:c r="G152" s="76"/>
      <x:c r="H152" s="76"/>
    </x:row>
    <x:row r="153">
      <x:c r="A153" s="76"/>
      <x:c r="B153" s="76"/>
      <x:c r="C153" s="76"/>
      <x:c r="D153" s="76"/>
      <x:c r="E153" s="76"/>
      <x:c r="F153" s="76"/>
      <x:c r="G153" s="76"/>
      <x:c r="H153" s="76"/>
    </x:row>
    <x:row r="154">
      <x:c r="A154" s="76"/>
      <x:c r="B154" s="76"/>
      <x:c r="C154" s="76"/>
      <x:c r="D154" s="76"/>
      <x:c r="E154" s="76"/>
      <x:c r="F154" s="76"/>
      <x:c r="G154" s="76"/>
      <x:c r="H154" s="76"/>
    </x:row>
    <x:row r="155">
      <x:c r="A155" s="76"/>
      <x:c r="B155" s="76"/>
      <x:c r="C155" s="76"/>
      <x:c r="D155" s="76"/>
      <x:c r="E155" s="76"/>
      <x:c r="F155" s="76"/>
      <x:c r="G155" s="76"/>
      <x:c r="H155" s="76"/>
    </x:row>
    <x:row r="156">
      <x:c r="A156" s="76"/>
      <x:c r="B156" s="76"/>
      <x:c r="C156" s="76"/>
      <x:c r="D156" s="76"/>
      <x:c r="E156" s="76"/>
      <x:c r="F156" s="76"/>
      <x:c r="G156" s="76"/>
      <x:c r="H156" s="76"/>
    </x:row>
    <x:row r="157">
      <x:c r="A157" s="76"/>
      <x:c r="B157" s="76"/>
      <x:c r="C157" s="76"/>
      <x:c r="D157" s="76"/>
      <x:c r="E157" s="76"/>
      <x:c r="F157" s="76"/>
      <x:c r="G157" s="76"/>
      <x:c r="H157" s="76"/>
    </x:row>
    <x:row r="158">
      <x:c r="A158" s="76"/>
      <x:c r="B158" s="76"/>
      <x:c r="C158" s="76"/>
      <x:c r="D158" s="76"/>
      <x:c r="E158" s="76"/>
      <x:c r="F158" s="76"/>
      <x:c r="G158" s="76"/>
      <x:c r="H158" s="76"/>
    </x:row>
    <x:row r="159">
      <x:c r="A159" s="76"/>
      <x:c r="B159" s="76"/>
      <x:c r="C159" s="76"/>
      <x:c r="D159" s="76"/>
      <x:c r="E159" s="76"/>
      <x:c r="F159" s="76"/>
      <x:c r="G159" s="76"/>
      <x:c r="H159" s="76"/>
    </x:row>
    <x:row r="160">
      <x:c r="A160" s="76"/>
      <x:c r="B160" s="76"/>
      <x:c r="C160" s="76"/>
      <x:c r="D160" s="76"/>
      <x:c r="E160" s="76"/>
      <x:c r="F160" s="76"/>
      <x:c r="G160" s="76"/>
      <x:c r="H160" s="76"/>
    </x:row>
    <x:row r="161">
      <x:c r="A161" s="76"/>
      <x:c r="B161" s="76"/>
      <x:c r="C161" s="76"/>
      <x:c r="D161" s="76"/>
      <x:c r="E161" s="76"/>
      <x:c r="F161" s="76"/>
      <x:c r="G161" s="76"/>
      <x:c r="H161" s="76"/>
    </x:row>
    <x:row r="162">
      <x:c r="A162" s="76"/>
      <x:c r="B162" s="76"/>
      <x:c r="C162" s="76"/>
      <x:c r="D162" s="76"/>
      <x:c r="E162" s="76"/>
      <x:c r="F162" s="76"/>
      <x:c r="G162" s="76"/>
      <x:c r="H162" s="76"/>
    </x:row>
    <x:row r="163">
      <x:c r="A163" s="76"/>
      <x:c r="B163" s="76"/>
      <x:c r="C163" s="76"/>
      <x:c r="D163" s="76"/>
      <x:c r="E163" s="76"/>
      <x:c r="F163" s="76"/>
      <x:c r="G163" s="76"/>
      <x:c r="H163" s="76"/>
    </x:row>
    <x:row r="164">
      <x:c r="A164" s="76"/>
      <x:c r="B164" s="76"/>
      <x:c r="C164" s="76"/>
      <x:c r="D164" s="76"/>
      <x:c r="E164" s="76"/>
      <x:c r="F164" s="76"/>
      <x:c r="G164" s="76"/>
      <x:c r="H164" s="76"/>
    </x:row>
    <x:row r="165">
      <x:c r="A165" s="76"/>
      <x:c r="B165" s="76"/>
      <x:c r="C165" s="76"/>
      <x:c r="D165" s="76"/>
      <x:c r="E165" s="76"/>
      <x:c r="F165" s="76"/>
      <x:c r="G165" s="76"/>
      <x:c r="H165" s="76"/>
    </x:row>
    <x:row r="166">
      <x:c r="A166" s="76"/>
      <x:c r="B166" s="76"/>
      <x:c r="C166" s="76"/>
      <x:c r="D166" s="76"/>
      <x:c r="E166" s="76"/>
      <x:c r="F166" s="76"/>
      <x:c r="G166" s="76"/>
      <x:c r="H166" s="76"/>
    </x:row>
    <x:row r="167">
      <x:c r="A167" s="76"/>
      <x:c r="B167" s="76"/>
      <x:c r="C167" s="76"/>
      <x:c r="D167" s="76"/>
      <x:c r="E167" s="76"/>
      <x:c r="F167" s="76"/>
      <x:c r="G167" s="76"/>
      <x:c r="H167" s="76"/>
    </x:row>
    <x:row r="168">
      <x:c r="A168" s="76"/>
      <x:c r="B168" s="76"/>
      <x:c r="C168" s="76"/>
      <x:c r="D168" s="76"/>
      <x:c r="E168" s="76"/>
      <x:c r="F168" s="76"/>
      <x:c r="G168" s="76"/>
      <x:c r="H168" s="76"/>
    </x:row>
    <x:row r="169">
      <x:c r="A169" s="76"/>
      <x:c r="B169" s="76"/>
      <x:c r="C169" s="76"/>
      <x:c r="D169" s="76"/>
      <x:c r="E169" s="76"/>
      <x:c r="F169" s="76"/>
      <x:c r="G169" s="76"/>
      <x:c r="H169" s="76"/>
    </x:row>
    <x:row r="170">
      <x:c r="A170" s="76"/>
      <x:c r="B170" s="76"/>
      <x:c r="C170" s="76"/>
      <x:c r="D170" s="76"/>
      <x:c r="E170" s="76"/>
      <x:c r="F170" s="76"/>
      <x:c r="G170" s="76"/>
      <x:c r="H170" s="76"/>
    </x:row>
    <x:row r="171">
      <x:c r="A171" s="76"/>
      <x:c r="B171" s="76"/>
      <x:c r="C171" s="76"/>
      <x:c r="D171" s="76"/>
      <x:c r="E171" s="76"/>
      <x:c r="F171" s="76"/>
      <x:c r="G171" s="76"/>
      <x:c r="H171" s="76"/>
    </x:row>
    <x:row r="172">
      <x:c r="A172" s="76"/>
      <x:c r="B172" s="76"/>
      <x:c r="C172" s="76"/>
      <x:c r="D172" s="76"/>
      <x:c r="E172" s="76"/>
      <x:c r="F172" s="76"/>
      <x:c r="G172" s="76"/>
      <x:c r="H172" s="76"/>
    </x:row>
    <x:row r="173">
      <x:c r="A173" s="76"/>
      <x:c r="B173" s="76"/>
      <x:c r="C173" s="76"/>
      <x:c r="D173" s="76"/>
      <x:c r="E173" s="76"/>
      <x:c r="F173" s="76"/>
      <x:c r="G173" s="76"/>
      <x:c r="H173" s="76"/>
    </x:row>
    <x:row r="174">
      <x:c r="A174" s="76"/>
      <x:c r="B174" s="76"/>
      <x:c r="C174" s="76"/>
      <x:c r="D174" s="76"/>
      <x:c r="E174" s="76"/>
      <x:c r="F174" s="76"/>
      <x:c r="G174" s="76"/>
      <x:c r="H174" s="76"/>
    </x:row>
    <x:row r="175">
      <x:c r="A175" s="76"/>
      <x:c r="B175" s="76"/>
      <x:c r="C175" s="76"/>
      <x:c r="D175" s="76"/>
      <x:c r="E175" s="76"/>
      <x:c r="F175" s="76"/>
      <x:c r="G175" s="76"/>
      <x:c r="H175" s="76"/>
    </x:row>
    <x:row r="176">
      <x:c r="A176" s="76"/>
      <x:c r="B176" s="76"/>
      <x:c r="C176" s="76"/>
      <x:c r="D176" s="76"/>
      <x:c r="E176" s="76"/>
      <x:c r="F176" s="76"/>
      <x:c r="G176" s="76"/>
      <x:c r="H176" s="76"/>
    </x:row>
    <x:row r="177">
      <x:c r="A177" s="76"/>
      <x:c r="B177" s="76"/>
      <x:c r="C177" s="76"/>
      <x:c r="D177" s="76"/>
      <x:c r="E177" s="76"/>
      <x:c r="F177" s="76"/>
      <x:c r="G177" s="76"/>
      <x:c r="H177" s="76"/>
    </x:row>
    <x:row r="178">
      <x:c r="A178" s="76"/>
      <x:c r="B178" s="76"/>
      <x:c r="C178" s="76"/>
      <x:c r="D178" s="76"/>
      <x:c r="E178" s="76"/>
      <x:c r="F178" s="76"/>
      <x:c r="G178" s="76"/>
      <x:c r="H178" s="76"/>
    </x:row>
    <x:row r="179">
      <x:c r="A179" s="76"/>
      <x:c r="B179" s="76"/>
      <x:c r="C179" s="76"/>
      <x:c r="D179" s="76"/>
      <x:c r="E179" s="76"/>
      <x:c r="F179" s="76"/>
      <x:c r="G179" s="76"/>
      <x:c r="H179" s="76"/>
    </x:row>
    <x:row r="180">
      <x:c r="A180" s="76"/>
      <x:c r="B180" s="76"/>
      <x:c r="C180" s="76"/>
      <x:c r="D180" s="76"/>
      <x:c r="E180" s="76"/>
      <x:c r="F180" s="76"/>
      <x:c r="G180" s="76"/>
      <x:c r="H180" s="76"/>
    </x:row>
    <x:row r="181">
      <x:c r="A181" s="76"/>
      <x:c r="B181" s="76"/>
      <x:c r="C181" s="76"/>
      <x:c r="D181" s="76"/>
      <x:c r="E181" s="76"/>
      <x:c r="F181" s="76"/>
      <x:c r="G181" s="76"/>
      <x:c r="H181" s="76"/>
    </x:row>
    <x:row r="182">
      <x:c r="A182" s="76"/>
      <x:c r="B182" s="76"/>
      <x:c r="C182" s="76"/>
      <x:c r="D182" s="76"/>
      <x:c r="E182" s="76"/>
      <x:c r="F182" s="76"/>
      <x:c r="G182" s="76"/>
      <x:c r="H182" s="76"/>
    </x:row>
    <x:row r="183">
      <x:c r="A183" s="76"/>
      <x:c r="B183" s="76"/>
      <x:c r="C183" s="76"/>
      <x:c r="D183" s="76"/>
      <x:c r="E183" s="76"/>
      <x:c r="F183" s="76"/>
      <x:c r="G183" s="76"/>
      <x:c r="H183" s="76"/>
    </x:row>
    <x:row r="184">
      <x:c r="A184" s="76"/>
      <x:c r="B184" s="76"/>
      <x:c r="C184" s="76"/>
      <x:c r="D184" s="76"/>
      <x:c r="E184" s="76"/>
      <x:c r="F184" s="76"/>
      <x:c r="G184" s="76"/>
      <x:c r="H184" s="76"/>
    </x:row>
    <x:row r="185">
      <x:c r="A185" s="76"/>
      <x:c r="B185" s="76"/>
      <x:c r="C185" s="76"/>
      <x:c r="D185" s="76"/>
      <x:c r="E185" s="76"/>
      <x:c r="F185" s="76"/>
      <x:c r="G185" s="76"/>
      <x:c r="H185" s="76"/>
    </x:row>
    <x:row r="186">
      <x:c r="A186" s="76"/>
      <x:c r="B186" s="76"/>
      <x:c r="C186" s="76"/>
      <x:c r="D186" s="76"/>
      <x:c r="E186" s="76"/>
      <x:c r="F186" s="76"/>
      <x:c r="G186" s="76"/>
      <x:c r="H186" s="76"/>
    </x:row>
    <x:row r="187">
      <x:c r="A187" s="76"/>
      <x:c r="B187" s="76"/>
      <x:c r="C187" s="76"/>
      <x:c r="D187" s="76"/>
      <x:c r="E187" s="76"/>
      <x:c r="F187" s="76"/>
      <x:c r="G187" s="76"/>
      <x:c r="H187" s="76"/>
    </x:row>
    <x:row r="188">
      <x:c r="A188" s="76"/>
      <x:c r="B188" s="76"/>
      <x:c r="C188" s="76"/>
      <x:c r="D188" s="76"/>
      <x:c r="E188" s="76"/>
      <x:c r="F188" s="76"/>
      <x:c r="G188" s="76"/>
      <x:c r="H188" s="76"/>
    </x:row>
    <x:row r="189">
      <x:c r="A189" s="76"/>
      <x:c r="B189" s="76"/>
      <x:c r="C189" s="76"/>
      <x:c r="D189" s="76"/>
      <x:c r="E189" s="76"/>
      <x:c r="F189" s="76"/>
      <x:c r="G189" s="76"/>
      <x:c r="H189" s="76"/>
    </x:row>
    <x:row r="190">
      <x:c r="A190" s="76"/>
      <x:c r="B190" s="76"/>
      <x:c r="C190" s="76"/>
      <x:c r="D190" s="76"/>
      <x:c r="E190" s="76"/>
      <x:c r="F190" s="76"/>
      <x:c r="G190" s="76"/>
      <x:c r="H190" s="76"/>
    </x:row>
    <x:row r="191">
      <x:c r="A191" s="76"/>
      <x:c r="B191" s="76"/>
      <x:c r="C191" s="76"/>
      <x:c r="D191" s="76"/>
      <x:c r="E191" s="76"/>
      <x:c r="F191" s="76"/>
      <x:c r="G191" s="76"/>
      <x:c r="H191" s="76"/>
    </x:row>
    <x:row r="192">
      <x:c r="A192" s="76"/>
      <x:c r="B192" s="76"/>
      <x:c r="C192" s="76"/>
      <x:c r="D192" s="76"/>
      <x:c r="E192" s="76"/>
      <x:c r="F192" s="76"/>
      <x:c r="G192" s="76"/>
      <x:c r="H192" s="76"/>
    </x:row>
    <x:row r="193">
      <x:c r="A193" s="76"/>
      <x:c r="B193" s="76"/>
      <x:c r="C193" s="76"/>
      <x:c r="D193" s="76"/>
      <x:c r="E193" s="76"/>
      <x:c r="F193" s="76"/>
      <x:c r="G193" s="76"/>
      <x:c r="H193" s="76"/>
    </x:row>
    <x:row r="194">
      <x:c r="A194" s="76"/>
      <x:c r="B194" s="76"/>
      <x:c r="C194" s="76"/>
      <x:c r="D194" s="76"/>
      <x:c r="E194" s="76"/>
      <x:c r="F194" s="76"/>
      <x:c r="G194" s="76"/>
      <x:c r="H194" s="76"/>
    </x:row>
    <x:row r="195">
      <x:c r="A195" s="76"/>
      <x:c r="B195" s="76"/>
      <x:c r="C195" s="76"/>
      <x:c r="D195" s="76"/>
      <x:c r="E195" s="76"/>
      <x:c r="F195" s="76"/>
      <x:c r="G195" s="76"/>
      <x:c r="H195" s="76"/>
    </x:row>
    <x:row r="196">
      <x:c r="A196" s="76"/>
      <x:c r="B196" s="76"/>
      <x:c r="C196" s="76"/>
      <x:c r="D196" s="76"/>
      <x:c r="E196" s="76"/>
      <x:c r="F196" s="76"/>
      <x:c r="G196" s="76"/>
      <x:c r="H196" s="76"/>
    </x:row>
    <x:row r="197">
      <x:c r="A197" s="76"/>
      <x:c r="B197" s="76"/>
      <x:c r="C197" s="76"/>
      <x:c r="D197" s="76"/>
      <x:c r="E197" s="76"/>
      <x:c r="F197" s="76"/>
      <x:c r="G197" s="76"/>
      <x:c r="H197" s="76"/>
    </x:row>
    <x:row r="198">
      <x:c r="A198" s="76"/>
      <x:c r="B198" s="76"/>
      <x:c r="C198" s="76"/>
      <x:c r="D198" s="76"/>
      <x:c r="E198" s="76"/>
      <x:c r="F198" s="76"/>
      <x:c r="G198" s="76"/>
      <x:c r="H198" s="76"/>
    </x:row>
    <x:row r="199">
      <x:c r="A199" s="76"/>
      <x:c r="B199" s="76"/>
      <x:c r="C199" s="76"/>
      <x:c r="D199" s="76"/>
      <x:c r="E199" s="76"/>
      <x:c r="F199" s="76"/>
      <x:c r="G199" s="76"/>
      <x:c r="H199" s="76"/>
    </x:row>
    <x:row r="200">
      <x:c r="A200" s="76"/>
      <x:c r="B200" s="76"/>
      <x:c r="C200" s="76"/>
      <x:c r="D200" s="76"/>
      <x:c r="E200" s="76"/>
      <x:c r="F200" s="76"/>
      <x:c r="G200" s="76"/>
      <x:c r="H200" s="76"/>
    </x:row>
  </x:sheetData>
  <x:mergeCells>
    <x:mergeCell ref="A1:H1"/>
    <x:mergeCell ref="A2:H2"/>
    <x:mergeCell ref="B3:H3"/>
    <x:mergeCell ref="B4:H4"/>
    <x:mergeCell ref="B5:H5"/>
    <x:mergeCell ref="A7:H7"/>
    <x:mergeCell ref="A19:H19"/>
    <x:mergeCell ref="A60:H60"/>
    <x:mergeCell ref="A71:H71"/>
  </x:mergeCells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34" hidden="0" customWidth="1"/>
    <x:col min="4" max="4" width="28" hidden="0" customWidth="1"/>
    <x:col min="5" max="5" width="22" hidden="0" customWidth="1"/>
    <x:col min="6" max="6" width="22" hidden="0" customWidth="1"/>
    <x:col min="7" max="7" width="18" hidden="0" customWidth="1"/>
    <x:col min="8" max="8" width="20" hidden="0" customWidth="1"/>
  </x:cols>
  <x:sheetData>
    <x:row r="1" ht="30" hidden="0" customHeight="1">
      <x:c r="A1" s="82" t="str">
        <x:v>CxVisual 历史审计 — V3.3 同步记录（已被49_V6.4同步审计取代）</x:v>
      </x:c>
      <x:c r="B1" s="82"/>
      <x:c r="C1" s="82"/>
      <x:c r="D1" s="82"/>
      <x:c r="E1" s="82"/>
      <x:c r="F1" s="82"/>
      <x:c r="G1" s="82"/>
      <x:c r="H1" s="82"/>
    </x:row>
    <x:row r="2" ht="42" hidden="0" customHeight="1">
      <x:c r="A2" s="85" t="str">
        <x:v>本页仅保留V3.3时期从V2.3同步的历史依据，用于追溯；当前架构、代码事实和状态以03/04/17/27/41/49/50为准。</x:v>
      </x:c>
      <x:c r="B2" s="85"/>
      <x:c r="C2" s="85"/>
      <x:c r="D2" s="85"/>
      <x:c r="E2" s="85"/>
      <x:c r="F2" s="85"/>
      <x:c r="G2" s="85"/>
      <x:c r="H2" s="85"/>
    </x:row>
    <x:row r="3" ht="15" hidden="0" customHeight="1">
      <x:c r="A3" s="87" t="str">
        <x:v>本页唯一权威</x:v>
      </x:c>
      <x:c r="B3" s="88" t="str">
        <x:v>历史V3.3同步来源、旧变更覆盖与当时一致性检查；不得再作为V6.4当前完成状态证据。</x:v>
      </x:c>
      <x:c r="C3" s="88"/>
      <x:c r="D3" s="88"/>
      <x:c r="E3" s="88"/>
      <x:c r="F3" s="88"/>
      <x:c r="G3" s="88"/>
      <x:c r="H3" s="88"/>
    </x:row>
    <x:row r="4" ht="15" hidden="0" customHeight="1">
      <x:c r="A4" s="87" t="str">
        <x:v>不在本页维护</x:v>
      </x:c>
      <x:c r="B4" s="88" t="str">
        <x:v>真实代码完成状态与测试证据；仍由41和RC Gate维护。</x:v>
      </x:c>
      <x:c r="C4" s="88"/>
      <x:c r="D4" s="88"/>
      <x:c r="E4" s="88"/>
      <x:c r="F4" s="88"/>
      <x:c r="G4" s="88"/>
      <x:c r="H4" s="88"/>
    </x:row>
    <x:row r="5" ht="15" hidden="0" customHeight="1">
      <x:c r="A5" s="87" t="str">
        <x:v>关联分页</x:v>
      </x:c>
      <x:c r="B5" s="88" t="str">
        <x:v>00_总览与导航；49_V6.4同步审计；50_通用变量平台蓝图。</x:v>
      </x:c>
      <x:c r="C5" s="88"/>
      <x:c r="D5" s="88"/>
      <x:c r="E5" s="88"/>
      <x:c r="F5" s="88"/>
      <x:c r="G5" s="88"/>
      <x:c r="H5" s="88"/>
    </x:row>
    <x:row r="6" ht="15" hidden="0" customHeight="1">
      <x:c r="A6" s="79"/>
      <x:c r="B6" s="79"/>
      <x:c r="C6" s="79"/>
      <x:c r="D6" s="79"/>
      <x:c r="E6" s="79"/>
      <x:c r="F6" s="79"/>
      <x:c r="G6" s="79"/>
      <x:c r="H6" s="79"/>
    </x:row>
    <x:row r="7" ht="15" hidden="0" customHeight="1">
      <x:c r="A7" s="91" t="str">
        <x:v>A. 本次同步来源与使用规则</x:v>
      </x:c>
      <x:c r="B7" s="91"/>
      <x:c r="C7" s="91"/>
      <x:c r="D7" s="91"/>
      <x:c r="E7" s="91"/>
      <x:c r="F7" s="91"/>
      <x:c r="G7" s="91"/>
      <x:c r="H7" s="91"/>
    </x:row>
    <x:row r="8" ht="15" hidden="0" customHeight="1">
      <x:c r="A8" s="95" t="str">
        <x:v>SourceId</x:v>
      </x:c>
      <x:c r="B8" s="95" t="str">
        <x:v>来源</x:v>
      </x:c>
      <x:c r="C8" s="95" t="str">
        <x:v>文件/上下文</x:v>
      </x:c>
      <x:c r="D8" s="95" t="str">
        <x:v>本次用途</x:v>
      </x:c>
      <x:c r="E8" s="95" t="str">
        <x:v>落点</x:v>
      </x:c>
      <x:c r="F8" s="95" t="str">
        <x:v>状态</x:v>
      </x:c>
      <x:c r="G8" s="95" t="str">
        <x:v>证据规则</x:v>
      </x:c>
      <x:c r="H8" s="95" t="str">
        <x:v>备注</x:v>
      </x:c>
    </x:row>
    <x:row r="9" ht="21.600000381469727" hidden="0" customHeight="1">
      <x:c r="A9" s="79" t="str">
        <x:v>S1</x:v>
      </x:c>
      <x:c r="B9" s="79" t="str">
        <x:v>V2.3原始Excel</x:v>
      </x:c>
      <x:c r="C9" s="79" t="str">
        <x:v>CxVisual_工业工程与运行平台_软件架构与详细设计_V2.3_44页(1).xlsx</x:v>
      </x:c>
      <x:c r="D9" s="79" t="str">
        <x:v>作为本次V3.3唯一主基线：原45张Sheet全部保留，不从旧V3.3反向覆盖</x:v>
      </x:c>
      <x:c r="E9" s="79" t="str">
        <x:v>00~44</x:v>
      </x:c>
      <x:c r="F9" s="79" t="str">
        <x:v>Base</x:v>
      </x:c>
      <x:c r="G9" s="79" t="str">
        <x:v>不作为实现完成证据</x:v>
      </x:c>
      <x:c r="H9" s="79"/>
    </x:row>
    <x:row r="10" ht="32.400001525878906" hidden="0" customHeight="1">
      <x:c r="A10" s="79" t="str">
        <x:v>S2</x:v>
      </x:c>
      <x:c r="B10" s="79" t="str">
        <x:v>Studio菜单/Ribbon规范</x:v>
      </x:c>
      <x:c r="C10" s="79" t="str">
        <x:v>CxVisual_Studio_一级菜单与上下文Ribbon设计规范_V1.0(1).docx</x:v>
      </x:c>
      <x:c r="D10" s="79" t="str">
        <x:v>固定9菜单、Contextual Ribbon、Design/Debug/Run分层、Publish、命令依赖链、Domain扩展规则</x:v>
      </x:c>
      <x:c r="E10" s="79" t="str">
        <x:v>03/07/40/41/43/45</x:v>
      </x:c>
      <x:c r="F10" s="79" t="str">
        <x:v>Merged</x:v>
      </x:c>
      <x:c r="G10" s="79" t="str">
        <x:v>设计基线</x:v>
      </x:c>
      <x:c r="H10" s="79"/>
    </x:row>
    <x:row r="11" ht="43.20000076293945" hidden="0" customHeight="1">
      <x:c r="A11" s="79" t="str">
        <x:v>S3</x:v>
      </x:c>
      <x:c r="B11" s="79" t="str">
        <x:v>DeviceVariable闭环截图</x:v>
      </x:c>
      <x:c r="C11" s="79" t="str">
        <x:v>用户提供近期截图</x:v>
      </x:c>
      <x:c r="D11" s="79" t="str">
        <x:v>把DeviceVariable从Adapter提升为完整工程/设计/运行/SCADA/写入链；Quality/Timestamp/Sequence/Source、Backpressure、保存重开、E2E</x:v>
      </x:c>
      <x:c r="E11" s="79" t="str">
        <x:v>02/03/04/05/06/10/12/14/16/17/18/19/20/22/25/26/40/41/43/46</x:v>
      </x:c>
      <x:c r="F11" s="79" t="str">
        <x:v>Merged</x:v>
      </x:c>
      <x:c r="G11" s="79" t="str">
        <x:v>截图中的“已有类”不自动代表完成</x:v>
      </x:c>
      <x:c r="H11" s="79"/>
    </x:row>
    <x:row r="12" ht="32.400001525878906" hidden="0" customHeight="1">
      <x:c r="A12" s="79" t="str">
        <x:v>S4</x:v>
      </x:c>
      <x:c r="B12" s="79" t="str">
        <x:v>运控硬件抽象截图</x:v>
      </x:c>
      <x:c r="C12" s="79" t="str">
        <x:v>用户提供近期截图</x:v>
      </x:c>
      <x:c r="D12" s="79" t="str">
        <x:v>从轴/IO/气缸扩展为Controller/PLC/Fieldbus/Actuator/Pneumatic/IO/Feedback/Trigger/Safety/Aux/XRay/Detector/Camera完整体系</x:v>
      </x:c>
      <x:c r="E12" s="79" t="str">
        <x:v>02/03/04/05/06/22/27/28/37/40/41/43/47</x:v>
      </x:c>
      <x:c r="F12" s="79" t="str">
        <x:v>Merged</x:v>
      </x:c>
      <x:c r="G12" s="79" t="str">
        <x:v>接口为设计目标，状态见41</x:v>
      </x:c>
      <x:c r="H12" s="79"/>
    </x:row>
    <x:row r="13" ht="54" hidden="0" customHeight="1">
      <x:c r="A13" s="79" t="str">
        <x:v>S5</x:v>
      </x:c>
      <x:c r="B13" s="79" t="str">
        <x:v>近期架构决策 / 第一张超窄长截图</x:v>
      </x:c>
      <x:c r="C13" s="79" t="str">
        <x:v>本账号此前CxVisual设计上下文 + 用户提供128×2048长截图</x:v>
      </x:c>
      <x:c r="D13" s="79" t="str">
        <x:v>恢复已确认的Graph Kernel/Domain Runtime分离、Robot归Motion家族、CT3D归Vision家族等架构决定；该长截图分辨率不足，不单独据其模糊文字新增架构事实</x:v>
      </x:c>
      <x:c r="E13" s="79" t="str">
        <x:v>00/03/06/19~37/43/45/47/48</x:v>
      </x:c>
      <x:c r="F13" s="79" t="str">
        <x:v>Merged / Visual-reference</x:v>
      </x:c>
      <x:c r="G13" s="79" t="str">
        <x:v>只采用可与V2.3、近期文档或已确认上下文交叉验证的架构决定；模糊文字不作完成状态或新接口证据</x:v>
      </x:c>
      <x:c r="H13" s="79" t="str">
        <x:v>防止为“补全截图”而臆造内容</x:v>
      </x:c>
    </x:row>
    <x:row r="14" ht="32.400001525878906" hidden="0" customHeight="1">
      <x:c r="A14" s="79" t="str">
        <x:v>S6</x:v>
      </x:c>
      <x:c r="B14" s="79" t="str">
        <x:v>旧V3.3参考Workbook</x:v>
      </x:c>
      <x:c r="C14" s="79" t="str">
        <x:v>Library中历史V3.3 StudioShell同步版</x:v>
      </x:c>
      <x:c r="D14" s="79" t="str">
        <x:v>仅用于查漏与对照，不作为当前基线或完成状态来源；删除/重写其版本号式状态、M9/M10等第二套里程碑倾向</x:v>
      </x:c>
      <x:c r="E14" s="79" t="str">
        <x:v>48</x:v>
      </x:c>
      <x:c r="F14" s="79" t="str">
        <x:v>Reference only</x:v>
      </x:c>
      <x:c r="G14" s="79" t="str">
        <x:v>不得把历史“已落/全绿”复制进41</x:v>
      </x:c>
      <x:c r="H14" s="79"/>
    </x:row>
    <x:row r="15" ht="15" hidden="0" customHeight="1">
      <x:c r="A15" s="79"/>
      <x:c r="B15" s="79"/>
      <x:c r="C15" s="79"/>
      <x:c r="D15" s="79"/>
      <x:c r="E15" s="79"/>
      <x:c r="F15" s="79"/>
      <x:c r="G15" s="79"/>
      <x:c r="H15" s="79"/>
    </x:row>
    <x:row r="16" ht="15" hidden="0" customHeight="1">
      <x:c r="A16" s="91" t="str">
        <x:v>B. 主题→权威页→任务映射</x:v>
      </x:c>
      <x:c r="B16" s="91"/>
      <x:c r="C16" s="91"/>
      <x:c r="D16" s="91"/>
      <x:c r="E16" s="91"/>
      <x:c r="F16" s="91"/>
      <x:c r="G16" s="91"/>
      <x:c r="H16" s="91"/>
    </x:row>
    <x:row r="17" ht="15" hidden="0" customHeight="1">
      <x:c r="A17" s="95" t="str">
        <x:v>主题</x:v>
      </x:c>
      <x:c r="B17" s="95" t="str">
        <x:v>正式结论</x:v>
      </x:c>
      <x:c r="C17" s="95" t="str">
        <x:v>同步页</x:v>
      </x:c>
      <x:c r="D17" s="95" t="str">
        <x:v>本次变化</x:v>
      </x:c>
      <x:c r="E17" s="95" t="str">
        <x:v>优先级</x:v>
      </x:c>
      <x:c r="F17" s="95" t="str">
        <x:v>状态规则</x:v>
      </x:c>
      <x:c r="G17" s="95" t="str">
        <x:v>测试/Gate</x:v>
      </x:c>
      <x:c r="H17" s="95" t="str">
        <x:v>备注</x:v>
      </x:c>
    </x:row>
    <x:row r="18" ht="32.400001525878906" hidden="0" customHeight="1">
      <x:c r="A18" s="79" t="str">
        <x:v>Studio Shell</x:v>
      </x:c>
      <x:c r="B18" s="79" t="str">
        <x:v>固定9一级菜单 + Contextual Ribbon + Session Mode + CommandDescriptor</x:v>
      </x:c>
      <x:c r="C18" s="79" t="str">
        <x:v>03/07/40/41/43/45</x:v>
      </x:c>
      <x:c r="D18" s="79" t="str">
        <x:v>新增45专项页；能力索引加Platform/Studio</x:v>
      </x:c>
      <x:c r="E18" s="79" t="str">
        <x:v>P0</x:v>
      </x:c>
      <x:c r="F18" s="79" t="str">
        <x:v>设计已同步，实施状态见41</x:v>
      </x:c>
      <x:c r="G18" s="79"/>
      <x:c r="H18" s="79"/>
    </x:row>
    <x:row r="19" ht="43.20000076293945" hidden="0" customHeight="1">
      <x:c r="A19" s="79" t="str">
        <x:v>DeviceVariable</x:v>
      </x:c>
      <x:c r="B19" s="79" t="str">
        <x:v>唯一Provider路径 + Project Variables + Binding + Runtime + Alarm/Trend/Graph + Controlled Write</x:v>
      </x:c>
      <x:c r="C19" s="79" t="str">
        <x:v>02/03/04/05/06/10/12/14/16/17/18/19/20/22/25/26/40/41/43/46</x:v>
      </x:c>
      <x:c r="D19" s="79" t="str">
        <x:v>新增46专项页及7个E2E Gate</x:v>
      </x:c>
      <x:c r="E19" s="79" t="str">
        <x:v>P0</x:v>
      </x:c>
      <x:c r="F19" s="79" t="str">
        <x:v>状态默认待完成</x:v>
      </x:c>
      <x:c r="G19" s="79"/>
      <x:c r="H19" s="79"/>
    </x:row>
    <x:row r="20" ht="32.400001525878906" hidden="0" customHeight="1">
      <x:c r="A20" s="79" t="str">
        <x:v>Graph变量节点</x:v>
      </x:c>
      <x:c r="B20" s="79" t="str">
        <x:v>VariableChanged/ReadVariable/WriteVariable真实连接IVariableProvider/WritePipeline</x:v>
      </x:c>
      <x:c r="C20" s="79" t="str">
        <x:v>02/03/19/20/22/26/40/41/46</x:v>
      </x:c>
      <x:c r="D20" s="79" t="str">
        <x:v>杜绝占位节点/Legacy旁路</x:v>
      </x:c>
      <x:c r="E20" s="79" t="str">
        <x:v>P0</x:v>
      </x:c>
      <x:c r="F20" s="79" t="str">
        <x:v>状态见41</x:v>
      </x:c>
      <x:c r="G20" s="79"/>
      <x:c r="H20" s="79"/>
    </x:row>
    <x:row r="21" ht="32.400001525878906" hidden="0" customHeight="1">
      <x:c r="A21" s="79" t="str">
        <x:v>完整运控硬件</x:v>
      </x:c>
      <x:c r="B21" s="79" t="str">
        <x:v>Controller/PLC/Fieldbus/Axis/Actuator/Pneumatic/IO/Sensor/Trigger/Safety/Aux/Process</x:v>
      </x:c>
      <x:c r="C21" s="79" t="str">
        <x:v>02/03/04/05/06/22/27/28/37/40/41/43/47</x:v>
      </x:c>
      <x:c r="D21" s="79" t="str">
        <x:v>新增47专项页；明确Ownership/Diagnostics</x:v>
      </x:c>
      <x:c r="E21" s="79" t="str">
        <x:v>P0</x:v>
      </x:c>
      <x:c r="F21" s="79" t="str">
        <x:v>状态见41</x:v>
      </x:c>
      <x:c r="G21" s="79"/>
      <x:c r="H21" s="79"/>
    </x:row>
    <x:row r="22" ht="32.400001525878906" hidden="0" customHeight="1">
      <x:c r="A22" s="79" t="str">
        <x:v>Robot家族</x:v>
      </x:c>
      <x:c r="B22" s="79" t="str">
        <x:v>Motion公共Contract/Resource/Interlock/Debug复用 + Robot专业模型/Context UI</x:v>
      </x:c>
      <x:c r="C22" s="79" t="str">
        <x:v>03/06/27/29/30/37/40/41/43/45/47</x:v>
      </x:c>
      <x:c r="D22" s="79" t="str">
        <x:v>组合优先，不深继承</x:v>
      </x:c>
      <x:c r="E22" s="79" t="str">
        <x:v>P1</x:v>
      </x:c>
      <x:c r="F22" s="79" t="str">
        <x:v>状态见41</x:v>
      </x:c>
      <x:c r="G22" s="79"/>
      <x:c r="H22" s="79"/>
    </x:row>
    <x:row r="23" ht="32.400001525878906" hidden="0" customHeight="1">
      <x:c r="A23" s="79" t="str">
        <x:v>CT3D家族</x:v>
      </x:c>
      <x:c r="B23" s="79" t="str">
        <x:v>Vision公共TypedDataFlow/DataHandle/GPU/Worker/Debug复用 + CT专业链/Context UI</x:v>
      </x:c>
      <x:c r="C23" s="79" t="str">
        <x:v>03/06/31/33/34/37/40/41/43/45/47</x:v>
      </x:c>
      <x:c r="D23" s="79" t="str">
        <x:v>组合优先，不另建平台</x:v>
      </x:c>
      <x:c r="E23" s="79" t="str">
        <x:v>P1</x:v>
      </x:c>
      <x:c r="F23" s="79" t="str">
        <x:v>状态见41</x:v>
      </x:c>
      <x:c r="G23" s="79"/>
      <x:c r="H23" s="79"/>
    </x:row>
    <x:row r="24" ht="21.600000381469727" hidden="0" customHeight="1">
      <x:c r="A24" s="79" t="str">
        <x:v>里程碑治理</x:v>
      </x:c>
      <x:c r="B24" s="79" t="str">
        <x:v>继续使用M1~M7→RC唯一正式路线；V3.3是文档版本，不是新阶段</x:v>
      </x:c>
      <x:c r="C24" s="79" t="str">
        <x:v>00/03/40/41/48</x:v>
      </x:c>
      <x:c r="D24" s="79" t="str">
        <x:v>未引入M8/M9/M10第二套正式阶段</x:v>
      </x:c>
      <x:c r="E24" s="79" t="str">
        <x:v>P0</x:v>
      </x:c>
      <x:c r="F24" s="79" t="str">
        <x:v>保持V2.3路线一致</x:v>
      </x:c>
      <x:c r="G24" s="79"/>
      <x:c r="H24" s="79"/>
    </x:row>
    <x:row r="25" ht="21.600000381469727" hidden="0" customHeight="1">
      <x:c r="A25" s="79" t="str">
        <x:v>状态治理</x:v>
      </x:c>
      <x:c r="B25" s="79" t="str">
        <x:v>41唯一真实状态源；新任务全部默认待完成，必须Evidence后更新</x:v>
      </x:c>
      <x:c r="C25" s="79" t="str">
        <x:v>00/03/40/41/48</x:v>
      </x:c>
      <x:c r="D25" s="79" t="str">
        <x:v>历史截图/旧V3.3不自动标Done</x:v>
      </x:c>
      <x:c r="E25" s="79" t="str">
        <x:v>P0</x:v>
      </x:c>
      <x:c r="F25" s="79" t="str">
        <x:v>符合架构真实性</x:v>
      </x:c>
      <x:c r="G25" s="79"/>
      <x:c r="H25" s="79"/>
    </x:row>
    <x:row r="26" ht="15" hidden="0" customHeight="1">
      <x:c r="A26" s="79"/>
      <x:c r="B26" s="79"/>
      <x:c r="C26" s="79"/>
      <x:c r="D26" s="79"/>
      <x:c r="E26" s="79"/>
      <x:c r="F26" s="79"/>
      <x:c r="G26" s="79"/>
      <x:c r="H26" s="79"/>
    </x:row>
    <x:row r="27" ht="15" hidden="0" customHeight="1">
      <x:c r="A27" s="91" t="str">
        <x:v>C. V3.3 不丢失 / 一致性检查清单</x:v>
      </x:c>
      <x:c r="B27" s="91"/>
      <x:c r="C27" s="91"/>
      <x:c r="D27" s="91"/>
      <x:c r="E27" s="91"/>
      <x:c r="F27" s="91"/>
      <x:c r="G27" s="91"/>
      <x:c r="H27" s="91"/>
    </x:row>
    <x:row r="28" ht="15" hidden="0" customHeight="1">
      <x:c r="A28" s="95" t="str">
        <x:v>Check</x:v>
      </x:c>
      <x:c r="B28" s="95" t="str">
        <x:v>检查项</x:v>
      </x:c>
      <x:c r="C28" s="95" t="str">
        <x:v>级别</x:v>
      </x:c>
      <x:c r="D28" s="95" t="str">
        <x:v>检查位置</x:v>
      </x:c>
      <x:c r="E28" s="95" t="str">
        <x:v>通过标准</x:v>
      </x:c>
      <x:c r="F28" s="95" t="str">
        <x:v>状态</x:v>
      </x:c>
      <x:c r="G28" s="95" t="str">
        <x:v>责任</x:v>
      </x:c>
      <x:c r="H28" s="95" t="str">
        <x:v>备注</x:v>
      </x:c>
    </x:row>
    <x:row r="29" ht="15" hidden="0" customHeight="1">
      <x:c r="A29" s="79" t="str">
        <x:v>C01</x:v>
      </x:c>
      <x:c r="B29" s="79" t="str">
        <x:v>原V2.3 Sheet 00~44全部存在</x:v>
      </x:c>
      <x:c r="C29" s="79" t="str">
        <x:v>必须</x:v>
      </x:c>
      <x:c r="D29" s="79" t="str">
        <x:v>Sheet list</x:v>
      </x:c>
      <x:c r="E29" s="79" t="str">
        <x:v>不得删页或以旧V3.3覆盖</x:v>
      </x:c>
      <x:c r="F29" s="79"/>
      <x:c r="G29" s="79"/>
      <x:c r="H29" s="79"/>
    </x:row>
    <x:row r="30" ht="21.600000381469727" hidden="0" customHeight="1">
      <x:c r="A30" s="79" t="str">
        <x:v>C02</x:v>
      </x:c>
      <x:c r="B30" s="79" t="str">
        <x:v>02能力索引新增里程碑列但不复制状态</x:v>
      </x:c>
      <x:c r="C30" s="79" t="str">
        <x:v>必须</x:v>
      </x:c>
      <x:c r="D30" s="79" t="str">
        <x:v>02 H列</x:v>
      </x:c>
      <x:c r="E30" s="79" t="str">
        <x:v>Status只在41</x:v>
      </x:c>
      <x:c r="F30" s="79"/>
      <x:c r="G30" s="79"/>
      <x:c r="H30" s="79"/>
    </x:row>
    <x:row r="31" ht="21.600000381469727" hidden="0" customHeight="1">
      <x:c r="A31" s="79" t="str">
        <x:v>C03</x:v>
      </x:c>
      <x:c r="B31" s="79" t="str">
        <x:v>03追加A92~A109且A01~A91原规则保留</x:v>
      </x:c>
      <x:c r="C31" s="79" t="str">
        <x:v>必须</x:v>
      </x:c>
      <x:c r="D31" s="79" t="str">
        <x:v>03 rules</x:v>
      </x:c>
      <x:c r="E31" s="79" t="str">
        <x:v>新规则不重写旧规则历史</x:v>
      </x:c>
      <x:c r="F31" s="79"/>
      <x:c r="G31" s="79"/>
      <x:c r="H31" s="79"/>
    </x:row>
    <x:row r="32" ht="21.600000381469727" hidden="0" customHeight="1">
      <x:c r="A32" s="79" t="str">
        <x:v>C04</x:v>
      </x:c>
      <x:c r="B32" s="79" t="str">
        <x:v>固定9菜单与Domain Context映射完整</x:v>
      </x:c>
      <x:c r="C32" s="79" t="str">
        <x:v>必须</x:v>
      </x:c>
      <x:c r="D32" s="79" t="str">
        <x:v>45</x:v>
      </x:c>
      <x:c r="E32" s="79" t="str">
        <x:v>HMI/SCADA/Graph/Motion/Robot/Vision/CT/Inspection全覆盖</x:v>
      </x:c>
      <x:c r="F32" s="79"/>
      <x:c r="G32" s="79"/>
      <x:c r="H32" s="79"/>
    </x:row>
    <x:row r="33" ht="32.400001525878906" hidden="0" customHeight="1">
      <x:c r="A33" s="79" t="str">
        <x:v>C05</x:v>
      </x:c>
      <x:c r="B33" s="79" t="str">
        <x:v>DeviceVariable链路到真实设备写回完整</x:v>
      </x:c>
      <x:c r="C33" s="79" t="str">
        <x:v>必须</x:v>
      </x:c>
      <x:c r="D33" s="79" t="str">
        <x:v>46</x:v>
      </x:c>
      <x:c r="E33" s="79" t="str">
        <x:v>Project/Binding/Runtime/Alarm/Trend/Graph/Write/Save-Reopen齐全</x:v>
      </x:c>
      <x:c r="F33" s="79"/>
      <x:c r="G33" s="79"/>
      <x:c r="H33" s="79"/>
    </x:row>
    <x:row r="34" ht="32.400001525878906" hidden="0" customHeight="1">
      <x:c r="A34" s="79" t="str">
        <x:v>C06</x:v>
      </x:c>
      <x:c r="B34" s="79" t="str">
        <x:v>VariableValue Quality/TimestampUtc/Sequence/Source贯通</x:v>
      </x:c>
      <x:c r="C34" s="79" t="str">
        <x:v>必须</x:v>
      </x:c>
      <x:c r="D34" s="79" t="str">
        <x:v>03/20/46</x:v>
      </x:c>
      <x:c r="E34" s="79" t="str">
        <x:v>不能退化旧值模型</x:v>
      </x:c>
      <x:c r="F34" s="79"/>
      <x:c r="G34" s="79"/>
      <x:c r="H34" s="79"/>
    </x:row>
    <x:row r="35" ht="21.600000381469727" hidden="0" customHeight="1">
      <x:c r="A35" s="79" t="str">
        <x:v>C07</x:v>
      </x:c>
      <x:c r="B35" s="79" t="str">
        <x:v>ChangeDispatcher无固定100ms叠加、支持LatestOnly/有界/慢订阅隔离</x:v>
      </x:c>
      <x:c r="C35" s="79" t="str">
        <x:v>必须</x:v>
      </x:c>
      <x:c r="D35" s="79" t="str">
        <x:v>03/18/25/46</x:v>
      </x:c>
      <x:c r="E35" s="79" t="str">
        <x:v>压力/Soak可验证</x:v>
      </x:c>
      <x:c r="F35" s="79"/>
      <x:c r="G35" s="79"/>
      <x:c r="H35" s="79"/>
    </x:row>
    <x:row r="36" ht="21.600000381469727" hidden="0" customHeight="1">
      <x:c r="A36" s="79" t="str">
        <x:v>C08</x:v>
      </x:c>
      <x:c r="B36" s="79" t="str">
        <x:v>VariableTable.UpdateVariable不视为设备写成功</x:v>
      </x:c>
      <x:c r="C36" s="79" t="str">
        <x:v>必须</x:v>
      </x:c>
      <x:c r="D36" s="79" t="str">
        <x:v>03/14/46</x:v>
      </x:c>
      <x:c r="E36" s="79" t="str">
        <x:v>必须Provider.Write+Readback/结果</x:v>
      </x:c>
      <x:c r="F36" s="79"/>
      <x:c r="G36" s="79"/>
      <x:c r="H36" s="79"/>
    </x:row>
    <x:row r="37" ht="21.600000381469727" hidden="0" customHeight="1">
      <x:c r="A37" s="79" t="str">
        <x:v>C09</x:v>
      </x:c>
      <x:c r="B37" s="79" t="str">
        <x:v>Motion硬件覆盖截图全部类别</x:v>
      </x:c>
      <x:c r="C37" s="79" t="str">
        <x:v>必须</x:v>
      </x:c>
      <x:c r="D37" s="79" t="str">
        <x:v>47</x:v>
      </x:c>
      <x:c r="E37" s="79" t="str">
        <x:v>控制核心/总线/执行/气动/IO/反馈/触发/安全/辅助/工艺设备</x:v>
      </x:c>
      <x:c r="F37" s="79"/>
      <x:c r="G37" s="79"/>
      <x:c r="H37" s="79"/>
    </x:row>
    <x:row r="38" ht="21.600000381469727" hidden="0" customHeight="1">
      <x:c r="A38" s="79" t="str">
        <x:v>C10</x:v>
      </x:c>
      <x:c r="B38" s="79" t="str">
        <x:v>Robot/CT家族复用明确为Contract/Composition优先</x:v>
      </x:c>
      <x:c r="C38" s="79" t="str">
        <x:v>必须</x:v>
      </x:c>
      <x:c r="D38" s="79" t="str">
        <x:v>03/06/29/33/47</x:v>
      </x:c>
      <x:c r="E38" s="79" t="str">
        <x:v>不是强制CLR继承</x:v>
      </x:c>
      <x:c r="F38" s="79"/>
      <x:c r="G38" s="79"/>
      <x:c r="H38" s="79"/>
    </x:row>
    <x:row r="39" ht="15" hidden="0" customHeight="1">
      <x:c r="A39" s="79" t="str">
        <x:v>C11</x:v>
      </x:c>
      <x:c r="B39" s="79" t="str">
        <x:v>40仍为M1~M7→RC唯一路线</x:v>
      </x:c>
      <x:c r="C39" s="79" t="str">
        <x:v>必须</x:v>
      </x:c>
      <x:c r="D39" s="79" t="str">
        <x:v>40</x:v>
      </x:c>
      <x:c r="E39" s="79" t="str">
        <x:v>V3.3不创造第二套M阶段</x:v>
      </x:c>
      <x:c r="F39" s="79"/>
      <x:c r="G39" s="79"/>
      <x:c r="H39" s="79"/>
    </x:row>
    <x:row r="40" ht="21.600000381469727" hidden="0" customHeight="1">
      <x:c r="A40" s="79" t="str">
        <x:v>C12</x:v>
      </x:c>
      <x:c r="B40" s="79" t="str">
        <x:v>41新增任务默认待完成且摘要公式覆盖新行</x:v>
      </x:c>
      <x:c r="C40" s="79" t="str">
        <x:v>必须</x:v>
      </x:c>
      <x:c r="D40" s="79" t="str">
        <x:v>41</x:v>
      </x:c>
      <x:c r="E40" s="79" t="str">
        <x:v>不虚构完成状态</x:v>
      </x:c>
      <x:c r="F40" s="79"/>
      <x:c r="G40" s="79"/>
      <x:c r="H40" s="79"/>
    </x:row>
    <x:row r="41" ht="21.600000381469727" hidden="0" customHeight="1">
      <x:c r="A41" s="79" t="str">
        <x:v>C13</x:v>
      </x:c>
      <x:c r="B41" s="79" t="str">
        <x:v>新45~48专项页与既有权威页交叉引用</x:v>
      </x:c>
      <x:c r="C41" s="79" t="str">
        <x:v>必须</x:v>
      </x:c>
      <x:c r="D41" s="79" t="str">
        <x:v>00/43/48</x:v>
      </x:c>
      <x:c r="E41" s="79" t="str">
        <x:v>专项页不孤立</x:v>
      </x:c>
      <x:c r="F41" s="79"/>
      <x:c r="G41" s="79"/>
      <x:c r="H41" s="79"/>
    </x:row>
    <x:row r="42" ht="21.600000381469727" hidden="0" customHeight="1">
      <x:c r="A42" s="79" t="str">
        <x:v>C14</x:v>
      </x:c>
      <x:c r="B42" s="79" t="str">
        <x:v>最终导出前无#REF/#VALUE/#NAME等公式错误</x:v>
      </x:c>
      <x:c r="C42" s="79" t="str">
        <x:v>必须</x:v>
      </x:c>
      <x:c r="D42" s="79" t="str">
        <x:v>Workbook scan</x:v>
      </x:c>
      <x:c r="E42" s="79" t="str">
        <x:v>Artifact verification</x:v>
      </x:c>
      <x:c r="F42" s="79"/>
      <x:c r="G42" s="79"/>
      <x:c r="H42" s="79"/>
    </x:row>
    <x:row r="43" ht="15" hidden="0" customHeight="1">
      <x:c r="A43" s="79"/>
      <x:c r="B43" s="79"/>
      <x:c r="C43" s="79"/>
      <x:c r="D43" s="79"/>
      <x:c r="E43" s="79"/>
      <x:c r="F43" s="79"/>
      <x:c r="G43" s="79"/>
      <x:c r="H43" s="79"/>
    </x:row>
    <x:row r="44" ht="15" hidden="0" customHeight="1">
      <x:c r="A44" s="91" t="str">
        <x:v>D. 关键架构取舍说明</x:v>
      </x:c>
      <x:c r="B44" s="91"/>
      <x:c r="C44" s="91"/>
      <x:c r="D44" s="91"/>
      <x:c r="E44" s="91"/>
      <x:c r="F44" s="91"/>
      <x:c r="G44" s="91"/>
      <x:c r="H44" s="91"/>
    </x:row>
    <x:row r="45" ht="15" hidden="0" customHeight="1">
      <x:c r="A45" s="95" t="str">
        <x:v>Decision</x:v>
      </x:c>
      <x:c r="B45" s="95" t="str">
        <x:v>问题</x:v>
      </x:c>
      <x:c r="C45" s="95" t="str">
        <x:v>正式取舍</x:v>
      </x:c>
      <x:c r="D45" s="95" t="str">
        <x:v>原因</x:v>
      </x:c>
      <x:c r="E45" s="95" t="str">
        <x:v>影响页</x:v>
      </x:c>
      <x:c r="F45" s="95" t="str">
        <x:v>阶段</x:v>
      </x:c>
      <x:c r="G45" s="95" t="str">
        <x:v>状态规则</x:v>
      </x:c>
      <x:c r="H45" s="95" t="str">
        <x:v>备注</x:v>
      </x:c>
    </x:row>
    <x:row r="46" ht="21.600000381469727" hidden="0" customHeight="1">
      <x:c r="A46" s="79" t="str">
        <x:v>D1</x:v>
      </x:c>
      <x:c r="B46" s="79" t="str">
        <x:v>为什么不直接沿用旧V3.3</x:v>
      </x:c>
      <x:c r="C46" s="79" t="str">
        <x:v>用户明确认为此前同步不好；本次从V2.3重新合并，旧V3.3只作查漏，不继承其状态声明</x:v>
      </x:c>
      <x:c r="D46" s="79" t="str">
        <x:v>避免把历史假进度/第二套阶段带回来</x:v>
      </x:c>
      <x:c r="E46" s="79"/>
      <x:c r="F46" s="79"/>
      <x:c r="G46" s="79"/>
      <x:c r="H46" s="79"/>
    </x:row>
    <x:row r="47" ht="43.20000076293945" hidden="0" customHeight="1">
      <x:c r="A47" s="79" t="str">
        <x:v>D2</x:v>
      </x:c>
      <x:c r="B47" s="79" t="str">
        <x:v>为什么新增45~48而不是把所有内容挤进旧页</x:v>
      </x:c>
      <x:c r="C47" s="79" t="str">
        <x:v>Studio Shell、DeviceVariable、硬件抽象都是跨多页的正式基线；专页保证完整，同时在03/05/17/27等既有权威页同步关键规则</x:v>
      </x:c>
      <x:c r="D47" s="79" t="str">
        <x:v>兼顾可读性与不遗漏</x:v>
      </x:c>
      <x:c r="E47" s="79"/>
      <x:c r="F47" s="79"/>
      <x:c r="G47" s="79"/>
      <x:c r="H47" s="79"/>
    </x:row>
    <x:row r="48" ht="32.400001525878906" hidden="0" customHeight="1">
      <x:c r="A48" s="79" t="str">
        <x:v>D3</x:v>
      </x:c>
      <x:c r="B48" s="79" t="str">
        <x:v>为什么Robot/CT不采用深继承</x:v>
      </x:c>
      <x:c r="C48" s="79" t="str">
        <x:v>它们分别属于Motion/Vision“家族”表示复用公共契约、资源、安全、Debug和数据生命周期；专业执行语义差异大，组合比深继承更稳定</x:v>
      </x:c>
      <x:c r="D48" s="79" t="str">
        <x:v>长期扩展性</x:v>
      </x:c>
      <x:c r="E48" s="79"/>
      <x:c r="F48" s="79"/>
      <x:c r="G48" s="79"/>
      <x:c r="H48" s="79"/>
    </x:row>
    <x:row r="49" ht="32.400001525878906" hidden="0" customHeight="1">
      <x:c r="A49" s="79" t="str">
        <x:v>D4</x:v>
      </x:c>
      <x:c r="B49" s="79" t="str">
        <x:v>为什么DeviceVariable不只停Adapter</x:v>
      </x:c>
      <x:c r="C49" s="79" t="str">
        <x:v>用户闭环需要工程引用、设计器选择、运行订阅、报警趋势Graph、受控写回和保存重开；Adapter仅是入口</x:v>
      </x:c>
      <x:c r="D49" s="79" t="str">
        <x:v>真正可用的SCADA闭环</x:v>
      </x:c>
      <x:c r="E49" s="79"/>
      <x:c r="F49" s="79"/>
      <x:c r="G49" s="79"/>
      <x:c r="H49" s="79"/>
    </x:row>
    <x:row r="50" ht="32.400001525878906" hidden="0" customHeight="1">
      <x:c r="A50" s="79" t="str">
        <x:v>D5</x:v>
      </x:c>
      <x:c r="B50" s="79" t="str">
        <x:v>为什么硬件接口很多但不建万能基类</x:v>
      </x:c>
      <x:c r="C50" s="79" t="str">
        <x:v>控制器、总线、轴、IO、传感、安全、工艺设备生命周期和安全语义不同；用窄Capability组合能避免God Interface与厂商耦合</x:v>
      </x:c>
      <x:c r="D50" s="79" t="str">
        <x:v>工业平台可扩展性</x:v>
      </x:c>
      <x:c r="E50" s="79"/>
      <x:c r="F50" s="79"/>
      <x:c r="G50" s="79"/>
      <x:c r="H50" s="79"/>
    </x:row>
    <x:row r="51">
      <x:c r="A51" s="76"/>
      <x:c r="B51" s="76"/>
      <x:c r="C51" s="76"/>
      <x:c r="D51" s="76"/>
      <x:c r="E51" s="76"/>
      <x:c r="F51" s="76"/>
      <x:c r="G51" s="76"/>
      <x:c r="H51" s="76"/>
    </x:row>
    <x:row r="52">
      <x:c r="A52" s="76"/>
      <x:c r="B52" s="76"/>
      <x:c r="C52" s="76"/>
      <x:c r="D52" s="76"/>
      <x:c r="E52" s="76"/>
      <x:c r="F52" s="76"/>
      <x:c r="G52" s="76"/>
      <x:c r="H52" s="76"/>
    </x:row>
    <x:row r="53">
      <x:c r="A53" s="76"/>
      <x:c r="B53" s="76"/>
      <x:c r="C53" s="76"/>
      <x:c r="D53" s="76"/>
      <x:c r="E53" s="76"/>
      <x:c r="F53" s="76"/>
      <x:c r="G53" s="76"/>
      <x:c r="H53" s="76"/>
    </x:row>
    <x:row r="54">
      <x:c r="A54" s="76"/>
      <x:c r="B54" s="76"/>
      <x:c r="C54" s="76"/>
      <x:c r="D54" s="76"/>
      <x:c r="E54" s="76"/>
      <x:c r="F54" s="76"/>
      <x:c r="G54" s="76"/>
      <x:c r="H54" s="76"/>
    </x:row>
    <x:row r="55">
      <x:c r="A55" s="76"/>
      <x:c r="B55" s="76"/>
      <x:c r="C55" s="76"/>
      <x:c r="D55" s="76"/>
      <x:c r="E55" s="76"/>
      <x:c r="F55" s="76"/>
      <x:c r="G55" s="76"/>
      <x:c r="H55" s="76"/>
    </x:row>
    <x:row r="56">
      <x:c r="A56" s="76"/>
      <x:c r="B56" s="76"/>
      <x:c r="C56" s="76"/>
      <x:c r="D56" s="76"/>
      <x:c r="E56" s="76"/>
      <x:c r="F56" s="76"/>
      <x:c r="G56" s="76"/>
      <x:c r="H56" s="76"/>
    </x:row>
    <x:row r="57">
      <x:c r="A57" s="76"/>
      <x:c r="B57" s="76"/>
      <x:c r="C57" s="76"/>
      <x:c r="D57" s="76"/>
      <x:c r="E57" s="76"/>
      <x:c r="F57" s="76"/>
      <x:c r="G57" s="76"/>
      <x:c r="H57" s="76"/>
    </x:row>
    <x:row r="58">
      <x:c r="A58" s="76"/>
      <x:c r="B58" s="76"/>
      <x:c r="C58" s="76"/>
      <x:c r="D58" s="76"/>
      <x:c r="E58" s="76"/>
      <x:c r="F58" s="76"/>
      <x:c r="G58" s="76"/>
      <x:c r="H58" s="76"/>
    </x:row>
    <x:row r="59">
      <x:c r="A59" s="76"/>
      <x:c r="B59" s="76"/>
      <x:c r="C59" s="76"/>
      <x:c r="D59" s="76"/>
      <x:c r="E59" s="76"/>
      <x:c r="F59" s="76"/>
      <x:c r="G59" s="76"/>
      <x:c r="H59" s="76"/>
    </x:row>
    <x:row r="60">
      <x:c r="A60" s="76"/>
      <x:c r="B60" s="76"/>
      <x:c r="C60" s="76"/>
      <x:c r="D60" s="76"/>
      <x:c r="E60" s="76"/>
      <x:c r="F60" s="76"/>
      <x:c r="G60" s="76"/>
      <x:c r="H60" s="76"/>
    </x:row>
    <x:row r="61">
      <x:c r="A61" s="76"/>
      <x:c r="B61" s="76"/>
      <x:c r="C61" s="76"/>
      <x:c r="D61" s="76"/>
      <x:c r="E61" s="76"/>
      <x:c r="F61" s="76"/>
      <x:c r="G61" s="76"/>
      <x:c r="H61" s="76"/>
    </x:row>
    <x:row r="62">
      <x:c r="A62" s="76"/>
      <x:c r="B62" s="76"/>
      <x:c r="C62" s="76"/>
      <x:c r="D62" s="76"/>
      <x:c r="E62" s="76"/>
      <x:c r="F62" s="76"/>
      <x:c r="G62" s="76"/>
      <x:c r="H62" s="76"/>
    </x:row>
    <x:row r="63">
      <x:c r="A63" s="76"/>
      <x:c r="B63" s="76"/>
      <x:c r="C63" s="76"/>
      <x:c r="D63" s="76"/>
      <x:c r="E63" s="76"/>
      <x:c r="F63" s="76"/>
      <x:c r="G63" s="76"/>
      <x:c r="H63" s="76"/>
    </x:row>
    <x:row r="64">
      <x:c r="A64" s="76"/>
      <x:c r="B64" s="76"/>
      <x:c r="C64" s="76"/>
      <x:c r="D64" s="76"/>
      <x:c r="E64" s="76"/>
      <x:c r="F64" s="76"/>
      <x:c r="G64" s="76"/>
      <x:c r="H64" s="76"/>
    </x:row>
    <x:row r="65">
      <x:c r="A65" s="76"/>
      <x:c r="B65" s="76"/>
      <x:c r="C65" s="76"/>
      <x:c r="D65" s="76"/>
      <x:c r="E65" s="76"/>
      <x:c r="F65" s="76"/>
      <x:c r="G65" s="76"/>
      <x:c r="H65" s="76"/>
    </x:row>
    <x:row r="66">
      <x:c r="A66" s="76"/>
      <x:c r="B66" s="76"/>
      <x:c r="C66" s="76"/>
      <x:c r="D66" s="76"/>
      <x:c r="E66" s="76"/>
      <x:c r="F66" s="76"/>
      <x:c r="G66" s="76"/>
      <x:c r="H66" s="76"/>
    </x:row>
    <x:row r="67">
      <x:c r="A67" s="76"/>
      <x:c r="B67" s="76"/>
      <x:c r="C67" s="76"/>
      <x:c r="D67" s="76"/>
      <x:c r="E67" s="76"/>
      <x:c r="F67" s="76"/>
      <x:c r="G67" s="76"/>
      <x:c r="H67" s="76"/>
    </x:row>
    <x:row r="68">
      <x:c r="A68" s="76"/>
      <x:c r="B68" s="76"/>
      <x:c r="C68" s="76"/>
      <x:c r="D68" s="76"/>
      <x:c r="E68" s="76"/>
      <x:c r="F68" s="76"/>
      <x:c r="G68" s="76"/>
      <x:c r="H68" s="76"/>
    </x:row>
    <x:row r="69">
      <x:c r="A69" s="76"/>
      <x:c r="B69" s="76"/>
      <x:c r="C69" s="76"/>
      <x:c r="D69" s="76"/>
      <x:c r="E69" s="76"/>
      <x:c r="F69" s="76"/>
      <x:c r="G69" s="76"/>
      <x:c r="H69" s="76"/>
    </x:row>
    <x:row r="70">
      <x:c r="A70" s="76"/>
      <x:c r="B70" s="76"/>
      <x:c r="C70" s="76"/>
      <x:c r="D70" s="76"/>
      <x:c r="E70" s="76"/>
      <x:c r="F70" s="76"/>
      <x:c r="G70" s="76"/>
      <x:c r="H70" s="76"/>
    </x:row>
    <x:row r="71">
      <x:c r="A71" s="76"/>
      <x:c r="B71" s="76"/>
      <x:c r="C71" s="76"/>
      <x:c r="D71" s="76"/>
      <x:c r="E71" s="76"/>
      <x:c r="F71" s="76"/>
      <x:c r="G71" s="76"/>
      <x:c r="H71" s="76"/>
    </x:row>
    <x:row r="72">
      <x:c r="A72" s="76"/>
      <x:c r="B72" s="76"/>
      <x:c r="C72" s="76"/>
      <x:c r="D72" s="76"/>
      <x:c r="E72" s="76"/>
      <x:c r="F72" s="76"/>
      <x:c r="G72" s="76"/>
      <x:c r="H72" s="76"/>
    </x:row>
    <x:row r="73">
      <x:c r="A73" s="76"/>
      <x:c r="B73" s="76"/>
      <x:c r="C73" s="76"/>
      <x:c r="D73" s="76"/>
      <x:c r="E73" s="76"/>
      <x:c r="F73" s="76"/>
      <x:c r="G73" s="76"/>
      <x:c r="H73" s="76"/>
    </x:row>
    <x:row r="74">
      <x:c r="A74" s="76"/>
      <x:c r="B74" s="76"/>
      <x:c r="C74" s="76"/>
      <x:c r="D74" s="76"/>
      <x:c r="E74" s="76"/>
      <x:c r="F74" s="76"/>
      <x:c r="G74" s="76"/>
      <x:c r="H74" s="76"/>
    </x:row>
    <x:row r="75">
      <x:c r="A75" s="76"/>
      <x:c r="B75" s="76"/>
      <x:c r="C75" s="76"/>
      <x:c r="D75" s="76"/>
      <x:c r="E75" s="76"/>
      <x:c r="F75" s="76"/>
      <x:c r="G75" s="76"/>
      <x:c r="H75" s="76"/>
    </x:row>
    <x:row r="76">
      <x:c r="A76" s="76"/>
      <x:c r="B76" s="76"/>
      <x:c r="C76" s="76"/>
      <x:c r="D76" s="76"/>
      <x:c r="E76" s="76"/>
      <x:c r="F76" s="76"/>
      <x:c r="G76" s="76"/>
      <x:c r="H76" s="76"/>
    </x:row>
    <x:row r="77">
      <x:c r="A77" s="76"/>
      <x:c r="B77" s="76"/>
      <x:c r="C77" s="76"/>
      <x:c r="D77" s="76"/>
      <x:c r="E77" s="76"/>
      <x:c r="F77" s="76"/>
      <x:c r="G77" s="76"/>
      <x:c r="H77" s="76"/>
    </x:row>
    <x:row r="78">
      <x:c r="A78" s="76"/>
      <x:c r="B78" s="76"/>
      <x:c r="C78" s="76"/>
      <x:c r="D78" s="76"/>
      <x:c r="E78" s="76"/>
      <x:c r="F78" s="76"/>
      <x:c r="G78" s="76"/>
      <x:c r="H78" s="76"/>
    </x:row>
    <x:row r="79">
      <x:c r="A79" s="76"/>
      <x:c r="B79" s="76"/>
      <x:c r="C79" s="76"/>
      <x:c r="D79" s="76"/>
      <x:c r="E79" s="76"/>
      <x:c r="F79" s="76"/>
      <x:c r="G79" s="76"/>
      <x:c r="H79" s="76"/>
    </x:row>
    <x:row r="80">
      <x:c r="A80" s="76"/>
      <x:c r="B80" s="76"/>
      <x:c r="C80" s="76"/>
      <x:c r="D80" s="76"/>
      <x:c r="E80" s="76"/>
      <x:c r="F80" s="76"/>
      <x:c r="G80" s="76"/>
      <x:c r="H80" s="76"/>
    </x:row>
    <x:row r="81">
      <x:c r="A81" s="76"/>
      <x:c r="B81" s="76"/>
      <x:c r="C81" s="76"/>
      <x:c r="D81" s="76"/>
      <x:c r="E81" s="76"/>
      <x:c r="F81" s="76"/>
      <x:c r="G81" s="76"/>
      <x:c r="H81" s="76"/>
    </x:row>
    <x:row r="82">
      <x:c r="A82" s="76"/>
      <x:c r="B82" s="76"/>
      <x:c r="C82" s="76"/>
      <x:c r="D82" s="76"/>
      <x:c r="E82" s="76"/>
      <x:c r="F82" s="76"/>
      <x:c r="G82" s="76"/>
      <x:c r="H82" s="76"/>
    </x:row>
    <x:row r="83">
      <x:c r="A83" s="76"/>
      <x:c r="B83" s="76"/>
      <x:c r="C83" s="76"/>
      <x:c r="D83" s="76"/>
      <x:c r="E83" s="76"/>
      <x:c r="F83" s="76"/>
      <x:c r="G83" s="76"/>
      <x:c r="H83" s="76"/>
    </x:row>
    <x:row r="84">
      <x:c r="A84" s="76"/>
      <x:c r="B84" s="76"/>
      <x:c r="C84" s="76"/>
      <x:c r="D84" s="76"/>
      <x:c r="E84" s="76"/>
      <x:c r="F84" s="76"/>
      <x:c r="G84" s="76"/>
      <x:c r="H84" s="76"/>
    </x:row>
    <x:row r="85">
      <x:c r="A85" s="76"/>
      <x:c r="B85" s="76"/>
      <x:c r="C85" s="76"/>
      <x:c r="D85" s="76"/>
      <x:c r="E85" s="76"/>
      <x:c r="F85" s="76"/>
      <x:c r="G85" s="76"/>
      <x:c r="H85" s="76"/>
    </x:row>
    <x:row r="86">
      <x:c r="A86" s="76"/>
      <x:c r="B86" s="76"/>
      <x:c r="C86" s="76"/>
      <x:c r="D86" s="76"/>
      <x:c r="E86" s="76"/>
      <x:c r="F86" s="76"/>
      <x:c r="G86" s="76"/>
      <x:c r="H86" s="76"/>
    </x:row>
    <x:row r="87">
      <x:c r="A87" s="76"/>
      <x:c r="B87" s="76"/>
      <x:c r="C87" s="76"/>
      <x:c r="D87" s="76"/>
      <x:c r="E87" s="76"/>
      <x:c r="F87" s="76"/>
      <x:c r="G87" s="76"/>
      <x:c r="H87" s="76"/>
    </x:row>
    <x:row r="88">
      <x:c r="A88" s="76"/>
      <x:c r="B88" s="76"/>
      <x:c r="C88" s="76"/>
      <x:c r="D88" s="76"/>
      <x:c r="E88" s="76"/>
      <x:c r="F88" s="76"/>
      <x:c r="G88" s="76"/>
      <x:c r="H88" s="76"/>
    </x:row>
    <x:row r="89">
      <x:c r="A89" s="76"/>
      <x:c r="B89" s="76"/>
      <x:c r="C89" s="76"/>
      <x:c r="D89" s="76"/>
      <x:c r="E89" s="76"/>
      <x:c r="F89" s="76"/>
      <x:c r="G89" s="76"/>
      <x:c r="H89" s="76"/>
    </x:row>
    <x:row r="90">
      <x:c r="A90" s="76"/>
      <x:c r="B90" s="76"/>
      <x:c r="C90" s="76"/>
      <x:c r="D90" s="76"/>
      <x:c r="E90" s="76"/>
      <x:c r="F90" s="76"/>
      <x:c r="G90" s="76"/>
      <x:c r="H90" s="76"/>
    </x:row>
    <x:row r="91">
      <x:c r="A91" s="76"/>
      <x:c r="B91" s="76"/>
      <x:c r="C91" s="76"/>
      <x:c r="D91" s="76"/>
      <x:c r="E91" s="76"/>
      <x:c r="F91" s="76"/>
      <x:c r="G91" s="76"/>
      <x:c r="H91" s="76"/>
    </x:row>
    <x:row r="92">
      <x:c r="A92" s="76"/>
      <x:c r="B92" s="76"/>
      <x:c r="C92" s="76"/>
      <x:c r="D92" s="76"/>
      <x:c r="E92" s="76"/>
      <x:c r="F92" s="76"/>
      <x:c r="G92" s="76"/>
      <x:c r="H92" s="76"/>
    </x:row>
    <x:row r="93">
      <x:c r="A93" s="76"/>
      <x:c r="B93" s="76"/>
      <x:c r="C93" s="76"/>
      <x:c r="D93" s="76"/>
      <x:c r="E93" s="76"/>
      <x:c r="F93" s="76"/>
      <x:c r="G93" s="76"/>
      <x:c r="H93" s="76"/>
    </x:row>
    <x:row r="94">
      <x:c r="A94" s="76"/>
      <x:c r="B94" s="76"/>
      <x:c r="C94" s="76"/>
      <x:c r="D94" s="76"/>
      <x:c r="E94" s="76"/>
      <x:c r="F94" s="76"/>
      <x:c r="G94" s="76"/>
      <x:c r="H94" s="76"/>
    </x:row>
    <x:row r="95">
      <x:c r="A95" s="76"/>
      <x:c r="B95" s="76"/>
      <x:c r="C95" s="76"/>
      <x:c r="D95" s="76"/>
      <x:c r="E95" s="76"/>
      <x:c r="F95" s="76"/>
      <x:c r="G95" s="76"/>
      <x:c r="H95" s="76"/>
    </x:row>
    <x:row r="96">
      <x:c r="A96" s="76"/>
      <x:c r="B96" s="76"/>
      <x:c r="C96" s="76"/>
      <x:c r="D96" s="76"/>
      <x:c r="E96" s="76"/>
      <x:c r="F96" s="76"/>
      <x:c r="G96" s="76"/>
      <x:c r="H96" s="76"/>
    </x:row>
    <x:row r="97">
      <x:c r="A97" s="76"/>
      <x:c r="B97" s="76"/>
      <x:c r="C97" s="76"/>
      <x:c r="D97" s="76"/>
      <x:c r="E97" s="76"/>
      <x:c r="F97" s="76"/>
      <x:c r="G97" s="76"/>
      <x:c r="H97" s="76"/>
    </x:row>
    <x:row r="98">
      <x:c r="A98" s="76"/>
      <x:c r="B98" s="76"/>
      <x:c r="C98" s="76"/>
      <x:c r="D98" s="76"/>
      <x:c r="E98" s="76"/>
      <x:c r="F98" s="76"/>
      <x:c r="G98" s="76"/>
      <x:c r="H98" s="76"/>
    </x:row>
    <x:row r="99">
      <x:c r="A99" s="76"/>
      <x:c r="B99" s="76"/>
      <x:c r="C99" s="76"/>
      <x:c r="D99" s="76"/>
      <x:c r="E99" s="76"/>
      <x:c r="F99" s="76"/>
      <x:c r="G99" s="76"/>
      <x:c r="H99" s="76"/>
    </x:row>
    <x:row r="100">
      <x:c r="A100" s="76"/>
      <x:c r="B100" s="76"/>
      <x:c r="C100" s="76"/>
      <x:c r="D100" s="76"/>
      <x:c r="E100" s="76"/>
      <x:c r="F100" s="76"/>
      <x:c r="G100" s="76"/>
      <x:c r="H100" s="76"/>
    </x:row>
    <x:row r="101">
      <x:c r="A101" s="76"/>
      <x:c r="B101" s="76"/>
      <x:c r="C101" s="76"/>
      <x:c r="D101" s="76"/>
      <x:c r="E101" s="76"/>
      <x:c r="F101" s="76"/>
      <x:c r="G101" s="76"/>
      <x:c r="H101" s="76"/>
    </x:row>
    <x:row r="102">
      <x:c r="A102" s="76"/>
      <x:c r="B102" s="76"/>
      <x:c r="C102" s="76"/>
      <x:c r="D102" s="76"/>
      <x:c r="E102" s="76"/>
      <x:c r="F102" s="76"/>
      <x:c r="G102" s="76"/>
      <x:c r="H102" s="76"/>
    </x:row>
    <x:row r="103">
      <x:c r="A103" s="76"/>
      <x:c r="B103" s="76"/>
      <x:c r="C103" s="76"/>
      <x:c r="D103" s="76"/>
      <x:c r="E103" s="76"/>
      <x:c r="F103" s="76"/>
      <x:c r="G103" s="76"/>
      <x:c r="H103" s="76"/>
    </x:row>
    <x:row r="104">
      <x:c r="A104" s="76"/>
      <x:c r="B104" s="76"/>
      <x:c r="C104" s="76"/>
      <x:c r="D104" s="76"/>
      <x:c r="E104" s="76"/>
      <x:c r="F104" s="76"/>
      <x:c r="G104" s="76"/>
      <x:c r="H104" s="76"/>
    </x:row>
    <x:row r="105">
      <x:c r="A105" s="76"/>
      <x:c r="B105" s="76"/>
      <x:c r="C105" s="76"/>
      <x:c r="D105" s="76"/>
      <x:c r="E105" s="76"/>
      <x:c r="F105" s="76"/>
      <x:c r="G105" s="76"/>
      <x:c r="H105" s="76"/>
    </x:row>
    <x:row r="106">
      <x:c r="A106" s="76"/>
      <x:c r="B106" s="76"/>
      <x:c r="C106" s="76"/>
      <x:c r="D106" s="76"/>
      <x:c r="E106" s="76"/>
      <x:c r="F106" s="76"/>
      <x:c r="G106" s="76"/>
      <x:c r="H106" s="76"/>
    </x:row>
    <x:row r="107">
      <x:c r="A107" s="76"/>
      <x:c r="B107" s="76"/>
      <x:c r="C107" s="76"/>
      <x:c r="D107" s="76"/>
      <x:c r="E107" s="76"/>
      <x:c r="F107" s="76"/>
      <x:c r="G107" s="76"/>
      <x:c r="H107" s="76"/>
    </x:row>
    <x:row r="108">
      <x:c r="A108" s="76"/>
      <x:c r="B108" s="76"/>
      <x:c r="C108" s="76"/>
      <x:c r="D108" s="76"/>
      <x:c r="E108" s="76"/>
      <x:c r="F108" s="76"/>
      <x:c r="G108" s="76"/>
      <x:c r="H108" s="76"/>
    </x:row>
    <x:row r="109">
      <x:c r="A109" s="76"/>
      <x:c r="B109" s="76"/>
      <x:c r="C109" s="76"/>
      <x:c r="D109" s="76"/>
      <x:c r="E109" s="76"/>
      <x:c r="F109" s="76"/>
      <x:c r="G109" s="76"/>
      <x:c r="H109" s="76"/>
    </x:row>
    <x:row r="110">
      <x:c r="A110" s="76"/>
      <x:c r="B110" s="76"/>
      <x:c r="C110" s="76"/>
      <x:c r="D110" s="76"/>
      <x:c r="E110" s="76"/>
      <x:c r="F110" s="76"/>
      <x:c r="G110" s="76"/>
      <x:c r="H110" s="76"/>
    </x:row>
    <x:row r="111">
      <x:c r="A111" s="76"/>
      <x:c r="B111" s="76"/>
      <x:c r="C111" s="76"/>
      <x:c r="D111" s="76"/>
      <x:c r="E111" s="76"/>
      <x:c r="F111" s="76"/>
      <x:c r="G111" s="76"/>
      <x:c r="H111" s="76"/>
    </x:row>
    <x:row r="112">
      <x:c r="A112" s="76"/>
      <x:c r="B112" s="76"/>
      <x:c r="C112" s="76"/>
      <x:c r="D112" s="76"/>
      <x:c r="E112" s="76"/>
      <x:c r="F112" s="76"/>
      <x:c r="G112" s="76"/>
      <x:c r="H112" s="76"/>
    </x:row>
    <x:row r="113">
      <x:c r="A113" s="76"/>
      <x:c r="B113" s="76"/>
      <x:c r="C113" s="76"/>
      <x:c r="D113" s="76"/>
      <x:c r="E113" s="76"/>
      <x:c r="F113" s="76"/>
      <x:c r="G113" s="76"/>
      <x:c r="H113" s="76"/>
    </x:row>
    <x:row r="114">
      <x:c r="A114" s="76"/>
      <x:c r="B114" s="76"/>
      <x:c r="C114" s="76"/>
      <x:c r="D114" s="76"/>
      <x:c r="E114" s="76"/>
      <x:c r="F114" s="76"/>
      <x:c r="G114" s="76"/>
      <x:c r="H114" s="76"/>
    </x:row>
    <x:row r="115">
      <x:c r="A115" s="76"/>
      <x:c r="B115" s="76"/>
      <x:c r="C115" s="76"/>
      <x:c r="D115" s="76"/>
      <x:c r="E115" s="76"/>
      <x:c r="F115" s="76"/>
      <x:c r="G115" s="76"/>
      <x:c r="H115" s="76"/>
    </x:row>
    <x:row r="116">
      <x:c r="A116" s="76"/>
      <x:c r="B116" s="76"/>
      <x:c r="C116" s="76"/>
      <x:c r="D116" s="76"/>
      <x:c r="E116" s="76"/>
      <x:c r="F116" s="76"/>
      <x:c r="G116" s="76"/>
      <x:c r="H116" s="76"/>
    </x:row>
    <x:row r="117">
      <x:c r="A117" s="76"/>
      <x:c r="B117" s="76"/>
      <x:c r="C117" s="76"/>
      <x:c r="D117" s="76"/>
      <x:c r="E117" s="76"/>
      <x:c r="F117" s="76"/>
      <x:c r="G117" s="76"/>
      <x:c r="H117" s="76"/>
    </x:row>
    <x:row r="118">
      <x:c r="A118" s="76"/>
      <x:c r="B118" s="76"/>
      <x:c r="C118" s="76"/>
      <x:c r="D118" s="76"/>
      <x:c r="E118" s="76"/>
      <x:c r="F118" s="76"/>
      <x:c r="G118" s="76"/>
      <x:c r="H118" s="76"/>
    </x:row>
    <x:row r="119">
      <x:c r="A119" s="76"/>
      <x:c r="B119" s="76"/>
      <x:c r="C119" s="76"/>
      <x:c r="D119" s="76"/>
      <x:c r="E119" s="76"/>
      <x:c r="F119" s="76"/>
      <x:c r="G119" s="76"/>
      <x:c r="H119" s="76"/>
    </x:row>
    <x:row r="120">
      <x:c r="A120" s="76"/>
      <x:c r="B120" s="76"/>
      <x:c r="C120" s="76"/>
      <x:c r="D120" s="76"/>
      <x:c r="E120" s="76"/>
      <x:c r="F120" s="76"/>
      <x:c r="G120" s="76"/>
      <x:c r="H120" s="76"/>
    </x:row>
    <x:row r="121">
      <x:c r="A121" s="76"/>
      <x:c r="B121" s="76"/>
      <x:c r="C121" s="76"/>
      <x:c r="D121" s="76"/>
      <x:c r="E121" s="76"/>
      <x:c r="F121" s="76"/>
      <x:c r="G121" s="76"/>
      <x:c r="H121" s="76"/>
    </x:row>
    <x:row r="122">
      <x:c r="A122" s="76"/>
      <x:c r="B122" s="76"/>
      <x:c r="C122" s="76"/>
      <x:c r="D122" s="76"/>
      <x:c r="E122" s="76"/>
      <x:c r="F122" s="76"/>
      <x:c r="G122" s="76"/>
      <x:c r="H122" s="76"/>
    </x:row>
    <x:row r="123">
      <x:c r="A123" s="76"/>
      <x:c r="B123" s="76"/>
      <x:c r="C123" s="76"/>
      <x:c r="D123" s="76"/>
      <x:c r="E123" s="76"/>
      <x:c r="F123" s="76"/>
      <x:c r="G123" s="76"/>
      <x:c r="H123" s="76"/>
    </x:row>
    <x:row r="124">
      <x:c r="A124" s="76"/>
      <x:c r="B124" s="76"/>
      <x:c r="C124" s="76"/>
      <x:c r="D124" s="76"/>
      <x:c r="E124" s="76"/>
      <x:c r="F124" s="76"/>
      <x:c r="G124" s="76"/>
      <x:c r="H124" s="76"/>
    </x:row>
    <x:row r="125">
      <x:c r="A125" s="76"/>
      <x:c r="B125" s="76"/>
      <x:c r="C125" s="76"/>
      <x:c r="D125" s="76"/>
      <x:c r="E125" s="76"/>
      <x:c r="F125" s="76"/>
      <x:c r="G125" s="76"/>
      <x:c r="H125" s="76"/>
    </x:row>
    <x:row r="126">
      <x:c r="A126" s="76"/>
      <x:c r="B126" s="76"/>
      <x:c r="C126" s="76"/>
      <x:c r="D126" s="76"/>
      <x:c r="E126" s="76"/>
      <x:c r="F126" s="76"/>
      <x:c r="G126" s="76"/>
      <x:c r="H126" s="76"/>
    </x:row>
    <x:row r="127">
      <x:c r="A127" s="76"/>
      <x:c r="B127" s="76"/>
      <x:c r="C127" s="76"/>
      <x:c r="D127" s="76"/>
      <x:c r="E127" s="76"/>
      <x:c r="F127" s="76"/>
      <x:c r="G127" s="76"/>
      <x:c r="H127" s="76"/>
    </x:row>
    <x:row r="128">
      <x:c r="A128" s="76"/>
      <x:c r="B128" s="76"/>
      <x:c r="C128" s="76"/>
      <x:c r="D128" s="76"/>
      <x:c r="E128" s="76"/>
      <x:c r="F128" s="76"/>
      <x:c r="G128" s="76"/>
      <x:c r="H128" s="76"/>
    </x:row>
    <x:row r="129">
      <x:c r="A129" s="76"/>
      <x:c r="B129" s="76"/>
      <x:c r="C129" s="76"/>
      <x:c r="D129" s="76"/>
      <x:c r="E129" s="76"/>
      <x:c r="F129" s="76"/>
      <x:c r="G129" s="76"/>
      <x:c r="H129" s="76"/>
    </x:row>
    <x:row r="130">
      <x:c r="A130" s="76"/>
      <x:c r="B130" s="76"/>
      <x:c r="C130" s="76"/>
      <x:c r="D130" s="76"/>
      <x:c r="E130" s="76"/>
      <x:c r="F130" s="76"/>
      <x:c r="G130" s="76"/>
      <x:c r="H130" s="76"/>
    </x:row>
    <x:row r="131">
      <x:c r="A131" s="76"/>
      <x:c r="B131" s="76"/>
      <x:c r="C131" s="76"/>
      <x:c r="D131" s="76"/>
      <x:c r="E131" s="76"/>
      <x:c r="F131" s="76"/>
      <x:c r="G131" s="76"/>
      <x:c r="H131" s="76"/>
    </x:row>
    <x:row r="132">
      <x:c r="A132" s="76"/>
      <x:c r="B132" s="76"/>
      <x:c r="C132" s="76"/>
      <x:c r="D132" s="76"/>
      <x:c r="E132" s="76"/>
      <x:c r="F132" s="76"/>
      <x:c r="G132" s="76"/>
      <x:c r="H132" s="76"/>
    </x:row>
    <x:row r="133">
      <x:c r="A133" s="76"/>
      <x:c r="B133" s="76"/>
      <x:c r="C133" s="76"/>
      <x:c r="D133" s="76"/>
      <x:c r="E133" s="76"/>
      <x:c r="F133" s="76"/>
      <x:c r="G133" s="76"/>
      <x:c r="H133" s="76"/>
    </x:row>
    <x:row r="134">
      <x:c r="A134" s="76"/>
      <x:c r="B134" s="76"/>
      <x:c r="C134" s="76"/>
      <x:c r="D134" s="76"/>
      <x:c r="E134" s="76"/>
      <x:c r="F134" s="76"/>
      <x:c r="G134" s="76"/>
      <x:c r="H134" s="76"/>
    </x:row>
    <x:row r="135">
      <x:c r="A135" s="76"/>
      <x:c r="B135" s="76"/>
      <x:c r="C135" s="76"/>
      <x:c r="D135" s="76"/>
      <x:c r="E135" s="76"/>
      <x:c r="F135" s="76"/>
      <x:c r="G135" s="76"/>
      <x:c r="H135" s="76"/>
    </x:row>
    <x:row r="136">
      <x:c r="A136" s="76"/>
      <x:c r="B136" s="76"/>
      <x:c r="C136" s="76"/>
      <x:c r="D136" s="76"/>
      <x:c r="E136" s="76"/>
      <x:c r="F136" s="76"/>
      <x:c r="G136" s="76"/>
      <x:c r="H136" s="76"/>
    </x:row>
    <x:row r="137">
      <x:c r="A137" s="76"/>
      <x:c r="B137" s="76"/>
      <x:c r="C137" s="76"/>
      <x:c r="D137" s="76"/>
      <x:c r="E137" s="76"/>
      <x:c r="F137" s="76"/>
      <x:c r="G137" s="76"/>
      <x:c r="H137" s="76"/>
    </x:row>
    <x:row r="138">
      <x:c r="A138" s="76"/>
      <x:c r="B138" s="76"/>
      <x:c r="C138" s="76"/>
      <x:c r="D138" s="76"/>
      <x:c r="E138" s="76"/>
      <x:c r="F138" s="76"/>
      <x:c r="G138" s="76"/>
      <x:c r="H138" s="76"/>
    </x:row>
    <x:row r="139">
      <x:c r="A139" s="76"/>
      <x:c r="B139" s="76"/>
      <x:c r="C139" s="76"/>
      <x:c r="D139" s="76"/>
      <x:c r="E139" s="76"/>
      <x:c r="F139" s="76"/>
      <x:c r="G139" s="76"/>
      <x:c r="H139" s="76"/>
    </x:row>
    <x:row r="140">
      <x:c r="A140" s="76"/>
      <x:c r="B140" s="76"/>
      <x:c r="C140" s="76"/>
      <x:c r="D140" s="76"/>
      <x:c r="E140" s="76"/>
      <x:c r="F140" s="76"/>
      <x:c r="G140" s="76"/>
      <x:c r="H140" s="76"/>
    </x:row>
    <x:row r="141">
      <x:c r="A141" s="76"/>
      <x:c r="B141" s="76"/>
      <x:c r="C141" s="76"/>
      <x:c r="D141" s="76"/>
      <x:c r="E141" s="76"/>
      <x:c r="F141" s="76"/>
      <x:c r="G141" s="76"/>
      <x:c r="H141" s="76"/>
    </x:row>
    <x:row r="142">
      <x:c r="A142" s="76"/>
      <x:c r="B142" s="76"/>
      <x:c r="C142" s="76"/>
      <x:c r="D142" s="76"/>
      <x:c r="E142" s="76"/>
      <x:c r="F142" s="76"/>
      <x:c r="G142" s="76"/>
      <x:c r="H142" s="76"/>
    </x:row>
    <x:row r="143">
      <x:c r="A143" s="76"/>
      <x:c r="B143" s="76"/>
      <x:c r="C143" s="76"/>
      <x:c r="D143" s="76"/>
      <x:c r="E143" s="76"/>
      <x:c r="F143" s="76"/>
      <x:c r="G143" s="76"/>
      <x:c r="H143" s="76"/>
    </x:row>
    <x:row r="144">
      <x:c r="A144" s="76"/>
      <x:c r="B144" s="76"/>
      <x:c r="C144" s="76"/>
      <x:c r="D144" s="76"/>
      <x:c r="E144" s="76"/>
      <x:c r="F144" s="76"/>
      <x:c r="G144" s="76"/>
      <x:c r="H144" s="76"/>
    </x:row>
    <x:row r="145">
      <x:c r="A145" s="76"/>
      <x:c r="B145" s="76"/>
      <x:c r="C145" s="76"/>
      <x:c r="D145" s="76"/>
      <x:c r="E145" s="76"/>
      <x:c r="F145" s="76"/>
      <x:c r="G145" s="76"/>
      <x:c r="H145" s="76"/>
    </x:row>
    <x:row r="146">
      <x:c r="A146" s="76"/>
      <x:c r="B146" s="76"/>
      <x:c r="C146" s="76"/>
      <x:c r="D146" s="76"/>
      <x:c r="E146" s="76"/>
      <x:c r="F146" s="76"/>
      <x:c r="G146" s="76"/>
      <x:c r="H146" s="76"/>
    </x:row>
    <x:row r="147">
      <x:c r="A147" s="76"/>
      <x:c r="B147" s="76"/>
      <x:c r="C147" s="76"/>
      <x:c r="D147" s="76"/>
      <x:c r="E147" s="76"/>
      <x:c r="F147" s="76"/>
      <x:c r="G147" s="76"/>
      <x:c r="H147" s="76"/>
    </x:row>
    <x:row r="148">
      <x:c r="A148" s="76"/>
      <x:c r="B148" s="76"/>
      <x:c r="C148" s="76"/>
      <x:c r="D148" s="76"/>
      <x:c r="E148" s="76"/>
      <x:c r="F148" s="76"/>
      <x:c r="G148" s="76"/>
      <x:c r="H148" s="76"/>
    </x:row>
    <x:row r="149">
      <x:c r="A149" s="76"/>
      <x:c r="B149" s="76"/>
      <x:c r="C149" s="76"/>
      <x:c r="D149" s="76"/>
      <x:c r="E149" s="76"/>
      <x:c r="F149" s="76"/>
      <x:c r="G149" s="76"/>
      <x:c r="H149" s="76"/>
    </x:row>
    <x:row r="150">
      <x:c r="A150" s="76"/>
      <x:c r="B150" s="76"/>
      <x:c r="C150" s="76"/>
      <x:c r="D150" s="76"/>
      <x:c r="E150" s="76"/>
      <x:c r="F150" s="76"/>
      <x:c r="G150" s="76"/>
      <x:c r="H150" s="76"/>
    </x:row>
    <x:row r="151">
      <x:c r="A151" s="76"/>
      <x:c r="B151" s="76"/>
      <x:c r="C151" s="76"/>
      <x:c r="D151" s="76"/>
      <x:c r="E151" s="76"/>
      <x:c r="F151" s="76"/>
      <x:c r="G151" s="76"/>
      <x:c r="H151" s="76"/>
    </x:row>
    <x:row r="152">
      <x:c r="A152" s="76"/>
      <x:c r="B152" s="76"/>
      <x:c r="C152" s="76"/>
      <x:c r="D152" s="76"/>
      <x:c r="E152" s="76"/>
      <x:c r="F152" s="76"/>
      <x:c r="G152" s="76"/>
      <x:c r="H152" s="76"/>
    </x:row>
    <x:row r="153">
      <x:c r="A153" s="76"/>
      <x:c r="B153" s="76"/>
      <x:c r="C153" s="76"/>
      <x:c r="D153" s="76"/>
      <x:c r="E153" s="76"/>
      <x:c r="F153" s="76"/>
      <x:c r="G153" s="76"/>
      <x:c r="H153" s="76"/>
    </x:row>
    <x:row r="154">
      <x:c r="A154" s="76"/>
      <x:c r="B154" s="76"/>
      <x:c r="C154" s="76"/>
      <x:c r="D154" s="76"/>
      <x:c r="E154" s="76"/>
      <x:c r="F154" s="76"/>
      <x:c r="G154" s="76"/>
      <x:c r="H154" s="76"/>
    </x:row>
    <x:row r="155">
      <x:c r="A155" s="76"/>
      <x:c r="B155" s="76"/>
      <x:c r="C155" s="76"/>
      <x:c r="D155" s="76"/>
      <x:c r="E155" s="76"/>
      <x:c r="F155" s="76"/>
      <x:c r="G155" s="76"/>
      <x:c r="H155" s="76"/>
    </x:row>
    <x:row r="156">
      <x:c r="A156" s="76"/>
      <x:c r="B156" s="76"/>
      <x:c r="C156" s="76"/>
      <x:c r="D156" s="76"/>
      <x:c r="E156" s="76"/>
      <x:c r="F156" s="76"/>
      <x:c r="G156" s="76"/>
      <x:c r="H156" s="76"/>
    </x:row>
    <x:row r="157">
      <x:c r="A157" s="76"/>
      <x:c r="B157" s="76"/>
      <x:c r="C157" s="76"/>
      <x:c r="D157" s="76"/>
      <x:c r="E157" s="76"/>
      <x:c r="F157" s="76"/>
      <x:c r="G157" s="76"/>
      <x:c r="H157" s="76"/>
    </x:row>
    <x:row r="158">
      <x:c r="A158" s="76"/>
      <x:c r="B158" s="76"/>
      <x:c r="C158" s="76"/>
      <x:c r="D158" s="76"/>
      <x:c r="E158" s="76"/>
      <x:c r="F158" s="76"/>
      <x:c r="G158" s="76"/>
      <x:c r="H158" s="76"/>
    </x:row>
    <x:row r="159">
      <x:c r="A159" s="76"/>
      <x:c r="B159" s="76"/>
      <x:c r="C159" s="76"/>
      <x:c r="D159" s="76"/>
      <x:c r="E159" s="76"/>
      <x:c r="F159" s="76"/>
      <x:c r="G159" s="76"/>
      <x:c r="H159" s="76"/>
    </x:row>
    <x:row r="160">
      <x:c r="A160" s="76"/>
      <x:c r="B160" s="76"/>
      <x:c r="C160" s="76"/>
      <x:c r="D160" s="76"/>
      <x:c r="E160" s="76"/>
      <x:c r="F160" s="76"/>
      <x:c r="G160" s="76"/>
      <x:c r="H160" s="76"/>
    </x:row>
    <x:row r="161">
      <x:c r="A161" s="76"/>
      <x:c r="B161" s="76"/>
      <x:c r="C161" s="76"/>
      <x:c r="D161" s="76"/>
      <x:c r="E161" s="76"/>
      <x:c r="F161" s="76"/>
      <x:c r="G161" s="76"/>
      <x:c r="H161" s="76"/>
    </x:row>
    <x:row r="162">
      <x:c r="A162" s="76"/>
      <x:c r="B162" s="76"/>
      <x:c r="C162" s="76"/>
      <x:c r="D162" s="76"/>
      <x:c r="E162" s="76"/>
      <x:c r="F162" s="76"/>
      <x:c r="G162" s="76"/>
      <x:c r="H162" s="76"/>
    </x:row>
    <x:row r="163">
      <x:c r="A163" s="76"/>
      <x:c r="B163" s="76"/>
      <x:c r="C163" s="76"/>
      <x:c r="D163" s="76"/>
      <x:c r="E163" s="76"/>
      <x:c r="F163" s="76"/>
      <x:c r="G163" s="76"/>
      <x:c r="H163" s="76"/>
    </x:row>
    <x:row r="164">
      <x:c r="A164" s="76"/>
      <x:c r="B164" s="76"/>
      <x:c r="C164" s="76"/>
      <x:c r="D164" s="76"/>
      <x:c r="E164" s="76"/>
      <x:c r="F164" s="76"/>
      <x:c r="G164" s="76"/>
      <x:c r="H164" s="76"/>
    </x:row>
    <x:row r="165">
      <x:c r="A165" s="76"/>
      <x:c r="B165" s="76"/>
      <x:c r="C165" s="76"/>
      <x:c r="D165" s="76"/>
      <x:c r="E165" s="76"/>
      <x:c r="F165" s="76"/>
      <x:c r="G165" s="76"/>
      <x:c r="H165" s="76"/>
    </x:row>
    <x:row r="166">
      <x:c r="A166" s="76"/>
      <x:c r="B166" s="76"/>
      <x:c r="C166" s="76"/>
      <x:c r="D166" s="76"/>
      <x:c r="E166" s="76"/>
      <x:c r="F166" s="76"/>
      <x:c r="G166" s="76"/>
      <x:c r="H166" s="76"/>
    </x:row>
    <x:row r="167">
      <x:c r="A167" s="76"/>
      <x:c r="B167" s="76"/>
      <x:c r="C167" s="76"/>
      <x:c r="D167" s="76"/>
      <x:c r="E167" s="76"/>
      <x:c r="F167" s="76"/>
      <x:c r="G167" s="76"/>
      <x:c r="H167" s="76"/>
    </x:row>
    <x:row r="168">
      <x:c r="A168" s="76"/>
      <x:c r="B168" s="76"/>
      <x:c r="C168" s="76"/>
      <x:c r="D168" s="76"/>
      <x:c r="E168" s="76"/>
      <x:c r="F168" s="76"/>
      <x:c r="G168" s="76"/>
      <x:c r="H168" s="76"/>
    </x:row>
    <x:row r="169">
      <x:c r="A169" s="76"/>
      <x:c r="B169" s="76"/>
      <x:c r="C169" s="76"/>
      <x:c r="D169" s="76"/>
      <x:c r="E169" s="76"/>
      <x:c r="F169" s="76"/>
      <x:c r="G169" s="76"/>
      <x:c r="H169" s="76"/>
    </x:row>
    <x:row r="170">
      <x:c r="A170" s="76"/>
      <x:c r="B170" s="76"/>
      <x:c r="C170" s="76"/>
      <x:c r="D170" s="76"/>
      <x:c r="E170" s="76"/>
      <x:c r="F170" s="76"/>
      <x:c r="G170" s="76"/>
      <x:c r="H170" s="76"/>
    </x:row>
    <x:row r="171">
      <x:c r="A171" s="76"/>
      <x:c r="B171" s="76"/>
      <x:c r="C171" s="76"/>
      <x:c r="D171" s="76"/>
      <x:c r="E171" s="76"/>
      <x:c r="F171" s="76"/>
      <x:c r="G171" s="76"/>
      <x:c r="H171" s="76"/>
    </x:row>
    <x:row r="172">
      <x:c r="A172" s="76"/>
      <x:c r="B172" s="76"/>
      <x:c r="C172" s="76"/>
      <x:c r="D172" s="76"/>
      <x:c r="E172" s="76"/>
      <x:c r="F172" s="76"/>
      <x:c r="G172" s="76"/>
      <x:c r="H172" s="76"/>
    </x:row>
    <x:row r="173">
      <x:c r="A173" s="76"/>
      <x:c r="B173" s="76"/>
      <x:c r="C173" s="76"/>
      <x:c r="D173" s="76"/>
      <x:c r="E173" s="76"/>
      <x:c r="F173" s="76"/>
      <x:c r="G173" s="76"/>
      <x:c r="H173" s="76"/>
    </x:row>
    <x:row r="174">
      <x:c r="A174" s="76"/>
      <x:c r="B174" s="76"/>
      <x:c r="C174" s="76"/>
      <x:c r="D174" s="76"/>
      <x:c r="E174" s="76"/>
      <x:c r="F174" s="76"/>
      <x:c r="G174" s="76"/>
      <x:c r="H174" s="76"/>
    </x:row>
    <x:row r="175">
      <x:c r="A175" s="76"/>
      <x:c r="B175" s="76"/>
      <x:c r="C175" s="76"/>
      <x:c r="D175" s="76"/>
      <x:c r="E175" s="76"/>
      <x:c r="F175" s="76"/>
      <x:c r="G175" s="76"/>
      <x:c r="H175" s="76"/>
    </x:row>
    <x:row r="176">
      <x:c r="A176" s="76"/>
      <x:c r="B176" s="76"/>
      <x:c r="C176" s="76"/>
      <x:c r="D176" s="76"/>
      <x:c r="E176" s="76"/>
      <x:c r="F176" s="76"/>
      <x:c r="G176" s="76"/>
      <x:c r="H176" s="76"/>
    </x:row>
    <x:row r="177">
      <x:c r="A177" s="76"/>
      <x:c r="B177" s="76"/>
      <x:c r="C177" s="76"/>
      <x:c r="D177" s="76"/>
      <x:c r="E177" s="76"/>
      <x:c r="F177" s="76"/>
      <x:c r="G177" s="76"/>
      <x:c r="H177" s="76"/>
    </x:row>
    <x:row r="178">
      <x:c r="A178" s="76"/>
      <x:c r="B178" s="76"/>
      <x:c r="C178" s="76"/>
      <x:c r="D178" s="76"/>
      <x:c r="E178" s="76"/>
      <x:c r="F178" s="76"/>
      <x:c r="G178" s="76"/>
      <x:c r="H178" s="76"/>
    </x:row>
    <x:row r="179">
      <x:c r="A179" s="76"/>
      <x:c r="B179" s="76"/>
      <x:c r="C179" s="76"/>
      <x:c r="D179" s="76"/>
      <x:c r="E179" s="76"/>
      <x:c r="F179" s="76"/>
      <x:c r="G179" s="76"/>
      <x:c r="H179" s="76"/>
    </x:row>
    <x:row r="180">
      <x:c r="A180" s="76"/>
      <x:c r="B180" s="76"/>
      <x:c r="C180" s="76"/>
      <x:c r="D180" s="76"/>
      <x:c r="E180" s="76"/>
      <x:c r="F180" s="76"/>
      <x:c r="G180" s="76"/>
      <x:c r="H180" s="76"/>
    </x:row>
    <x:row r="181">
      <x:c r="A181" s="76"/>
      <x:c r="B181" s="76"/>
      <x:c r="C181" s="76"/>
      <x:c r="D181" s="76"/>
      <x:c r="E181" s="76"/>
      <x:c r="F181" s="76"/>
      <x:c r="G181" s="76"/>
      <x:c r="H181" s="76"/>
    </x:row>
    <x:row r="182">
      <x:c r="A182" s="76"/>
      <x:c r="B182" s="76"/>
      <x:c r="C182" s="76"/>
      <x:c r="D182" s="76"/>
      <x:c r="E182" s="76"/>
      <x:c r="F182" s="76"/>
      <x:c r="G182" s="76"/>
      <x:c r="H182" s="76"/>
    </x:row>
    <x:row r="183">
      <x:c r="A183" s="76"/>
      <x:c r="B183" s="76"/>
      <x:c r="C183" s="76"/>
      <x:c r="D183" s="76"/>
      <x:c r="E183" s="76"/>
      <x:c r="F183" s="76"/>
      <x:c r="G183" s="76"/>
      <x:c r="H183" s="76"/>
    </x:row>
    <x:row r="184">
      <x:c r="A184" s="76"/>
      <x:c r="B184" s="76"/>
      <x:c r="C184" s="76"/>
      <x:c r="D184" s="76"/>
      <x:c r="E184" s="76"/>
      <x:c r="F184" s="76"/>
      <x:c r="G184" s="76"/>
      <x:c r="H184" s="76"/>
    </x:row>
    <x:row r="185">
      <x:c r="A185" s="76"/>
      <x:c r="B185" s="76"/>
      <x:c r="C185" s="76"/>
      <x:c r="D185" s="76"/>
      <x:c r="E185" s="76"/>
      <x:c r="F185" s="76"/>
      <x:c r="G185" s="76"/>
      <x:c r="H185" s="76"/>
    </x:row>
    <x:row r="186">
      <x:c r="A186" s="76"/>
      <x:c r="B186" s="76"/>
      <x:c r="C186" s="76"/>
      <x:c r="D186" s="76"/>
      <x:c r="E186" s="76"/>
      <x:c r="F186" s="76"/>
      <x:c r="G186" s="76"/>
      <x:c r="H186" s="76"/>
    </x:row>
    <x:row r="187">
      <x:c r="A187" s="76"/>
      <x:c r="B187" s="76"/>
      <x:c r="C187" s="76"/>
      <x:c r="D187" s="76"/>
      <x:c r="E187" s="76"/>
      <x:c r="F187" s="76"/>
      <x:c r="G187" s="76"/>
      <x:c r="H187" s="76"/>
    </x:row>
    <x:row r="188">
      <x:c r="A188" s="76"/>
      <x:c r="B188" s="76"/>
      <x:c r="C188" s="76"/>
      <x:c r="D188" s="76"/>
      <x:c r="E188" s="76"/>
      <x:c r="F188" s="76"/>
      <x:c r="G188" s="76"/>
      <x:c r="H188" s="76"/>
    </x:row>
    <x:row r="189">
      <x:c r="A189" s="76"/>
      <x:c r="B189" s="76"/>
      <x:c r="C189" s="76"/>
      <x:c r="D189" s="76"/>
      <x:c r="E189" s="76"/>
      <x:c r="F189" s="76"/>
      <x:c r="G189" s="76"/>
      <x:c r="H189" s="76"/>
    </x:row>
    <x:row r="190">
      <x:c r="A190" s="76"/>
      <x:c r="B190" s="76"/>
      <x:c r="C190" s="76"/>
      <x:c r="D190" s="76"/>
      <x:c r="E190" s="76"/>
      <x:c r="F190" s="76"/>
      <x:c r="G190" s="76"/>
      <x:c r="H190" s="76"/>
    </x:row>
    <x:row r="191">
      <x:c r="A191" s="76"/>
      <x:c r="B191" s="76"/>
      <x:c r="C191" s="76"/>
      <x:c r="D191" s="76"/>
      <x:c r="E191" s="76"/>
      <x:c r="F191" s="76"/>
      <x:c r="G191" s="76"/>
      <x:c r="H191" s="76"/>
    </x:row>
    <x:row r="192">
      <x:c r="A192" s="76"/>
      <x:c r="B192" s="76"/>
      <x:c r="C192" s="76"/>
      <x:c r="D192" s="76"/>
      <x:c r="E192" s="76"/>
      <x:c r="F192" s="76"/>
      <x:c r="G192" s="76"/>
      <x:c r="H192" s="76"/>
    </x:row>
    <x:row r="193">
      <x:c r="A193" s="76"/>
      <x:c r="B193" s="76"/>
      <x:c r="C193" s="76"/>
      <x:c r="D193" s="76"/>
      <x:c r="E193" s="76"/>
      <x:c r="F193" s="76"/>
      <x:c r="G193" s="76"/>
      <x:c r="H193" s="76"/>
    </x:row>
    <x:row r="194">
      <x:c r="A194" s="76"/>
      <x:c r="B194" s="76"/>
      <x:c r="C194" s="76"/>
      <x:c r="D194" s="76"/>
      <x:c r="E194" s="76"/>
      <x:c r="F194" s="76"/>
      <x:c r="G194" s="76"/>
      <x:c r="H194" s="76"/>
    </x:row>
    <x:row r="195">
      <x:c r="A195" s="76"/>
      <x:c r="B195" s="76"/>
      <x:c r="C195" s="76"/>
      <x:c r="D195" s="76"/>
      <x:c r="E195" s="76"/>
      <x:c r="F195" s="76"/>
      <x:c r="G195" s="76"/>
      <x:c r="H195" s="76"/>
    </x:row>
    <x:row r="196">
      <x:c r="A196" s="76"/>
      <x:c r="B196" s="76"/>
      <x:c r="C196" s="76"/>
      <x:c r="D196" s="76"/>
      <x:c r="E196" s="76"/>
      <x:c r="F196" s="76"/>
      <x:c r="G196" s="76"/>
      <x:c r="H196" s="76"/>
    </x:row>
    <x:row r="197">
      <x:c r="A197" s="76"/>
      <x:c r="B197" s="76"/>
      <x:c r="C197" s="76"/>
      <x:c r="D197" s="76"/>
      <x:c r="E197" s="76"/>
      <x:c r="F197" s="76"/>
      <x:c r="G197" s="76"/>
      <x:c r="H197" s="76"/>
    </x:row>
    <x:row r="198">
      <x:c r="A198" s="76"/>
      <x:c r="B198" s="76"/>
      <x:c r="C198" s="76"/>
      <x:c r="D198" s="76"/>
      <x:c r="E198" s="76"/>
      <x:c r="F198" s="76"/>
      <x:c r="G198" s="76"/>
      <x:c r="H198" s="76"/>
    </x:row>
    <x:row r="199">
      <x:c r="A199" s="76"/>
      <x:c r="B199" s="76"/>
      <x:c r="C199" s="76"/>
      <x:c r="D199" s="76"/>
      <x:c r="E199" s="76"/>
      <x:c r="F199" s="76"/>
      <x:c r="G199" s="76"/>
      <x:c r="H199" s="76"/>
    </x:row>
    <x:row r="200">
      <x:c r="A200" s="76"/>
      <x:c r="B200" s="76"/>
      <x:c r="C200" s="76"/>
      <x:c r="D200" s="76"/>
      <x:c r="E200" s="76"/>
      <x:c r="F200" s="76"/>
      <x:c r="G200" s="76"/>
      <x:c r="H200" s="76"/>
    </x:row>
  </x:sheetData>
  <x:mergeCells>
    <x:mergeCell ref="A1:H1"/>
    <x:mergeCell ref="A2:H2"/>
    <x:mergeCell ref="B3:H3"/>
    <x:mergeCell ref="B4:H4"/>
    <x:mergeCell ref="B5:H5"/>
    <x:mergeCell ref="A7:H7"/>
    <x:mergeCell ref="A16:H16"/>
    <x:mergeCell ref="A27:H27"/>
    <x:mergeCell ref="A44:H44"/>
  </x:mergeCells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34" hidden="0" customWidth="1"/>
    <x:col min="5" max="5" width="26" hidden="0" customWidth="1"/>
    <x:col min="6" max="6" width="22" hidden="0" customWidth="1"/>
    <x:col min="7" max="7" width="18" hidden="0" customWidth="1"/>
    <x:col min="8" max="8" width="24" hidden="0" customWidth="1"/>
  </x:cols>
  <x:sheetData>
    <x:row r="1" ht="28" customHeight="1">
      <x:c r="A1" s="116" t="str">
        <x:v>CxVisual V6.4 — 文档 / 源码 / Case / Evidence 同步审计</x:v>
      </x:c>
      <x:c r="B1" s="116"/>
      <x:c r="C1" s="116"/>
      <x:c r="D1" s="116"/>
      <x:c r="E1" s="116"/>
      <x:c r="F1" s="116"/>
      <x:c r="G1" s="116"/>
      <x:c r="H1" s="116"/>
    </x:row>
    <x:row r="2" ht="52" customHeight="1">
      <x:c r="A2" s="149" t="str">
        <x:v>把V3.3工作簿同步到V6.4当前事实：上位权威是《平台灵魂与架构宪法》+01~08详细设计；代码事实以V6.4源码树、Delivery Manifest、Case Coverage、Static/Source Gate为准。设计完成≠Windows实编译/实机认证完成。</x:v>
      </x:c>
      <x:c r="B2" s="149"/>
      <x:c r="C2" s="149"/>
      <x:c r="D2" s="149"/>
      <x:c r="E2" s="149"/>
      <x:c r="F2" s="149"/>
      <x:c r="G2" s="149"/>
      <x:c r="H2" s="149"/>
    </x:row>
    <x:row r="3">
      <x:c r="A3" s="117" t="str">
        <x:v>本页唯一权威</x:v>
      </x:c>
      <x:c r="B3" s="117" t="str">
        <x:v>V6.4同步来源、V3.3→V6.4关键变更、代码事实、Case证据、未认证边界、分页同步矩阵。</x:v>
      </x:c>
      <x:c r="C3" s="117"/>
      <x:c r="D3" s="117"/>
      <x:c r="E3" s="117"/>
      <x:c r="F3" s="117"/>
      <x:c r="G3" s="117"/>
      <x:c r="H3" s="117"/>
    </x:row>
    <x:row r="4">
      <x:c r="A4" s="117" t="str">
        <x:v>不在本页维护</x:v>
      </x:c>
      <x:c r="B4" s="117" t="str">
        <x:v>专业功能细节和真实任务逐条状态；分别见17/27/各Workbench页与41。</x:v>
      </x:c>
      <x:c r="C4" s="117"/>
      <x:c r="D4" s="117"/>
      <x:c r="E4" s="117"/>
      <x:c r="F4" s="117"/>
      <x:c r="G4" s="117"/>
      <x:c r="H4" s="117"/>
    </x:row>
    <x:row r="5">
      <x:c r="A5" s="117" t="str">
        <x:v>关联分页</x:v>
      </x:c>
      <x:c r="B5" s="117" t="str">
        <x:v>00/02/03/04/05/17/27/33/37/40/41/43/44/45/46/47/50。</x:v>
      </x:c>
      <x:c r="C5" s="117"/>
      <x:c r="D5" s="117"/>
      <x:c r="E5" s="117"/>
      <x:c r="F5" s="117"/>
      <x:c r="G5" s="117"/>
      <x:c r="H5" s="117"/>
    </x:row>
    <x:row r="6">
      <x:c r="A6" s="117"/>
      <x:c r="B6" s="117"/>
      <x:c r="C6" s="117"/>
      <x:c r="D6" s="117"/>
      <x:c r="E6" s="117"/>
      <x:c r="F6" s="117"/>
      <x:c r="G6" s="117"/>
      <x:c r="H6" s="117"/>
    </x:row>
    <x:row r="7">
      <x:c r="A7" s="118" t="str">
        <x:v>A. V6.4 同步来源与优先级</x:v>
      </x:c>
      <x:c r="B7" s="118"/>
      <x:c r="C7" s="118"/>
      <x:c r="D7" s="118"/>
      <x:c r="E7" s="118"/>
      <x:c r="F7" s="118"/>
      <x:c r="G7" s="118"/>
      <x:c r="H7" s="118"/>
    </x:row>
    <x:row r="8">
      <x:c r="A8" s="119" t="str">
        <x:v>优先级</x:v>
      </x:c>
      <x:c r="B8" s="119" t="str">
        <x:v>来源</x:v>
      </x:c>
      <x:c r="C8" s="119" t="str">
        <x:v>作用</x:v>
      </x:c>
      <x:c r="D8" s="119" t="str">
        <x:v>本次同步内容</x:v>
      </x:c>
      <x:c r="E8" s="119" t="str">
        <x:v>证据/位置</x:v>
      </x:c>
      <x:c r="F8" s="119" t="str">
        <x:v>可覆盖历史内容?</x:v>
      </x:c>
      <x:c r="G8" s="119" t="str">
        <x:v>状态</x:v>
      </x:c>
      <x:c r="H8" s="119" t="str">
        <x:v>备注</x:v>
      </x:c>
    </x:row>
    <x:row r="9">
      <x:c r="A9" s="117" t="str">
        <x:v>P0</x:v>
      </x:c>
      <x:c r="B9" s="117" t="str">
        <x:v>《CxVisual 平台灵魂与架构宪法 V1.0 Review》</x:v>
      </x:c>
      <x:c r="C9" s="117" t="str">
        <x:v>最高架构约束</x:v>
      </x:c>
      <x:c r="D9" s="117" t="str">
        <x:v>1 Platform + 6 Workbenches、三视角、资源/Runtime/Provider、安全/诊断/Case原则</x:v>
      </x:c>
      <x:c r="E9" s="117" t="str">
        <x:v>Library/Archs</x:v>
      </x:c>
      <x:c r="F9" s="117" t="str">
        <x:v>是</x:v>
      </x:c>
      <x:c r="G9" s="117" t="str">
        <x:v>Active</x:v>
      </x:c>
      <x:c r="H9" s="117" t="str">
        <x:v>冲突时优先</x:v>
      </x:c>
    </x:row>
    <x:row r="10">
      <x:c r="A10" s="117" t="str">
        <x:v>P0</x:v>
      </x:c>
      <x:c r="B10" s="117" t="str">
        <x:v>01~08 详细设计 Review</x:v>
      </x:c>
      <x:c r="C10" s="117" t="str">
        <x:v>专业边界/总体设计</x:v>
      </x:c>
      <x:c r="D10" s="117" t="str">
        <x:v>Platform/Automation/Simulation/HMI/Vision/CT3D/Inspection/总体架构</x:v>
      </x:c>
      <x:c r="E10" s="117" t="str">
        <x:v>Archs DesignSources</x:v>
      </x:c>
      <x:c r="F10" s="117" t="str">
        <x:v>是</x:v>
      </x:c>
      <x:c r="G10" s="117" t="str">
        <x:v>Active</x:v>
      </x:c>
      <x:c r="H10" s="117" t="str"/>
    </x:row>
    <x:row r="11">
      <x:c r="A11" s="117" t="str">
        <x:v>P0</x:v>
      </x:c>
      <x:c r="B11" s="117" t="str">
        <x:v>V6.4 Source Tree</x:v>
      </x:c>
      <x:c r="C11" s="117" t="str">
        <x:v>真实代码事实</x:v>
      </x:c>
      <x:c r="D11" s="117" t="str">
        <x:v>17个csproj、ProjectReference、目录Owner、实际类/测试/脚本</x:v>
      </x:c>
      <x:c r="E11" s="117" t="str">
        <x:v>CxVisual-V6.4...zip</x:v>
      </x:c>
      <x:c r="F11" s="117" t="str">
        <x:v>是</x:v>
      </x:c>
      <x:c r="G11" s="117" t="str">
        <x:v>Active</x:v>
      </x:c>
      <x:c r="H11" s="117" t="str">
        <x:v>设计不得虚构代码已存在</x:v>
      </x:c>
    </x:row>
    <x:row r="12">
      <x:c r="A12" s="117" t="str">
        <x:v>P0</x:v>
      </x:c>
      <x:c r="B12" s="117" t="str">
        <x:v>V6.4 Delivery Manifest</x:v>
      </x:c>
      <x:c r="C12" s="117" t="str">
        <x:v>版本交付事实</x:v>
      </x:c>
      <x:c r="D12" s="117" t="str">
        <x:v>新增Modbus TCP、SCADA Write/Readback、Motion Case、证据边界</x:v>
      </x:c>
      <x:c r="E12" s="117" t="str">
        <x:v>Archs/V6.4_DELIVERY_MANIFEST.md</x:v>
      </x:c>
      <x:c r="F12" s="117" t="str">
        <x:v>是</x:v>
      </x:c>
      <x:c r="G12" s="117" t="str">
        <x:v>Active</x:v>
      </x:c>
      <x:c r="H12" s="117" t="str"/>
    </x:row>
    <x:row r="13">
      <x:c r="A13" s="117" t="str">
        <x:v>P0</x:v>
      </x:c>
      <x:c r="B13" s="117" t="str">
        <x:v>V6.4 Case Coverage</x:v>
      </x:c>
      <x:c r="C13" s="117" t="str">
        <x:v>案例覆盖事实</x:v>
      </x:c>
      <x:c r="D13" s="117" t="str">
        <x:v>ICS/SCADA/Motion各能力、未认证项</x:v>
      </x:c>
      <x:c r="E13" s="117" t="str">
        <x:v>Architecture/V6.4_..._COVERAGE.md</x:v>
      </x:c>
      <x:c r="F13" s="117" t="str">
        <x:v>是</x:v>
      </x:c>
      <x:c r="G13" s="117" t="str">
        <x:v>Active</x:v>
      </x:c>
      <x:c r="H13" s="117" t="str"/>
    </x:row>
    <x:row r="14">
      <x:c r="A14" s="117" t="str">
        <x:v>P0</x:v>
      </x:c>
      <x:c r="B14" s="117" t="str">
        <x:v>V6.4 Static + Source Gate</x:v>
      </x:c>
      <x:c r="C14" s="117" t="str">
        <x:v>静态/源码证据</x:v>
      </x:c>
      <x:c r="D14" s="117" t="str">
        <x:v>71 PASS/1 WARN/0 FAIL；5 PASS/0 FAIL</x:v>
      </x:c>
      <x:c r="E14" s="117" t="str">
        <x:v>Archs/V6.4_STATIC_VALIDATION.txt + verify脚本</x:v>
      </x:c>
      <x:c r="F14" s="117" t="str">
        <x:v>是</x:v>
      </x:c>
      <x:c r="G14" s="117" t="str">
        <x:v>Active</x:v>
      </x:c>
      <x:c r="H14" s="117" t="str">
        <x:v>不能替代Windows Gate</x:v>
      </x:c>
    </x:row>
    <x:row r="15">
      <x:c r="A15" s="117" t="str">
        <x:v>P1</x:v>
      </x:c>
      <x:c r="B15" s="117" t="str">
        <x:v>历史V3.3工作簿</x:v>
      </x:c>
      <x:c r="C15" s="117" t="str">
        <x:v>设计演进与查漏</x:v>
      </x:c>
      <x:c r="D15" s="117" t="str">
        <x:v>保留未冲突的详细功能/交互/测试设计</x:v>
      </x:c>
      <x:c r="E15" s="117" t="str">
        <x:v>本Workbook</x:v>
      </x:c>
      <x:c r="F15" s="117" t="str">
        <x:v>否</x:v>
      </x:c>
      <x:c r="G15" s="117" t="str">
        <x:v>Reference</x:v>
      </x:c>
      <x:c r="H15" s="117" t="str">
        <x:v>若与上位冲突必须改</x:v>
      </x:c>
    </x:row>
    <x:row r="16">
      <x:c r="A16" s="117"/>
      <x:c r="B16" s="117"/>
      <x:c r="C16" s="117"/>
      <x:c r="D16" s="117"/>
      <x:c r="E16" s="117"/>
      <x:c r="F16" s="117"/>
      <x:c r="G16" s="117"/>
      <x:c r="H16" s="117"/>
    </x:row>
    <x:row r="17">
      <x:c r="A17" s="118" t="str">
        <x:v>B. V3.3 → V6.4 关键架构变化</x:v>
      </x:c>
      <x:c r="B17" s="118"/>
      <x:c r="C17" s="118"/>
      <x:c r="D17" s="118"/>
      <x:c r="E17" s="118"/>
      <x:c r="F17" s="118"/>
      <x:c r="G17" s="118"/>
      <x:c r="H17" s="118"/>
    </x:row>
    <x:row r="18">
      <x:c r="A18" s="119" t="str">
        <x:v>主题</x:v>
      </x:c>
      <x:c r="B18" s="119" t="str">
        <x:v>V3.3/历史表达</x:v>
      </x:c>
      <x:c r="C18" s="119" t="str">
        <x:v>V6.4正式表达</x:v>
      </x:c>
      <x:c r="D18" s="119" t="str">
        <x:v>本次同步动作</x:v>
      </x:c>
      <x:c r="E18" s="119" t="str">
        <x:v>主要影响页</x:v>
      </x:c>
      <x:c r="F18" s="119" t="str">
        <x:v>代码Owner</x:v>
      </x:c>
      <x:c r="G18" s="119" t="str">
        <x:v>Gate</x:v>
      </x:c>
      <x:c r="H18" s="119" t="str">
        <x:v>备注</x:v>
      </x:c>
    </x:row>
    <x:row r="19">
      <x:c r="A19" s="117" t="str">
        <x:v>一级结构</x:v>
      </x:c>
      <x:c r="B19" s="117" t="str">
        <x:v>Motion/Robot/Vision/CT等历史Domain层次</x:v>
      </x:c>
      <x:c r="C19" s="117" t="str">
        <x:v>1 Platform + Automation/Simulation/HMI/Vision/CT3D/Inspection</x:v>
      </x:c>
      <x:c r="D19" s="117" t="str">
        <x:v>03/04/00全面更新</x:v>
      </x:c>
      <x:c r="E19" s="117" t="str">
        <x:v>00/03/04/43</x:v>
      </x:c>
      <x:c r="F19" s="117" t="str">
        <x:v>Platform + 6 Workbench</x:v>
      </x:c>
      <x:c r="G19" s="117" t="str">
        <x:v>Architecture</x:v>
      </x:c>
      <x:c r="H19" s="117" t="str">
        <x:v>冻结</x:v>
      </x:c>
    </x:row>
    <x:row r="20">
      <x:c r="A20" s="117" t="str">
        <x:v>Motion/Robot</x:v>
      </x:c>
      <x:c r="B20" s="117" t="str">
        <x:v>曾以独立Domain/项目族表达</x:v>
      </x:c>
      <x:c r="C20" s="117" t="str">
        <x:v>均为Automation内部专业能力族</x:v>
      </x:c>
      <x:c r="D20" s="117" t="str">
        <x:v>项目Owner统一为CxVisual.Automation/Drivers</x:v>
      </x:c>
      <x:c r="E20" s="117" t="str">
        <x:v>27/28/29/30/47</x:v>
      </x:c>
      <x:c r="F20" s="117" t="str">
        <x:v>Automation</x:v>
      </x:c>
      <x:c r="G20" s="117" t="str">
        <x:v>Dependency</x:v>
      </x:c>
      <x:c r="H20" s="117" t="str">
        <x:v>Robot保留专业编辑/Runtime语义</x:v>
      </x:c>
    </x:row>
    <x:row r="21">
      <x:c r="A21" s="117" t="str">
        <x:v>CT3D</x:v>
      </x:c>
      <x:c r="B21" s="117" t="str">
        <x:v>曾写作Vision家族/复用Vision Runtime</x:v>
      </x:c>
      <x:c r="C21" s="117" t="str">
        <x:v>与Vision平级Workbench，仅共享Platform机制/服务模式</x:v>
      </x:c>
      <x:c r="D21" s="117" t="str">
        <x:v>修正Domain边界</x:v>
      </x:c>
      <x:c r="E21" s="117" t="str">
        <x:v>03/33/43</x:v>
      </x:c>
      <x:c r="F21" s="117" t="str">
        <x:v>CxVisual.CT3D</x:v>
      </x:c>
      <x:c r="G21" s="117" t="str">
        <x:v>Architecture</x:v>
      </x:c>
      <x:c r="H21" s="117" t="str">
        <x:v>禁止直接依赖Vision内部实现</x:v>
      </x:c>
    </x:row>
    <x:row r="22">
      <x:c r="A22" s="117" t="str">
        <x:v>Graph</x:v>
      </x:c>
      <x:c r="B22" s="117" t="str">
        <x:v>曾有独立Graph Core/Runtime项目设计</x:v>
      </x:c>
      <x:c r="C22" s="117" t="str">
        <x:v>Platform拥有Graph基础；专业执行归各Workbench Runtime</x:v>
      </x:c>
      <x:c r="D22" s="117" t="str">
        <x:v>修正Solution/Owner</x:v>
      </x:c>
      <x:c r="E22" s="117" t="str">
        <x:v>03/04/05/19~26</x:v>
      </x:c>
      <x:c r="F22" s="117" t="str">
        <x:v>Platform + Workbench</x:v>
      </x:c>
      <x:c r="G22" s="117" t="str">
        <x:v>Source Gate</x:v>
      </x:c>
      <x:c r="H22" s="117" t="str">
        <x:v>禁止万能GraphExecutor</x:v>
      </x:c>
    </x:row>
    <x:row r="23">
      <x:c r="A23" s="117" t="str">
        <x:v>SCADA/ICS</x:v>
      </x:c>
      <x:c r="B23" s="117" t="str">
        <x:v>DeviceVariable Adapter为主</x:v>
      </x:c>
      <x:c r="C23" s="117" t="str">
        <x:v>Automation内正式ICS/SCADA，V6.4已有真实协议/故障/写回Case</x:v>
      </x:c>
      <x:c r="D23" s="117" t="str">
        <x:v>17/37/40/41更新</x:v>
      </x:c>
      <x:c r="E23" s="117" t="str">
        <x:v>Automation/Drivers</x:v>
      </x:c>
      <x:c r="F23" s="117" t="str">
        <x:v>Case Gate</x:v>
      </x:c>
      <x:c r="G23" s="117" t="str">
        <x:v>不新增SCADA Workbench</x:v>
      </x:c>
      <x:c r="H23" s="117"/>
    </x:row>
    <x:row r="24">
      <x:c r="A24" s="117" t="str">
        <x:v>DeviceVariable</x:v>
      </x:c>
      <x:c r="B24" s="117" t="str">
        <x:v>Device/MeasureXxx承载变量</x:v>
      </x:c>
      <x:c r="C24" s="117" t="str">
        <x:v>V6.5候选Universal Variable：Variable&lt;T&gt; + Group/Binding/StableId</x:v>
      </x:c>
      <x:c r="D24" s="117" t="str">
        <x:v>46/50新增目标模型</x:v>
      </x:c>
      <x:c r="E24" s="117" t="str">
        <x:v>Platform + Compatibility</x:v>
      </x:c>
      <x:c r="F24" s="117" t="str">
        <x:v>Case/Migration</x:v>
      </x:c>
      <x:c r="G24" s="117" t="str">
        <x:v>V6.4仍保留兼容路径</x:v>
      </x:c>
      <x:c r="H24" s="117" t="str"/>
    </x:row>
    <x:row r="25">
      <x:c r="A25" s="117" t="str">
        <x:v>开发方式</x:v>
      </x:c>
      <x:c r="B25" s="117" t="str">
        <x:v>按M1~RC能力建设为主</x:v>
      </x:c>
      <x:c r="C25" s="117" t="str">
        <x:v>V6.0后以真实Case反复攻击/补齐/再Case</x:v>
      </x:c>
      <x:c r="D25" s="117" t="str">
        <x:v>40/41/49更新</x:v>
      </x:c>
      <x:c r="E25" s="117" t="str">
        <x:v>全平台</x:v>
      </x:c>
      <x:c r="F25" s="117" t="str">
        <x:v>Case Regression</x:v>
      </x:c>
      <x:c r="G25" s="117" t="str">
        <x:v>避免接口数量驱动</x:v>
      </x:c>
      <x:c r="H25" s="117" t="str"/>
    </x:row>
    <x:row r="26">
      <x:c r="A26" s="117"/>
      <x:c r="B26" s="117"/>
      <x:c r="C26" s="117"/>
      <x:c r="D26" s="117"/>
      <x:c r="E26" s="117"/>
      <x:c r="F26" s="117"/>
      <x:c r="G26" s="117"/>
      <x:c r="H26" s="117"/>
    </x:row>
    <x:row r="27">
      <x:c r="A27" s="118" t="str">
        <x:v>C. V6.4 代码事实</x:v>
      </x:c>
      <x:c r="B27" s="118"/>
      <x:c r="C27" s="118"/>
      <x:c r="D27" s="118"/>
      <x:c r="E27" s="118"/>
      <x:c r="F27" s="118"/>
      <x:c r="G27" s="118"/>
      <x:c r="H27" s="118"/>
    </x:row>
    <x:row r="28">
      <x:c r="A28" s="119" t="str">
        <x:v>事实</x:v>
      </x:c>
      <x:c r="B28" s="119" t="str">
        <x:v>当前值/结论</x:v>
      </x:c>
      <x:c r="C28" s="119" t="str">
        <x:v>证据</x:v>
      </x:c>
      <x:c r="D28" s="119" t="str">
        <x:v>是否可宣称生产认证</x:v>
      </x:c>
      <x:c r="E28" s="119" t="str">
        <x:v>影响</x:v>
      </x:c>
      <x:c r="F28" s="119" t="str">
        <x:v>状态</x:v>
      </x:c>
      <x:c r="G28" s="119" t="str">
        <x:v>下一Gate</x:v>
      </x:c>
      <x:c r="H28" s="119" t="str">
        <x:v>备注</x:v>
      </x:c>
    </x:row>
    <x:row r="29">
      <x:c r="A29" s="117" t="str">
        <x:v>物理项目</x:v>
      </x:c>
      <x:c r="B29" s="117" t="str">
        <x:v>17个csproj，Solution引用均可解析</x:v>
      </x:c>
      <x:c r="C29" s="117" t="str">
        <x:v>V6.4 Source Gate</x:v>
      </x:c>
      <x:c r="D29" s="117" t="str">
        <x:v>否</x:v>
      </x:c>
      <x:c r="E29" s="117" t="str">
        <x:v>04更新真实Solution基线</x:v>
      </x:c>
      <x:c r="F29" s="117" t="str">
        <x:v>PASS</x:v>
      </x:c>
      <x:c r="G29" s="117" t="str">
        <x:v>Windows Build</x:v>
      </x:c>
      <x:c r="H29" s="117" t="str"/>
    </x:row>
    <x:row r="30">
      <x:c r="A30" s="117" t="str">
        <x:v>Automation Driver</x:v>
      </x:c>
      <x:c r="B30" s="117" t="str">
        <x:v>真实Socket Modbus TCP：FC01/02/03/04/05/06/15/16 + Codec/Poll/Reconnect</x:v>
      </x:c>
      <x:c r="C30" s="117" t="str">
        <x:v>V6.4 Coverage/Test</x:v>
      </x:c>
      <x:c r="D30" s="117" t="str">
        <x:v>协议逻辑可宣称；实PLC认证不可</x:v>
      </x:c>
      <x:c r="E30" s="117" t="str">
        <x:v>17/41</x:v>
      </x:c>
      <x:c r="F30" s="117" t="str">
        <x:v>PASS(case)</x:v>
      </x:c>
      <x:c r="G30" s="117" t="str">
        <x:v>真实PLC 24h</x:v>
      </x:c>
      <x:c r="H30" s="117" t="str"/>
    </x:row>
    <x:row r="31">
      <x:c r="A31" s="117" t="str">
        <x:v>SCADA Write</x:v>
      </x:c>
      <x:c r="B31" s="117" t="str">
        <x:v>Auth→Policy→Provider→bounded Readback→Audit；Mismatch CXV-WRITE-009</x:v>
      </x:c>
      <x:c r="C31" s="117" t="str">
        <x:v>V6.4 Coverage</x:v>
      </x:c>
      <x:c r="D31" s="117" t="str">
        <x:v>可宣称代码/Case，不宣称所有PLC</x:v>
      </x:c>
      <x:c r="E31" s="117" t="str">
        <x:v>17/14/41</x:v>
      </x:c>
      <x:c r="F31" s="117" t="str">
        <x:v>PASS(case)</x:v>
      </x:c>
      <x:c r="G31" s="117" t="str">
        <x:v>实PLC异常写</x:v>
      </x:c>
      <x:c r="H31" s="117" t="str"/>
    </x:row>
    <x:row r="32">
      <x:c r="A32" s="117" t="str">
        <x:v>SCADA Runtime</x:v>
      </x:c>
      <x:c r="B32" s="117" t="str">
        <x:v>StateCache/Alarm/Historian/Recipe/Health + 前序10k/AlarmStorm/StoreForward Case</x:v>
      </x:c>
      <x:c r="C32" s="117" t="str">
        <x:v>V6.2~V6.4 Case</x:v>
      </x:c>
      <x:c r="D32" s="117" t="str">
        <x:v>不宣称72h/性能数字</x:v>
      </x:c>
      <x:c r="E32" s="117" t="str">
        <x:v>17/41</x:v>
      </x:c>
      <x:c r="F32" s="117" t="str">
        <x:v>PASS(case)</x:v>
      </x:c>
      <x:c r="G32" s="117" t="str">
        <x:v>Performance/Soak</x:v>
      </x:c>
      <x:c r="H32" s="117" t="str"/>
    </x:row>
    <x:row r="33">
      <x:c r="A33" s="117" t="str">
        <x:v>Motion</x:v>
      </x:c>
      <x:c r="B33" s="117" t="str">
        <x:v>Home/Move/Jog/DI/DO/MultiAxis/Lease/Interlock；MotionProgram Compile + Sequence/Parallel Case</x:v>
      </x:c>
      <x:c r="C33" s="117" t="str">
        <x:v>V6.4 Coverage</x:v>
      </x:c>
      <x:c r="D33" s="117" t="str">
        <x:v>不宣称真实运动卡认证</x:v>
      </x:c>
      <x:c r="E33" s="117" t="str">
        <x:v>27/47/41</x:v>
      </x:c>
      <x:c r="F33" s="117" t="str">
        <x:v>PASS(case)</x:v>
      </x:c>
      <x:c r="G33" s="117" t="str">
        <x:v>真实双轴</x:v>
      </x:c>
      <x:c r="H33" s="117" t="str"/>
    </x:row>
    <x:row r="34">
      <x:c r="A34" s="117" t="str">
        <x:v>Windows Toolchain</x:v>
      </x:c>
      <x:c r="B34" s="117" t="str">
        <x:v>Linux环境未执行VS2022 net48 Debug/Release/UiSmoke</x:v>
      </x:c>
      <x:c r="C34" s="117" t="str">
        <x:v>Delivery Manifest</x:v>
      </x:c>
      <x:c r="D34" s="117" t="str">
        <x:v>否</x:v>
      </x:c>
      <x:c r="E34" s="117" t="str">
        <x:v>必须保留WARN</x:v>
      </x:c>
      <x:c r="F34" s="117" t="str">
        <x:v>26/41</x:v>
      </x:c>
      <x:c r="G34" s="117" t="str">
        <x:v>OPEN</x:v>
      </x:c>
      <x:c r="H34" s="117" t="str">
        <x:v>verify-v64-windows.ps1</x:v>
      </x:c>
    </x:row>
    <x:row r="35">
      <x:c r="A35" s="117" t="str">
        <x:v>SourceEvidenceSHA256</x:v>
      </x:c>
      <x:c r="B35" s="117" t="str">
        <x:v>783c90a196031f1c3159941fdc5346a33f3f94b0df9145063a0786bf9a3570f2</x:v>
      </x:c>
      <x:c r="C35" s="117" t="str">
        <x:v>V6.4 manifest/evidence</x:v>
      </x:c>
      <x:c r="D35" s="117" t="str">
        <x:v>是：只证明源码快照</x:v>
      </x:c>
      <x:c r="E35" s="117" t="str">
        <x:v>Release/审计</x:v>
      </x:c>
      <x:c r="F35" s="117" t="str">
        <x:v>PASS</x:v>
      </x:c>
      <x:c r="G35" s="117" t="str">
        <x:v>Package/Windows evidence</x:v>
      </x:c>
      <x:c r="H35" s="117" t="str"/>
    </x:row>
    <x:row r="36">
      <x:c r="A36" s="117" t="str">
        <x:v>ZIP SHA256</x:v>
      </x:c>
      <x:c r="B36" s="117" t="str">
        <x:v>473ea607bd5ddaabae54837ce84028be18647b7149e81f10938dab7486e7f8ba</x:v>
      </x:c>
      <x:c r="C36" s="117" t="str">
        <x:v>V6.4 package</x:v>
      </x:c>
      <x:c r="D36" s="117" t="str">
        <x:v>是：只证明ZIP字节</x:v>
      </x:c>
      <x:c r="E36" s="117" t="str">
        <x:v>Release/审计</x:v>
      </x:c>
      <x:c r="F36" s="117" t="str">
        <x:v>PASS</x:v>
      </x:c>
      <x:c r="G36" s="117" t="str">
        <x:v>—</x:v>
      </x:c>
      <x:c r="H36" s="117" t="str"/>
    </x:row>
    <x:row r="37">
      <x:c r="A37" s="117"/>
      <x:c r="B37" s="117"/>
      <x:c r="C37" s="117"/>
      <x:c r="D37" s="117"/>
      <x:c r="E37" s="117"/>
      <x:c r="F37" s="117"/>
      <x:c r="G37" s="117"/>
      <x:c r="H37" s="117"/>
    </x:row>
    <x:row r="38">
      <x:c r="A38" s="118" t="str">
        <x:v>D. 本Workbook分页同步矩阵</x:v>
      </x:c>
      <x:c r="B38" s="118"/>
      <x:c r="C38" s="118"/>
      <x:c r="D38" s="118"/>
      <x:c r="E38" s="118"/>
      <x:c r="F38" s="118"/>
      <x:c r="G38" s="118"/>
      <x:c r="H38" s="118"/>
    </x:row>
    <x:row r="39">
      <x:c r="A39" s="119" t="str">
        <x:v>分页</x:v>
      </x:c>
      <x:c r="B39" s="119" t="str">
        <x:v>V6.4同步动作</x:v>
      </x:c>
      <x:c r="C39" s="119" t="str">
        <x:v>关键内容</x:v>
      </x:c>
      <x:c r="D39" s="119" t="str">
        <x:v>是否改变历史细节</x:v>
      </x:c>
      <x:c r="E39" s="119" t="str">
        <x:v>证据</x:v>
      </x:c>
      <x:c r="F39" s="119" t="str">
        <x:v>状态</x:v>
      </x:c>
      <x:c r="G39" s="119" t="str">
        <x:v>后续</x:v>
      </x:c>
      <x:c r="H39" s="119" t="str">
        <x:v>备注</x:v>
      </x:c>
    </x:row>
    <x:row r="40">
      <x:c r="A40" s="117" t="str">
        <x:v>00</x:v>
      </x:c>
      <x:c r="B40" s="117" t="str">
        <x:v>重写总览/路线/权威源</x:v>
      </x:c>
      <x:c r="C40" s="117" t="str">
        <x:v>1+6、V6.4、V6.5变量候选</x:v>
      </x:c>
      <x:c r="D40" s="117" t="str">
        <x:v>是</x:v>
      </x:c>
      <x:c r="E40" s="117" t="str">
        <x:v>本页</x:v>
      </x:c>
      <x:c r="F40" s="117" t="str">
        <x:v>已同步</x:v>
      </x:c>
      <x:c r="G40" s="117" t="str"/>
      <x:c r="H40" s="117" t="str"/>
    </x:row>
    <x:row r="41">
      <x:c r="A41" s="117" t="str">
        <x:v>02</x:v>
      </x:c>
      <x:c r="B41" s="117" t="str">
        <x:v>追加V6.x Capability</x:v>
      </x:c>
      <x:c r="C41" s="117" t="str">
        <x:v>Modbus/Readback/Motion Compile/Variable Foundation</x:v>
      </x:c>
      <x:c r="D41" s="117" t="str">
        <x:v>否</x:v>
      </x:c>
      <x:c r="E41" s="117" t="str">
        <x:v>17/27/46/49</x:v>
      </x:c>
      <x:c r="F41" s="117" t="str">
        <x:v>已同步</x:v>
      </x:c>
      <x:c r="G41" s="117" t="str"/>
      <x:c r="H41" s="117" t="str"/>
    </x:row>
    <x:row r="42">
      <x:c r="A42" s="117" t="str">
        <x:v>03</x:v>
      </x:c>
      <x:c r="B42" s="117" t="str">
        <x:v>追加V6.4最终硬规则</x:v>
      </x:c>
      <x:c r="C42" s="117" t="str">
        <x:v>Owner/Graph/Runtime/跨域/Safety/Case</x:v>
      </x:c>
      <x:c r="D42" s="117" t="str">
        <x:v>是</x:v>
      </x:c>
      <x:c r="E42" s="117" t="str">
        <x:v>宪法/01~08</x:v>
      </x:c>
      <x:c r="F42" s="117" t="str">
        <x:v>已同步</x:v>
      </x:c>
      <x:c r="G42" s="117" t="str"/>
      <x:c r="H42" s="117" t="str"/>
    </x:row>
    <x:row r="43">
      <x:c r="A43" s="117" t="str">
        <x:v>04</x:v>
      </x:c>
      <x:c r="B43" s="117" t="str">
        <x:v>追加真实17项目Solution基线</x:v>
      </x:c>
      <x:c r="C43" s="117" t="str">
        <x:v>实际ProjectReference/Host/Drivers</x:v>
      </x:c>
      <x:c r="D43" s="117" t="str">
        <x:v>是</x:v>
      </x:c>
      <x:c r="E43" s="117" t="str">
        <x:v>V6.4 csproj</x:v>
      </x:c>
      <x:c r="F43" s="117" t="str">
        <x:v>已同步</x:v>
      </x:c>
      <x:c r="G43" s="117" t="str"/>
      <x:c r="H43" s="117" t="str"/>
    </x:row>
    <x:row r="44">
      <x:c r="A44" s="117" t="str">
        <x:v>05</x:v>
      </x:c>
      <x:c r="B44" s="117" t="str">
        <x:v>修正Owner并追加Platform Variables Contract</x:v>
      </x:c>
      <x:c r="C44" s="117" t="str">
        <x:v>Platform机制/Automation专业语义</x:v>
      </x:c>
      <x:c r="D44" s="117" t="str">
        <x:v>是</x:v>
      </x:c>
      <x:c r="E44" s="117" t="str">
        <x:v>源码+50</x:v>
      </x:c>
      <x:c r="F44" s="117" t="str">
        <x:v>已同步</x:v>
      </x:c>
      <x:c r="G44" s="117" t="str"/>
      <x:c r="H44" s="117" t="str"/>
    </x:row>
    <x:row r="45">
      <x:c r="A45" s="117" t="str">
        <x:v>17</x:v>
      </x:c>
      <x:c r="B45" s="117" t="str">
        <x:v>重写ICS/SCADA为V6.4 Coverage</x:v>
      </x:c>
      <x:c r="C45" s="117" t="str">
        <x:v>Modbus/SCADA/故障/DoD</x:v>
      </x:c>
      <x:c r="D45" s="117" t="str">
        <x:v>是</x:v>
      </x:c>
      <x:c r="E45" s="117" t="str">
        <x:v>V6.4 Coverage</x:v>
      </x:c>
      <x:c r="F45" s="117" t="str">
        <x:v>已同步</x:v>
      </x:c>
      <x:c r="G45" s="117" t="str"/>
      <x:c r="H45" s="117" t="str"/>
    </x:row>
    <x:row r="46">
      <x:c r="A46" s="117" t="str">
        <x:v>27/29/33/47</x:v>
      </x:c>
      <x:c r="B46" s="117" t="str">
        <x:v>修正专业Owner/Workbench边界</x:v>
      </x:c>
      <x:c r="C46" s="117" t="str">
        <x:v>Motion/Robot→Automation；CT3D平级</x:v>
      </x:c>
      <x:c r="D46" s="117" t="str">
        <x:v>是</x:v>
      </x:c>
      <x:c r="E46" s="117" t="str">
        <x:v>宪法+代码</x:v>
      </x:c>
      <x:c r="F46" s="117" t="str">
        <x:v>已同步</x:v>
      </x:c>
      <x:c r="G46" s="117" t="str"/>
      <x:c r="H46" s="117" t="str"/>
    </x:row>
    <x:row r="47">
      <x:c r="A47" s="117" t="str">
        <x:v>37</x:v>
      </x:c>
      <x:c r="B47" s="117" t="str">
        <x:v>追加V6.4 Case E2E</x:v>
      </x:c>
      <x:c r="C47" s="117" t="str">
        <x:v>Modbus/Write/Motion/Station/Variable Next</x:v>
      </x:c>
      <x:c r="D47" s="117" t="str">
        <x:v>否</x:v>
      </x:c>
      <x:c r="E47" s="117" t="str">
        <x:v>Case Coverage</x:v>
      </x:c>
      <x:c r="F47" s="117" t="str">
        <x:v>已同步</x:v>
      </x:c>
      <x:c r="G47" s="117" t="str"/>
      <x:c r="H47" s="117" t="str"/>
    </x:row>
    <x:row r="48">
      <x:c r="A48" s="117" t="str">
        <x:v>40/41</x:v>
      </x:c>
      <x:c r="B48" s="117" t="str">
        <x:v>加入V6.x Case-driven路线与真实状态</x:v>
      </x:c>
      <x:c r="C48" s="117" t="str">
        <x:v>完成/待认证分层</x:v>
      </x:c>
      <x:c r="D48" s="117" t="str">
        <x:v>是</x:v>
      </x:c>
      <x:c r="E48" s="117" t="str">
        <x:v>Delivery Manifest</x:v>
      </x:c>
      <x:c r="F48" s="117" t="str">
        <x:v>已同步</x:v>
      </x:c>
      <x:c r="G48" s="117" t="str"/>
      <x:c r="H48" s="117" t="str"/>
    </x:row>
    <x:row r="49">
      <x:c r="A49" s="117" t="str">
        <x:v>43/44</x:v>
      </x:c>
      <x:c r="B49" s="117" t="str">
        <x:v>同步术语和ADR队列</x:v>
      </x:c>
      <x:c r="C49" s="117" t="str">
        <x:v>Workbench/Variable/Invocation/Release</x:v>
      </x:c>
      <x:c r="D49" s="117" t="str">
        <x:v>否</x:v>
      </x:c>
      <x:c r="E49" s="117" t="str">
        <x:v>宪法/讨论</x:v>
      </x:c>
      <x:c r="F49" s="117" t="str">
        <x:v>已同步</x:v>
      </x:c>
      <x:c r="G49" s="117" t="str"/>
      <x:c r="H49" s="117" t="str"/>
    </x:row>
    <x:row r="50">
      <x:c r="A50" s="117" t="str">
        <x:v>45</x:v>
      </x:c>
      <x:c r="B50" s="117" t="str">
        <x:v>更新Studio为六Workbench贡献模型</x:v>
      </x:c>
      <x:c r="C50" s="117" t="str">
        <x:v>固定菜单+Contextual Ribbon</x:v>
      </x:c>
      <x:c r="D50" s="117" t="str">
        <x:v>否</x:v>
      </x:c>
      <x:c r="E50" s="117" t="str">
        <x:v>Studio规范</x:v>
      </x:c>
      <x:c r="F50" s="117" t="str">
        <x:v>已同步</x:v>
      </x:c>
      <x:c r="G50" s="117" t="str"/>
      <x:c r="H50" s="117" t="str"/>
    </x:row>
    <x:row r="51">
      <x:c r="A51" s="117" t="str">
        <x:v>46/50</x:v>
      </x:c>
      <x:c r="B51" s="117" t="str">
        <x:v>DeviceVariable→Universal Variable目标</x:v>
      </x:c>
      <x:c r="C51" s="117" t="str">
        <x:v>Variable&lt;T&gt;/Group/Binding/迁移Case</x:v>
      </x:c>
      <x:c r="D51" s="117" t="str">
        <x:v>是</x:v>
      </x:c>
      <x:c r="E51" s="117" t="str">
        <x:v>当前设计讨论</x:v>
      </x:c>
      <x:c r="F51" s="117" t="str">
        <x:v>已同步</x:v>
      </x:c>
      <x:c r="G51" s="117" t="str">
        <x:v>V6.5实现</x:v>
      </x:c>
      <x:c r="H51" s="117" t="str"/>
    </x:row>
    <x:row r="52">
      <x:c r="A52" s="117" t="str">
        <x:v>48</x:v>
      </x:c>
      <x:c r="B52" s="117" t="str">
        <x:v>降级为历史V3.3审计</x:v>
      </x:c>
      <x:c r="C52" s="117" t="str">
        <x:v>保留追溯，不再做当前权威</x:v>
      </x:c>
      <x:c r="D52" s="117" t="str">
        <x:v>是</x:v>
      </x:c>
      <x:c r="E52" s="117" t="str">
        <x:v>本页</x:v>
      </x:c>
      <x:c r="F52" s="117" t="str">
        <x:v>已同步</x:v>
      </x:c>
      <x:c r="G52" s="117" t="str"/>
      <x:c r="H52" s="117" t="str"/>
    </x:row>
    <x:row r="53">
      <x:c r="A53" s="117"/>
      <x:c r="B53" s="117"/>
      <x:c r="C53" s="117"/>
      <x:c r="D53" s="117"/>
      <x:c r="E53" s="117"/>
      <x:c r="F53" s="117"/>
      <x:c r="G53" s="117"/>
      <x:c r="H53" s="117"/>
    </x:row>
    <x:row r="54">
      <x:c r="A54" s="118" t="str">
        <x:v>E. V6.4 还不能宣称完成的工业证据</x:v>
      </x:c>
      <x:c r="B54" s="118"/>
      <x:c r="C54" s="118"/>
      <x:c r="D54" s="118"/>
      <x:c r="E54" s="118"/>
      <x:c r="F54" s="118"/>
      <x:c r="G54" s="118"/>
      <x:c r="H54" s="118"/>
    </x:row>
    <x:row r="55">
      <x:c r="A55" s="119" t="str">
        <x:v>项目</x:v>
      </x:c>
      <x:c r="B55" s="119" t="str">
        <x:v>为什么还不能宣称</x:v>
      </x:c>
      <x:c r="C55" s="119" t="str">
        <x:v>需要什么证据</x:v>
      </x:c>
      <x:c r="D55" s="119" t="str">
        <x:v>优先级</x:v>
      </x:c>
      <x:c r="E55" s="119" t="str">
        <x:v>Owner</x:v>
      </x:c>
      <x:c r="F55" s="119" t="str">
        <x:v>状态</x:v>
      </x:c>
      <x:c r="G55" s="119" t="str">
        <x:v>目标版本</x:v>
      </x:c>
      <x:c r="H55" s="119" t="str">
        <x:v>备注</x:v>
      </x:c>
    </x:row>
    <x:row r="56">
      <x:c r="A56" s="117" t="str">
        <x:v>Windows Debug/Release Rebuild</x:v>
      </x:c>
      <x:c r="B56" s="117" t="str">
        <x:v>当前环境非Windows net48</x:v>
      </x:c>
      <x:c r="C56" s="117" t="str">
        <x:v>VS2022 Build Log</x:v>
      </x:c>
      <x:c r="D56" s="117" t="str">
        <x:v>P0</x:v>
      </x:c>
      <x:c r="E56" s="117" t="str">
        <x:v>团队</x:v>
      </x:c>
      <x:c r="F56" s="117" t="str">
        <x:v>待完成</x:v>
      </x:c>
      <x:c r="G56" s="117" t="str">
        <x:v>V6.4 sign-off</x:v>
      </x:c>
      <x:c r="H56" s="117" t="str"/>
    </x:row>
    <x:row r="57">
      <x:c r="A57" s="117" t="str">
        <x:v>CxVisual.Tests + UiSmoke</x:v>
      </x:c>
      <x:c r="B57" s="117" t="str">
        <x:v>WPF/STA只能Windows真实执行</x:v>
      </x:c>
      <x:c r="C57" s="117" t="str">
        <x:v>Test/Smoke report</x:v>
      </x:c>
      <x:c r="D57" s="117" t="str">
        <x:v>P0</x:v>
      </x:c>
      <x:c r="E57" s="117" t="str">
        <x:v>QA/团队</x:v>
      </x:c>
      <x:c r="F57" s="117" t="str">
        <x:v>待完成</x:v>
      </x:c>
      <x:c r="G57" s="117" t="str">
        <x:v>V6.4 sign-off</x:v>
      </x:c>
      <x:c r="H57" s="117" t="str"/>
    </x:row>
    <x:row r="58">
      <x:c r="A58" s="117" t="str">
        <x:v>真实Modbus PLC</x:v>
      </x:c>
      <x:c r="B58" s="117" t="str">
        <x:v>本地Socket Slave不等于现场PLC</x:v>
      </x:c>
      <x:c r="C58" s="117" t="str">
        <x:v>至少1台PLC 读写/拔线/重启/异常/24h</x:v>
      </x:c>
      <x:c r="D58" s="117" t="str">
        <x:v>P0</x:v>
      </x:c>
      <x:c r="E58" s="117" t="str">
        <x:v>Automation</x:v>
      </x:c>
      <x:c r="F58" s="117" t="str">
        <x:v>待完成</x:v>
      </x:c>
      <x:c r="G58" s="117" t="str">
        <x:v>V6.4 sign-off</x:v>
      </x:c>
      <x:c r="H58" s="117" t="str"/>
    </x:row>
    <x:row r="59">
      <x:c r="A59" s="117" t="str">
        <x:v>真实Motion Controller</x:v>
      </x:c>
      <x:c r="B59" s="117" t="str">
        <x:v>Loopback/Simulation不等于运动卡</x:v>
      </x:c>
      <x:c r="C59" s="117" t="str">
        <x:v>Home/Move/Jog/DI/DO/Alarm/Reset/Scan/PositionCompare</x:v>
      </x:c>
      <x:c r="D59" s="117" t="str">
        <x:v>P0</x:v>
      </x:c>
      <x:c r="E59" s="117" t="str">
        <x:v>Automation</x:v>
      </x:c>
      <x:c r="F59" s="117" t="str">
        <x:v>待完成</x:v>
      </x:c>
      <x:c r="G59" s="117" t="str">
        <x:v>V6.4 sign-off</x:v>
      </x:c>
      <x:c r="H59" s="117" t="str"/>
    </x:row>
    <x:row r="60">
      <x:c r="A60" s="117" t="str">
        <x:v>10k Tag定量性能</x:v>
      </x:c>
      <x:c r="B60" s="117" t="str">
        <x:v>已有功能Case，无目标机数字</x:v>
      </x:c>
      <x:c r="C60" s="117" t="str">
        <x:v>CPU/Memory/Latency/Queue depth</x:v>
      </x:c>
      <x:c r="D60" s="117" t="str">
        <x:v>P0</x:v>
      </x:c>
      <x:c r="E60" s="117" t="str">
        <x:v>性能</x:v>
      </x:c>
      <x:c r="F60" s="117" t="str">
        <x:v>待完成</x:v>
      </x:c>
      <x:c r="G60" s="117" t="str">
        <x:v>V6.4 sign-off</x:v>
      </x:c>
      <x:c r="H60" s="117" t="str"/>
    </x:row>
    <x:row r="61">
      <x:c r="A61" s="117" t="str">
        <x:v>24h→72h Soak</x:v>
      </x:c>
      <x:c r="B61" s="117" t="str">
        <x:v>当前无长时趋势证据</x:v>
      </x:c>
      <x:c r="C61" s="117" t="str">
        <x:v>Leak/Queue/Thread/Handle/Recovery报告</x:v>
      </x:c>
      <x:c r="D61" s="117" t="str">
        <x:v>P0</x:v>
      </x:c>
      <x:c r="E61" s="117" t="str">
        <x:v>QA</x:v>
      </x:c>
      <x:c r="F61" s="117" t="str">
        <x:v>待完成</x:v>
      </x:c>
      <x:c r="G61" s="117" t="str">
        <x:v>Industrial Mature</x:v>
      </x:c>
      <x:c r="H61" s="117" t="str"/>
    </x:row>
    <x:row r="62">
      <x:c r="A62" s="117"/>
      <x:c r="B62" s="117"/>
      <x:c r="C62" s="117"/>
      <x:c r="D62" s="117"/>
      <x:c r="E62" s="117"/>
      <x:c r="F62" s="117"/>
      <x:c r="G62" s="117"/>
      <x:c r="H62" s="117"/>
    </x:row>
    <x:row r="63">
      <x:c r="A63" s="118" t="str">
        <x:v>F. 下一轮推进原则</x:v>
      </x:c>
      <x:c r="B63" s="118"/>
      <x:c r="C63" s="118"/>
      <x:c r="D63" s="118"/>
      <x:c r="E63" s="118"/>
      <x:c r="F63" s="118"/>
      <x:c r="G63" s="118"/>
      <x:c r="H63" s="118"/>
    </x:row>
    <x:row r="64">
      <x:c r="A64" s="119" t="str">
        <x:v>顺序</x:v>
      </x:c>
      <x:c r="B64" s="119" t="str">
        <x:v>动作</x:v>
      </x:c>
      <x:c r="C64" s="119" t="str">
        <x:v>输出</x:v>
      </x:c>
      <x:c r="D64" s="119" t="str">
        <x:v>如果暴露问题</x:v>
      </x:c>
      <x:c r="E64" s="119" t="str">
        <x:v>禁止</x:v>
      </x:c>
      <x:c r="F64" s="119" t="str">
        <x:v>Gate</x:v>
      </x:c>
      <x:c r="G64" s="119" t="str">
        <x:v>Owner</x:v>
      </x:c>
      <x:c r="H64" s="119" t="str">
        <x:v>备注</x:v>
      </x:c>
    </x:row>
    <x:row r="65">
      <x:c r="A65" s="117" t="str">
        <x:v>1</x:v>
      </x:c>
      <x:c r="B65" s="117" t="str">
        <x:v>真实小自动机Case：PLC + 双轴 + SCADA + MotionProgram</x:v>
      </x:c>
      <x:c r="C65" s="117" t="str">
        <x:v>真实流程/设备/报警/恢复证据</x:v>
      </x:c>
      <x:c r="D65" s="117" t="str">
        <x:v>先修Case暴露的模型/Runtime/Driver问题</x:v>
      </x:c>
      <x:c r="E65" s="117" t="str">
        <x:v>先加一堆接口</x:v>
      </x:c>
      <x:c r="F65" s="117" t="str">
        <x:v>Integration</x:v>
      </x:c>
      <x:c r="G65" s="117" t="str">
        <x:v>Automation</x:v>
      </x:c>
      <x:c r="H65" s="117" t="str"/>
    </x:row>
    <x:row r="66">
      <x:c r="A66" s="117" t="str">
        <x:v>2</x:v>
      </x:c>
      <x:c r="B66" s="117" t="str">
        <x:v>同步文档和追踪矩阵</x:v>
      </x:c>
      <x:c r="C66" s="117" t="str">
        <x:v>设计/实现/证据一致</x:v>
      </x:c>
      <x:c r="D66" s="117" t="str">
        <x:v>更新17/27/41/49</x:v>
      </x:c>
      <x:c r="E66" s="117" t="str">
        <x:v>把设计当完成证据</x:v>
      </x:c>
      <x:c r="F66" s="117" t="str">
        <x:v>Doc Gate</x:v>
      </x:c>
      <x:c r="G66" s="117" t="str">
        <x:v>架构/Owner</x:v>
      </x:c>
      <x:c r="H66" s="117" t="str"/>
    </x:row>
    <x:row r="67">
      <x:c r="A67" s="117" t="str">
        <x:v>3</x:v>
      </x:c>
      <x:c r="B67" s="117" t="str">
        <x:v>再换场景攻击</x:v>
      </x:c>
      <x:c r="C67" s="117" t="str">
        <x:v>更多异常/网络/重启/压力</x:v>
      </x:c>
      <x:c r="D67" s="117" t="str">
        <x:v>只有跨场景重复能力才提升Platform</x:v>
      </x:c>
      <x:c r="E67" s="117" t="str">
        <x:v>项目差异污染Platform</x:v>
      </x:c>
      <x:c r="F67" s="117" t="str">
        <x:v>Case Regression</x:v>
      </x:c>
      <x:c r="G67" s="117" t="str">
        <x:v>全团队</x:v>
      </x:c>
      <x:c r="H67" s="117" t="str"/>
    </x:row>
    <x:row r="68">
      <x:c r="A68" s="117" t="str">
        <x:v>4</x:v>
      </x:c>
      <x:c r="B68" s="117" t="str">
        <x:v>Universal Variable PoC</x:v>
      </x:c>
      <x:c r="C68" s="117" t="str">
        <x:v>Local/PLC/Virtual/Replay + Legacy migration</x:v>
      </x:c>
      <x:c r="D68" s="117" t="str">
        <x:v>验证后再正式迁移DeviceVariable</x:v>
      </x:c>
      <x:c r="E68" s="117" t="str">
        <x:v>一次性全局替换</x:v>
      </x:c>
      <x:c r="F68" s="117" t="str">
        <x:v>VAR-GEN Case</x:v>
      </x:c>
      <x:c r="G68" s="117" t="str">
        <x:v>Platform</x:v>
      </x:c>
      <x:c r="H68" s="117" t="str">
        <x:v>V6.5候选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34" hidden="0" customWidth="1"/>
    <x:col min="5" max="5" width="26" hidden="0" customWidth="1"/>
    <x:col min="6" max="6" width="22" hidden="0" customWidth="1"/>
    <x:col min="7" max="7" width="18" hidden="0" customWidth="1"/>
    <x:col min="8" max="8" width="24" hidden="0" customWidth="1"/>
  </x:cols>
  <x:sheetData>
    <x:row r="1" ht="28" customHeight="1">
      <x:c r="A1" s="116" t="str">
        <x:v>CxVisual V6.5候选 — Universal Variable Foundation / 通用变量平台蓝图</x:v>
      </x:c>
      <x:c r="B1" s="116"/>
      <x:c r="C1" s="116"/>
      <x:c r="D1" s="116"/>
      <x:c r="E1" s="116"/>
      <x:c r="F1" s="116"/>
      <x:c r="G1" s="116"/>
      <x:c r="H1" s="116"/>
    </x:row>
    <x:row r="2" ht="52" customHeight="1">
      <x:c r="A2" s="149" t="str">
        <x:v>目标不是把DeviceVariable改名，而是把现有Device中“强类型、每变量独立锁、Value/OldValue状态”的正确思想抽成Platform Variable；Device变为现实世界对象/Group/Owner，协议Driver只负责Binding和数据搬运。</x:v>
      </x:c>
      <x:c r="B2" s="149"/>
      <x:c r="C2" s="149"/>
      <x:c r="D2" s="149"/>
      <x:c r="E2" s="149"/>
      <x:c r="F2" s="149"/>
      <x:c r="G2" s="149"/>
      <x:c r="H2" s="149"/>
    </x:row>
    <x:row r="3">
      <x:c r="A3" s="117" t="str">
        <x:v>本页唯一权威</x:v>
      </x:c>
      <x:c r="B3" s="117" t="str">
        <x:v>通用变量对象模型、并发Snapshot、全局唯一/层次管理、ProviderBinding、Device关系、迁移步骤和Case DoD。</x:v>
      </x:c>
      <x:c r="C3" s="117"/>
      <x:c r="D3" s="117"/>
      <x:c r="E3" s="117"/>
      <x:c r="F3" s="117"/>
      <x:c r="G3" s="117"/>
      <x:c r="H3" s="117"/>
    </x:row>
    <x:row r="4">
      <x:c r="A4" s="117" t="str">
        <x:v>不在本页维护</x:v>
      </x:c>
      <x:c r="B4" s="117" t="str">
        <x:v>具体Modbus/S7地址编码与Vendor SDK；真实实现状态只在41维护。</x:v>
      </x:c>
      <x:c r="C4" s="117"/>
      <x:c r="D4" s="117"/>
      <x:c r="E4" s="117"/>
      <x:c r="F4" s="117"/>
      <x:c r="G4" s="117"/>
      <x:c r="H4" s="117"/>
    </x:row>
    <x:row r="5">
      <x:c r="A5" s="117" t="str">
        <x:v>关联分页</x:v>
      </x:c>
      <x:c r="B5" s="117" t="str">
        <x:v>05 Platform Contracts；17 SCADA/ICS；46 DeviceVariable迁移；47硬件抽象；49 V6.4审计。</x:v>
      </x:c>
      <x:c r="C5" s="117"/>
      <x:c r="D5" s="117"/>
      <x:c r="E5" s="117"/>
      <x:c r="F5" s="117"/>
      <x:c r="G5" s="117"/>
      <x:c r="H5" s="117"/>
    </x:row>
    <x:row r="6">
      <x:c r="A6" s="117"/>
      <x:c r="B6" s="117"/>
      <x:c r="C6" s="117"/>
      <x:c r="D6" s="117"/>
      <x:c r="E6" s="117"/>
      <x:c r="F6" s="117"/>
      <x:c r="G6" s="117"/>
      <x:c r="H6" s="117"/>
    </x:row>
    <x:row r="7">
      <x:c r="A7" s="118" t="str">
        <x:v>A. 最终对象层次</x:v>
      </x:c>
      <x:c r="B7" s="118"/>
      <x:c r="C7" s="118"/>
      <x:c r="D7" s="118"/>
      <x:c r="E7" s="118"/>
      <x:c r="F7" s="118"/>
      <x:c r="G7" s="118"/>
      <x:c r="H7" s="118"/>
    </x:row>
    <x:row r="8">
      <x:c r="A8" s="119" t="str">
        <x:v>层次</x:v>
      </x:c>
      <x:c r="B8" s="119" t="str">
        <x:v>正式类型</x:v>
      </x:c>
      <x:c r="C8" s="119" t="str">
        <x:v>职责</x:v>
      </x:c>
      <x:c r="D8" s="119" t="str">
        <x:v>是否有Value</x:v>
      </x:c>
      <x:c r="E8" s="119" t="str">
        <x:v>是否有Parent</x:v>
      </x:c>
      <x:c r="F8" s="119" t="str">
        <x:v>唯一身份</x:v>
      </x:c>
      <x:c r="G8" s="119" t="str">
        <x:v>Owner</x:v>
      </x:c>
      <x:c r="H8" s="119" t="str">
        <x:v>备注</x:v>
      </x:c>
    </x:row>
    <x:row r="9">
      <x:c r="A9" s="117" t="str">
        <x:v>1</x:v>
      </x:c>
      <x:c r="B9" s="117" t="str">
        <x:v>VariableSpace</x:v>
      </x:c>
      <x:c r="C9" s="117" t="str">
        <x:v>一个Project/Runtime/Simulation的变量空间</x:v>
      </x:c>
      <x:c r="D9" s="117" t="str">
        <x:v>否</x:v>
      </x:c>
      <x:c r="E9" s="117" t="str">
        <x:v>Root</x:v>
      </x:c>
      <x:c r="F9" s="117" t="str">
        <x:v>SpaceId</x:v>
      </x:c>
      <x:c r="G9" s="117" t="str">
        <x:v>Platform</x:v>
      </x:c>
      <x:c r="H9" s="117" t="str">
        <x:v>可支持多Session/Remote</x:v>
      </x:c>
    </x:row>
    <x:row r="10">
      <x:c r="A10" s="117" t="str">
        <x:v>2</x:v>
      </x:c>
      <x:c r="B10" s="117" t="str">
        <x:v>VariableNodeBase</x:v>
      </x:c>
      <x:c r="C10" s="117" t="str">
        <x:v>树中共同节点</x:v>
      </x:c>
      <x:c r="D10" s="117" t="str">
        <x:v>否</x:v>
      </x:c>
      <x:c r="E10" s="117" t="str">
        <x:v>是</x:v>
      </x:c>
      <x:c r="F10" s="117" t="str">
        <x:v>NodeId</x:v>
      </x:c>
      <x:c r="G10" s="117" t="str">
        <x:v>Platform</x:v>
      </x:c>
      <x:c r="H10" s="117" t="str">
        <x:v>Name/ParentId/Path/Tags/Metadata</x:v>
      </x:c>
    </x:row>
    <x:row r="11">
      <x:c r="A11" s="117" t="str">
        <x:v>3A</x:v>
      </x:c>
      <x:c r="B11" s="117" t="str">
        <x:v>VariableGroup</x:v>
      </x:c>
      <x:c r="C11" s="117" t="str">
        <x:v>组织子节点</x:v>
      </x:c>
      <x:c r="D11" s="117" t="str">
        <x:v>通常否</x:v>
      </x:c>
      <x:c r="E11" s="117" t="str">
        <x:v>是</x:v>
      </x:c>
      <x:c r="F11" s="117" t="str">
        <x:v>NodeId</x:v>
      </x:c>
      <x:c r="G11" s="117" t="str">
        <x:v>Platform</x:v>
      </x:c>
      <x:c r="H11" s="117" t="str">
        <x:v>任意层级</x:v>
      </x:c>
    </x:row>
    <x:row r="12">
      <x:c r="A12" s="117" t="str">
        <x:v>3B</x:v>
      </x:c>
      <x:c r="B12" s="117" t="str">
        <x:v>DeviceNode : VariableGroup</x:v>
      </x:c>
      <x:c r="C12" s="117" t="str">
        <x:v>带Device语义的Group/Owner</x:v>
      </x:c>
      <x:c r="D12" s="117" t="str">
        <x:v>通常不直接表示标量值</x:v>
      </x:c>
      <x:c r="E12" s="117" t="str">
        <x:v>是</x:v>
      </x:c>
      <x:c r="F12" s="117" t="str">
        <x:v>DeviceId/NodeId</x:v>
      </x:c>
      <x:c r="G12" s="117" t="str">
        <x:v>Automation</x:v>
      </x:c>
      <x:c r="H12" s="117" t="str">
        <x:v>Capabilities/Lifecycle/VariableRefs</x:v>
      </x:c>
    </x:row>
    <x:row r="13">
      <x:c r="A13" s="117" t="str">
        <x:v>3C</x:v>
      </x:c>
      <x:c r="B13" s="117" t="str">
        <x:v>VariableBase</x:v>
      </x:c>
      <x:c r="C13" s="117" t="str">
        <x:v>非泛型变量契约</x:v>
      </x:c>
      <x:c r="D13" s="117" t="str">
        <x:v>是</x:v>
      </x:c>
      <x:c r="E13" s="117" t="str">
        <x:v>是</x:v>
      </x:c>
      <x:c r="F13" s="117" t="str">
        <x:v>VariableId</x:v>
      </x:c>
      <x:c r="G13" s="117" t="str">
        <x:v>Platform</x:v>
      </x:c>
      <x:c r="H13" s="117" t="str">
        <x:v>DataTypeId/Access/Unit</x:v>
      </x:c>
    </x:row>
    <x:row r="14">
      <x:c r="A14" s="117" t="str">
        <x:v>4</x:v>
      </x:c>
      <x:c r="B14" s="117" t="str">
        <x:v>Variable&lt;T&gt;</x:v>
      </x:c>
      <x:c r="C14" s="117" t="str">
        <x:v>强类型运行变量</x:v>
      </x:c>
      <x:c r="D14" s="117" t="str">
        <x:v>是</x:v>
      </x:c>
      <x:c r="E14" s="117" t="str">
        <x:v>是</x:v>
      </x:c>
      <x:c r="F14" s="117" t="str">
        <x:v>VariableId</x:v>
      </x:c>
      <x:c r="G14" s="117" t="str">
        <x:v>Platform</x:v>
      </x:c>
      <x:c r="H14" s="117" t="str">
        <x:v>最小并发一致性单元</x:v>
      </x:c>
    </x:row>
    <x:row r="15">
      <x:c r="A15" s="117"/>
      <x:c r="B15" s="117"/>
      <x:c r="C15" s="117"/>
      <x:c r="D15" s="117"/>
      <x:c r="E15" s="117"/>
      <x:c r="F15" s="117"/>
      <x:c r="G15" s="117"/>
      <x:c r="H15" s="117"/>
    </x:row>
    <x:row r="16">
      <x:c r="A16" s="118" t="str">
        <x:v>B. Variable&lt;T&gt; 内部值模型</x:v>
      </x:c>
      <x:c r="B16" s="118"/>
      <x:c r="C16" s="118"/>
      <x:c r="D16" s="118"/>
      <x:c r="E16" s="118"/>
      <x:c r="F16" s="118"/>
      <x:c r="G16" s="118"/>
      <x:c r="H16" s="118"/>
    </x:row>
    <x:row r="17">
      <x:c r="A17" s="119" t="str">
        <x:v>对象</x:v>
      </x:c>
      <x:c r="B17" s="119" t="str">
        <x:v>字段</x:v>
      </x:c>
      <x:c r="C17" s="119" t="str">
        <x:v>语义</x:v>
      </x:c>
      <x:c r="D17" s="119" t="str">
        <x:v>并发规则</x:v>
      </x:c>
      <x:c r="E17" s="119" t="str">
        <x:v>为什么</x:v>
      </x:c>
      <x:c r="F17" s="119" t="str">
        <x:v>禁止</x:v>
      </x:c>
      <x:c r="G17" s="119" t="str">
        <x:v>测试</x:v>
      </x:c>
      <x:c r="H17" s="119" t="str">
        <x:v>备注</x:v>
      </x:c>
    </x:row>
    <x:row r="18">
      <x:c r="A18" s="117" t="str">
        <x:v>VariableSnapshot&lt;T&gt;</x:v>
      </x:c>
      <x:c r="B18" s="117" t="str">
        <x:v>Value/OldValue/Quality/TimestampUtc/Sequence/Source/CorrelationId</x:v>
      </x:c>
      <x:c r="C18" s="117" t="str">
        <x:v>一次一致读</x:v>
      </x:c>
      <x:c r="D18" s="117" t="str">
        <x:v>不可变；Set时整体替换</x:v>
      </x:c>
      <x:c r="E18" s="117" t="str">
        <x:v>避免撕裂读</x:v>
      </x:c>
      <x:c r="F18" s="117" t="str">
        <x:v>分别读Value/Quality/OldValue</x:v>
      </x:c>
      <x:c r="G18" s="117" t="str">
        <x:v>Concurrency</x:v>
      </x:c>
      <x:c r="H18" s="117" t="str"/>
    </x:row>
    <x:row r="19">
      <x:c r="A19" s="117" t="str">
        <x:v>ValueStore&lt;T&gt;</x:v>
      </x:c>
      <x:c r="B19" s="117" t="str">
        <x:v>Current/Previous + Optional Slots</x:v>
      </x:c>
      <x:c r="C19" s="117" t="str">
        <x:v>Current/Previous一等概念；Raw/Setpoint/Simulation/Override可扩展</x:v>
      </x:c>
      <x:c r="D19" s="117" t="str">
        <x:v>每变量独立锁或CAS</x:v>
      </x:c>
      <x:c r="E19" s="117" t="str">
        <x:v>保留现有Device正确思想</x:v>
      </x:c>
      <x:c r="F19" s="117" t="str">
        <x:v>每增加需求就在Variable加XXXValue属性</x:v>
      </x:c>
      <x:c r="G19" s="117" t="str">
        <x:v>Slot/Sequence</x:v>
      </x:c>
      <x:c r="H19" s="117" t="str"/>
    </x:row>
    <x:row r="20">
      <x:c r="A20" s="117" t="str">
        <x:v>Changed Event</x:v>
      </x:c>
      <x:c r="B20" s="117" t="str">
        <x:v>OldSnapshot/NewSnapshot</x:v>
      </x:c>
      <x:c r="C20" s="117" t="str">
        <x:v>值/质量变化通知</x:v>
      </x:c>
      <x:c r="D20" s="117" t="str">
        <x:v>事件在锁外发布</x:v>
      </x:c>
      <x:c r="E20" s="117" t="str">
        <x:v>避免回调阻塞Set</x:v>
      </x:c>
      <x:c r="F20" s="117" t="str">
        <x:v>锁内执行任意Subscriber</x:v>
      </x:c>
      <x:c r="G20" s="117" t="str">
        <x:v>Deadlock/SlowSubscriber</x:v>
      </x:c>
      <x:c r="H20" s="117" t="str"/>
    </x:row>
    <x:row r="21">
      <x:c r="A21" s="117" t="str">
        <x:v>Sequence</x:v>
      </x:c>
      <x:c r="B21" s="117" t="str">
        <x:v>long</x:v>
      </x:c>
      <x:c r="C21" s="117" t="str">
        <x:v>每次Snapshot变化单调递增</x:v>
      </x:c>
      <x:c r="D21" s="117" t="str">
        <x:v>同Variable内有序</x:v>
      </x:c>
      <x:c r="E21" s="117" t="str">
        <x:v>检测乱序/Replay</x:v>
      </x:c>
      <x:c r="F21" s="117" t="str">
        <x:v>假设跨Provider全局顺序</x:v>
      </x:c>
      <x:c r="G21" s="117" t="str">
        <x:v>Reconnect/Replay</x:v>
      </x:c>
      <x:c r="H21" s="117" t="str"/>
    </x:row>
    <x:row r="22">
      <x:c r="A22" s="117"/>
      <x:c r="B22" s="117"/>
      <x:c r="C22" s="117"/>
      <x:c r="D22" s="117"/>
      <x:c r="E22" s="117"/>
      <x:c r="F22" s="117"/>
      <x:c r="G22" s="117"/>
      <x:c r="H22" s="117"/>
    </x:row>
    <x:row r="23">
      <x:c r="A23" s="118" t="str">
        <x:v>C. 身份与层次管理</x:v>
      </x:c>
      <x:c r="B23" s="118"/>
      <x:c r="C23" s="118"/>
      <x:c r="D23" s="118"/>
      <x:c r="E23" s="118"/>
      <x:c r="F23" s="118"/>
      <x:c r="G23" s="118"/>
      <x:c r="H23" s="118"/>
    </x:row>
    <x:row r="24">
      <x:c r="A24" s="119" t="str">
        <x:v>概念</x:v>
      </x:c>
      <x:c r="B24" s="119" t="str">
        <x:v>用途</x:v>
      </x:c>
      <x:c r="C24" s="119" t="str">
        <x:v>正式规则</x:v>
      </x:c>
      <x:c r="D24" s="119" t="str">
        <x:v>会不会变化</x:v>
      </x:c>
      <x:c r="E24" s="119" t="str">
        <x:v>引用应依赖它吗</x:v>
      </x:c>
      <x:c r="F24" s="119" t="str">
        <x:v>索引/查找</x:v>
      </x:c>
      <x:c r="G24" s="119" t="str">
        <x:v>迁移策略</x:v>
      </x:c>
      <x:c r="H24" s="119" t="str">
        <x:v>备注</x:v>
      </x:c>
    </x:row>
    <x:row r="25">
      <x:c r="A25" s="117" t="str">
        <x:v>VariableId</x:v>
      </x:c>
      <x:c r="B25" s="117" t="str">
        <x:v>真正身份</x:v>
      </x:c>
      <x:c r="C25" s="117" t="str">
        <x:v>VariableSpace内稳定唯一；建议StableId/Guid</x:v>
      </x:c>
      <x:c r="D25" s="117" t="str">
        <x:v>否</x:v>
      </x:c>
      <x:c r="E25" s="117" t="str">
        <x:v>是</x:v>
      </x:c>
      <x:c r="F25" s="117" t="str">
        <x:v>ById O(1)</x:v>
      </x:c>
      <x:c r="G25" s="117" t="str">
        <x:v>旧SourceKey映射生成</x:v>
      </x:c>
      <x:c r="H25" s="117" t="str">
        <x:v>最重要</x:v>
      </x:c>
    </x:row>
    <x:row r="26">
      <x:c r="A26" s="117" t="str">
        <x:v>ParentId</x:v>
      </x:c>
      <x:c r="B26" s="117" t="str">
        <x:v>树组织</x:v>
      </x:c>
      <x:c r="C26" s="117" t="str">
        <x:v>表达Machine/PLC/Axis/System等层次</x:v>
      </x:c>
      <x:c r="D26" s="117" t="str">
        <x:v>会</x:v>
      </x:c>
      <x:c r="E26" s="117" t="str">
        <x:v>否</x:v>
      </x:c>
      <x:c r="F26" s="117" t="str">
        <x:v>Children index</x:v>
      </x:c>
      <x:c r="G26" s="117" t="str">
        <x:v>由旧Device/Group映射</x:v>
      </x:c>
      <x:c r="H26" s="117" t="str"/>
    </x:row>
    <x:row r="27">
      <x:c r="A27" s="117" t="str">
        <x:v>Name</x:v>
      </x:c>
      <x:c r="B27" s="117" t="str">
        <x:v>同级显示名</x:v>
      </x:c>
      <x:c r="C27" s="117" t="str">
        <x:v>Parent下唯一</x:v>
      </x:c>
      <x:c r="D27" s="117" t="str">
        <x:v>会</x:v>
      </x:c>
      <x:c r="E27" s="117" t="str">
        <x:v>否</x:v>
      </x:c>
      <x:c r="F27" s="117" t="str">
        <x:v>ByParent+Name</x:v>
      </x:c>
      <x:c r="G27" s="117" t="str">
        <x:v>保留Alias</x:v>
      </x:c>
      <x:c r="H27" s="117" t="str"/>
    </x:row>
    <x:row r="28">
      <x:c r="A28" s="117" t="str">
        <x:v>VariablePath</x:v>
      </x:c>
      <x:c r="B28" s="117" t="str">
        <x:v>人类可读地址</x:v>
      </x:c>
      <x:c r="C28" s="117" t="str">
        <x:v>由Parent+Name生成或缓存</x:v>
      </x:c>
      <x:c r="D28" s="117" t="str">
        <x:v>会</x:v>
      </x:c>
      <x:c r="E28" s="117" t="str">
        <x:v>只用于显示/诊断/输入</x:v>
      </x:c>
      <x:c r="F28" s="117" t="str">
        <x:v>ByPath index</x:v>
      </x:c>
      <x:c r="G28" s="117" t="str">
        <x:v>Rename/Move更新Alias</x:v>
      </x:c>
      <x:c r="H28" s="117" t="str">
        <x:v>不要做唯一主键</x:v>
      </x:c>
    </x:row>
    <x:row r="29">
      <x:c r="A29" s="117" t="str">
        <x:v>Tags</x:v>
      </x:c>
      <x:c r="B29" s="117" t="str">
        <x:v>横向分类</x:v>
      </x:c>
      <x:c r="C29" s="117" t="str">
        <x:v>多值标签</x:v>
      </x:c>
      <x:c r="D29" s="117" t="str">
        <x:v>会</x:v>
      </x:c>
      <x:c r="E29" s="117" t="str">
        <x:v>否</x:v>
      </x:c>
      <x:c r="F29" s="117" t="str">
        <x:v>Inverted index</x:v>
      </x:c>
      <x:c r="G29" s="117" t="str">
        <x:v>从旧属性生成</x:v>
      </x:c>
      <x:c r="H29" s="117" t="str">
        <x:v>Historian/AlarmSource等</x:v>
      </x:c>
    </x:row>
    <x:row r="30">
      <x:c r="A30" s="117" t="str">
        <x:v>OwnerRef</x:v>
      </x:c>
      <x:c r="B30" s="117" t="str">
        <x:v>业务Owner</x:v>
      </x:c>
      <x:c r="C30" s="117" t="str">
        <x:v>可选，区别于Parent</x:v>
      </x:c>
      <x:c r="D30" s="117" t="str">
        <x:v>会</x:v>
      </x:c>
      <x:c r="E30" s="117" t="str">
        <x:v>按业务需要</x:v>
      </x:c>
      <x:c r="F30" s="117" t="str">
        <x:v>ByOwner</x:v>
      </x:c>
      <x:c r="G30" s="117" t="str">
        <x:v>后续引入</x:v>
      </x:c>
      <x:c r="H30" s="117" t="str">
        <x:v>Axis变量Owner=AxisResource</x:v>
      </x:c>
    </x:row>
    <x:row r="31">
      <x:c r="A31" s="117"/>
      <x:c r="B31" s="117"/>
      <x:c r="C31" s="117"/>
      <x:c r="D31" s="117"/>
      <x:c r="E31" s="117"/>
      <x:c r="F31" s="117"/>
      <x:c r="G31" s="117"/>
      <x:c r="H31" s="117"/>
    </x:row>
    <x:row r="32">
      <x:c r="A32" s="118" t="str">
        <x:v>D. Definition / Binding / Runtime 分层</x:v>
      </x:c>
      <x:c r="B32" s="118"/>
      <x:c r="C32" s="118"/>
      <x:c r="D32" s="118"/>
      <x:c r="E32" s="118"/>
      <x:c r="F32" s="118"/>
      <x:c r="G32" s="118"/>
      <x:c r="H32" s="118"/>
    </x:row>
    <x:row r="33">
      <x:c r="A33" s="119" t="str">
        <x:v>层</x:v>
      </x:c>
      <x:c r="B33" s="119" t="str">
        <x:v>类型</x:v>
      </x:c>
      <x:c r="C33" s="119" t="str">
        <x:v>包含什么</x:v>
      </x:c>
      <x:c r="D33" s="119" t="str">
        <x:v>不包含什么</x:v>
      </x:c>
      <x:c r="E33" s="119" t="str">
        <x:v>谁修改</x:v>
      </x:c>
      <x:c r="F33" s="119" t="str">
        <x:v>谁消费</x:v>
      </x:c>
      <x:c r="G33" s="119" t="str">
        <x:v>阶段</x:v>
      </x:c>
      <x:c r="H33" s="119" t="str">
        <x:v>备注</x:v>
      </x:c>
    </x:row>
    <x:row r="34">
      <x:c r="A34" s="117" t="str">
        <x:v>Definition</x:v>
      </x:c>
      <x:c r="B34" s="117" t="str">
        <x:v>VariableDefinition</x:v>
      </x:c>
      <x:c r="C34" s="117" t="str">
        <x:v>Id/Name/DataTypeId/Access/Unit/Range/Default/Metadata</x:v>
      </x:c>
      <x:c r="D34" s="117" t="str">
        <x:v>PLC DB/寄存器地址</x:v>
      </x:c>
      <x:c r="E34" s="117" t="str">
        <x:v>Studio/Project</x:v>
      </x:c>
      <x:c r="F34" s="117" t="str">
        <x:v>Compiler/Runtime</x:v>
      </x:c>
      <x:c r="G34" s="117" t="str">
        <x:v>设计态</x:v>
      </x:c>
      <x:c r="H34" s="117" t="str">
        <x:v>可保存/版本化</x:v>
      </x:c>
    </x:row>
    <x:row r="35">
      <x:c r="A35" s="117" t="str">
        <x:v>Reference</x:v>
      </x:c>
      <x:c r="B35" s="117" t="str">
        <x:v>VariableRef</x:v>
      </x:c>
      <x:c r="C35" s="117" t="str">
        <x:v>SpaceId?/VariableId + 可选诊断Path</x:v>
      </x:c>
      <x:c r="D35" s="117" t="str">
        <x:v>Provider/Vendor对象</x:v>
      </x:c>
      <x:c r="E35" s="117" t="str">
        <x:v>所有Resource</x:v>
      </x:c>
      <x:c r="F35" s="117" t="str">
        <x:v>Resolver</x:v>
      </x:c>
      <x:c r="G35" s="117" t="str">
        <x:v>设计/运行</x:v>
      </x:c>
      <x:c r="H35" s="117" t="str">
        <x:v>稳定引用</x:v>
      </x:c>
    </x:row>
    <x:row r="36">
      <x:c r="A36" s="117" t="str">
        <x:v>Binding</x:v>
      </x:c>
      <x:c r="B36" s="117" t="str">
        <x:v>VariableBinding</x:v>
      </x:c>
      <x:c r="C36" s="117" t="str">
        <x:v>VariableId/ProviderId/BindingId</x:v>
      </x:c>
      <x:c r="D36" s="117" t="str">
        <x:v>专业地址细节仅用扩展Descriptor</x:v>
      </x:c>
      <x:c r="E36" s="117" t="str">
        <x:v>Studio/Driver config</x:v>
      </x:c>
      <x:c r="F36" s="117" t="str">
        <x:v>ProviderRouter</x:v>
      </x:c>
      <x:c r="G36" s="117" t="str">
        <x:v>Resolve</x:v>
      </x:c>
      <x:c r="H36" s="117" t="str">
        <x:v>Real/Virtual/Replay可换</x:v>
      </x:c>
    </x:row>
    <x:row r="37">
      <x:c r="A37" s="117" t="str">
        <x:v>Provider Binding</x:v>
      </x:c>
      <x:c r="B37" s="117" t="str">
        <x:v>Modbus/S7/Motion Binding</x:v>
      </x:c>
      <x:c r="C37" s="117" t="str">
        <x:v>Address/Area/DB/Register/ByteOrder/Poll等</x:v>
      </x:c>
      <x:c r="D37" s="117" t="str">
        <x:v>HMI/Alarm业务</x:v>
      </x:c>
      <x:c r="E37" s="117" t="str">
        <x:v>Automation.Drivers</x:v>
      </x:c>
      <x:c r="F37" s="117" t="str">
        <x:v>Provider</x:v>
      </x:c>
      <x:c r="G37" s="117" t="str">
        <x:v>专业层</x:v>
      </x:c>
      <x:c r="H37" s="117" t="str">
        <x:v>Platform不知道协议细节</x:v>
      </x:c>
    </x:row>
    <x:row r="38">
      <x:c r="A38" s="117" t="str">
        <x:v>Runtime</x:v>
      </x:c>
      <x:c r="B38" s="117" t="str">
        <x:v>VariableRuntime</x:v>
      </x:c>
      <x:c r="C38" s="117" t="str">
        <x:v>Catalog/StateCache/Router/Subscription/Calculated/Write/Diagnostics</x:v>
      </x:c>
      <x:c r="D38" s="117" t="str">
        <x:v>Project可变Model</x:v>
      </x:c>
      <x:c r="E38" s="117" t="str">
        <x:v>RuntimeHost</x:v>
      </x:c>
      <x:c r="F38" s="117" t="str">
        <x:v>全平台消费者</x:v>
      </x:c>
      <x:c r="G38" s="117" t="str">
        <x:v>运行态</x:v>
      </x:c>
      <x:c r="H38" s="117" t="str">
        <x:v>实例化，不static</x:v>
      </x:c>
    </x:row>
    <x:row r="39">
      <x:c r="A39" s="117"/>
      <x:c r="B39" s="117"/>
      <x:c r="C39" s="117"/>
      <x:c r="D39" s="117"/>
      <x:c r="E39" s="117"/>
      <x:c r="F39" s="117"/>
      <x:c r="G39" s="117"/>
      <x:c r="H39" s="117"/>
    </x:row>
    <x:row r="40">
      <x:c r="A40" s="118" t="str">
        <x:v>E. Variable / Command / Event / Stream / DataHandle 边界</x:v>
      </x:c>
      <x:c r="B40" s="118"/>
      <x:c r="C40" s="118"/>
      <x:c r="D40" s="118"/>
      <x:c r="E40" s="118"/>
      <x:c r="F40" s="118"/>
      <x:c r="G40" s="118"/>
      <x:c r="H40" s="118"/>
    </x:row>
    <x:row r="41">
      <x:c r="A41" s="119" t="str">
        <x:v>需求</x:v>
      </x:c>
      <x:c r="B41" s="119" t="str">
        <x:v>正式机制</x:v>
      </x:c>
      <x:c r="C41" s="119" t="str">
        <x:v>例子</x:v>
      </x:c>
      <x:c r="D41" s="119" t="str">
        <x:v>为什么</x:v>
      </x:c>
      <x:c r="E41" s="119" t="str">
        <x:v>禁止</x:v>
      </x:c>
      <x:c r="F41" s="119" t="str">
        <x:v>Owner</x:v>
      </x:c>
      <x:c r="G41" s="119" t="str">
        <x:v>稳定性</x:v>
      </x:c>
      <x:c r="H41" s="119" t="str">
        <x:v>备注</x:v>
      </x:c>
    </x:row>
    <x:row r="42">
      <x:c r="A42" s="117" t="str">
        <x:v>最新状态值</x:v>
      </x:c>
      <x:c r="B42" s="117" t="str">
        <x:v>Variable</x:v>
      </x:c>
      <x:c r="C42" s="117" t="str">
        <x:v>Axis.ActualPosition / Machine.Mode / Pressure</x:v>
      </x:c>
      <x:c r="D42" s="117" t="str">
        <x:v>有当前值/质量/时间</x:v>
      </x:c>
      <x:c r="E42" s="117" t="str">
        <x:v>用EventBus保存状态</x:v>
      </x:c>
      <x:c r="F42" s="117" t="str">
        <x:v>Platform</x:v>
      </x:c>
      <x:c r="G42" s="117" t="str">
        <x:v>高</x:v>
      </x:c>
      <x:c r="H42" s="117" t="str"/>
    </x:row>
    <x:row r="43">
      <x:c r="A43" s="117" t="str">
        <x:v>动作</x:v>
      </x:c>
      <x:c r="B43" s="117" t="str">
        <x:v>Command/Invocation</x:v>
      </x:c>
      <x:c r="C43" s="117" t="str">
        <x:v>Home / MoveAbs / XRayOn</x:v>
      </x:c>
      <x:c r="D43" s="117" t="str">
        <x:v>有意图/结果/权限/资源</x:v>
      </x:c>
      <x:c r="E43" s="117" t="str">
        <x:v>用TargetPosition变量暗示动作</x:v>
      </x:c>
      <x:c r="F43" s="117" t="str">
        <x:v>Platform+Automation</x:v>
      </x:c>
      <x:c r="G43" s="117" t="str">
        <x:v>高</x:v>
      </x:c>
      <x:c r="H43" s="117" t="str"/>
    </x:row>
    <x:row r="44">
      <x:c r="A44" s="117" t="str">
        <x:v>一次事实</x:v>
      </x:c>
      <x:c r="B44" s="117" t="str">
        <x:v>Event</x:v>
      </x:c>
      <x:c r="C44" s="117" t="str">
        <x:v>AlarmAcked / TaskStarted</x:v>
      </x:c>
      <x:c r="D44" s="117" t="str">
        <x:v>事实不可被“最新值”替代</x:v>
      </x:c>
      <x:c r="E44" s="117" t="str">
        <x:v>所有消息都Variable</x:v>
      </x:c>
      <x:c r="F44" s="117" t="str">
        <x:v>Platform</x:v>
      </x:c>
      <x:c r="G44" s="117" t="str">
        <x:v>高</x:v>
      </x:c>
      <x:c r="H44" s="117" t="str"/>
    </x:row>
    <x:row r="45">
      <x:c r="A45" s="117" t="str">
        <x:v>高频连续序列</x:v>
      </x:c>
      <x:c r="B45" s="117" t="str">
        <x:v>Stream</x:v>
      </x:c>
      <x:c r="C45" s="117" t="str">
        <x:v>DAQ waveform / 高速Position</x:v>
      </x:c>
      <x:c r="D45" s="117" t="str">
        <x:v>需要Backpressure/顺序</x:v>
      </x:c>
      <x:c r="E45" s="117" t="str">
        <x:v>10kHz流塞Variable变更事件</x:v>
      </x:c>
      <x:c r="F45" s="117" t="str">
        <x:v>Platform</x:v>
      </x:c>
      <x:c r="G45" s="117" t="str">
        <x:v>高</x:v>
      </x:c>
      <x:c r="H45" s="117" t="str"/>
    </x:row>
    <x:row r="46">
      <x:c r="A46" s="117" t="str">
        <x:v>大对象</x:v>
      </x:c>
      <x:c r="B46" s="117" t="str">
        <x:v>DataHandle/Artifact</x:v>
      </x:c>
      <x:c r="C46" s="117" t="str">
        <x:v>Image/Projection/Volume</x:v>
      </x:c>
      <x:c r="D46" s="117" t="str">
        <x:v>生命周期/共享内存/按需拉取</x:v>
      </x:c>
      <x:c r="E46" s="117" t="str">
        <x:v>把Image放Variable.Value</x:v>
      </x:c>
      <x:c r="F46" s="117" t="str">
        <x:v>Platform+专业Workbench</x:v>
      </x:c>
      <x:c r="G46" s="117" t="str">
        <x:v>高</x:v>
      </x:c>
      <x:c r="H46" s="117" t="str"/>
    </x:row>
    <x:row r="47">
      <x:c r="A47" s="117"/>
      <x:c r="B47" s="117"/>
      <x:c r="C47" s="117"/>
      <x:c r="D47" s="117"/>
      <x:c r="E47" s="117"/>
      <x:c r="F47" s="117"/>
      <x:c r="G47" s="117"/>
      <x:c r="H47" s="117"/>
    </x:row>
    <x:row r="48">
      <x:c r="A48" s="118" t="str">
        <x:v>F. 老 DeviceVariable → 新模型迁移映射</x:v>
      </x:c>
      <x:c r="B48" s="118"/>
      <x:c r="C48" s="118"/>
      <x:c r="D48" s="118"/>
      <x:c r="E48" s="118"/>
      <x:c r="F48" s="118"/>
      <x:c r="G48" s="118"/>
      <x:c r="H48" s="118"/>
    </x:row>
    <x:row r="49">
      <x:c r="A49" s="119" t="str">
        <x:v>旧对象</x:v>
      </x:c>
      <x:c r="B49" s="119" t="str">
        <x:v>保留的正确思想</x:v>
      </x:c>
      <x:c r="C49" s="119" t="str">
        <x:v>问题</x:v>
      </x:c>
      <x:c r="D49" s="119" t="str">
        <x:v>新对象</x:v>
      </x:c>
      <x:c r="E49" s="119" t="str">
        <x:v>迁移策略</x:v>
      </x:c>
      <x:c r="F49" s="119" t="str">
        <x:v>最终状态</x:v>
      </x:c>
      <x:c r="G49" s="119" t="str">
        <x:v>阶段</x:v>
      </x:c>
      <x:c r="H49" s="119" t="str">
        <x:v>备注</x:v>
      </x:c>
    </x:row>
    <x:row r="50">
      <x:c r="A50" s="117" t="str">
        <x:v>MeasureDouble/Integer/Long/String : Device</x:v>
      </x:c>
      <x:c r="B50" s="117" t="str">
        <x:v>强类型、独立对象、独立锁</x:v>
      </x:c>
      <x:c r="C50" s="117" t="str">
        <x:v>数据类型被错误建模成Device</x:v>
      </x:c>
      <x:c r="D50" s="117" t="str">
        <x:v>Variable&lt;double/int/long/string&gt;</x:v>
      </x:c>
      <x:c r="E50" s="117" t="str">
        <x:v>Legacy converter + StableId</x:v>
      </x:c>
      <x:c r="F50" s="117" t="str">
        <x:v>删除领域类型</x:v>
      </x:c>
      <x:c r="G50" s="117" t="str">
        <x:v>V6.5+</x:v>
      </x:c>
      <x:c r="H50" s="117" t="str"/>
    </x:row>
    <x:row r="51">
      <x:c r="A51" s="117" t="str">
        <x:v>VariableTable</x:v>
      </x:c>
      <x:c r="B51" s="117" t="str">
        <x:v>集中查找/更新</x:v>
      </x:c>
      <x:c r="C51" s="117" t="str">
        <x:v>与Device绑定、值语义较弱</x:v>
      </x:c>
      <x:c r="D51" s="117" t="str">
        <x:v>VariableStateCache/Catalog</x:v>
      </x:c>
      <x:c r="E51" s="117" t="str">
        <x:v>先Adapter后替换</x:v>
      </x:c>
      <x:c r="F51" s="117" t="str">
        <x:v>Compatibility only</x:v>
      </x:c>
      <x:c r="G51" s="117" t="str">
        <x:v>V6.5</x:v>
      </x:c>
      <x:c r="H51" s="117" t="str"/>
    </x:row>
    <x:row r="52">
      <x:c r="A52" s="117" t="str">
        <x:v>VariableManager static</x:v>
      </x:c>
      <x:c r="B52" s="117" t="str">
        <x:v>全局目录/事件入口</x:v>
      </x:c>
      <x:c r="C52" s="117" t="str">
        <x:v>全局状态/线程/订阅/多Session污染</x:v>
      </x:c>
      <x:c r="D52" s="117" t="str">
        <x:v>VariableRuntime instance</x:v>
      </x:c>
      <x:c r="E52" s="117" t="str">
        <x:v>Legacy bridge</x:v>
      </x:c>
      <x:c r="F52" s="117" t="str">
        <x:v>删除static主路径</x:v>
      </x:c>
      <x:c r="G52" s="117" t="str">
        <x:v>V6.5+</x:v>
      </x:c>
      <x:c r="H52" s="117" t="str"/>
    </x:row>
    <x:row r="53">
      <x:c r="A53" s="117" t="str">
        <x:v>Device.AssignVariableTable</x:v>
      </x:c>
      <x:c r="B53" s="117" t="str">
        <x:v>设备组织变量</x:v>
      </x:c>
      <x:c r="C53" s="117" t="str">
        <x:v>变量只能依附Device</x:v>
      </x:c>
      <x:c r="D53" s="117" t="str">
        <x:v>DeviceNode/VariableRef[]</x:v>
      </x:c>
      <x:c r="E53" s="117" t="str">
        <x:v>迁移Group/Owner</x:v>
      </x:c>
      <x:c r="F53" s="117" t="str">
        <x:v>删除</x:v>
      </x:c>
      <x:c r="G53" s="117" t="str">
        <x:v>V6.5+</x:v>
      </x:c>
      <x:c r="H53" s="117" t="str"/>
    </x:row>
    <x:row r="54">
      <x:c r="A54" s="117" t="str">
        <x:v>PointItem(DeviceName+VariableName)</x:v>
      </x:c>
      <x:c r="B54" s="117" t="str">
        <x:v>协议点配置</x:v>
      </x:c>
      <x:c r="C54" s="117" t="str">
        <x:v>身份和设备名/地址耦合</x:v>
      </x:c>
      <x:c r="D54" s="117" t="str">
        <x:v>Provider VariableBinding</x:v>
      </x:c>
      <x:c r="E54" s="117" t="str">
        <x:v>生成VariableId映射</x:v>
      </x:c>
      <x:c r="F54" s="117" t="str">
        <x:v>Driver新主路径</x:v>
      </x:c>
      <x:c r="G54" s="117" t="str">
        <x:v>V6.5</x:v>
      </x:c>
      <x:c r="H54" s="117" t="str"/>
    </x:row>
    <x:row r="55">
      <x:c r="A55" s="117" t="str">
        <x:v>Modbus/S7 Driver创建MeasureDevice</x:v>
      </x:c>
      <x:c r="B55" s="117" t="str">
        <x:v>便于旧系统注册</x:v>
      </x:c>
      <x:c r="C55" s="117" t="str">
        <x:v>Driver越权创建业务对象</x:v>
      </x:c>
      <x:c r="D55" s="117" t="str">
        <x:v>Driver只读写Binding→Snapshot</x:v>
      </x:c>
      <x:c r="E55" s="117" t="str">
        <x:v>Compatibility adapter</x:v>
      </x:c>
      <x:c r="F55" s="117" t="str">
        <x:v>删除</x:v>
      </x:c>
      <x:c r="G55" s="117" t="str">
        <x:v>V6.5+</x:v>
      </x:c>
      <x:c r="H55" s="117" t="str"/>
    </x:row>
    <x:row r="56">
      <x:c r="A56" s="117"/>
      <x:c r="B56" s="117"/>
      <x:c r="C56" s="117"/>
      <x:c r="D56" s="117"/>
      <x:c r="E56" s="117"/>
      <x:c r="F56" s="117"/>
      <x:c r="G56" s="117"/>
      <x:c r="H56" s="117"/>
    </x:row>
    <x:row r="57">
      <x:c r="A57" s="118" t="str">
        <x:v>G. Case 驱动验收</x:v>
      </x:c>
      <x:c r="B57" s="118"/>
      <x:c r="C57" s="118"/>
      <x:c r="D57" s="118"/>
      <x:c r="E57" s="118"/>
      <x:c r="F57" s="118"/>
      <x:c r="G57" s="118"/>
      <x:c r="H57" s="118"/>
    </x:row>
    <x:row r="58">
      <x:c r="A58" s="119" t="str">
        <x:v>CaseId</x:v>
      </x:c>
      <x:c r="B58" s="119" t="str">
        <x:v>场景</x:v>
      </x:c>
      <x:c r="C58" s="119" t="str">
        <x:v>必须证明</x:v>
      </x:c>
      <x:c r="D58" s="119" t="str">
        <x:v>通过标准</x:v>
      </x:c>
      <x:c r="E58" s="119" t="str">
        <x:v>优先级</x:v>
      </x:c>
      <x:c r="F58" s="119" t="str">
        <x:v>Owner</x:v>
      </x:c>
      <x:c r="G58" s="119" t="str">
        <x:v>状态</x:v>
      </x:c>
      <x:c r="H58" s="119" t="str">
        <x:v>备注</x:v>
      </x:c>
    </x:row>
    <x:row r="59">
      <x:c r="A59" s="117" t="str">
        <x:v>VAR-GEN-01</x:v>
      </x:c>
      <x:c r="B59" s="117" t="str">
        <x:v>无Device本地变量 + Calculated</x:v>
      </x:c>
      <x:c r="C59" s="117" t="str">
        <x:v>Variable可完全脱离Device</x:v>
      </x:c>
      <x:c r="D59" s="117" t="str">
        <x:v>HMI/Alarm/Historian/Expression均工作，不创建Device</x:v>
      </x:c>
      <x:c r="E59" s="117" t="str">
        <x:v>P0</x:v>
      </x:c>
      <x:c r="F59" s="117" t="str">
        <x:v>Platform</x:v>
      </x:c>
      <x:c r="G59" s="117" t="str">
        <x:v>待实现</x:v>
      </x:c>
      <x:c r="H59" s="117" t="str"/>
    </x:row>
    <x:row r="60">
      <x:c r="A60" s="117" t="str">
        <x:v>VAR-GEN-02</x:v>
      </x:c>
      <x:c r="B60" s="117" t="str">
        <x:v>同Variable切S7/Modbus/Virtual/Replay</x:v>
      </x:c>
      <x:c r="C60" s="117" t="str">
        <x:v>身份与来源解耦</x:v>
      </x:c>
      <x:c r="D60" s="117" t="str">
        <x:v>VariableId及上层Ref不变，仅Binding变</x:v>
      </x:c>
      <x:c r="E60" s="117" t="str">
        <x:v>P0</x:v>
      </x:c>
      <x:c r="F60" s="117" t="str">
        <x:v>Platform+Automation</x:v>
      </x:c>
      <x:c r="G60" s="117" t="str">
        <x:v>待实现</x:v>
      </x:c>
      <x:c r="H60" s="117" t="str"/>
    </x:row>
    <x:row r="61">
      <x:c r="A61" s="117" t="str">
        <x:v>VAR-GEN-03</x:v>
      </x:c>
      <x:c r="B61" s="117" t="str">
        <x:v>多线程Set/Read/Quality变化</x:v>
      </x:c>
      <x:c r="C61" s="117" t="str">
        <x:v>并发一致性</x:v>
      </x:c>
      <x:c r="D61" s="117" t="str">
        <x:v>Snapshot无撕裂，Old/Current/Quality/Sequence一致</x:v>
      </x:c>
      <x:c r="E61" s="117" t="str">
        <x:v>P0</x:v>
      </x:c>
      <x:c r="F61" s="117" t="str">
        <x:v>Platform</x:v>
      </x:c>
      <x:c r="G61" s="117" t="str">
        <x:v>待实现</x:v>
      </x:c>
      <x:c r="H61" s="117" t="str"/>
    </x:row>
    <x:row r="62">
      <x:c r="A62" s="117" t="str">
        <x:v>VAR-GEN-04</x:v>
      </x:c>
      <x:c r="B62" s="117" t="str">
        <x:v>10k变量 + Batch Provider</x:v>
      </x:c>
      <x:c r="C62" s="117" t="str">
        <x:v>可扩展性</x:v>
      </x:c>
      <x:c r="D62" s="117" t="str">
        <x:v>StateCache/Subscription有界，无第二套缓存</x:v>
      </x:c>
      <x:c r="E62" s="117" t="str">
        <x:v>P0</x:v>
      </x:c>
      <x:c r="F62" s="117" t="str">
        <x:v>Platform+Automation</x:v>
      </x:c>
      <x:c r="G62" s="117" t="str">
        <x:v>待实现</x:v>
      </x:c>
      <x:c r="H62" s="117" t="str"/>
    </x:row>
    <x:row r="63">
      <x:c r="A63" s="117" t="str">
        <x:v>VAR-GEN-05</x:v>
      </x:c>
      <x:c r="B63" s="117" t="str">
        <x:v>旧MeasureXxx工程迁移</x:v>
      </x:c>
      <x:c r="C63" s="117" t="str">
        <x:v>兼容性</x:v>
      </x:c>
      <x:c r="D63" s="117" t="str">
        <x:v>打开→迁移→保存→重开→Binding保持</x:v>
      </x:c>
      <x:c r="E63" s="117" t="str">
        <x:v>P0</x:v>
      </x:c>
      <x:c r="F63" s="117" t="str">
        <x:v>Compatibility</x:v>
      </x:c>
      <x:c r="G63" s="117" t="str">
        <x:v>待实现</x:v>
      </x:c>
      <x:c r="H63" s="117" t="str"/>
    </x:row>
    <x:row r="64">
      <x:c r="A64" s="117" t="str">
        <x:v>VAR-GEN-06</x:v>
      </x:c>
      <x:c r="B64" s="117" t="str">
        <x:v>DeviceNode变量组织</x:v>
      </x:c>
      <x:c r="C64" s="117" t="str">
        <x:v>Device与Variable语义分离</x:v>
      </x:c>
      <x:c r="D64" s="117" t="str">
        <x:v>Axis/PLC等通过VariableRef组织状态；Local变量无需Device</x:v>
      </x:c>
      <x:c r="E64" s="117" t="str">
        <x:v>P0</x:v>
      </x:c>
      <x:c r="F64" s="117" t="str">
        <x:v>Automation</x:v>
      </x:c>
      <x:c r="G64" s="117" t="str">
        <x:v>待实现</x:v>
      </x:c>
      <x:c r="H64" s="117" t="str"/>
    </x:row>
    <x:row r="65">
      <x:c r="A65" s="117"/>
      <x:c r="B65" s="117"/>
      <x:c r="C65" s="117"/>
      <x:c r="D65" s="117"/>
      <x:c r="E65" s="117"/>
      <x:c r="F65" s="117"/>
      <x:c r="G65" s="117"/>
      <x:c r="H65" s="117"/>
    </x:row>
    <x:row r="66">
      <x:c r="A66" s="118" t="str">
        <x:v>H. 关键设计红线</x:v>
      </x:c>
      <x:c r="B66" s="118"/>
      <x:c r="C66" s="118"/>
      <x:c r="D66" s="118"/>
      <x:c r="E66" s="118"/>
      <x:c r="F66" s="118"/>
      <x:c r="G66" s="118"/>
      <x:c r="H66" s="118"/>
    </x:row>
    <x:row r="67">
      <x:c r="A67" s="119" t="str">
        <x:v>红线</x:v>
      </x:c>
      <x:c r="B67" s="119" t="str">
        <x:v>说明</x:v>
      </x:c>
      <x:c r="C67" s="119" t="str">
        <x:v>原因</x:v>
      </x:c>
      <x:c r="D67" s="119" t="str">
        <x:v>Gate</x:v>
      </x:c>
      <x:c r="E67" s="119" t="str">
        <x:v>责任</x:v>
      </x:c>
      <x:c r="F67" s="119" t="str">
        <x:v>状态</x:v>
      </x:c>
      <x:c r="G67" s="119" t="str">
        <x:v>备注</x:v>
      </x:c>
      <x:c r="H67" s="119" t="str"/>
    </x:row>
    <x:row r="68">
      <x:c r="A68" s="117" t="str">
        <x:v>不得用Path作为唯一身份</x:v>
      </x:c>
      <x:c r="B68" s="117" t="str">
        <x:v>Path可因Rename/Move变化</x:v>
      </x:c>
      <x:c r="C68" s="117" t="str">
        <x:v>保护引用稳定</x:v>
      </x:c>
      <x:c r="D68" s="117" t="str">
        <x:v>Architecture/Reference tests</x:v>
      </x:c>
      <x:c r="E68" s="117" t="str">
        <x:v>Platform</x:v>
      </x:c>
      <x:c r="F68" s="117" t="str">
        <x:v>Active</x:v>
      </x:c>
      <x:c r="G68" s="117" t="str"/>
      <x:c r="H68" s="117" t="str"/>
    </x:row>
    <x:row r="69">
      <x:c r="A69" s="117" t="str">
        <x:v>不得让Platform出现DB1/HR40001等协议字段</x:v>
      </x:c>
      <x:c r="B69" s="117" t="str">
        <x:v>协议属于Automation.Drivers</x:v>
      </x:c>
      <x:c r="C69" s="117" t="str">
        <x:v>保持通用平台</x:v>
      </x:c>
      <x:c r="D69" s="117" t="str">
        <x:v>Dependency/Source Gate</x:v>
      </x:c>
      <x:c r="E69" s="117" t="str">
        <x:v>Automation</x:v>
      </x:c>
      <x:c r="F69" s="117" t="str">
        <x:v>Active</x:v>
      </x:c>
      <x:c r="G69" s="117" t="str"/>
      <x:c r="H69" s="117" t="str"/>
    </x:row>
    <x:row r="70">
      <x:c r="A70" s="117" t="str">
        <x:v>不得恢复static VariableManager主路径</x:v>
      </x:c>
      <x:c r="B70" s="117" t="str">
        <x:v>多工程/多Runtime/Simulation需要实例隔离</x:v>
      </x:c>
      <x:c r="C70" s="117" t="str">
        <x:v>避免状态串线/泄漏</x:v>
      </x:c>
      <x:c r="D70" s="117" t="str">
        <x:v>Source Gate</x:v>
      </x:c>
      <x:c r="E70" s="117" t="str">
        <x:v>Platform</x:v>
      </x:c>
      <x:c r="F70" s="117" t="str">
        <x:v>Active</x:v>
      </x:c>
      <x:c r="G70" s="117" t="str"/>
      <x:c r="H70" s="117" t="str"/>
    </x:row>
    <x:row r="71">
      <x:c r="A71" s="117" t="str">
        <x:v>不得把Home/Move/Robot动作变成变量赋值</x:v>
      </x:c>
      <x:c r="B71" s="117" t="str">
        <x:v>State与Command必须分离</x:v>
      </x:c>
      <x:c r="C71" s="117" t="str">
        <x:v>安全/审计/资源语义不同</x:v>
      </x:c>
      <x:c r="D71" s="117" t="str">
        <x:v>API/Architecture tests</x:v>
      </x:c>
      <x:c r="E71" s="117" t="str">
        <x:v>Automation</x:v>
      </x:c>
      <x:c r="F71" s="117" t="str">
        <x:v>Active</x:v>
      </x:c>
      <x:c r="G71" s="117" t="str"/>
      <x:c r="H71" s="117" t="str"/>
    </x:row>
    <x:row r="72">
      <x:c r="A72" s="117" t="str">
        <x:v>不得把Image/Volume/高速波形塞普通Variable</x:v>
      </x:c>
      <x:c r="B72" s="117" t="str">
        <x:v>大对象/高频流需要专门生命周期与Backpressure</x:v>
      </x:c>
      <x:c r="C72" s="117" t="str">
        <x:v>性能/内存</x:v>
      </x:c>
      <x:c r="D72" s="117" t="str">
        <x:v>Type/Data tests</x:v>
      </x:c>
      <x:c r="E72" s="117" t="str">
        <x:v>Platform</x:v>
      </x:c>
      <x:c r="F72" s="117" t="str">
        <x:v>Active</x:v>
      </x:c>
      <x:c r="G72" s="117" t="str"/>
      <x:c r="H72" s="117" t="str"/>
    </x:row>
  </x:sheetData>
  <x:mergeCells>
    <x:mergeCell ref="A1:H1"/>
    <x:mergeCell ref="A2:H2"/>
  </x:mergeCells>
  <x:pageMargins left="0.7" right="0.7" top="0.75" bottom="0.75" header="0.3" footer="0.3"/>
</x:worksheet>
</file>