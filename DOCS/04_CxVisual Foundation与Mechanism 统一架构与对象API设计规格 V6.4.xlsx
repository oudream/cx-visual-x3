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b1492513154169" /></Relationships>
</file>

<file path=xl/workbook.xml><?xml version="1.0" encoding="utf-8"?>
<x:workbook xmlns:x="http://schemas.openxmlformats.org/spreadsheetml/2006/main">
  <x:sheets>
    <x:sheet xmlns:r="http://schemas.openxmlformats.org/officeDocument/2006/relationships" name="00_三方面架构总览" sheetId="1" r:id="R5988fa3487334e6c"/>
    <x:sheet xmlns:r="http://schemas.openxmlformats.org/officeDocument/2006/relationships" name="01_解决方案与项目" sheetId="24" r:id="Rba0724b535ca4516"/>
    <x:sheet xmlns:r="http://schemas.openxmlformats.org/officeDocument/2006/relationships" name="F_Core" sheetId="2" r:id="R2af29bdb66c54806"/>
    <x:sheet xmlns:r="http://schemas.openxmlformats.org/officeDocument/2006/relationships" name="F_Numerics" sheetId="3" r:id="Rf9196027ce7f4695"/>
    <x:sheet xmlns:r="http://schemas.openxmlformats.org/officeDocument/2006/relationships" name="F_Geometry" sheetId="4" r:id="R3f8989befa8342e6"/>
    <x:sheet xmlns:r="http://schemas.openxmlformats.org/officeDocument/2006/relationships" name="F_Imaging" sheetId="5" r:id="Rb928dd9ede354746"/>
    <x:sheet xmlns:r="http://schemas.openxmlformats.org/officeDocument/2006/relationships" name="F_Volume" sheetId="6" r:id="R77b80355ac294eca"/>
    <x:sheet xmlns:r="http://schemas.openxmlformats.org/officeDocument/2006/relationships" name="F_Data" sheetId="7" r:id="Ra59b048bc0f04909"/>
    <x:sheet xmlns:r="http://schemas.openxmlformats.org/officeDocument/2006/relationships" name="F_Infrastructure" sheetId="8" r:id="Rfeaa5a0158e54e6d"/>
    <x:sheet xmlns:r="http://schemas.openxmlformats.org/officeDocument/2006/relationships" name="F_Transport" sheetId="9" r:id="R3178a1ed691c44d4"/>
    <x:sheet xmlns:r="http://schemas.openxmlformats.org/officeDocument/2006/relationships" name="M_Core" sheetId="10" r:id="Rd3104e0b42ea4354"/>
    <x:sheet xmlns:r="http://schemas.openxmlformats.org/officeDocument/2006/relationships" name="M_Data" sheetId="11" r:id="R1f043a71a1f54d7f"/>
    <x:sheet xmlns:r="http://schemas.openxmlformats.org/officeDocument/2006/relationships" name="M_Logic" sheetId="12" r:id="Rfb51e762d83a4c71"/>
    <x:sheet xmlns:r="http://schemas.openxmlformats.org/officeDocument/2006/relationships" name="M_Connectivity" sheetId="13" r:id="R56f22d8aa4f44f13"/>
    <x:sheet xmlns:r="http://schemas.openxmlformats.org/officeDocument/2006/relationships" name="M_Visual" sheetId="14" r:id="R738e7454100b4271"/>
    <x:sheet xmlns:r="http://schemas.openxmlformats.org/officeDocument/2006/relationships" name="M_Orchestration" sheetId="15" r:id="R87952f6d487b4151"/>
    <x:sheet xmlns:r="http://schemas.openxmlformats.org/officeDocument/2006/relationships" name="M_Runtime" sheetId="16" r:id="R9660b2464abd48fe"/>
    <x:sheet xmlns:r="http://schemas.openxmlformats.org/officeDocument/2006/relationships" name="M_Lifecycle" sheetId="17" r:id="R5e328e0a1d8c46b1"/>
    <x:sheet xmlns:r="http://schemas.openxmlformats.org/officeDocument/2006/relationships" name="M_PresentationWpf" sheetId="18" r:id="Rabe54841e97541ac"/>
    <x:sheet xmlns:r="http://schemas.openxmlformats.org/officeDocument/2006/relationships" name="02_项目依赖" sheetId="19" r:id="R5af6e3be520e4b8d"/>
    <x:sheet xmlns:r="http://schemas.openxmlformats.org/officeDocument/2006/relationships" name="03_对象关系" sheetId="20" r:id="R6795fc7d85794686"/>
    <x:sheet xmlns:r="http://schemas.openxmlformats.org/officeDocument/2006/relationships" name="04_协作与案例" sheetId="21" r:id="Rc7a1d470d3d94c03"/>
    <x:sheet xmlns:r="http://schemas.openxmlformats.org/officeDocument/2006/relationships" name="05_V78迁移" sheetId="22" r:id="R37d95bd352bd445b"/>
    <x:sheet xmlns:r="http://schemas.openxmlformats.org/officeDocument/2006/relationships" name="06_测试与裁决" sheetId="23" r:id="Rb33dcf56fa854154"/>
  </x:sheets>
</x:workbook>
</file>

<file path=xl/sharedStrings.xml><?xml version="1.0" encoding="utf-8"?>
<x:sst xmlns:x="http://schemas.openxmlformats.org/spreadsheetml/2006/main"/>
</file>

<file path=xl/styles.xml><?xml version="1.0" encoding="utf-8"?>
<x:styleSheet xmlns:x="http://schemas.openxmlformats.org/spreadsheetml/2006/main">
  <x:fonts count="25">
    <x:font>
      <x:sz val="11"/>
      <x:name val="Carlito"/>
    </x:font>
    <x:font>
      <x:sz val="11"/>
      <x:color rgb="FFF5F7FC"/>
      <x:name val="Microsoft YaHei"/>
    </x:font>
    <x:font>
      <x:b/>
      <x:sz val="15"/>
      <x:color rgb="FFFFFFFF"/>
      <x:name val="Microsoft YaHei"/>
    </x:font>
    <x:font>
      <x:b/>
      <x:sz val="11"/>
      <x:color rgb="FFF5F7FC"/>
      <x:name val="Microsoft YaHei"/>
    </x:font>
    <x:font>
      <x:sz val="10"/>
      <x:color rgb="FFCDD8E5"/>
      <x:name val="Microsoft YaHei"/>
    </x:font>
    <x:font>
      <x:b/>
      <x:sz val="11"/>
      <x:color rgb="FFFFFFFF"/>
      <x:name val="Microsoft YaHei"/>
    </x:font>
    <x:font>
      <x:sz val="10"/>
      <x:color rgb="FFF4F7FC"/>
      <x:name val="Microsoft YaHei"/>
    </x:font>
    <x:font>
      <x:b/>
      <x:sz val="15"/>
      <x:color rgb="FFF4F7FC"/>
      <x:name val="Microsoft YaHei"/>
    </x:font>
    <x:font>
      <x:b/>
      <x:sz val="10"/>
      <x:color rgb="FFF4F7FC"/>
      <x:name val="Microsoft YaHei"/>
    </x:font>
    <x:font>
      <x:sz val="10"/>
      <x:color rgb="FFBAC7D6"/>
      <x:name val="Microsoft YaHei"/>
    </x:font>
    <x:font>
      <x:b/>
      <x:sz val="12"/>
      <x:color rgb="FFF4F7FC"/>
      <x:name val="Microsoft YaHei"/>
    </x:font>
    <x:font>
      <x:sz val="10"/>
      <x:color rgb="FFBAC7D6"/>
      <x:name val="Microsoft YaHei"/>
    </x:font>
    <x:font>
      <x:b/>
      <x:sz val="10"/>
      <x:color rgb="FFFFFFFF"/>
      <x:name val="Microsoft YaHei"/>
    </x:font>
    <x:font>
      <x:sz val="10"/>
      <x:color rgb="FFE9EFF5"/>
      <x:name val="Microsoft YaHei"/>
    </x:font>
    <x:font>
      <x:sz val="10"/>
      <x:color rgb="FFBACBDA"/>
      <x:name val="Microsoft YaHei"/>
    </x:font>
    <x:font>
      <x:sz val="11"/>
      <x:color rgb="FFE9EFF5"/>
      <x:name val="Microsoft YaHei"/>
    </x:font>
    <x:font>
      <x:sz val="11"/>
      <x:color rgb="FFBACBDA"/>
      <x:name val="Microsoft YaHei"/>
    </x:font>
    <x:font>
      <x:sz val="11"/>
      <x:color rgb="FFFFFFFF"/>
      <x:name val="Carlito"/>
    </x:font>
    <x:font>
      <x:b/>
      <x:sz val="11"/>
      <x:color rgb="FFFFFFFF"/>
      <x:name val="Carlito"/>
    </x:font>
    <x:font>
      <x:sz val="11"/>
      <x:color rgb="FFE9EFF5"/>
      <x:name val="Carlito"/>
    </x:font>
    <x:font>
      <x:sz val="10"/>
      <x:color rgb="FFEEF3FA"/>
      <x:name val="微软雅黑"/>
    </x:font>
    <x:font>
      <x:b/>
      <x:sz val="14"/>
      <x:color rgb="FFFFFFFF"/>
      <x:name val="微软雅黑"/>
    </x:font>
    <x:font>
      <x:b/>
      <x:sz val="10"/>
      <x:color rgb="FFFFFFFF"/>
      <x:name val="微软雅黑"/>
    </x:font>
    <x:font>
      <x:sz val="10"/>
      <x:color rgb="FFFFFFFF"/>
      <x:name val="微软雅黑"/>
    </x:font>
    <x:font>
      <x:sz val="10"/>
      <x:color rgb="FFC9D4DF"/>
      <x:name val="微软雅黑"/>
    </x:font>
  </x:fonts>
  <x:fills count="21">
    <x:fill>
      <x:patternFill patternType="none"/>
    </x:fill>
    <x:fill>
      <x:patternFill patternType="gray125"/>
    </x:fill>
    <x:fill>
      <x:patternFill patternType="solid">
        <x:fgColor rgb="FF0B1118"/>
      </x:patternFill>
    </x:fill>
    <x:fill>
      <x:patternFill patternType="solid">
        <x:fgColor rgb="FF173D60"/>
      </x:patternFill>
    </x:fill>
    <x:fill>
      <x:patternFill patternType="solid">
        <x:fgColor rgb="FF273C54"/>
      </x:patternFill>
    </x:fill>
    <x:fill>
      <x:patternFill patternType="solid">
        <x:fgColor rgb="FF1B405F"/>
      </x:patternFill>
    </x:fill>
    <x:fill>
      <x:patternFill patternType="solid">
        <x:fgColor rgb="FF0F1720"/>
      </x:patternFill>
    </x:fill>
    <x:fill>
      <x:patternFill patternType="solid">
        <x:fgColor rgb="FF080D13"/>
      </x:patternFill>
    </x:fill>
    <x:fill>
      <x:patternFill patternType="solid">
        <x:fgColor rgb="FF163B5A"/>
      </x:patternFill>
    </x:fill>
    <x:fill>
      <x:patternFill patternType="solid">
        <x:fgColor rgb="FF173C60"/>
      </x:patternFill>
    </x:fill>
    <x:fill>
      <x:patternFill patternType="solid">
        <x:fgColor rgb="FF163B5A"/>
      </x:patternFill>
    </x:fill>
    <x:fill>
      <x:patternFill patternType="solid">
        <x:fgColor rgb="FF080D13"/>
      </x:patternFill>
    </x:fill>
    <x:fill>
      <x:patternFill patternType="solid">
        <x:fgColor rgb="FF193A59"/>
      </x:patternFill>
    </x:fill>
    <x:fill>
      <x:patternFill patternType="solid">
        <x:fgColor rgb="FF090E14"/>
      </x:patternFill>
    </x:fill>
    <x:fill>
      <x:patternFill patternType="solid">
        <x:fgColor rgb="FF0B1119"/>
      </x:patternFill>
    </x:fill>
    <x:fill>
      <x:patternFill patternType="solid">
        <x:fgColor rgb="FF080D12"/>
      </x:patternFill>
    </x:fill>
    <x:fill>
      <x:patternFill patternType="solid">
        <x:fgColor rgb="FF173B5A"/>
      </x:patternFill>
    </x:fill>
    <x:fill>
      <x:patternFill patternType="solid">
        <x:fgColor rgb="FF132638"/>
      </x:patternFill>
    </x:fill>
    <x:fill>
      <x:patternFill patternType="solid">
        <x:fgColor rgb="FF214869"/>
      </x:patternFill>
    </x:fill>
    <x:fill>
      <x:patternFill patternType="solid">
        <x:fgColor rgb="FF111923"/>
      </x:patternFill>
    </x:fill>
    <x:fill>
      <x:patternFill patternType="solid">
        <x:fgColor rgb="FF173B5A"/>
      </x:patternFill>
    </x:fill>
  </x:fills>
  <x:borders count="15">
    <x:border/>
    <x:border/>
    <x:border>
      <x:left style="thin">
        <x:color rgb="FF41586D"/>
      </x:left>
      <x:right style="thin">
        <x:color rgb="FF41586D"/>
      </x:right>
      <x:top style="thin">
        <x:color rgb="FF41586D"/>
      </x:top>
      <x:bottom style="thin">
        <x:color rgb="FF41586D"/>
      </x:bottom>
    </x:border>
    <x:border>
      <x:left style="thin">
        <x:color rgb="FF41586D"/>
      </x:left>
      <x:right style="thin">
        <x:color rgb="FF41586D"/>
      </x:right>
      <x:top style="thin">
        <x:color rgb="FF41586D"/>
      </x:top>
      <x:bottom style="thin">
        <x:color rgb="FF41586D"/>
      </x:bottom>
    </x:border>
    <x:border>
      <x:left style="thin">
        <x:color rgb="FF304152"/>
      </x:left>
      <x:right style="thin">
        <x:color rgb="FF304152"/>
      </x:right>
      <x:top style="thin">
        <x:color rgb="FF304152"/>
      </x:top>
      <x:bottom style="thin">
        <x:color rgb="FF304152"/>
      </x:bottom>
    </x:border>
    <x:border>
      <x:left style="thin">
        <x:color rgb="FF304152"/>
      </x:left>
      <x:right style="thin">
        <x:color rgb="FF304152"/>
      </x:right>
      <x:top style="thin">
        <x:color rgb="FF304152"/>
      </x:top>
      <x:bottom style="thin">
        <x:color rgb="FF304152"/>
      </x:bottom>
    </x:border>
    <x:border>
      <x:left style="thin">
        <x:color rgb="FF7893AF"/>
      </x:left>
      <x:right style="thin">
        <x:color rgb="FF7893AF"/>
      </x:right>
      <x:top style="thin">
        <x:color rgb="FF7893AF"/>
      </x:top>
      <x:bottom style="thin">
        <x:color rgb="FF7893AF"/>
      </x:bottom>
    </x:border>
    <x:border>
      <x:left style="thin">
        <x:color rgb="FF7893AF"/>
      </x:left>
      <x:right style="thin">
        <x:color rgb="FF7893AF"/>
      </x:right>
      <x:top style="thin">
        <x:color rgb="FF7893AF"/>
      </x:top>
      <x:bottom style="thin">
        <x:color rgb="FF7893AF"/>
      </x:bottom>
    </x:border>
    <x:border>
      <x:left style="thin">
        <x:color rgb="FF34475C"/>
      </x:left>
      <x:right style="thin">
        <x:color rgb="FF34475C"/>
      </x:right>
      <x:top style="thin">
        <x:color rgb="FF34475C"/>
      </x:top>
      <x:bottom style="thin">
        <x:color rgb="FF34475C"/>
      </x:bottom>
    </x:border>
    <x:border>
      <x:left style="thin">
        <x:color rgb="FF34475C"/>
      </x:left>
      <x:right style="thin">
        <x:color rgb="FF34475C"/>
      </x:right>
      <x:top style="thin">
        <x:color rgb="FF34475C"/>
      </x:top>
      <x:bottom style="thin">
        <x:color rgb="FF34475C"/>
      </x:bottom>
    </x:border>
    <x:border>
      <x:left style="thin">
        <x:color rgb="FF354B60"/>
      </x:left>
      <x:right style="thin">
        <x:color rgb="FF354B60"/>
      </x:right>
      <x:top style="thin">
        <x:color rgb="FF354B60"/>
      </x:top>
      <x:bottom style="thin">
        <x:color rgb="FF354B60"/>
      </x:bottom>
    </x:border>
    <x:border>
      <x:left style="thin">
        <x:color rgb="FF314659"/>
      </x:left>
      <x:right style="thin">
        <x:color rgb="FF314659"/>
      </x:right>
      <x:top style="thin">
        <x:color rgb="FF314659"/>
      </x:top>
      <x:bottom style="thin">
        <x:color rgb="FF314659"/>
      </x:bottom>
    </x:border>
    <x:border>
      <x:left style="thin">
        <x:color rgb="FF354C60"/>
      </x:left>
      <x:right style="thin">
        <x:color rgb="FF354C60"/>
      </x:right>
      <x:top style="thin">
        <x:color rgb="FF354C60"/>
      </x:top>
      <x:bottom style="thin">
        <x:color rgb="FF354C60"/>
      </x:bottom>
    </x:border>
    <x:border>
      <x:left style="thin">
        <x:color rgb="FF344B5C"/>
      </x:left>
      <x:right style="thin">
        <x:color rgb="FF344B5C"/>
      </x:right>
      <x:top style="thin">
        <x:color rgb="FF344B5C"/>
      </x:top>
      <x:bottom style="thin">
        <x:color rgb="FF344B5C"/>
      </x:bottom>
    </x:border>
    <x:border>
      <x:left style="thin">
        <x:color rgb="FF354A61"/>
      </x:left>
      <x:right style="thin">
        <x:color rgb="FF354A61"/>
      </x:right>
      <x:top style="thin">
        <x:color rgb="FF354A61"/>
      </x:top>
      <x:bottom style="thin">
        <x:color rgb="FF354A61"/>
      </x:bottom>
    </x:border>
  </x:borders>
  <x:cellStyleXfs count="1">
    <x:xf numFmtId="0" fontId="0" fillId="0" borderId="0"/>
  </x:cellStyleXfs>
  <x:cellXfs count="2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top"/>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top"/>
    </x:xf>
    <x:xf numFmtId="0" fontId="1" fillId="3" borderId="0" xfId="0" applyNumberFormat="1" applyFont="1" applyFill="1" applyBorder="1" applyAlignment="1">
      <x:alignment vertical="top"/>
    </x:xf>
    <x:xf numFmtId="0" fontId="2" fillId="3"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2" fillId="3" borderId="0" xfId="0" applyNumberFormat="1" applyFont="1" applyFill="1" applyBorder="1" applyAlignment="1">
      <x:alignment horizontal="center" vertical="center"/>
    </x:xf>
    <x:xf numFmtId="0" fontId="1" fillId="3" borderId="1"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1" xfId="0" applyNumberFormat="1" applyFont="1" applyFill="1" applyBorder="1" applyAlignment="1">
      <x:alignment horizontal="center" vertical="top"/>
    </x:xf>
    <x:xf numFmtId="0" fontId="2" fillId="3" borderId="1" xfId="0" applyNumberFormat="1" applyFont="1" applyFill="1" applyBorder="1" applyAlignment="1">
      <x:alignment horizontal="center" vertical="center"/>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top"/>
    </x:xf>
    <x:xf numFmtId="0" fontId="3" fillId="2" borderId="1" xfId="0" applyNumberFormat="1" applyFont="1" applyFill="1" applyBorder="1" applyAlignment="1">
      <x:alignment vertical="center"/>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left" vertical="top" wrapText="1"/>
    </x:xf>
    <x:xf numFmtId="0" fontId="4" fillId="2" borderId="1" xfId="0" applyNumberFormat="1" applyFont="1" applyFill="1" applyBorder="1" applyAlignment="1">
      <x:alignment vertical="top"/>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left" vertical="top" wrapText="1"/>
    </x:xf>
    <x:xf numFmtId="0" fontId="1" fillId="4" borderId="0" xfId="0" applyNumberFormat="1" applyFont="1" applyFill="1" applyBorder="1" applyAlignment="1">
      <x:alignment vertical="top"/>
    </x:xf>
    <x:xf numFmtId="0" fontId="3" fillId="4" borderId="0" xfId="0" applyNumberFormat="1" applyFont="1" applyFill="1" applyBorder="1" applyAlignment="1">
      <x:alignment vertical="top"/>
    </x:xf>
    <x:xf numFmtId="0" fontId="3" fillId="4" borderId="0" xfId="0" applyNumberFormat="1" applyFont="1" applyFill="1" applyBorder="1" applyAlignment="1">
      <x:alignment horizontal="center" vertical="top"/>
    </x:xf>
    <x:xf numFmtId="0" fontId="1" fillId="4" borderId="1" xfId="0" applyNumberFormat="1" applyFont="1" applyFill="1" applyBorder="1" applyAlignment="1">
      <x:alignment vertical="top"/>
    </x:xf>
    <x:xf numFmtId="0" fontId="3" fillId="4" borderId="1" xfId="0" applyNumberFormat="1" applyFont="1" applyFill="1" applyBorder="1" applyAlignment="1">
      <x:alignment vertical="top"/>
    </x:xf>
    <x:xf numFmtId="0" fontId="3" fillId="4" borderId="1" xfId="0" applyNumberFormat="1" applyFont="1" applyFill="1" applyBorder="1" applyAlignment="1">
      <x:alignment horizontal="center" vertical="top"/>
    </x:xf>
    <x:xf numFmtId="0" fontId="1" fillId="5" borderId="0" xfId="0" applyNumberFormat="1" applyFont="1" applyFill="1" applyBorder="1" applyAlignment="1">
      <x:alignment vertical="top"/>
    </x:xf>
    <x:xf numFmtId="0" fontId="5" fillId="5" borderId="0" xfId="0" applyNumberFormat="1" applyFont="1" applyFill="1" applyBorder="1" applyAlignment="1">
      <x:alignment vertical="top"/>
    </x:xf>
    <x:xf numFmtId="0" fontId="5" fillId="5" borderId="0" xfId="0" applyNumberFormat="1" applyFont="1" applyFill="1" applyBorder="1" applyAlignment="1">
      <x:alignment vertical="top" wrapText="1"/>
    </x:xf>
    <x:xf numFmtId="0" fontId="5" fillId="5" borderId="0" xfId="0" applyNumberFormat="1" applyFont="1" applyFill="1" applyBorder="1" applyAlignment="1">
      <x:alignment horizontal="center" vertical="top" wrapText="1"/>
    </x:xf>
    <x:xf numFmtId="0" fontId="5" fillId="5" borderId="0" xfId="0" applyNumberFormat="1" applyFont="1" applyFill="1" applyBorder="1" applyAlignment="1">
      <x:alignment horizontal="center" vertical="center" wrapText="1"/>
    </x:xf>
    <x:xf numFmtId="0" fontId="1" fillId="5" borderId="1" xfId="0" applyNumberFormat="1" applyFont="1" applyFill="1" applyBorder="1" applyAlignment="1">
      <x:alignment vertical="top"/>
    </x:xf>
    <x:xf numFmtId="0" fontId="5" fillId="5" borderId="1" xfId="0" applyNumberFormat="1" applyFont="1" applyFill="1" applyBorder="1" applyAlignment="1">
      <x:alignment vertical="top"/>
    </x:xf>
    <x:xf numFmtId="0" fontId="5" fillId="5" borderId="1" xfId="0" applyNumberFormat="1" applyFont="1" applyFill="1" applyBorder="1" applyAlignment="1">
      <x:alignment vertical="top" wrapText="1"/>
    </x:xf>
    <x:xf numFmtId="0" fontId="5" fillId="5" borderId="1" xfId="0" applyNumberFormat="1" applyFont="1" applyFill="1" applyBorder="1" applyAlignment="1">
      <x:alignment horizontal="center" vertical="top" wrapText="1"/>
    </x:xf>
    <x:xf numFmtId="0" fontId="5" fillId="5" borderId="1"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1" fillId="6" borderId="0" xfId="0" applyNumberFormat="1" applyFont="1" applyFill="1" applyBorder="1" applyAlignment="1">
      <x:alignment vertical="top"/>
    </x:xf>
    <x:xf numFmtId="0" fontId="1" fillId="6" borderId="0" xfId="0" applyNumberFormat="1" applyFont="1" applyFill="1" applyBorder="1" applyAlignment="1">
      <x:alignment vertical="top" wrapText="1"/>
    </x:xf>
    <x:xf numFmtId="0" fontId="1" fillId="6" borderId="0" xfId="0" applyNumberFormat="1" applyFont="1" applyFill="1" applyBorder="1" applyAlignment="1">
      <x:alignment horizontal="left" vertical="top" wrapText="1"/>
    </x:xf>
    <x:xf numFmtId="0" fontId="1" fillId="6" borderId="1" xfId="0" applyNumberFormat="1" applyFont="1" applyFill="1" applyBorder="1" applyAlignment="1">
      <x:alignment vertical="top"/>
    </x:xf>
    <x:xf numFmtId="0" fontId="1" fillId="6" borderId="1" xfId="0" applyNumberFormat="1" applyFont="1" applyFill="1" applyBorder="1" applyAlignment="1">
      <x:alignment vertical="top" wrapText="1"/>
    </x:xf>
    <x:xf numFmtId="0" fontId="1" fillId="6" borderId="1" xfId="0" applyNumberFormat="1" applyFont="1" applyFill="1" applyBorder="1" applyAlignment="1">
      <x:alignment horizontal="left" vertical="top" wrapText="1"/>
    </x:xf>
    <x:xf numFmtId="0" fontId="1" fillId="6" borderId="4" xfId="0" applyNumberFormat="1" applyFont="1" applyFill="1" applyBorder="1" applyAlignment="1">
      <x:alignment horizontal="left" vertical="top" wrapText="1"/>
    </x:xf>
    <x:xf numFmtId="0" fontId="1" fillId="6" borderId="5" xfId="0" applyNumberFormat="1" applyFont="1" applyFill="1" applyBorder="1" applyAlignment="1">
      <x:alignment horizontal="left" vertical="top" wrapText="1"/>
    </x:xf>
    <x:xf numFmtId="0" fontId="1" fillId="6" borderId="4" xfId="0" applyNumberFormat="1" applyFont="1" applyFill="1" applyBorder="1" applyAlignment="1">
      <x:alignment horizontal="center" vertical="top" wrapText="1"/>
    </x:xf>
    <x:xf numFmtId="0" fontId="1" fillId="6" borderId="5" xfId="0" applyNumberFormat="1" applyFont="1" applyFill="1" applyBorder="1" applyAlignment="1">
      <x:alignment horizontal="center"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left" wrapText="1"/>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left" wrapText="1"/>
    </x:xf>
    <x:xf numFmtId="0" fontId="1" fillId="3"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2"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top" wrapText="1"/>
    </x:xf>
    <x:xf numFmtId="0" fontId="3" fillId="2" borderId="0" xfId="0" applyNumberFormat="1" applyFont="1" applyFill="1" applyBorder="1" applyAlignment="1">
      <x:alignment horizontal="left" vertical="top" wrapText="1"/>
    </x:xf>
    <x:xf numFmtId="0" fontId="3"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top" wrapText="1"/>
    </x:xf>
    <x:xf numFmtId="0" fontId="3" fillId="2" borderId="1" xfId="0" applyNumberFormat="1" applyFont="1" applyFill="1" applyBorder="1" applyAlignment="1">
      <x:alignment horizontal="left" vertical="top" wrapText="1"/>
    </x:xf>
    <x:xf numFmtId="0" fontId="3" fillId="2" borderId="1" xfId="0" applyNumberFormat="1" applyFont="1" applyFill="1" applyBorder="1" applyAlignment="1">
      <x:alignment horizontal="left" vertical="center" wrapText="1"/>
    </x:xf>
    <x:xf numFmtId="0" fontId="1" fillId="5" borderId="0" xfId="0" applyNumberFormat="1" applyFont="1" applyFill="1" applyBorder="1" applyAlignment="1">
      <x:alignment horizontal="left" vertical="top" wrapText="1"/>
    </x:xf>
    <x:xf numFmtId="0" fontId="5" fillId="5" borderId="0" xfId="0" applyNumberFormat="1" applyFont="1" applyFill="1" applyBorder="1" applyAlignment="1">
      <x:alignment horizontal="left" vertical="top" wrapText="1"/>
    </x:xf>
    <x:xf numFmtId="0" fontId="1" fillId="5" borderId="1" xfId="0" applyNumberFormat="1" applyFont="1" applyFill="1" applyBorder="1" applyAlignment="1">
      <x:alignment horizontal="left" vertical="top" wrapText="1"/>
    </x:xf>
    <x:xf numFmtId="0" fontId="5" fillId="5" borderId="1" xfId="0" applyNumberFormat="1" applyFont="1" applyFill="1" applyBorder="1" applyAlignment="1">
      <x:alignment horizontal="left" vertical="top" wrapText="1"/>
    </x:xf>
    <x:xf numFmtId="0" fontId="5" fillId="5" borderId="6" xfId="0" applyNumberFormat="1" applyFont="1" applyFill="1" applyBorder="1" applyAlignment="1">
      <x:alignment horizontal="center" vertical="center" wrapText="1"/>
    </x:xf>
    <x:xf numFmtId="0" fontId="5" fillId="5" borderId="7" xfId="0" applyNumberFormat="1" applyFont="1" applyFill="1" applyBorder="1" applyAlignment="1">
      <x:alignment horizontal="center" vertical="center" wrapText="1"/>
    </x:xf>
    <x:xf numFmtId="0" fontId="1" fillId="6" borderId="8" xfId="0" applyNumberFormat="1" applyFont="1" applyFill="1" applyBorder="1" applyAlignment="1">
      <x:alignment horizontal="left" vertical="top" wrapText="1"/>
    </x:xf>
    <x:xf numFmtId="0" fontId="1" fillId="6" borderId="9" xfId="0" applyNumberFormat="1" applyFont="1" applyFill="1" applyBorder="1" applyAlignment="1">
      <x:alignment horizontal="left" vertical="top" wrapText="1"/>
    </x:xf>
    <x:xf numFmtId="0" fontId="1" fillId="6" borderId="8" xfId="0" applyNumberFormat="1" applyFont="1" applyFill="1" applyBorder="1" applyAlignment="1">
      <x:alignment horizontal="center" vertical="top" wrapText="1"/>
    </x:xf>
    <x:xf numFmtId="0" fontId="1" fillId="6" borderId="9" xfId="0" applyNumberFormat="1" applyFont="1" applyFill="1" applyBorder="1" applyAlignment="1">
      <x:alignment horizontal="center" vertical="top" wrapText="1"/>
    </x:xf>
    <x:xf numFmtId="0" fontId="1" fillId="4" borderId="8" xfId="0" applyNumberFormat="1" applyFont="1" applyFill="1" applyBorder="1" applyAlignment="1">
      <x:alignment horizontal="left" vertical="top" wrapText="1"/>
    </x:xf>
    <x:xf numFmtId="0" fontId="1" fillId="4" borderId="8" xfId="0" applyNumberFormat="1" applyFont="1" applyFill="1" applyBorder="1" applyAlignment="1">
      <x:alignment horizontal="center" vertical="top" wrapText="1"/>
    </x:xf>
    <x:xf numFmtId="0" fontId="1" fillId="4" borderId="9" xfId="0" applyNumberFormat="1" applyFont="1" applyFill="1" applyBorder="1" applyAlignment="1">
      <x:alignment horizontal="left" vertical="top" wrapText="1"/>
    </x:xf>
    <x:xf numFmtId="0" fontId="1" fillId="4" borderId="9" xfId="0" applyNumberFormat="1" applyFont="1" applyFill="1" applyBorder="1" applyAlignment="1">
      <x:alignment horizontal="center" vertical="top" wrapText="1"/>
    </x:xf>
    <x:xf numFmtId="0" fontId="1" fillId="3" borderId="8" xfId="0" applyNumberFormat="1" applyFont="1" applyFill="1" applyBorder="1" applyAlignment="1">
      <x:alignment horizontal="left" vertical="top" wrapText="1"/>
    </x:xf>
    <x:xf numFmtId="0" fontId="0" fillId="3" borderId="0" xfId="0" applyNumberFormat="1" applyFont="1" applyFill="1" applyBorder="1"/>
    <x:xf numFmtId="0" fontId="2" fillId="3" borderId="8" xfId="0" applyNumberFormat="1" applyFont="1" applyFill="1" applyBorder="1" applyAlignment="1">
      <x:alignment horizontal="left" vertical="top" wrapText="1"/>
    </x:xf>
    <x:xf numFmtId="0" fontId="2" fillId="3" borderId="0" xfId="0" applyNumberFormat="1" applyFont="1" applyFill="1" applyBorder="1"/>
    <x:xf numFmtId="0" fontId="2" fillId="3" borderId="8" xfId="0" applyNumberFormat="1" applyFont="1" applyFill="1" applyBorder="1" applyAlignment="1">
      <x:alignment horizontal="center" vertical="top" wrapText="1"/>
    </x:xf>
    <x:xf numFmtId="0" fontId="2" fillId="3" borderId="0" xfId="0" applyNumberFormat="1" applyFont="1" applyFill="1" applyBorder="1" applyAlignment="1">
      <x:alignment horizontal="center"/>
    </x:xf>
    <x:xf numFmtId="0" fontId="2" fillId="3" borderId="8" xfId="0" applyNumberFormat="1" applyFont="1" applyFill="1" applyBorder="1" applyAlignment="1">
      <x:alignment horizontal="center" vertical="center" wrapText="1"/>
    </x:xf>
    <x:xf numFmtId="0" fontId="1" fillId="3" borderId="9" xfId="0" applyNumberFormat="1" applyFont="1" applyFill="1" applyBorder="1" applyAlignment="1">
      <x:alignment horizontal="left" vertical="top" wrapText="1"/>
    </x:xf>
    <x:xf numFmtId="0" fontId="0" fillId="3" borderId="1" xfId="0" applyNumberFormat="1" applyFont="1" applyFill="1" applyBorder="1"/>
    <x:xf numFmtId="0" fontId="2" fillId="3" borderId="9" xfId="0" applyNumberFormat="1" applyFont="1" applyFill="1" applyBorder="1" applyAlignment="1">
      <x:alignment horizontal="left" vertical="top" wrapText="1"/>
    </x:xf>
    <x:xf numFmtId="0" fontId="2" fillId="3" borderId="1" xfId="0" applyNumberFormat="1" applyFont="1" applyFill="1" applyBorder="1"/>
    <x:xf numFmtId="0" fontId="2" fillId="3" borderId="9" xfId="0" applyNumberFormat="1" applyFont="1" applyFill="1" applyBorder="1" applyAlignment="1">
      <x:alignment horizontal="center" vertical="top" wrapText="1"/>
    </x:xf>
    <x:xf numFmtId="0" fontId="2" fillId="3" borderId="1" xfId="0" applyNumberFormat="1" applyFont="1" applyFill="1" applyBorder="1" applyAlignment="1">
      <x:alignment horizontal="center"/>
    </x:xf>
    <x:xf numFmtId="0" fontId="2" fillId="3" borderId="9" xfId="0" applyNumberFormat="1" applyFont="1" applyFill="1" applyBorder="1" applyAlignment="1">
      <x:alignment horizontal="center" vertical="center" wrapText="1"/>
    </x:xf>
    <x:xf numFmtId="0" fontId="1" fillId="2" borderId="8" xfId="0" applyNumberFormat="1" applyFont="1" applyFill="1" applyBorder="1" applyAlignment="1">
      <x:alignment horizontal="left" vertical="top" wrapText="1"/>
    </x:xf>
    <x:xf numFmtId="0" fontId="4" fillId="2" borderId="8" xfId="0" applyNumberFormat="1" applyFont="1" applyFill="1" applyBorder="1" applyAlignment="1">
      <x:alignment horizontal="left" vertical="top" wrapText="1"/>
    </x:xf>
    <x:xf numFmtId="0" fontId="1" fillId="2" borderId="9" xfId="0" applyNumberFormat="1" applyFont="1" applyFill="1" applyBorder="1" applyAlignment="1">
      <x:alignment horizontal="left" vertical="top" wrapText="1"/>
    </x:xf>
    <x:xf numFmtId="0" fontId="4" fillId="2" borderId="9" xfId="0" applyNumberFormat="1" applyFont="1" applyFill="1" applyBorder="1" applyAlignment="1">
      <x:alignment horizontal="left" vertical="top" wrapText="1"/>
    </x:xf>
    <x:xf numFmtId="0" fontId="3" fillId="4" borderId="8" xfId="0" applyNumberFormat="1" applyFont="1" applyFill="1" applyBorder="1" applyAlignment="1">
      <x:alignment horizontal="left" vertical="top" wrapText="1"/>
    </x:xf>
    <x:xf numFmtId="0" fontId="3" fillId="4" borderId="9" xfId="0" applyNumberFormat="1" applyFont="1" applyFill="1" applyBorder="1" applyAlignment="1">
      <x:alignment horizontal="left" vertical="top" wrapText="1"/>
    </x:xf>
    <x:xf numFmtId="0" fontId="1" fillId="5" borderId="8" xfId="0" applyNumberFormat="1" applyFont="1" applyFill="1" applyBorder="1" applyAlignment="1">
      <x:alignment horizontal="left" vertical="top" wrapText="1"/>
    </x:xf>
    <x:xf numFmtId="0" fontId="5" fillId="5" borderId="8" xfId="0" applyNumberFormat="1" applyFont="1" applyFill="1" applyBorder="1" applyAlignment="1">
      <x:alignment horizontal="left" vertical="top" wrapText="1"/>
    </x:xf>
    <x:xf numFmtId="0" fontId="5" fillId="5" borderId="8" xfId="0" applyNumberFormat="1" applyFont="1" applyFill="1" applyBorder="1" applyAlignment="1">
      <x:alignment horizontal="center" vertical="top" wrapText="1"/>
    </x:xf>
    <x:xf numFmtId="0" fontId="5" fillId="5" borderId="8" xfId="0" applyNumberFormat="1" applyFont="1" applyFill="1" applyBorder="1" applyAlignment="1">
      <x:alignment horizontal="center" vertical="center" wrapText="1"/>
    </x:xf>
    <x:xf numFmtId="0" fontId="1" fillId="5" borderId="9" xfId="0" applyNumberFormat="1" applyFont="1" applyFill="1" applyBorder="1" applyAlignment="1">
      <x:alignment horizontal="left" vertical="top" wrapText="1"/>
    </x:xf>
    <x:xf numFmtId="0" fontId="5" fillId="5" borderId="9" xfId="0" applyNumberFormat="1" applyFont="1" applyFill="1" applyBorder="1" applyAlignment="1">
      <x:alignment horizontal="left" vertical="top" wrapText="1"/>
    </x:xf>
    <x:xf numFmtId="0" fontId="5" fillId="5" borderId="9" xfId="0" applyNumberFormat="1" applyFont="1" applyFill="1" applyBorder="1" applyAlignment="1">
      <x:alignment horizontal="center" vertical="top" wrapText="1"/>
    </x:xf>
    <x:xf numFmtId="0" fontId="5" fillId="5" borderId="9"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0" fillId="0"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10" xfId="0" applyNumberFormat="1" applyFont="1" applyFill="1" applyBorder="1"/>
    <x:xf numFmtId="0" fontId="6" fillId="7" borderId="10" xfId="0" applyNumberFormat="1" applyFont="1" applyFill="1" applyBorder="1" applyAlignment="1">
      <x:alignment wrapText="1"/>
    </x:xf>
    <x:xf numFmtId="0" fontId="6" fillId="7" borderId="10" xfId="0" applyNumberFormat="1" applyFont="1" applyFill="1" applyBorder="1" applyAlignment="1">
      <x:alignment horizontal="left" wrapText="1"/>
    </x:xf>
    <x:xf numFmtId="0" fontId="6" fillId="7" borderId="10" xfId="0" applyNumberFormat="1" applyFont="1" applyFill="1" applyBorder="1" applyAlignment="1">
      <x:alignment horizontal="left" vertical="top" wrapText="1"/>
    </x:xf>
    <x:xf numFmtId="0" fontId="0" fillId="8" borderId="0" xfId="0" applyNumberFormat="1" applyFont="1" applyFill="1" applyBorder="1"/>
    <x:xf numFmtId="0" fontId="7" fillId="8" borderId="0" xfId="0" applyNumberFormat="1" applyFont="1" applyFill="1" applyBorder="1"/>
    <x:xf numFmtId="0" fontId="7" fillId="8" borderId="10" xfId="0" applyNumberFormat="1" applyFont="1" applyFill="1" applyBorder="1"/>
    <x:xf numFmtId="0" fontId="7" fillId="8" borderId="10" xfId="0" applyNumberFormat="1" applyFont="1" applyFill="1" applyBorder="1" applyAlignment="1">
      <x:alignment wrapText="1"/>
    </x:xf>
    <x:xf numFmtId="0" fontId="7" fillId="8" borderId="10" xfId="0" applyNumberFormat="1" applyFont="1" applyFill="1" applyBorder="1" applyAlignment="1">
      <x:alignment horizontal="center" wrapText="1"/>
    </x:xf>
    <x:xf numFmtId="0" fontId="7" fillId="8" borderId="10" xfId="0" applyNumberFormat="1" applyFont="1" applyFill="1" applyBorder="1" applyAlignment="1">
      <x:alignment horizontal="center" vertical="center" wrapText="1"/>
    </x:xf>
    <x:xf numFmtId="0" fontId="8" fillId="7" borderId="0" xfId="0" applyNumberFormat="1" applyFont="1" applyFill="1" applyBorder="1"/>
    <x:xf numFmtId="0" fontId="8" fillId="7" borderId="10" xfId="0" applyNumberFormat="1" applyFont="1" applyFill="1" applyBorder="1"/>
    <x:xf numFmtId="0" fontId="8" fillId="7" borderId="10" xfId="0" applyNumberFormat="1" applyFont="1" applyFill="1" applyBorder="1" applyAlignment="1">
      <x:alignment wrapText="1"/>
    </x:xf>
    <x:xf numFmtId="0" fontId="8" fillId="7" borderId="10" xfId="0" applyNumberFormat="1" applyFont="1" applyFill="1" applyBorder="1" applyAlignment="1">
      <x:alignment horizontal="left" wrapText="1"/>
    </x:xf>
    <x:xf numFmtId="0" fontId="8" fillId="7" borderId="10" xfId="0" applyNumberFormat="1" applyFont="1" applyFill="1" applyBorder="1" applyAlignment="1">
      <x:alignment horizontal="left" vertical="top" wrapText="1"/>
    </x:xf>
    <x:xf numFmtId="0" fontId="9" fillId="7" borderId="0" xfId="0" applyNumberFormat="1" applyFont="1" applyFill="1" applyBorder="1"/>
    <x:xf numFmtId="0" fontId="9" fillId="7" borderId="10" xfId="0" applyNumberFormat="1" applyFont="1" applyFill="1" applyBorder="1"/>
    <x:xf numFmtId="0" fontId="9" fillId="7" borderId="10" xfId="0" applyNumberFormat="1" applyFont="1" applyFill="1" applyBorder="1" applyAlignment="1">
      <x:alignment wrapText="1"/>
    </x:xf>
    <x:xf numFmtId="0" fontId="9" fillId="7" borderId="10" xfId="0" applyNumberFormat="1" applyFont="1" applyFill="1" applyBorder="1" applyAlignment="1">
      <x:alignment horizontal="left" wrapText="1"/>
    </x:xf>
    <x:xf numFmtId="0" fontId="9" fillId="7" borderId="10" xfId="0" applyNumberFormat="1" applyFont="1" applyFill="1" applyBorder="1" applyAlignment="1">
      <x:alignment horizontal="left" vertical="top" wrapText="1"/>
    </x:xf>
    <x:xf numFmtId="0" fontId="6" fillId="9" borderId="10" xfId="0" applyNumberFormat="1" applyFont="1" applyFill="1" applyBorder="1" applyAlignment="1">
      <x:alignment horizontal="left" vertical="top" wrapText="1"/>
    </x:xf>
    <x:xf numFmtId="0" fontId="8" fillId="9" borderId="10" xfId="0" applyNumberFormat="1" applyFont="1" applyFill="1" applyBorder="1" applyAlignment="1">
      <x:alignment horizontal="left" vertical="top" wrapText="1"/>
    </x:xf>
    <x:xf numFmtId="0" fontId="8" fillId="9" borderId="10" xfId="0" applyNumberFormat="1" applyFont="1" applyFill="1" applyBorder="1" applyAlignment="1">
      <x:alignment horizontal="center" vertical="top" wrapText="1"/>
    </x:xf>
    <x:xf numFmtId="0" fontId="8" fillId="9" borderId="10" xfId="0" applyNumberFormat="1" applyFont="1" applyFill="1" applyBorder="1" applyAlignment="1">
      <x:alignment horizontal="center" vertical="center" wrapText="1"/>
    </x:xf>
    <x:xf numFmtId="0" fontId="6" fillId="7" borderId="10" xfId="0" applyNumberFormat="1" applyFont="1" applyFill="1" applyBorder="1" applyAlignment="1">
      <x:alignment horizontal="center" vertical="top" wrapText="1"/>
    </x:xf>
    <x:xf numFmtId="0" fontId="10" fillId="8" borderId="0" xfId="0" applyNumberFormat="1" applyFont="1" applyFill="1" applyBorder="1"/>
    <x:xf numFmtId="0" fontId="10" fillId="8" borderId="0" xfId="0" applyNumberFormat="1" applyFont="1" applyFill="1" applyBorder="1" applyAlignment="1">
      <x:alignment horizontal="left"/>
    </x:xf>
    <x:xf numFmtId="0" fontId="10" fillId="8" borderId="0" xfId="0" applyNumberFormat="1" applyFont="1" applyFill="1" applyBorder="1" applyAlignment="1">
      <x:alignment horizontal="left" vertical="center"/>
    </x:xf>
    <x:xf numFmtId="0" fontId="11" fillId="7"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10" xfId="0" applyNumberFormat="1" applyFont="1" applyFill="1" applyBorder="1"/>
    <x:xf numFmtId="0" fontId="8" fillId="9" borderId="10" xfId="0" applyNumberFormat="1" applyFont="1" applyFill="1" applyBorder="1" applyAlignment="1">
      <x:alignment wrapText="1"/>
    </x:xf>
    <x:xf numFmtId="0" fontId="8" fillId="9" borderId="10" xfId="0" applyNumberFormat="1" applyFont="1" applyFill="1" applyBorder="1" applyAlignment="1">
      <x:alignment horizontal="center" wrapText="1"/>
    </x:xf>
    <x:xf numFmtId="0" fontId="6" fillId="7" borderId="10" xfId="0" applyNumberFormat="1" applyFont="1" applyFill="1" applyBorder="1" applyAlignment="1">
      <x:alignment horizontal="center"/>
    </x:xf>
    <x:xf numFmtId="0" fontId="6" fillId="7" borderId="10" xfId="0" applyNumberFormat="1" applyFont="1" applyFill="1" applyBorder="1" applyAlignment="1">
      <x:alignment horizontal="center" vertical="center"/>
    </x:xf>
    <x:xf numFmtId="0" fontId="6" fillId="8" borderId="10" xfId="0" applyNumberFormat="1" applyFont="1" applyFill="1" applyBorder="1" applyAlignment="1">
      <x:alignment horizontal="center" vertical="center"/>
    </x:xf>
    <x:xf numFmtId="0" fontId="8" fillId="8" borderId="10" xfId="0" applyNumberFormat="1" applyFont="1" applyFill="1" applyBorder="1" applyAlignment="1">
      <x:alignment horizontal="center" vertical="center"/>
    </x:xf>
    <x:xf numFmtId="0" fontId="0" fillId="10" borderId="0" xfId="0" applyNumberFormat="1" applyFont="1" applyFill="1" applyBorder="1"/>
    <x:xf numFmtId="0" fontId="0" fillId="11" borderId="0" xfId="0" applyNumberFormat="1" applyFont="1" applyFill="1" applyBorder="1"/>
    <x:xf numFmtId="0" fontId="8" fillId="12" borderId="10" xfId="0" applyNumberFormat="1" applyFont="1" applyFill="1" applyBorder="1" applyAlignment="1">
      <x:alignment horizontal="center" vertical="center" wrapText="1"/>
    </x:xf>
    <x:xf numFmtId="0" fontId="12" fillId="12" borderId="10" xfId="0" applyNumberFormat="1" applyFont="1" applyFill="1" applyBorder="1" applyAlignment="1">
      <x:alignment horizontal="center" vertical="center" wrapText="1"/>
    </x:xf>
    <x:xf numFmtId="0" fontId="6" fillId="13" borderId="10" xfId="0" applyNumberFormat="1" applyFont="1" applyFill="1" applyBorder="1" applyAlignment="1">
      <x:alignment horizontal="center" vertical="top" wrapText="1"/>
    </x:xf>
    <x:xf numFmtId="0" fontId="6" fillId="13" borderId="10" xfId="0" applyNumberFormat="1" applyFont="1" applyFill="1" applyBorder="1" applyAlignment="1">
      <x:alignment horizontal="left" vertical="top" wrapText="1"/>
    </x:xf>
    <x:xf numFmtId="0" fontId="13" fillId="13" borderId="10" xfId="0" applyNumberFormat="1" applyFont="1" applyFill="1" applyBorder="1" applyAlignment="1">
      <x:alignment horizontal="center" vertical="top" wrapText="1"/>
    </x:xf>
    <x:xf numFmtId="0" fontId="13" fillId="13" borderId="10" xfId="0" applyNumberFormat="1" applyFont="1" applyFill="1" applyBorder="1" applyAlignment="1">
      <x:alignment horizontal="left" vertical="top" wrapText="1"/>
    </x:xf>
    <x:xf numFmtId="0" fontId="13" fillId="13" borderId="11" xfId="0" applyNumberFormat="1" applyFont="1" applyFill="1" applyBorder="1" applyAlignment="1">
      <x:alignment horizontal="center" vertical="top" wrapText="1"/>
    </x:xf>
    <x:xf numFmtId="0" fontId="13" fillId="13" borderId="11" xfId="0" applyNumberFormat="1" applyFont="1" applyFill="1" applyBorder="1" applyAlignment="1">
      <x:alignment horizontal="left" vertical="top" wrapText="1"/>
    </x:xf>
    <x:xf numFmtId="0" fontId="6" fillId="14" borderId="10" xfId="0" applyNumberFormat="1" applyFont="1" applyFill="1" applyBorder="1" applyAlignment="1">
      <x:alignment horizontal="left" vertical="top" wrapText="1"/>
    </x:xf>
    <x:xf numFmtId="0" fontId="6" fillId="14" borderId="10" xfId="0" applyNumberFormat="1" applyFont="1" applyFill="1" applyBorder="1" applyAlignment="1">
      <x:alignment horizontal="center" vertical="top" wrapText="1"/>
    </x:xf>
    <x:xf numFmtId="0" fontId="14" fillId="14" borderId="10" xfId="0" applyNumberFormat="1" applyFont="1" applyFill="1" applyBorder="1" applyAlignment="1">
      <x:alignment horizontal="left" vertical="top" wrapText="1"/>
    </x:xf>
    <x:xf numFmtId="0" fontId="14" fillId="14" borderId="10" xfId="0" applyNumberFormat="1" applyFont="1" applyFill="1" applyBorder="1" applyAlignment="1">
      <x:alignment horizontal="center" vertical="top" wrapText="1"/>
    </x:xf>
    <x:xf numFmtId="0" fontId="1" fillId="13" borderId="0" xfId="0" applyNumberFormat="1" applyFont="1" applyFill="1" applyBorder="1" applyAlignment="1">
      <x:alignment horizontal="left" vertical="top" wrapText="1"/>
    </x:xf>
    <x:xf numFmtId="0" fontId="15" fillId="13" borderId="0" xfId="0" applyNumberFormat="1" applyFont="1" applyFill="1" applyBorder="1" applyAlignment="1">
      <x:alignment horizontal="left" vertical="top" wrapText="1"/>
    </x:xf>
    <x:xf numFmtId="0" fontId="15" fillId="13" borderId="11" xfId="0" applyNumberFormat="1" applyFont="1" applyFill="1" applyBorder="1" applyAlignment="1">
      <x:alignment horizontal="left" vertical="top" wrapText="1"/>
    </x:xf>
    <x:xf numFmtId="0" fontId="15" fillId="13" borderId="11" xfId="0" applyNumberFormat="1" applyFont="1" applyFill="1" applyBorder="1" applyAlignment="1">
      <x:alignment horizontal="center" vertical="top" wrapText="1"/>
    </x:xf>
    <x:xf numFmtId="0" fontId="1" fillId="14" borderId="0" xfId="0" applyNumberFormat="1" applyFont="1" applyFill="1" applyBorder="1" applyAlignment="1">
      <x:alignment horizontal="left" vertical="top" wrapText="1"/>
    </x:xf>
    <x:xf numFmtId="0" fontId="16" fillId="14" borderId="0" xfId="0" applyNumberFormat="1" applyFont="1" applyFill="1" applyBorder="1" applyAlignment="1">
      <x:alignment horizontal="left" vertical="top" wrapText="1"/>
    </x:xf>
    <x:xf numFmtId="0" fontId="0" fillId="12" borderId="0" xfId="0" applyNumberFormat="1" applyFont="1" applyFill="1" applyBorder="1"/>
    <x:xf numFmtId="0" fontId="17" fillId="12" borderId="0" xfId="0" applyNumberFormat="1" applyFont="1" applyFill="1" applyBorder="1"/>
    <x:xf numFmtId="0" fontId="18" fillId="12" borderId="0" xfId="0" applyNumberFormat="1" applyFont="1" applyFill="1" applyBorder="1"/>
    <x:xf numFmtId="0" fontId="0" fillId="13" borderId="0" xfId="0" applyNumberFormat="1" applyFont="1" applyFill="1" applyBorder="1"/>
    <x:xf numFmtId="0" fontId="19" fillId="13" borderId="0" xfId="0" applyNumberFormat="1" applyFont="1" applyFill="1" applyBorder="1"/>
    <x:xf numFmtId="0" fontId="18" fillId="12" borderId="0" xfId="0" applyNumberFormat="1" applyFont="1" applyFill="1" applyBorder="1" applyAlignment="1">
      <x:alignment wrapText="1"/>
    </x:xf>
    <x:xf numFmtId="0" fontId="19" fillId="13" borderId="0" xfId="0" applyNumberFormat="1" applyFont="1" applyFill="1" applyBorder="1" applyAlignment="1">
      <x:alignment wrapText="1"/>
    </x:xf>
    <x:xf numFmtId="0" fontId="18" fillId="12" borderId="11" xfId="0" applyNumberFormat="1" applyFont="1" applyFill="1" applyBorder="1" applyAlignment="1">
      <x:alignment wrapText="1"/>
    </x:xf>
    <x:xf numFmtId="0" fontId="19" fillId="13" borderId="11" xfId="0" applyNumberFormat="1" applyFont="1" applyFill="1" applyBorder="1" applyAlignment="1">
      <x:alignment wrapText="1"/>
    </x:xf>
    <x:xf numFmtId="0" fontId="0" fillId="15" borderId="0" xfId="0" applyNumberFormat="1" applyFont="1" applyFill="1" applyBorder="1"/>
    <x:xf numFmtId="0" fontId="20" fillId="15" borderId="0" xfId="0" applyNumberFormat="1" applyFont="1" applyFill="1" applyBorder="1"/>
    <x:xf numFmtId="0" fontId="20" fillId="15" borderId="0" xfId="0" applyNumberFormat="1" applyFont="1" applyFill="1" applyBorder="1" applyAlignment="1">
      <x:alignment wrapText="1"/>
    </x:xf>
    <x:xf numFmtId="0" fontId="20" fillId="15" borderId="0" xfId="0" applyNumberFormat="1" applyFont="1" applyFill="1" applyBorder="1" applyAlignment="1">
      <x:alignment vertical="top" wrapText="1"/>
    </x:xf>
    <x:xf numFmtId="0" fontId="20" fillId="15" borderId="12" xfId="0" applyNumberFormat="1" applyFont="1" applyFill="1" applyBorder="1" applyAlignment="1">
      <x:alignment vertical="top" wrapText="1"/>
    </x:xf>
    <x:xf numFmtId="0" fontId="20" fillId="16" borderId="12" xfId="0" applyNumberFormat="1" applyFont="1" applyFill="1" applyBorder="1" applyAlignment="1">
      <x:alignment vertical="top" wrapText="1"/>
    </x:xf>
    <x:xf numFmtId="0" fontId="21" fillId="16" borderId="12" xfId="0" applyNumberFormat="1" applyFont="1" applyFill="1" applyBorder="1" applyAlignment="1">
      <x:alignment vertical="top" wrapText="1"/>
    </x:xf>
    <x:xf numFmtId="0" fontId="21" fillId="16" borderId="12" xfId="0" applyNumberFormat="1" applyFont="1" applyFill="1" applyBorder="1" applyAlignment="1">
      <x:alignment horizontal="center" vertical="top" wrapText="1"/>
    </x:xf>
    <x:xf numFmtId="0" fontId="22" fillId="16" borderId="12" xfId="0" applyNumberFormat="1" applyFont="1" applyFill="1" applyBorder="1" applyAlignment="1">
      <x:alignment vertical="top" wrapText="1"/>
    </x:xf>
    <x:xf numFmtId="0" fontId="20" fillId="17" borderId="12" xfId="0" applyNumberFormat="1" applyFont="1" applyFill="1" applyBorder="1" applyAlignment="1">
      <x:alignment vertical="top" wrapText="1"/>
    </x:xf>
    <x:xf numFmtId="0" fontId="22" fillId="17" borderId="12" xfId="0" applyNumberFormat="1" applyFont="1" applyFill="1" applyBorder="1" applyAlignment="1">
      <x:alignment vertical="top" wrapText="1"/>
    </x:xf>
    <x:xf numFmtId="0" fontId="20" fillId="18" borderId="12" xfId="0" applyNumberFormat="1" applyFont="1" applyFill="1" applyBorder="1" applyAlignment="1">
      <x:alignment vertical="top" wrapText="1"/>
    </x:xf>
    <x:xf numFmtId="0" fontId="22" fillId="18" borderId="12" xfId="0" applyNumberFormat="1" applyFont="1" applyFill="1" applyBorder="1" applyAlignment="1">
      <x:alignment vertical="top" wrapText="1"/>
    </x:xf>
    <x:xf numFmtId="0" fontId="17" fillId="15" borderId="0" xfId="0" applyNumberFormat="1" applyFont="1" applyFill="1" applyBorder="1"/>
    <x:xf numFmtId="0" fontId="17" fillId="15" borderId="0" xfId="0" applyNumberFormat="1" applyFont="1" applyFill="1" applyBorder="1" applyAlignment="1">
      <x:alignment wrapText="1"/>
    </x:xf>
    <x:xf numFmtId="0" fontId="17" fillId="15" borderId="13" xfId="0" applyNumberFormat="1" applyFont="1" applyFill="1" applyBorder="1" applyAlignment="1">
      <x:alignment wrapText="1"/>
    </x:xf>
    <x:xf numFmtId="0" fontId="17" fillId="18" borderId="13" xfId="0" applyNumberFormat="1" applyFont="1" applyFill="1" applyBorder="1" applyAlignment="1">
      <x:alignment wrapText="1"/>
    </x:xf>
    <x:xf numFmtId="0" fontId="17" fillId="15" borderId="14" xfId="0" applyNumberFormat="1" applyFont="1" applyFill="1" applyBorder="1" applyAlignment="1">
      <x:alignment wrapText="1"/>
    </x:xf>
    <x:xf numFmtId="0" fontId="17" fillId="18" borderId="14" xfId="0" applyNumberFormat="1" applyFont="1" applyFill="1" applyBorder="1" applyAlignment="1">
      <x:alignment wrapText="1"/>
    </x:xf>
    <x:xf numFmtId="0" fontId="20" fillId="19" borderId="12" xfId="0" applyNumberFormat="1" applyFont="1" applyFill="1" applyBorder="1" applyAlignment="1">
      <x:alignment vertical="top" wrapText="1"/>
    </x:xf>
    <x:xf numFmtId="0" fontId="23" fillId="19" borderId="12" xfId="0" applyNumberFormat="1" applyFont="1" applyFill="1" applyBorder="1" applyAlignment="1">
      <x:alignment vertical="top" wrapText="1"/>
    </x:xf>
    <x:xf numFmtId="0" fontId="23" fillId="19" borderId="12" xfId="0" applyNumberFormat="1" applyFont="1" applyFill="1" applyBorder="1" applyAlignment="1">
      <x:alignment horizontal="left" vertical="top" wrapText="1"/>
    </x:xf>
    <x:xf numFmtId="0" fontId="24" fillId="19" borderId="12" xfId="0" applyNumberFormat="1" applyFont="1" applyFill="1" applyBorder="1" applyAlignment="1">
      <x:alignment vertical="top" wrapText="1"/>
    </x:xf>
    <x:xf numFmtId="0" fontId="24" fillId="19" borderId="12" xfId="0" applyNumberFormat="1" applyFont="1" applyFill="1" applyBorder="1" applyAlignment="1">
      <x:alignment horizontal="left" vertical="top" wrapText="1"/>
    </x:xf>
    <x:xf numFmtId="0" fontId="22" fillId="20" borderId="12" xfId="0" applyNumberFormat="1" applyFont="1" applyFill="1" applyBorder="1" applyAlignment="1">
      <x:alignment vertical="top" wrapText="1"/>
    </x:xf>
    <x:xf numFmtId="0" fontId="22" fillId="20" borderId="12" xfId="0" applyNumberFormat="1" applyFont="1" applyFill="1" applyBorder="1" applyAlignment="1">
      <x:alignment horizontal="left" vertical="top" wrapText="1"/>
    </x:xf>
    <x:xf numFmtId="0" fontId="22" fillId="20" borderId="12" xfId="0" applyNumberFormat="1" applyFont="1" applyFill="1" applyBorder="1" applyAlignment="1">
      <x:alignment horizontal="left" vertical="center" wrapText="1"/>
    </x:xf>
    <x:xf numFmtId="0" fontId="21" fillId="20" borderId="12"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122377ab0a460d" /><Relationship Type="http://schemas.openxmlformats.org/officeDocument/2006/relationships/theme" Target="/xl/theme/theme1.xml" Id="R1bd8d0f9302f430b" /><Relationship Type="http://schemas.openxmlformats.org/officeDocument/2006/relationships/sharedStrings" Target="/xl/sharedStrings.xml" Id="R35fb27b8626b4d0e" /><Relationship Type="http://schemas.openxmlformats.org/officeDocument/2006/relationships/worksheet" Target="/xl/worksheets/sheet1.xml" Id="R5988fa3487334e6c" /><Relationship Type="http://schemas.openxmlformats.org/officeDocument/2006/relationships/worksheet" Target="/xl/worksheets/sheet2.xml" Id="Rba0724b535ca4516" /><Relationship Type="http://schemas.openxmlformats.org/officeDocument/2006/relationships/worksheet" Target="/xl/worksheets/sheet3.xml" Id="R2af29bdb66c54806" /><Relationship Type="http://schemas.openxmlformats.org/officeDocument/2006/relationships/worksheet" Target="/xl/worksheets/sheet4.xml" Id="Rf9196027ce7f4695" /><Relationship Type="http://schemas.openxmlformats.org/officeDocument/2006/relationships/worksheet" Target="/xl/worksheets/sheet5.xml" Id="R3f8989befa8342e6" /><Relationship Type="http://schemas.openxmlformats.org/officeDocument/2006/relationships/worksheet" Target="/xl/worksheets/sheet6.xml" Id="Rb928dd9ede354746" /><Relationship Type="http://schemas.openxmlformats.org/officeDocument/2006/relationships/worksheet" Target="/xl/worksheets/sheet7.xml" Id="R77b80355ac294eca" /><Relationship Type="http://schemas.openxmlformats.org/officeDocument/2006/relationships/worksheet" Target="/xl/worksheets/sheet8.xml" Id="Ra59b048bc0f04909" /><Relationship Type="http://schemas.openxmlformats.org/officeDocument/2006/relationships/worksheet" Target="/xl/worksheets/sheet9.xml" Id="Rfeaa5a0158e54e6d" /><Relationship Type="http://schemas.openxmlformats.org/officeDocument/2006/relationships/worksheet" Target="/xl/worksheets/sheet10.xml" Id="R3178a1ed691c44d4" /><Relationship Type="http://schemas.openxmlformats.org/officeDocument/2006/relationships/worksheet" Target="/xl/worksheets/sheet11.xml" Id="Rd3104e0b42ea4354" /><Relationship Type="http://schemas.openxmlformats.org/officeDocument/2006/relationships/worksheet" Target="/xl/worksheets/sheet12.xml" Id="R1f043a71a1f54d7f" /><Relationship Type="http://schemas.openxmlformats.org/officeDocument/2006/relationships/worksheet" Target="/xl/worksheets/sheet13.xml" Id="Rfb51e762d83a4c71" /><Relationship Type="http://schemas.openxmlformats.org/officeDocument/2006/relationships/worksheet" Target="/xl/worksheets/sheet14.xml" Id="R56f22d8aa4f44f13" /><Relationship Type="http://schemas.openxmlformats.org/officeDocument/2006/relationships/worksheet" Target="/xl/worksheets/sheet15.xml" Id="R738e7454100b4271" /><Relationship Type="http://schemas.openxmlformats.org/officeDocument/2006/relationships/worksheet" Target="/xl/worksheets/sheet16.xml" Id="R87952f6d487b4151" /><Relationship Type="http://schemas.openxmlformats.org/officeDocument/2006/relationships/worksheet" Target="/xl/worksheets/sheet17.xml" Id="R9660b2464abd48fe" /><Relationship Type="http://schemas.openxmlformats.org/officeDocument/2006/relationships/worksheet" Target="/xl/worksheets/sheet18.xml" Id="R5e328e0a1d8c46b1" /><Relationship Type="http://schemas.openxmlformats.org/officeDocument/2006/relationships/worksheet" Target="/xl/worksheets/sheet19.xml" Id="Rabe54841e97541ac" /><Relationship Type="http://schemas.openxmlformats.org/officeDocument/2006/relationships/worksheet" Target="/xl/worksheets/sheet20.xml" Id="R5af6e3be520e4b8d" /><Relationship Type="http://schemas.openxmlformats.org/officeDocument/2006/relationships/worksheet" Target="/xl/worksheets/sheet21.xml" Id="R6795fc7d85794686" /><Relationship Type="http://schemas.openxmlformats.org/officeDocument/2006/relationships/worksheet" Target="/xl/worksheets/sheet22.xml" Id="Rc7a1d470d3d94c03" /><Relationship Type="http://schemas.openxmlformats.org/officeDocument/2006/relationships/worksheet" Target="/xl/worksheets/sheet23.xml" Id="R37d95bd352bd445b" /><Relationship Type="http://schemas.openxmlformats.org/officeDocument/2006/relationships/worksheet" Target="/xl/worksheets/sheet24.xml" Id="Rb33dcf56fa8541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15" hidden="0" customWidth="1"/>
    <x:col min="3" max="3" width="13" hidden="0" customWidth="1"/>
    <x:col min="4" max="4" width="11" hidden="0" customWidth="1"/>
    <x:col min="5" max="5" width="52" hidden="0" customWidth="1"/>
    <x:col min="6" max="6" width="26" hidden="0" customWidth="1"/>
    <x:col min="7" max="7" width="14" hidden="0" customWidth="1"/>
    <x:col min="8" max="8" width="3" hidden="0" customWidth="1"/>
    <x:col min="9" max="9" width="20" hidden="0" customWidth="1"/>
    <x:col min="10" max="10" width="15" hidden="0" customWidth="1"/>
    <x:col min="11" max="11" width="13" hidden="0" customWidth="1"/>
    <x:col min="12" max="12" width="11" hidden="0" customWidth="1"/>
    <x:col min="13" max="13" width="52" hidden="0" customWidth="1"/>
    <x:col min="14" max="14" width="26" hidden="0" customWidth="1"/>
    <x:col min="15" max="15" width="14" hidden="0" customWidth="1"/>
  </x:cols>
  <x:sheetData>
    <x:row r="1" ht="33" customHeight="1">
      <x:c r="A1" s="11" t="str">
        <x:v>CxVisual｜F→M→P 三大架构层｜135子方面与对象审核总览 V6.2</x:v>
      </x:c>
      <x:c r="B1" s="11"/>
      <x:c r="C1" s="11"/>
      <x:c r="D1" s="11"/>
      <x:c r="E1" s="11"/>
      <x:c r="F1" s="11"/>
      <x:c r="G1" s="11"/>
      <x:c r="H1" s="11"/>
      <x:c r="I1" s="11"/>
      <x:c r="J1" s="11"/>
      <x:c r="K1" s="11"/>
      <x:c r="L1" s="11"/>
      <x:c r="M1" s="11"/>
      <x:c r="N1" s="11"/>
      <x:c r="O1" s="11"/>
      <x:c r="P1" s="4"/>
      <x:c r="Q1" s="4"/>
    </x:row>
    <x:row r="2" ht="23" customHeight="1">
      <x:c r="A2" s="17" t="str">
        <x:v>架构精髓：各方面都尽能力展现，便捷友好尽支撑各专业达到目标。</x:v>
      </x:c>
      <x:c r="B2" s="17"/>
      <x:c r="C2" s="17"/>
      <x:c r="D2" s="17"/>
      <x:c r="E2" s="17"/>
      <x:c r="F2" s="17"/>
      <x:c r="G2" s="17"/>
      <x:c r="H2" s="17"/>
      <x:c r="I2" s="17"/>
      <x:c r="J2" s="17"/>
      <x:c r="K2" s="17"/>
      <x:c r="L2" s="17"/>
      <x:c r="M2" s="17"/>
      <x:c r="N2" s="17"/>
      <x:c r="O2" s="17"/>
      <x:c r="P2" s="4"/>
      <x:c r="Q2" s="4"/>
    </x:row>
    <x:row r="3" ht="35" customHeight="1">
      <x:c r="A3" s="22" t="str">
        <x:v>说明：Foundation提供基础对象与计算；Mechanism提供通用机制；Professional Domain组织专业业务。历史类数来自V1.19，V6.1候选/旧源码记录仅供审核，不等于已实现。</x:v>
      </x:c>
      <x:c r="B3" s="22"/>
      <x:c r="C3" s="22"/>
      <x:c r="D3" s="22"/>
      <x:c r="E3" s="22"/>
      <x:c r="F3" s="22"/>
      <x:c r="G3" s="22"/>
      <x:c r="H3" s="22"/>
      <x:c r="I3" s="22"/>
      <x:c r="J3" s="22"/>
      <x:c r="K3" s="22"/>
      <x:c r="L3" s="22"/>
      <x:c r="M3" s="22"/>
      <x:c r="N3" s="22"/>
      <x:c r="O3" s="22"/>
      <x:c r="P3" s="4"/>
      <x:c r="Q3" s="4"/>
    </x:row>
    <x:row r="4">
      <x:c r="A4" s="4"/>
      <x:c r="B4" s="4"/>
      <x:c r="C4" s="4"/>
      <x:c r="D4" s="4"/>
      <x:c r="E4" s="4"/>
      <x:c r="F4" s="4"/>
      <x:c r="G4" s="4"/>
      <x:c r="H4" s="4"/>
      <x:c r="I4" s="4"/>
      <x:c r="J4" s="4"/>
      <x:c r="K4" s="4"/>
      <x:c r="L4" s="4"/>
      <x:c r="M4" s="4"/>
      <x:c r="N4" s="4"/>
      <x:c r="O4" s="4"/>
      <x:c r="P4" s="4"/>
      <x:c r="Q4" s="4"/>
    </x:row>
    <x:row r="5" ht="26" customHeight="1">
      <x:c r="A5" s="28" t="str">
        <x:v>一、Foundation 基础方面（22个）</x:v>
      </x:c>
      <x:c r="B5" s="28"/>
      <x:c r="C5" s="28"/>
      <x:c r="D5" s="28"/>
      <x:c r="E5" s="28"/>
      <x:c r="F5" s="28"/>
      <x:c r="G5" s="28"/>
      <x:c r="H5" s="4"/>
      <x:c r="I5" s="28" t="str">
        <x:v>二、Mechanism 机制方面（40个）</x:v>
      </x:c>
      <x:c r="J5" s="28"/>
      <x:c r="K5" s="28"/>
      <x:c r="L5" s="28"/>
      <x:c r="M5" s="28"/>
      <x:c r="N5" s="28"/>
      <x:c r="O5" s="28"/>
      <x:c r="P5" s="4"/>
      <x:c r="Q5" s="4"/>
    </x:row>
    <x:row r="6" ht="36" customHeight="1">
      <x:c r="A6" s="42" t="str">
        <x:v>架构层</x:v>
      </x:c>
      <x:c r="B6" s="42" t="str">
        <x:v>Workbench</x:v>
      </x:c>
      <x:c r="C6" s="42" t="str">
        <x:v>子方面ID</x:v>
      </x:c>
      <x:c r="D6" s="42" t="str">
        <x:v>前缀</x:v>
      </x:c>
      <x:c r="E6" s="42" t="str">
        <x:v>子方面中文名称</x:v>
      </x:c>
      <x:c r="F6" s="42" t="str">
        <x:v>英文名称</x:v>
      </x:c>
      <x:c r="G6" s="42" t="str">
        <x:v>历史类数</x:v>
      </x:c>
      <x:c r="H6" s="4"/>
      <x:c r="I6" s="42" t="str">
        <x:v>架构层</x:v>
      </x:c>
      <x:c r="J6" s="42" t="str">
        <x:v>Workbench</x:v>
      </x:c>
      <x:c r="K6" s="42" t="str">
        <x:v>子方面ID</x:v>
      </x:c>
      <x:c r="L6" s="42" t="str">
        <x:v>前缀</x:v>
      </x:c>
      <x:c r="M6" s="42" t="str">
        <x:v>子方面中文名称</x:v>
      </x:c>
      <x:c r="N6" s="42" t="str">
        <x:v>英文名称</x:v>
      </x:c>
      <x:c r="O6" s="42" t="str">
        <x:v>历史类数</x:v>
      </x:c>
      <x:c r="P6" s="4"/>
      <x:c r="Q6" s="4"/>
    </x:row>
    <x:row r="7">
      <x:c r="A7" s="50" t="str">
        <x:v>Foundation</x:v>
      </x:c>
      <x:c r="B7" s="50" t="str">
        <x:v>—</x:v>
      </x:c>
      <x:c r="C7" s="52" t="str">
        <x:v>F01</x:v>
      </x:c>
      <x:c r="D7" s="52" t="str">
        <x:v>FOI</x:v>
      </x:c>
      <x:c r="E7" s="50" t="str">
        <x:v>对象与类型｜标识、值语义与类型</x:v>
      </x:c>
      <x:c r="F7" s="50" t="str">
        <x:v>Object Identity</x:v>
      </x:c>
      <x:c r="G7" s="52" t="n">
        <x:v>24</x:v>
      </x:c>
      <x:c r="H7" s="4"/>
      <x:c r="I7" s="50" t="str">
        <x:v>Mechanism</x:v>
      </x:c>
      <x:c r="J7" s="50" t="str">
        <x:v>—</x:v>
      </x:c>
      <x:c r="K7" s="52" t="str">
        <x:v>M01</x:v>
      </x:c>
      <x:c r="L7" s="52" t="str">
        <x:v>MEM</x:v>
      </x:c>
      <x:c r="M7" s="50" t="str">
        <x:v>Definition与工程组织｜工程对象/资源组织</x:v>
      </x:c>
      <x:c r="N7" s="50" t="str">
        <x:v>Engineering Model</x:v>
      </x:c>
      <x:c r="O7" s="52" t="n">
        <x:v>81</x:v>
      </x:c>
      <x:c r="P7" s="4"/>
      <x:c r="Q7" s="4"/>
    </x:row>
    <x:row r="8">
      <x:c r="A8" s="50" t="str">
        <x:v>Foundation</x:v>
      </x:c>
      <x:c r="B8" s="50" t="str">
        <x:v>—</x:v>
      </x:c>
      <x:c r="C8" s="52" t="str">
        <x:v>F02</x:v>
      </x:c>
      <x:c r="D8" s="52" t="str">
        <x:v>FCI</x:v>
      </x:c>
      <x:c r="E8" s="50" t="str">
        <x:v>对象与类型｜集合、索引与结构</x:v>
      </x:c>
      <x:c r="F8" s="50" t="str">
        <x:v>Collections Indexing</x:v>
      </x:c>
      <x:c r="G8" s="52" t="n">
        <x:v>14</x:v>
      </x:c>
      <x:c r="H8" s="4"/>
      <x:c r="I8" s="50" t="str">
        <x:v>Mechanism</x:v>
      </x:c>
      <x:c r="J8" s="50" t="str">
        <x:v>—</x:v>
      </x:c>
      <x:c r="K8" s="52" t="str">
        <x:v>M02</x:v>
      </x:c>
      <x:c r="L8" s="52" t="str">
        <x:v>MRC</x:v>
      </x:c>
      <x:c r="M8" s="50" t="str">
        <x:v>Definition与工程组织｜功能组织与复用</x:v>
      </x:c>
      <x:c r="N8" s="50" t="str">
        <x:v>Reusable Components</x:v>
      </x:c>
      <x:c r="O8" s="52" t="n">
        <x:v>43</x:v>
      </x:c>
      <x:c r="P8" s="4"/>
      <x:c r="Q8" s="4"/>
    </x:row>
    <x:row r="9">
      <x:c r="A9" s="50" t="str">
        <x:v>Foundation</x:v>
      </x:c>
      <x:c r="B9" s="50" t="str">
        <x:v>—</x:v>
      </x:c>
      <x:c r="C9" s="52" t="str">
        <x:v>F03</x:v>
      </x:c>
      <x:c r="D9" s="52" t="str">
        <x:v>FLA</x:v>
      </x:c>
      <x:c r="E9" s="50" t="str">
        <x:v>数学与数值｜标量、向量与矩阵</x:v>
      </x:c>
      <x:c r="F9" s="50" t="str">
        <x:v>Linear Algebra</x:v>
      </x:c>
      <x:c r="G9" s="52" t="n">
        <x:v>15</x:v>
      </x:c>
      <x:c r="H9" s="4"/>
      <x:c r="I9" s="50" t="str">
        <x:v>Mechanism</x:v>
      </x:c>
      <x:c r="J9" s="50" t="str">
        <x:v>—</x:v>
      </x:c>
      <x:c r="K9" s="52" t="str">
        <x:v>M03</x:v>
      </x:c>
      <x:c r="L9" s="52" t="str">
        <x:v>MRI</x:v>
      </x:c>
      <x:c r="M9" s="50" t="str">
        <x:v>Definition与工程组织｜Reference / Address / Index</x:v>
      </x:c>
      <x:c r="N9" s="50" t="str">
        <x:v>Reference Index</x:v>
      </x:c>
      <x:c r="O9" s="52" t="n">
        <x:v>43</x:v>
      </x:c>
      <x:c r="P9" s="4"/>
      <x:c r="Q9" s="4"/>
    </x:row>
    <x:row r="10">
      <x:c r="A10" s="50" t="str">
        <x:v>Foundation</x:v>
      </x:c>
      <x:c r="B10" s="50" t="str">
        <x:v>—</x:v>
      </x:c>
      <x:c r="C10" s="52" t="str">
        <x:v>F04</x:v>
      </x:c>
      <x:c r="D10" s="52" t="str">
        <x:v>FNO</x:v>
      </x:c>
      <x:c r="E10" s="50" t="str">
        <x:v>数学与数值｜数值求解与优化</x:v>
      </x:c>
      <x:c r="F10" s="50" t="str">
        <x:v>Numerical Optimization</x:v>
      </x:c>
      <x:c r="G10" s="52" t="n">
        <x:v>10</x:v>
      </x:c>
      <x:c r="H10" s="4"/>
      <x:c r="I10" s="50" t="str">
        <x:v>Mechanism</x:v>
      </x:c>
      <x:c r="J10" s="50" t="str">
        <x:v>—</x:v>
      </x:c>
      <x:c r="K10" s="52" t="str">
        <x:v>M04</x:v>
      </x:c>
      <x:c r="L10" s="52" t="str">
        <x:v>MPM</x:v>
      </x:c>
      <x:c r="M10" s="50" t="str">
        <x:v>Definition与契约｜Property / Metadata / Type</x:v>
      </x:c>
      <x:c r="N10" s="50" t="str">
        <x:v>Property Metadata</x:v>
      </x:c>
      <x:c r="O10" s="52" t="n">
        <x:v>30</x:v>
      </x:c>
      <x:c r="P10" s="4"/>
      <x:c r="Q10" s="4"/>
    </x:row>
    <x:row r="11">
      <x:c r="A11" s="50" t="str">
        <x:v>Foundation</x:v>
      </x:c>
      <x:c r="B11" s="50" t="str">
        <x:v>—</x:v>
      </x:c>
      <x:c r="C11" s="52" t="str">
        <x:v>F05</x:v>
      </x:c>
      <x:c r="D11" s="52" t="str">
        <x:v>FPG</x:v>
      </x:c>
      <x:c r="E11" s="50" t="str">
        <x:v>几何与空间｜二维几何图元</x:v>
      </x:c>
      <x:c r="F11" s="50" t="str">
        <x:v>Planar Geometry</x:v>
      </x:c>
      <x:c r="G11" s="52" t="n">
        <x:v>12</x:v>
      </x:c>
      <x:c r="H11" s="4"/>
      <x:c r="I11" s="50" t="str">
        <x:v>Mechanism</x:v>
      </x:c>
      <x:c r="J11" s="50" t="str">
        <x:v>—</x:v>
      </x:c>
      <x:c r="K11" s="52" t="str">
        <x:v>M05</x:v>
      </x:c>
      <x:c r="L11" s="52" t="str">
        <x:v>MPC</x:v>
      </x:c>
      <x:c r="M11" s="50" t="str">
        <x:v>Definition与契约｜Port / Connection / Contract</x:v>
      </x:c>
      <x:c r="N11" s="50" t="str">
        <x:v>Port Connection</x:v>
      </x:c>
      <x:c r="O11" s="52" t="n">
        <x:v>30</x:v>
      </x:c>
      <x:c r="P11" s="4"/>
      <x:c r="Q11" s="4"/>
    </x:row>
    <x:row r="12">
      <x:c r="A12" s="50" t="str">
        <x:v>Foundation</x:v>
      </x:c>
      <x:c r="B12" s="50" t="str">
        <x:v>—</x:v>
      </x:c>
      <x:c r="C12" s="52" t="str">
        <x:v>F06</x:v>
      </x:c>
      <x:c r="D12" s="52" t="str">
        <x:v>FSG</x:v>
      </x:c>
      <x:c r="E12" s="50" t="str">
        <x:v>几何与空间｜三维几何图元</x:v>
      </x:c>
      <x:c r="F12" s="50" t="str">
        <x:v>Spatial Geometry</x:v>
      </x:c>
      <x:c r="G12" s="52" t="n">
        <x:v>12</x:v>
      </x:c>
      <x:c r="H12" s="4"/>
      <x:c r="I12" s="50" t="str">
        <x:v>Mechanism</x:v>
      </x:c>
      <x:c r="J12" s="50" t="str">
        <x:v>—</x:v>
      </x:c>
      <x:c r="K12" s="52" t="str">
        <x:v>M06</x:v>
      </x:c>
      <x:c r="L12" s="52" t="str">
        <x:v>MTU</x:v>
      </x:c>
      <x:c r="M12" s="50" t="str">
        <x:v>跨专业基础契约｜统一时间、空间坐标与量纲契约</x:v>
      </x:c>
      <x:c r="N12" s="50" t="str">
        <x:v>Time Space Units</x:v>
      </x:c>
      <x:c r="O12" s="52" t="n">
        <x:v>8</x:v>
      </x:c>
      <x:c r="P12" s="4"/>
      <x:c r="Q12" s="4"/>
    </x:row>
    <x:row r="13">
      <x:c r="A13" s="50" t="str">
        <x:v>Foundation</x:v>
      </x:c>
      <x:c r="B13" s="50" t="str">
        <x:v>—</x:v>
      </x:c>
      <x:c r="C13" s="52" t="str">
        <x:v>F07</x:v>
      </x:c>
      <x:c r="D13" s="52" t="str">
        <x:v>FCT</x:v>
      </x:c>
      <x:c r="E13" s="50" t="str">
        <x:v>几何与空间｜坐标框架与空间变换</x:v>
      </x:c>
      <x:c r="F13" s="50" t="str">
        <x:v>Coordinate Transform</x:v>
      </x:c>
      <x:c r="G13" s="52" t="n">
        <x:v>19</x:v>
      </x:c>
      <x:c r="H13" s="4"/>
      <x:c r="I13" s="50" t="str">
        <x:v>Mechanism</x:v>
      </x:c>
      <x:c r="J13" s="50" t="str">
        <x:v>—</x:v>
      </x:c>
      <x:c r="K13" s="52" t="str">
        <x:v>M07</x:v>
      </x:c>
      <x:c r="L13" s="52" t="str">
        <x:v>MTC</x:v>
      </x:c>
      <x:c r="M13" s="50" t="str">
        <x:v>跨专业基础契约｜事务、一致性与可靠交付契约</x:v>
      </x:c>
      <x:c r="N13" s="50" t="str">
        <x:v>Transaction Consistency</x:v>
      </x:c>
      <x:c r="O13" s="52" t="n">
        <x:v>25</x:v>
      </x:c>
      <x:c r="P13" s="4"/>
      <x:c r="Q13" s="4"/>
    </x:row>
    <x:row r="14">
      <x:c r="A14" s="50" t="str">
        <x:v>Foundation</x:v>
      </x:c>
      <x:c r="B14" s="50" t="str">
        <x:v>—</x:v>
      </x:c>
      <x:c r="C14" s="52" t="str">
        <x:v>F08</x:v>
      </x:c>
      <x:c r="D14" s="52" t="str">
        <x:v>FTS</x:v>
      </x:c>
      <x:c r="E14" s="50" t="str">
        <x:v>时空与量纲｜时间与同步</x:v>
      </x:c>
      <x:c r="F14" s="50" t="str">
        <x:v>Time Synchronization</x:v>
      </x:c>
      <x:c r="G14" s="52" t="n">
        <x:v>8</x:v>
      </x:c>
      <x:c r="H14" s="4"/>
      <x:c r="I14" s="50" t="str">
        <x:v>Mechanism</x:v>
      </x:c>
      <x:c r="J14" s="50" t="str">
        <x:v>—</x:v>
      </x:c>
      <x:c r="K14" s="52" t="str">
        <x:v>M08</x:v>
      </x:c>
      <x:c r="L14" s="52" t="str">
        <x:v>MVE</x:v>
      </x:c>
      <x:c r="M14" s="50" t="str">
        <x:v>跨专业基础契约｜通用验证、验收与证据契约</x:v>
      </x:c>
      <x:c r="N14" s="50" t="str">
        <x:v>Validation Evidence</x:v>
      </x:c>
      <x:c r="O14" s="52" t="n">
        <x:v>7</x:v>
      </x:c>
      <x:c r="P14" s="4"/>
      <x:c r="Q14" s="4"/>
    </x:row>
    <x:row r="15">
      <x:c r="A15" s="50" t="str">
        <x:v>Foundation</x:v>
      </x:c>
      <x:c r="B15" s="50" t="str">
        <x:v>—</x:v>
      </x:c>
      <x:c r="C15" s="52" t="str">
        <x:v>F09</x:v>
      </x:c>
      <x:c r="D15" s="52" t="str">
        <x:v>FUM</x:v>
      </x:c>
      <x:c r="E15" s="50" t="str">
        <x:v>时空与量纲｜单位、误差与测量</x:v>
      </x:c>
      <x:c r="F15" s="50" t="str">
        <x:v>Units Measurement</x:v>
      </x:c>
      <x:c r="G15" s="52" t="n">
        <x:v>9</x:v>
      </x:c>
      <x:c r="H15" s="4"/>
      <x:c r="I15" s="50" t="str">
        <x:v>Mechanism</x:v>
      </x:c>
      <x:c r="J15" s="50" t="str">
        <x:v>—</x:v>
      </x:c>
      <x:c r="K15" s="52" t="str">
        <x:v>M09</x:v>
      </x:c>
      <x:c r="L15" s="52" t="str">
        <x:v>MVB</x:v>
      </x:c>
      <x:c r="M15" s="50" t="str">
        <x:v>数据与状态｜Variable / Binding</x:v>
      </x:c>
      <x:c r="N15" s="50" t="str">
        <x:v>Variable Binding</x:v>
      </x:c>
      <x:c r="O15" s="52" t="n">
        <x:v>105</x:v>
      </x:c>
      <x:c r="P15" s="4"/>
      <x:c r="Q15" s="4"/>
    </x:row>
    <x:row r="16">
      <x:c r="A16" s="50" t="str">
        <x:v>Foundation</x:v>
      </x:c>
      <x:c r="B16" s="50" t="str">
        <x:v>—</x:v>
      </x:c>
      <x:c r="C16" s="52" t="str">
        <x:v>F10</x:v>
      </x:c>
      <x:c r="D16" s="52" t="str">
        <x:v>FSP</x:v>
      </x:c>
      <x:c r="E16" s="50" t="str">
        <x:v>信号与采样｜离散采样与时频</x:v>
      </x:c>
      <x:c r="F16" s="50" t="str">
        <x:v>Signal Processing</x:v>
      </x:c>
      <x:c r="G16" s="52" t="n">
        <x:v>11</x:v>
      </x:c>
      <x:c r="H16" s="4"/>
      <x:c r="I16" s="50" t="str">
        <x:v>Mechanism</x:v>
      </x:c>
      <x:c r="J16" s="50" t="str">
        <x:v>—</x:v>
      </x:c>
      <x:c r="K16" s="52" t="str">
        <x:v>M10</x:v>
      </x:c>
      <x:c r="L16" s="52" t="str">
        <x:v>MDS</x:v>
      </x:c>
      <x:c r="M16" s="50" t="str">
        <x:v>数据与状态｜DataHandle / Stream / Artifact</x:v>
      </x:c>
      <x:c r="N16" s="50" t="str">
        <x:v>Data Streaming</x:v>
      </x:c>
      <x:c r="O16" s="52" t="n">
        <x:v>50</x:v>
      </x:c>
      <x:c r="P16" s="4"/>
      <x:c r="Q16" s="4"/>
    </x:row>
    <x:row r="17">
      <x:c r="A17" s="50" t="str">
        <x:v>Foundation</x:v>
      </x:c>
      <x:c r="B17" s="50" t="str">
        <x:v>—</x:v>
      </x:c>
      <x:c r="C17" s="52" t="str">
        <x:v>F11</x:v>
      </x:c>
      <x:c r="D17" s="52" t="str">
        <x:v>FIP</x:v>
      </x:c>
      <x:c r="E17" s="50" t="str">
        <x:v>图像与像素｜图像空间及像素格式</x:v>
      </x:c>
      <x:c r="F17" s="50" t="str">
        <x:v>Image Pixels</x:v>
      </x:c>
      <x:c r="G17" s="52" t="n">
        <x:v>14</x:v>
      </x:c>
      <x:c r="H17" s="4"/>
      <x:c r="I17" s="50" t="str">
        <x:v>Mechanism</x:v>
      </x:c>
      <x:c r="J17" s="50" t="str">
        <x:v>—</x:v>
      </x:c>
      <x:c r="K17" s="52" t="str">
        <x:v>M11</x:v>
      </x:c>
      <x:c r="L17" s="52" t="str">
        <x:v>MER</x:v>
      </x:c>
      <x:c r="M17" s="50" t="str">
        <x:v>逻辑与行为｜Expression / Rule / Script</x:v>
      </x:c>
      <x:c r="N17" s="50" t="str">
        <x:v>Expression Rules</x:v>
      </x:c>
      <x:c r="O17" s="52" t="n">
        <x:v>40</x:v>
      </x:c>
      <x:c r="P17" s="4"/>
      <x:c r="Q17" s="4"/>
    </x:row>
    <x:row r="18">
      <x:c r="A18" s="50" t="str">
        <x:v>Foundation</x:v>
      </x:c>
      <x:c r="B18" s="50" t="str">
        <x:v>—</x:v>
      </x:c>
      <x:c r="C18" s="52" t="str">
        <x:v>F12</x:v>
      </x:c>
      <x:c r="D18" s="52" t="str">
        <x:v>FVM</x:v>
      </x:c>
      <x:c r="E18" s="50" t="str">
        <x:v>三维与体素｜体数据与网格基础</x:v>
      </x:c>
      <x:c r="F18" s="50" t="str">
        <x:v>Volume Meshes</x:v>
      </x:c>
      <x:c r="G18" s="52" t="n">
        <x:v>11</x:v>
      </x:c>
      <x:c r="H18" s="4"/>
      <x:c r="I18" s="50" t="str">
        <x:v>Mechanism</x:v>
      </x:c>
      <x:c r="J18" s="50" t="str">
        <x:v>—</x:v>
      </x:c>
      <x:c r="K18" s="52" t="str">
        <x:v>M12</x:v>
      </x:c>
      <x:c r="L18" s="52" t="str">
        <x:v>MCE</x:v>
      </x:c>
      <x:c r="M18" s="50" t="str">
        <x:v>逻辑与行为｜Command / State / Event / Action</x:v>
      </x:c>
      <x:c r="N18" s="50" t="str">
        <x:v>Command Events</x:v>
      </x:c>
      <x:c r="O18" s="52" t="n">
        <x:v>74</x:v>
      </x:c>
      <x:c r="P18" s="4"/>
      <x:c r="Q18" s="4"/>
    </x:row>
    <x:row r="19">
      <x:c r="A19" s="50" t="str">
        <x:v>Foundation</x:v>
      </x:c>
      <x:c r="B19" s="50" t="str">
        <x:v>—</x:v>
      </x:c>
      <x:c r="C19" s="52" t="str">
        <x:v>F13</x:v>
      </x:c>
      <x:c r="D19" s="52" t="str">
        <x:v>FTO</x:v>
      </x:c>
      <x:c r="E19" s="50" t="str">
        <x:v>AI张量与数值｜张量类型与运算</x:v>
      </x:c>
      <x:c r="F19" s="50" t="str">
        <x:v>Tensor Operations</x:v>
      </x:c>
      <x:c r="G19" s="52" t="n">
        <x:v>7</x:v>
      </x:c>
      <x:c r="H19" s="4"/>
      <x:c r="I19" s="50" t="str">
        <x:v>Mechanism</x:v>
      </x:c>
      <x:c r="J19" s="50" t="str">
        <x:v>—</x:v>
      </x:c>
      <x:c r="K19" s="52" t="str">
        <x:v>M13</x:v>
      </x:c>
      <x:c r="L19" s="52" t="str">
        <x:v>MCC</x:v>
      </x:c>
      <x:c r="M19" s="50" t="str">
        <x:v>通信与集成｜Channel Foundation</x:v>
      </x:c>
      <x:c r="N19" s="50" t="str">
        <x:v>Channel Communication</x:v>
      </x:c>
      <x:c r="O19" s="52" t="n">
        <x:v>36</x:v>
      </x:c>
      <x:c r="P19" s="4"/>
      <x:c r="Q19" s="4"/>
    </x:row>
    <x:row r="20">
      <x:c r="A20" s="50" t="str">
        <x:v>Foundation</x:v>
      </x:c>
      <x:c r="B20" s="50" t="str">
        <x:v>—</x:v>
      </x:c>
      <x:c r="C20" s="52" t="str">
        <x:v>F14</x:v>
      </x:c>
      <x:c r="D20" s="52" t="str">
        <x:v>FEC</x:v>
      </x:c>
      <x:c r="E20" s="50" t="str">
        <x:v>数据格式与序列化｜编码、Codec与协议帧</x:v>
      </x:c>
      <x:c r="F20" s="50" t="str">
        <x:v>Encoding Codecs</x:v>
      </x:c>
      <x:c r="G20" s="52" t="n">
        <x:v>18</x:v>
      </x:c>
      <x:c r="H20" s="4"/>
      <x:c r="I20" s="50" t="str">
        <x:v>Mechanism</x:v>
      </x:c>
      <x:c r="J20" s="50" t="str">
        <x:v>—</x:v>
      </x:c>
      <x:c r="K20" s="52" t="str">
        <x:v>M14</x:v>
      </x:c>
      <x:c r="L20" s="52" t="str">
        <x:v>MPA</x:v>
      </x:c>
      <x:c r="M20" s="50" t="str">
        <x:v>通信与集成｜Protocol Foundation</x:v>
      </x:c>
      <x:c r="N20" s="50" t="str">
        <x:v>Protocol Adapters</x:v>
      </x:c>
      <x:c r="O20" s="52" t="n">
        <x:v>15</x:v>
      </x:c>
      <x:c r="P20" s="4"/>
      <x:c r="Q20" s="4"/>
    </x:row>
    <x:row r="21">
      <x:c r="A21" s="50" t="str">
        <x:v>Foundation</x:v>
      </x:c>
      <x:c r="B21" s="50" t="str">
        <x:v>—</x:v>
      </x:c>
      <x:c r="C21" s="52" t="str">
        <x:v>F15</x:v>
      </x:c>
      <x:c r="D21" s="52" t="str">
        <x:v>FCM</x:v>
      </x:c>
      <x:c r="E21" s="50" t="str">
        <x:v>配置与参数｜配置模型与静态辅助</x:v>
      </x:c>
      <x:c r="F21" s="50" t="str">
        <x:v>Configuration Models</x:v>
      </x:c>
      <x:c r="G21" s="52" t="n">
        <x:v>15</x:v>
      </x:c>
      <x:c r="H21" s="4"/>
      <x:c r="I21" s="50" t="str">
        <x:v>Mechanism</x:v>
      </x:c>
      <x:c r="J21" s="50" t="str">
        <x:v>—</x:v>
      </x:c>
      <x:c r="K21" s="52" t="str">
        <x:v>M15</x:v>
      </x:c>
      <x:c r="L21" s="52" t="str">
        <x:v>MDP</x:v>
      </x:c>
      <x:c r="M21" s="50" t="str">
        <x:v>通信与集成｜Driver / Provider / Capability</x:v>
      </x:c>
      <x:c r="N21" s="50" t="str">
        <x:v>Driver Providers</x:v>
      </x:c>
      <x:c r="O21" s="52" t="n">
        <x:v>34</x:v>
      </x:c>
      <x:c r="P21" s="4"/>
      <x:c r="Q21" s="4"/>
    </x:row>
    <x:row r="22">
      <x:c r="A22" s="50" t="str">
        <x:v>Foundation</x:v>
      </x:c>
      <x:c r="B22" s="50" t="str">
        <x:v>—</x:v>
      </x:c>
      <x:c r="C22" s="52" t="str">
        <x:v>F16</x:v>
      </x:c>
      <x:c r="D22" s="52" t="str">
        <x:v>FLD</x:v>
      </x:c>
      <x:c r="E22" s="50" t="str">
        <x:v>日志与诊断｜日志记录与诊断基础</x:v>
      </x:c>
      <x:c r="F22" s="50" t="str">
        <x:v>Logging Diagnostics</x:v>
      </x:c>
      <x:c r="G22" s="52" t="n">
        <x:v>20</x:v>
      </x:c>
      <x:c r="H22" s="4"/>
      <x:c r="I22" s="50" t="str">
        <x:v>Mechanism</x:v>
      </x:c>
      <x:c r="J22" s="50" t="str">
        <x:v>—</x:v>
      </x:c>
      <x:c r="K22" s="52" t="str">
        <x:v>M16</x:v>
      </x:c>
      <x:c r="L22" s="52" t="str">
        <x:v>MDL</x:v>
      </x:c>
      <x:c r="M22" s="50" t="str">
        <x:v>表现与编辑｜Drawing / Layer / Geometry</x:v>
      </x:c>
      <x:c r="N22" s="50" t="str">
        <x:v>Drawing Layers</x:v>
      </x:c>
      <x:c r="O22" s="52" t="n">
        <x:v>86</x:v>
      </x:c>
      <x:c r="P22" s="4"/>
      <x:c r="Q22" s="4"/>
    </x:row>
    <x:row r="23">
      <x:c r="A23" s="50" t="str">
        <x:v>Foundation</x:v>
      </x:c>
      <x:c r="B23" s="50" t="str">
        <x:v>—</x:v>
      </x:c>
      <x:c r="C23" s="52" t="str">
        <x:v>F17</x:v>
      </x:c>
      <x:c r="D23" s="52" t="str">
        <x:v>FTB</x:v>
      </x:c>
      <x:c r="E23" s="50" t="str">
        <x:v>通信与通道｜传输描述与缓冲基础</x:v>
      </x:c>
      <x:c r="F23" s="50" t="str">
        <x:v>Transport Buffers</x:v>
      </x:c>
      <x:c r="G23" s="52" t="n">
        <x:v>13</x:v>
      </x:c>
      <x:c r="H23" s="4"/>
      <x:c r="I23" s="50" t="str">
        <x:v>Mechanism</x:v>
      </x:c>
      <x:c r="J23" s="50" t="str">
        <x:v>—</x:v>
      </x:c>
      <x:c r="K23" s="52" t="str">
        <x:v>M17</x:v>
      </x:c>
      <x:c r="L23" s="52" t="str">
        <x:v>MDV</x:v>
      </x:c>
      <x:c r="M23" s="50" t="str">
        <x:v>表现与编辑｜Diagram / Node Visual</x:v>
      </x:c>
      <x:c r="N23" s="50" t="str">
        <x:v>Diagram Visuals</x:v>
      </x:c>
      <x:c r="O23" s="52" t="n">
        <x:v>36</x:v>
      </x:c>
      <x:c r="P23" s="4"/>
      <x:c r="Q23" s="4"/>
    </x:row>
    <x:row r="24">
      <x:c r="A24" s="50" t="str">
        <x:v>Foundation</x:v>
      </x:c>
      <x:c r="B24" s="50" t="str">
        <x:v>—</x:v>
      </x:c>
      <x:c r="C24" s="52" t="str">
        <x:v>F18</x:v>
      </x:c>
      <x:c r="D24" s="52" t="str">
        <x:v>FFS</x:v>
      </x:c>
      <x:c r="E24" s="50" t="str">
        <x:v>文件与持久化｜路径、文件和流基础</x:v>
      </x:c>
      <x:c r="F24" s="50" t="str">
        <x:v>File Streams</x:v>
      </x:c>
      <x:c r="G24" s="52" t="n">
        <x:v>12</x:v>
      </x:c>
      <x:c r="H24" s="4"/>
      <x:c r="I24" s="50" t="str">
        <x:v>Mechanism</x:v>
      </x:c>
      <x:c r="J24" s="50" t="str">
        <x:v>—</x:v>
      </x:c>
      <x:c r="K24" s="52" t="str">
        <x:v>M18</x:v>
      </x:c>
      <x:c r="L24" s="52" t="str">
        <x:v>MNT</x:v>
      </x:c>
      <x:c r="M24" s="50" t="str">
        <x:v>编排与执行｜统一节点拓扑与编排关系</x:v>
      </x:c>
      <x:c r="N24" s="50" t="str">
        <x:v>Node Topology</x:v>
      </x:c>
      <x:c r="O24" s="52" t="n">
        <x:v>27</x:v>
      </x:c>
      <x:c r="P24" s="4"/>
      <x:c r="Q24" s="4"/>
    </x:row>
    <x:row r="25">
      <x:c r="A25" s="50" t="str">
        <x:v>Foundation</x:v>
      </x:c>
      <x:c r="B25" s="50" t="str">
        <x:v>—</x:v>
      </x:c>
      <x:c r="C25" s="52" t="str">
        <x:v>F19</x:v>
      </x:c>
      <x:c r="D25" s="52" t="str">
        <x:v>FCR</x:v>
      </x:c>
      <x:c r="E25" s="50" t="str">
        <x:v>并发与资源｜线程协调与容量计算</x:v>
      </x:c>
      <x:c r="F25" s="50" t="str">
        <x:v>Concurrency Resources</x:v>
      </x:c>
      <x:c r="G25" s="52" t="n">
        <x:v>10</x:v>
      </x:c>
      <x:c r="H25" s="4"/>
      <x:c r="I25" s="50" t="str">
        <x:v>Mechanism</x:v>
      </x:c>
      <x:c r="J25" s="50" t="str">
        <x:v>—</x:v>
      </x:c>
      <x:c r="K25" s="52" t="str">
        <x:v>M19</x:v>
      </x:c>
      <x:c r="L25" s="52" t="str">
        <x:v>MCF</x:v>
      </x:c>
      <x:c r="M25" s="50" t="str">
        <x:v>编排与执行｜ControlFlow</x:v>
      </x:c>
      <x:c r="N25" s="50" t="str">
        <x:v>Control Flow</x:v>
      </x:c>
      <x:c r="O25" s="52" t="n">
        <x:v>18</x:v>
      </x:c>
      <x:c r="P25" s="4"/>
      <x:c r="Q25" s="4"/>
    </x:row>
    <x:row r="26">
      <x:c r="A26" s="50" t="str">
        <x:v>Foundation</x:v>
      </x:c>
      <x:c r="B26" s="50" t="str">
        <x:v>—</x:v>
      </x:c>
      <x:c r="C26" s="52" t="str">
        <x:v>F20</x:v>
      </x:c>
      <x:c r="D26" s="52" t="str">
        <x:v>FCE</x:v>
      </x:c>
      <x:c r="E26" s="50" t="str">
        <x:v>安全与编码｜加密及编码基础</x:v>
      </x:c>
      <x:c r="F26" s="50" t="str">
        <x:v>Cryptography Encoding</x:v>
      </x:c>
      <x:c r="G26" s="52" t="n">
        <x:v>9</x:v>
      </x:c>
      <x:c r="H26" s="4"/>
      <x:c r="I26" s="50" t="str">
        <x:v>Mechanism</x:v>
      </x:c>
      <x:c r="J26" s="50" t="str">
        <x:v>—</x:v>
      </x:c>
      <x:c r="K26" s="52" t="str">
        <x:v>M20</x:v>
      </x:c>
      <x:c r="L26" s="52" t="str">
        <x:v>MDF</x:v>
      </x:c>
      <x:c r="M26" s="50" t="str">
        <x:v>编排与执行｜DataFlow / Streaming</x:v>
      </x:c>
      <x:c r="N26" s="50" t="str">
        <x:v>Data Flow</x:v>
      </x:c>
      <x:c r="O26" s="52" t="n">
        <x:v>7</x:v>
      </x:c>
      <x:c r="P26" s="4"/>
      <x:c r="Q26" s="4"/>
    </x:row>
    <x:row r="27">
      <x:c r="A27" s="50" t="str">
        <x:v>Foundation</x:v>
      </x:c>
      <x:c r="B27" s="50" t="str">
        <x:v>—</x:v>
      </x:c>
      <x:c r="C27" s="52" t="str">
        <x:v>F21</x:v>
      </x:c>
      <x:c r="D27" s="52" t="str">
        <x:v>FDP</x:v>
      </x:c>
      <x:c r="E27" s="50" t="str">
        <x:v>数据质量与溯源｜基础元数据与校验</x:v>
      </x:c>
      <x:c r="F27" s="50" t="str">
        <x:v>Data Provenance</x:v>
      </x:c>
      <x:c r="G27" s="52" t="n">
        <x:v>9</x:v>
      </x:c>
      <x:c r="H27" s="4"/>
      <x:c r="I27" s="50" t="str">
        <x:v>Mechanism</x:v>
      </x:c>
      <x:c r="J27" s="50" t="str">
        <x:v>—</x:v>
      </x:c>
      <x:c r="K27" s="52" t="str">
        <x:v>M21</x:v>
      </x:c>
      <x:c r="L27" s="52" t="str">
        <x:v>MSM</x:v>
      </x:c>
      <x:c r="M27" s="50" t="str">
        <x:v>编排与执行｜StateMachine</x:v>
      </x:c>
      <x:c r="N27" s="50" t="str">
        <x:v>State Machines</x:v>
      </x:c>
      <x:c r="O27" s="52" t="n">
        <x:v>10</x:v>
      </x:c>
      <x:c r="P27" s="4"/>
      <x:c r="Q27" s="4"/>
    </x:row>
    <x:row r="28">
      <x:c r="A28" s="50" t="str">
        <x:v>Foundation</x:v>
      </x:c>
      <x:c r="B28" s="50" t="str">
        <x:v>—</x:v>
      </x:c>
      <x:c r="C28" s="52" t="str">
        <x:v>F22</x:v>
      </x:c>
      <x:c r="D28" s="52" t="str">
        <x:v>FCL</x:v>
      </x:c>
      <x:c r="E28" s="50" t="str">
        <x:v>渲染与颜色｜颜色、视口与基础排版</x:v>
      </x:c>
      <x:c r="F28" s="50" t="str">
        <x:v>Color Rendering</x:v>
      </x:c>
      <x:c r="G28" s="52" t="n">
        <x:v>13</x:v>
      </x:c>
      <x:c r="H28" s="4"/>
      <x:c r="I28" s="50" t="str">
        <x:v>Mechanism</x:v>
      </x:c>
      <x:c r="J28" s="50" t="str">
        <x:v>—</x:v>
      </x:c>
      <x:c r="K28" s="52" t="str">
        <x:v>M22</x:v>
      </x:c>
      <x:c r="L28" s="52" t="str">
        <x:v>MDW</x:v>
      </x:c>
      <x:c r="M28" s="50" t="str">
        <x:v>编排与执行｜Durable Workflow / ExternalTask</x:v>
      </x:c>
      <x:c r="N28" s="50" t="str">
        <x:v>Durable Workflows</x:v>
      </x:c>
      <x:c r="O28" s="52" t="n">
        <x:v>6</x:v>
      </x:c>
      <x:c r="P28" s="4"/>
      <x:c r="Q28" s="4"/>
    </x:row>
    <x:row r="29">
      <x:c r="A29" s="4"/>
      <x:c r="B29" s="4"/>
      <x:c r="C29" s="4"/>
      <x:c r="D29" s="4"/>
      <x:c r="E29" s="4"/>
      <x:c r="F29" s="4"/>
      <x:c r="G29" s="4"/>
      <x:c r="H29" s="4"/>
      <x:c r="I29" s="50" t="str">
        <x:v>Mechanism</x:v>
      </x:c>
      <x:c r="J29" s="50" t="str">
        <x:v>—</x:v>
      </x:c>
      <x:c r="K29" s="52" t="str">
        <x:v>M23</x:v>
      </x:c>
      <x:c r="L29" s="52" t="str">
        <x:v>MTS</x:v>
      </x:c>
      <x:c r="M29" s="50" t="str">
        <x:v>编排与执行｜Trigger / Subscription / Reactive</x:v>
      </x:c>
      <x:c r="N29" s="50" t="str">
        <x:v>Triggers Subscriptions</x:v>
      </x:c>
      <x:c r="O29" s="52" t="n">
        <x:v>9</x:v>
      </x:c>
      <x:c r="P29" s="4"/>
      <x:c r="Q29" s="4"/>
    </x:row>
    <x:row r="30">
      <x:c r="A30" s="4"/>
      <x:c r="B30" s="4"/>
      <x:c r="C30" s="4"/>
      <x:c r="D30" s="4"/>
      <x:c r="E30" s="4"/>
      <x:c r="F30" s="4"/>
      <x:c r="G30" s="4"/>
      <x:c r="H30" s="4"/>
      <x:c r="I30" s="50" t="str">
        <x:v>Mechanism</x:v>
      </x:c>
      <x:c r="J30" s="50" t="str">
        <x:v>—</x:v>
      </x:c>
      <x:c r="K30" s="52" t="str">
        <x:v>M24</x:v>
      </x:c>
      <x:c r="L30" s="52" t="str">
        <x:v>MIC</x:v>
      </x:c>
      <x:c r="M30" s="50" t="str">
        <x:v>编排与执行｜Invocation / Composition / MultiInstance</x:v>
      </x:c>
      <x:c r="N30" s="50" t="str">
        <x:v>Invocation Composition</x:v>
      </x:c>
      <x:c r="O30" s="52" t="n">
        <x:v>46</x:v>
      </x:c>
      <x:c r="P30" s="4"/>
      <x:c r="Q30" s="4"/>
    </x:row>
    <x:row r="31">
      <x:c r="A31" s="4"/>
      <x:c r="B31" s="4"/>
      <x:c r="C31" s="4"/>
      <x:c r="D31" s="4"/>
      <x:c r="E31" s="4"/>
      <x:c r="F31" s="4"/>
      <x:c r="G31" s="4"/>
      <x:c r="H31" s="4"/>
      <x:c r="I31" s="50" t="str">
        <x:v>Mechanism</x:v>
      </x:c>
      <x:c r="J31" s="50" t="str">
        <x:v>—</x:v>
      </x:c>
      <x:c r="K31" s="52" t="str">
        <x:v>M25</x:v>
      </x:c>
      <x:c r="L31" s="52" t="str">
        <x:v>MSQ</x:v>
      </x:c>
      <x:c r="M31" s="50" t="str">
        <x:v>编排与执行｜Time / Scheduler / Queue</x:v>
      </x:c>
      <x:c r="N31" s="50" t="str">
        <x:v>Scheduling Queues</x:v>
      </x:c>
      <x:c r="O31" s="52" t="n">
        <x:v>25</x:v>
      </x:c>
      <x:c r="P31" s="4"/>
      <x:c r="Q31" s="4"/>
    </x:row>
    <x:row r="32">
      <x:c r="A32" s="4"/>
      <x:c r="B32" s="4"/>
      <x:c r="C32" s="4"/>
      <x:c r="D32" s="4"/>
      <x:c r="E32" s="4"/>
      <x:c r="F32" s="4"/>
      <x:c r="G32" s="4"/>
      <x:c r="H32" s="4"/>
      <x:c r="I32" s="50" t="str">
        <x:v>Mechanism</x:v>
      </x:c>
      <x:c r="J32" s="50" t="str">
        <x:v>—</x:v>
      </x:c>
      <x:c r="K32" s="52" t="str">
        <x:v>M26</x:v>
      </x:c>
      <x:c r="L32" s="52" t="str">
        <x:v>MRL</x:v>
      </x:c>
      <x:c r="M32" s="50" t="str">
        <x:v>资源与治理｜Runtime Resource / Lease / Placement</x:v>
      </x:c>
      <x:c r="N32" s="50" t="str">
        <x:v>Resource Leasing</x:v>
      </x:c>
      <x:c r="O32" s="52" t="n">
        <x:v>30</x:v>
      </x:c>
      <x:c r="P32" s="4"/>
      <x:c r="Q32" s="4"/>
    </x:row>
    <x:row r="33">
      <x:c r="A33" s="4"/>
      <x:c r="B33" s="4"/>
      <x:c r="C33" s="4"/>
      <x:c r="D33" s="4"/>
      <x:c r="E33" s="4"/>
      <x:c r="F33" s="4"/>
      <x:c r="G33" s="4"/>
      <x:c r="H33" s="4"/>
      <x:c r="I33" s="50" t="str">
        <x:v>Mechanism</x:v>
      </x:c>
      <x:c r="J33" s="50" t="str">
        <x:v>—</x:v>
      </x:c>
      <x:c r="K33" s="52" t="str">
        <x:v>M27</x:v>
      </x:c>
      <x:c r="L33" s="52" t="str">
        <x:v>MFR</x:v>
      </x:c>
      <x:c r="M33" s="50" t="str">
        <x:v>资源与治理｜Policy / Fault / Recovery</x:v>
      </x:c>
      <x:c r="N33" s="50" t="str">
        <x:v>Fault Recovery</x:v>
      </x:c>
      <x:c r="O33" s="52" t="n">
        <x:v>28</x:v>
      </x:c>
      <x:c r="P33" s="4"/>
      <x:c r="Q33" s="4"/>
    </x:row>
    <x:row r="34">
      <x:c r="A34" s="4"/>
      <x:c r="B34" s="4"/>
      <x:c r="C34" s="4"/>
      <x:c r="D34" s="4"/>
      <x:c r="E34" s="4"/>
      <x:c r="F34" s="4"/>
      <x:c r="G34" s="4"/>
      <x:c r="H34" s="4"/>
      <x:c r="I34" s="50" t="str">
        <x:v>Mechanism</x:v>
      </x:c>
      <x:c r="J34" s="50" t="str">
        <x:v>—</x:v>
      </x:c>
      <x:c r="K34" s="52" t="str">
        <x:v>M28</x:v>
      </x:c>
      <x:c r="L34" s="52" t="str">
        <x:v>MSI</x:v>
      </x:c>
      <x:c r="M34" s="50" t="str">
        <x:v>资源与治理｜Security / Interlock / Audit</x:v>
      </x:c>
      <x:c r="N34" s="50" t="str">
        <x:v>Security Interlocks</x:v>
      </x:c>
      <x:c r="O34" s="52" t="n">
        <x:v>29</x:v>
      </x:c>
      <x:c r="P34" s="4"/>
      <x:c r="Q34" s="4"/>
    </x:row>
    <x:row r="35">
      <x:c r="A35" s="4"/>
      <x:c r="B35" s="4"/>
      <x:c r="C35" s="4"/>
      <x:c r="D35" s="4"/>
      <x:c r="E35" s="4"/>
      <x:c r="F35" s="4"/>
      <x:c r="G35" s="4"/>
      <x:c r="H35" s="4"/>
      <x:c r="I35" s="50" t="str">
        <x:v>Mechanism</x:v>
      </x:c>
      <x:c r="J35" s="50" t="str">
        <x:v>—</x:v>
      </x:c>
      <x:c r="K35" s="52" t="str">
        <x:v>M29</x:v>
      </x:c>
      <x:c r="L35" s="52" t="str">
        <x:v>MCP</x:v>
      </x:c>
      <x:c r="M35" s="50" t="str">
        <x:v>编译与计划｜Validate / Resolve / Compile / Plan</x:v>
      </x:c>
      <x:c r="N35" s="50" t="str">
        <x:v>Compile Plan</x:v>
      </x:c>
      <x:c r="O35" s="52" t="n">
        <x:v>57</x:v>
      </x:c>
      <x:c r="P35" s="4"/>
      <x:c r="Q35" s="4"/>
    </x:row>
    <x:row r="36">
      <x:c r="A36" s="4"/>
      <x:c r="B36" s="4"/>
      <x:c r="C36" s="4"/>
      <x:c r="D36" s="4"/>
      <x:c r="E36" s="4"/>
      <x:c r="F36" s="4"/>
      <x:c r="G36" s="4"/>
      <x:c r="H36" s="4"/>
      <x:c r="I36" s="50" t="str">
        <x:v>Mechanism</x:v>
      </x:c>
      <x:c r="J36" s="50" t="str">
        <x:v>—</x:v>
      </x:c>
      <x:c r="K36" s="52" t="str">
        <x:v>M30</x:v>
      </x:c>
      <x:c r="L36" s="52" t="str">
        <x:v>MRK</x:v>
      </x:c>
      <x:c r="M36" s="50" t="str">
        <x:v>运行时｜Runtime Kernel / Instance / Scope / Context</x:v>
      </x:c>
      <x:c r="N36" s="50" t="str">
        <x:v>Runtime Kernel</x:v>
      </x:c>
      <x:c r="O36" s="52" t="n">
        <x:v>51</x:v>
      </x:c>
      <x:c r="P36" s="4"/>
      <x:c r="Q36" s="4"/>
    </x:row>
    <x:row r="37">
      <x:c r="A37" s="4"/>
      <x:c r="B37" s="4"/>
      <x:c r="C37" s="4"/>
      <x:c r="D37" s="4"/>
      <x:c r="E37" s="4"/>
      <x:c r="F37" s="4"/>
      <x:c r="G37" s="4"/>
      <x:c r="H37" s="4"/>
      <x:c r="I37" s="50" t="str">
        <x:v>Mechanism</x:v>
      </x:c>
      <x:c r="J37" s="50" t="str">
        <x:v>—</x:v>
      </x:c>
      <x:c r="K37" s="52" t="str">
        <x:v>M31</x:v>
      </x:c>
      <x:c r="L37" s="52" t="str">
        <x:v>MRD</x:v>
      </x:c>
      <x:c r="M37" s="50" t="str">
        <x:v>运行时｜Runtime Data / Event / Resource Planes</x:v>
      </x:c>
      <x:c r="N37" s="50" t="str">
        <x:v>Runtime Data</x:v>
      </x:c>
      <x:c r="O37" s="52" t="n">
        <x:v>34</x:v>
      </x:c>
      <x:c r="P37" s="4"/>
      <x:c r="Q37" s="4"/>
    </x:row>
    <x:row r="38">
      <x:c r="A38" s="4"/>
      <x:c r="B38" s="4"/>
      <x:c r="C38" s="4"/>
      <x:c r="D38" s="4"/>
      <x:c r="E38" s="4"/>
      <x:c r="F38" s="4"/>
      <x:c r="G38" s="4"/>
      <x:c r="H38" s="4"/>
      <x:c r="I38" s="50" t="str">
        <x:v>Mechanism</x:v>
      </x:c>
      <x:c r="J38" s="50" t="str">
        <x:v>—</x:v>
      </x:c>
      <x:c r="K38" s="52" t="str">
        <x:v>M32</x:v>
      </x:c>
      <x:c r="L38" s="52" t="str">
        <x:v>MRM</x:v>
      </x:c>
      <x:c r="M38" s="50" t="str">
        <x:v>运行时｜Runtime Visual / Monitor</x:v>
      </x:c>
      <x:c r="N38" s="50" t="str">
        <x:v>Runtime Monitoring</x:v>
      </x:c>
      <x:c r="O38" s="52" t="n">
        <x:v>24</x:v>
      </x:c>
      <x:c r="P38" s="4"/>
      <x:c r="Q38" s="4"/>
    </x:row>
    <x:row r="39">
      <x:c r="A39" s="4"/>
      <x:c r="B39" s="4"/>
      <x:c r="C39" s="4"/>
      <x:c r="D39" s="4"/>
      <x:c r="E39" s="4"/>
      <x:c r="F39" s="4"/>
      <x:c r="G39" s="4"/>
      <x:c r="H39" s="4"/>
      <x:c r="I39" s="50" t="str">
        <x:v>Mechanism</x:v>
      </x:c>
      <x:c r="J39" s="50" t="str">
        <x:v>—</x:v>
      </x:c>
      <x:c r="K39" s="52" t="str">
        <x:v>M33</x:v>
      </x:c>
      <x:c r="L39" s="52" t="str">
        <x:v>MDT</x:v>
      </x:c>
      <x:c r="M39" s="50" t="str">
        <x:v>运行时｜Debug / Trace / Timeline / Performance / Replay</x:v>
      </x:c>
      <x:c r="N39" s="50" t="str">
        <x:v>Debug Tracing</x:v>
      </x:c>
      <x:c r="O39" s="52" t="n">
        <x:v>26</x:v>
      </x:c>
      <x:c r="P39" s="4"/>
      <x:c r="Q39" s="4"/>
    </x:row>
    <x:row r="40">
      <x:c r="A40" s="4"/>
      <x:c r="B40" s="4"/>
      <x:c r="C40" s="4"/>
      <x:c r="D40" s="4"/>
      <x:c r="E40" s="4"/>
      <x:c r="F40" s="4"/>
      <x:c r="G40" s="4"/>
      <x:c r="H40" s="4"/>
      <x:c r="I40" s="50" t="str">
        <x:v>Mechanism</x:v>
      </x:c>
      <x:c r="J40" s="50" t="str">
        <x:v>—</x:v>
      </x:c>
      <x:c r="K40" s="52" t="str">
        <x:v>M34</x:v>
      </x:c>
      <x:c r="L40" s="52" t="str">
        <x:v>MSV</x:v>
      </x:c>
      <x:c r="M40" s="50" t="str">
        <x:v>仿真与验证｜Simulation / Virtualization / Fault Injection</x:v>
      </x:c>
      <x:c r="N40" s="50" t="str">
        <x:v>Simulation Virtualization</x:v>
      </x:c>
      <x:c r="O40" s="52" t="n">
        <x:v>8</x:v>
      </x:c>
      <x:c r="P40" s="4"/>
      <x:c r="Q40" s="4"/>
    </x:row>
    <x:row r="41">
      <x:c r="A41" s="4"/>
      <x:c r="B41" s="4"/>
      <x:c r="C41" s="4"/>
      <x:c r="D41" s="4"/>
      <x:c r="E41" s="4"/>
      <x:c r="F41" s="4"/>
      <x:c r="G41" s="4"/>
      <x:c r="H41" s="4"/>
      <x:c r="I41" s="50" t="str">
        <x:v>Mechanism</x:v>
      </x:c>
      <x:c r="J41" s="50" t="str">
        <x:v>—</x:v>
      </x:c>
      <x:c r="K41" s="52" t="str">
        <x:v>M35</x:v>
      </x:c>
      <x:c r="L41" s="52" t="str">
        <x:v>MHS</x:v>
      </x:c>
      <x:c r="M41" s="50" t="str">
        <x:v>数据与工程治理｜History / Storage / Retention</x:v>
      </x:c>
      <x:c r="N41" s="50" t="str">
        <x:v>History Storage</x:v>
      </x:c>
      <x:c r="O41" s="52" t="n">
        <x:v>36</x:v>
      </x:c>
      <x:c r="P41" s="4"/>
      <x:c r="Q41" s="4"/>
    </x:row>
    <x:row r="42">
      <x:c r="A42" s="4"/>
      <x:c r="B42" s="4"/>
      <x:c r="C42" s="4"/>
      <x:c r="D42" s="4"/>
      <x:c r="E42" s="4"/>
      <x:c r="F42" s="4"/>
      <x:c r="G42" s="4"/>
      <x:c r="H42" s="4"/>
      <x:c r="I42" s="50" t="str">
        <x:v>Mechanism</x:v>
      </x:c>
      <x:c r="J42" s="50" t="str">
        <x:v>—</x:v>
      </x:c>
      <x:c r="K42" s="52" t="str">
        <x:v>M36</x:v>
      </x:c>
      <x:c r="L42" s="52" t="str">
        <x:v>MNM</x:v>
      </x:c>
      <x:c r="M42" s="50" t="str">
        <x:v>数据与工程治理｜Notification / Messaging</x:v>
      </x:c>
      <x:c r="N42" s="50" t="str">
        <x:v>Notification Messaging</x:v>
      </x:c>
      <x:c r="O42" s="52" t="n">
        <x:v>18</x:v>
      </x:c>
      <x:c r="P42" s="4"/>
      <x:c r="Q42" s="4"/>
    </x:row>
    <x:row r="43">
      <x:c r="A43" s="4"/>
      <x:c r="B43" s="4"/>
      <x:c r="C43" s="4"/>
      <x:c r="D43" s="4"/>
      <x:c r="E43" s="4"/>
      <x:c r="F43" s="4"/>
      <x:c r="G43" s="4"/>
      <x:c r="H43" s="4"/>
      <x:c r="I43" s="50" t="str">
        <x:v>Mechanism</x:v>
      </x:c>
      <x:c r="J43" s="50" t="str">
        <x:v>—</x:v>
      </x:c>
      <x:c r="K43" s="52" t="str">
        <x:v>M37</x:v>
      </x:c>
      <x:c r="L43" s="52" t="str">
        <x:v>MSE</x:v>
      </x:c>
      <x:c r="M43" s="50" t="str">
        <x:v>工程与Studio｜Editing / Studio Contribution</x:v>
      </x:c>
      <x:c r="N43" s="50" t="str">
        <x:v>Studio Editing</x:v>
      </x:c>
      <x:c r="O43" s="52" t="n">
        <x:v>182</x:v>
      </x:c>
      <x:c r="P43" s="4"/>
      <x:c r="Q43" s="4"/>
    </x:row>
    <x:row r="44">
      <x:c r="A44" s="4"/>
      <x:c r="B44" s="4"/>
      <x:c r="C44" s="4"/>
      <x:c r="D44" s="4"/>
      <x:c r="E44" s="4"/>
      <x:c r="F44" s="4"/>
      <x:c r="G44" s="4"/>
      <x:c r="H44" s="4"/>
      <x:c r="I44" s="50" t="str">
        <x:v>Mechanism</x:v>
      </x:c>
      <x:c r="J44" s="50" t="str">
        <x:v>—</x:v>
      </x:c>
      <x:c r="K44" s="52" t="str">
        <x:v>M38</x:v>
      </x:c>
      <x:c r="L44" s="52" t="str">
        <x:v>MTI</x:v>
      </x:c>
      <x:c r="M44" s="50" t="str">
        <x:v>工程与Studio｜Template / ImportExport / Baseline</x:v>
      </x:c>
      <x:c r="N44" s="50" t="str">
        <x:v>Templates Import</x:v>
      </x:c>
      <x:c r="O44" s="52" t="n">
        <x:v>63</x:v>
      </x:c>
      <x:c r="P44" s="4"/>
      <x:c r="Q44" s="4"/>
    </x:row>
    <x:row r="45">
      <x:c r="A45" s="4"/>
      <x:c r="B45" s="4"/>
      <x:c r="C45" s="4"/>
      <x:c r="D45" s="4"/>
      <x:c r="E45" s="4"/>
      <x:c r="F45" s="4"/>
      <x:c r="G45" s="4"/>
      <x:c r="H45" s="4"/>
      <x:c r="I45" s="50" t="str">
        <x:v>Mechanism</x:v>
      </x:c>
      <x:c r="J45" s="50" t="str">
        <x:v>—</x:v>
      </x:c>
      <x:c r="K45" s="52" t="str">
        <x:v>M39</x:v>
      </x:c>
      <x:c r="L45" s="52" t="str">
        <x:v>MVD</x:v>
      </x:c>
      <x:c r="M45" s="50" t="str">
        <x:v>工程与发布｜Version / Migration / Package / Deploy</x:v>
      </x:c>
      <x:c r="N45" s="50" t="str">
        <x:v>Version Deployment</x:v>
      </x:c>
      <x:c r="O45" s="52" t="n">
        <x:v>101</x:v>
      </x:c>
      <x:c r="P45" s="4"/>
      <x:c r="Q45" s="4"/>
    </x:row>
    <x:row r="46">
      <x:c r="A46" s="4"/>
      <x:c r="B46" s="4"/>
      <x:c r="C46" s="4"/>
      <x:c r="D46" s="4"/>
      <x:c r="E46" s="4"/>
      <x:c r="F46" s="4"/>
      <x:c r="G46" s="4"/>
      <x:c r="H46" s="4"/>
      <x:c r="I46" s="50" t="str">
        <x:v>Mechanism</x:v>
      </x:c>
      <x:c r="J46" s="50" t="str">
        <x:v>—</x:v>
      </x:c>
      <x:c r="K46" s="52" t="str">
        <x:v>M40</x:v>
      </x:c>
      <x:c r="L46" s="52" t="str">
        <x:v>MPR</x:v>
      </x:c>
      <x:c r="M46" s="50" t="str">
        <x:v>工程与扩展｜Plugin / Registry / Extension</x:v>
      </x:c>
      <x:c r="N46" s="50" t="str">
        <x:v>Plugin Registry</x:v>
      </x:c>
      <x:c r="O46" s="52" t="n">
        <x:v>46</x:v>
      </x:c>
      <x:c r="P46" s="4"/>
      <x:c r="Q46" s="4"/>
    </x:row>
    <x:row r="47">
      <x:c r="A47" s="4"/>
      <x:c r="B47" s="4"/>
      <x:c r="C47" s="4"/>
      <x:c r="D47" s="4"/>
      <x:c r="E47" s="4"/>
      <x:c r="F47" s="4"/>
      <x:c r="G47" s="4"/>
      <x:c r="H47" s="4"/>
      <x:c r="I47" s="4"/>
      <x:c r="J47" s="4"/>
      <x:c r="K47" s="4"/>
      <x:c r="L47" s="4"/>
      <x:c r="M47" s="4"/>
      <x:c r="N47" s="4"/>
      <x:c r="O47" s="4"/>
      <x:c r="P47" s="4"/>
      <x:c r="Q47" s="4"/>
    </x:row>
    <x:row r="48">
      <x:c r="A48" s="4"/>
      <x:c r="B48" s="4"/>
      <x:c r="C48" s="4"/>
      <x:c r="D48" s="4"/>
      <x:c r="E48" s="4"/>
      <x:c r="F48" s="4"/>
      <x:c r="G48" s="4"/>
      <x:c r="H48" s="4"/>
      <x:c r="I48" s="4"/>
      <x:c r="J48" s="4"/>
      <x:c r="K48" s="4"/>
      <x:c r="L48" s="4"/>
      <x:c r="M48" s="4"/>
      <x:c r="N48" s="4"/>
      <x:c r="O48" s="4"/>
      <x:c r="P48" s="4"/>
      <x:c r="Q48" s="4"/>
    </x:row>
    <x:row r="49">
      <x:c r="A49" s="4"/>
      <x:c r="B49" s="4"/>
      <x:c r="C49" s="4"/>
      <x:c r="D49" s="4"/>
      <x:c r="E49" s="4"/>
      <x:c r="F49" s="4"/>
      <x:c r="G49" s="4"/>
      <x:c r="H49" s="4"/>
      <x:c r="I49" s="4"/>
      <x:c r="J49" s="4"/>
      <x:c r="K49" s="4"/>
      <x:c r="L49" s="4"/>
      <x:c r="M49" s="4"/>
      <x:c r="N49" s="4"/>
      <x:c r="O49" s="4"/>
      <x:c r="P49" s="4"/>
      <x:c r="Q49" s="4"/>
    </x:row>
    <x:row r="50">
      <x:c r="A50" s="4"/>
      <x:c r="B50" s="4"/>
      <x:c r="C50" s="4"/>
      <x:c r="D50" s="4"/>
      <x:c r="E50" s="4"/>
      <x:c r="F50" s="4"/>
      <x:c r="G50" s="4"/>
      <x:c r="H50" s="4"/>
      <x:c r="I50" s="4"/>
      <x:c r="J50" s="4"/>
      <x:c r="K50" s="4"/>
      <x:c r="L50" s="4"/>
      <x:c r="M50" s="4"/>
      <x:c r="N50" s="4"/>
      <x:c r="O50" s="4"/>
      <x:c r="P50" s="4"/>
      <x:c r="Q50" s="4"/>
    </x:row>
    <x:row r="51" ht="27" customHeight="1">
      <x:c r="A51" s="27" t="str">
        <x:v>三、Professional Domain 专业方面（P01～P73）——保留完整架构定位，暂不纳入本册F/M详细API设计</x:v>
      </x:c>
      <x:c r="B51" s="27"/>
      <x:c r="C51" s="27"/>
      <x:c r="D51" s="27"/>
      <x:c r="E51" s="27"/>
      <x:c r="F51" s="27"/>
      <x:c r="G51" s="27"/>
      <x:c r="H51" s="27"/>
      <x:c r="I51" s="27"/>
      <x:c r="J51" s="27"/>
      <x:c r="K51" s="27"/>
      <x:c r="L51" s="27"/>
      <x:c r="M51" s="27"/>
      <x:c r="N51" s="27"/>
      <x:c r="O51" s="27"/>
      <x:c r="P51" s="4"/>
      <x:c r="Q51" s="4"/>
    </x:row>
    <x:row r="52" ht="36" customHeight="1">
      <x:c r="A52" s="36" t="str">
        <x:v>架构层</x:v>
      </x:c>
      <x:c r="B52" s="36" t="str">
        <x:v>Workbench</x:v>
      </x:c>
      <x:c r="C52" s="36" t="str">
        <x:v>子方面ID</x:v>
      </x:c>
      <x:c r="D52" s="36" t="str">
        <x:v>前缀</x:v>
      </x:c>
      <x:c r="E52" s="36" t="str">
        <x:v>子方面中文名称</x:v>
      </x:c>
      <x:c r="F52" s="36" t="str">
        <x:v>英文名称</x:v>
      </x:c>
      <x:c r="G52" s="36" t="str">
        <x:v>历史类数</x:v>
      </x:c>
      <x:c r="H52" s="4"/>
      <x:c r="I52" s="4"/>
      <x:c r="J52" s="4"/>
      <x:c r="K52" s="4"/>
      <x:c r="L52" s="4"/>
      <x:c r="M52" s="4"/>
      <x:c r="N52" s="4"/>
      <x:c r="O52" s="4"/>
      <x:c r="P52" s="4"/>
      <x:c r="Q52" s="4"/>
    </x:row>
    <x:row r="53">
      <x:c r="A53" s="50" t="str">
        <x:v>Professional Domain</x:v>
      </x:c>
      <x:c r="B53" s="50" t="str">
        <x:v>Automation</x:v>
      </x:c>
      <x:c r="C53" s="50" t="str">
        <x:v>P01</x:v>
      </x:c>
      <x:c r="D53" s="50" t="str">
        <x:v>PDL</x:v>
      </x:c>
      <x:c r="E53" s="50" t="str">
        <x:v>Automation / 设备与控制｜工业设备模型与生命周期</x:v>
      </x:c>
      <x:c r="F53" s="50" t="str">
        <x:v>Device Lifecycle</x:v>
      </x:c>
      <x:c r="G53" s="50" t="n">
        <x:v>95</x:v>
      </x:c>
      <x:c r="H53" s="4"/>
      <x:c r="I53" s="4"/>
      <x:c r="J53" s="4"/>
      <x:c r="K53" s="4"/>
      <x:c r="L53" s="4"/>
      <x:c r="M53" s="4"/>
      <x:c r="N53" s="4"/>
      <x:c r="O53" s="4"/>
      <x:c r="P53" s="4"/>
      <x:c r="Q53" s="4"/>
    </x:row>
    <x:row r="54">
      <x:c r="A54" s="50" t="str">
        <x:v>Professional Domain</x:v>
      </x:c>
      <x:c r="B54" s="50" t="str">
        <x:v>Automation</x:v>
      </x:c>
      <x:c r="C54" s="50" t="str">
        <x:v>P02</x:v>
      </x:c>
      <x:c r="D54" s="50" t="str">
        <x:v>PPF</x:v>
      </x:c>
      <x:c r="E54" s="50" t="str">
        <x:v>Automation / 设备与控制｜PLC、远程IO与现场总线</x:v>
      </x:c>
      <x:c r="F54" s="50" t="str">
        <x:v>PLC Fieldbus</x:v>
      </x:c>
      <x:c r="G54" s="50" t="n">
        <x:v>52</x:v>
      </x:c>
      <x:c r="H54" s="4"/>
      <x:c r="I54" s="4"/>
      <x:c r="J54" s="4"/>
      <x:c r="K54" s="4"/>
      <x:c r="L54" s="4"/>
      <x:c r="M54" s="4"/>
      <x:c r="N54" s="4"/>
      <x:c r="O54" s="4"/>
      <x:c r="P54" s="4"/>
      <x:c r="Q54" s="4"/>
    </x:row>
    <x:row r="55">
      <x:c r="A55" s="50" t="str">
        <x:v>Professional Domain</x:v>
      </x:c>
      <x:c r="B55" s="50" t="str">
        <x:v>Automation</x:v>
      </x:c>
      <x:c r="C55" s="50" t="str">
        <x:v>P03</x:v>
      </x:c>
      <x:c r="D55" s="50" t="str">
        <x:v>PSC</x:v>
      </x:c>
      <x:c r="E55" s="50" t="str">
        <x:v>Automation / 设备与控制｜SCADA / ICS监控与控制</x:v>
      </x:c>
      <x:c r="F55" s="50" t="str">
        <x:v>SCADA Control</x:v>
      </x:c>
      <x:c r="G55" s="50" t="n">
        <x:v>50</x:v>
      </x:c>
      <x:c r="H55" s="4"/>
      <x:c r="I55" s="4"/>
      <x:c r="J55" s="4"/>
      <x:c r="K55" s="4"/>
      <x:c r="L55" s="4"/>
      <x:c r="M55" s="4"/>
      <x:c r="N55" s="4"/>
      <x:c r="O55" s="4"/>
      <x:c r="P55" s="4"/>
      <x:c r="Q55" s="4"/>
    </x:row>
    <x:row r="56">
      <x:c r="A56" s="50" t="str">
        <x:v>Professional Domain</x:v>
      </x:c>
      <x:c r="B56" s="50" t="str">
        <x:v>Automation</x:v>
      </x:c>
      <x:c r="C56" s="50" t="str">
        <x:v>P04</x:v>
      </x:c>
      <x:c r="D56" s="50" t="str">
        <x:v>PMC</x:v>
      </x:c>
      <x:c r="E56" s="50" t="str">
        <x:v>Automation / 设备与控制｜运动控制与CNC</x:v>
      </x:c>
      <x:c r="F56" s="50" t="str">
        <x:v>Motion CNC</x:v>
      </x:c>
      <x:c r="G56" s="50" t="n">
        <x:v>119</x:v>
      </x:c>
      <x:c r="H56" s="4"/>
      <x:c r="I56" s="4"/>
      <x:c r="J56" s="4"/>
      <x:c r="K56" s="4"/>
      <x:c r="L56" s="4"/>
      <x:c r="M56" s="4"/>
      <x:c r="N56" s="4"/>
      <x:c r="O56" s="4"/>
      <x:c r="P56" s="4"/>
      <x:c r="Q56" s="4"/>
    </x:row>
    <x:row r="57">
      <x:c r="A57" s="50" t="str">
        <x:v>Professional Domain</x:v>
      </x:c>
      <x:c r="B57" s="50" t="str">
        <x:v>Automation</x:v>
      </x:c>
      <x:c r="C57" s="50" t="str">
        <x:v>P05</x:v>
      </x:c>
      <x:c r="D57" s="50" t="str">
        <x:v>PPH</x:v>
      </x:c>
      <x:c r="E57" s="50" t="str">
        <x:v>Automation / 设备与控制｜气动、液压、真空及非轴执行</x:v>
      </x:c>
      <x:c r="F57" s="50" t="str">
        <x:v>Pneumatic Hydraulic</x:v>
      </x:c>
      <x:c r="G57" s="50" t="n">
        <x:v>15</x:v>
      </x:c>
      <x:c r="H57" s="4"/>
      <x:c r="I57" s="4"/>
      <x:c r="J57" s="4"/>
      <x:c r="K57" s="4"/>
      <x:c r="L57" s="4"/>
      <x:c r="M57" s="4"/>
      <x:c r="N57" s="4"/>
      <x:c r="O57" s="4"/>
      <x:c r="P57" s="4"/>
      <x:c r="Q57" s="4"/>
    </x:row>
    <x:row r="58">
      <x:c r="A58" s="50" t="str">
        <x:v>Professional Domain</x:v>
      </x:c>
      <x:c r="B58" s="50" t="str">
        <x:v>Automation</x:v>
      </x:c>
      <x:c r="C58" s="50" t="str">
        <x:v>P06</x:v>
      </x:c>
      <x:c r="D58" s="50" t="str">
        <x:v>PRB</x:v>
      </x:c>
      <x:c r="E58" s="50" t="str">
        <x:v>Automation / 设备与控制｜工业机器人与末端执行器</x:v>
      </x:c>
      <x:c r="F58" s="50" t="str">
        <x:v>Robot EndEffector</x:v>
      </x:c>
      <x:c r="G58" s="50" t="n">
        <x:v>58</x:v>
      </x:c>
      <x:c r="H58" s="4"/>
      <x:c r="I58" s="4"/>
      <x:c r="J58" s="4"/>
      <x:c r="K58" s="4"/>
      <x:c r="L58" s="4"/>
      <x:c r="M58" s="4"/>
      <x:c r="N58" s="4"/>
      <x:c r="O58" s="4"/>
      <x:c r="P58" s="4"/>
      <x:c r="Q58" s="4"/>
    </x:row>
    <x:row r="59">
      <x:c r="A59" s="50" t="str">
        <x:v>Professional Domain</x:v>
      </x:c>
      <x:c r="B59" s="50" t="str">
        <x:v>Automation</x:v>
      </x:c>
      <x:c r="C59" s="50" t="str">
        <x:v>P07</x:v>
      </x:c>
      <x:c r="D59" s="50" t="str">
        <x:v>PMH</x:v>
      </x:c>
      <x:c r="E59" s="50" t="str">
        <x:v>Automation / 设备与控制｜物料输送、供料、定位与搬运装备</x:v>
      </x:c>
      <x:c r="F59" s="50" t="str">
        <x:v>Material Handling</x:v>
      </x:c>
      <x:c r="G59" s="50" t="n">
        <x:v>10</x:v>
      </x:c>
      <x:c r="H59" s="4"/>
      <x:c r="I59" s="4"/>
      <x:c r="J59" s="4"/>
      <x:c r="K59" s="4"/>
      <x:c r="L59" s="4"/>
      <x:c r="M59" s="4"/>
      <x:c r="N59" s="4"/>
      <x:c r="O59" s="4"/>
      <x:c r="P59" s="4"/>
      <x:c r="Q59" s="4"/>
    </x:row>
    <x:row r="60">
      <x:c r="A60" s="50" t="str">
        <x:v>Professional Domain</x:v>
      </x:c>
      <x:c r="B60" s="50" t="str">
        <x:v>Automation</x:v>
      </x:c>
      <x:c r="C60" s="50" t="str">
        <x:v>P08</x:v>
      </x:c>
      <x:c r="D60" s="50" t="str">
        <x:v>PPC</x:v>
      </x:c>
      <x:c r="E60" s="50" t="str">
        <x:v>Automation / 设备与控制｜连续过程控制与顺序控制</x:v>
      </x:c>
      <x:c r="F60" s="50" t="str">
        <x:v>Process Control</x:v>
      </x:c>
      <x:c r="G60" s="50" t="n">
        <x:v>8</x:v>
      </x:c>
      <x:c r="H60" s="4"/>
      <x:c r="I60" s="4"/>
      <x:c r="J60" s="4"/>
      <x:c r="K60" s="4"/>
      <x:c r="L60" s="4"/>
      <x:c r="M60" s="4"/>
      <x:c r="N60" s="4"/>
      <x:c r="O60" s="4"/>
      <x:c r="P60" s="4"/>
      <x:c r="Q60" s="4"/>
    </x:row>
    <x:row r="61">
      <x:c r="A61" s="50" t="str">
        <x:v>Professional Domain</x:v>
      </x:c>
      <x:c r="B61" s="50" t="str">
        <x:v>Automation</x:v>
      </x:c>
      <x:c r="C61" s="50" t="str">
        <x:v>P09</x:v>
      </x:c>
      <x:c r="D61" s="50" t="str">
        <x:v>PCA</x:v>
      </x:c>
      <x:c r="E61" s="50" t="str">
        <x:v>Automation / 采集与测量｜相机、探测器采集与硬件触发</x:v>
      </x:c>
      <x:c r="F61" s="50" t="str">
        <x:v>Camera Acquisition</x:v>
      </x:c>
      <x:c r="G61" s="50" t="n">
        <x:v>15</x:v>
      </x:c>
      <x:c r="H61" s="4"/>
      <x:c r="I61" s="4"/>
      <x:c r="J61" s="4"/>
      <x:c r="K61" s="4"/>
      <x:c r="L61" s="4"/>
      <x:c r="M61" s="4"/>
      <x:c r="N61" s="4"/>
      <x:c r="O61" s="4"/>
      <x:c r="P61" s="4"/>
      <x:c r="Q61" s="4"/>
    </x:row>
    <x:row r="62">
      <x:c r="A62" s="50" t="str">
        <x:v>Professional Domain</x:v>
      </x:c>
      <x:c r="B62" s="50" t="str">
        <x:v>Automation</x:v>
      </x:c>
      <x:c r="C62" s="50" t="str">
        <x:v>P10</x:v>
      </x:c>
      <x:c r="D62" s="50" t="str">
        <x:v>PXE</x:v>
      </x:c>
      <x:c r="E62" s="50" t="str">
        <x:v>Automation / 采集与测量｜X-Ray光源、探测器与曝光控制</x:v>
      </x:c>
      <x:c r="F62" s="50" t="str">
        <x:v>Xray Exposure</x:v>
      </x:c>
      <x:c r="G62" s="50" t="n">
        <x:v>22</x:v>
      </x:c>
      <x:c r="H62" s="4"/>
      <x:c r="I62" s="4"/>
      <x:c r="J62" s="4"/>
      <x:c r="K62" s="4"/>
      <x:c r="L62" s="4"/>
      <x:c r="M62" s="4"/>
      <x:c r="N62" s="4"/>
      <x:c r="O62" s="4"/>
      <x:c r="P62" s="4"/>
      <x:c r="Q62" s="4"/>
    </x:row>
    <x:row r="63">
      <x:c r="A63" s="50" t="str">
        <x:v>Professional Domain</x:v>
      </x:c>
      <x:c r="B63" s="50" t="str">
        <x:v>Automation</x:v>
      </x:c>
      <x:c r="C63" s="50" t="str">
        <x:v>P11</x:v>
      </x:c>
      <x:c r="D63" s="50" t="str">
        <x:v>PIQ</x:v>
      </x:c>
      <x:c r="E63" s="50" t="str">
        <x:v>Automation / 采集与测量｜工业仪器、传感器与DAQ</x:v>
      </x:c>
      <x:c r="F63" s="50" t="str">
        <x:v>Instrument DAQ</x:v>
      </x:c>
      <x:c r="G63" s="50" t="n">
        <x:v>21</x:v>
      </x:c>
      <x:c r="H63" s="4"/>
      <x:c r="I63" s="4"/>
      <x:c r="J63" s="4"/>
      <x:c r="K63" s="4"/>
      <x:c r="L63" s="4"/>
      <x:c r="M63" s="4"/>
      <x:c r="N63" s="4"/>
      <x:c r="O63" s="4"/>
      <x:c r="P63" s="4"/>
      <x:c r="Q63" s="4"/>
    </x:row>
    <x:row r="64">
      <x:c r="A64" s="50" t="str">
        <x:v>Professional Domain</x:v>
      </x:c>
      <x:c r="B64" s="50" t="str">
        <x:v>Automation</x:v>
      </x:c>
      <x:c r="C64" s="50" t="str">
        <x:v>P12</x:v>
      </x:c>
      <x:c r="D64" s="50" t="str">
        <x:v>PTM</x:v>
      </x:c>
      <x:c r="E64" s="50" t="str">
        <x:v>Automation / 采集与测量｜工业试验与计量执行</x:v>
      </x:c>
      <x:c r="F64" s="50" t="str">
        <x:v>Test Metrology</x:v>
      </x:c>
      <x:c r="G64" s="50" t="n">
        <x:v>8</x:v>
      </x:c>
      <x:c r="H64" s="4"/>
      <x:c r="I64" s="4"/>
      <x:c r="J64" s="4"/>
      <x:c r="K64" s="4"/>
      <x:c r="L64" s="4"/>
      <x:c r="M64" s="4"/>
      <x:c r="N64" s="4"/>
      <x:c r="O64" s="4"/>
      <x:c r="P64" s="4"/>
      <x:c r="Q64" s="4"/>
    </x:row>
    <x:row r="65">
      <x:c r="A65" s="50" t="str">
        <x:v>Professional Domain</x:v>
      </x:c>
      <x:c r="B65" s="50" t="str">
        <x:v>Automation</x:v>
      </x:c>
      <x:c r="C65" s="50" t="str">
        <x:v>P13</x:v>
      </x:c>
      <x:c r="D65" s="50" t="str">
        <x:v>PIP</x:v>
      </x:c>
      <x:c r="E65" s="50" t="str">
        <x:v>Automation / 连接与边缘｜工业连接与专业规约适配</x:v>
      </x:c>
      <x:c r="F65" s="50" t="str">
        <x:v>Industrial Protocol</x:v>
      </x:c>
      <x:c r="G65" s="50" t="n">
        <x:v>57</x:v>
      </x:c>
      <x:c r="H65" s="4"/>
      <x:c r="I65" s="4"/>
      <x:c r="J65" s="4"/>
      <x:c r="K65" s="4"/>
      <x:c r="L65" s="4"/>
      <x:c r="M65" s="4"/>
      <x:c r="N65" s="4"/>
      <x:c r="O65" s="4"/>
      <x:c r="P65" s="4"/>
      <x:c r="Q65" s="4"/>
    </x:row>
    <x:row r="66">
      <x:c r="A66" s="50" t="str">
        <x:v>Professional Domain</x:v>
      </x:c>
      <x:c r="B66" s="50" t="str">
        <x:v>Automation</x:v>
      </x:c>
      <x:c r="C66" s="50" t="str">
        <x:v>P14</x:v>
      </x:c>
      <x:c r="D66" s="50" t="str">
        <x:v>PIG</x:v>
      </x:c>
      <x:c r="E66" s="50" t="str">
        <x:v>Automation / 连接与边缘｜工业IoT、网关与边缘接入</x:v>
      </x:c>
      <x:c r="F66" s="50" t="str">
        <x:v>IoT Gateway</x:v>
      </x:c>
      <x:c r="G66" s="50" t="n">
        <x:v>9</x:v>
      </x:c>
      <x:c r="H66" s="4"/>
      <x:c r="I66" s="4"/>
      <x:c r="J66" s="4"/>
      <x:c r="K66" s="4"/>
      <x:c r="L66" s="4"/>
      <x:c r="M66" s="4"/>
      <x:c r="N66" s="4"/>
      <x:c r="O66" s="4"/>
      <x:c r="P66" s="4"/>
      <x:c r="Q66" s="4"/>
    </x:row>
    <x:row r="67">
      <x:c r="A67" s="50" t="str">
        <x:v>Professional Domain</x:v>
      </x:c>
      <x:c r="B67" s="50" t="str">
        <x:v>Automation</x:v>
      </x:c>
      <x:c r="C67" s="50" t="str">
        <x:v>P15</x:v>
      </x:c>
      <x:c r="D67" s="50" t="str">
        <x:v>PRE</x:v>
      </x:c>
      <x:c r="E67" s="50" t="str">
        <x:v>Automation / 工程运维｜工业配方与参数工程</x:v>
      </x:c>
      <x:c r="F67" s="50" t="str">
        <x:v>Recipe Engineering</x:v>
      </x:c>
      <x:c r="G67" s="50" t="n">
        <x:v>20</x:v>
      </x:c>
      <x:c r="H67" s="4"/>
      <x:c r="I67" s="4"/>
      <x:c r="J67" s="4"/>
      <x:c r="K67" s="4"/>
      <x:c r="L67" s="4"/>
      <x:c r="M67" s="4"/>
      <x:c r="N67" s="4"/>
      <x:c r="O67" s="4"/>
      <x:c r="P67" s="4"/>
      <x:c r="Q67" s="4"/>
    </x:row>
    <x:row r="68">
      <x:c r="A68" s="50" t="str">
        <x:v>Professional Domain</x:v>
      </x:c>
      <x:c r="B68" s="50" t="str">
        <x:v>Automation</x:v>
      </x:c>
      <x:c r="C68" s="50" t="str">
        <x:v>P16</x:v>
      </x:c>
      <x:c r="D68" s="50" t="str">
        <x:v>PED</x:v>
      </x:c>
      <x:c r="E68" s="50" t="str">
        <x:v>Automation / 工程运维｜设备调试、联调与故障诊断</x:v>
      </x:c>
      <x:c r="F68" s="50" t="str">
        <x:v>Device Diagnostics</x:v>
      </x:c>
      <x:c r="G68" s="50" t="n">
        <x:v>19</x:v>
      </x:c>
      <x:c r="H68" s="4"/>
      <x:c r="I68" s="4"/>
      <x:c r="J68" s="4"/>
      <x:c r="K68" s="4"/>
      <x:c r="L68" s="4"/>
      <x:c r="M68" s="4"/>
      <x:c r="N68" s="4"/>
      <x:c r="O68" s="4"/>
      <x:c r="P68" s="4"/>
      <x:c r="Q68" s="4"/>
    </x:row>
    <x:row r="69">
      <x:c r="A69" s="50" t="str">
        <x:v>Professional Domain</x:v>
      </x:c>
      <x:c r="B69" s="50" t="str">
        <x:v>Automation</x:v>
      </x:c>
      <x:c r="C69" s="50" t="str">
        <x:v>P17</x:v>
      </x:c>
      <x:c r="D69" s="50" t="str">
        <x:v>PAH</x:v>
      </x:c>
      <x:c r="E69" s="50" t="str">
        <x:v>Automation / 工程运维｜设备维护与健康管理</x:v>
      </x:c>
      <x:c r="F69" s="50" t="str">
        <x:v>Asset Health</x:v>
      </x:c>
      <x:c r="G69" s="50" t="n">
        <x:v>11</x:v>
      </x:c>
      <x:c r="H69" s="4"/>
      <x:c r="I69" s="4"/>
      <x:c r="J69" s="4"/>
      <x:c r="K69" s="4"/>
      <x:c r="L69" s="4"/>
      <x:c r="M69" s="4"/>
      <x:c r="N69" s="4"/>
      <x:c r="O69" s="4"/>
      <x:c r="P69" s="4"/>
      <x:c r="Q69" s="4"/>
    </x:row>
    <x:row r="70">
      <x:c r="A70" s="50" t="str">
        <x:v>Professional Domain</x:v>
      </x:c>
      <x:c r="B70" s="50" t="str">
        <x:v>Automation</x:v>
      </x:c>
      <x:c r="C70" s="50" t="str">
        <x:v>P18</x:v>
      </x:c>
      <x:c r="D70" s="50" t="str">
        <x:v>PMS</x:v>
      </x:c>
      <x:c r="E70" s="50" t="str">
        <x:v>Automation / 设备安全｜机器安全、防护设备与安全接口集成</x:v>
      </x:c>
      <x:c r="F70" s="50" t="str">
        <x:v>Machine Safety</x:v>
      </x:c>
      <x:c r="G70" s="50" t="n">
        <x:v>14</x:v>
      </x:c>
      <x:c r="H70" s="4"/>
      <x:c r="I70" s="4"/>
      <x:c r="J70" s="4"/>
      <x:c r="K70" s="4"/>
      <x:c r="L70" s="4"/>
      <x:c r="M70" s="4"/>
      <x:c r="N70" s="4"/>
      <x:c r="O70" s="4"/>
      <x:c r="P70" s="4"/>
      <x:c r="Q70" s="4"/>
    </x:row>
    <x:row r="71">
      <x:c r="A71" s="50" t="str">
        <x:v>Professional Domain</x:v>
      </x:c>
      <x:c r="B71" s="50" t="str">
        <x:v>HMI</x:v>
      </x:c>
      <x:c r="C71" s="50" t="str">
        <x:v>P19</x:v>
      </x:c>
      <x:c r="D71" s="50" t="str">
        <x:v>PPM</x:v>
      </x:c>
      <x:c r="E71" s="50" t="str">
        <x:v>HMI / 工业画面｜工业工艺画面与Mimic</x:v>
      </x:c>
      <x:c r="F71" s="50" t="str">
        <x:v>Process Mimics</x:v>
      </x:c>
      <x:c r="G71" s="50" t="n">
        <x:v>20</x:v>
      </x:c>
      <x:c r="H71" s="4"/>
      <x:c r="I71" s="4"/>
      <x:c r="J71" s="4"/>
      <x:c r="K71" s="4"/>
      <x:c r="L71" s="4"/>
      <x:c r="M71" s="4"/>
      <x:c r="N71" s="4"/>
      <x:c r="O71" s="4"/>
      <x:c r="P71" s="4"/>
      <x:c r="Q71" s="4"/>
    </x:row>
    <x:row r="72">
      <x:c r="A72" s="50" t="str">
        <x:v>Professional Domain</x:v>
      </x:c>
      <x:c r="B72" s="50" t="str">
        <x:v>HMI</x:v>
      </x:c>
      <x:c r="C72" s="50" t="str">
        <x:v>P20</x:v>
      </x:c>
      <x:c r="D72" s="50" t="str">
        <x:v>PSF</x:v>
      </x:c>
      <x:c r="E72" s="50" t="str">
        <x:v>HMI / 工业画面｜工业Symbol、Faceplate与组件复用</x:v>
      </x:c>
      <x:c r="F72" s="50" t="str">
        <x:v>Symbols Faceplates</x:v>
      </x:c>
      <x:c r="G72" s="50" t="n">
        <x:v>7</x:v>
      </x:c>
      <x:c r="H72" s="4"/>
      <x:c r="I72" s="4"/>
      <x:c r="J72" s="4"/>
      <x:c r="K72" s="4"/>
      <x:c r="L72" s="4"/>
      <x:c r="M72" s="4"/>
      <x:c r="N72" s="4"/>
      <x:c r="O72" s="4"/>
      <x:c r="P72" s="4"/>
      <x:c r="Q72" s="4"/>
    </x:row>
    <x:row r="73">
      <x:c r="A73" s="50" t="str">
        <x:v>Professional Domain</x:v>
      </x:c>
      <x:c r="B73" s="50" t="str">
        <x:v>HMI</x:v>
      </x:c>
      <x:c r="C73" s="50" t="str">
        <x:v>P21</x:v>
      </x:c>
      <x:c r="D73" s="50" t="str">
        <x:v>PPN</x:v>
      </x:c>
      <x:c r="E73" s="50" t="str">
        <x:v>HMI / 工业画面｜页面、窗口与导航</x:v>
      </x:c>
      <x:c r="F73" s="50" t="str">
        <x:v>Page Navigation</x:v>
      </x:c>
      <x:c r="G73" s="50" t="n">
        <x:v>12</x:v>
      </x:c>
      <x:c r="H73" s="4"/>
      <x:c r="I73" s="4"/>
      <x:c r="J73" s="4"/>
      <x:c r="K73" s="4"/>
      <x:c r="L73" s="4"/>
      <x:c r="M73" s="4"/>
      <x:c r="N73" s="4"/>
      <x:c r="O73" s="4"/>
      <x:c r="P73" s="4"/>
      <x:c r="Q73" s="4"/>
    </x:row>
    <x:row r="74">
      <x:c r="A74" s="50" t="str">
        <x:v>Professional Domain</x:v>
      </x:c>
      <x:c r="B74" s="50" t="str">
        <x:v>HMI</x:v>
      </x:c>
      <x:c r="C74" s="50" t="str">
        <x:v>P22</x:v>
      </x:c>
      <x:c r="D74" s="50" t="str">
        <x:v>PDB</x:v>
      </x:c>
      <x:c r="E74" s="50" t="str">
        <x:v>HMI / 动态与交互｜工业数据绑定与格式表达</x:v>
      </x:c>
      <x:c r="F74" s="50" t="str">
        <x:v>Data Binding</x:v>
      </x:c>
      <x:c r="G74" s="50" t="n">
        <x:v>8</x:v>
      </x:c>
      <x:c r="H74" s="4"/>
      <x:c r="I74" s="4"/>
      <x:c r="J74" s="4"/>
      <x:c r="K74" s="4"/>
      <x:c r="L74" s="4"/>
      <x:c r="M74" s="4"/>
      <x:c r="N74" s="4"/>
      <x:c r="O74" s="4"/>
      <x:c r="P74" s="4"/>
      <x:c r="Q74" s="4"/>
    </x:row>
    <x:row r="75">
      <x:c r="A75" s="50" t="str">
        <x:v>Professional Domain</x:v>
      </x:c>
      <x:c r="B75" s="50" t="str">
        <x:v>HMI</x:v>
      </x:c>
      <x:c r="C75" s="50" t="str">
        <x:v>P23</x:v>
      </x:c>
      <x:c r="D75" s="50" t="str">
        <x:v>PSA</x:v>
      </x:c>
      <x:c r="E75" s="50" t="str">
        <x:v>HMI / 动态与交互｜视觉状态、动画与告警反馈</x:v>
      </x:c>
      <x:c r="F75" s="50" t="str">
        <x:v>State Animation</x:v>
      </x:c>
      <x:c r="G75" s="50" t="n">
        <x:v>12</x:v>
      </x:c>
      <x:c r="H75" s="4"/>
      <x:c r="I75" s="4"/>
      <x:c r="J75" s="4"/>
      <x:c r="K75" s="4"/>
      <x:c r="L75" s="4"/>
      <x:c r="M75" s="4"/>
      <x:c r="N75" s="4"/>
      <x:c r="O75" s="4"/>
      <x:c r="P75" s="4"/>
      <x:c r="Q75" s="4"/>
    </x:row>
    <x:row r="76">
      <x:c r="A76" s="50" t="str">
        <x:v>Professional Domain</x:v>
      </x:c>
      <x:c r="B76" s="50" t="str">
        <x:v>HMI</x:v>
      </x:c>
      <x:c r="C76" s="50" t="str">
        <x:v>P24</x:v>
      </x:c>
      <x:c r="D76" s="50" t="str">
        <x:v>POI</x:v>
      </x:c>
      <x:c r="E76" s="50" t="str">
        <x:v>HMI / 动态与交互｜操作员交互与受控操作</x:v>
      </x:c>
      <x:c r="F76" s="50" t="str">
        <x:v>Operator Interaction</x:v>
      </x:c>
      <x:c r="G76" s="50" t="n">
        <x:v>7</x:v>
      </x:c>
      <x:c r="H76" s="4"/>
      <x:c r="I76" s="4"/>
      <x:c r="J76" s="4"/>
      <x:c r="K76" s="4"/>
      <x:c r="L76" s="4"/>
      <x:c r="M76" s="4"/>
      <x:c r="N76" s="4"/>
      <x:c r="O76" s="4"/>
      <x:c r="P76" s="4"/>
      <x:c r="Q76" s="4"/>
    </x:row>
    <x:row r="77">
      <x:c r="A77" s="50" t="str">
        <x:v>Professional Domain</x:v>
      </x:c>
      <x:c r="B77" s="50" t="str">
        <x:v>HMI</x:v>
      </x:c>
      <x:c r="C77" s="50" t="str">
        <x:v>P25</x:v>
      </x:c>
      <x:c r="D77" s="50" t="str">
        <x:v>PAE</x:v>
      </x:c>
      <x:c r="E77" s="50" t="str">
        <x:v>HMI / 工业信息呈现｜报警、事件与SOE可视化</x:v>
      </x:c>
      <x:c r="F77" s="50" t="str">
        <x:v>Alarm Events</x:v>
      </x:c>
      <x:c r="G77" s="50" t="n">
        <x:v>2</x:v>
      </x:c>
      <x:c r="H77" s="4"/>
      <x:c r="I77" s="4"/>
      <x:c r="J77" s="4"/>
      <x:c r="K77" s="4"/>
      <x:c r="L77" s="4"/>
      <x:c r="M77" s="4"/>
      <x:c r="N77" s="4"/>
      <x:c r="O77" s="4"/>
      <x:c r="P77" s="4"/>
      <x:c r="Q77" s="4"/>
    </x:row>
    <x:row r="78">
      <x:c r="A78" s="50" t="str">
        <x:v>Professional Domain</x:v>
      </x:c>
      <x:c r="B78" s="50" t="str">
        <x:v>HMI</x:v>
      </x:c>
      <x:c r="C78" s="50" t="str">
        <x:v>P26</x:v>
      </x:c>
      <x:c r="D78" s="50" t="str">
        <x:v>PTH</x:v>
      </x:c>
      <x:c r="E78" s="50" t="str">
        <x:v>HMI / 工业信息呈现｜实时趋势与历史曲线</x:v>
      </x:c>
      <x:c r="F78" s="50" t="str">
        <x:v>Trend History</x:v>
      </x:c>
      <x:c r="G78" s="50" t="n">
        <x:v>27</x:v>
      </x:c>
      <x:c r="H78" s="4"/>
      <x:c r="I78" s="4"/>
      <x:c r="J78" s="4"/>
      <x:c r="K78" s="4"/>
      <x:c r="L78" s="4"/>
      <x:c r="M78" s="4"/>
      <x:c r="N78" s="4"/>
      <x:c r="O78" s="4"/>
      <x:c r="P78" s="4"/>
      <x:c r="Q78" s="4"/>
    </x:row>
    <x:row r="79">
      <x:c r="A79" s="50" t="str">
        <x:v>Professional Domain</x:v>
      </x:c>
      <x:c r="B79" s="50" t="str">
        <x:v>HMI</x:v>
      </x:c>
      <x:c r="C79" s="50" t="str">
        <x:v>P27</x:v>
      </x:c>
      <x:c r="D79" s="50" t="str">
        <x:v>PRP</x:v>
      </x:c>
      <x:c r="E79" s="50" t="str">
        <x:v>HMI / 工业信息呈现｜配方与参数操作界面</x:v>
      </x:c>
      <x:c r="F79" s="50" t="str">
        <x:v>Recipe Parameters</x:v>
      </x:c>
      <x:c r="G79" s="50" t="n">
        <x:v>0</x:v>
      </x:c>
      <x:c r="H79" s="4"/>
      <x:c r="I79" s="4"/>
      <x:c r="J79" s="4"/>
      <x:c r="K79" s="4"/>
      <x:c r="L79" s="4"/>
      <x:c r="M79" s="4"/>
      <x:c r="N79" s="4"/>
      <x:c r="O79" s="4"/>
      <x:c r="P79" s="4"/>
      <x:c r="Q79" s="4"/>
    </x:row>
    <x:row r="80">
      <x:c r="A80" s="50" t="str">
        <x:v>Professional Domain</x:v>
      </x:c>
      <x:c r="B80" s="50" t="str">
        <x:v>HMI</x:v>
      </x:c>
      <x:c r="C80" s="50" t="str">
        <x:v>P28</x:v>
      </x:c>
      <x:c r="D80" s="50" t="str">
        <x:v>PKD</x:v>
      </x:c>
      <x:c r="E80" s="50" t="str">
        <x:v>HMI / 工业信息呈现｜工业看板、统计图表与KPI</x:v>
      </x:c>
      <x:c r="F80" s="50" t="str">
        <x:v>KPI Dashboards</x:v>
      </x:c>
      <x:c r="G80" s="50" t="n">
        <x:v>4</x:v>
      </x:c>
      <x:c r="H80" s="4"/>
      <x:c r="I80" s="4"/>
      <x:c r="J80" s="4"/>
      <x:c r="K80" s="4"/>
      <x:c r="L80" s="4"/>
      <x:c r="M80" s="4"/>
      <x:c r="N80" s="4"/>
      <x:c r="O80" s="4"/>
      <x:c r="P80" s="4"/>
      <x:c r="Q80" s="4"/>
    </x:row>
    <x:row r="81">
      <x:c r="A81" s="50" t="str">
        <x:v>Professional Domain</x:v>
      </x:c>
      <x:c r="B81" s="50" t="str">
        <x:v>HMI</x:v>
      </x:c>
      <x:c r="C81" s="50" t="str">
        <x:v>P29</x:v>
      </x:c>
      <x:c r="D81" s="50" t="str">
        <x:v>PVE</x:v>
      </x:c>
      <x:c r="E81" s="50" t="str">
        <x:v>HMI / 工业信息呈现｜专业Viewer嵌入与跨视图联动</x:v>
      </x:c>
      <x:c r="F81" s="50" t="str">
        <x:v>Viewer Embedding</x:v>
      </x:c>
      <x:c r="G81" s="50" t="n">
        <x:v>4</x:v>
      </x:c>
      <x:c r="H81" s="4"/>
      <x:c r="I81" s="4"/>
      <x:c r="J81" s="4"/>
      <x:c r="K81" s="4"/>
      <x:c r="L81" s="4"/>
      <x:c r="M81" s="4"/>
      <x:c r="N81" s="4"/>
      <x:c r="O81" s="4"/>
      <x:c r="P81" s="4"/>
      <x:c r="Q81" s="4"/>
    </x:row>
    <x:row r="82">
      <x:c r="A82" s="50" t="str">
        <x:v>Professional Domain</x:v>
      </x:c>
      <x:c r="B82" s="50" t="str">
        <x:v>Vision</x:v>
      </x:c>
      <x:c r="C82" s="50" t="str">
        <x:v>P30</x:v>
      </x:c>
      <x:c r="D82" s="50" t="str">
        <x:v>PIC</x:v>
      </x:c>
      <x:c r="E82" s="50" t="str">
        <x:v>Vision / 视觉基础与标定｜二维图像、像素与坐标空间</x:v>
      </x:c>
      <x:c r="F82" s="50" t="str">
        <x:v>Image Coordinates</x:v>
      </x:c>
      <x:c r="G82" s="50" t="n">
        <x:v>43</x:v>
      </x:c>
      <x:c r="H82" s="4"/>
      <x:c r="I82" s="4"/>
      <x:c r="J82" s="4"/>
      <x:c r="K82" s="4"/>
      <x:c r="L82" s="4"/>
      <x:c r="M82" s="4"/>
      <x:c r="N82" s="4"/>
      <x:c r="O82" s="4"/>
      <x:c r="P82" s="4"/>
      <x:c r="Q82" s="4"/>
    </x:row>
    <x:row r="83">
      <x:c r="A83" s="50" t="str">
        <x:v>Professional Domain</x:v>
      </x:c>
      <x:c r="B83" s="50" t="str">
        <x:v>Vision</x:v>
      </x:c>
      <x:c r="C83" s="50" t="str">
        <x:v>P31</x:v>
      </x:c>
      <x:c r="D83" s="50" t="str">
        <x:v>PRM</x:v>
      </x:c>
      <x:c r="E83" s="50" t="str">
        <x:v>Vision / 视觉基础与标定｜ROI、Region与Mask区域模型</x:v>
      </x:c>
      <x:c r="F83" s="50" t="str">
        <x:v>ROI Masks</x:v>
      </x:c>
      <x:c r="G83" s="50" t="n">
        <x:v>5</x:v>
      </x:c>
      <x:c r="H83" s="4"/>
      <x:c r="I83" s="4"/>
      <x:c r="J83" s="4"/>
      <x:c r="K83" s="4"/>
      <x:c r="L83" s="4"/>
      <x:c r="M83" s="4"/>
      <x:c r="N83" s="4"/>
      <x:c r="O83" s="4"/>
      <x:c r="P83" s="4"/>
      <x:c r="Q83" s="4"/>
    </x:row>
    <x:row r="84">
      <x:c r="A84" s="50" t="str">
        <x:v>Professional Domain</x:v>
      </x:c>
      <x:c r="B84" s="50" t="str">
        <x:v>Vision</x:v>
      </x:c>
      <x:c r="C84" s="50" t="str">
        <x:v>P32</x:v>
      </x:c>
      <x:c r="D84" s="50" t="str">
        <x:v>PCC</x:v>
      </x:c>
      <x:c r="E84" s="50" t="str">
        <x:v>Vision / 视觉基础与标定｜二维视觉与相机标定</x:v>
      </x:c>
      <x:c r="F84" s="50" t="str">
        <x:v>Camera Calibration</x:v>
      </x:c>
      <x:c r="G84" s="50" t="n">
        <x:v>8</x:v>
      </x:c>
      <x:c r="H84" s="4"/>
      <x:c r="I84" s="4"/>
      <x:c r="J84" s="4"/>
      <x:c r="K84" s="4"/>
      <x:c r="L84" s="4"/>
      <x:c r="M84" s="4"/>
      <x:c r="N84" s="4"/>
      <x:c r="O84" s="4"/>
      <x:c r="P84" s="4"/>
      <x:c r="Q84" s="4"/>
    </x:row>
    <x:row r="85">
      <x:c r="A85" s="50" t="str">
        <x:v>Professional Domain</x:v>
      </x:c>
      <x:c r="B85" s="50" t="str">
        <x:v>Vision</x:v>
      </x:c>
      <x:c r="C85" s="50" t="str">
        <x:v>P33</x:v>
      </x:c>
      <x:c r="D85" s="50" t="str">
        <x:v>PIE</x:v>
      </x:c>
      <x:c r="E85" s="50" t="str">
        <x:v>Vision / 图像处理与识别｜图像校正、预处理与增强</x:v>
      </x:c>
      <x:c r="F85" s="50" t="str">
        <x:v>Image Enhancement</x:v>
      </x:c>
      <x:c r="G85" s="50" t="n">
        <x:v>7</x:v>
      </x:c>
      <x:c r="H85" s="4"/>
      <x:c r="I85" s="4"/>
      <x:c r="J85" s="4"/>
      <x:c r="K85" s="4"/>
      <x:c r="L85" s="4"/>
      <x:c r="M85" s="4"/>
      <x:c r="N85" s="4"/>
      <x:c r="O85" s="4"/>
      <x:c r="P85" s="4"/>
      <x:c r="Q85" s="4"/>
    </x:row>
    <x:row r="86">
      <x:c r="A86" s="50" t="str">
        <x:v>Professional Domain</x:v>
      </x:c>
      <x:c r="B86" s="50" t="str">
        <x:v>Vision</x:v>
      </x:c>
      <x:c r="C86" s="50" t="str">
        <x:v>P34</x:v>
      </x:c>
      <x:c r="D86" s="50" t="str">
        <x:v>PIR</x:v>
      </x:c>
      <x:c r="E86" s="50" t="str">
        <x:v>Vision / 图像处理与识别｜二维定位、匹配与图像配准</x:v>
      </x:c>
      <x:c r="F86" s="50" t="str">
        <x:v>Image Registration</x:v>
      </x:c>
      <x:c r="G86" s="50" t="n">
        <x:v>1</x:v>
      </x:c>
      <x:c r="H86" s="4"/>
      <x:c r="I86" s="4"/>
      <x:c r="J86" s="4"/>
      <x:c r="K86" s="4"/>
      <x:c r="L86" s="4"/>
      <x:c r="M86" s="4"/>
      <x:c r="N86" s="4"/>
      <x:c r="O86" s="4"/>
      <x:c r="P86" s="4"/>
      <x:c r="Q86" s="4"/>
    </x:row>
    <x:row r="87">
      <x:c r="A87" s="50" t="str">
        <x:v>Professional Domain</x:v>
      </x:c>
      <x:c r="B87" s="50" t="str">
        <x:v>Vision</x:v>
      </x:c>
      <x:c r="C87" s="50" t="str">
        <x:v>P35</x:v>
      </x:c>
      <x:c r="D87" s="50" t="str">
        <x:v>PFA</x:v>
      </x:c>
      <x:c r="E87" s="50" t="str">
        <x:v>Vision / 图像处理与识别｜传统视觉与几何特征分析</x:v>
      </x:c>
      <x:c r="F87" s="50" t="str">
        <x:v>Feature Analysis</x:v>
      </x:c>
      <x:c r="G87" s="50" t="n">
        <x:v>28</x:v>
      </x:c>
      <x:c r="H87" s="4"/>
      <x:c r="I87" s="4"/>
      <x:c r="J87" s="4"/>
      <x:c r="K87" s="4"/>
      <x:c r="L87" s="4"/>
      <x:c r="M87" s="4"/>
      <x:c r="N87" s="4"/>
      <x:c r="O87" s="4"/>
      <x:c r="P87" s="4"/>
      <x:c r="Q87" s="4"/>
    </x:row>
    <x:row r="88">
      <x:c r="A88" s="50" t="str">
        <x:v>Professional Domain</x:v>
      </x:c>
      <x:c r="B88" s="50" t="str">
        <x:v>Vision</x:v>
      </x:c>
      <x:c r="C88" s="50" t="str">
        <x:v>P36</x:v>
      </x:c>
      <x:c r="D88" s="50" t="str">
        <x:v>PDD</x:v>
      </x:c>
      <x:c r="E88" s="50" t="str">
        <x:v>Vision / 图像处理与识别｜二维目标、缺陷检测与识别</x:v>
      </x:c>
      <x:c r="F88" s="50" t="str">
        <x:v>Defect Detection</x:v>
      </x:c>
      <x:c r="G88" s="50" t="n">
        <x:v>8</x:v>
      </x:c>
      <x:c r="H88" s="4"/>
      <x:c r="I88" s="4"/>
      <x:c r="J88" s="4"/>
      <x:c r="K88" s="4"/>
      <x:c r="L88" s="4"/>
      <x:c r="M88" s="4"/>
      <x:c r="N88" s="4"/>
      <x:c r="O88" s="4"/>
      <x:c r="P88" s="4"/>
      <x:c r="Q88" s="4"/>
    </x:row>
    <x:row r="89">
      <x:c r="A89" s="50" t="str">
        <x:v>Professional Domain</x:v>
      </x:c>
      <x:c r="B89" s="50" t="str">
        <x:v>Vision</x:v>
      </x:c>
      <x:c r="C89" s="50" t="str">
        <x:v>P37</x:v>
      </x:c>
      <x:c r="D89" s="50" t="str">
        <x:v>PAI</x:v>
      </x:c>
      <x:c r="E89" s="50" t="str">
        <x:v>Vision / 图像处理与识别｜AI视觉模型推理与应用</x:v>
      </x:c>
      <x:c r="F89" s="50" t="str">
        <x:v>AI Inference</x:v>
      </x:c>
      <x:c r="G89" s="50" t="n">
        <x:v>8</x:v>
      </x:c>
      <x:c r="H89" s="4"/>
      <x:c r="I89" s="4"/>
      <x:c r="J89" s="4"/>
      <x:c r="K89" s="4"/>
      <x:c r="L89" s="4"/>
      <x:c r="M89" s="4"/>
      <x:c r="N89" s="4"/>
      <x:c r="O89" s="4"/>
      <x:c r="P89" s="4"/>
      <x:c r="Q89" s="4"/>
    </x:row>
    <x:row r="90">
      <x:c r="A90" s="50" t="str">
        <x:v>Professional Domain</x:v>
      </x:c>
      <x:c r="B90" s="50" t="str">
        <x:v>Vision</x:v>
      </x:c>
      <x:c r="C90" s="50" t="str">
        <x:v>P38</x:v>
      </x:c>
      <x:c r="D90" s="50" t="str">
        <x:v>PDM</x:v>
      </x:c>
      <x:c r="E90" s="50" t="str">
        <x:v>Vision / 图像处理与识别｜二维尺寸与几何计量</x:v>
      </x:c>
      <x:c r="F90" s="50" t="str">
        <x:v>Dimensional Measurement</x:v>
      </x:c>
      <x:c r="G90" s="50" t="n">
        <x:v>7</x:v>
      </x:c>
      <x:c r="H90" s="4"/>
      <x:c r="I90" s="4"/>
      <x:c r="J90" s="4"/>
      <x:c r="K90" s="4"/>
      <x:c r="L90" s="4"/>
      <x:c r="M90" s="4"/>
      <x:c r="N90" s="4"/>
      <x:c r="O90" s="4"/>
      <x:c r="P90" s="4"/>
      <x:c r="Q90" s="4"/>
    </x:row>
    <x:row r="91">
      <x:c r="A91" s="50" t="str">
        <x:v>Professional Domain</x:v>
      </x:c>
      <x:c r="B91" s="50" t="str">
        <x:v>Vision</x:v>
      </x:c>
      <x:c r="C91" s="50" t="str">
        <x:v>P39</x:v>
      </x:c>
      <x:c r="D91" s="50" t="str">
        <x:v>PMF</x:v>
      </x:c>
      <x:c r="E91" s="50" t="str">
        <x:v>Vision / 多源与视觉工程｜多相机、多探测器配准与融合</x:v>
      </x:c>
      <x:c r="F91" s="50" t="str">
        <x:v>MultiSensor Fusion</x:v>
      </x:c>
      <x:c r="G91" s="50" t="n">
        <x:v>6</x:v>
      </x:c>
      <x:c r="H91" s="4"/>
      <x:c r="I91" s="4"/>
      <x:c r="J91" s="4"/>
      <x:c r="K91" s="4"/>
      <x:c r="L91" s="4"/>
      <x:c r="M91" s="4"/>
      <x:c r="N91" s="4"/>
      <x:c r="O91" s="4"/>
      <x:c r="P91" s="4"/>
      <x:c r="Q91" s="4"/>
    </x:row>
    <x:row r="92">
      <x:c r="A92" s="50" t="str">
        <x:v>Professional Domain</x:v>
      </x:c>
      <x:c r="B92" s="50" t="str">
        <x:v>Vision</x:v>
      </x:c>
      <x:c r="C92" s="50" t="str">
        <x:v>P40</x:v>
      </x:c>
      <x:c r="D92" s="50" t="str">
        <x:v>PRO</x:v>
      </x:c>
      <x:c r="E92" s="50" t="str">
        <x:v>Vision / 多源与视觉工程｜视觉结构化结果与Overlay</x:v>
      </x:c>
      <x:c r="F92" s="50" t="str">
        <x:v>Result Overlay</x:v>
      </x:c>
      <x:c r="G92" s="50" t="n">
        <x:v>11</x:v>
      </x:c>
      <x:c r="H92" s="4"/>
      <x:c r="I92" s="4"/>
      <x:c r="J92" s="4"/>
      <x:c r="K92" s="4"/>
      <x:c r="L92" s="4"/>
      <x:c r="M92" s="4"/>
      <x:c r="N92" s="4"/>
      <x:c r="O92" s="4"/>
      <x:c r="P92" s="4"/>
      <x:c r="Q92" s="4"/>
    </x:row>
    <x:row r="93">
      <x:c r="A93" s="50" t="str">
        <x:v>Professional Domain</x:v>
      </x:c>
      <x:c r="B93" s="50" t="str">
        <x:v>Vision</x:v>
      </x:c>
      <x:c r="C93" s="50" t="str">
        <x:v>P41</x:v>
      </x:c>
      <x:c r="D93" s="50" t="str">
        <x:v>PDA</x:v>
      </x:c>
      <x:c r="E93" s="50" t="str">
        <x:v>Vision / 多源与视觉工程｜视觉数据集、标注与算法评测</x:v>
      </x:c>
      <x:c r="F93" s="50" t="str">
        <x:v>Dataset Annotation</x:v>
      </x:c>
      <x:c r="G93" s="50" t="n">
        <x:v>12</x:v>
      </x:c>
      <x:c r="H93" s="4"/>
      <x:c r="I93" s="4"/>
      <x:c r="J93" s="4"/>
      <x:c r="K93" s="4"/>
      <x:c r="L93" s="4"/>
      <x:c r="M93" s="4"/>
      <x:c r="N93" s="4"/>
      <x:c r="O93" s="4"/>
      <x:c r="P93" s="4"/>
      <x:c r="Q93" s="4"/>
    </x:row>
    <x:row r="94">
      <x:c r="A94" s="50" t="str">
        <x:v>Professional Domain</x:v>
      </x:c>
      <x:c r="B94" s="50" t="str">
        <x:v>Vision</x:v>
      </x:c>
      <x:c r="C94" s="50" t="str">
        <x:v>P42</x:v>
      </x:c>
      <x:c r="D94" s="50" t="str">
        <x:v>PMT</x:v>
      </x:c>
      <x:c r="E94" s="50" t="str">
        <x:v>Vision / 多源与视觉工程｜AI模型训练与实验管理</x:v>
      </x:c>
      <x:c r="F94" s="50" t="str">
        <x:v>Model Training</x:v>
      </x:c>
      <x:c r="G94" s="50" t="n">
        <x:v>4</x:v>
      </x:c>
      <x:c r="H94" s="4"/>
      <x:c r="I94" s="4"/>
      <x:c r="J94" s="4"/>
      <x:c r="K94" s="4"/>
      <x:c r="L94" s="4"/>
      <x:c r="M94" s="4"/>
      <x:c r="N94" s="4"/>
      <x:c r="O94" s="4"/>
      <x:c r="P94" s="4"/>
      <x:c r="Q94" s="4"/>
    </x:row>
    <x:row r="95">
      <x:c r="A95" s="50" t="str">
        <x:v>Professional Domain</x:v>
      </x:c>
      <x:c r="B95" s="50" t="str">
        <x:v>CT3D</x:v>
      </x:c>
      <x:c r="C95" s="50" t="str">
        <x:v>P43</x:v>
      </x:c>
      <x:c r="D95" s="50" t="str">
        <x:v>PCS</x:v>
      </x:c>
      <x:c r="E95" s="50" t="str">
        <x:v>CT3D / CT成像与重建｜CT扫描工程、扫描计划与采集执行</x:v>
      </x:c>
      <x:c r="F95" s="50" t="str">
        <x:v>CT Scan</x:v>
      </x:c>
      <x:c r="G95" s="50" t="n">
        <x:v>22</x:v>
      </x:c>
      <x:c r="H95" s="4"/>
      <x:c r="I95" s="4"/>
      <x:c r="J95" s="4"/>
      <x:c r="K95" s="4"/>
      <x:c r="L95" s="4"/>
      <x:c r="M95" s="4"/>
      <x:c r="N95" s="4"/>
      <x:c r="O95" s="4"/>
      <x:c r="P95" s="4"/>
      <x:c r="Q95" s="4"/>
    </x:row>
    <x:row r="96">
      <x:c r="A96" s="50" t="str">
        <x:v>Professional Domain</x:v>
      </x:c>
      <x:c r="B96" s="50" t="str">
        <x:v>CT3D</x:v>
      </x:c>
      <x:c r="C96" s="50" t="str">
        <x:v>P44</x:v>
      </x:c>
      <x:c r="D96" s="50" t="str">
        <x:v>PPG</x:v>
      </x:c>
      <x:c r="E96" s="50" t="str">
        <x:v>CT3D / CT成像与重建｜投影序列、扫描轨迹与成像几何</x:v>
      </x:c>
      <x:c r="F96" s="50" t="str">
        <x:v>Projection Geometry</x:v>
      </x:c>
      <x:c r="G96" s="50" t="n">
        <x:v>22</x:v>
      </x:c>
      <x:c r="H96" s="4"/>
      <x:c r="I96" s="4"/>
      <x:c r="J96" s="4"/>
      <x:c r="K96" s="4"/>
      <x:c r="L96" s="4"/>
      <x:c r="M96" s="4"/>
      <x:c r="N96" s="4"/>
      <x:c r="O96" s="4"/>
      <x:c r="P96" s="4"/>
      <x:c r="Q96" s="4"/>
    </x:row>
    <x:row r="97">
      <x:c r="A97" s="50" t="str">
        <x:v>Professional Domain</x:v>
      </x:c>
      <x:c r="B97" s="50" t="str">
        <x:v>CT3D</x:v>
      </x:c>
      <x:c r="C97" s="50" t="str">
        <x:v>P45</x:v>
      </x:c>
      <x:c r="D97" s="50" t="str">
        <x:v>PGC</x:v>
      </x:c>
      <x:c r="E97" s="50" t="str">
        <x:v>CT3D / CT成像与重建｜CT几何校准与系统标定</x:v>
      </x:c>
      <x:c r="F97" s="50" t="str">
        <x:v>Geometry Calibration</x:v>
      </x:c>
      <x:c r="G97" s="50" t="n">
        <x:v>3</x:v>
      </x:c>
      <x:c r="H97" s="4"/>
      <x:c r="I97" s="4"/>
      <x:c r="J97" s="4"/>
      <x:c r="K97" s="4"/>
      <x:c r="L97" s="4"/>
      <x:c r="M97" s="4"/>
      <x:c r="N97" s="4"/>
      <x:c r="O97" s="4"/>
      <x:c r="P97" s="4"/>
      <x:c r="Q97" s="4"/>
    </x:row>
    <x:row r="98">
      <x:c r="A98" s="50" t="str">
        <x:v>Professional Domain</x:v>
      </x:c>
      <x:c r="B98" s="50" t="str">
        <x:v>CT3D</x:v>
      </x:c>
      <x:c r="C98" s="50" t="str">
        <x:v>P46</x:v>
      </x:c>
      <x:c r="D98" s="50" t="str">
        <x:v>PPR</x:v>
      </x:c>
      <x:c r="E98" s="50" t="str">
        <x:v>CT3D / CT成像与重建｜CT投影校正与预处理</x:v>
      </x:c>
      <x:c r="F98" s="50" t="str">
        <x:v>Projection Correction</x:v>
      </x:c>
      <x:c r="G98" s="50" t="n">
        <x:v>6</x:v>
      </x:c>
      <x:c r="H98" s="4"/>
      <x:c r="I98" s="4"/>
      <x:c r="J98" s="4"/>
      <x:c r="K98" s="4"/>
      <x:c r="L98" s="4"/>
      <x:c r="M98" s="4"/>
      <x:c r="N98" s="4"/>
      <x:c r="O98" s="4"/>
      <x:c r="P98" s="4"/>
      <x:c r="Q98" s="4"/>
    </x:row>
    <x:row r="99">
      <x:c r="A99" s="50" t="str">
        <x:v>Professional Domain</x:v>
      </x:c>
      <x:c r="B99" s="50" t="str">
        <x:v>CT3D</x:v>
      </x:c>
      <x:c r="C99" s="50" t="str">
        <x:v>P47</x:v>
      </x:c>
      <x:c r="D99" s="50" t="str">
        <x:v>PCR</x:v>
      </x:c>
      <x:c r="E99" s="50" t="str">
        <x:v>CT3D / CT成像与重建｜CT三维重建与算法调度</x:v>
      </x:c>
      <x:c r="F99" s="50" t="str">
        <x:v>CT Reconstruction</x:v>
      </x:c>
      <x:c r="G99" s="50" t="n">
        <x:v>21</x:v>
      </x:c>
      <x:c r="H99" s="4"/>
      <x:c r="I99" s="4"/>
      <x:c r="J99" s="4"/>
      <x:c r="K99" s="4"/>
      <x:c r="L99" s="4"/>
      <x:c r="M99" s="4"/>
      <x:c r="N99" s="4"/>
      <x:c r="O99" s="4"/>
      <x:c r="P99" s="4"/>
      <x:c r="Q99" s="4"/>
    </x:row>
    <x:row r="100">
      <x:c r="A100" s="50" t="str">
        <x:v>Professional Domain</x:v>
      </x:c>
      <x:c r="B100" s="50" t="str">
        <x:v>CT3D</x:v>
      </x:c>
      <x:c r="C100" s="50" t="str">
        <x:v>P48</x:v>
      </x:c>
      <x:c r="D100" s="50" t="str">
        <x:v>PVI</x:v>
      </x:c>
      <x:c r="E100" s="50" t="str">
        <x:v>CT3D / 三维数据与可视化｜体数据、体素空间与大型资源IO</x:v>
      </x:c>
      <x:c r="F100" s="50" t="str">
        <x:v>Volume IO</x:v>
      </x:c>
      <x:c r="G100" s="50" t="n">
        <x:v>10</x:v>
      </x:c>
      <x:c r="H100" s="4"/>
      <x:c r="I100" s="4"/>
      <x:c r="J100" s="4"/>
      <x:c r="K100" s="4"/>
      <x:c r="L100" s="4"/>
      <x:c r="M100" s="4"/>
      <x:c r="N100" s="4"/>
      <x:c r="O100" s="4"/>
      <x:c r="P100" s="4"/>
      <x:c r="Q100" s="4"/>
    </x:row>
    <x:row r="101">
      <x:c r="A101" s="50" t="str">
        <x:v>Professional Domain</x:v>
      </x:c>
      <x:c r="B101" s="50" t="str">
        <x:v>CT3D</x:v>
      </x:c>
      <x:c r="C101" s="50" t="str">
        <x:v>P49</x:v>
      </x:c>
      <x:c r="D101" s="50" t="str">
        <x:v>PVP</x:v>
      </x:c>
      <x:c r="E101" s="50" t="str">
        <x:v>CT3D / 三维数据与可视化｜三维图像处理与体数据运算</x:v>
      </x:c>
      <x:c r="F101" s="50" t="str">
        <x:v>Volume Processing</x:v>
      </x:c>
      <x:c r="G101" s="50" t="n">
        <x:v>6</x:v>
      </x:c>
      <x:c r="H101" s="4"/>
      <x:c r="I101" s="4"/>
      <x:c r="J101" s="4"/>
      <x:c r="K101" s="4"/>
      <x:c r="L101" s="4"/>
      <x:c r="M101" s="4"/>
      <x:c r="N101" s="4"/>
      <x:c r="O101" s="4"/>
      <x:c r="P101" s="4"/>
      <x:c r="Q101" s="4"/>
    </x:row>
    <x:row r="102">
      <x:c r="A102" s="50" t="str">
        <x:v>Professional Domain</x:v>
      </x:c>
      <x:c r="B102" s="50" t="str">
        <x:v>CT3D</x:v>
      </x:c>
      <x:c r="C102" s="50" t="str">
        <x:v>P50</x:v>
      </x:c>
      <x:c r="D102" s="50" t="str">
        <x:v>PVV</x:v>
      </x:c>
      <x:c r="E102" s="50" t="str">
        <x:v>CT3D / 三维数据与可视化｜MPR、Reslice、体绘与三维可视化</x:v>
      </x:c>
      <x:c r="F102" s="50" t="str">
        <x:v>Volume Visualization</x:v>
      </x:c>
      <x:c r="G102" s="50" t="n">
        <x:v>12</x:v>
      </x:c>
      <x:c r="H102" s="4"/>
      <x:c r="I102" s="4"/>
      <x:c r="J102" s="4"/>
      <x:c r="K102" s="4"/>
      <x:c r="L102" s="4"/>
      <x:c r="M102" s="4"/>
      <x:c r="N102" s="4"/>
      <x:c r="O102" s="4"/>
      <x:c r="P102" s="4"/>
      <x:c r="Q102" s="4"/>
    </x:row>
    <x:row r="103">
      <x:c r="A103" s="50" t="str">
        <x:v>Professional Domain</x:v>
      </x:c>
      <x:c r="B103" s="50" t="str">
        <x:v>CT3D</x:v>
      </x:c>
      <x:c r="C103" s="50" t="str">
        <x:v>P51</x:v>
      </x:c>
      <x:c r="D103" s="50" t="str">
        <x:v>PVS</x:v>
      </x:c>
      <x:c r="E103" s="50" t="str">
        <x:v>CT3D / 三维分析与测量｜三维分割、标签与配准</x:v>
      </x:c>
      <x:c r="F103" s="50" t="str">
        <x:v>Volume Segmentation</x:v>
      </x:c>
      <x:c r="G103" s="50" t="n">
        <x:v>3</x:v>
      </x:c>
      <x:c r="H103" s="4"/>
      <x:c r="I103" s="4"/>
      <x:c r="J103" s="4"/>
      <x:c r="K103" s="4"/>
      <x:c r="L103" s="4"/>
      <x:c r="M103" s="4"/>
      <x:c r="N103" s="4"/>
      <x:c r="O103" s="4"/>
      <x:c r="P103" s="4"/>
      <x:c r="Q103" s="4"/>
    </x:row>
    <x:row r="104">
      <x:c r="A104" s="50" t="str">
        <x:v>Professional Domain</x:v>
      </x:c>
      <x:c r="B104" s="50" t="str">
        <x:v>CT3D</x:v>
      </x:c>
      <x:c r="C104" s="50" t="str">
        <x:v>P52</x:v>
      </x:c>
      <x:c r="D104" s="50" t="str">
        <x:v>PID</x:v>
      </x:c>
      <x:c r="E104" s="50" t="str">
        <x:v>CT3D / 三维分析与测量｜内部缺陷检测与结构分析</x:v>
      </x:c>
      <x:c r="F104" s="50" t="str">
        <x:v>Internal Defects</x:v>
      </x:c>
      <x:c r="G104" s="50" t="n">
        <x:v>10</x:v>
      </x:c>
      <x:c r="H104" s="4"/>
      <x:c r="I104" s="4"/>
      <x:c r="J104" s="4"/>
      <x:c r="K104" s="4"/>
      <x:c r="L104" s="4"/>
      <x:c r="M104" s="4"/>
      <x:c r="N104" s="4"/>
      <x:c r="O104" s="4"/>
      <x:c r="P104" s="4"/>
      <x:c r="Q104" s="4"/>
    </x:row>
    <x:row r="105">
      <x:c r="A105" s="50" t="str">
        <x:v>Professional Domain</x:v>
      </x:c>
      <x:c r="B105" s="50" t="str">
        <x:v>CT3D</x:v>
      </x:c>
      <x:c r="C105" s="50" t="str">
        <x:v>P53</x:v>
      </x:c>
      <x:c r="D105" s="50" t="str">
        <x:v>PGM</x:v>
      </x:c>
      <x:c r="E105" s="50" t="str">
        <x:v>CT3D / 三维分析与测量｜三维尺寸、形位与计量分析</x:v>
      </x:c>
      <x:c r="F105" s="50" t="str">
        <x:v>ThreeDimensional Metrology</x:v>
      </x:c>
      <x:c r="G105" s="50" t="n">
        <x:v>4</x:v>
      </x:c>
      <x:c r="H105" s="4"/>
      <x:c r="I105" s="4"/>
      <x:c r="J105" s="4"/>
      <x:c r="K105" s="4"/>
      <x:c r="L105" s="4"/>
      <x:c r="M105" s="4"/>
      <x:c r="N105" s="4"/>
      <x:c r="O105" s="4"/>
      <x:c r="P105" s="4"/>
      <x:c r="Q105" s="4"/>
    </x:row>
    <x:row r="106">
      <x:c r="A106" s="50" t="str">
        <x:v>Professional Domain</x:v>
      </x:c>
      <x:c r="B106" s="50" t="str">
        <x:v>Inspection</x:v>
      </x:c>
      <x:c r="C106" s="50" t="str">
        <x:v>P54</x:v>
      </x:c>
      <x:c r="D106" s="50" t="str">
        <x:v>PPS</x:v>
      </x:c>
      <x:c r="E106" s="50" t="str">
        <x:v>Inspection / 检测工程｜产品、型号与检测规格</x:v>
      </x:c>
      <x:c r="F106" s="50" t="str">
        <x:v>Product Specifications</x:v>
      </x:c>
      <x:c r="G106" s="50" t="n">
        <x:v>23</x:v>
      </x:c>
      <x:c r="H106" s="4"/>
      <x:c r="I106" s="4"/>
      <x:c r="J106" s="4"/>
      <x:c r="K106" s="4"/>
      <x:c r="L106" s="4"/>
      <x:c r="M106" s="4"/>
      <x:c r="N106" s="4"/>
      <x:c r="O106" s="4"/>
      <x:c r="P106" s="4"/>
      <x:c r="Q106" s="4"/>
    </x:row>
    <x:row r="107">
      <x:c r="A107" s="50" t="str">
        <x:v>Professional Domain</x:v>
      </x:c>
      <x:c r="B107" s="50" t="str">
        <x:v>Inspection</x:v>
      </x:c>
      <x:c r="C107" s="50" t="str">
        <x:v>P55</x:v>
      </x:c>
      <x:c r="D107" s="50" t="str">
        <x:v>PST</x:v>
      </x:c>
      <x:c r="E107" s="50" t="str">
        <x:v>Inspection / 检测工程｜工位、检测点位与检测单元</x:v>
      </x:c>
      <x:c r="F107" s="50" t="str">
        <x:v>Inspection Stations</x:v>
      </x:c>
      <x:c r="G107" s="50" t="n">
        <x:v>11</x:v>
      </x:c>
      <x:c r="H107" s="4"/>
      <x:c r="I107" s="4"/>
      <x:c r="J107" s="4"/>
      <x:c r="K107" s="4"/>
      <x:c r="L107" s="4"/>
      <x:c r="M107" s="4"/>
      <x:c r="N107" s="4"/>
      <x:c r="O107" s="4"/>
      <x:c r="P107" s="4"/>
      <x:c r="Q107" s="4"/>
    </x:row>
    <x:row r="108">
      <x:c r="A108" s="50" t="str">
        <x:v>Professional Domain</x:v>
      </x:c>
      <x:c r="B108" s="50" t="str">
        <x:v>Inspection</x:v>
      </x:c>
      <x:c r="C108" s="50" t="str">
        <x:v>P56</x:v>
      </x:c>
      <x:c r="D108" s="50" t="str">
        <x:v>PIS</x:v>
      </x:c>
      <x:c r="E108" s="50" t="str">
        <x:v>Inspection / 检测工程｜检测方案、工艺路线与策略</x:v>
      </x:c>
      <x:c r="F108" s="50" t="str">
        <x:v>Inspection Strategy</x:v>
      </x:c>
      <x:c r="G108" s="50" t="n">
        <x:v>23</x:v>
      </x:c>
      <x:c r="H108" s="4"/>
      <x:c r="I108" s="4"/>
      <x:c r="J108" s="4"/>
      <x:c r="K108" s="4"/>
      <x:c r="L108" s="4"/>
      <x:c r="M108" s="4"/>
      <x:c r="N108" s="4"/>
      <x:c r="O108" s="4"/>
      <x:c r="P108" s="4"/>
      <x:c r="Q108" s="4"/>
    </x:row>
    <x:row r="109">
      <x:c r="A109" s="50" t="str">
        <x:v>Professional Domain</x:v>
      </x:c>
      <x:c r="B109" s="50" t="str">
        <x:v>Inspection</x:v>
      </x:c>
      <x:c r="C109" s="50" t="str">
        <x:v>P57</x:v>
      </x:c>
      <x:c r="D109" s="50" t="str">
        <x:v>PEX</x:v>
      </x:c>
      <x:c r="E109" s="50" t="str">
        <x:v>Inspection / 检测工程｜产品检测执行与任务编排</x:v>
      </x:c>
      <x:c r="F109" s="50" t="str">
        <x:v>Inspection Execution</x:v>
      </x:c>
      <x:c r="G109" s="50" t="n">
        <x:v>10</x:v>
      </x:c>
      <x:c r="H109" s="4"/>
      <x:c r="I109" s="4"/>
      <x:c r="J109" s="4"/>
      <x:c r="K109" s="4"/>
      <x:c r="L109" s="4"/>
      <x:c r="M109" s="4"/>
      <x:c r="N109" s="4"/>
      <x:c r="O109" s="4"/>
      <x:c r="P109" s="4"/>
      <x:c r="Q109" s="4"/>
    </x:row>
    <x:row r="110">
      <x:c r="A110" s="50" t="str">
        <x:v>Professional Domain</x:v>
      </x:c>
      <x:c r="B110" s="50" t="str">
        <x:v>Inspection</x:v>
      </x:c>
      <x:c r="C110" s="50" t="str">
        <x:v>P58</x:v>
      </x:c>
      <x:c r="D110" s="50" t="str">
        <x:v>PDC</x:v>
      </x:c>
      <x:c r="E110" s="50" t="str">
        <x:v>Inspection / 质量判定与处置｜缺陷字典、分类与等级</x:v>
      </x:c>
      <x:c r="F110" s="50" t="str">
        <x:v>Defect Taxonomy</x:v>
      </x:c>
      <x:c r="G110" s="50" t="n">
        <x:v>7</x:v>
      </x:c>
      <x:c r="H110" s="4"/>
      <x:c r="I110" s="4"/>
      <x:c r="J110" s="4"/>
      <x:c r="K110" s="4"/>
      <x:c r="L110" s="4"/>
      <x:c r="M110" s="4"/>
      <x:c r="N110" s="4"/>
      <x:c r="O110" s="4"/>
      <x:c r="P110" s="4"/>
      <x:c r="Q110" s="4"/>
    </x:row>
    <x:row r="111">
      <x:c r="A111" s="50" t="str">
        <x:v>Professional Domain</x:v>
      </x:c>
      <x:c r="B111" s="50" t="str">
        <x:v>Inspection</x:v>
      </x:c>
      <x:c r="C111" s="50" t="str">
        <x:v>P59</x:v>
      </x:c>
      <x:c r="D111" s="50" t="str">
        <x:v>PQD</x:v>
      </x:c>
      <x:c r="E111" s="50" t="str">
        <x:v>Inspection / 质量判定与处置｜质量判定规则与最终决策</x:v>
      </x:c>
      <x:c r="F111" s="50" t="str">
        <x:v>Quality Decision</x:v>
      </x:c>
      <x:c r="G111" s="50" t="n">
        <x:v>9</x:v>
      </x:c>
      <x:c r="H111" s="4"/>
      <x:c r="I111" s="4"/>
      <x:c r="J111" s="4"/>
      <x:c r="K111" s="4"/>
      <x:c r="L111" s="4"/>
      <x:c r="M111" s="4"/>
      <x:c r="N111" s="4"/>
      <x:c r="O111" s="4"/>
      <x:c r="P111" s="4"/>
      <x:c r="Q111" s="4"/>
    </x:row>
    <x:row r="112">
      <x:c r="A112" s="50" t="str">
        <x:v>Professional Domain</x:v>
      </x:c>
      <x:c r="B112" s="50" t="str">
        <x:v>Inspection</x:v>
      </x:c>
      <x:c r="C112" s="50" t="str">
        <x:v>P60</x:v>
      </x:c>
      <x:c r="D112" s="50" t="str">
        <x:v>PEV</x:v>
      </x:c>
      <x:c r="E112" s="50" t="str">
        <x:v>Inspection / 质量判定与处置｜检测结果、证据与质量记录</x:v>
      </x:c>
      <x:c r="F112" s="50" t="str">
        <x:v>Inspection Evidence</x:v>
      </x:c>
      <x:c r="G112" s="50" t="n">
        <x:v>6</x:v>
      </x:c>
      <x:c r="H112" s="4"/>
      <x:c r="I112" s="4"/>
      <x:c r="J112" s="4"/>
      <x:c r="K112" s="4"/>
      <x:c r="L112" s="4"/>
      <x:c r="M112" s="4"/>
      <x:c r="N112" s="4"/>
      <x:c r="O112" s="4"/>
      <x:c r="P112" s="4"/>
      <x:c r="Q112" s="4"/>
    </x:row>
    <x:row r="113">
      <x:c r="A113" s="50" t="str">
        <x:v>Professional Domain</x:v>
      </x:c>
      <x:c r="B113" s="50" t="str">
        <x:v>Inspection</x:v>
      </x:c>
      <x:c r="C113" s="50" t="str">
        <x:v>P61</x:v>
      </x:c>
      <x:c r="D113" s="50" t="str">
        <x:v>PRW</x:v>
      </x:c>
      <x:c r="E113" s="50" t="str">
        <x:v>Inspection / 质量判定与处置｜复检、复测与重试业务</x:v>
      </x:c>
      <x:c r="F113" s="50" t="str">
        <x:v>Retest Workflow</x:v>
      </x:c>
      <x:c r="G113" s="50" t="n">
        <x:v>7</x:v>
      </x:c>
      <x:c r="H113" s="4"/>
      <x:c r="I113" s="4"/>
      <x:c r="J113" s="4"/>
      <x:c r="K113" s="4"/>
      <x:c r="L113" s="4"/>
      <x:c r="M113" s="4"/>
      <x:c r="N113" s="4"/>
      <x:c r="O113" s="4"/>
      <x:c r="P113" s="4"/>
      <x:c r="Q113" s="4"/>
    </x:row>
    <x:row r="114">
      <x:c r="A114" s="50" t="str">
        <x:v>Professional Domain</x:v>
      </x:c>
      <x:c r="B114" s="50" t="str">
        <x:v>Inspection</x:v>
      </x:c>
      <x:c r="C114" s="50" t="str">
        <x:v>P62</x:v>
      </x:c>
      <x:c r="D114" s="50" t="str">
        <x:v>PMR</x:v>
      </x:c>
      <x:c r="E114" s="50" t="str">
        <x:v>Inspection / 质量判定与处置｜人工复判、审核与争议处理</x:v>
      </x:c>
      <x:c r="F114" s="50" t="str">
        <x:v>Manual Review</x:v>
      </x:c>
      <x:c r="G114" s="50" t="n">
        <x:v>7</x:v>
      </x:c>
      <x:c r="H114" s="4"/>
      <x:c r="I114" s="4"/>
      <x:c r="J114" s="4"/>
      <x:c r="K114" s="4"/>
      <x:c r="L114" s="4"/>
      <x:c r="M114" s="4"/>
      <x:c r="N114" s="4"/>
      <x:c r="O114" s="4"/>
      <x:c r="P114" s="4"/>
      <x:c r="Q114" s="4"/>
    </x:row>
    <x:row r="115">
      <x:c r="A115" s="50" t="str">
        <x:v>Professional Domain</x:v>
      </x:c>
      <x:c r="B115" s="50" t="str">
        <x:v>Inspection</x:v>
      </x:c>
      <x:c r="C115" s="50" t="str">
        <x:v>P63</x:v>
      </x:c>
      <x:c r="D115" s="50" t="str">
        <x:v>PQT</x:v>
      </x:c>
      <x:c r="E115" s="50" t="str">
        <x:v>Inspection / 质量数据与集成｜产品质量追溯与全链证据</x:v>
      </x:c>
      <x:c r="F115" s="50" t="str">
        <x:v>Quality Traceability</x:v>
      </x:c>
      <x:c r="G115" s="50" t="n">
        <x:v>11</x:v>
      </x:c>
      <x:c r="H115" s="4"/>
      <x:c r="I115" s="4"/>
      <x:c r="J115" s="4"/>
      <x:c r="K115" s="4"/>
      <x:c r="L115" s="4"/>
      <x:c r="M115" s="4"/>
      <x:c r="N115" s="4"/>
      <x:c r="O115" s="4"/>
      <x:c r="P115" s="4"/>
      <x:c r="Q115" s="4"/>
    </x:row>
    <x:row r="116">
      <x:c r="A116" s="50" t="str">
        <x:v>Professional Domain</x:v>
      </x:c>
      <x:c r="B116" s="50" t="str">
        <x:v>Inspection</x:v>
      </x:c>
      <x:c r="C116" s="50" t="str">
        <x:v>P64</x:v>
      </x:c>
      <x:c r="D116" s="50" t="str">
        <x:v>PSP</x:v>
      </x:c>
      <x:c r="E116" s="50" t="str">
        <x:v>Inspection / 质量数据与集成｜质量统计、SPC与过程能力</x:v>
      </x:c>
      <x:c r="F116" s="50" t="str">
        <x:v>Statistical Process</x:v>
      </x:c>
      <x:c r="G116" s="50" t="n">
        <x:v>4</x:v>
      </x:c>
      <x:c r="H116" s="4"/>
      <x:c r="I116" s="4"/>
      <x:c r="J116" s="4"/>
      <x:c r="K116" s="4"/>
      <x:c r="L116" s="4"/>
      <x:c r="M116" s="4"/>
      <x:c r="N116" s="4"/>
      <x:c r="O116" s="4"/>
      <x:c r="P116" s="4"/>
      <x:c r="Q116" s="4"/>
    </x:row>
    <x:row r="117">
      <x:c r="A117" s="50" t="str">
        <x:v>Professional Domain</x:v>
      </x:c>
      <x:c r="B117" s="50" t="str">
        <x:v>Inspection</x:v>
      </x:c>
      <x:c r="C117" s="50" t="str">
        <x:v>P65</x:v>
      </x:c>
      <x:c r="D117" s="50" t="str">
        <x:v>PMI</x:v>
      </x:c>
      <x:c r="E117" s="50" t="str">
        <x:v>Inspection / 质量数据与集成｜MES、工单与制造业务集成</x:v>
      </x:c>
      <x:c r="F117" s="50" t="str">
        <x:v>MES Integration</x:v>
      </x:c>
      <x:c r="G117" s="50" t="n">
        <x:v>11</x:v>
      </x:c>
      <x:c r="H117" s="4"/>
      <x:c r="I117" s="4"/>
      <x:c r="J117" s="4"/>
      <x:c r="K117" s="4"/>
      <x:c r="L117" s="4"/>
      <x:c r="M117" s="4"/>
      <x:c r="N117" s="4"/>
      <x:c r="O117" s="4"/>
      <x:c r="P117" s="4"/>
      <x:c r="Q117" s="4"/>
    </x:row>
    <x:row r="118">
      <x:c r="A118" s="50" t="str">
        <x:v>Professional Domain</x:v>
      </x:c>
      <x:c r="B118" s="50" t="str">
        <x:v>Simulation</x:v>
      </x:c>
      <x:c r="C118" s="50" t="str">
        <x:v>P66</x:v>
      </x:c>
      <x:c r="D118" s="50" t="str">
        <x:v>PSS</x:v>
      </x:c>
      <x:c r="E118" s="50" t="str">
        <x:v>Simulation / 仿真模型｜仿真场景、刺激与预期行为</x:v>
      </x:c>
      <x:c r="F118" s="50" t="str">
        <x:v>Simulation Scenarios</x:v>
      </x:c>
      <x:c r="G118" s="50" t="n">
        <x:v>22</x:v>
      </x:c>
      <x:c r="H118" s="4"/>
      <x:c r="I118" s="4"/>
      <x:c r="J118" s="4"/>
      <x:c r="K118" s="4"/>
      <x:c r="L118" s="4"/>
      <x:c r="M118" s="4"/>
      <x:c r="N118" s="4"/>
      <x:c r="O118" s="4"/>
      <x:c r="P118" s="4"/>
      <x:c r="Q118" s="4"/>
    </x:row>
    <x:row r="119">
      <x:c r="A119" s="50" t="str">
        <x:v>Professional Domain</x:v>
      </x:c>
      <x:c r="B119" s="50" t="str">
        <x:v>Simulation</x:v>
      </x:c>
      <x:c r="C119" s="50" t="str">
        <x:v>P67</x:v>
      </x:c>
      <x:c r="D119" s="50" t="str">
        <x:v>PVD</x:v>
      </x:c>
      <x:c r="E119" s="50" t="str">
        <x:v>Simulation / 仿真模型｜虚拟PLC、设备与传感器模型</x:v>
      </x:c>
      <x:c r="F119" s="50" t="str">
        <x:v>Virtual Devices</x:v>
      </x:c>
      <x:c r="G119" s="50" t="n">
        <x:v>66</x:v>
      </x:c>
      <x:c r="H119" s="4"/>
      <x:c r="I119" s="4"/>
      <x:c r="J119" s="4"/>
      <x:c r="K119" s="4"/>
      <x:c r="L119" s="4"/>
      <x:c r="M119" s="4"/>
      <x:c r="N119" s="4"/>
      <x:c r="O119" s="4"/>
      <x:c r="P119" s="4"/>
      <x:c r="Q119" s="4"/>
    </x:row>
    <x:row r="120">
      <x:c r="A120" s="50" t="str">
        <x:v>Professional Domain</x:v>
      </x:c>
      <x:c r="B120" s="50" t="str">
        <x:v>Simulation</x:v>
      </x:c>
      <x:c r="C120" s="50" t="str">
        <x:v>P68</x:v>
      </x:c>
      <x:c r="D120" s="50" t="str">
        <x:v>PVL</x:v>
      </x:c>
      <x:c r="E120" s="50" t="str">
        <x:v>Simulation / 仿真模型｜虚拟产线、设备与工艺环境</x:v>
      </x:c>
      <x:c r="F120" s="50" t="str">
        <x:v>Virtual Lines</x:v>
      </x:c>
      <x:c r="G120" s="50" t="n">
        <x:v>7</x:v>
      </x:c>
      <x:c r="H120" s="4"/>
      <x:c r="I120" s="4"/>
      <x:c r="J120" s="4"/>
      <x:c r="K120" s="4"/>
      <x:c r="L120" s="4"/>
      <x:c r="M120" s="4"/>
      <x:c r="N120" s="4"/>
      <x:c r="O120" s="4"/>
      <x:c r="P120" s="4"/>
      <x:c r="Q120" s="4"/>
    </x:row>
    <x:row r="121">
      <x:c r="A121" s="50" t="str">
        <x:v>Professional Domain</x:v>
      </x:c>
      <x:c r="B121" s="50" t="str">
        <x:v>Simulation</x:v>
      </x:c>
      <x:c r="C121" s="50" t="str">
        <x:v>P69</x:v>
      </x:c>
      <x:c r="D121" s="50" t="str">
        <x:v>PVT</x:v>
      </x:c>
      <x:c r="E121" s="50" t="str">
        <x:v>Simulation / 仿真运行与验证｜虚拟时钟、数据回放与时间对齐</x:v>
      </x:c>
      <x:c r="F121" s="50" t="str">
        <x:v>Virtual Time</x:v>
      </x:c>
      <x:c r="G121" s="50" t="n">
        <x:v>7</x:v>
      </x:c>
      <x:c r="H121" s="4"/>
      <x:c r="I121" s="4"/>
      <x:c r="J121" s="4"/>
      <x:c r="K121" s="4"/>
      <x:c r="L121" s="4"/>
      <x:c r="M121" s="4"/>
      <x:c r="N121" s="4"/>
      <x:c r="O121" s="4"/>
      <x:c r="P121" s="4"/>
      <x:c r="Q121" s="4"/>
    </x:row>
    <x:row r="122">
      <x:c r="A122" s="50" t="str">
        <x:v>Professional Domain</x:v>
      </x:c>
      <x:c r="B122" s="50" t="str">
        <x:v>Simulation</x:v>
      </x:c>
      <x:c r="C122" s="50" t="str">
        <x:v>P70</x:v>
      </x:c>
      <x:c r="D122" s="50" t="str">
        <x:v>PFI</x:v>
      </x:c>
      <x:c r="E122" s="50" t="str">
        <x:v>Simulation / 仿真运行与验证｜故障注入与异常恢复试验</x:v>
      </x:c>
      <x:c r="F122" s="50" t="str">
        <x:v>Fault Injection</x:v>
      </x:c>
      <x:c r="G122" s="50" t="n">
        <x:v>12</x:v>
      </x:c>
      <x:c r="H122" s="4"/>
      <x:c r="I122" s="4"/>
      <x:c r="J122" s="4"/>
      <x:c r="K122" s="4"/>
      <x:c r="L122" s="4"/>
      <x:c r="M122" s="4"/>
      <x:c r="N122" s="4"/>
      <x:c r="O122" s="4"/>
      <x:c r="P122" s="4"/>
      <x:c r="Q122" s="4"/>
    </x:row>
    <x:row r="123">
      <x:c r="A123" s="50" t="str">
        <x:v>Professional Domain</x:v>
      </x:c>
      <x:c r="B123" s="50" t="str">
        <x:v>Simulation</x:v>
      </x:c>
      <x:c r="C123" s="50" t="str">
        <x:v>P71</x:v>
      </x:c>
      <x:c r="D123" s="50" t="str">
        <x:v>PVC</x:v>
      </x:c>
      <x:c r="E123" s="50" t="str">
        <x:v>Simulation / 仿真运行与验证｜虚拟调试、场景测试与回归验收</x:v>
      </x:c>
      <x:c r="F123" s="50" t="str">
        <x:v>Virtual Commissioning</x:v>
      </x:c>
      <x:c r="G123" s="50" t="n">
        <x:v>7</x:v>
      </x:c>
      <x:c r="H123" s="4"/>
      <x:c r="I123" s="4"/>
      <x:c r="J123" s="4"/>
      <x:c r="K123" s="4"/>
      <x:c r="L123" s="4"/>
      <x:c r="M123" s="4"/>
      <x:c r="N123" s="4"/>
      <x:c r="O123" s="4"/>
      <x:c r="P123" s="4"/>
      <x:c r="Q123" s="4"/>
    </x:row>
    <x:row r="124">
      <x:c r="A124" s="50" t="str">
        <x:v>Professional Domain</x:v>
      </x:c>
      <x:c r="B124" s="50" t="str">
        <x:v>Simulation</x:v>
      </x:c>
      <x:c r="C124" s="50" t="str">
        <x:v>P72</x:v>
      </x:c>
      <x:c r="D124" s="50" t="str">
        <x:v>PHS</x:v>
      </x:c>
      <x:c r="E124" s="50" t="str">
        <x:v>Simulation / 虚实协同｜HIL / SIL与混合仿真</x:v>
      </x:c>
      <x:c r="F124" s="50" t="str">
        <x:v>HIL SIL</x:v>
      </x:c>
      <x:c r="G124" s="50" t="n">
        <x:v>6</x:v>
      </x:c>
      <x:c r="H124" s="4"/>
      <x:c r="I124" s="4"/>
      <x:c r="J124" s="4"/>
      <x:c r="K124" s="4"/>
      <x:c r="L124" s="4"/>
      <x:c r="M124" s="4"/>
      <x:c r="N124" s="4"/>
      <x:c r="O124" s="4"/>
      <x:c r="P124" s="4"/>
      <x:c r="Q124" s="4"/>
    </x:row>
    <x:row r="125">
      <x:c r="A125" s="50" t="str">
        <x:v>Professional Domain</x:v>
      </x:c>
      <x:c r="B125" s="50" t="str">
        <x:v>Simulation</x:v>
      </x:c>
      <x:c r="C125" s="50" t="str">
        <x:v>P73</x:v>
      </x:c>
      <x:c r="D125" s="50" t="str">
        <x:v>PDT</x:v>
      </x:c>
      <x:c r="E125" s="50" t="str">
        <x:v>Simulation / 虚实协同｜数字孪生、同步与偏差监测</x:v>
      </x:c>
      <x:c r="F125" s="50" t="str">
        <x:v>Digital Twins</x:v>
      </x:c>
      <x:c r="G125" s="50" t="n">
        <x:v>8</x:v>
      </x:c>
      <x:c r="H125" s="4"/>
      <x:c r="I125" s="4"/>
      <x:c r="J125" s="4"/>
      <x:c r="K125" s="4"/>
      <x:c r="L125" s="4"/>
      <x:c r="M125" s="4"/>
      <x:c r="N125" s="4"/>
      <x:c r="O125" s="4"/>
      <x:c r="P125" s="4"/>
      <x:c r="Q125" s="4"/>
    </x:row>
    <x:row r="126">
      <x:c r="A126" s="4"/>
      <x:c r="B126" s="4"/>
      <x:c r="C126" s="4"/>
      <x:c r="D126" s="4"/>
      <x:c r="E126" s="4"/>
      <x:c r="F126" s="4"/>
      <x:c r="G126" s="4"/>
      <x:c r="H126" s="4"/>
      <x:c r="I126" s="4"/>
      <x:c r="J126" s="4"/>
      <x:c r="K126" s="4"/>
      <x:c r="L126" s="4"/>
      <x:c r="M126" s="4"/>
      <x:c r="N126" s="4"/>
      <x:c r="O126" s="4"/>
      <x:c r="P126" s="4"/>
      <x:c r="Q126" s="4"/>
    </x:row>
    <x:row r="127">
      <x:c r="A127" s="4"/>
      <x:c r="B127" s="4"/>
      <x:c r="C127" s="4"/>
      <x:c r="D127" s="4"/>
      <x:c r="E127" s="4"/>
      <x:c r="F127" s="4"/>
      <x:c r="G127" s="4"/>
      <x:c r="H127" s="4"/>
      <x:c r="I127" s="4"/>
      <x:c r="J127" s="4"/>
      <x:c r="K127" s="4"/>
      <x:c r="L127" s="4"/>
      <x:c r="M127" s="4"/>
      <x:c r="N127" s="4"/>
      <x:c r="O127" s="4"/>
      <x:c r="P127" s="4"/>
      <x:c r="Q127" s="4"/>
    </x:row>
    <x:row r="128">
      <x:c r="A128" s="4"/>
      <x:c r="B128" s="4"/>
      <x:c r="C128" s="4"/>
      <x:c r="D128" s="4"/>
      <x:c r="E128" s="4"/>
      <x:c r="F128" s="4"/>
      <x:c r="G128" s="4"/>
      <x:c r="H128" s="4"/>
      <x:c r="I128" s="4"/>
      <x:c r="J128" s="4"/>
      <x:c r="K128" s="4"/>
      <x:c r="L128" s="4"/>
      <x:c r="M128" s="4"/>
      <x:c r="N128" s="4"/>
      <x:c r="O128" s="4"/>
      <x:c r="P128" s="4"/>
      <x:c r="Q128" s="4"/>
    </x:row>
    <x:row r="129">
      <x:c r="A129" s="4"/>
      <x:c r="B129" s="4"/>
      <x:c r="C129" s="4"/>
      <x:c r="D129" s="4"/>
      <x:c r="E129" s="4"/>
      <x:c r="F129" s="4"/>
      <x:c r="G129" s="4"/>
      <x:c r="H129" s="4"/>
      <x:c r="I129" s="4"/>
      <x:c r="J129" s="4"/>
      <x:c r="K129" s="4"/>
      <x:c r="L129" s="4"/>
      <x:c r="M129" s="4"/>
      <x:c r="N129" s="4"/>
      <x:c r="O129" s="4"/>
      <x:c r="P129" s="4"/>
      <x:c r="Q129" s="4"/>
    </x:row>
    <x:row r="130">
      <x:c r="A130" s="4"/>
      <x:c r="B130" s="4"/>
      <x:c r="C130" s="4"/>
      <x:c r="D130" s="4"/>
      <x:c r="E130" s="4"/>
      <x:c r="F130" s="4"/>
      <x:c r="G130" s="4"/>
      <x:c r="H130" s="4"/>
      <x:c r="I130" s="4"/>
      <x:c r="J130" s="4"/>
      <x:c r="K130" s="4"/>
      <x:c r="L130" s="4"/>
      <x:c r="M130" s="4"/>
      <x:c r="N130" s="4"/>
      <x:c r="O130" s="4"/>
      <x:c r="P130" s="4"/>
      <x:c r="Q130" s="4"/>
    </x:row>
    <x:row r="131">
      <x:c r="A131" s="4"/>
      <x:c r="B131" s="4"/>
      <x:c r="C131" s="4"/>
      <x:c r="D131" s="4"/>
      <x:c r="E131" s="4"/>
      <x:c r="F131" s="4"/>
      <x:c r="G131" s="4"/>
      <x:c r="H131" s="4"/>
      <x:c r="I131" s="4"/>
      <x:c r="J131" s="4"/>
      <x:c r="K131" s="4"/>
      <x:c r="L131" s="4"/>
      <x:c r="M131" s="4"/>
      <x:c r="N131" s="4"/>
      <x:c r="O131" s="4"/>
      <x:c r="P131" s="4"/>
      <x:c r="Q131" s="4"/>
    </x:row>
    <x:row r="132">
      <x:c r="A132" s="4"/>
      <x:c r="B132" s="4"/>
      <x:c r="C132" s="4"/>
      <x:c r="D132" s="4"/>
      <x:c r="E132" s="4"/>
      <x:c r="F132" s="4"/>
      <x:c r="G132" s="4"/>
      <x:c r="H132" s="4"/>
      <x:c r="I132" s="4"/>
      <x:c r="J132" s="4"/>
      <x:c r="K132" s="4"/>
      <x:c r="L132" s="4"/>
      <x:c r="M132" s="4"/>
      <x:c r="N132" s="4"/>
      <x:c r="O132" s="4"/>
      <x:c r="P132" s="4"/>
      <x:c r="Q132" s="4"/>
    </x:row>
    <x:row r="133">
      <x:c r="A133" s="4"/>
      <x:c r="B133" s="4"/>
      <x:c r="C133" s="4"/>
      <x:c r="D133" s="4"/>
      <x:c r="E133" s="4"/>
      <x:c r="F133" s="4"/>
      <x:c r="G133" s="4"/>
      <x:c r="H133" s="4"/>
      <x:c r="I133" s="4"/>
      <x:c r="J133" s="4"/>
      <x:c r="K133" s="4"/>
      <x:c r="L133" s="4"/>
      <x:c r="M133" s="4"/>
      <x:c r="N133" s="4"/>
      <x:c r="O133" s="4"/>
      <x:c r="P133" s="4"/>
      <x:c r="Q133" s="4"/>
    </x:row>
    <x:row r="134">
      <x:c r="A134" s="4"/>
      <x:c r="B134" s="4"/>
      <x:c r="C134" s="4"/>
      <x:c r="D134" s="4"/>
      <x:c r="E134" s="4"/>
      <x:c r="F134" s="4"/>
      <x:c r="G134" s="4"/>
      <x:c r="H134" s="4"/>
      <x:c r="I134" s="4"/>
      <x:c r="J134" s="4"/>
      <x:c r="K134" s="4"/>
      <x:c r="L134" s="4"/>
      <x:c r="M134" s="4"/>
      <x:c r="N134" s="4"/>
      <x:c r="O134" s="4"/>
      <x:c r="P134" s="4"/>
      <x:c r="Q134" s="4"/>
    </x:row>
    <x:row r="135">
      <x:c r="A135" s="4"/>
      <x:c r="B135" s="4"/>
      <x:c r="C135" s="4"/>
      <x:c r="D135" s="4"/>
      <x:c r="E135" s="4"/>
      <x:c r="F135" s="4"/>
      <x:c r="G135" s="4"/>
      <x:c r="H135" s="4"/>
      <x:c r="I135" s="4"/>
      <x:c r="J135" s="4"/>
      <x:c r="K135" s="4"/>
      <x:c r="L135" s="4"/>
      <x:c r="M135" s="4"/>
      <x:c r="N135" s="4"/>
      <x:c r="O135" s="4"/>
      <x:c r="P135" s="4"/>
      <x:c r="Q135" s="4"/>
    </x:row>
    <x:row r="136">
      <x:c r="A136" s="4"/>
      <x:c r="B136" s="4"/>
      <x:c r="C136" s="4"/>
      <x:c r="D136" s="4"/>
      <x:c r="E136" s="4"/>
      <x:c r="F136" s="4"/>
      <x:c r="G136" s="4"/>
      <x:c r="H136" s="4"/>
      <x:c r="I136" s="4"/>
      <x:c r="J136" s="4"/>
      <x:c r="K136" s="4"/>
      <x:c r="L136" s="4"/>
      <x:c r="M136" s="4"/>
      <x:c r="N136" s="4"/>
      <x:c r="O136" s="4"/>
      <x:c r="P136" s="4"/>
      <x:c r="Q136" s="4"/>
    </x:row>
    <x:row r="137">
      <x:c r="A137" s="4"/>
      <x:c r="B137" s="4"/>
      <x:c r="C137" s="4"/>
      <x:c r="D137" s="4"/>
      <x:c r="E137" s="4"/>
      <x:c r="F137" s="4"/>
      <x:c r="G137" s="4"/>
      <x:c r="H137" s="4"/>
      <x:c r="I137" s="4"/>
      <x:c r="J137" s="4"/>
      <x:c r="K137" s="4"/>
      <x:c r="L137" s="4"/>
      <x:c r="M137" s="4"/>
      <x:c r="N137" s="4"/>
      <x:c r="O137" s="4"/>
      <x:c r="P137" s="4"/>
      <x:c r="Q137" s="4"/>
    </x:row>
    <x:row r="138">
      <x:c r="A138" s="4"/>
      <x:c r="B138" s="4"/>
      <x:c r="C138" s="4"/>
      <x:c r="D138" s="4"/>
      <x:c r="E138" s="4"/>
      <x:c r="F138" s="4"/>
      <x:c r="G138" s="4"/>
      <x:c r="H138" s="4"/>
      <x:c r="I138" s="4"/>
      <x:c r="J138" s="4"/>
      <x:c r="K138" s="4"/>
      <x:c r="L138" s="4"/>
      <x:c r="M138" s="4"/>
      <x:c r="N138" s="4"/>
      <x:c r="O138" s="4"/>
      <x:c r="P138" s="4"/>
      <x:c r="Q138" s="4"/>
    </x:row>
    <x:row r="139">
      <x:c r="A139" s="4"/>
      <x:c r="B139" s="4"/>
      <x:c r="C139" s="4"/>
      <x:c r="D139" s="4"/>
      <x:c r="E139" s="4"/>
      <x:c r="F139" s="4"/>
      <x:c r="G139" s="4"/>
      <x:c r="H139" s="4"/>
      <x:c r="I139" s="4"/>
      <x:c r="J139" s="4"/>
      <x:c r="K139" s="4"/>
      <x:c r="L139" s="4"/>
      <x:c r="M139" s="4"/>
      <x:c r="N139" s="4"/>
      <x:c r="O139" s="4"/>
      <x:c r="P139" s="4"/>
      <x:c r="Q139" s="4"/>
    </x:row>
  </x:sheetData>
  <x:mergeCells>
    <x:mergeCell ref="A1:O1"/>
    <x:mergeCell ref="A2:O2"/>
    <x:mergeCell ref="A3:O3"/>
    <x:mergeCell ref="A5:G5"/>
    <x:mergeCell ref="I5:O5"/>
    <x:mergeCell ref="A51:O51"/>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1" topLeftCell="C12" activePane="bottomRight" state="frozen"/>
    </x:sheetView>
  </x:sheetViews>
  <x:sheetFormatPr defaultRowHeight="15"/>
  <x:cols>
    <x:col min="1" max="1" width="12.5" hidden="0" customWidth="1"/>
    <x:col min="2" max="2" width="35.380001068115234" hidden="0" customWidth="1"/>
    <x:col min="3" max="3" width="9.75" hidden="0" customWidth="1"/>
    <x:col min="4" max="4" width="29.3799991607666" hidden="0" customWidth="1"/>
    <x:col min="5" max="5" width="10.130000114440918" hidden="0" customWidth="1"/>
    <x:col min="6" max="6" width="7.380000114440918" hidden="0" customWidth="1"/>
    <x:col min="7" max="7" width="7.5" hidden="0" customWidth="1"/>
    <x:col min="8" max="8" width="7.5" hidden="0" customWidth="1"/>
    <x:col min="9" max="9" width="8.75" hidden="0" customWidth="1"/>
    <x:col min="10" max="10" width="8.75" hidden="0" customWidth="1"/>
    <x:col min="11" max="11" width="9.75" hidden="0" customWidth="1"/>
    <x:col min="12" max="12" width="30" hidden="0" customWidth="1"/>
    <x:col min="13" max="13" width="27.5" hidden="0" customWidth="1"/>
    <x:col min="14" max="14" width="22.25" hidden="0" customWidth="1"/>
  </x:cols>
  <x:sheetData>
    <x:row r="1" ht="33" customHeight="1">
      <x:c r="A1" s="227" t="str">
        <x:v>CxVisual | 解决方案、项目、子方面与类型数量总览 V6.4</x:v>
      </x:c>
      <x:c r="B1" s="227"/>
      <x:c r="C1" s="227"/>
      <x:c r="D1" s="227"/>
      <x:c r="E1" s="227"/>
      <x:c r="F1" s="227"/>
      <x:c r="G1" s="227"/>
      <x:c r="H1" s="227"/>
      <x:c r="I1" s="227"/>
      <x:c r="J1" s="227"/>
      <x:c r="K1" s="227"/>
      <x:c r="L1" s="227"/>
      <x:c r="M1" s="227"/>
      <x:c r="N1" s="227"/>
    </x:row>
    <x:row r="2" ht="18.75" customHeight="1">
      <x:c r="A2" s="221" t="str">
        <x:v>架构精髓：各方面都尽能力展现，便捷友好尽支撑各专业达到目标。</x:v>
      </x:c>
      <x:c r="B2" s="221"/>
      <x:c r="C2" s="221"/>
      <x:c r="D2" s="221"/>
      <x:c r="E2" s="221"/>
      <x:c r="F2" s="221"/>
      <x:c r="G2" s="221"/>
      <x:c r="H2" s="221"/>
      <x:c r="I2" s="221"/>
      <x:c r="J2" s="221"/>
      <x:c r="K2" s="221"/>
      <x:c r="L2" s="221"/>
      <x:c r="M2" s="221"/>
      <x:c r="N2" s="221"/>
    </x:row>
    <x:row r="3" ht="30" customHeight="1">
      <x:c r="A3" s="223" t="str">
        <x:v>统一方案：Foundation 8项目 + Mechanism 9项目 + 其他11个规划项目。17个F/M项目包含22+40子方面；计数是审核记录，不代表通过编译或测试。</x:v>
      </x:c>
      <x:c r="B3" s="223"/>
      <x:c r="C3" s="223"/>
      <x:c r="D3" s="223"/>
      <x:c r="E3" s="223"/>
      <x:c r="F3" s="223"/>
      <x:c r="G3" s="223"/>
      <x:c r="H3" s="223"/>
      <x:c r="I3" s="223"/>
      <x:c r="J3" s="223"/>
      <x:c r="K3" s="223"/>
      <x:c r="L3" s="223"/>
      <x:c r="M3" s="223"/>
      <x:c r="N3" s="223"/>
    </x:row>
    <x:row r="4" ht="30" customHeight="1">
      <x:c r="A4" s="223" t="str">
        <x:v>证据：V4.9候选、V1.19/V2.01历史归属、V7.8词法声明；项目页O列写入逐对象来源匹配，H/J/C中有原始成员/类型线索。</x:v>
      </x:c>
      <x:c r="B4" s="223"/>
      <x:c r="C4" s="223"/>
      <x:c r="D4" s="223"/>
      <x:c r="E4" s="223"/>
      <x:c r="F4" s="223"/>
      <x:c r="G4" s="223"/>
      <x:c r="H4" s="223"/>
      <x:c r="I4" s="223"/>
      <x:c r="J4" s="223"/>
      <x:c r="K4" s="223"/>
      <x:c r="L4" s="223"/>
      <x:c r="M4" s="223"/>
      <x:c r="N4" s="223"/>
    </x:row>
    <x:row r="5" ht="22.5" customHeight="1">
      <x:c r="A5" s="226" t="str">
        <x:v>一、解决方案</x:v>
      </x:c>
      <x:c r="B5" s="226"/>
      <x:c r="C5" s="226"/>
      <x:c r="D5" s="226"/>
      <x:c r="E5" s="226"/>
      <x:c r="F5" s="226"/>
      <x:c r="G5" s="226"/>
      <x:c r="H5" s="226"/>
      <x:c r="I5" s="226"/>
      <x:c r="J5" s="226"/>
      <x:c r="K5" s="226"/>
      <x:c r="L5" s="226"/>
      <x:c r="M5" s="226"/>
      <x:c r="N5" s="226"/>
    </x:row>
    <x:row r="6" ht="31.5" customHeight="1">
      <x:c r="A6" s="212" t="str">
        <x:v>解决方案</x:v>
      </x:c>
      <x:c r="B6" s="212" t="str">
        <x:v>包含内容</x:v>
      </x:c>
      <x:c r="C6" s="212" t="str">
        <x:v>项目数</x:v>
      </x:c>
      <x:c r="D6" s="212" t="str">
        <x:v>用途</x:v>
      </x:c>
      <x:c r="E6" s="212"/>
      <x:c r="F6" s="212"/>
      <x:c r="G6" s="212"/>
      <x:c r="H6" s="212"/>
      <x:c r="I6" s="212"/>
      <x:c r="J6" s="212"/>
      <x:c r="K6" s="212"/>
      <x:c r="L6" s="212"/>
      <x:c r="M6" s="212"/>
      <x:c r="N6" s="212"/>
    </x:row>
    <x:row r="7" ht="33" customHeight="1">
      <x:c r="A7" s="204" t="str">
        <x:v>CxVisual.Unified.sln</x:v>
      </x:c>
      <x:c r="B7" s="204" t="str">
        <x:v>F 8 + M 9 + Professional 6 + Applications 2 + Intelligence 1 + Tests 2</x:v>
      </x:c>
      <x:c r="C7" s="204" t="n">
        <x:v>28</x:v>
      </x:c>
      <x:c r="D7" s="204" t="str">
        <x:v>全平台构建与集成测试</x:v>
      </x:c>
      <x:c r="E7" s="204"/>
      <x:c r="F7" s="204"/>
      <x:c r="G7" s="204"/>
      <x:c r="H7" s="204"/>
      <x:c r="I7" s="204"/>
      <x:c r="J7" s="204"/>
      <x:c r="K7" s="204"/>
      <x:c r="L7" s="204"/>
      <x:c r="M7" s="204"/>
      <x:c r="N7" s="204"/>
    </x:row>
    <x:row r="8" ht="33" customHeight="1">
      <x:c r="A8" s="204" t="str">
        <x:v>CxVisual.Foundation.sln</x:v>
      </x:c>
      <x:c r="B8" s="204" t="str">
        <x:v>Foundation 8 + FoundationSmoke 1</x:v>
      </x:c>
      <x:c r="C8" s="204" t="n">
        <x:v>9</x:v>
      </x:c>
      <x:c r="D8" s="204" t="str">
        <x:v>基础计算及工程底座独立构建测试</x:v>
      </x:c>
      <x:c r="E8" s="204"/>
      <x:c r="F8" s="204"/>
      <x:c r="G8" s="204"/>
      <x:c r="H8" s="204"/>
      <x:c r="I8" s="204"/>
      <x:c r="J8" s="204"/>
      <x:c r="K8" s="204"/>
      <x:c r="L8" s="204"/>
      <x:c r="M8" s="204"/>
      <x:c r="N8" s="204"/>
    </x:row>
    <x:row r="9" ht="21.75" customHeight="1">
      <x:c r="A9" s="204"/>
      <x:c r="B9" s="204"/>
      <x:c r="C9" s="204"/>
      <x:c r="D9" s="204"/>
      <x:c r="E9" s="204"/>
      <x:c r="F9" s="204"/>
      <x:c r="G9" s="204"/>
      <x:c r="H9" s="204"/>
      <x:c r="I9" s="204"/>
      <x:c r="J9" s="204"/>
      <x:c r="K9" s="204"/>
      <x:c r="L9" s="204"/>
      <x:c r="M9" s="204"/>
      <x:c r="N9" s="204"/>
    </x:row>
    <x:row r="10" ht="22.5" customHeight="1">
      <x:c r="A10" s="226" t="str">
        <x:v>二、28个项目与子方面（源类型数量快照，仅统计候选/源码审核记录）</x:v>
      </x:c>
      <x:c r="B10" s="226"/>
      <x:c r="C10" s="226"/>
      <x:c r="D10" s="226"/>
      <x:c r="E10" s="226"/>
      <x:c r="F10" s="226"/>
      <x:c r="G10" s="226"/>
      <x:c r="H10" s="226"/>
      <x:c r="I10" s="226"/>
      <x:c r="J10" s="226"/>
      <x:c r="K10" s="226"/>
      <x:c r="L10" s="226"/>
      <x:c r="M10" s="226"/>
      <x:c r="N10" s="226"/>
    </x:row>
    <x:row r="11" ht="31.5" customHeight="1">
      <x:c r="A11" s="212" t="str">
        <x:v>架构方面</x:v>
      </x:c>
      <x:c r="B11" s="212" t="str">
        <x:v>项目完整名称</x:v>
      </x:c>
      <x:c r="C11" s="212" t="str">
        <x:v>子方面ID</x:v>
      </x:c>
      <x:c r="D11" s="212" t="str">
        <x:v>子方面中文 / 英文名称</x:v>
      </x:c>
      <x:c r="E11" s="212" t="str">
        <x:v>记录数量</x:v>
      </x:c>
      <x:c r="F11" s="212" t="str">
        <x:v>类</x:v>
      </x:c>
      <x:c r="G11" s="212" t="str">
        <x:v>接口</x:v>
      </x:c>
      <x:c r="H11" s="212" t="str">
        <x:v>枚举</x:v>
      </x:c>
      <x:c r="I11" s="212" t="str">
        <x:v>结构体</x:v>
      </x:c>
      <x:c r="J11" s="212" t="str">
        <x:v>形态待核</x:v>
      </x:c>
      <x:c r="K11" s="212" t="str">
        <x:v>子方面数</x:v>
      </x:c>
      <x:c r="L11" s="212" t="str">
        <x:v>项目核心职责</x:v>
      </x:c>
      <x:c r="M11" s="212" t="str">
        <x:v>直接依赖</x:v>
      </x:c>
      <x:c r="N11" s="212" t="str">
        <x:v>备注</x:v>
      </x:c>
    </x:row>
    <x:row r="12" ht="36.75" customHeight="1">
      <x:c r="A12" s="204" t="str">
        <x:v>Foundation</x:v>
      </x:c>
      <x:c r="B12" s="204" t="str">
        <x:v>CxVisual.Foundation.Core</x:v>
      </x:c>
      <x:c r="C12" s="204" t="str">
        <x:v>项目合计</x:v>
      </x:c>
      <x:c r="D12" s="204" t="str">
        <x:v>下方列出子方面</x:v>
      </x:c>
      <x:c r="E12" s="204" t="n">
        <x:f>COUNTA('F_Core'!$C$6:$C$61)</x:f>
        <x:v>56</x:v>
      </x:c>
      <x:c r="F12" s="204" t="n">
        <x:f>COUNTIF('F_Core'!$J$6:$J$61,"类")+COUNTIF('F_Core'!$J$6:$J$61,"静态类")+COUNTIF('F_Core'!$J$6:$J$61,"class")+COUNTIF('F_Core'!$J$6:$J$61,"sealed class")+COUNTIF('F_Core'!$J$6:$J$61,"abstract class")</x:f>
        <x:v>31</x:v>
      </x:c>
      <x:c r="G12" s="204" t="n">
        <x:f>COUNTIF('F_Core'!$J$6:$J$61,"接口")+COUNTIF('F_Core'!$J$6:$J$61,"interface")</x:f>
        <x:v>0</x:v>
      </x:c>
      <x:c r="H12" s="204" t="n">
        <x:f>COUNTIF('F_Core'!$J$6:$J$61,"枚举")+COUNTIF('F_Core'!$J$6:$J$61,"enum")</x:f>
        <x:v>1</x:v>
      </x:c>
      <x:c r="I12" s="204" t="n">
        <x:f>COUNTIF('F_Core'!$J$6:$J$61,"结构体")+COUNTIF('F_Core'!$J$6:$J$61,"struct")+COUNTIF('F_Core'!$J$6:$J$61,"readonly struct")</x:f>
        <x:v>0</x:v>
      </x:c>
      <x:c r="J12" s="204" t="n">
        <x:f>E12-SUM(F12:I12)</x:f>
        <x:v>24</x:v>
      </x:c>
      <x:c r="K12" s="204" t="n">
        <x:v>4</x:v>
      </x:c>
      <x:c r="L12" s="204" t="str">
        <x:v>对象/集合/时钟/量纲</x:v>
      </x:c>
      <x:c r="M12" s="204" t="str">
        <x:v>（基础；尽量无外部项目强依赖）</x:v>
      </x:c>
      <x:c r="N12" s="204" t="str">
        <x:v>历史/规划候选合计，待归属及验收</x:v>
      </x:c>
    </x:row>
    <x:row r="13" ht="36.75" customHeight="1">
      <x:c r="A13" s="204"/>
      <x:c r="B13" s="204"/>
      <x:c r="C13" s="204" t="str">
        <x:v>F01</x:v>
      </x:c>
      <x:c r="D13" s="204" t="str">
        <x:v>对象与类型｜标识、值语义与类型
Object Identity</x:v>
      </x:c>
      <x:c r="E13" s="204" t="n">
        <x:v>25</x:v>
      </x:c>
      <x:c r="F13" s="204" t="n">
        <x:v>17</x:v>
      </x:c>
      <x:c r="G13" s="204" t="n">
        <x:v>0</x:v>
      </x:c>
      <x:c r="H13" s="204" t="n">
        <x:v>1</x:v>
      </x:c>
      <x:c r="I13" s="204" t="n">
        <x:v>0</x:v>
      </x:c>
      <x:c r="J13" s="204" t="n">
        <x:v>7</x:v>
      </x:c>
      <x:c r="K13" s="204"/>
      <x:c r="L13" s="204"/>
      <x:c r="M13" s="204"/>
      <x:c r="N13" s="204" t="str">
        <x:v>子方面归属按V6.1裁决，旧类待复核</x:v>
      </x:c>
    </x:row>
    <x:row r="14" ht="36.75" customHeight="1">
      <x:c r="A14" s="204"/>
      <x:c r="B14" s="204"/>
      <x:c r="C14" s="204" t="str">
        <x:v>F02</x:v>
      </x:c>
      <x:c r="D14" s="204" t="str">
        <x:v>对象与类型｜集合、索引与结构
Collections Indexing</x:v>
      </x:c>
      <x:c r="E14" s="204" t="n">
        <x:v>14</x:v>
      </x:c>
      <x:c r="F14" s="204" t="n">
        <x:v>7</x:v>
      </x:c>
      <x:c r="G14" s="204" t="n">
        <x:v>0</x:v>
      </x:c>
      <x:c r="H14" s="204" t="n">
        <x:v>0</x:v>
      </x:c>
      <x:c r="I14" s="204" t="n">
        <x:v>0</x:v>
      </x:c>
      <x:c r="J14" s="204" t="n">
        <x:v>7</x:v>
      </x:c>
      <x:c r="K14" s="204"/>
      <x:c r="L14" s="204"/>
      <x:c r="M14" s="204"/>
      <x:c r="N14" s="204" t="str">
        <x:v>子方面归属按V6.1裁决，旧类待复核</x:v>
      </x:c>
    </x:row>
    <x:row r="15" ht="36.75" customHeight="1">
      <x:c r="A15" s="204"/>
      <x:c r="B15" s="204"/>
      <x:c r="C15" s="204" t="str">
        <x:v>F08</x:v>
      </x:c>
      <x:c r="D15" s="204" t="str">
        <x:v>时空与量纲｜时间与同步
Time Synchronization</x:v>
      </x:c>
      <x:c r="E15" s="204" t="n">
        <x:v>8</x:v>
      </x:c>
      <x:c r="F15" s="204" t="n">
        <x:v>3</x:v>
      </x:c>
      <x:c r="G15" s="204" t="n">
        <x:v>0</x:v>
      </x:c>
      <x:c r="H15" s="204" t="n">
        <x:v>0</x:v>
      </x:c>
      <x:c r="I15" s="204" t="n">
        <x:v>0</x:v>
      </x:c>
      <x:c r="J15" s="204" t="n">
        <x:v>5</x:v>
      </x:c>
      <x:c r="K15" s="204"/>
      <x:c r="L15" s="204"/>
      <x:c r="M15" s="204"/>
      <x:c r="N15" s="204" t="str">
        <x:v>子方面归属按V6.1裁决，旧类待复核</x:v>
      </x:c>
    </x:row>
    <x:row r="16" ht="36.75" customHeight="1">
      <x:c r="A16" s="204"/>
      <x:c r="B16" s="204"/>
      <x:c r="C16" s="204" t="str">
        <x:v>F09</x:v>
      </x:c>
      <x:c r="D16" s="204" t="str">
        <x:v>时空与量纲｜单位、误差与测量
Units Measurement</x:v>
      </x:c>
      <x:c r="E16" s="204" t="n">
        <x:v>9</x:v>
      </x:c>
      <x:c r="F16" s="204" t="n">
        <x:v>4</x:v>
      </x:c>
      <x:c r="G16" s="204" t="n">
        <x:v>0</x:v>
      </x:c>
      <x:c r="H16" s="204" t="n">
        <x:v>0</x:v>
      </x:c>
      <x:c r="I16" s="204" t="n">
        <x:v>0</x:v>
      </x:c>
      <x:c r="J16" s="204" t="n">
        <x:v>5</x:v>
      </x:c>
      <x:c r="K16" s="204"/>
      <x:c r="L16" s="204"/>
      <x:c r="M16" s="204"/>
      <x:c r="N16" s="204" t="str">
        <x:v>子方面归属按V6.1裁决，旧类待复核</x:v>
      </x:c>
    </x:row>
    <x:row r="17" ht="36.75" customHeight="1">
      <x:c r="A17" s="204" t="str">
        <x:v>Foundation</x:v>
      </x:c>
      <x:c r="B17" s="204" t="str">
        <x:v>CxVisual.Foundation.Numerics</x:v>
      </x:c>
      <x:c r="C17" s="204" t="str">
        <x:v>项目合计</x:v>
      </x:c>
      <x:c r="D17" s="204" t="str">
        <x:v>下方列出子方面</x:v>
      </x:c>
      <x:c r="E17" s="204" t="n">
        <x:f>COUNTA('F_Numerics'!$C$6:$C$49)</x:f>
        <x:v>44</x:v>
      </x:c>
      <x:c r="F17" s="204" t="n">
        <x:f>COUNTIF('F_Numerics'!$J$6:$J$49,"类")+COUNTIF('F_Numerics'!$J$6:$J$49,"静态类")+COUNTIF('F_Numerics'!$J$6:$J$49,"class")+COUNTIF('F_Numerics'!$J$6:$J$49,"sealed class")+COUNTIF('F_Numerics'!$J$6:$J$49,"abstract class")</x:f>
        <x:v>25</x:v>
      </x:c>
      <x:c r="G17" s="204" t="n">
        <x:f>COUNTIF('F_Numerics'!$J$6:$J$49,"接口")+COUNTIF('F_Numerics'!$J$6:$J$49,"interface")</x:f>
        <x:v>0</x:v>
      </x:c>
      <x:c r="H17" s="204" t="n">
        <x:f>COUNTIF('F_Numerics'!$J$6:$J$49,"枚举")+COUNTIF('F_Numerics'!$J$6:$J$49,"enum")</x:f>
        <x:v>0</x:v>
      </x:c>
      <x:c r="I17" s="204" t="n">
        <x:f>COUNTIF('F_Numerics'!$J$6:$J$49,"结构体")+COUNTIF('F_Numerics'!$J$6:$J$49,"struct")+COUNTIF('F_Numerics'!$J$6:$J$49,"readonly struct")</x:f>
        <x:v>0</x:v>
      </x:c>
      <x:c r="J17" s="204" t="n">
        <x:f>E17-SUM(F17:I17)</x:f>
        <x:v>19</x:v>
      </x:c>
      <x:c r="K17" s="204" t="n">
        <x:v>4</x:v>
      </x:c>
      <x:c r="L17" s="204" t="str">
        <x:v>数学优化/信号/张量</x:v>
      </x:c>
      <x:c r="M17" s="204" t="str">
        <x:v>Foundation.Core（按需）</x:v>
      </x:c>
      <x:c r="N17" s="204" t="str">
        <x:v>历史/规划候选合计，待归属及验收</x:v>
      </x:c>
    </x:row>
    <x:row r="18" ht="36.75" customHeight="1">
      <x:c r="A18" s="204"/>
      <x:c r="B18" s="204"/>
      <x:c r="C18" s="204" t="str">
        <x:v>F03</x:v>
      </x:c>
      <x:c r="D18" s="204" t="str">
        <x:v>数学与数值｜标量、向量与矩阵
Linear Algebra</x:v>
      </x:c>
      <x:c r="E18" s="204" t="n">
        <x:v>14</x:v>
      </x:c>
      <x:c r="F18" s="204" t="n">
        <x:v>5</x:v>
      </x:c>
      <x:c r="G18" s="204" t="n">
        <x:v>0</x:v>
      </x:c>
      <x:c r="H18" s="204" t="n">
        <x:v>0</x:v>
      </x:c>
      <x:c r="I18" s="204" t="n">
        <x:v>0</x:v>
      </x:c>
      <x:c r="J18" s="204" t="n">
        <x:v>9</x:v>
      </x:c>
      <x:c r="K18" s="204"/>
      <x:c r="L18" s="204"/>
      <x:c r="M18" s="204"/>
      <x:c r="N18" s="204" t="str">
        <x:v>子方面归属按V6.1裁决，旧类待复核</x:v>
      </x:c>
    </x:row>
    <x:row r="19" ht="36.75" customHeight="1">
      <x:c r="A19" s="204"/>
      <x:c r="B19" s="204"/>
      <x:c r="C19" s="204" t="str">
        <x:v>F04</x:v>
      </x:c>
      <x:c r="D19" s="204" t="str">
        <x:v>数学与数值｜数值求解与优化
Numerical Optimization</x:v>
      </x:c>
      <x:c r="E19" s="204" t="n">
        <x:v>10</x:v>
      </x:c>
      <x:c r="F19" s="204" t="n">
        <x:v>9</x:v>
      </x:c>
      <x:c r="G19" s="204" t="n">
        <x:v>0</x:v>
      </x:c>
      <x:c r="H19" s="204" t="n">
        <x:v>0</x:v>
      </x:c>
      <x:c r="I19" s="204" t="n">
        <x:v>0</x:v>
      </x:c>
      <x:c r="J19" s="204" t="n">
        <x:v>1</x:v>
      </x:c>
      <x:c r="K19" s="204"/>
      <x:c r="L19" s="204"/>
      <x:c r="M19" s="204"/>
      <x:c r="N19" s="204" t="str">
        <x:v>子方面归属按V6.1裁决，旧类待复核</x:v>
      </x:c>
    </x:row>
    <x:row r="20" ht="36.75" customHeight="1">
      <x:c r="A20" s="204"/>
      <x:c r="B20" s="204"/>
      <x:c r="C20" s="204" t="str">
        <x:v>F10</x:v>
      </x:c>
      <x:c r="D20" s="204" t="str">
        <x:v>信号与采样｜离散采样与时频
Signal Processing</x:v>
      </x:c>
      <x:c r="E20" s="204" t="n">
        <x:v>11</x:v>
      </x:c>
      <x:c r="F20" s="204" t="n">
        <x:v>7</x:v>
      </x:c>
      <x:c r="G20" s="204" t="n">
        <x:v>0</x:v>
      </x:c>
      <x:c r="H20" s="204" t="n">
        <x:v>0</x:v>
      </x:c>
      <x:c r="I20" s="204" t="n">
        <x:v>0</x:v>
      </x:c>
      <x:c r="J20" s="204" t="n">
        <x:v>4</x:v>
      </x:c>
      <x:c r="K20" s="204"/>
      <x:c r="L20" s="204"/>
      <x:c r="M20" s="204"/>
      <x:c r="N20" s="204" t="str">
        <x:v>子方面归属按V6.1裁决，旧类待复核</x:v>
      </x:c>
    </x:row>
    <x:row r="21" ht="36.75" customHeight="1">
      <x:c r="A21" s="204"/>
      <x:c r="B21" s="204"/>
      <x:c r="C21" s="204" t="str">
        <x:v>F13</x:v>
      </x:c>
      <x:c r="D21" s="204" t="str">
        <x:v>AI张量与数值｜张量类型与运算
Tensor Operations</x:v>
      </x:c>
      <x:c r="E21" s="204" t="n">
        <x:v>9</x:v>
      </x:c>
      <x:c r="F21" s="204" t="n">
        <x:v>4</x:v>
      </x:c>
      <x:c r="G21" s="204" t="n">
        <x:v>0</x:v>
      </x:c>
      <x:c r="H21" s="204" t="n">
        <x:v>0</x:v>
      </x:c>
      <x:c r="I21" s="204" t="n">
        <x:v>0</x:v>
      </x:c>
      <x:c r="J21" s="204" t="n">
        <x:v>5</x:v>
      </x:c>
      <x:c r="K21" s="204"/>
      <x:c r="L21" s="204"/>
      <x:c r="M21" s="204"/>
      <x:c r="N21" s="204" t="str">
        <x:v>子方面归属按V6.1裁决，旧类待复核</x:v>
      </x:c>
    </x:row>
    <x:row r="22" ht="36.75" customHeight="1">
      <x:c r="A22" s="204" t="str">
        <x:v>Foundation</x:v>
      </x:c>
      <x:c r="B22" s="204" t="str">
        <x:v>CxVisual.Foundation.Geometry</x:v>
      </x:c>
      <x:c r="C22" s="204" t="str">
        <x:v>项目合计</x:v>
      </x:c>
      <x:c r="D22" s="204" t="str">
        <x:v>下方列出子方面</x:v>
      </x:c>
      <x:c r="E22" s="204" t="n">
        <x:f>COUNTA('F_Geometry'!$C$6:$C$49)</x:f>
        <x:v>44</x:v>
      </x:c>
      <x:c r="F22" s="204" t="n">
        <x:f>COUNTIF('F_Geometry'!$J$6:$J$49,"类")+COUNTIF('F_Geometry'!$J$6:$J$49,"静态类")+COUNTIF('F_Geometry'!$J$6:$J$49,"class")+COUNTIF('F_Geometry'!$J$6:$J$49,"sealed class")+COUNTIF('F_Geometry'!$J$6:$J$49,"abstract class")</x:f>
        <x:v>11</x:v>
      </x:c>
      <x:c r="G22" s="204" t="n">
        <x:f>COUNTIF('F_Geometry'!$J$6:$J$49,"接口")+COUNTIF('F_Geometry'!$J$6:$J$49,"interface")</x:f>
        <x:v>0</x:v>
      </x:c>
      <x:c r="H22" s="204" t="n">
        <x:f>COUNTIF('F_Geometry'!$J$6:$J$49,"枚举")+COUNTIF('F_Geometry'!$J$6:$J$49,"enum")</x:f>
        <x:v>0</x:v>
      </x:c>
      <x:c r="I22" s="204" t="n">
        <x:f>COUNTIF('F_Geometry'!$J$6:$J$49,"结构体")+COUNTIF('F_Geometry'!$J$6:$J$49,"struct")+COUNTIF('F_Geometry'!$J$6:$J$49,"readonly struct")</x:f>
        <x:v>0</x:v>
      </x:c>
      <x:c r="J22" s="204" t="n">
        <x:f>E22-SUM(F22:I22)</x:f>
        <x:v>33</x:v>
      </x:c>
      <x:c r="K22" s="204" t="n">
        <x:v>3</x:v>
      </x:c>
      <x:c r="L22" s="204" t="str">
        <x:v>2D/3D几何与变换</x:v>
      </x:c>
      <x:c r="M22" s="204" t="str">
        <x:v>Foundation.Numerics、Foundation.Core（按需）</x:v>
      </x:c>
      <x:c r="N22" s="204" t="str">
        <x:v>历史/规划候选合计，待归属及验收</x:v>
      </x:c>
    </x:row>
    <x:row r="23" ht="36.75" customHeight="1">
      <x:c r="A23" s="204"/>
      <x:c r="B23" s="204"/>
      <x:c r="C23" s="204" t="str">
        <x:v>F05</x:v>
      </x:c>
      <x:c r="D23" s="204" t="str">
        <x:v>几何与空间｜二维几何图元
Planar Geometry</x:v>
      </x:c>
      <x:c r="E23" s="204" t="n">
        <x:v>12</x:v>
      </x:c>
      <x:c r="F23" s="204" t="n">
        <x:v>1</x:v>
      </x:c>
      <x:c r="G23" s="204" t="n">
        <x:v>0</x:v>
      </x:c>
      <x:c r="H23" s="204" t="n">
        <x:v>0</x:v>
      </x:c>
      <x:c r="I23" s="204" t="n">
        <x:v>0</x:v>
      </x:c>
      <x:c r="J23" s="204" t="n">
        <x:v>11</x:v>
      </x:c>
      <x:c r="K23" s="204"/>
      <x:c r="L23" s="204"/>
      <x:c r="M23" s="204"/>
      <x:c r="N23" s="204" t="str">
        <x:v>子方面归属按V6.1裁决，旧类待复核</x:v>
      </x:c>
    </x:row>
    <x:row r="24" ht="36.75" customHeight="1">
      <x:c r="A24" s="204"/>
      <x:c r="B24" s="204"/>
      <x:c r="C24" s="204" t="str">
        <x:v>F06</x:v>
      </x:c>
      <x:c r="D24" s="204" t="str">
        <x:v>几何与空间｜三维几何图元
Spatial Geometry</x:v>
      </x:c>
      <x:c r="E24" s="204" t="n">
        <x:v>12</x:v>
      </x:c>
      <x:c r="F24" s="204" t="n">
        <x:v>1</x:v>
      </x:c>
      <x:c r="G24" s="204" t="n">
        <x:v>0</x:v>
      </x:c>
      <x:c r="H24" s="204" t="n">
        <x:v>0</x:v>
      </x:c>
      <x:c r="I24" s="204" t="n">
        <x:v>0</x:v>
      </x:c>
      <x:c r="J24" s="204" t="n">
        <x:v>11</x:v>
      </x:c>
      <x:c r="K24" s="204"/>
      <x:c r="L24" s="204"/>
      <x:c r="M24" s="204"/>
      <x:c r="N24" s="204" t="str">
        <x:v>子方面归属按V6.1裁决，旧类待复核</x:v>
      </x:c>
    </x:row>
    <x:row r="25" ht="36.75" customHeight="1">
      <x:c r="A25" s="204"/>
      <x:c r="B25" s="204"/>
      <x:c r="C25" s="204" t="str">
        <x:v>F07</x:v>
      </x:c>
      <x:c r="D25" s="204" t="str">
        <x:v>几何与空间｜坐标框架与空间变换
Coordinate Transform</x:v>
      </x:c>
      <x:c r="E25" s="204" t="n">
        <x:v>20</x:v>
      </x:c>
      <x:c r="F25" s="204" t="n">
        <x:v>9</x:v>
      </x:c>
      <x:c r="G25" s="204" t="n">
        <x:v>0</x:v>
      </x:c>
      <x:c r="H25" s="204" t="n">
        <x:v>0</x:v>
      </x:c>
      <x:c r="I25" s="204" t="n">
        <x:v>0</x:v>
      </x:c>
      <x:c r="J25" s="204" t="n">
        <x:v>11</x:v>
      </x:c>
      <x:c r="K25" s="204"/>
      <x:c r="L25" s="204"/>
      <x:c r="M25" s="204"/>
      <x:c r="N25" s="204" t="str">
        <x:v>子方面归属按V6.1裁决，旧类待复核</x:v>
      </x:c>
    </x:row>
    <x:row r="26" ht="36.75" customHeight="1">
      <x:c r="A26" s="204" t="str">
        <x:v>Foundation</x:v>
      </x:c>
      <x:c r="B26" s="204" t="str">
        <x:v>CxVisual.Foundation.Imaging</x:v>
      </x:c>
      <x:c r="C26" s="204" t="str">
        <x:v>项目合计</x:v>
      </x:c>
      <x:c r="D26" s="204" t="str">
        <x:v>下方列出子方面</x:v>
      </x:c>
      <x:c r="E26" s="204" t="n">
        <x:f>COUNTA('F_Imaging'!$C$6:$C$34)</x:f>
        <x:v>29</x:v>
      </x:c>
      <x:c r="F26" s="204" t="n">
        <x:f>COUNTIF('F_Imaging'!$J$6:$J$34,"类")+COUNTIF('F_Imaging'!$J$6:$J$34,"静态类")+COUNTIF('F_Imaging'!$J$6:$J$34,"class")+COUNTIF('F_Imaging'!$J$6:$J$34,"sealed class")+COUNTIF('F_Imaging'!$J$6:$J$34,"abstract class")</x:f>
        <x:v>16</x:v>
      </x:c>
      <x:c r="G26" s="204" t="n">
        <x:f>COUNTIF('F_Imaging'!$J$6:$J$34,"接口")+COUNTIF('F_Imaging'!$J$6:$J$34,"interface")</x:f>
        <x:v>0</x:v>
      </x:c>
      <x:c r="H26" s="204" t="n">
        <x:f>COUNTIF('F_Imaging'!$J$6:$J$34,"枚举")+COUNTIF('F_Imaging'!$J$6:$J$34,"enum")</x:f>
        <x:v>0</x:v>
      </x:c>
      <x:c r="I26" s="204" t="n">
        <x:f>COUNTIF('F_Imaging'!$J$6:$J$34,"结构体")+COUNTIF('F_Imaging'!$J$6:$J$34,"struct")+COUNTIF('F_Imaging'!$J$6:$J$34,"readonly struct")</x:f>
        <x:v>0</x:v>
      </x:c>
      <x:c r="J26" s="204" t="n">
        <x:f>E26-SUM(F26:I26)</x:f>
        <x:v>13</x:v>
      </x:c>
      <x:c r="K26" s="204" t="n">
        <x:v>2</x:v>
      </x:c>
      <x:c r="L26" s="204" t="str">
        <x:v>图像、颜色、基础2D呈现原语</x:v>
      </x:c>
      <x:c r="M26" s="204" t="str">
        <x:v>Foundation.Core / Foundation.Geometry（按需）</x:v>
      </x:c>
      <x:c r="N26" s="204" t="str">
        <x:v>历史/规划候选合计，待归属及验收</x:v>
      </x:c>
    </x:row>
    <x:row r="27" ht="36.75" customHeight="1">
      <x:c r="A27" s="204"/>
      <x:c r="B27" s="204"/>
      <x:c r="C27" s="204" t="str">
        <x:v>F11</x:v>
      </x:c>
      <x:c r="D27" s="204" t="str">
        <x:v>图像与像素｜图像空间及像素格式
Image Pixels</x:v>
      </x:c>
      <x:c r="E27" s="204" t="n">
        <x:v>16</x:v>
      </x:c>
      <x:c r="F27" s="204" t="n">
        <x:v>8</x:v>
      </x:c>
      <x:c r="G27" s="204" t="n">
        <x:v>0</x:v>
      </x:c>
      <x:c r="H27" s="204" t="n">
        <x:v>0</x:v>
      </x:c>
      <x:c r="I27" s="204" t="n">
        <x:v>0</x:v>
      </x:c>
      <x:c r="J27" s="204" t="n">
        <x:v>8</x:v>
      </x:c>
      <x:c r="K27" s="204"/>
      <x:c r="L27" s="204"/>
      <x:c r="M27" s="204"/>
      <x:c r="N27" s="204" t="str">
        <x:v>子方面归属按V6.1裁决，旧类待复核</x:v>
      </x:c>
    </x:row>
    <x:row r="28" ht="36.75" customHeight="1">
      <x:c r="A28" s="204"/>
      <x:c r="B28" s="204"/>
      <x:c r="C28" s="204" t="str">
        <x:v>F22</x:v>
      </x:c>
      <x:c r="D28" s="204" t="str">
        <x:v>渲染与颜色｜颜色、视口与基础排版
Color Rendering</x:v>
      </x:c>
      <x:c r="E28" s="204" t="n">
        <x:v>13</x:v>
      </x:c>
      <x:c r="F28" s="204" t="n">
        <x:v>8</x:v>
      </x:c>
      <x:c r="G28" s="204" t="n">
        <x:v>0</x:v>
      </x:c>
      <x:c r="H28" s="204" t="n">
        <x:v>0</x:v>
      </x:c>
      <x:c r="I28" s="204" t="n">
        <x:v>0</x:v>
      </x:c>
      <x:c r="J28" s="204" t="n">
        <x:v>5</x:v>
      </x:c>
      <x:c r="K28" s="204"/>
      <x:c r="L28" s="204"/>
      <x:c r="M28" s="204"/>
      <x:c r="N28" s="204" t="str">
        <x:v>子方面归属按V6.1裁决，旧类待复核</x:v>
      </x:c>
    </x:row>
    <x:row r="29" ht="36.75" customHeight="1">
      <x:c r="A29" s="204" t="str">
        <x:v>Foundation</x:v>
      </x:c>
      <x:c r="B29" s="204" t="str">
        <x:v>CxVisual.Foundation.Volume</x:v>
      </x:c>
      <x:c r="C29" s="204" t="str">
        <x:v>项目合计</x:v>
      </x:c>
      <x:c r="D29" s="204" t="str">
        <x:v>下方列出子方面</x:v>
      </x:c>
      <x:c r="E29" s="204" t="n">
        <x:f>COUNTA('F_Volume'!$C$6:$C$20)</x:f>
        <x:v>15</x:v>
      </x:c>
      <x:c r="F29" s="204" t="n">
        <x:f>COUNTIF('F_Volume'!$J$6:$J$20,"类")+COUNTIF('F_Volume'!$J$6:$J$20,"静态类")+COUNTIF('F_Volume'!$J$6:$J$20,"class")+COUNTIF('F_Volume'!$J$6:$J$20,"sealed class")+COUNTIF('F_Volume'!$J$6:$J$20,"abstract class")</x:f>
        <x:v>4</x:v>
      </x:c>
      <x:c r="G29" s="204" t="n">
        <x:f>COUNTIF('F_Volume'!$J$6:$J$20,"接口")+COUNTIF('F_Volume'!$J$6:$J$20,"interface")</x:f>
        <x:v>0</x:v>
      </x:c>
      <x:c r="H29" s="204" t="n">
        <x:f>COUNTIF('F_Volume'!$J$6:$J$20,"枚举")+COUNTIF('F_Volume'!$J$6:$J$20,"enum")</x:f>
        <x:v>0</x:v>
      </x:c>
      <x:c r="I29" s="204" t="n">
        <x:f>COUNTIF('F_Volume'!$J$6:$J$20,"结构体")+COUNTIF('F_Volume'!$J$6:$J$20,"struct")+COUNTIF('F_Volume'!$J$6:$J$20,"readonly struct")</x:f>
        <x:v>0</x:v>
      </x:c>
      <x:c r="J29" s="204" t="n">
        <x:f>E29-SUM(F29:I29)</x:f>
        <x:v>11</x:v>
      </x:c>
      <x:c r="K29" s="204" t="n">
        <x:v>1</x:v>
      </x:c>
      <x:c r="L29" s="204" t="str">
        <x:v>体数据、网格与独立3D基础</x:v>
      </x:c>
      <x:c r="M29" s="204" t="str">
        <x:v>Foundation.Geometry / Foundation.Imaging（按需）</x:v>
      </x:c>
      <x:c r="N29" s="204" t="str">
        <x:v>历史/规划候选合计，待归属及验收</x:v>
      </x:c>
    </x:row>
    <x:row r="30" ht="36.75" customHeight="1">
      <x:c r="A30" s="204"/>
      <x:c r="B30" s="204"/>
      <x:c r="C30" s="204" t="str">
        <x:v>F12</x:v>
      </x:c>
      <x:c r="D30" s="204" t="str">
        <x:v>三维与体素｜体数据与网格基础
Volume Meshes</x:v>
      </x:c>
      <x:c r="E30" s="204" t="n">
        <x:v>15</x:v>
      </x:c>
      <x:c r="F30" s="204" t="n">
        <x:v>4</x:v>
      </x:c>
      <x:c r="G30" s="204" t="n">
        <x:v>0</x:v>
      </x:c>
      <x:c r="H30" s="204" t="n">
        <x:v>0</x:v>
      </x:c>
      <x:c r="I30" s="204" t="n">
        <x:v>0</x:v>
      </x:c>
      <x:c r="J30" s="204" t="n">
        <x:v>11</x:v>
      </x:c>
      <x:c r="K30" s="204"/>
      <x:c r="L30" s="204"/>
      <x:c r="M30" s="204"/>
      <x:c r="N30" s="204" t="str">
        <x:v>子方面归属按V6.1裁决，旧类待复核</x:v>
      </x:c>
    </x:row>
    <x:row r="31" ht="36.75" customHeight="1">
      <x:c r="A31" s="204" t="str">
        <x:v>Foundation</x:v>
      </x:c>
      <x:c r="B31" s="204" t="str">
        <x:v>CxVisual.Foundation.Data</x:v>
      </x:c>
      <x:c r="C31" s="204" t="str">
        <x:v>项目合计</x:v>
      </x:c>
      <x:c r="D31" s="204" t="str">
        <x:v>下方列出子方面</x:v>
      </x:c>
      <x:c r="E31" s="204" t="n">
        <x:f>COUNTA('F_Data'!$C$6:$C$62)</x:f>
        <x:v>57</x:v>
      </x:c>
      <x:c r="F31" s="204" t="n">
        <x:f>COUNTIF('F_Data'!$J$6:$J$62,"类")+COUNTIF('F_Data'!$J$6:$J$62,"静态类")+COUNTIF('F_Data'!$J$6:$J$62,"class")+COUNTIF('F_Data'!$J$6:$J$62,"sealed class")+COUNTIF('F_Data'!$J$6:$J$62,"abstract class")</x:f>
        <x:v>36</x:v>
      </x:c>
      <x:c r="G31" s="204" t="n">
        <x:f>COUNTIF('F_Data'!$J$6:$J$62,"接口")+COUNTIF('F_Data'!$J$6:$J$62,"interface")</x:f>
        <x:v>0</x:v>
      </x:c>
      <x:c r="H31" s="204" t="n">
        <x:f>COUNTIF('F_Data'!$J$6:$J$62,"枚举")+COUNTIF('F_Data'!$J$6:$J$62,"enum")</x:f>
        <x:v>1</x:v>
      </x:c>
      <x:c r="I31" s="204" t="n">
        <x:f>COUNTIF('F_Data'!$J$6:$J$62,"结构体")+COUNTIF('F_Data'!$J$6:$J$62,"struct")+COUNTIF('F_Data'!$J$6:$J$62,"readonly struct")</x:f>
        <x:v>0</x:v>
      </x:c>
      <x:c r="J31" s="204" t="n">
        <x:f>E31-SUM(F31:I31)</x:f>
        <x:v>20</x:v>
      </x:c>
      <x:c r="K31" s="204" t="n">
        <x:v>4</x:v>
      </x:c>
      <x:c r="L31" s="204" t="str">
        <x:v>编码配置文件与溯源</x:v>
      </x:c>
      <x:c r="M31" s="204" t="str">
        <x:v>Foundation.Core（按需）</x:v>
      </x:c>
      <x:c r="N31" s="204" t="str">
        <x:v>历史/规划候选合计，待归属及验收</x:v>
      </x:c>
    </x:row>
    <x:row r="32" ht="36.75" customHeight="1">
      <x:c r="A32" s="204"/>
      <x:c r="B32" s="204"/>
      <x:c r="C32" s="204" t="str">
        <x:v>F14</x:v>
      </x:c>
      <x:c r="D32" s="204" t="str">
        <x:v>数据格式与序列化｜编码、Codec与协议帧
Encoding Codecs</x:v>
      </x:c>
      <x:c r="E32" s="204" t="n">
        <x:v>18</x:v>
      </x:c>
      <x:c r="F32" s="204" t="n">
        <x:v>14</x:v>
      </x:c>
      <x:c r="G32" s="204" t="n">
        <x:v>0</x:v>
      </x:c>
      <x:c r="H32" s="204" t="n">
        <x:v>0</x:v>
      </x:c>
      <x:c r="I32" s="204" t="n">
        <x:v>0</x:v>
      </x:c>
      <x:c r="J32" s="204" t="n">
        <x:v>4</x:v>
      </x:c>
      <x:c r="K32" s="204"/>
      <x:c r="L32" s="204"/>
      <x:c r="M32" s="204"/>
      <x:c r="N32" s="204" t="str">
        <x:v>子方面归属按V6.1裁决，旧类待复核</x:v>
      </x:c>
    </x:row>
    <x:row r="33" ht="36.75" customHeight="1">
      <x:c r="A33" s="204"/>
      <x:c r="B33" s="204"/>
      <x:c r="C33" s="204" t="str">
        <x:v>F15</x:v>
      </x:c>
      <x:c r="D33" s="204" t="str">
        <x:v>配置与参数｜配置模型与静态辅助
Configuration Models</x:v>
      </x:c>
      <x:c r="E33" s="204" t="n">
        <x:v>16</x:v>
      </x:c>
      <x:c r="F33" s="204" t="n">
        <x:v>9</x:v>
      </x:c>
      <x:c r="G33" s="204" t="n">
        <x:v>0</x:v>
      </x:c>
      <x:c r="H33" s="204" t="n">
        <x:v>1</x:v>
      </x:c>
      <x:c r="I33" s="204" t="n">
        <x:v>0</x:v>
      </x:c>
      <x:c r="J33" s="204" t="n">
        <x:v>6</x:v>
      </x:c>
      <x:c r="K33" s="204"/>
      <x:c r="L33" s="204"/>
      <x:c r="M33" s="204"/>
      <x:c r="N33" s="204" t="str">
        <x:v>子方面归属按V6.1裁决，旧类待复核</x:v>
      </x:c>
    </x:row>
    <x:row r="34" ht="36.75" customHeight="1">
      <x:c r="A34" s="204"/>
      <x:c r="B34" s="204"/>
      <x:c r="C34" s="204" t="str">
        <x:v>F18</x:v>
      </x:c>
      <x:c r="D34" s="204" t="str">
        <x:v>文件与持久化｜路径、文件和流基础
File Streams</x:v>
      </x:c>
      <x:c r="E34" s="204" t="n">
        <x:v>14</x:v>
      </x:c>
      <x:c r="F34" s="204" t="n">
        <x:v>8</x:v>
      </x:c>
      <x:c r="G34" s="204" t="n">
        <x:v>0</x:v>
      </x:c>
      <x:c r="H34" s="204" t="n">
        <x:v>0</x:v>
      </x:c>
      <x:c r="I34" s="204" t="n">
        <x:v>0</x:v>
      </x:c>
      <x:c r="J34" s="204" t="n">
        <x:v>6</x:v>
      </x:c>
      <x:c r="K34" s="204"/>
      <x:c r="L34" s="204"/>
      <x:c r="M34" s="204"/>
      <x:c r="N34" s="204" t="str">
        <x:v>子方面归属按V6.1裁决，旧类待复核</x:v>
      </x:c>
    </x:row>
    <x:row r="35" ht="36.75" customHeight="1">
      <x:c r="A35" s="204"/>
      <x:c r="B35" s="204"/>
      <x:c r="C35" s="204" t="str">
        <x:v>F21</x:v>
      </x:c>
      <x:c r="D35" s="204" t="str">
        <x:v>数据质量与溯源｜基础元数据与校验
Data Provenance</x:v>
      </x:c>
      <x:c r="E35" s="204" t="n">
        <x:v>9</x:v>
      </x:c>
      <x:c r="F35" s="204" t="n">
        <x:v>5</x:v>
      </x:c>
      <x:c r="G35" s="204" t="n">
        <x:v>0</x:v>
      </x:c>
      <x:c r="H35" s="204" t="n">
        <x:v>0</x:v>
      </x:c>
      <x:c r="I35" s="204" t="n">
        <x:v>0</x:v>
      </x:c>
      <x:c r="J35" s="204" t="n">
        <x:v>4</x:v>
      </x:c>
      <x:c r="K35" s="204"/>
      <x:c r="L35" s="204"/>
      <x:c r="M35" s="204"/>
      <x:c r="N35" s="204" t="str">
        <x:v>子方面归属按V6.1裁决，旧类待复核</x:v>
      </x:c>
    </x:row>
    <x:row r="36" ht="36.75" customHeight="1">
      <x:c r="A36" s="204" t="str">
        <x:v>Foundation</x:v>
      </x:c>
      <x:c r="B36" s="204" t="str">
        <x:v>CxVisual.Foundation.Infrastructure</x:v>
      </x:c>
      <x:c r="C36" s="204" t="str">
        <x:v>项目合计</x:v>
      </x:c>
      <x:c r="D36" s="204" t="str">
        <x:v>下方列出子方面</x:v>
      </x:c>
      <x:c r="E36" s="204" t="n">
        <x:f>COUNTA('F_Infrastructure'!$C$6:$C$47)</x:f>
        <x:v>42</x:v>
      </x:c>
      <x:c r="F36" s="204" t="n">
        <x:f>COUNTIF('F_Infrastructure'!$J$6:$J$47,"类")+COUNTIF('F_Infrastructure'!$J$6:$J$47,"静态类")+COUNTIF('F_Infrastructure'!$J$6:$J$47,"class")+COUNTIF('F_Infrastructure'!$J$6:$J$47,"sealed class")+COUNTIF('F_Infrastructure'!$J$6:$J$47,"abstract class")</x:f>
        <x:v>26</x:v>
      </x:c>
      <x:c r="G36" s="204" t="n">
        <x:f>COUNTIF('F_Infrastructure'!$J$6:$J$47,"接口")+COUNTIF('F_Infrastructure'!$J$6:$J$47,"interface")</x:f>
        <x:v>0</x:v>
      </x:c>
      <x:c r="H36" s="204" t="n">
        <x:f>COUNTIF('F_Infrastructure'!$J$6:$J$47,"枚举")+COUNTIF('F_Infrastructure'!$J$6:$J$47,"enum")</x:f>
        <x:v>2</x:v>
      </x:c>
      <x:c r="I36" s="204" t="n">
        <x:f>COUNTIF('F_Infrastructure'!$J$6:$J$47,"结构体")+COUNTIF('F_Infrastructure'!$J$6:$J$47,"struct")+COUNTIF('F_Infrastructure'!$J$6:$J$47,"readonly struct")</x:f>
        <x:v>0</x:v>
      </x:c>
      <x:c r="J36" s="204" t="n">
        <x:f>E36-SUM(F36:I36)</x:f>
        <x:v>14</x:v>
      </x:c>
      <x:c r="K36" s="204" t="n">
        <x:v>3</x:v>
      </x:c>
      <x:c r="L36" s="204" t="str">
        <x:v>日志并发安全</x:v>
      </x:c>
      <x:c r="M36" s="204" t="str">
        <x:v>Foundation.Core / Foundation.Data（按需）</x:v>
      </x:c>
      <x:c r="N36" s="204" t="str">
        <x:v>历史/规划候选合计，待归属及验收</x:v>
      </x:c>
    </x:row>
    <x:row r="37" ht="36.75" customHeight="1">
      <x:c r="A37" s="204"/>
      <x:c r="B37" s="204"/>
      <x:c r="C37" s="204" t="str">
        <x:v>F16</x:v>
      </x:c>
      <x:c r="D37" s="204" t="str">
        <x:v>日志与诊断｜日志记录与诊断基础
Logging Diagnostics</x:v>
      </x:c>
      <x:c r="E37" s="204" t="n">
        <x:v>23</x:v>
      </x:c>
      <x:c r="F37" s="204" t="n">
        <x:v>14</x:v>
      </x:c>
      <x:c r="G37" s="204" t="n">
        <x:v>0</x:v>
      </x:c>
      <x:c r="H37" s="204" t="n">
        <x:v>2</x:v>
      </x:c>
      <x:c r="I37" s="204" t="n">
        <x:v>0</x:v>
      </x:c>
      <x:c r="J37" s="204" t="n">
        <x:v>7</x:v>
      </x:c>
      <x:c r="K37" s="204"/>
      <x:c r="L37" s="204"/>
      <x:c r="M37" s="204"/>
      <x:c r="N37" s="204" t="str">
        <x:v>子方面归属按V6.1裁决，旧类待复核</x:v>
      </x:c>
    </x:row>
    <x:row r="38" ht="36.75" customHeight="1">
      <x:c r="A38" s="204"/>
      <x:c r="B38" s="204"/>
      <x:c r="C38" s="204" t="str">
        <x:v>F19</x:v>
      </x:c>
      <x:c r="D38" s="204" t="str">
        <x:v>并发与资源｜线程协调与容量计算
Concurrency Resources</x:v>
      </x:c>
      <x:c r="E38" s="204" t="n">
        <x:v>10</x:v>
      </x:c>
      <x:c r="F38" s="204" t="n">
        <x:v>3</x:v>
      </x:c>
      <x:c r="G38" s="204" t="n">
        <x:v>0</x:v>
      </x:c>
      <x:c r="H38" s="204" t="n">
        <x:v>0</x:v>
      </x:c>
      <x:c r="I38" s="204" t="n">
        <x:v>0</x:v>
      </x:c>
      <x:c r="J38" s="204" t="n">
        <x:v>7</x:v>
      </x:c>
      <x:c r="K38" s="204"/>
      <x:c r="L38" s="204"/>
      <x:c r="M38" s="204"/>
      <x:c r="N38" s="204" t="str">
        <x:v>子方面归属按V6.1裁决，旧类待复核</x:v>
      </x:c>
    </x:row>
    <x:row r="39" ht="36.75" customHeight="1">
      <x:c r="A39" s="204"/>
      <x:c r="B39" s="204"/>
      <x:c r="C39" s="204" t="str">
        <x:v>F20</x:v>
      </x:c>
      <x:c r="D39" s="204" t="str">
        <x:v>安全与编码｜加密及编码基础
Cryptography Encoding</x:v>
      </x:c>
      <x:c r="E39" s="204" t="n">
        <x:v>9</x:v>
      </x:c>
      <x:c r="F39" s="204" t="n">
        <x:v>9</x:v>
      </x:c>
      <x:c r="G39" s="204" t="n">
        <x:v>0</x:v>
      </x:c>
      <x:c r="H39" s="204" t="n">
        <x:v>0</x:v>
      </x:c>
      <x:c r="I39" s="204" t="n">
        <x:v>0</x:v>
      </x:c>
      <x:c r="J39" s="204" t="n">
        <x:v>0</x:v>
      </x:c>
      <x:c r="K39" s="204"/>
      <x:c r="L39" s="204"/>
      <x:c r="M39" s="204"/>
      <x:c r="N39" s="204" t="str">
        <x:v>子方面归属按V6.1裁决，旧类待复核</x:v>
      </x:c>
    </x:row>
    <x:row r="40" ht="36.75" customHeight="1">
      <x:c r="A40" s="204" t="str">
        <x:v>Foundation</x:v>
      </x:c>
      <x:c r="B40" s="204" t="str">
        <x:v>CxVisual.Foundation.Transport</x:v>
      </x:c>
      <x:c r="C40" s="204" t="str">
        <x:v>项目合计</x:v>
      </x:c>
      <x:c r="D40" s="204" t="str">
        <x:v>下方列出子方面</x:v>
      </x:c>
      <x:c r="E40" s="204" t="n">
        <x:f>COUNTA('F_Transport'!$C$6:$C$22)</x:f>
        <x:v>17</x:v>
      </x:c>
      <x:c r="F40" s="204" t="n">
        <x:f>COUNTIF('F_Transport'!$J$6:$J$22,"类")+COUNTIF('F_Transport'!$J$6:$J$22,"静态类")+COUNTIF('F_Transport'!$J$6:$J$22,"class")+COUNTIF('F_Transport'!$J$6:$J$22,"sealed class")+COUNTIF('F_Transport'!$J$6:$J$22,"abstract class")</x:f>
        <x:v>8</x:v>
      </x:c>
      <x:c r="G40" s="204" t="n">
        <x:f>COUNTIF('F_Transport'!$J$6:$J$22,"接口")+COUNTIF('F_Transport'!$J$6:$J$22,"interface")</x:f>
        <x:v>0</x:v>
      </x:c>
      <x:c r="H40" s="204" t="n">
        <x:f>COUNTIF('F_Transport'!$J$6:$J$22,"枚举")+COUNTIF('F_Transport'!$J$6:$J$22,"enum")</x:f>
        <x:v>0</x:v>
      </x:c>
      <x:c r="I40" s="204" t="n">
        <x:f>COUNTIF('F_Transport'!$J$6:$J$22,"结构体")+COUNTIF('F_Transport'!$J$6:$J$22,"struct")+COUNTIF('F_Transport'!$J$6:$J$22,"readonly struct")</x:f>
        <x:v>0</x:v>
      </x:c>
      <x:c r="J40" s="204" t="n">
        <x:f>E40-SUM(F40:I40)</x:f>
        <x:v>9</x:v>
      </x:c>
      <x:c r="K40" s="204" t="n">
        <x:v>1</x:v>
      </x:c>
      <x:c r="L40" s="204" t="str">
        <x:v>传输描述与缓存基础</x:v>
      </x:c>
      <x:c r="M40" s="204" t="str">
        <x:v>Foundation.Core / Foundation.Data（按需）</x:v>
      </x:c>
      <x:c r="N40" s="204" t="str">
        <x:v>历史/规划候选合计，待归属及验收</x:v>
      </x:c>
    </x:row>
    <x:row r="41" ht="36.75" customHeight="1">
      <x:c r="A41" s="204"/>
      <x:c r="B41" s="204"/>
      <x:c r="C41" s="204" t="str">
        <x:v>F17</x:v>
      </x:c>
      <x:c r="D41" s="204" t="str">
        <x:v>通信与通道｜传输描述与缓冲基础
Transport Buffers</x:v>
      </x:c>
      <x:c r="E41" s="204" t="n">
        <x:v>17</x:v>
      </x:c>
      <x:c r="F41" s="204" t="n">
        <x:v>8</x:v>
      </x:c>
      <x:c r="G41" s="204" t="n">
        <x:v>0</x:v>
      </x:c>
      <x:c r="H41" s="204" t="n">
        <x:v>0</x:v>
      </x:c>
      <x:c r="I41" s="204" t="n">
        <x:v>0</x:v>
      </x:c>
      <x:c r="J41" s="204" t="n">
        <x:v>9</x:v>
      </x:c>
      <x:c r="K41" s="204"/>
      <x:c r="L41" s="204"/>
      <x:c r="M41" s="204"/>
      <x:c r="N41" s="204" t="str">
        <x:v>子方面归属按V6.1裁决，旧类待复核</x:v>
      </x:c>
    </x:row>
    <x:row r="42" ht="36.75" customHeight="1">
      <x:c r="A42" s="204" t="str">
        <x:v>Mechanism</x:v>
      </x:c>
      <x:c r="B42" s="204" t="str">
        <x:v>CxVisual.Mechanism.Core</x:v>
      </x:c>
      <x:c r="C42" s="204" t="str">
        <x:v>项目合计</x:v>
      </x:c>
      <x:c r="D42" s="204" t="str">
        <x:v>下方列出子方面</x:v>
      </x:c>
      <x:c r="E42" s="204" t="n">
        <x:f>COUNTA('M_Core'!$C$6:$C$278)</x:f>
        <x:v>273</x:v>
      </x:c>
      <x:c r="F42" s="204" t="n">
        <x:f>COUNTIF('M_Core'!$J$6:$J$278,"类")+COUNTIF('M_Core'!$J$6:$J$278,"静态类")+COUNTIF('M_Core'!$J$6:$J$278,"class")+COUNTIF('M_Core'!$J$6:$J$278,"sealed class")+COUNTIF('M_Core'!$J$6:$J$278,"abstract class")</x:f>
        <x:v>181</x:v>
      </x:c>
      <x:c r="G42" s="204" t="n">
        <x:f>COUNTIF('M_Core'!$J$6:$J$278,"接口")+COUNTIF('M_Core'!$J$6:$J$278,"interface")</x:f>
        <x:v>27</x:v>
      </x:c>
      <x:c r="H42" s="204" t="n">
        <x:f>COUNTIF('M_Core'!$J$6:$J$278,"枚举")+COUNTIF('M_Core'!$J$6:$J$278,"enum")</x:f>
        <x:v>9</x:v>
      </x:c>
      <x:c r="I42" s="204" t="n">
        <x:f>COUNTIF('M_Core'!$J$6:$J$278,"结构体")+COUNTIF('M_Core'!$J$6:$J$278,"struct")+COUNTIF('M_Core'!$J$6:$J$278,"readonly struct")</x:f>
        <x:v>4</x:v>
      </x:c>
      <x:c r="J42" s="204" t="n">
        <x:f>E42-SUM(F42:I42)</x:f>
        <x:v>52</x:v>
      </x:c>
      <x:c r="K42" s="204" t="n">
        <x:v>9</x:v>
      </x:c>
      <x:c r="L42" s="204" t="str">
        <x:v>对象树、引用、契约、事务、通用模板</x:v>
      </x:c>
      <x:c r="M42" s="204" t="str">
        <x:v>Foundation.Core、Foundation.Geometry（按需）；不能依赖Visual</x:v>
      </x:c>
      <x:c r="N42" s="204" t="str">
        <x:v>历史/规划候选合计，待归属及验收</x:v>
      </x:c>
    </x:row>
    <x:row r="43" ht="36.75" customHeight="1">
      <x:c r="A43" s="204"/>
      <x:c r="B43" s="204"/>
      <x:c r="C43" s="204" t="str">
        <x:v>M01</x:v>
      </x:c>
      <x:c r="D43" s="204" t="str">
        <x:v>Definition与工程组织｜工程对象/资源组织
Engineering Model</x:v>
      </x:c>
      <x:c r="E43" s="204" t="n">
        <x:v>83</x:v>
      </x:c>
      <x:c r="F43" s="204" t="n">
        <x:v>78</x:v>
      </x:c>
      <x:c r="G43" s="204" t="n">
        <x:v>2</x:v>
      </x:c>
      <x:c r="H43" s="204" t="n">
        <x:v>2</x:v>
      </x:c>
      <x:c r="I43" s="204" t="n">
        <x:v>0</x:v>
      </x:c>
      <x:c r="J43" s="204" t="n">
        <x:v>1</x:v>
      </x:c>
      <x:c r="K43" s="204"/>
      <x:c r="L43" s="204"/>
      <x:c r="M43" s="204"/>
      <x:c r="N43" s="204" t="str">
        <x:v>子方面归属按V6.1裁决，旧类待复核</x:v>
      </x:c>
    </x:row>
    <x:row r="44" ht="36.75" customHeight="1">
      <x:c r="A44" s="204"/>
      <x:c r="B44" s="204"/>
      <x:c r="C44" s="204" t="str">
        <x:v>M02</x:v>
      </x:c>
      <x:c r="D44" s="204" t="str">
        <x:v>Definition与工程组织｜功能组织与复用
Reusable Components</x:v>
      </x:c>
      <x:c r="E44" s="204" t="n">
        <x:v>48</x:v>
      </x:c>
      <x:c r="F44" s="204" t="n">
        <x:v>42</x:v>
      </x:c>
      <x:c r="G44" s="204" t="n">
        <x:v>2</x:v>
      </x:c>
      <x:c r="H44" s="204" t="n">
        <x:v>1</x:v>
      </x:c>
      <x:c r="I44" s="204" t="n">
        <x:v>1</x:v>
      </x:c>
      <x:c r="J44" s="204" t="n">
        <x:v>2</x:v>
      </x:c>
      <x:c r="K44" s="204"/>
      <x:c r="L44" s="204"/>
      <x:c r="M44" s="204"/>
      <x:c r="N44" s="204" t="str">
        <x:v>子方面归属按V6.1裁决，旧类待复核</x:v>
      </x:c>
    </x:row>
    <x:row r="45" ht="36.75" customHeight="1">
      <x:c r="A45" s="204"/>
      <x:c r="B45" s="204"/>
      <x:c r="C45" s="204" t="str">
        <x:v>M03</x:v>
      </x:c>
      <x:c r="D45" s="204" t="str">
        <x:v>Definition与工程组织｜Reference / Address / Index
Reference Index</x:v>
      </x:c>
      <x:c r="E45" s="204" t="n">
        <x:v>35</x:v>
      </x:c>
      <x:c r="F45" s="204" t="n">
        <x:v>26</x:v>
      </x:c>
      <x:c r="G45" s="204" t="n">
        <x:v>3</x:v>
      </x:c>
      <x:c r="H45" s="204" t="n">
        <x:v>2</x:v>
      </x:c>
      <x:c r="I45" s="204" t="n">
        <x:v>1</x:v>
      </x:c>
      <x:c r="J45" s="204" t="n">
        <x:v>3</x:v>
      </x:c>
      <x:c r="K45" s="204"/>
      <x:c r="L45" s="204"/>
      <x:c r="M45" s="204"/>
      <x:c r="N45" s="204" t="str">
        <x:v>子方面归属按V6.1裁决，旧类待复核</x:v>
      </x:c>
    </x:row>
    <x:row r="46" ht="36.75" customHeight="1">
      <x:c r="A46" s="204"/>
      <x:c r="B46" s="204"/>
      <x:c r="C46" s="204" t="str">
        <x:v>M04</x:v>
      </x:c>
      <x:c r="D46" s="204" t="str">
        <x:v>Definition与契约｜Property / Metadata / Type
Property Metadata</x:v>
      </x:c>
      <x:c r="E46" s="204" t="n">
        <x:v>15</x:v>
      </x:c>
      <x:c r="F46" s="204" t="n">
        <x:v>5</x:v>
      </x:c>
      <x:c r="G46" s="204" t="n">
        <x:v>3</x:v>
      </x:c>
      <x:c r="H46" s="204" t="n">
        <x:v>0</x:v>
      </x:c>
      <x:c r="I46" s="204" t="n">
        <x:v>1</x:v>
      </x:c>
      <x:c r="J46" s="204" t="n">
        <x:v>6</x:v>
      </x:c>
      <x:c r="K46" s="204"/>
      <x:c r="L46" s="204"/>
      <x:c r="M46" s="204"/>
      <x:c r="N46" s="204" t="str">
        <x:v>子方面归属按V6.1裁决，旧类待复核</x:v>
      </x:c>
    </x:row>
    <x:row r="47" ht="36.75" customHeight="1">
      <x:c r="A47" s="204"/>
      <x:c r="B47" s="204"/>
      <x:c r="C47" s="204" t="str">
        <x:v>M05</x:v>
      </x:c>
      <x:c r="D47" s="204" t="str">
        <x:v>Definition与契约｜Port / Connection / Contract
Port Connection</x:v>
      </x:c>
      <x:c r="E47" s="204" t="n">
        <x:v>9</x:v>
      </x:c>
      <x:c r="F47" s="204" t="n">
        <x:v>2</x:v>
      </x:c>
      <x:c r="G47" s="204" t="n">
        <x:v>2</x:v>
      </x:c>
      <x:c r="H47" s="204" t="n">
        <x:v>1</x:v>
      </x:c>
      <x:c r="I47" s="204" t="n">
        <x:v>1</x:v>
      </x:c>
      <x:c r="J47" s="204" t="n">
        <x:v>3</x:v>
      </x:c>
      <x:c r="K47" s="204"/>
      <x:c r="L47" s="204"/>
      <x:c r="M47" s="204"/>
      <x:c r="N47" s="204" t="str">
        <x:v>子方面归属按V6.1裁决，旧类待复核</x:v>
      </x:c>
    </x:row>
    <x:row r="48" ht="36.75" customHeight="1">
      <x:c r="A48" s="204"/>
      <x:c r="B48" s="204"/>
      <x:c r="C48" s="204" t="str">
        <x:v>M06</x:v>
      </x:c>
      <x:c r="D48" s="204" t="str">
        <x:v>跨专业基础契约｜统一时间、空间坐标与量纲契约
Time Space Units</x:v>
      </x:c>
      <x:c r="E48" s="204" t="n">
        <x:v>19</x:v>
      </x:c>
      <x:c r="F48" s="204" t="n">
        <x:v>3</x:v>
      </x:c>
      <x:c r="G48" s="204" t="n">
        <x:v>2</x:v>
      </x:c>
      <x:c r="H48" s="204" t="n">
        <x:v>0</x:v>
      </x:c>
      <x:c r="I48" s="204" t="n">
        <x:v>0</x:v>
      </x:c>
      <x:c r="J48" s="204" t="n">
        <x:v>14</x:v>
      </x:c>
      <x:c r="K48" s="204"/>
      <x:c r="L48" s="204"/>
      <x:c r="M48" s="204"/>
      <x:c r="N48" s="204" t="str">
        <x:v>子方面归属按V6.1裁决，旧类待复核</x:v>
      </x:c>
    </x:row>
    <x:row r="49" ht="36.75" customHeight="1">
      <x:c r="A49" s="204"/>
      <x:c r="B49" s="204"/>
      <x:c r="C49" s="204" t="str">
        <x:v>M07</x:v>
      </x:c>
      <x:c r="D49" s="204" t="str">
        <x:v>跨专业基础契约｜事务、一致性与可靠交付契约
Transaction Consistency</x:v>
      </x:c>
      <x:c r="E49" s="204" t="n">
        <x:v>22</x:v>
      </x:c>
      <x:c r="F49" s="204" t="n">
        <x:v>8</x:v>
      </x:c>
      <x:c r="G49" s="204" t="n">
        <x:v>3</x:v>
      </x:c>
      <x:c r="H49" s="204" t="n">
        <x:v>2</x:v>
      </x:c>
      <x:c r="I49" s="204" t="n">
        <x:v>0</x:v>
      </x:c>
      <x:c r="J49" s="204" t="n">
        <x:v>9</x:v>
      </x:c>
      <x:c r="K49" s="204"/>
      <x:c r="L49" s="204"/>
      <x:c r="M49" s="204"/>
      <x:c r="N49" s="204" t="str">
        <x:v>子方面归属按V6.1裁决，旧类待复核</x:v>
      </x:c>
    </x:row>
    <x:row r="50" ht="36.75" customHeight="1">
      <x:c r="A50" s="204"/>
      <x:c r="B50" s="204"/>
      <x:c r="C50" s="204" t="str">
        <x:v>M08</x:v>
      </x:c>
      <x:c r="D50" s="204" t="str">
        <x:v>跨专业基础契约｜通用验证、验收与证据契约
Validation Evidence</x:v>
      </x:c>
      <x:c r="E50" s="204" t="n">
        <x:v>20</x:v>
      </x:c>
      <x:c r="F50" s="204" t="n">
        <x:v>6</x:v>
      </x:c>
      <x:c r="G50" s="204" t="n">
        <x:v>3</x:v>
      </x:c>
      <x:c r="H50" s="204" t="n">
        <x:v>1</x:v>
      </x:c>
      <x:c r="I50" s="204" t="n">
        <x:v>0</x:v>
      </x:c>
      <x:c r="J50" s="204" t="n">
        <x:v>10</x:v>
      </x:c>
      <x:c r="K50" s="204"/>
      <x:c r="L50" s="204"/>
      <x:c r="M50" s="204"/>
      <x:c r="N50" s="204" t="str">
        <x:v>子方面归属按V6.1裁决，旧类待复核</x:v>
      </x:c>
    </x:row>
    <x:row r="51" ht="36.75" customHeight="1">
      <x:c r="A51" s="204"/>
      <x:c r="B51" s="204"/>
      <x:c r="C51" s="204" t="str">
        <x:v>M38</x:v>
      </x:c>
      <x:c r="D51" s="204" t="str">
        <x:v>工程与Studio｜Template / ImportExport / Baseline
Templates Import</x:v>
      </x:c>
      <x:c r="E51" s="204" t="n">
        <x:v>22</x:v>
      </x:c>
      <x:c r="F51" s="204" t="n">
        <x:v>11</x:v>
      </x:c>
      <x:c r="G51" s="204" t="n">
        <x:v>7</x:v>
      </x:c>
      <x:c r="H51" s="204" t="n">
        <x:v>0</x:v>
      </x:c>
      <x:c r="I51" s="204" t="n">
        <x:v>0</x:v>
      </x:c>
      <x:c r="J51" s="204" t="n">
        <x:v>4</x:v>
      </x:c>
      <x:c r="K51" s="204"/>
      <x:c r="L51" s="204"/>
      <x:c r="M51" s="204"/>
      <x:c r="N51" s="204" t="str">
        <x:v>子方面归属按V6.1裁决，旧类待复核</x:v>
      </x:c>
    </x:row>
    <x:row r="52" ht="36.75" customHeight="1">
      <x:c r="A52" s="204" t="str">
        <x:v>Mechanism</x:v>
      </x:c>
      <x:c r="B52" s="204" t="str">
        <x:v>CxVisual.Mechanism.Data</x:v>
      </x:c>
      <x:c r="C52" s="204" t="str">
        <x:v>项目合计</x:v>
      </x:c>
      <x:c r="D52" s="204" t="str">
        <x:v>下方列出子方面</x:v>
      </x:c>
      <x:c r="E52" s="204" t="n">
        <x:f>COUNTA('M_Data'!$C$6:$C$233)</x:f>
        <x:v>228</x:v>
      </x:c>
      <x:c r="F52" s="204" t="n">
        <x:f>COUNTIF('M_Data'!$J$6:$J$233,"类")+COUNTIF('M_Data'!$J$6:$J$233,"静态类")+COUNTIF('M_Data'!$J$6:$J$233,"class")+COUNTIF('M_Data'!$J$6:$J$233,"sealed class")+COUNTIF('M_Data'!$J$6:$J$233,"abstract class")</x:f>
        <x:v>164</x:v>
      </x:c>
      <x:c r="G52" s="204" t="n">
        <x:f>COUNTIF('M_Data'!$J$6:$J$233,"接口")+COUNTIF('M_Data'!$J$6:$J$233,"interface")</x:f>
        <x:v>20</x:v>
      </x:c>
      <x:c r="H52" s="204" t="n">
        <x:f>COUNTIF('M_Data'!$J$6:$J$233,"枚举")+COUNTIF('M_Data'!$J$6:$J$233,"enum")</x:f>
        <x:v>14</x:v>
      </x:c>
      <x:c r="I52" s="204" t="n">
        <x:f>COUNTIF('M_Data'!$J$6:$J$233,"结构体")+COUNTIF('M_Data'!$J$6:$J$233,"struct")+COUNTIF('M_Data'!$J$6:$J$233,"readonly struct")</x:f>
        <x:v>1</x:v>
      </x:c>
      <x:c r="J52" s="204" t="n">
        <x:f>E52-SUM(F52:I52)</x:f>
        <x:v>29</x:v>
      </x:c>
      <x:c r="K52" s="204" t="n">
        <x:v>4</x:v>
      </x:c>
      <x:c r="L52" s="204" t="str">
        <x:v>变量、DataHandle、历史与通知</x:v>
      </x:c>
      <x:c r="M52" s="204" t="str">
        <x:v>Mechanism.Core；Foundation相关</x:v>
      </x:c>
      <x:c r="N52" s="204" t="str">
        <x:v>历史/规划候选合计，待归属及验收</x:v>
      </x:c>
    </x:row>
    <x:row r="53" ht="36.75" customHeight="1">
      <x:c r="A53" s="204"/>
      <x:c r="B53" s="204"/>
      <x:c r="C53" s="204" t="str">
        <x:v>M09</x:v>
      </x:c>
      <x:c r="D53" s="204" t="str">
        <x:v>数据与状态｜Variable / Binding
Variable Binding</x:v>
      </x:c>
      <x:c r="E53" s="204" t="n">
        <x:v>124</x:v>
      </x:c>
      <x:c r="F53" s="204" t="n">
        <x:v>97</x:v>
      </x:c>
      <x:c r="G53" s="204" t="n">
        <x:v>10</x:v>
      </x:c>
      <x:c r="H53" s="204" t="n">
        <x:v>8</x:v>
      </x:c>
      <x:c r="I53" s="204" t="n">
        <x:v>1</x:v>
      </x:c>
      <x:c r="J53" s="204" t="n">
        <x:v>8</x:v>
      </x:c>
      <x:c r="K53" s="204"/>
      <x:c r="L53" s="204"/>
      <x:c r="M53" s="204"/>
      <x:c r="N53" s="204" t="str">
        <x:v>子方面归属按V6.1裁决，旧类待复核</x:v>
      </x:c>
    </x:row>
    <x:row r="54" ht="36.75" customHeight="1">
      <x:c r="A54" s="204"/>
      <x:c r="B54" s="204"/>
      <x:c r="C54" s="204" t="str">
        <x:v>M10</x:v>
      </x:c>
      <x:c r="D54" s="204" t="str">
        <x:v>数据与状态｜DataHandle / Stream / Artifact
Data Streaming</x:v>
      </x:c>
      <x:c r="E54" s="204" t="n">
        <x:v>57</x:v>
      </x:c>
      <x:c r="F54" s="204" t="n">
        <x:v>37</x:v>
      </x:c>
      <x:c r="G54" s="204" t="n">
        <x:v>4</x:v>
      </x:c>
      <x:c r="H54" s="204" t="n">
        <x:v>6</x:v>
      </x:c>
      <x:c r="I54" s="204" t="n">
        <x:v>0</x:v>
      </x:c>
      <x:c r="J54" s="204" t="n">
        <x:v>10</x:v>
      </x:c>
      <x:c r="K54" s="204"/>
      <x:c r="L54" s="204"/>
      <x:c r="M54" s="204"/>
      <x:c r="N54" s="204" t="str">
        <x:v>子方面归属按V6.1裁决，旧类待复核</x:v>
      </x:c>
    </x:row>
    <x:row r="55" ht="36.75" customHeight="1">
      <x:c r="A55" s="204"/>
      <x:c r="B55" s="204"/>
      <x:c r="C55" s="204" t="str">
        <x:v>M35</x:v>
      </x:c>
      <x:c r="D55" s="204" t="str">
        <x:v>数据与工程治理｜History / Storage / Retention
History Storage</x:v>
      </x:c>
      <x:c r="E55" s="204" t="n">
        <x:v>42</x:v>
      </x:c>
      <x:c r="F55" s="204" t="n">
        <x:v>30</x:v>
      </x:c>
      <x:c r="G55" s="204" t="n">
        <x:v>6</x:v>
      </x:c>
      <x:c r="H55" s="204" t="n">
        <x:v>0</x:v>
      </x:c>
      <x:c r="I55" s="204" t="n">
        <x:v>0</x:v>
      </x:c>
      <x:c r="J55" s="204" t="n">
        <x:v>6</x:v>
      </x:c>
      <x:c r="K55" s="204"/>
      <x:c r="L55" s="204"/>
      <x:c r="M55" s="204"/>
      <x:c r="N55" s="204" t="str">
        <x:v>子方面归属按V6.1裁决，旧类待复核</x:v>
      </x:c>
    </x:row>
    <x:row r="56" ht="36.75" customHeight="1">
      <x:c r="A56" s="204"/>
      <x:c r="B56" s="204"/>
      <x:c r="C56" s="204" t="str">
        <x:v>M36</x:v>
      </x:c>
      <x:c r="D56" s="204" t="str">
        <x:v>数据与工程治理｜Notification / Messaging
Notification Messaging</x:v>
      </x:c>
      <x:c r="E56" s="204" t="n">
        <x:v>5</x:v>
      </x:c>
      <x:c r="F56" s="204" t="n">
        <x:v>0</x:v>
      </x:c>
      <x:c r="G56" s="204" t="n">
        <x:v>0</x:v>
      </x:c>
      <x:c r="H56" s="204" t="n">
        <x:v>0</x:v>
      </x:c>
      <x:c r="I56" s="204" t="n">
        <x:v>0</x:v>
      </x:c>
      <x:c r="J56" s="204" t="n">
        <x:v>5</x:v>
      </x:c>
      <x:c r="K56" s="204"/>
      <x:c r="L56" s="204"/>
      <x:c r="M56" s="204"/>
      <x:c r="N56" s="204" t="str">
        <x:v>子方面归属按V6.1裁决，旧类待复核</x:v>
      </x:c>
    </x:row>
    <x:row r="57" ht="36.75" customHeight="1">
      <x:c r="A57" s="204" t="str">
        <x:v>Mechanism</x:v>
      </x:c>
      <x:c r="B57" s="204" t="str">
        <x:v>CxVisual.Mechanism.Logic</x:v>
      </x:c>
      <x:c r="C57" s="204" t="str">
        <x:v>项目合计</x:v>
      </x:c>
      <x:c r="D57" s="204" t="str">
        <x:v>下方列出子方面</x:v>
      </x:c>
      <x:c r="E57" s="204" t="n">
        <x:f>COUNTA('M_Logic'!$C$6:$C$127)</x:f>
        <x:v>122</x:v>
      </x:c>
      <x:c r="F57" s="204" t="n">
        <x:f>COUNTIF('M_Logic'!$J$6:$J$127,"类")+COUNTIF('M_Logic'!$J$6:$J$127,"静态类")+COUNTIF('M_Logic'!$J$6:$J$127,"class")+COUNTIF('M_Logic'!$J$6:$J$127,"sealed class")+COUNTIF('M_Logic'!$J$6:$J$127,"abstract class")</x:f>
        <x:v>93</x:v>
      </x:c>
      <x:c r="G57" s="204" t="n">
        <x:f>COUNTIF('M_Logic'!$J$6:$J$127,"接口")+COUNTIF('M_Logic'!$J$6:$J$127,"interface")</x:f>
        <x:v>7</x:v>
      </x:c>
      <x:c r="H57" s="204" t="n">
        <x:f>COUNTIF('M_Logic'!$J$6:$J$127,"枚举")+COUNTIF('M_Logic'!$J$6:$J$127,"enum")</x:f>
        <x:v>6</x:v>
      </x:c>
      <x:c r="I57" s="204" t="n">
        <x:f>COUNTIF('M_Logic'!$J$6:$J$127,"结构体")+COUNTIF('M_Logic'!$J$6:$J$127,"struct")+COUNTIF('M_Logic'!$J$6:$J$127,"readonly struct")</x:f>
        <x:v>0</x:v>
      </x:c>
      <x:c r="J57" s="204" t="n">
        <x:f>E57-SUM(F57:I57)</x:f>
        <x:v>16</x:v>
      </x:c>
      <x:c r="K57" s="204" t="n">
        <x:v>2</x:v>
      </x:c>
      <x:c r="L57" s="204" t="str">
        <x:v>表达式、规则、状态、命令</x:v>
      </x:c>
      <x:c r="M57" s="204" t="str">
        <x:v>Mechanism.Core；Foundation相关</x:v>
      </x:c>
      <x:c r="N57" s="204" t="str">
        <x:v>历史/规划候选合计，待归属及验收</x:v>
      </x:c>
    </x:row>
    <x:row r="58" ht="36.75" customHeight="1">
      <x:c r="A58" s="204"/>
      <x:c r="B58" s="204"/>
      <x:c r="C58" s="204" t="str">
        <x:v>M11</x:v>
      </x:c>
      <x:c r="D58" s="204" t="str">
        <x:v>逻辑与行为｜Expression / Rule / Script
Expression Rules</x:v>
      </x:c>
      <x:c r="E58" s="204" t="n">
        <x:v>44</x:v>
      </x:c>
      <x:c r="F58" s="204" t="n">
        <x:v>34</x:v>
      </x:c>
      <x:c r="G58" s="204" t="n">
        <x:v>3</x:v>
      </x:c>
      <x:c r="H58" s="204" t="n">
        <x:v>1</x:v>
      </x:c>
      <x:c r="I58" s="204" t="n">
        <x:v>0</x:v>
      </x:c>
      <x:c r="J58" s="204" t="n">
        <x:v>6</x:v>
      </x:c>
      <x:c r="K58" s="204"/>
      <x:c r="L58" s="204"/>
      <x:c r="M58" s="204"/>
      <x:c r="N58" s="204" t="str">
        <x:v>子方面归属按V6.1裁决，旧类待复核</x:v>
      </x:c>
    </x:row>
    <x:row r="59" ht="36.75" customHeight="1">
      <x:c r="A59" s="204"/>
      <x:c r="B59" s="204"/>
      <x:c r="C59" s="204" t="str">
        <x:v>M12</x:v>
      </x:c>
      <x:c r="D59" s="204" t="str">
        <x:v>逻辑与行为｜Command / State / Event / Action
Command Events</x:v>
      </x:c>
      <x:c r="E59" s="204" t="n">
        <x:v>78</x:v>
      </x:c>
      <x:c r="F59" s="204" t="n">
        <x:v>59</x:v>
      </x:c>
      <x:c r="G59" s="204" t="n">
        <x:v>4</x:v>
      </x:c>
      <x:c r="H59" s="204" t="n">
        <x:v>5</x:v>
      </x:c>
      <x:c r="I59" s="204" t="n">
        <x:v>0</x:v>
      </x:c>
      <x:c r="J59" s="204" t="n">
        <x:v>10</x:v>
      </x:c>
      <x:c r="K59" s="204"/>
      <x:c r="L59" s="204"/>
      <x:c r="M59" s="204"/>
      <x:c r="N59" s="204" t="str">
        <x:v>子方面归属按V6.1裁决，旧类待复核</x:v>
      </x:c>
    </x:row>
    <x:row r="60" ht="36.75" customHeight="1">
      <x:c r="A60" s="204" t="str">
        <x:v>Mechanism</x:v>
      </x:c>
      <x:c r="B60" s="204" t="str">
        <x:v>CxVisual.Mechanism.Connectivity</x:v>
      </x:c>
      <x:c r="C60" s="204" t="str">
        <x:v>项目合计</x:v>
      </x:c>
      <x:c r="D60" s="204" t="str">
        <x:v>下方列出子方面</x:v>
      </x:c>
      <x:c r="E60" s="204" t="n">
        <x:f>COUNTA('M_Connectivity'!$C$6:$C$122)</x:f>
        <x:v>117</x:v>
      </x:c>
      <x:c r="F60" s="204" t="n">
        <x:f>COUNTIF('M_Connectivity'!$J$6:$J$122,"类")+COUNTIF('M_Connectivity'!$J$6:$J$122,"静态类")+COUNTIF('M_Connectivity'!$J$6:$J$122,"class")+COUNTIF('M_Connectivity'!$J$6:$J$122,"sealed class")+COUNTIF('M_Connectivity'!$J$6:$J$122,"abstract class")</x:f>
        <x:v>66</x:v>
      </x:c>
      <x:c r="G60" s="204" t="n">
        <x:f>COUNTIF('M_Connectivity'!$J$6:$J$122,"接口")+COUNTIF('M_Connectivity'!$J$6:$J$122,"interface")</x:f>
        <x:v>13</x:v>
      </x:c>
      <x:c r="H60" s="204" t="n">
        <x:f>COUNTIF('M_Connectivity'!$J$6:$J$122,"枚举")+COUNTIF('M_Connectivity'!$J$6:$J$122,"enum")</x:f>
        <x:v>10</x:v>
      </x:c>
      <x:c r="I60" s="204" t="n">
        <x:f>COUNTIF('M_Connectivity'!$J$6:$J$122,"结构体")+COUNTIF('M_Connectivity'!$J$6:$J$122,"struct")+COUNTIF('M_Connectivity'!$J$6:$J$122,"readonly struct")</x:f>
        <x:v>0</x:v>
      </x:c>
      <x:c r="J60" s="204" t="n">
        <x:f>E60-SUM(F60:I60)</x:f>
        <x:v>28</x:v>
      </x:c>
      <x:c r="K60" s="204" t="n">
        <x:v>3</x:v>
      </x:c>
      <x:c r="L60" s="204" t="str">
        <x:v>通道、规约、Driver/Provider契约</x:v>
      </x:c>
      <x:c r="M60" s="204" t="str">
        <x:v>Mechanism.Core；Foundation.Transport / Data</x:v>
      </x:c>
      <x:c r="N60" s="204" t="str">
        <x:v>历史/规划候选合计，待归属及验收</x:v>
      </x:c>
    </x:row>
    <x:row r="61" ht="36.75" customHeight="1">
      <x:c r="A61" s="204"/>
      <x:c r="B61" s="204"/>
      <x:c r="C61" s="204" t="str">
        <x:v>M13</x:v>
      </x:c>
      <x:c r="D61" s="204" t="str">
        <x:v>通信与集成｜Channel Foundation
Channel Communication</x:v>
      </x:c>
      <x:c r="E61" s="204" t="n">
        <x:v>46</x:v>
      </x:c>
      <x:c r="F61" s="204" t="n">
        <x:v>28</x:v>
      </x:c>
      <x:c r="G61" s="204" t="n">
        <x:v>2</x:v>
      </x:c>
      <x:c r="H61" s="204" t="n">
        <x:v>7</x:v>
      </x:c>
      <x:c r="I61" s="204" t="n">
        <x:v>0</x:v>
      </x:c>
      <x:c r="J61" s="204" t="n">
        <x:v>9</x:v>
      </x:c>
      <x:c r="K61" s="204"/>
      <x:c r="L61" s="204"/>
      <x:c r="M61" s="204"/>
      <x:c r="N61" s="204" t="str">
        <x:v>子方面归属按V6.1裁决，旧类待复核</x:v>
      </x:c>
    </x:row>
    <x:row r="62" ht="36.75" customHeight="1">
      <x:c r="A62" s="204"/>
      <x:c r="B62" s="204"/>
      <x:c r="C62" s="204" t="str">
        <x:v>M14</x:v>
      </x:c>
      <x:c r="D62" s="204" t="str">
        <x:v>通信与集成｜Protocol Foundation
Protocol Adapters</x:v>
      </x:c>
      <x:c r="E62" s="204" t="n">
        <x:v>23</x:v>
      </x:c>
      <x:c r="F62" s="204" t="n">
        <x:v>9</x:v>
      </x:c>
      <x:c r="G62" s="204" t="n">
        <x:v>4</x:v>
      </x:c>
      <x:c r="H62" s="204" t="n">
        <x:v>0</x:v>
      </x:c>
      <x:c r="I62" s="204" t="n">
        <x:v>0</x:v>
      </x:c>
      <x:c r="J62" s="204" t="n">
        <x:v>10</x:v>
      </x:c>
      <x:c r="K62" s="204"/>
      <x:c r="L62" s="204"/>
      <x:c r="M62" s="204"/>
      <x:c r="N62" s="204" t="str">
        <x:v>子方面归属按V6.1裁决，旧类待复核</x:v>
      </x:c>
    </x:row>
    <x:row r="63" ht="36.75" customHeight="1">
      <x:c r="A63" s="204"/>
      <x:c r="B63" s="204"/>
      <x:c r="C63" s="204" t="str">
        <x:v>M15</x:v>
      </x:c>
      <x:c r="D63" s="204" t="str">
        <x:v>通信与集成｜Driver / Provider / Capability
Driver Providers</x:v>
      </x:c>
      <x:c r="E63" s="204" t="n">
        <x:v>48</x:v>
      </x:c>
      <x:c r="F63" s="204" t="n">
        <x:v>29</x:v>
      </x:c>
      <x:c r="G63" s="204" t="n">
        <x:v>7</x:v>
      </x:c>
      <x:c r="H63" s="204" t="n">
        <x:v>3</x:v>
      </x:c>
      <x:c r="I63" s="204" t="n">
        <x:v>0</x:v>
      </x:c>
      <x:c r="J63" s="204" t="n">
        <x:v>9</x:v>
      </x:c>
      <x:c r="K63" s="204"/>
      <x:c r="L63" s="204"/>
      <x:c r="M63" s="204"/>
      <x:c r="N63" s="204" t="str">
        <x:v>子方面归属按V6.1裁决，旧类待复核</x:v>
      </x:c>
    </x:row>
    <x:row r="64" ht="36.75" customHeight="1">
      <x:c r="A64" s="204" t="str">
        <x:v>Mechanism</x:v>
      </x:c>
      <x:c r="B64" s="204" t="str">
        <x:v>CxVisual.Mechanism.Visual</x:v>
      </x:c>
      <x:c r="C64" s="204" t="str">
        <x:v>项目合计</x:v>
      </x:c>
      <x:c r="D64" s="204" t="str">
        <x:v>下方列出子方面</x:v>
      </x:c>
      <x:c r="E64" s="204" t="n">
        <x:f>COUNTA('M_Visual'!$C$6:$C$212)</x:f>
        <x:v>207</x:v>
      </x:c>
      <x:c r="F64" s="204" t="n">
        <x:f>COUNTIF('M_Visual'!$J$6:$J$212,"类")+COUNTIF('M_Visual'!$J$6:$J$212,"静态类")+COUNTIF('M_Visual'!$J$6:$J$212,"class")+COUNTIF('M_Visual'!$J$6:$J$212,"sealed class")+COUNTIF('M_Visual'!$J$6:$J$212,"abstract class")</x:f>
        <x:v>163</x:v>
      </x:c>
      <x:c r="G64" s="204" t="n">
        <x:f>COUNTIF('M_Visual'!$J$6:$J$212,"接口")+COUNTIF('M_Visual'!$J$6:$J$212,"interface")</x:f>
        <x:v>12</x:v>
      </x:c>
      <x:c r="H64" s="204" t="n">
        <x:f>COUNTIF('M_Visual'!$J$6:$J$212,"枚举")+COUNTIF('M_Visual'!$J$6:$J$212,"enum")</x:f>
        <x:v>13</x:v>
      </x:c>
      <x:c r="I64" s="204" t="n">
        <x:f>COUNTIF('M_Visual'!$J$6:$J$212,"结构体")+COUNTIF('M_Visual'!$J$6:$J$212,"struct")+COUNTIF('M_Visual'!$J$6:$J$212,"readonly struct")</x:f>
        <x:v>3</x:v>
      </x:c>
      <x:c r="J64" s="204" t="n">
        <x:f>E64-SUM(F64:I64)</x:f>
        <x:v>16</x:v>
      </x:c>
      <x:c r="K64" s="204" t="n">
        <x:v>3</x:v>
      </x:c>
      <x:c r="L64" s="204" t="str">
        <x:v>无UI可视投影、Diagram、编辑/Undo</x:v>
      </x:c>
      <x:c r="M64" s="204" t="str">
        <x:v>Mechanism.Core；Foundation.Geometry / Imaging</x:v>
      </x:c>
      <x:c r="N64" s="204" t="str">
        <x:v>历史/规划候选合计，待归属及验收</x:v>
      </x:c>
    </x:row>
    <x:row r="65" ht="36.75" customHeight="1">
      <x:c r="A65" s="204"/>
      <x:c r="B65" s="204"/>
      <x:c r="C65" s="204" t="str">
        <x:v>M16</x:v>
      </x:c>
      <x:c r="D65" s="204" t="str">
        <x:v>表现与编辑｜Drawing / Layer / Geometry
Drawing Layers</x:v>
      </x:c>
      <x:c r="E65" s="204" t="n">
        <x:v>104</x:v>
      </x:c>
      <x:c r="F65" s="204" t="n">
        <x:v>87</x:v>
      </x:c>
      <x:c r="G65" s="204" t="n">
        <x:v>5</x:v>
      </x:c>
      <x:c r="H65" s="204" t="n">
        <x:v>7</x:v>
      </x:c>
      <x:c r="I65" s="204" t="n">
        <x:v>2</x:v>
      </x:c>
      <x:c r="J65" s="204" t="n">
        <x:v>3</x:v>
      </x:c>
      <x:c r="K65" s="204"/>
      <x:c r="L65" s="204"/>
      <x:c r="M65" s="204"/>
      <x:c r="N65" s="204" t="str">
        <x:v>子方面归属按V6.1裁决，旧类待复核</x:v>
      </x:c>
    </x:row>
    <x:row r="66" ht="36.75" customHeight="1">
      <x:c r="A66" s="204"/>
      <x:c r="B66" s="204"/>
      <x:c r="C66" s="204" t="str">
        <x:v>M17</x:v>
      </x:c>
      <x:c r="D66" s="204" t="str">
        <x:v>表现与编辑｜Diagram / Node Visual
Diagram Visuals</x:v>
      </x:c>
      <x:c r="E66" s="204" t="n">
        <x:v>47</x:v>
      </x:c>
      <x:c r="F66" s="204" t="n">
        <x:v>34</x:v>
      </x:c>
      <x:c r="G66" s="204" t="n">
        <x:v>4</x:v>
      </x:c>
      <x:c r="H66" s="204" t="n">
        <x:v>4</x:v>
      </x:c>
      <x:c r="I66" s="204" t="n">
        <x:v>0</x:v>
      </x:c>
      <x:c r="J66" s="204" t="n">
        <x:v>5</x:v>
      </x:c>
      <x:c r="K66" s="204"/>
      <x:c r="L66" s="204"/>
      <x:c r="M66" s="204"/>
      <x:c r="N66" s="204" t="str">
        <x:v>子方面归属按V6.1裁决，旧类待复核</x:v>
      </x:c>
    </x:row>
    <x:row r="67" ht="36.75" customHeight="1">
      <x:c r="A67" s="204"/>
      <x:c r="B67" s="204"/>
      <x:c r="C67" s="204" t="str">
        <x:v>M37</x:v>
      </x:c>
      <x:c r="D67" s="204" t="str">
        <x:v>工程与Studio｜Editing / Studio Contribution
Studio Editing</x:v>
      </x:c>
      <x:c r="E67" s="204" t="n">
        <x:v>56</x:v>
      </x:c>
      <x:c r="F67" s="204" t="n">
        <x:v>42</x:v>
      </x:c>
      <x:c r="G67" s="204" t="n">
        <x:v>3</x:v>
      </x:c>
      <x:c r="H67" s="204" t="n">
        <x:v>2</x:v>
      </x:c>
      <x:c r="I67" s="204" t="n">
        <x:v>1</x:v>
      </x:c>
      <x:c r="J67" s="204" t="n">
        <x:v>8</x:v>
      </x:c>
      <x:c r="K67" s="204"/>
      <x:c r="L67" s="204"/>
      <x:c r="M67" s="204"/>
      <x:c r="N67" s="204" t="str">
        <x:v>子方面归属按V6.1裁决，旧类待复核</x:v>
      </x:c>
    </x:row>
    <x:row r="68" ht="36.75" customHeight="1">
      <x:c r="A68" s="204" t="str">
        <x:v>Mechanism</x:v>
      </x:c>
      <x:c r="B68" s="204" t="str">
        <x:v>CxVisual.Mechanism.Orchestration</x:v>
      </x:c>
      <x:c r="C68" s="204" t="str">
        <x:v>项目合计</x:v>
      </x:c>
      <x:c r="D68" s="204" t="str">
        <x:v>下方列出子方面</x:v>
      </x:c>
      <x:c r="E68" s="204" t="n">
        <x:f>COUNTA('M_Orchestration'!$C$6:$C$73)</x:f>
        <x:v>68</x:v>
      </x:c>
      <x:c r="F68" s="204" t="n">
        <x:f>COUNTIF('M_Orchestration'!$J$6:$J$73,"类")+COUNTIF('M_Orchestration'!$J$6:$J$73,"静态类")+COUNTIF('M_Orchestration'!$J$6:$J$73,"class")+COUNTIF('M_Orchestration'!$J$6:$J$73,"sealed class")+COUNTIF('M_Orchestration'!$J$6:$J$73,"abstract class")</x:f>
        <x:v>11</x:v>
      </x:c>
      <x:c r="G68" s="204" t="n">
        <x:f>COUNTIF('M_Orchestration'!$J$6:$J$73,"接口")+COUNTIF('M_Orchestration'!$J$6:$J$73,"interface")</x:f>
        <x:v>0</x:v>
      </x:c>
      <x:c r="H68" s="204" t="n">
        <x:f>COUNTIF('M_Orchestration'!$J$6:$J$73,"枚举")+COUNTIF('M_Orchestration'!$J$6:$J$73,"enum")</x:f>
        <x:v>4</x:v>
      </x:c>
      <x:c r="I68" s="204" t="n">
        <x:f>COUNTIF('M_Orchestration'!$J$6:$J$73,"结构体")+COUNTIF('M_Orchestration'!$J$6:$J$73,"struct")+COUNTIF('M_Orchestration'!$J$6:$J$73,"readonly struct")</x:f>
        <x:v>0</x:v>
      </x:c>
      <x:c r="J68" s="204" t="n">
        <x:f>E68-SUM(F68:I68)</x:f>
        <x:v>53</x:v>
      </x:c>
      <x:c r="K68" s="204" t="n">
        <x:v>8</x:v>
      </x:c>
      <x:c r="L68" s="204" t="str">
        <x:v>流程拓扑、控制流、数据流、组合</x:v>
      </x:c>
      <x:c r="M68" s="204" t="str">
        <x:v>Mechanism.Core / Data / Logic；不依赖Visual</x:v>
      </x:c>
      <x:c r="N68" s="204" t="str">
        <x:v>历史/规划候选合计，待归属及验收</x:v>
      </x:c>
    </x:row>
    <x:row r="69" ht="36.75" customHeight="1">
      <x:c r="A69" s="204"/>
      <x:c r="B69" s="204"/>
      <x:c r="C69" s="204" t="str">
        <x:v>M18</x:v>
      </x:c>
      <x:c r="D69" s="204" t="str">
        <x:v>编排与执行｜统一节点拓扑与编排关系
Node Topology</x:v>
      </x:c>
      <x:c r="E69" s="204" t="n">
        <x:v>7</x:v>
      </x:c>
      <x:c r="F69" s="204" t="n">
        <x:v>0</x:v>
      </x:c>
      <x:c r="G69" s="204" t="n">
        <x:v>0</x:v>
      </x:c>
      <x:c r="H69" s="204" t="n">
        <x:v>0</x:v>
      </x:c>
      <x:c r="I69" s="204" t="n">
        <x:v>0</x:v>
      </x:c>
      <x:c r="J69" s="204" t="n">
        <x:v>7</x:v>
      </x:c>
      <x:c r="K69" s="204"/>
      <x:c r="L69" s="204"/>
      <x:c r="M69" s="204"/>
      <x:c r="N69" s="204" t="str">
        <x:v>子方面归属按V6.1裁决，旧类待复核</x:v>
      </x:c>
    </x:row>
    <x:row r="70" ht="36.75" customHeight="1">
      <x:c r="A70" s="204"/>
      <x:c r="B70" s="204"/>
      <x:c r="C70" s="204" t="str">
        <x:v>M19</x:v>
      </x:c>
      <x:c r="D70" s="204" t="str">
        <x:v>编排与执行｜ControlFlow
Control Flow</x:v>
      </x:c>
      <x:c r="E70" s="204" t="n">
        <x:v>6</x:v>
      </x:c>
      <x:c r="F70" s="204" t="n">
        <x:v>0</x:v>
      </x:c>
      <x:c r="G70" s="204" t="n">
        <x:v>0</x:v>
      </x:c>
      <x:c r="H70" s="204" t="n">
        <x:v>0</x:v>
      </x:c>
      <x:c r="I70" s="204" t="n">
        <x:v>0</x:v>
      </x:c>
      <x:c r="J70" s="204" t="n">
        <x:v>6</x:v>
      </x:c>
      <x:c r="K70" s="204"/>
      <x:c r="L70" s="204"/>
      <x:c r="M70" s="204"/>
      <x:c r="N70" s="204" t="str">
        <x:v>子方面归属按V6.1裁决，旧类待复核</x:v>
      </x:c>
    </x:row>
    <x:row r="71" ht="36.75" customHeight="1">
      <x:c r="A71" s="204"/>
      <x:c r="B71" s="204"/>
      <x:c r="C71" s="204" t="str">
        <x:v>M20</x:v>
      </x:c>
      <x:c r="D71" s="204" t="str">
        <x:v>编排与执行｜DataFlow / Streaming
Data Flow</x:v>
      </x:c>
      <x:c r="E71" s="204" t="n">
        <x:v>7</x:v>
      </x:c>
      <x:c r="F71" s="204" t="n">
        <x:v>0</x:v>
      </x:c>
      <x:c r="G71" s="204" t="n">
        <x:v>0</x:v>
      </x:c>
      <x:c r="H71" s="204" t="n">
        <x:v>0</x:v>
      </x:c>
      <x:c r="I71" s="204" t="n">
        <x:v>0</x:v>
      </x:c>
      <x:c r="J71" s="204" t="n">
        <x:v>7</x:v>
      </x:c>
      <x:c r="K71" s="204"/>
      <x:c r="L71" s="204"/>
      <x:c r="M71" s="204"/>
      <x:c r="N71" s="204" t="str">
        <x:v>子方面归属按V6.1裁决，旧类待复核</x:v>
      </x:c>
    </x:row>
    <x:row r="72" ht="36.75" customHeight="1">
      <x:c r="A72" s="204"/>
      <x:c r="B72" s="204"/>
      <x:c r="C72" s="204" t="str">
        <x:v>M21</x:v>
      </x:c>
      <x:c r="D72" s="204" t="str">
        <x:v>编排与执行｜StateMachine
State Machines</x:v>
      </x:c>
      <x:c r="E72" s="204" t="n">
        <x:v>10</x:v>
      </x:c>
      <x:c r="F72" s="204" t="n">
        <x:v>5</x:v>
      </x:c>
      <x:c r="G72" s="204" t="n">
        <x:v>0</x:v>
      </x:c>
      <x:c r="H72" s="204" t="n">
        <x:v>0</x:v>
      </x:c>
      <x:c r="I72" s="204" t="n">
        <x:v>0</x:v>
      </x:c>
      <x:c r="J72" s="204" t="n">
        <x:v>5</x:v>
      </x:c>
      <x:c r="K72" s="204"/>
      <x:c r="L72" s="204"/>
      <x:c r="M72" s="204"/>
      <x:c r="N72" s="204" t="str">
        <x:v>子方面归属按V6.1裁决，旧类待复核</x:v>
      </x:c>
    </x:row>
    <x:row r="73" ht="36.75" customHeight="1">
      <x:c r="A73" s="204"/>
      <x:c r="B73" s="204"/>
      <x:c r="C73" s="204" t="str">
        <x:v>M22</x:v>
      </x:c>
      <x:c r="D73" s="204" t="str">
        <x:v>编排与执行｜Durable Workflow / ExternalTask
Durable Workflows</x:v>
      </x:c>
      <x:c r="E73" s="204" t="n">
        <x:v>10</x:v>
      </x:c>
      <x:c r="F73" s="204" t="n">
        <x:v>1</x:v>
      </x:c>
      <x:c r="G73" s="204" t="n">
        <x:v>0</x:v>
      </x:c>
      <x:c r="H73" s="204" t="n">
        <x:v>0</x:v>
      </x:c>
      <x:c r="I73" s="204" t="n">
        <x:v>0</x:v>
      </x:c>
      <x:c r="J73" s="204" t="n">
        <x:v>9</x:v>
      </x:c>
      <x:c r="K73" s="204"/>
      <x:c r="L73" s="204"/>
      <x:c r="M73" s="204"/>
      <x:c r="N73" s="204" t="str">
        <x:v>子方面归属按V6.1裁决，旧类待复核</x:v>
      </x:c>
    </x:row>
    <x:row r="74" ht="36.75" customHeight="1">
      <x:c r="A74" s="204"/>
      <x:c r="B74" s="204"/>
      <x:c r="C74" s="204" t="str">
        <x:v>M23</x:v>
      </x:c>
      <x:c r="D74" s="204" t="str">
        <x:v>编排与执行｜Trigger / Subscription / Reactive
Triggers Subscriptions</x:v>
      </x:c>
      <x:c r="E74" s="204" t="n">
        <x:v>13</x:v>
      </x:c>
      <x:c r="F74" s="204" t="n">
        <x:v>5</x:v>
      </x:c>
      <x:c r="G74" s="204" t="n">
        <x:v>0</x:v>
      </x:c>
      <x:c r="H74" s="204" t="n">
        <x:v>4</x:v>
      </x:c>
      <x:c r="I74" s="204" t="n">
        <x:v>0</x:v>
      </x:c>
      <x:c r="J74" s="204" t="n">
        <x:v>4</x:v>
      </x:c>
      <x:c r="K74" s="204"/>
      <x:c r="L74" s="204"/>
      <x:c r="M74" s="204"/>
      <x:c r="N74" s="204" t="str">
        <x:v>子方面归属按V6.1裁决，旧类待复核</x:v>
      </x:c>
    </x:row>
    <x:row r="75" ht="36.75" customHeight="1">
      <x:c r="A75" s="204"/>
      <x:c r="B75" s="204"/>
      <x:c r="C75" s="204" t="str">
        <x:v>M24</x:v>
      </x:c>
      <x:c r="D75" s="204" t="str">
        <x:v>编排与执行｜Invocation / Composition / MultiInstance
Invocation Composition</x:v>
      </x:c>
      <x:c r="E75" s="204" t="n">
        <x:v>7</x:v>
      </x:c>
      <x:c r="F75" s="204" t="n">
        <x:v>0</x:v>
      </x:c>
      <x:c r="G75" s="204" t="n">
        <x:v>0</x:v>
      </x:c>
      <x:c r="H75" s="204" t="n">
        <x:v>0</x:v>
      </x:c>
      <x:c r="I75" s="204" t="n">
        <x:v>0</x:v>
      </x:c>
      <x:c r="J75" s="204" t="n">
        <x:v>7</x:v>
      </x:c>
      <x:c r="K75" s="204"/>
      <x:c r="L75" s="204"/>
      <x:c r="M75" s="204"/>
      <x:c r="N75" s="204" t="str">
        <x:v>子方面归属按V6.1裁决，旧类待复核</x:v>
      </x:c>
    </x:row>
    <x:row r="76" ht="36.75" customHeight="1">
      <x:c r="A76" s="204"/>
      <x:c r="B76" s="204"/>
      <x:c r="C76" s="204" t="str">
        <x:v>M25</x:v>
      </x:c>
      <x:c r="D76" s="204" t="str">
        <x:v>编排与执行｜Time / Scheduler / Queue
Scheduling Queues</x:v>
      </x:c>
      <x:c r="E76" s="204" t="n">
        <x:v>8</x:v>
      </x:c>
      <x:c r="F76" s="204" t="n">
        <x:v>0</x:v>
      </x:c>
      <x:c r="G76" s="204" t="n">
        <x:v>0</x:v>
      </x:c>
      <x:c r="H76" s="204" t="n">
        <x:v>0</x:v>
      </x:c>
      <x:c r="I76" s="204" t="n">
        <x:v>0</x:v>
      </x:c>
      <x:c r="J76" s="204" t="n">
        <x:v>8</x:v>
      </x:c>
      <x:c r="K76" s="204"/>
      <x:c r="L76" s="204"/>
      <x:c r="M76" s="204"/>
      <x:c r="N76" s="204" t="str">
        <x:v>子方面归属按V6.1裁决，旧类待复核</x:v>
      </x:c>
    </x:row>
    <x:row r="77" ht="36.75" customHeight="1">
      <x:c r="A77" s="204" t="str">
        <x:v>Mechanism</x:v>
      </x:c>
      <x:c r="B77" s="204" t="str">
        <x:v>CxVisual.Mechanism.Runtime</x:v>
      </x:c>
      <x:c r="C77" s="204" t="str">
        <x:v>项目合计</x:v>
      </x:c>
      <x:c r="D77" s="204" t="str">
        <x:v>下方列出子方面</x:v>
      </x:c>
      <x:c r="E77" s="204" t="n">
        <x:f>COUNTA('M_Runtime'!$C$6:$C$232)</x:f>
        <x:v>227</x:v>
      </x:c>
      <x:c r="F77" s="204" t="n">
        <x:f>COUNTIF('M_Runtime'!$J$6:$J$232,"类")+COUNTIF('M_Runtime'!$J$6:$J$232,"静态类")+COUNTIF('M_Runtime'!$J$6:$J$232,"class")+COUNTIF('M_Runtime'!$J$6:$J$232,"sealed class")+COUNTIF('M_Runtime'!$J$6:$J$232,"abstract class")</x:f>
        <x:v>114</x:v>
      </x:c>
      <x:c r="G77" s="204" t="n">
        <x:f>COUNTIF('M_Runtime'!$J$6:$J$232,"接口")+COUNTIF('M_Runtime'!$J$6:$J$232,"interface")</x:f>
        <x:v>4</x:v>
      </x:c>
      <x:c r="H77" s="204" t="n">
        <x:f>COUNTIF('M_Runtime'!$J$6:$J$232,"枚举")+COUNTIF('M_Runtime'!$J$6:$J$232,"enum")</x:f>
        <x:v>25</x:v>
      </x:c>
      <x:c r="I77" s="204" t="n">
        <x:f>COUNTIF('M_Runtime'!$J$6:$J$232,"结构体")+COUNTIF('M_Runtime'!$J$6:$J$232,"struct")+COUNTIF('M_Runtime'!$J$6:$J$232,"readonly struct")</x:f>
        <x:v>0</x:v>
      </x:c>
      <x:c r="J77" s="204" t="n">
        <x:f>E77-SUM(F77:I77)</x:f>
        <x:v>84</x:v>
      </x:c>
      <x:c r="K77" s="204" t="n">
        <x:v>9</x:v>
      </x:c>
      <x:c r="L77" s="204" t="str">
        <x:v>资源、安全、编译执行、调试仿真</x:v>
      </x:c>
      <x:c r="M77" s="204" t="str">
        <x:v>Mechanism.Core / Data / Logic / Orchestration / Connectivity</x:v>
      </x:c>
      <x:c r="N77" s="204" t="str">
        <x:v>历史/规划候选合计，待归属及验收</x:v>
      </x:c>
    </x:row>
    <x:row r="78" ht="36.75" customHeight="1">
      <x:c r="A78" s="204"/>
      <x:c r="B78" s="204"/>
      <x:c r="C78" s="204" t="str">
        <x:v>M26</x:v>
      </x:c>
      <x:c r="D78" s="204" t="str">
        <x:v>资源与治理｜Runtime Resource / Lease / Placement
Resource Leasing</x:v>
      </x:c>
      <x:c r="E78" s="204" t="n">
        <x:v>32</x:v>
      </x:c>
      <x:c r="F78" s="204" t="n">
        <x:v>17</x:v>
      </x:c>
      <x:c r="G78" s="204" t="n">
        <x:v>1</x:v>
      </x:c>
      <x:c r="H78" s="204" t="n">
        <x:v>3</x:v>
      </x:c>
      <x:c r="I78" s="204" t="n">
        <x:v>0</x:v>
      </x:c>
      <x:c r="J78" s="204" t="n">
        <x:v>11</x:v>
      </x:c>
      <x:c r="K78" s="204"/>
      <x:c r="L78" s="204"/>
      <x:c r="M78" s="204"/>
      <x:c r="N78" s="204" t="str">
        <x:v>子方面归属按V6.1裁决，旧类待复核</x:v>
      </x:c>
    </x:row>
    <x:row r="79" ht="36.75" customHeight="1">
      <x:c r="A79" s="204"/>
      <x:c r="B79" s="204"/>
      <x:c r="C79" s="204" t="str">
        <x:v>M27</x:v>
      </x:c>
      <x:c r="D79" s="204" t="str">
        <x:v>资源与治理｜Policy / Fault / Recovery
Fault Recovery</x:v>
      </x:c>
      <x:c r="E79" s="204" t="n">
        <x:v>36</x:v>
      </x:c>
      <x:c r="F79" s="204" t="n">
        <x:v>18</x:v>
      </x:c>
      <x:c r="G79" s="204" t="n">
        <x:v>0</x:v>
      </x:c>
      <x:c r="H79" s="204" t="n">
        <x:v>9</x:v>
      </x:c>
      <x:c r="I79" s="204" t="n">
        <x:v>0</x:v>
      </x:c>
      <x:c r="J79" s="204" t="n">
        <x:v>9</x:v>
      </x:c>
      <x:c r="K79" s="204"/>
      <x:c r="L79" s="204"/>
      <x:c r="M79" s="204"/>
      <x:c r="N79" s="204" t="str">
        <x:v>子方面归属按V6.1裁决，旧类待复核</x:v>
      </x:c>
    </x:row>
    <x:row r="80" ht="36.75" customHeight="1">
      <x:c r="A80" s="204"/>
      <x:c r="B80" s="204"/>
      <x:c r="C80" s="204" t="str">
        <x:v>M28</x:v>
      </x:c>
      <x:c r="D80" s="204" t="str">
        <x:v>资源与治理｜Security / Interlock / Audit
Security Interlocks</x:v>
      </x:c>
      <x:c r="E80" s="204" t="n">
        <x:v>40</x:v>
      </x:c>
      <x:c r="F80" s="204" t="n">
        <x:v>21</x:v>
      </x:c>
      <x:c r="G80" s="204" t="n">
        <x:v>3</x:v>
      </x:c>
      <x:c r="H80" s="204" t="n">
        <x:v>6</x:v>
      </x:c>
      <x:c r="I80" s="204" t="n">
        <x:v>0</x:v>
      </x:c>
      <x:c r="J80" s="204" t="n">
        <x:v>10</x:v>
      </x:c>
      <x:c r="K80" s="204"/>
      <x:c r="L80" s="204"/>
      <x:c r="M80" s="204"/>
      <x:c r="N80" s="204" t="str">
        <x:v>子方面归属按V6.1裁决，旧类待复核</x:v>
      </x:c>
    </x:row>
    <x:row r="81" ht="36.75" customHeight="1">
      <x:c r="A81" s="204"/>
      <x:c r="B81" s="204"/>
      <x:c r="C81" s="204" t="str">
        <x:v>M29</x:v>
      </x:c>
      <x:c r="D81" s="204" t="str">
        <x:v>编译与计划｜Validate / Resolve / Compile / Plan
Compile Plan</x:v>
      </x:c>
      <x:c r="E81" s="204" t="n">
        <x:v>8</x:v>
      </x:c>
      <x:c r="F81" s="204" t="n">
        <x:v>0</x:v>
      </x:c>
      <x:c r="G81" s="204" t="n">
        <x:v>0</x:v>
      </x:c>
      <x:c r="H81" s="204" t="n">
        <x:v>0</x:v>
      </x:c>
      <x:c r="I81" s="204" t="n">
        <x:v>0</x:v>
      </x:c>
      <x:c r="J81" s="204" t="n">
        <x:v>8</x:v>
      </x:c>
      <x:c r="K81" s="204"/>
      <x:c r="L81" s="204"/>
      <x:c r="M81" s="204"/>
      <x:c r="N81" s="204" t="str">
        <x:v>子方面归属按V6.1裁决，旧类待复核</x:v>
      </x:c>
    </x:row>
    <x:row r="82" ht="36.75" customHeight="1">
      <x:c r="A82" s="204"/>
      <x:c r="B82" s="204"/>
      <x:c r="C82" s="204" t="str">
        <x:v>M30</x:v>
      </x:c>
      <x:c r="D82" s="204" t="str">
        <x:v>运行时｜Runtime Kernel / Instance / Scope / Context
Runtime Kernel</x:v>
      </x:c>
      <x:c r="E82" s="204" t="n">
        <x:v>8</x:v>
      </x:c>
      <x:c r="F82" s="204" t="n">
        <x:v>0</x:v>
      </x:c>
      <x:c r="G82" s="204" t="n">
        <x:v>0</x:v>
      </x:c>
      <x:c r="H82" s="204" t="n">
        <x:v>0</x:v>
      </x:c>
      <x:c r="I82" s="204" t="n">
        <x:v>0</x:v>
      </x:c>
      <x:c r="J82" s="204" t="n">
        <x:v>8</x:v>
      </x:c>
      <x:c r="K82" s="204"/>
      <x:c r="L82" s="204"/>
      <x:c r="M82" s="204"/>
      <x:c r="N82" s="204" t="str">
        <x:v>子方面归属按V6.1裁决，旧类待复核</x:v>
      </x:c>
    </x:row>
    <x:row r="83" ht="36.75" customHeight="1">
      <x:c r="A83" s="204"/>
      <x:c r="B83" s="204"/>
      <x:c r="C83" s="204" t="str">
        <x:v>M31</x:v>
      </x:c>
      <x:c r="D83" s="204" t="str">
        <x:v>运行时｜Runtime Data / Event / Resource Planes
Runtime Data</x:v>
      </x:c>
      <x:c r="E83" s="204" t="n">
        <x:v>38</x:v>
      </x:c>
      <x:c r="F83" s="204" t="n">
        <x:v>25</x:v>
      </x:c>
      <x:c r="G83" s="204" t="n">
        <x:v>0</x:v>
      </x:c>
      <x:c r="H83" s="204" t="n">
        <x:v>4</x:v>
      </x:c>
      <x:c r="I83" s="204" t="n">
        <x:v>0</x:v>
      </x:c>
      <x:c r="J83" s="204" t="n">
        <x:v>9</x:v>
      </x:c>
      <x:c r="K83" s="204"/>
      <x:c r="L83" s="204"/>
      <x:c r="M83" s="204"/>
      <x:c r="N83" s="204" t="str">
        <x:v>子方面归属按V6.1裁决，旧类待复核</x:v>
      </x:c>
    </x:row>
    <x:row r="84" ht="36.75" customHeight="1">
      <x:c r="A84" s="204"/>
      <x:c r="B84" s="204"/>
      <x:c r="C84" s="204" t="str">
        <x:v>M32</x:v>
      </x:c>
      <x:c r="D84" s="204" t="str">
        <x:v>运行时｜Runtime Visual / Monitor
Runtime Monitoring</x:v>
      </x:c>
      <x:c r="E84" s="204" t="n">
        <x:v>25</x:v>
      </x:c>
      <x:c r="F84" s="204" t="n">
        <x:v>17</x:v>
      </x:c>
      <x:c r="G84" s="204" t="n">
        <x:v>0</x:v>
      </x:c>
      <x:c r="H84" s="204" t="n">
        <x:v>1</x:v>
      </x:c>
      <x:c r="I84" s="204" t="n">
        <x:v>0</x:v>
      </x:c>
      <x:c r="J84" s="204" t="n">
        <x:v>7</x:v>
      </x:c>
      <x:c r="K84" s="204"/>
      <x:c r="L84" s="204"/>
      <x:c r="M84" s="204"/>
      <x:c r="N84" s="204" t="str">
        <x:v>子方面归属按V6.1裁决，旧类待复核</x:v>
      </x:c>
    </x:row>
    <x:row r="85" ht="36.75" customHeight="1">
      <x:c r="A85" s="204"/>
      <x:c r="B85" s="204"/>
      <x:c r="C85" s="204" t="str">
        <x:v>M33</x:v>
      </x:c>
      <x:c r="D85" s="204" t="str">
        <x:v>运行时｜Debug / Trace / Timeline / Performance / Replay
Debug Tracing</x:v>
      </x:c>
      <x:c r="E85" s="204" t="n">
        <x:v>32</x:v>
      </x:c>
      <x:c r="F85" s="204" t="n">
        <x:v>16</x:v>
      </x:c>
      <x:c r="G85" s="204" t="n">
        <x:v>0</x:v>
      </x:c>
      <x:c r="H85" s="204" t="n">
        <x:v>2</x:v>
      </x:c>
      <x:c r="I85" s="204" t="n">
        <x:v>0</x:v>
      </x:c>
      <x:c r="J85" s="204" t="n">
        <x:v>14</x:v>
      </x:c>
      <x:c r="K85" s="204"/>
      <x:c r="L85" s="204"/>
      <x:c r="M85" s="204"/>
      <x:c r="N85" s="204" t="str">
        <x:v>子方面归属按V6.1裁决，旧类待复核</x:v>
      </x:c>
    </x:row>
    <x:row r="86" ht="36.75" customHeight="1">
      <x:c r="A86" s="204"/>
      <x:c r="B86" s="204"/>
      <x:c r="C86" s="204" t="str">
        <x:v>M34</x:v>
      </x:c>
      <x:c r="D86" s="204" t="str">
        <x:v>仿真与验证｜Simulation / Virtualization / Fault Injection
Simulation Virtualization</x:v>
      </x:c>
      <x:c r="E86" s="204" t="n">
        <x:v>8</x:v>
      </x:c>
      <x:c r="F86" s="204" t="n">
        <x:v>0</x:v>
      </x:c>
      <x:c r="G86" s="204" t="n">
        <x:v>0</x:v>
      </x:c>
      <x:c r="H86" s="204" t="n">
        <x:v>0</x:v>
      </x:c>
      <x:c r="I86" s="204" t="n">
        <x:v>0</x:v>
      </x:c>
      <x:c r="J86" s="204" t="n">
        <x:v>8</x:v>
      </x:c>
      <x:c r="K86" s="204"/>
      <x:c r="L86" s="204"/>
      <x:c r="M86" s="204"/>
      <x:c r="N86" s="204" t="str">
        <x:v>子方面归属按V6.1裁决，旧类待复核</x:v>
      </x:c>
    </x:row>
    <x:row r="87" ht="36.75" customHeight="1">
      <x:c r="A87" s="204" t="str">
        <x:v>Mechanism</x:v>
      </x:c>
      <x:c r="B87" s="204" t="str">
        <x:v>CxVisual.Mechanism.Lifecycle</x:v>
      </x:c>
      <x:c r="C87" s="204" t="str">
        <x:v>项目合计</x:v>
      </x:c>
      <x:c r="D87" s="204" t="str">
        <x:v>下方列出子方面</x:v>
      </x:c>
      <x:c r="E87" s="204" t="n">
        <x:f>COUNTA('M_Lifecycle'!$C$6:$C$21)</x:f>
        <x:v>16</x:v>
      </x:c>
      <x:c r="F87" s="204" t="n">
        <x:f>COUNTIF('M_Lifecycle'!$J$6:$J$21,"类")+COUNTIF('M_Lifecycle'!$J$6:$J$21,"静态类")+COUNTIF('M_Lifecycle'!$J$6:$J$21,"class")+COUNTIF('M_Lifecycle'!$J$6:$J$21,"sealed class")+COUNTIF('M_Lifecycle'!$J$6:$J$21,"abstract class")</x:f>
        <x:v>0</x:v>
      </x:c>
      <x:c r="G87" s="204" t="n">
        <x:f>COUNTIF('M_Lifecycle'!$J$6:$J$21,"接口")+COUNTIF('M_Lifecycle'!$J$6:$J$21,"interface")</x:f>
        <x:v>0</x:v>
      </x:c>
      <x:c r="H87" s="204" t="n">
        <x:f>COUNTIF('M_Lifecycle'!$J$6:$J$21,"枚举")+COUNTIF('M_Lifecycle'!$J$6:$J$21,"enum")</x:f>
        <x:v>2</x:v>
      </x:c>
      <x:c r="I87" s="204" t="n">
        <x:f>COUNTIF('M_Lifecycle'!$J$6:$J$21,"结构体")+COUNTIF('M_Lifecycle'!$J$6:$J$21,"struct")+COUNTIF('M_Lifecycle'!$J$6:$J$21,"readonly struct")</x:f>
        <x:v>0</x:v>
      </x:c>
      <x:c r="J87" s="204" t="n">
        <x:f>E87-SUM(F87:I87)</x:f>
        <x:v>14</x:v>
      </x:c>
      <x:c r="K87" s="204" t="n">
        <x:v>2</x:v>
      </x:c>
      <x:c r="L87" s="204" t="str">
        <x:v>版本、迁移、部署、插件</x:v>
      </x:c>
      <x:c r="M87" s="204" t="str">
        <x:v>Mechanism.Core；其余通过契约/组合根</x:v>
      </x:c>
      <x:c r="N87" s="204" t="str">
        <x:v>历史/规划候选合计，待归属及验收</x:v>
      </x:c>
    </x:row>
    <x:row r="88" ht="36.75" customHeight="1">
      <x:c r="A88" s="204"/>
      <x:c r="B88" s="204"/>
      <x:c r="C88" s="204" t="str">
        <x:v>M39</x:v>
      </x:c>
      <x:c r="D88" s="204" t="str">
        <x:v>工程与发布｜Version / Migration / Package / Deploy
Version Deployment</x:v>
      </x:c>
      <x:c r="E88" s="204" t="n">
        <x:v>8</x:v>
      </x:c>
      <x:c r="F88" s="204" t="n">
        <x:v>0</x:v>
      </x:c>
      <x:c r="G88" s="204" t="n">
        <x:v>0</x:v>
      </x:c>
      <x:c r="H88" s="204" t="n">
        <x:v>2</x:v>
      </x:c>
      <x:c r="I88" s="204" t="n">
        <x:v>0</x:v>
      </x:c>
      <x:c r="J88" s="204" t="n">
        <x:v>6</x:v>
      </x:c>
      <x:c r="K88" s="204"/>
      <x:c r="L88" s="204"/>
      <x:c r="M88" s="204"/>
      <x:c r="N88" s="204" t="str">
        <x:v>子方面归属按V6.1裁决，旧类待复核</x:v>
      </x:c>
    </x:row>
    <x:row r="89" ht="36.75" customHeight="1">
      <x:c r="A89" s="204"/>
      <x:c r="B89" s="204"/>
      <x:c r="C89" s="204" t="str">
        <x:v>M40</x:v>
      </x:c>
      <x:c r="D89" s="204" t="str">
        <x:v>工程与扩展｜Plugin / Registry / Extension
Plugin Registry</x:v>
      </x:c>
      <x:c r="E89" s="204" t="n">
        <x:v>8</x:v>
      </x:c>
      <x:c r="F89" s="204" t="n">
        <x:v>0</x:v>
      </x:c>
      <x:c r="G89" s="204" t="n">
        <x:v>0</x:v>
      </x:c>
      <x:c r="H89" s="204" t="n">
        <x:v>0</x:v>
      </x:c>
      <x:c r="I89" s="204" t="n">
        <x:v>0</x:v>
      </x:c>
      <x:c r="J89" s="204" t="n">
        <x:v>8</x:v>
      </x:c>
      <x:c r="K89" s="204"/>
      <x:c r="L89" s="204"/>
      <x:c r="M89" s="204"/>
      <x:c r="N89" s="204" t="str">
        <x:v>子方面归属按V6.1裁决，旧类待复核</x:v>
      </x:c>
    </x:row>
    <x:row r="90" ht="36.75" customHeight="1">
      <x:c r="A90" s="204" t="str">
        <x:v>Mechanism</x:v>
      </x:c>
      <x:c r="B90" s="204" t="str">
        <x:v>CxVisual.Mechanism.Presentation.Wpf</x:v>
      </x:c>
      <x:c r="C90" s="204" t="str">
        <x:v>项目合计</x:v>
      </x:c>
      <x:c r="D90" s="204" t="str">
        <x:v>下方列出子方面</x:v>
      </x:c>
      <x:c r="E90" s="204" t="n">
        <x:f>COUNTA('M_PresentationWpf'!$C$6:$C$16)</x:f>
        <x:v>11</x:v>
      </x:c>
      <x:c r="F90" s="204" t="n">
        <x:f>COUNTIF('M_PresentationWpf'!$J$6:$J$16,"类")+COUNTIF('M_PresentationWpf'!$J$6:$J$16,"静态类")+COUNTIF('M_PresentationWpf'!$J$6:$J$16,"class")+COUNTIF('M_PresentationWpf'!$J$6:$J$16,"sealed class")+COUNTIF('M_PresentationWpf'!$J$6:$J$16,"abstract class")</x:f>
        <x:v>0</x:v>
      </x:c>
      <x:c r="G90" s="204" t="n">
        <x:f>COUNTIF('M_PresentationWpf'!$J$6:$J$16,"接口")+COUNTIF('M_PresentationWpf'!$J$6:$J$16,"interface")</x:f>
        <x:v>0</x:v>
      </x:c>
      <x:c r="H90" s="204" t="n">
        <x:f>COUNTIF('M_PresentationWpf'!$J$6:$J$16,"枚举")+COUNTIF('M_PresentationWpf'!$J$6:$J$16,"enum")</x:f>
        <x:v>0</x:v>
      </x:c>
      <x:c r="I90" s="204" t="n">
        <x:f>COUNTIF('M_PresentationWpf'!$J$6:$J$16,"结构体")+COUNTIF('M_PresentationWpf'!$J$6:$J$16,"struct")+COUNTIF('M_PresentationWpf'!$J$6:$J$16,"readonly struct")</x:f>
        <x:v>0</x:v>
      </x:c>
      <x:c r="J90" s="204" t="n">
        <x:f>E90-SUM(F90:I90)</x:f>
        <x:v>11</x:v>
      </x:c>
      <x:c r="K90" s="204" t="n">
        <x:v>0</x:v>
      </x:c>
      <x:c r="L90" s="204" t="str">
        <x:v>WPF画布、输入适配、绘制控件</x:v>
      </x:c>
      <x:c r="M90" s="204" t="str">
        <x:v>Mechanism.Visual / Core；Foundation.Geometry / Imaging；禁止Volume</x:v>
      </x:c>
      <x:c r="N90" s="204" t="str">
        <x:v>历史/规划候选合计，待归属及验收</x:v>
      </x:c>
    </x:row>
    <x:row r="91" ht="36.75" customHeight="1">
      <x:c r="A91" s="204"/>
      <x:c r="B91" s="204"/>
      <x:c r="C91" s="204" t="str">
        <x:v>—</x:v>
      </x:c>
      <x:c r="D91" s="204" t="str">
        <x:v>WPF呈现适配（不占用M编号）</x:v>
      </x:c>
      <x:c r="E91" s="204" t="n">
        <x:v>11</x:v>
      </x:c>
      <x:c r="F91" s="204" t="n">
        <x:v>0</x:v>
      </x:c>
      <x:c r="G91" s="204" t="n">
        <x:v>0</x:v>
      </x:c>
      <x:c r="H91" s="204" t="n">
        <x:v>0</x:v>
      </x:c>
      <x:c r="I91" s="204" t="n">
        <x:v>0</x:v>
      </x:c>
      <x:c r="J91" s="204" t="n">
        <x:v>11</x:v>
      </x:c>
      <x:c r="K91" s="204"/>
      <x:c r="L91" s="204"/>
      <x:c r="M91" s="204"/>
      <x:c r="N91" s="204" t="str">
        <x:v>子方面归属按V6.1裁决，旧类待复核</x:v>
      </x:c>
    </x:row>
    <x:row r="92" ht="36.75" customHeight="1">
      <x:c r="A92" s="204" t="str">
        <x:v>Professional</x:v>
      </x:c>
      <x:c r="B92" s="204" t="str">
        <x:v>CxVisual.Professional.Automation</x:v>
      </x:c>
      <x:c r="C92" s="204" t="str">
        <x:v>—</x:v>
      </x:c>
      <x:c r="D92" s="204" t="str">
        <x:v>本册未展开专业及应用层类型</x:v>
      </x:c>
      <x:c r="E92" s="204"/>
      <x:c r="F92" s="204"/>
      <x:c r="G92" s="204"/>
      <x:c r="H92" s="204"/>
      <x:c r="I92" s="204"/>
      <x:c r="J92" s="204"/>
      <x:c r="K92" s="204"/>
      <x:c r="L92" s="204" t="str">
        <x:v>设备、运控、PLC、采集</x:v>
      </x:c>
      <x:c r="M92" s="204" t="str">
        <x:v>Mechanism公共能力按需</x:v>
      </x:c>
      <x:c r="N92" s="204" t="str">
        <x:v>仅项目规划；不代表没有源码</x:v>
      </x:c>
    </x:row>
    <x:row r="93" ht="36.75" customHeight="1">
      <x:c r="A93" s="204" t="str">
        <x:v>Professional</x:v>
      </x:c>
      <x:c r="B93" s="204" t="str">
        <x:v>CxVisual.Professional.HMI</x:v>
      </x:c>
      <x:c r="C93" s="204" t="str">
        <x:v>—</x:v>
      </x:c>
      <x:c r="D93" s="204" t="str">
        <x:v>本册未展开专业及应用层类型</x:v>
      </x:c>
      <x:c r="E93" s="204"/>
      <x:c r="F93" s="204"/>
      <x:c r="G93" s="204"/>
      <x:c r="H93" s="204"/>
      <x:c r="I93" s="204"/>
      <x:c r="J93" s="204"/>
      <x:c r="K93" s="204"/>
      <x:c r="L93" s="204" t="str">
        <x:v>工业可视运行画面</x:v>
      </x:c>
      <x:c r="M93" s="204" t="str">
        <x:v>Mechanism公共能力按需</x:v>
      </x:c>
      <x:c r="N93" s="204" t="str">
        <x:v>仅项目规划；不代表没有源码</x:v>
      </x:c>
    </x:row>
    <x:row r="94" ht="36.75" customHeight="1">
      <x:c r="A94" s="204" t="str">
        <x:v>Professional</x:v>
      </x:c>
      <x:c r="B94" s="204" t="str">
        <x:v>CxVisual.Professional.Vision</x:v>
      </x:c>
      <x:c r="C94" s="204" t="str">
        <x:v>—</x:v>
      </x:c>
      <x:c r="D94" s="204" t="str">
        <x:v>本册未展开专业及应用层类型</x:v>
      </x:c>
      <x:c r="E94" s="204"/>
      <x:c r="F94" s="204"/>
      <x:c r="G94" s="204"/>
      <x:c r="H94" s="204"/>
      <x:c r="I94" s="204"/>
      <x:c r="J94" s="204"/>
      <x:c r="K94" s="204"/>
      <x:c r="L94" s="204" t="str">
        <x:v>图像处理/AI检测</x:v>
      </x:c>
      <x:c r="M94" s="204" t="str">
        <x:v>Mechanism公共能力按需</x:v>
      </x:c>
      <x:c r="N94" s="204" t="str">
        <x:v>仅项目规划；不代表没有源码</x:v>
      </x:c>
    </x:row>
    <x:row r="95" ht="36.75" customHeight="1">
      <x:c r="A95" s="204" t="str">
        <x:v>Professional</x:v>
      </x:c>
      <x:c r="B95" s="204" t="str">
        <x:v>CxVisual.Professional.CT3D</x:v>
      </x:c>
      <x:c r="C95" s="204" t="str">
        <x:v>—</x:v>
      </x:c>
      <x:c r="D95" s="204" t="str">
        <x:v>本册未展开专业及应用层类型</x:v>
      </x:c>
      <x:c r="E95" s="204"/>
      <x:c r="F95" s="204"/>
      <x:c r="G95" s="204"/>
      <x:c r="H95" s="204"/>
      <x:c r="I95" s="204"/>
      <x:c r="J95" s="204"/>
      <x:c r="K95" s="204"/>
      <x:c r="L95" s="204" t="str">
        <x:v>CT扫描、重建、Viewer</x:v>
      </x:c>
      <x:c r="M95" s="204" t="str">
        <x:v>Mechanism公共能力 / Foundation.Volume</x:v>
      </x:c>
      <x:c r="N95" s="204" t="str">
        <x:v>仅项目规划；不代表没有源码</x:v>
      </x:c>
    </x:row>
    <x:row r="96" ht="36.75" customHeight="1">
      <x:c r="A96" s="204" t="str">
        <x:v>Professional</x:v>
      </x:c>
      <x:c r="B96" s="204" t="str">
        <x:v>CxVisual.Professional.Inspection</x:v>
      </x:c>
      <x:c r="C96" s="204" t="str">
        <x:v>—</x:v>
      </x:c>
      <x:c r="D96" s="204" t="str">
        <x:v>本册未展开专业及应用层类型</x:v>
      </x:c>
      <x:c r="E96" s="204"/>
      <x:c r="F96" s="204"/>
      <x:c r="G96" s="204"/>
      <x:c r="H96" s="204"/>
      <x:c r="I96" s="204"/>
      <x:c r="J96" s="204"/>
      <x:c r="K96" s="204"/>
      <x:c r="L96" s="204" t="str">
        <x:v>质量检测/判定</x:v>
      </x:c>
      <x:c r="M96" s="204" t="str">
        <x:v>Mechanism公共能力按需</x:v>
      </x:c>
      <x:c r="N96" s="204" t="str">
        <x:v>仅项目规划；不代表没有源码</x:v>
      </x:c>
    </x:row>
    <x:row r="97" ht="36.75" customHeight="1">
      <x:c r="A97" s="204" t="str">
        <x:v>Professional</x:v>
      </x:c>
      <x:c r="B97" s="204" t="str">
        <x:v>CxVisual.Professional.Simulation</x:v>
      </x:c>
      <x:c r="C97" s="204" t="str">
        <x:v>—</x:v>
      </x:c>
      <x:c r="D97" s="204" t="str">
        <x:v>本册未展开专业及应用层类型</x:v>
      </x:c>
      <x:c r="E97" s="204"/>
      <x:c r="F97" s="204"/>
      <x:c r="G97" s="204"/>
      <x:c r="H97" s="204"/>
      <x:c r="I97" s="204"/>
      <x:c r="J97" s="204"/>
      <x:c r="K97" s="204"/>
      <x:c r="L97" s="204" t="str">
        <x:v>虚拟工业场景与数字孪生</x:v>
      </x:c>
      <x:c r="M97" s="204" t="str">
        <x:v>Mechanism.Runtime仿真机制</x:v>
      </x:c>
      <x:c r="N97" s="204" t="str">
        <x:v>仅项目规划；不代表没有源码</x:v>
      </x:c>
    </x:row>
    <x:row r="98" ht="36.75" customHeight="1">
      <x:c r="A98" s="204" t="str">
        <x:v>Applications</x:v>
      </x:c>
      <x:c r="B98" s="204" t="str">
        <x:v>CxVisual.Studio</x:v>
      </x:c>
      <x:c r="C98" s="204" t="str">
        <x:v>—</x:v>
      </x:c>
      <x:c r="D98" s="204" t="str">
        <x:v>本册未展开专业及应用层类型</x:v>
      </x:c>
      <x:c r="E98" s="204"/>
      <x:c r="F98" s="204"/>
      <x:c r="G98" s="204"/>
      <x:c r="H98" s="204"/>
      <x:c r="I98" s="204"/>
      <x:c r="J98" s="204"/>
      <x:c r="K98" s="204"/>
      <x:c r="L98" s="204" t="str">
        <x:v>WPF应用组合</x:v>
      </x:c>
      <x:c r="M98" s="204" t="str">
        <x:v>Mechanism.Presentation.Wpf、专业UI适配</x:v>
      </x:c>
      <x:c r="N98" s="204" t="str">
        <x:v>仅项目规划；不代表没有源码</x:v>
      </x:c>
    </x:row>
    <x:row r="99" ht="36.75" customHeight="1">
      <x:c r="A99" s="204" t="str">
        <x:v>Applications</x:v>
      </x:c>
      <x:c r="B99" s="204" t="str">
        <x:v>CxVisual.Runtime.Host</x:v>
      </x:c>
      <x:c r="C99" s="204" t="str">
        <x:v>—</x:v>
      </x:c>
      <x:c r="D99" s="204" t="str">
        <x:v>本册未展开专业及应用层类型</x:v>
      </x:c>
      <x:c r="E99" s="204"/>
      <x:c r="F99" s="204"/>
      <x:c r="G99" s="204"/>
      <x:c r="H99" s="204"/>
      <x:c r="I99" s="204"/>
      <x:c r="J99" s="204"/>
      <x:c r="K99" s="204"/>
      <x:c r="L99" s="204" t="str">
        <x:v>服务及执行宿主</x:v>
      </x:c>
      <x:c r="M99" s="204" t="str">
        <x:v>Mechanism.Runtime、专业Provider</x:v>
      </x:c>
      <x:c r="N99" s="204" t="str">
        <x:v>仅项目规划；不代表没有源码</x:v>
      </x:c>
    </x:row>
    <x:row r="100" ht="21.75" customHeight="1">
      <x:c r="A100" s="204" t="str">
        <x:v>Intelligence</x:v>
      </x:c>
      <x:c r="B100" s="204" t="str">
        <x:v>CxVisual.Intelligence</x:v>
      </x:c>
      <x:c r="C100" s="204" t="str">
        <x:v>—</x:v>
      </x:c>
      <x:c r="D100" s="204" t="str">
        <x:v>本册未展开专业及应用层类型</x:v>
      </x:c>
      <x:c r="E100" s="204"/>
      <x:c r="F100" s="204"/>
      <x:c r="G100" s="204"/>
      <x:c r="H100" s="204"/>
      <x:c r="I100" s="204"/>
      <x:c r="J100" s="204"/>
      <x:c r="K100" s="204"/>
      <x:c r="L100" s="204" t="str">
        <x:v>AI工程生成/检查</x:v>
      </x:c>
      <x:c r="M100" s="204" t="str">
        <x:v>Mechanism公开契约</x:v>
      </x:c>
      <x:c r="N100" s="204" t="str">
        <x:v>仅项目规划；不代表没有源码</x:v>
      </x:c>
    </x:row>
    <x:row r="101" ht="21.75" customHeight="1">
      <x:c r="A101" s="204" t="str">
        <x:v>Tests</x:v>
      </x:c>
      <x:c r="B101" s="204" t="str">
        <x:v>CxVisual.Tests.FoundationSmoke</x:v>
      </x:c>
      <x:c r="C101" s="204" t="str">
        <x:v>—</x:v>
      </x:c>
      <x:c r="D101" s="204" t="str">
        <x:v>本册未展开专业及应用层类型</x:v>
      </x:c>
      <x:c r="E101" s="204"/>
      <x:c r="F101" s="204"/>
      <x:c r="G101" s="204"/>
      <x:c r="H101" s="204"/>
      <x:c r="I101" s="204"/>
      <x:c r="J101" s="204"/>
      <x:c r="K101" s="204"/>
      <x:c r="L101" s="204" t="str">
        <x:v>Foundation测试</x:v>
      </x:c>
      <x:c r="M101" s="204" t="str">
        <x:v>Foundation各项目</x:v>
      </x:c>
      <x:c r="N101" s="204" t="str">
        <x:v>仅项目规划；不代表没有源码</x:v>
      </x:c>
    </x:row>
    <x:row r="102" ht="21.75" customHeight="1">
      <x:c r="A102" s="204" t="str">
        <x:v>Tests</x:v>
      </x:c>
      <x:c r="B102" s="204" t="str">
        <x:v>CxVisual.Tests.ArchitectureSmoke</x:v>
      </x:c>
      <x:c r="C102" s="204" t="str">
        <x:v>—</x:v>
      </x:c>
      <x:c r="D102" s="204" t="str">
        <x:v>本册未展开专业及应用层类型</x:v>
      </x:c>
      <x:c r="E102" s="204"/>
      <x:c r="F102" s="204"/>
      <x:c r="G102" s="204"/>
      <x:c r="H102" s="204"/>
      <x:c r="I102" s="204"/>
      <x:c r="J102" s="204"/>
      <x:c r="K102" s="204"/>
      <x:c r="L102" s="204" t="str">
        <x:v>架构/集成检查</x:v>
      </x:c>
      <x:c r="M102" s="204" t="str">
        <x:v>按测试用例定向引用</x:v>
      </x:c>
      <x:c r="N102" s="204" t="str">
        <x:v>仅项目规划；不代表没有源码</x:v>
      </x:c>
    </x:row>
    <x:row r="103" ht="21.75" customHeight="1">
      <x:c r="A103" s="204"/>
      <x:c r="B103" s="204"/>
      <x:c r="C103" s="204"/>
      <x:c r="D103" s="204"/>
      <x:c r="E103" s="204"/>
      <x:c r="F103" s="204"/>
      <x:c r="G103" s="204"/>
      <x:c r="H103" s="204"/>
      <x:c r="I103" s="204"/>
      <x:c r="J103" s="204"/>
      <x:c r="K103" s="204"/>
      <x:c r="L103" s="204"/>
      <x:c r="M103" s="204"/>
      <x:c r="N103" s="204"/>
    </x:row>
    <x:row r="104" ht="27.75" customHeight="1">
      <x:c r="A104" s="212" t="str">
        <x:v>三、按项目统计实施方式和证据等级</x:v>
      </x:c>
      <x:c r="B104" s="212"/>
      <x:c r="C104" s="212"/>
      <x:c r="D104" s="212"/>
      <x:c r="E104" s="212"/>
      <x:c r="F104" s="212"/>
      <x:c r="G104" s="212"/>
      <x:c r="H104" s="212"/>
      <x:c r="I104" s="212"/>
      <x:c r="J104" s="212"/>
      <x:c r="K104" s="212"/>
      <x:c r="L104" s="212"/>
      <x:c r="M104" s="212"/>
      <x:c r="N104" s="212"/>
    </x:row>
    <x:row r="105" ht="27.75" customHeight="1">
      <x:c r="A105" s="212" t="str">
        <x:v>项目Sheet</x:v>
      </x:c>
      <x:c r="B105" s="212" t="str">
        <x:v>原有·待核</x:v>
      </x:c>
      <x:c r="C105" s="212" t="str">
        <x:v>复用待核</x:v>
      </x:c>
      <x:c r="D105" s="212" t="str">
        <x:v>增构候选</x:v>
      </x:c>
      <x:c r="E105" s="212" t="str">
        <x:v>重构建议</x:v>
      </x:c>
      <x:c r="F105" s="212" t="str">
        <x:v>拆出建议</x:v>
      </x:c>
      <x:c r="G105" s="212" t="str">
        <x:v>迁移建议</x:v>
      </x:c>
      <x:c r="H105" s="212" t="str">
        <x:v>迁移适配</x:v>
      </x:c>
      <x:c r="I105" s="212" t="str">
        <x:v>其他待审</x:v>
      </x:c>
      <x:c r="J105" s="212" t="str">
        <x:v>审核记录</x:v>
      </x:c>
      <x:c r="K105" s="212" t="str">
        <x:v>V2.01来源ID对应</x:v>
      </x:c>
      <x:c r="L105" s="212" t="str">
        <x:v>V7.8同名同文件</x:v>
      </x:c>
      <x:c r="M105" s="212" t="str">
        <x:v>高风险待复核</x:v>
      </x:c>
      <x:c r="N105" s="212" t="str">
        <x:v>验收结论</x:v>
      </x:c>
    </x:row>
    <x:row r="106" ht="21.75" customHeight="1">
      <x:c r="A106" s="204" t="str">
        <x:v>F_Core</x:v>
      </x:c>
      <x:c r="B106" s="204" t="n">
        <x:v>18</x:v>
      </x:c>
      <x:c r="C106" s="204" t="n">
        <x:v>0</x:v>
      </x:c>
      <x:c r="D106" s="204" t="n">
        <x:v>36</x:v>
      </x:c>
      <x:c r="E106" s="204" t="n">
        <x:v>0</x:v>
      </x:c>
      <x:c r="F106" s="204" t="n">
        <x:v>2</x:v>
      </x:c>
      <x:c r="G106" s="204" t="n">
        <x:v>0</x:v>
      </x:c>
      <x:c r="H106" s="204" t="n">
        <x:v>0</x:v>
      </x:c>
      <x:c r="I106" s="204" t="n">
        <x:v>0</x:v>
      </x:c>
      <x:c r="J106" s="204" t="n">
        <x:v>56</x:v>
      </x:c>
      <x:c r="K106" s="204" t="n">
        <x:v>20</x:v>
      </x:c>
      <x:c r="L106" s="204" t="n">
        <x:v>13</x:v>
      </x:c>
      <x:c r="M106" s="204" t="n">
        <x:v>3</x:v>
      </x:c>
      <x:c r="N106" s="204" t="str">
        <x:v>未编译/未现场验收</x:v>
      </x:c>
    </x:row>
    <x:row r="107" ht="21.75" customHeight="1">
      <x:c r="A107" s="204" t="str">
        <x:v>F_Numerics</x:v>
      </x:c>
      <x:c r="B107" s="204" t="n">
        <x:v>3</x:v>
      </x:c>
      <x:c r="C107" s="204" t="n">
        <x:v>0</x:v>
      </x:c>
      <x:c r="D107" s="204" t="n">
        <x:v>41</x:v>
      </x:c>
      <x:c r="E107" s="204" t="n">
        <x:v>0</x:v>
      </x:c>
      <x:c r="F107" s="204" t="n">
        <x:v>0</x:v>
      </x:c>
      <x:c r="G107" s="204" t="n">
        <x:v>0</x:v>
      </x:c>
      <x:c r="H107" s="204" t="n">
        <x:v>0</x:v>
      </x:c>
      <x:c r="I107" s="204" t="n">
        <x:v>0</x:v>
      </x:c>
      <x:c r="J107" s="204" t="n">
        <x:v>44</x:v>
      </x:c>
      <x:c r="K107" s="204" t="n">
        <x:v>3</x:v>
      </x:c>
      <x:c r="L107" s="204" t="n">
        <x:v>3</x:v>
      </x:c>
      <x:c r="M107" s="204" t="n">
        <x:v>0</x:v>
      </x:c>
      <x:c r="N107" s="204" t="str">
        <x:v>未编译/未现场验收</x:v>
      </x:c>
    </x:row>
    <x:row r="108" ht="21.75" customHeight="1">
      <x:c r="A108" s="204" t="str">
        <x:v>F_Geometry</x:v>
      </x:c>
      <x:c r="B108" s="204" t="n">
        <x:v>8</x:v>
      </x:c>
      <x:c r="C108" s="204" t="n">
        <x:v>0</x:v>
      </x:c>
      <x:c r="D108" s="204" t="n">
        <x:v>36</x:v>
      </x:c>
      <x:c r="E108" s="204" t="n">
        <x:v>0</x:v>
      </x:c>
      <x:c r="F108" s="204" t="n">
        <x:v>0</x:v>
      </x:c>
      <x:c r="G108" s="204" t="n">
        <x:v>0</x:v>
      </x:c>
      <x:c r="H108" s="204" t="n">
        <x:v>0</x:v>
      </x:c>
      <x:c r="I108" s="204" t="n">
        <x:v>0</x:v>
      </x:c>
      <x:c r="J108" s="204" t="n">
        <x:v>44</x:v>
      </x:c>
      <x:c r="K108" s="204" t="n">
        <x:v>8</x:v>
      </x:c>
      <x:c r="L108" s="204" t="n">
        <x:v>8</x:v>
      </x:c>
      <x:c r="M108" s="204" t="n">
        <x:v>0</x:v>
      </x:c>
      <x:c r="N108" s="204" t="str">
        <x:v>未编译/未现场验收</x:v>
      </x:c>
    </x:row>
    <x:row r="109" ht="21.75" customHeight="1">
      <x:c r="A109" s="204" t="str">
        <x:v>F_Imaging</x:v>
      </x:c>
      <x:c r="B109" s="204" t="n">
        <x:v>5</x:v>
      </x:c>
      <x:c r="C109" s="204" t="n">
        <x:v>3</x:v>
      </x:c>
      <x:c r="D109" s="204" t="n">
        <x:v>21</x:v>
      </x:c>
      <x:c r="E109" s="204" t="n">
        <x:v>0</x:v>
      </x:c>
      <x:c r="F109" s="204" t="n">
        <x:v>0</x:v>
      </x:c>
      <x:c r="G109" s="204" t="n">
        <x:v>0</x:v>
      </x:c>
      <x:c r="H109" s="204" t="n">
        <x:v>0</x:v>
      </x:c>
      <x:c r="I109" s="204" t="n">
        <x:v>0</x:v>
      </x:c>
      <x:c r="J109" s="204" t="n">
        <x:v>29</x:v>
      </x:c>
      <x:c r="K109" s="204" t="n">
        <x:v>6</x:v>
      </x:c>
      <x:c r="L109" s="204" t="n">
        <x:v>8</x:v>
      </x:c>
      <x:c r="M109" s="204" t="n">
        <x:v>0</x:v>
      </x:c>
      <x:c r="N109" s="204" t="str">
        <x:v>未编译/未现场验收</x:v>
      </x:c>
    </x:row>
    <x:row r="110" ht="21.75" customHeight="1">
      <x:c r="A110" s="204" t="str">
        <x:v>F_Volume</x:v>
      </x:c>
      <x:c r="B110" s="204" t="n">
        <x:v>0</x:v>
      </x:c>
      <x:c r="C110" s="204" t="n">
        <x:v>0</x:v>
      </x:c>
      <x:c r="D110" s="204" t="n">
        <x:v>15</x:v>
      </x:c>
      <x:c r="E110" s="204" t="n">
        <x:v>0</x:v>
      </x:c>
      <x:c r="F110" s="204" t="n">
        <x:v>0</x:v>
      </x:c>
      <x:c r="G110" s="204" t="n">
        <x:v>0</x:v>
      </x:c>
      <x:c r="H110" s="204" t="n">
        <x:v>0</x:v>
      </x:c>
      <x:c r="I110" s="204" t="n">
        <x:v>0</x:v>
      </x:c>
      <x:c r="J110" s="204" t="n">
        <x:v>15</x:v>
      </x:c>
      <x:c r="K110" s="204" t="n">
        <x:v>2</x:v>
      </x:c>
      <x:c r="L110" s="204" t="n">
        <x:v>0</x:v>
      </x:c>
      <x:c r="M110" s="204" t="n">
        <x:v>0</x:v>
      </x:c>
      <x:c r="N110" s="204" t="str">
        <x:v>未编译/未现场验收</x:v>
      </x:c>
    </x:row>
    <x:row r="111" ht="21.75" customHeight="1">
      <x:c r="A111" s="204" t="str">
        <x:v>F_Data</x:v>
      </x:c>
      <x:c r="B111" s="204" t="n">
        <x:v>14</x:v>
      </x:c>
      <x:c r="C111" s="204" t="n">
        <x:v>0</x:v>
      </x:c>
      <x:c r="D111" s="204" t="n">
        <x:v>43</x:v>
      </x:c>
      <x:c r="E111" s="204" t="n">
        <x:v>0</x:v>
      </x:c>
      <x:c r="F111" s="204" t="n">
        <x:v>0</x:v>
      </x:c>
      <x:c r="G111" s="204" t="n">
        <x:v>0</x:v>
      </x:c>
      <x:c r="H111" s="204" t="n">
        <x:v>0</x:v>
      </x:c>
      <x:c r="I111" s="204" t="n">
        <x:v>0</x:v>
      </x:c>
      <x:c r="J111" s="204" t="n">
        <x:v>57</x:v>
      </x:c>
      <x:c r="K111" s="204" t="n">
        <x:v>15</x:v>
      </x:c>
      <x:c r="L111" s="204" t="n">
        <x:v>14</x:v>
      </x:c>
      <x:c r="M111" s="204" t="n">
        <x:v>0</x:v>
      </x:c>
      <x:c r="N111" s="204" t="str">
        <x:v>未编译/未现场验收</x:v>
      </x:c>
    </x:row>
    <x:row r="112" ht="21.75" customHeight="1">
      <x:c r="A112" s="204" t="str">
        <x:v>F_Infrastructure</x:v>
      </x:c>
      <x:c r="B112" s="204" t="n">
        <x:v>13</x:v>
      </x:c>
      <x:c r="C112" s="204" t="n">
        <x:v>0</x:v>
      </x:c>
      <x:c r="D112" s="204" t="n">
        <x:v>29</x:v>
      </x:c>
      <x:c r="E112" s="204" t="n">
        <x:v>0</x:v>
      </x:c>
      <x:c r="F112" s="204" t="n">
        <x:v>0</x:v>
      </x:c>
      <x:c r="G112" s="204" t="n">
        <x:v>0</x:v>
      </x:c>
      <x:c r="H112" s="204" t="n">
        <x:v>0</x:v>
      </x:c>
      <x:c r="I112" s="204" t="n">
        <x:v>0</x:v>
      </x:c>
      <x:c r="J112" s="204" t="n">
        <x:v>42</x:v>
      </x:c>
      <x:c r="K112" s="204" t="n">
        <x:v>12</x:v>
      </x:c>
      <x:c r="L112" s="204" t="n">
        <x:v>12</x:v>
      </x:c>
      <x:c r="M112" s="204" t="n">
        <x:v>0</x:v>
      </x:c>
      <x:c r="N112" s="204" t="str">
        <x:v>未编译/未现场验收</x:v>
      </x:c>
    </x:row>
    <x:row r="113" ht="21.75" customHeight="1">
      <x:c r="A113" s="204" t="str">
        <x:v>F_Transport</x:v>
      </x:c>
      <x:c r="B113" s="204" t="n">
        <x:v>5</x:v>
      </x:c>
      <x:c r="C113" s="204" t="n">
        <x:v>0</x:v>
      </x:c>
      <x:c r="D113" s="204" t="n">
        <x:v>12</x:v>
      </x:c>
      <x:c r="E113" s="204" t="n">
        <x:v>0</x:v>
      </x:c>
      <x:c r="F113" s="204" t="n">
        <x:v>0</x:v>
      </x:c>
      <x:c r="G113" s="204" t="n">
        <x:v>0</x:v>
      </x:c>
      <x:c r="H113" s="204" t="n">
        <x:v>0</x:v>
      </x:c>
      <x:c r="I113" s="204" t="n">
        <x:v>0</x:v>
      </x:c>
      <x:c r="J113" s="204" t="n">
        <x:v>17</x:v>
      </x:c>
      <x:c r="K113" s="204" t="n">
        <x:v>7</x:v>
      </x:c>
      <x:c r="L113" s="204" t="n">
        <x:v>5</x:v>
      </x:c>
      <x:c r="M113" s="204" t="n">
        <x:v>0</x:v>
      </x:c>
      <x:c r="N113" s="204" t="str">
        <x:v>未编译/未现场验收</x:v>
      </x:c>
    </x:row>
    <x:row r="114" ht="21.75" customHeight="1">
      <x:c r="A114" s="204" t="str">
        <x:v>M_Core</x:v>
      </x:c>
      <x:c r="B114" s="204" t="n">
        <x:v>138</x:v>
      </x:c>
      <x:c r="C114" s="204" t="n">
        <x:v>6</x:v>
      </x:c>
      <x:c r="D114" s="204" t="n">
        <x:v>127</x:v>
      </x:c>
      <x:c r="E114" s="204" t="n">
        <x:v>1</x:v>
      </x:c>
      <x:c r="F114" s="204" t="n">
        <x:v>0</x:v>
      </x:c>
      <x:c r="G114" s="204" t="n">
        <x:v>1</x:v>
      </x:c>
      <x:c r="H114" s="204" t="n">
        <x:v>0</x:v>
      </x:c>
      <x:c r="I114" s="204" t="n">
        <x:v>0</x:v>
      </x:c>
      <x:c r="J114" s="204" t="n">
        <x:v>273</x:v>
      </x:c>
      <x:c r="K114" s="204" t="n">
        <x:v>115</x:v>
      </x:c>
      <x:c r="L114" s="204" t="n">
        <x:v>146</x:v>
      </x:c>
      <x:c r="M114" s="204" t="n">
        <x:v>40</x:v>
      </x:c>
      <x:c r="N114" s="204" t="str">
        <x:v>未编译/未现场验收</x:v>
      </x:c>
    </x:row>
    <x:row r="115" ht="21.75" customHeight="1">
      <x:c r="A115" s="204" t="str">
        <x:v>M_Data</x:v>
      </x:c>
      <x:c r="B115" s="204" t="n">
        <x:v>205</x:v>
      </x:c>
      <x:c r="C115" s="204" t="n">
        <x:v>3</x:v>
      </x:c>
      <x:c r="D115" s="204" t="n">
        <x:v>20</x:v>
      </x:c>
      <x:c r="E115" s="204" t="n">
        <x:v>0</x:v>
      </x:c>
      <x:c r="F115" s="204" t="n">
        <x:v>0</x:v>
      </x:c>
      <x:c r="G115" s="204" t="n">
        <x:v>0</x:v>
      </x:c>
      <x:c r="H115" s="204" t="n">
        <x:v>0</x:v>
      </x:c>
      <x:c r="I115" s="204" t="n">
        <x:v>0</x:v>
      </x:c>
      <x:c r="J115" s="204" t="n">
        <x:v>228</x:v>
      </x:c>
      <x:c r="K115" s="204" t="n">
        <x:v>200</x:v>
      </x:c>
      <x:c r="L115" s="204" t="n">
        <x:v>176</x:v>
      </x:c>
      <x:c r="M115" s="204" t="n">
        <x:v>0</x:v>
      </x:c>
      <x:c r="N115" s="204" t="str">
        <x:v>未编译/未现场验收</x:v>
      </x:c>
    </x:row>
    <x:row r="116" ht="21.75" customHeight="1">
      <x:c r="A116" s="204" t="str">
        <x:v>M_Logic</x:v>
      </x:c>
      <x:c r="B116" s="204" t="n">
        <x:v>109</x:v>
      </x:c>
      <x:c r="C116" s="204" t="n">
        <x:v>1</x:v>
      </x:c>
      <x:c r="D116" s="204" t="n">
        <x:v>12</x:v>
      </x:c>
      <x:c r="E116" s="204" t="n">
        <x:v>0</x:v>
      </x:c>
      <x:c r="F116" s="204" t="n">
        <x:v>0</x:v>
      </x:c>
      <x:c r="G116" s="204" t="n">
        <x:v>0</x:v>
      </x:c>
      <x:c r="H116" s="204" t="n">
        <x:v>0</x:v>
      </x:c>
      <x:c r="I116" s="204" t="n">
        <x:v>0</x:v>
      </x:c>
      <x:c r="J116" s="204" t="n">
        <x:v>122</x:v>
      </x:c>
      <x:c r="K116" s="204" t="n">
        <x:v>90</x:v>
      </x:c>
      <x:c r="L116" s="204" t="n">
        <x:v>105</x:v>
      </x:c>
      <x:c r="M116" s="204" t="n">
        <x:v>0</x:v>
      </x:c>
      <x:c r="N116" s="204" t="str">
        <x:v>未编译/未现场验收</x:v>
      </x:c>
    </x:row>
    <x:row r="117" ht="21.75" customHeight="1">
      <x:c r="A117" s="204" t="str">
        <x:v>M_Connectivity</x:v>
      </x:c>
      <x:c r="B117" s="204" t="n">
        <x:v>93</x:v>
      </x:c>
      <x:c r="C117" s="204" t="n">
        <x:v>5</x:v>
      </x:c>
      <x:c r="D117" s="204" t="n">
        <x:v>19</x:v>
      </x:c>
      <x:c r="E117" s="204" t="n">
        <x:v>0</x:v>
      </x:c>
      <x:c r="F117" s="204" t="n">
        <x:v>0</x:v>
      </x:c>
      <x:c r="G117" s="204" t="n">
        <x:v>0</x:v>
      </x:c>
      <x:c r="H117" s="204" t="n">
        <x:v>0</x:v>
      </x:c>
      <x:c r="I117" s="204" t="n">
        <x:v>0</x:v>
      </x:c>
      <x:c r="J117" s="204" t="n">
        <x:v>117</x:v>
      </x:c>
      <x:c r="K117" s="204" t="n">
        <x:v>93</x:v>
      </x:c>
      <x:c r="L117" s="204" t="n">
        <x:v>95</x:v>
      </x:c>
      <x:c r="M117" s="204" t="n">
        <x:v>0</x:v>
      </x:c>
      <x:c r="N117" s="204" t="str">
        <x:v>未编译/未现场验收</x:v>
      </x:c>
    </x:row>
    <x:row r="118" ht="21.75" customHeight="1">
      <x:c r="A118" s="204" t="str">
        <x:v>M_Visual</x:v>
      </x:c>
      <x:c r="B118" s="204" t="n">
        <x:v>167</x:v>
      </x:c>
      <x:c r="C118" s="204" t="n">
        <x:v>3</x:v>
      </x:c>
      <x:c r="D118" s="204" t="n">
        <x:v>37</x:v>
      </x:c>
      <x:c r="E118" s="204" t="n">
        <x:v>0</x:v>
      </x:c>
      <x:c r="F118" s="204" t="n">
        <x:v>0</x:v>
      </x:c>
      <x:c r="G118" s="204" t="n">
        <x:v>0</x:v>
      </x:c>
      <x:c r="H118" s="204" t="n">
        <x:v>0</x:v>
      </x:c>
      <x:c r="I118" s="204" t="n">
        <x:v>0</x:v>
      </x:c>
      <x:c r="J118" s="204" t="n">
        <x:v>207</x:v>
      </x:c>
      <x:c r="K118" s="204" t="n">
        <x:v>151</x:v>
      </x:c>
      <x:c r="L118" s="204" t="n">
        <x:v>165</x:v>
      </x:c>
      <x:c r="M118" s="204" t="n">
        <x:v>35</x:v>
      </x:c>
      <x:c r="N118" s="204" t="str">
        <x:v>未编译/未现场验收</x:v>
      </x:c>
    </x:row>
    <x:row r="119" ht="21.75" customHeight="1">
      <x:c r="A119" s="204" t="str">
        <x:v>M_Orchestration</x:v>
      </x:c>
      <x:c r="B119" s="204" t="n">
        <x:v>15</x:v>
      </x:c>
      <x:c r="C119" s="204" t="n">
        <x:v>4</x:v>
      </x:c>
      <x:c r="D119" s="204" t="n">
        <x:v>49</x:v>
      </x:c>
      <x:c r="E119" s="204" t="n">
        <x:v>0</x:v>
      </x:c>
      <x:c r="F119" s="204" t="n">
        <x:v>0</x:v>
      </x:c>
      <x:c r="G119" s="204" t="n">
        <x:v>0</x:v>
      </x:c>
      <x:c r="H119" s="204" t="n">
        <x:v>0</x:v>
      </x:c>
      <x:c r="I119" s="204" t="n">
        <x:v>0</x:v>
      </x:c>
      <x:c r="J119" s="204" t="n">
        <x:v>68</x:v>
      </x:c>
      <x:c r="K119" s="204" t="n">
        <x:v>17</x:v>
      </x:c>
      <x:c r="L119" s="204" t="n">
        <x:v>19</x:v>
      </x:c>
      <x:c r="M119" s="204" t="n">
        <x:v>0</x:v>
      </x:c>
      <x:c r="N119" s="204" t="str">
        <x:v>未编译/未现场验收</x:v>
      </x:c>
    </x:row>
    <x:row r="120" ht="21.75" customHeight="1">
      <x:c r="A120" s="204" t="str">
        <x:v>M_Runtime</x:v>
      </x:c>
      <x:c r="B120" s="204" t="n">
        <x:v>143</x:v>
      </x:c>
      <x:c r="C120" s="204" t="n">
        <x:v>12</x:v>
      </x:c>
      <x:c r="D120" s="204" t="n">
        <x:v>72</x:v>
      </x:c>
      <x:c r="E120" s="204" t="n">
        <x:v>0</x:v>
      </x:c>
      <x:c r="F120" s="204" t="n">
        <x:v>0</x:v>
      </x:c>
      <x:c r="G120" s="204" t="n">
        <x:v>0</x:v>
      </x:c>
      <x:c r="H120" s="204" t="n">
        <x:v>0</x:v>
      </x:c>
      <x:c r="I120" s="204" t="n">
        <x:v>0</x:v>
      </x:c>
      <x:c r="J120" s="204" t="n">
        <x:v>227</x:v>
      </x:c>
      <x:c r="K120" s="204" t="n">
        <x:v>135</x:v>
      </x:c>
      <x:c r="L120" s="204" t="n">
        <x:v>150</x:v>
      </x:c>
      <x:c r="M120" s="204" t="n">
        <x:v>0</x:v>
      </x:c>
      <x:c r="N120" s="204" t="str">
        <x:v>未编译/未现场验收</x:v>
      </x:c>
    </x:row>
    <x:row r="121" ht="21.75" customHeight="1">
      <x:c r="A121" s="204" t="str">
        <x:v>M_Lifecycle</x:v>
      </x:c>
      <x:c r="B121" s="204" t="n">
        <x:v>0</x:v>
      </x:c>
      <x:c r="C121" s="204" t="n">
        <x:v>0</x:v>
      </x:c>
      <x:c r="D121" s="204" t="n">
        <x:v>16</x:v>
      </x:c>
      <x:c r="E121" s="204" t="n">
        <x:v>0</x:v>
      </x:c>
      <x:c r="F121" s="204" t="n">
        <x:v>0</x:v>
      </x:c>
      <x:c r="G121" s="204" t="n">
        <x:v>0</x:v>
      </x:c>
      <x:c r="H121" s="204" t="n">
        <x:v>0</x:v>
      </x:c>
      <x:c r="I121" s="204" t="n">
        <x:v>0</x:v>
      </x:c>
      <x:c r="J121" s="204" t="n">
        <x:v>16</x:v>
      </x:c>
      <x:c r="K121" s="204" t="n">
        <x:v>0</x:v>
      </x:c>
      <x:c r="L121" s="204" t="n">
        <x:v>0</x:v>
      </x:c>
      <x:c r="M121" s="204" t="n">
        <x:v>0</x:v>
      </x:c>
      <x:c r="N121" s="204" t="str">
        <x:v>未编译/未现场验收</x:v>
      </x:c>
    </x:row>
    <x:row r="122" ht="21.75" customHeight="1">
      <x:c r="A122" s="204" t="str">
        <x:v>M_PresentationWpf</x:v>
      </x:c>
      <x:c r="B122" s="204" t="n">
        <x:v>0</x:v>
      </x:c>
      <x:c r="C122" s="204" t="n">
        <x:v>0</x:v>
      </x:c>
      <x:c r="D122" s="204" t="n">
        <x:v>0</x:v>
      </x:c>
      <x:c r="E122" s="204" t="n">
        <x:v>0</x:v>
      </x:c>
      <x:c r="F122" s="204" t="n">
        <x:v>0</x:v>
      </x:c>
      <x:c r="G122" s="204" t="n">
        <x:v>0</x:v>
      </x:c>
      <x:c r="H122" s="204" t="n">
        <x:v>11</x:v>
      </x:c>
      <x:c r="I122" s="204" t="n">
        <x:v>0</x:v>
      </x:c>
      <x:c r="J122" s="204" t="n">
        <x:v>11</x:v>
      </x:c>
      <x:c r="K122" s="204" t="n">
        <x:v>0</x:v>
      </x:c>
      <x:c r="L122" s="204" t="n">
        <x:v>5</x:v>
      </x:c>
      <x:c r="M122" s="204" t="n">
        <x:v>0</x:v>
      </x:c>
      <x:c r="N122" s="204" t="str">
        <x:v>未编译/未现场验收</x:v>
      </x:c>
    </x:row>
    <x:row r="123" ht="21.75" customHeight="1">
      <x:c r="A123" s="204"/>
      <x:c r="B123" s="204"/>
      <x:c r="C123" s="204"/>
      <x:c r="D123" s="204"/>
      <x:c r="E123" s="204"/>
      <x:c r="F123" s="204"/>
      <x:c r="G123" s="204"/>
      <x:c r="H123" s="204"/>
      <x:c r="I123" s="204"/>
      <x:c r="J123" s="204"/>
      <x:c r="K123" s="204"/>
      <x:c r="L123" s="204"/>
      <x:c r="M123" s="204"/>
      <x:c r="N123" s="204"/>
    </x:row>
    <x:row r="124" ht="21.75" customHeight="1">
      <x:c r="A124" s="210" t="str">
        <x:v>四、架构Owner定案：M34通用仿真机制→Runtime，M37可视编辑Undo/Redo→Visual，M38通用模板契约→Core；WPF仅作呈现，不引用Foundation.Volume。</x:v>
      </x:c>
      <x:c r="B124" s="210"/>
      <x:c r="C124" s="210"/>
      <x:c r="D124" s="210"/>
      <x:c r="E124" s="210"/>
      <x:c r="F124" s="210"/>
      <x:c r="G124" s="210"/>
      <x:c r="H124" s="210"/>
      <x:c r="I124" s="210"/>
      <x:c r="J124" s="210"/>
      <x:c r="K124" s="210"/>
      <x:c r="L124" s="210"/>
      <x:c r="M124" s="210"/>
      <x:c r="N124" s="210"/>
    </x:row>
    <x:row r="125" ht="21.75" customHeight="1">
      <x:c r="A125" s="210" t="str">
        <x:v>证据总体：1573记录；V2.01来源ID一致874、名称线索348、同名多条16、暂未匹配335；V7.8同名且源文件对应924，高风险78、中风险3。</x:v>
      </x:c>
      <x:c r="B125" s="210"/>
      <x:c r="C125" s="210"/>
      <x:c r="D125" s="210"/>
      <x:c r="E125" s="210"/>
      <x:c r="F125" s="210"/>
      <x:c r="G125" s="210"/>
      <x:c r="H125" s="210"/>
      <x:c r="I125" s="210"/>
      <x:c r="J125" s="210"/>
      <x:c r="K125" s="210"/>
      <x:c r="L125" s="210"/>
      <x:c r="M125" s="210"/>
      <x:c r="N125" s="210"/>
    </x:row>
  </x:sheetData>
  <x:mergeCells>
    <x:mergeCell ref="A1:N1"/>
    <x:mergeCell ref="A2:N2"/>
    <x:mergeCell ref="A3:N3"/>
    <x:mergeCell ref="A4:N4"/>
    <x:mergeCell ref="A5:N5"/>
    <x:mergeCell ref="A10:N10"/>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CxVisual.Foundation.Core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子方面：F01、F02、F08、F09｜来源：V1.19旧类型 + V4.9对象 + V7.8源码 + V5.0/R3架构裁决｜本项目 56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F01</x:v>
      </x:c>
      <x:c r="B6" s="180" t="str">
        <x:v>对象与类型｜标识、值语义与类型
Object Identity</x:v>
      </x:c>
      <x:c r="C6" s="180" t="str">
        <x:v>FOIConstHelper</x:v>
      </x:c>
      <x:c r="D6" s="179" t="str">
        <x:v>拆出建议</x:v>
      </x:c>
      <x:c r="E6" s="180" t="str">
        <x:v>统一存放旧版程序的配置常量、端口号及图像规格参数，需复核是否应按领域拆分</x:v>
      </x:c>
      <x:c r="F6" s="180" t="str">
        <x:v>VariableNameValue, ManualServerPort, LineEdgeServerPort, VisionHttpPort, FontArial, FontHelvetica, FontCourier, ImageExtTif, ImageExtPng, ImageExtJpg, S_ManualDetermination, S_AIDetermination, S_AIPlusManualDetermination, ImageWidth3072, ImageHeight3072, ImageWidth1536, ImageHeight1536, ImageDefaultHalfHeight3072, …（另23项）</x:v>
      </x:c>
      <x:c r="G6" s="180" t="str">
        <x:v>Init(int detectorImageWidth, int detectorImageHeight, int visualImageWidth, int visualImageHeight)</x:v>
      </x:c>
      <x:c r="H6" s="180" t="str">
        <x:v>—（待核）</x:v>
      </x:c>
      <x:c r="I6" s="180" t="str">
        <x:v>CommonInterfaces.ConstHelper</x:v>
      </x:c>
      <x:c r="J6" s="179" t="str">
        <x:v>静态类</x:v>
      </x:c>
      <x:c r="K6" s="180" t="str">
        <x:v>V1.19 C-0001；原实施方式：拆出建议。迁移风险：混合了网络端口、字体、探测器尺寸、判定文本和可变全局规格，不符合F01纯基础值语义。</x:v>
      </x:c>
      <x:c r="L6" s="183" t="str">
        <x:v>源代码声明·待复核</x:v>
      </x:c>
      <x:c r="M6" s="183" t="str">
        <x:v>C-0001</x:v>
      </x:c>
      <x:c r="N6" s="184" t="str">
        <x:v>Platform/CommonInterfaces/ConstHelper.cs</x:v>
      </x:c>
      <x:c r="O6" s="183" t="str">
        <x:v>V1.19旧源码类型（真实成员/实现仍待核）
V2.01：来源ID对应；处置=专项需裁决：核心重构
V7.8：V7.8同名且源文件对应；Platform/CommonInterfaces/ConstHelper.cs
归属优先核查：拆分设备配置/业务常量到对应模块；F01仅保留无业务常量；F01纯基础职责/状态归属需复核</x:v>
      </x:c>
      <x:c r="P6" s="136" t="str">
        <x:v>V1.19旧源码类型（真实成员/实现仍待核）</x:v>
      </x:c>
      <x:c r="Q6"/>
      <x:c r="R6"/>
      <x:c r="S6"/>
    </x:row>
    <x:row r="7" ht="72" customHeight="1">
      <x:c r="A7" s="179" t="str">
        <x:v>F01</x:v>
      </x:c>
      <x:c r="B7" s="180" t="str">
        <x:v>对象与类型｜标识、值语义与类型
Object Identity</x:v>
      </x:c>
      <x:c r="C7" s="180" t="str">
        <x:v>FOIEnumHelper</x:v>
      </x:c>
      <x:c r="D7" s="179" t="str">
        <x:v>原有·待核</x:v>
      </x:c>
      <x:c r="E7" s="180" t="str">
        <x:v>读取枚举值的描述性特性并提供枚举显示文本</x:v>
      </x:c>
      <x:c r="F7" s="180" t="str">
        <x:v>—（无公开声明或待核对）</x:v>
      </x:c>
      <x:c r="G7" s="180" t="str">
        <x:v>GetDescription(this Enum value), GetEnumDescription()</x:v>
      </x:c>
      <x:c r="H7" s="180" t="str">
        <x:v>—（待核）</x:v>
      </x:c>
      <x:c r="I7" s="180" t="str">
        <x:v>CommonInterfaces.EnumHelper</x:v>
      </x:c>
      <x:c r="J7" s="179" t="str">
        <x:v>静态类</x:v>
      </x:c>
      <x:c r="K7" s="180" t="str">
        <x:v>V1.19 C-0049；原实施方式：原有。迁移风险：读取枚举值的描述性特性并提供枚举显示文本</x:v>
      </x:c>
      <x:c r="L7" s="183" t="str">
        <x:v>源代码声明·待复核</x:v>
      </x:c>
      <x:c r="M7" s="183" t="str">
        <x:v>C-0049</x:v>
      </x:c>
      <x:c r="N7" s="184" t="str">
        <x:v>Platform/CommonInterfaces/EnumHelper.cs</x:v>
      </x:c>
      <x:c r="O7" s="183" t="str">
        <x:v>V1.19旧源码类型（真实成员/实现仍待核）
V2.01：来源ID对应；处置=保留源码·公开契约复核
V7.8：V7.8同名且源文件对应；Platform/CommonInterfaces/EnumHelper.cs</x:v>
      </x:c>
      <x:c r="P7" s="136" t="str">
        <x:v>V1.19旧源码类型（真实成员/实现仍待核）</x:v>
      </x:c>
      <x:c r="Q7"/>
      <x:c r="R7"/>
      <x:c r="S7"/>
    </x:row>
    <x:row r="8" ht="72" customHeight="1">
      <x:c r="A8" s="179" t="str">
        <x:v>F01</x:v>
      </x:c>
      <x:c r="B8" s="180" t="str">
        <x:v>对象与类型｜标识、值语义与类型
Object Identity</x:v>
      </x:c>
      <x:c r="C8" s="180" t="str">
        <x:v>FOIEnumTypeAttribute</x:v>
      </x:c>
      <x:c r="D8" s="179" t="str">
        <x:v>原有·待核</x:v>
      </x:c>
      <x:c r="E8" s="180" t="str">
        <x:v>为Enum类型声明反射元数据、配置或校验约束</x:v>
      </x:c>
      <x:c r="F8" s="180" t="str">
        <x:v>Type</x:v>
      </x:c>
      <x:c r="G8" s="180" t="str">
        <x:v>EnumTypeAttribute(Type type)</x:v>
      </x:c>
      <x:c r="H8" s="180" t="str">
        <x:v>—（待核）</x:v>
      </x:c>
      <x:c r="I8" s="180" t="str">
        <x:v>CommonInterfaces.EnumTypeAttribute</x:v>
      </x:c>
      <x:c r="J8" s="179" t="str">
        <x:v>类</x:v>
      </x:c>
      <x:c r="K8" s="180" t="str">
        <x:v>V1.19 C-0050；原实施方式：原有。迁移风险：为Enum类型声明反射元数据、配置或校验约束</x:v>
      </x:c>
      <x:c r="L8" s="183" t="str">
        <x:v>源代码声明·待复核</x:v>
      </x:c>
      <x:c r="M8" s="183" t="str">
        <x:v>C-0050</x:v>
      </x:c>
      <x:c r="N8" s="184" t="str">
        <x:v>Platform/CommonInterfaces/Attribute.cs</x:v>
      </x:c>
      <x:c r="O8" s="183" t="str">
        <x:v>V1.19旧源码类型（真实成员/实现仍待核）
V2.01：来源ID对应；处置=保留源码·公开契约复核
V7.8：V7.8同名且源文件对应；Platform/CommonInterfaces/Attribute.cs</x:v>
      </x:c>
      <x:c r="P8" s="136" t="str">
        <x:v>V1.19旧源码类型（真实成员/实现仍待核）</x:v>
      </x:c>
      <x:c r="Q8"/>
      <x:c r="R8"/>
      <x:c r="S8"/>
    </x:row>
    <x:row r="9" ht="72" customHeight="1">
      <x:c r="A9" s="179" t="str">
        <x:v>F01</x:v>
      </x:c>
      <x:c r="B9" s="180" t="str">
        <x:v>对象与类型｜标识、值语义与类型
Object Identity</x:v>
      </x:c>
      <x:c r="C9" s="180" t="str">
        <x:v>FOIGuard</x:v>
      </x:c>
      <x:c r="D9" s="179" t="str">
        <x:v>原有·待核</x:v>
      </x:c>
      <x:c r="E9" s="180" t="str">
        <x:v>集中校验空值、空白文本和数值边界，失败时抛出异常</x:v>
      </x:c>
      <x:c r="F9" s="180" t="str">
        <x:v>—（无公开声明或待核对）</x:v>
      </x:c>
      <x:c r="G9" s="180" t="str">
        <x:v>NotNull(T value, string parameterName), NotBlank(string value, string parameterName), Positive(double value, string parameterName)</x:v>
      </x:c>
      <x:c r="H9" s="180" t="str">
        <x:v>—（待核）</x:v>
      </x:c>
      <x:c r="I9" s="180" t="str">
        <x:v>CxVisual.Common.Guard</x:v>
      </x:c>
      <x:c r="J9" s="179" t="str">
        <x:v>静态类</x:v>
      </x:c>
      <x:c r="K9" s="180" t="str">
        <x:v>V1.19 C-0004；原实施方式：原有。迁移风险：集中校验空值、空白文本和数值边界，失败时抛出异常</x:v>
      </x:c>
      <x:c r="L9" s="183" t="str">
        <x:v>源代码声明·待复核</x:v>
      </x:c>
      <x:c r="M9" s="183" t="str">
        <x:v>C-0004</x:v>
      </x:c>
      <x:c r="N9" s="184" t="str">
        <x:v>Platform/Core/Common/Guard.cs</x:v>
      </x:c>
      <x:c r="O9" s="183" t="str">
        <x:v>V1.19旧源码类型（真实成员/实现仍待核）
V2.01：来源ID对应；处置=保留源码·公开契约复核
V7.8：V7.8同名且源文件对应；Platform/Core/Common/Guard.cs</x:v>
      </x:c>
      <x:c r="P9" s="136" t="str">
        <x:v>V1.19旧源码类型（真实成员/实现仍待核）</x:v>
      </x:c>
      <x:c r="Q9"/>
      <x:c r="R9"/>
      <x:c r="S9"/>
    </x:row>
    <x:row r="10" ht="72" customHeight="1">
      <x:c r="A10" s="179" t="str">
        <x:v>F01</x:v>
      </x:c>
      <x:c r="B10" s="180" t="str">
        <x:v>对象与类型｜标识、值语义与类型
Object Identity</x:v>
      </x:c>
      <x:c r="C10" s="180" t="str">
        <x:v>FOIIdUtil</x:v>
      </x:c>
      <x:c r="D10" s="179" t="str">
        <x:v>原有·待核</x:v>
      </x:c>
      <x:c r="E10" s="180" t="str">
        <x:v>生成并校验通用对象标识字符串</x:v>
      </x:c>
      <x:c r="F10" s="180" t="str">
        <x:v>—（无公开声明或待核对）</x:v>
      </x:c>
      <x:c r="G10" s="180" t="str">
        <x:v>NewId(), IsValid(string value)</x:v>
      </x:c>
      <x:c r="H10" s="180" t="str">
        <x:v>—（待核）</x:v>
      </x:c>
      <x:c r="I10" s="180" t="str">
        <x:v>CxVisual.Common.IdUtil</x:v>
      </x:c>
      <x:c r="J10" s="179" t="str">
        <x:v>静态类</x:v>
      </x:c>
      <x:c r="K10" s="180" t="str">
        <x:v>V1.19 C-0005；原实施方式：原有。迁移风险：生成并校验通用对象标识字符串</x:v>
      </x:c>
      <x:c r="L10" s="183" t="str">
        <x:v>源代码声明·待复核</x:v>
      </x:c>
      <x:c r="M10" s="183" t="str">
        <x:v>C-0005</x:v>
      </x:c>
      <x:c r="N10" s="184" t="str">
        <x:v>Platform/Core/Common/Utilities.cs</x:v>
      </x:c>
      <x:c r="O10" s="183" t="str">
        <x:v>V1.19旧源码类型（真实成员/实现仍待核）
V2.01：来源ID对应；处置=保留源码·公开契约复核
V7.8：V7.8同名且源文件对应；Platform/Core/Common/Utilities.cs</x:v>
      </x:c>
      <x:c r="P10" s="136" t="str">
        <x:v>V1.19旧源码类型（真实成员/实现仍待核）</x:v>
      </x:c>
      <x:c r="Q10"/>
      <x:c r="R10"/>
      <x:c r="S10"/>
    </x:row>
    <x:row r="11" ht="72" customHeight="1">
      <x:c r="A11" s="179" t="str">
        <x:v>F01</x:v>
      </x:c>
      <x:c r="B11" s="180" t="str">
        <x:v>对象与类型｜标识、值语义与类型
Object Identity</x:v>
      </x:c>
      <x:c r="C11" s="180" t="str">
        <x:v>FOIMaxLengthAttribute</x:v>
      </x:c>
      <x:c r="D11" s="179" t="str">
        <x:v>原有·待核</x:v>
      </x:c>
      <x:c r="E11" s="180" t="str">
        <x:v>为MaxLength声明反射元数据、配置或校验约束</x:v>
      </x:c>
      <x:c r="F11" s="180" t="str">
        <x:v>MaxLength</x:v>
      </x:c>
      <x:c r="G11" s="180" t="str">
        <x:v>MaxLengthAttribute(int maxLength)</x:v>
      </x:c>
      <x:c r="H11" s="180" t="str">
        <x:v>—（待核）</x:v>
      </x:c>
      <x:c r="I11" s="180" t="str">
        <x:v>CommonInterfaces.MaxLengthAttribute</x:v>
      </x:c>
      <x:c r="J11" s="179" t="str">
        <x:v>类</x:v>
      </x:c>
      <x:c r="K11" s="180" t="str">
        <x:v>V1.19 C-0051；原实施方式：原有。迁移风险：为MaxLength声明反射元数据、配置或校验约束</x:v>
      </x:c>
      <x:c r="L11" s="183" t="str">
        <x:v>源代码声明·待复核</x:v>
      </x:c>
      <x:c r="M11" s="183" t="str">
        <x:v>C-0051</x:v>
      </x:c>
      <x:c r="N11" s="184" t="str">
        <x:v>Platform/VariableObjects/Property.cs; Platform/CommonInterfaces/Attribute.cs; Workbenches/Automation/Compatibility/DeviceInterfaces/Property.cs</x:v>
      </x:c>
      <x:c r="O11" s="183" t="str">
        <x:v>V1.19旧源码类型（真实成员/实现仍待核）
V2.01：来源ID对应；处置=保留源码·公开契约复核
V7.8：V7.8同名同文件多声明</x:v>
      </x:c>
      <x:c r="P11" s="136" t="str">
        <x:v>V1.19旧源码类型（真实成员/实现仍待核）</x:v>
      </x:c>
      <x:c r="Q11"/>
      <x:c r="R11"/>
      <x:c r="S11"/>
    </x:row>
    <x:row r="12" ht="72" customHeight="1">
      <x:c r="A12" s="179" t="str">
        <x:v>F01</x:v>
      </x:c>
      <x:c r="B12" s="180" t="str">
        <x:v>对象与类型｜标识、值语义与类型
Object Identity</x:v>
      </x:c>
      <x:c r="C12" s="180" t="str">
        <x:v>FOINameAttribute</x:v>
      </x:c>
      <x:c r="D12" s="179" t="str">
        <x:v>原有·待核</x:v>
      </x:c>
      <x:c r="E12" s="180" t="str">
        <x:v>为名称声明反射元数据、配置或校验约束</x:v>
      </x:c>
      <x:c r="F12" s="180" t="str">
        <x:v>Name</x:v>
      </x:c>
      <x:c r="G12" s="180" t="str">
        <x:v>NameAttribute(string name)</x:v>
      </x:c>
      <x:c r="H12" s="180" t="str">
        <x:v>—（待核）</x:v>
      </x:c>
      <x:c r="I12" s="180" t="str">
        <x:v>CommonInterfaces.NameAttribute</x:v>
      </x:c>
      <x:c r="J12" s="179" t="str">
        <x:v>类</x:v>
      </x:c>
      <x:c r="K12" s="180" t="str">
        <x:v>V1.19 C-0052；原实施方式：原有。迁移风险：为名称声明反射元数据、配置或校验约束</x:v>
      </x:c>
      <x:c r="L12" s="183" t="str">
        <x:v>源代码声明·待复核</x:v>
      </x:c>
      <x:c r="M12" s="183" t="str">
        <x:v>C-0052</x:v>
      </x:c>
      <x:c r="N12" s="184" t="str">
        <x:v>Platform/VariableObjects/Property.cs; Platform/CommonInterfaces/Attribute.cs; Workbenches/Automation/Compatibility/DeviceInterfaces/Property.cs</x:v>
      </x:c>
      <x:c r="O12" s="183" t="str">
        <x:v>V1.19旧源码类型（真实成员/实现仍待核）
V2.01：来源ID对应；处置=保留源码·公开契约复核
V7.8：V7.8同名同文件多声明</x:v>
      </x:c>
      <x:c r="P12" s="136" t="str">
        <x:v>V1.19旧源码类型（真实成员/实现仍待核）</x:v>
      </x:c>
      <x:c r="Q12"/>
      <x:c r="R12"/>
      <x:c r="S12"/>
    </x:row>
    <x:row r="13" ht="72" customHeight="1">
      <x:c r="A13" s="179" t="str">
        <x:v>F01</x:v>
      </x:c>
      <x:c r="B13" s="180" t="str">
        <x:v>对象与类型｜标识、值语义与类型
Object Identity</x:v>
      </x:c>
      <x:c r="C13" s="180" t="str">
        <x:v>FOIRangeAttribute</x:v>
      </x:c>
      <x:c r="D13" s="179" t="str">
        <x:v>原有·待核</x:v>
      </x:c>
      <x:c r="E13" s="180" t="str">
        <x:v>为Range声明反射元数据、配置或校验约束</x:v>
      </x:c>
      <x:c r="F13" s="180" t="str">
        <x:v>MinValue, MaxValue</x:v>
      </x:c>
      <x:c r="G13" s="180" t="str">
        <x:v>RangeAttribute(double minValue, double maxValue)</x:v>
      </x:c>
      <x:c r="H13" s="180" t="str">
        <x:v>—（待核）</x:v>
      </x:c>
      <x:c r="I13" s="180" t="str">
        <x:v>CommonInterfaces.RangeAttribute</x:v>
      </x:c>
      <x:c r="J13" s="179" t="str">
        <x:v>类</x:v>
      </x:c>
      <x:c r="K13" s="180" t="str">
        <x:v>V1.19 C-0053；原实施方式：原有。迁移风险：为Range声明反射元数据、配置或校验约束</x:v>
      </x:c>
      <x:c r="L13" s="183" t="str">
        <x:v>源代码声明·待复核</x:v>
      </x:c>
      <x:c r="M13" s="183" t="str">
        <x:v>C-0053</x:v>
      </x:c>
      <x:c r="N13" s="184" t="str">
        <x:v>Platform/VariableObjects/Property.cs; Platform/CommonInterfaces/Attribute.cs; Workbenches/Automation/Compatibility/DeviceInterfaces/Property.cs</x:v>
      </x:c>
      <x:c r="O13" s="183" t="str">
        <x:v>V1.19旧源码类型（真实成员/实现仍待核）
V2.01：来源ID对应；处置=保留源码·公开契约复核
V7.8：V7.8同名同文件多声明</x:v>
      </x:c>
      <x:c r="P13" s="136" t="str">
        <x:v>V1.19旧源码类型（真实成员/实现仍待核）</x:v>
      </x:c>
      <x:c r="Q13"/>
      <x:c r="R13"/>
      <x:c r="S13"/>
    </x:row>
    <x:row r="14" ht="72" customHeight="1">
      <x:c r="A14" s="179" t="str">
        <x:v>F01</x:v>
      </x:c>
      <x:c r="B14" s="180" t="str">
        <x:v>对象与类型｜标识、值语义与类型
Object Identity</x:v>
      </x:c>
      <x:c r="C14" s="180" t="str">
        <x:v>FOIReflectionHelper</x:v>
      </x:c>
      <x:c r="D14" s="179" t="str">
        <x:v>拆出建议</x:v>
      </x:c>
      <x:c r="E14" s="180" t="str">
        <x:v>通过反射设置对象的窗口/绘制特性（如双缓冲）</x:v>
      </x:c>
      <x:c r="F14" s="180" t="str">
        <x:v>—（无公开声明或待核对）</x:v>
      </x:c>
      <x:c r="G14" s="180" t="str">
        <x:v>SetDoubleBuffer(object obj)</x:v>
      </x:c>
      <x:c r="H14" s="180" t="str">
        <x:v>—（待核）</x:v>
      </x:c>
      <x:c r="I14" s="180" t="str">
        <x:v>CommonInterfaces.ReflectionHelper</x:v>
      </x:c>
      <x:c r="J14" s="179" t="str">
        <x:v>静态类</x:v>
      </x:c>
      <x:c r="K14" s="180" t="str">
        <x:v>V1.19 C-0054；原实施方式：拆出建议。迁移风险：通过反射设置对象的窗口/绘制特性（如双缓冲）</x:v>
      </x:c>
      <x:c r="L14" s="183" t="str">
        <x:v>源代码声明·待复核</x:v>
      </x:c>
      <x:c r="M14" s="183" t="str">
        <x:v>C-0054</x:v>
      </x:c>
      <x:c r="N14" s="184" t="str">
        <x:v>Platform/CommonInterfaces/ReflectionHelper.cs</x:v>
      </x:c>
      <x:c r="O14" s="183" t="str">
        <x:v>V1.19旧源码类型（真实成员/实现仍待核）
V2.01：来源ID对应；处置=保留源码→拆分职责待裁决
V7.8：V7.8同名且源文件对应；Platform/CommonInterfaces/ReflectionHelper.cs
归属优先核查：SetDoubleBuffer属UI适配，不应进入F01；F01纯基础职责/状态归属需复核</x:v>
      </x:c>
      <x:c r="P14" s="136" t="str">
        <x:v>V1.19旧源码类型（真实成员/实现仍待核）</x:v>
      </x:c>
      <x:c r="Q14"/>
      <x:c r="R14"/>
      <x:c r="S14"/>
    </x:row>
    <x:row r="15" ht="72" customHeight="1">
      <x:c r="A15" s="179" t="str">
        <x:v>F01</x:v>
      </x:c>
      <x:c r="B15" s="180" t="str">
        <x:v>对象与类型｜标识、值语义与类型
Object Identity</x:v>
      </x:c>
      <x:c r="C15" s="180" t="str">
        <x:v>FOIRemarkAttribute</x:v>
      </x:c>
      <x:c r="D15" s="179" t="str">
        <x:v>原有·待核</x:v>
      </x:c>
      <x:c r="E15" s="180" t="str">
        <x:v>为Remark声明反射元数据、配置或校验约束</x:v>
      </x:c>
      <x:c r="F15" s="180" t="str">
        <x:v>Remark</x:v>
      </x:c>
      <x:c r="G15" s="180" t="str">
        <x:v>RemarkAttribute(string remark)</x:v>
      </x:c>
      <x:c r="H15" s="180" t="str">
        <x:v>—（待核）</x:v>
      </x:c>
      <x:c r="I15" s="180" t="str">
        <x:v>CommonInterfaces.RemarkAttribute</x:v>
      </x:c>
      <x:c r="J15" s="179" t="str">
        <x:v>类</x:v>
      </x:c>
      <x:c r="K15" s="180" t="str">
        <x:v>V1.19 C-0055；原实施方式：原有。迁移风险：为Remark声明反射元数据、配置或校验约束</x:v>
      </x:c>
      <x:c r="L15" s="183" t="str">
        <x:v>源代码声明·待复核</x:v>
      </x:c>
      <x:c r="M15" s="183" t="str">
        <x:v>C-0055</x:v>
      </x:c>
      <x:c r="N15" s="184" t="str">
        <x:v>Platform/CommonInterfaces/Attribute.cs</x:v>
      </x:c>
      <x:c r="O15" s="183" t="str">
        <x:v>V1.19旧源码类型（真实成员/实现仍待核）
V2.01：来源ID对应；处置=保留源码·公开契约复核
V7.8：V7.8同名且源文件对应；Platform/CommonInterfaces/Attribute.cs</x:v>
      </x:c>
      <x:c r="P15" s="136" t="str">
        <x:v>V1.19旧源码类型（真实成员/实现仍待核）</x:v>
      </x:c>
      <x:c r="Q15"/>
      <x:c r="R15"/>
      <x:c r="S15"/>
    </x:row>
    <x:row r="16" ht="72" customHeight="1">
      <x:c r="A16" s="179" t="str">
        <x:v>F01</x:v>
      </x:c>
      <x:c r="B16" s="180" t="str">
        <x:v>对象与类型｜标识、值语义与类型
Object Identity</x:v>
      </x:c>
      <x:c r="C16" s="180" t="str">
        <x:v>FOISnowflake</x:v>
      </x:c>
      <x:c r="D16" s="179" t="str">
        <x:v>原有·待核</x:v>
      </x:c>
      <x:c r="E16" s="180" t="str">
        <x:v>表达或管理Snowflake相关的数据及协作职责，具体行为待源码复核〔待核〕</x:v>
      </x:c>
      <x:c r="F16" s="180" t="str">
        <x:v>WorkerId, DatacenterId, Sequence, DataType</x:v>
      </x:c>
      <x:c r="G16" s="180" t="str">
        <x:v>Snowflake(long workerId, ObjectType dataType, long sequence = 0L), NextId()</x:v>
      </x:c>
      <x:c r="H16" s="180" t="str">
        <x:v>—（待核）</x:v>
      </x:c>
      <x:c r="I16" s="180" t="str">
        <x:v>CxDeviceSuite.Core.Snowflake</x:v>
      </x:c>
      <x:c r="J16" s="179" t="str">
        <x:v>类</x:v>
      </x:c>
      <x:c r="K16" s="180" t="str">
        <x:v>V1.19 C-0002；原实施方式：原有。迁移风险：表达或管理Snowflake相关的数据及协作职责，具体行为待源码复核〔待核〕</x:v>
      </x:c>
      <x:c r="L16" s="183" t="str">
        <x:v>源代码声明·待复核</x:v>
      </x:c>
      <x:c r="M16" s="183" t="str">
        <x:v>C-0002</x:v>
      </x:c>
      <x:c r="N16" s="184" t="str">
        <x:v>Platform/DeviceVariable/DeviceSuite/Core/Snowflake.cs; Workbenches/Automation/Compatibility/DeviceSuite/Core/Snowflake.cs</x:v>
      </x:c>
      <x:c r="O16" s="183" t="str">
        <x:v>V1.19旧源码类型（真实成员/实现仍待核）
V2.01：来源ID对应；处置=保留源码·公开契约复核
V7.8：V7.8同名同文件多声明</x:v>
      </x:c>
      <x:c r="P16" s="136" t="str">
        <x:v>V1.19旧源码类型（真实成员/实现仍待核）</x:v>
      </x:c>
      <x:c r="Q16"/>
      <x:c r="R16"/>
      <x:c r="S16"/>
    </x:row>
    <x:row r="17" ht="72" customHeight="1">
      <x:c r="A17" s="179" t="str">
        <x:v>F01</x:v>
      </x:c>
      <x:c r="B17" s="180" t="str">
        <x:v>对象与类型｜标识、值语义与类型
Object Identity</x:v>
      </x:c>
      <x:c r="C17" s="180" t="str">
        <x:v>FOISnowflakeManager</x:v>
      </x:c>
      <x:c r="D17" s="179" t="str">
        <x:v>原有·待核</x:v>
      </x:c>
      <x:c r="E17" s="180" t="str">
        <x:v>生成编码型唯一标识并从标识中提取对象类别</x:v>
      </x:c>
      <x:c r="F17" s="180" t="str">
        <x:v>—（无公开声明或待核对）</x:v>
      </x:c>
      <x:c r="G17" s="180" t="str">
        <x:v>GenerateId(ObjectType dataType), GetDataTypeFromId(long id)</x:v>
      </x:c>
      <x:c r="H17" s="180" t="str">
        <x:v>—（待核）</x:v>
      </x:c>
      <x:c r="I17" s="180" t="str">
        <x:v>CxDeviceSuite.Core.SnowflakeManager</x:v>
      </x:c>
      <x:c r="J17" s="179" t="str">
        <x:v>静态类</x:v>
      </x:c>
      <x:c r="K17" s="180" t="str">
        <x:v>V1.19 C-0003；原实施方式：原有。迁移风险：SnowflakeManager以静态字典保留每类型生成器，WorkerId写死为0；多节点环境可能出现ID碰撞。</x:v>
      </x:c>
      <x:c r="L17" s="183" t="str">
        <x:v>源代码声明·待复核</x:v>
      </x:c>
      <x:c r="M17" s="183" t="str">
        <x:v>C-0003</x:v>
      </x:c>
      <x:c r="N17" s="184" t="str">
        <x:v>Platform/DeviceVariable/DeviceSuite/Core/Snowflake.cs; Workbenches/Automation/Compatibility/DeviceSuite/Core/Snowflake.cs</x:v>
      </x:c>
      <x:c r="O17" s="183" t="str">
        <x:v>V1.19旧源码类型（真实成员/实现仍待核）
V2.01：来源ID对应；处置=专项需裁决：核心重构
V7.8：V7.8同名同文件多声明
归属优先核查：有状态标识发号器需显式实例与节点配置，不是全局静态基础计算；F01纯基础职责/状态归属需复核</x:v>
      </x:c>
      <x:c r="P17" s="136" t="str">
        <x:v>V1.19旧源码类型（真实成员/实现仍待核）</x:v>
      </x:c>
      <x:c r="Q17"/>
      <x:c r="R17"/>
      <x:c r="S17"/>
    </x:row>
    <x:row r="18" ht="72" customHeight="1">
      <x:c r="A18" s="179" t="str">
        <x:v>F01</x:v>
      </x:c>
      <x:c r="B18" s="180" t="str">
        <x:v>对象与类型｜标识、值语义与类型
Object Identity</x:v>
      </x:c>
      <x:c r="C18" s="180" t="str">
        <x:v>FOITitleAttribute</x:v>
      </x:c>
      <x:c r="D18" s="179" t="str">
        <x:v>原有·待核</x:v>
      </x:c>
      <x:c r="E18" s="180" t="str">
        <x:v>为Title声明反射元数据、配置或校验约束</x:v>
      </x:c>
      <x:c r="F18" s="180" t="str">
        <x:v>Title</x:v>
      </x:c>
      <x:c r="G18" s="180" t="str">
        <x:v>TitleAttribute(string title)</x:v>
      </x:c>
      <x:c r="H18" s="180" t="str">
        <x:v>—（待核）</x:v>
      </x:c>
      <x:c r="I18" s="180" t="str">
        <x:v>CommonInterfaces.TitleAttribute</x:v>
      </x:c>
      <x:c r="J18" s="179" t="str">
        <x:v>类</x:v>
      </x:c>
      <x:c r="K18" s="180" t="str">
        <x:v>V1.19 C-0056；原实施方式：原有。迁移风险：为Title声明反射元数据、配置或校验约束</x:v>
      </x:c>
      <x:c r="L18" s="183" t="str">
        <x:v>源代码声明·待复核</x:v>
      </x:c>
      <x:c r="M18" s="183" t="str">
        <x:v>C-0056</x:v>
      </x:c>
      <x:c r="N18" s="184" t="str">
        <x:v>Platform/VariableObjects/Property.cs; Platform/CommonInterfaces/Attribute.cs; Workbenches/Automation/Compatibility/DeviceInterfaces/Property.cs</x:v>
      </x:c>
      <x:c r="O18" s="183" t="str">
        <x:v>V1.19旧源码类型（真实成员/实现仍待核）
V2.01：来源ID对应；处置=保留源码·公开契约复核
V7.8：V7.8同名同文件多声明</x:v>
      </x:c>
      <x:c r="P18" s="136" t="str">
        <x:v>V1.19旧源码类型（真实成员/实现仍待核）</x:v>
      </x:c>
      <x:c r="Q18"/>
      <x:c r="R18"/>
      <x:c r="S18"/>
    </x:row>
    <x:row r="19" ht="72" customHeight="1">
      <x:c r="A19" s="179" t="str">
        <x:v>F01</x:v>
      </x:c>
      <x:c r="B19" s="180" t="str">
        <x:v>对象与类型｜标识、值语义与类型
Object Identity</x:v>
      </x:c>
      <x:c r="C19" s="180" t="str">
        <x:v>FOIUpLoadTypeEnum</x:v>
      </x:c>
      <x:c r="D19" s="179" t="str">
        <x:v>原有·待核</x:v>
      </x:c>
      <x:c r="E19" s="180" t="str">
        <x:v>定义UpLoad类型Enum的候选取值、状态或模式，供相关流程作分支判断</x:v>
      </x:c>
      <x:c r="F19" s="180" t="str">
        <x:v>枚举值：All, Wait, Success, Fail</x:v>
      </x:c>
      <x:c r="G19" s="180" t="str">
        <x:v>—(无公开声明或待核对)</x:v>
      </x:c>
      <x:c r="H19" s="180" t="str">
        <x:v>—（待核）</x:v>
      </x:c>
      <x:c r="I19" s="180" t="str">
        <x:v>CommonInterfaces.UpLoadTypeEnum</x:v>
      </x:c>
      <x:c r="J19" s="179" t="str">
        <x:v>枚举</x:v>
      </x:c>
      <x:c r="K19" s="180" t="str">
        <x:v>V1.19 C-0057；原实施方式：原有。迁移风险：定义UpLoad类型Enum的候选取值、状态或模式，供相关流程作分支判断</x:v>
      </x:c>
      <x:c r="L19" s="183" t="str">
        <x:v>源代码声明·待复核</x:v>
      </x:c>
      <x:c r="M19" s="183" t="str">
        <x:v>C-0057</x:v>
      </x:c>
      <x:c r="N19" s="184" t="str">
        <x:v>Platform/CommonInterfaces/DefineHelper.cs</x:v>
      </x:c>
      <x:c r="O19" s="183" t="str">
        <x:v>V1.19旧源码类型（真实成员/实现仍待核）
V2.01：来源ID对应；处置=保留源码·公开契约复核
V7.8：V7.8同名且源文件对应；Platform/CommonInterfaces/DefineHelper.cs</x:v>
      </x:c>
      <x:c r="P19" s="136" t="str">
        <x:v>V1.19旧源码类型（真实成员/实现仍待核）</x:v>
      </x:c>
      <x:c r="Q19"/>
      <x:c r="R19"/>
      <x:c r="S19"/>
    </x:row>
    <x:row r="20" ht="72" customHeight="1">
      <x:c r="A20" s="179" t="str">
        <x:v>F01</x:v>
      </x:c>
      <x:c r="B20" s="180" t="str">
        <x:v>对象与类型｜标识、值语义与类型
Object Identity</x:v>
      </x:c>
      <x:c r="C20" s="180" t="str">
        <x:v>FOIValueTypeAttribute</x:v>
      </x:c>
      <x:c r="D20" s="179" t="str">
        <x:v>原有·待核</x:v>
      </x:c>
      <x:c r="E20" s="180" t="str">
        <x:v>为值类型声明反射元数据、配置或校验约束</x:v>
      </x:c>
      <x:c r="F20" s="180" t="str">
        <x:v>Type</x:v>
      </x:c>
      <x:c r="G20" s="180" t="str">
        <x:v>ValueTypeAttribute(Type type)</x:v>
      </x:c>
      <x:c r="H20" s="180" t="str">
        <x:v>—（待核）</x:v>
      </x:c>
      <x:c r="I20" s="180" t="str">
        <x:v>CommonInterfaces.ValueTypeAttribute</x:v>
      </x:c>
      <x:c r="J20" s="179" t="str">
        <x:v>类</x:v>
      </x:c>
      <x:c r="K20" s="180" t="str">
        <x:v>V1.19 C-0058；原实施方式：原有。迁移风险：为值类型声明反射元数据、配置或校验约束</x:v>
      </x:c>
      <x:c r="L20" s="183" t="str">
        <x:v>源代码声明·待复核</x:v>
      </x:c>
      <x:c r="M20" s="183" t="str">
        <x:v>C-0058</x:v>
      </x:c>
      <x:c r="N20" s="184" t="str">
        <x:v>Platform/VariableObjects/Property.cs; Platform/CommonInterfaces/Attribute.cs; Workbenches/Automation/Compatibility/DeviceInterfaces/Property.cs</x:v>
      </x:c>
      <x:c r="O20" s="183" t="str">
        <x:v>V1.19旧源码类型（真实成员/实现仍待核）
V2.01：来源ID对应；处置=保留源码·公开契约复核
V7.8：V7.8同名同文件多声明</x:v>
      </x:c>
      <x:c r="P20" s="136" t="str">
        <x:v>V1.19旧源码类型（真实成员/实现仍待核）</x:v>
      </x:c>
      <x:c r="Q20"/>
      <x:c r="R20"/>
      <x:c r="S20"/>
    </x:row>
    <x:row r="21" ht="72" customHeight="1">
      <x:c r="A21" s="179" t="str">
        <x:v>F01</x:v>
      </x:c>
      <x:c r="B21" s="180" t="str">
        <x:v>对象与类型｜标识、值语义与类型
Object Identity</x:v>
      </x:c>
      <x:c r="C21" s="180" t="str">
        <x:v>FOIChangeSet</x:v>
      </x:c>
      <x:c r="D21" s="179" t="str">
        <x:v>增构候选·待查重</x:v>
      </x:c>
      <x:c r="E21" s="180" t="str">
        <x:v>表达和承载变更集合的基础数据或计算参数</x:v>
      </x:c>
      <x:c r="F21" s="180" t="str">
        <x:v>Before；After；Path</x:v>
      </x:c>
      <x:c r="G21" s="180" t="str">
        <x:v>Merge；Invert</x:v>
      </x:c>
      <x:c r="H21" s="180" t="str">
        <x:v>待逐对象核实</x:v>
      </x:c>
      <x:c r="I21" s="180" t="str">
        <x:v>ChangeSet</x:v>
      </x:c>
      <x:c r="J21" s="179" t="str">
        <x:v>类/实例候选</x:v>
      </x:c>
      <x:c r="K21" s="180" t="str">
        <x:v>生命周期：基础数据/值对象</x:v>
      </x:c>
      <x:c r="L21" s="183" t="str">
        <x:v>设计候选，尚待源码验证</x:v>
      </x:c>
      <x:c r="M21" s="183" t="str">
        <x:v>F01.ChangeSet</x:v>
      </x:c>
      <x:c r="N21" s="184" t="str">
        <x:v>05_基础对象与基础计算!C6</x:v>
      </x:c>
      <x:c r="O21" s="183" t="str">
        <x:v>V4.9对象/属性/方法
V2.01：名称/子方面线索；处置=规划独立契约候选·未批准新增
V7.8：V7.8未检出同名词法声明
归属优先核查：区分基础差异值与M07工程变更事务，避免两套权威修改入口；F01纯基础职责/状态归属需复核</x:v>
      </x:c>
      <x:c r="P21" s="136" t="str">
        <x:v>V4.9对象/属性/方法</x:v>
      </x:c>
      <x:c r="Q21"/>
      <x:c r="R21"/>
      <x:c r="S21"/>
    </x:row>
    <x:row r="22" ht="72" customHeight="1">
      <x:c r="A22" s="179" t="str">
        <x:v>F01</x:v>
      </x:c>
      <x:c r="B22" s="180" t="str">
        <x:v>对象与类型｜标识、值语义与类型
Object Identity</x:v>
      </x:c>
      <x:c r="C22" s="180" t="str">
        <x:v>FOIDefaultValueUtil</x:v>
      </x:c>
      <x:c r="D22" s="179" t="str">
        <x:v>增构候选·待查重</x:v>
      </x:c>
      <x:c r="E22" s="180" t="str">
        <x:v>提供无状态默认值工具运算，不持有会话/设备/全局缓存</x:v>
      </x:c>
      <x:c r="F22" s="180" t="str">
        <x:v>Type；Nullability</x:v>
      </x:c>
      <x:c r="G22" s="180" t="str">
        <x:v>GetDefault；IsDefault</x:v>
      </x:c>
      <x:c r="H22" s="180" t="str">
        <x:v>待逐对象核实</x:v>
      </x:c>
      <x:c r="I22" s="180" t="str">
        <x:v>DefaultValueUtil</x:v>
      </x:c>
      <x:c r="J22" s="179" t="str">
        <x:v>静态类</x:v>
      </x:c>
      <x:c r="K22" s="180" t="str">
        <x:v>生命周期：基础值/纯计算</x:v>
      </x:c>
      <x:c r="L22" s="183" t="str">
        <x:v>设计候选，尚待源码验证</x:v>
      </x:c>
      <x:c r="M22" s="183" t="str">
        <x:v>F01.DefaultValueUtil</x:v>
      </x:c>
      <x:c r="N22" s="184" t="str">
        <x:v>05_基础对象与基础计算!C7</x:v>
      </x:c>
      <x:c r="O22" s="183" t="str">
        <x:v>V4.9对象/属性/方法
V2.01：名称/子方面线索；处置=规划独立契约候选·未批准新增
V7.8：V7.8未检出同名词法声明</x:v>
      </x:c>
      <x:c r="P22" s="136" t="str">
        <x:v>V4.9对象/属性/方法</x:v>
      </x:c>
      <x:c r="Q22"/>
      <x:c r="R22"/>
      <x:c r="S22"/>
    </x:row>
    <x:row r="23" ht="72" customHeight="1">
      <x:c r="A23" s="179" t="str">
        <x:v>F01</x:v>
      </x:c>
      <x:c r="B23" s="180" t="str">
        <x:v>对象与类型｜标识、值语义与类型
Object Identity</x:v>
      </x:c>
      <x:c r="C23" s="180" t="str">
        <x:v>FOIObjectComparer</x:v>
      </x:c>
      <x:c r="D23" s="179" t="str">
        <x:v>增构候选·待查重</x:v>
      </x:c>
      <x:c r="E23" s="180" t="str">
        <x:v>提供无状态对象比较工具运算，不持有会话/设备/全局缓存</x:v>
      </x:c>
      <x:c r="F23" s="180" t="str">
        <x:v>ComparisonPolicy</x:v>
      </x:c>
      <x:c r="G23" s="180" t="str">
        <x:v>Compare；Equals</x:v>
      </x:c>
      <x:c r="H23" s="180" t="str">
        <x:v>待逐对象核实</x:v>
      </x:c>
      <x:c r="I23" s="180" t="str">
        <x:v>ObjectComparer</x:v>
      </x:c>
      <x:c r="J23" s="179" t="str">
        <x:v>静态类</x:v>
      </x:c>
      <x:c r="K23" s="180" t="str">
        <x:v>生命周期：基础值/纯计算</x:v>
      </x:c>
      <x:c r="L23" s="183" t="str">
        <x:v>设计候选，尚待源码验证</x:v>
      </x:c>
      <x:c r="M23" s="183" t="str">
        <x:v>F01.ObjectComparer</x:v>
      </x:c>
      <x:c r="N23" s="184" t="str">
        <x:v>05_基础对象与基础计算!C8</x:v>
      </x:c>
      <x:c r="O23" s="183" t="str">
        <x:v>V4.9对象/属性/方法
V2.01：名称/子方面线索；处置=规划独立契约候选·未批准新增
V7.8：V7.8未检出同名词法声明</x:v>
      </x:c>
      <x:c r="P23" s="136" t="str">
        <x:v>V4.9对象/属性/方法</x:v>
      </x:c>
      <x:c r="Q23"/>
      <x:c r="R23"/>
      <x:c r="S23"/>
    </x:row>
    <x:row r="24" ht="72" customHeight="1">
      <x:c r="A24" s="179" t="str">
        <x:v>F01</x:v>
      </x:c>
      <x:c r="B24" s="180" t="str">
        <x:v>对象与类型｜标识、值语义与类型
Object Identity</x:v>
      </x:c>
      <x:c r="C24" s="180" t="str">
        <x:v>FOIObjectIdentity</x:v>
      </x:c>
      <x:c r="D24" s="179" t="str">
        <x:v>增构候选·待查重</x:v>
      </x:c>
      <x:c r="E24" s="180" t="str">
        <x:v>表达和承载对象身份值的基础数据或计算参数</x:v>
      </x:c>
      <x:c r="F24" s="180" t="str">
        <x:v>Key；Kind；Namespace</x:v>
      </x:c>
      <x:c r="G24" s="180" t="str">
        <x:v>Equals；GetHashCode</x:v>
      </x:c>
      <x:c r="H24" s="180" t="str">
        <x:v>待逐对象核实</x:v>
      </x:c>
      <x:c r="I24" s="180" t="str">
        <x:v>ObjectIdentity</x:v>
      </x:c>
      <x:c r="J24" s="179" t="str">
        <x:v>值类型候选</x:v>
      </x:c>
      <x:c r="K24" s="180" t="str">
        <x:v>生命周期：基础数据/值对象</x:v>
      </x:c>
      <x:c r="L24" s="183" t="str">
        <x:v>设计候选，尚待源码验证</x:v>
      </x:c>
      <x:c r="M24" s="183" t="str">
        <x:v>F01.ObjectIdentity</x:v>
      </x:c>
      <x:c r="N24" s="184" t="str">
        <x:v>05_基础对象与基础计算!C9</x:v>
      </x:c>
      <x:c r="O24" s="183" t="str">
        <x:v>V4.9对象/属性/方法
V2.01：名称/子方面线索；处置=规划独立契约候选·未批准新增
V7.8：V7.8未检出同名词法声明</x:v>
      </x:c>
      <x:c r="P24" s="136" t="str">
        <x:v>V4.9对象/属性/方法</x:v>
      </x:c>
      <x:c r="Q24"/>
      <x:c r="R24"/>
      <x:c r="S24"/>
    </x:row>
    <x:row r="25" ht="72" customHeight="1">
      <x:c r="A25" s="179" t="str">
        <x:v>F01</x:v>
      </x:c>
      <x:c r="B25" s="180" t="str">
        <x:v>对象与类型｜标识、值语义与类型
Object Identity</x:v>
      </x:c>
      <x:c r="C25" s="180" t="str">
        <x:v>FOIQualifiedName</x:v>
      </x:c>
      <x:c r="D25" s="179" t="str">
        <x:v>增构候选·待查重</x:v>
      </x:c>
      <x:c r="E25" s="180" t="str">
        <x:v>表达和承载限定名称的基础数据或计算参数</x:v>
      </x:c>
      <x:c r="F25" s="180" t="str">
        <x:v>Namespace；Name；Version</x:v>
      </x:c>
      <x:c r="G25" s="180" t="str">
        <x:v>Format；Resolve</x:v>
      </x:c>
      <x:c r="H25" s="180" t="str">
        <x:v>待逐对象核实</x:v>
      </x:c>
      <x:c r="I25" s="180" t="str">
        <x:v>QualifiedName</x:v>
      </x:c>
      <x:c r="J25" s="179" t="str">
        <x:v>值类型候选</x:v>
      </x:c>
      <x:c r="K25" s="180" t="str">
        <x:v>生命周期：基础数据/值对象</x:v>
      </x:c>
      <x:c r="L25" s="183" t="str">
        <x:v>设计候选，尚待源码验证</x:v>
      </x:c>
      <x:c r="M25" s="183" t="str">
        <x:v>F01.QualifiedName</x:v>
      </x:c>
      <x:c r="N25" s="184" t="str">
        <x:v>05_基础对象与基础计算!C10</x:v>
      </x:c>
      <x:c r="O25" s="183" t="str">
        <x:v>V4.9对象/属性/方法
V2.01：名称/子方面线索；处置=规划独立契约候选·未批准新增
V7.8：V7.8未检出同名词法声明</x:v>
      </x:c>
      <x:c r="P25" s="136" t="str">
        <x:v>V4.9对象/属性/方法</x:v>
      </x:c>
      <x:c r="Q25"/>
      <x:c r="R25"/>
      <x:c r="S25"/>
    </x:row>
    <x:row r="26" ht="72" customHeight="1">
      <x:c r="A26" s="179" t="str">
        <x:v>F01</x:v>
      </x:c>
      <x:c r="B26" s="180" t="str">
        <x:v>对象与类型｜标识、值语义与类型
Object Identity</x:v>
      </x:c>
      <x:c r="C26" s="180" t="str">
        <x:v>FOIStableName</x:v>
      </x:c>
      <x:c r="D26" s="179" t="str">
        <x:v>增构候选·待查重</x:v>
      </x:c>
      <x:c r="E26" s="180" t="str">
        <x:v>表达和承载稳定名称的基础数据或计算参数</x:v>
      </x:c>
      <x:c r="F26" s="180" t="str">
        <x:v>Name；Namespace</x:v>
      </x:c>
      <x:c r="G26" s="180" t="str">
        <x:v>Normalize；Compare</x:v>
      </x:c>
      <x:c r="H26" s="180" t="str">
        <x:v>待逐对象核实</x:v>
      </x:c>
      <x:c r="I26" s="180" t="str">
        <x:v>StableName</x:v>
      </x:c>
      <x:c r="J26" s="179" t="str">
        <x:v>值类型候选</x:v>
      </x:c>
      <x:c r="K26" s="180" t="str">
        <x:v>生命周期：基础数据/值对象</x:v>
      </x:c>
      <x:c r="L26" s="183" t="str">
        <x:v>设计候选，尚待源码验证</x:v>
      </x:c>
      <x:c r="M26" s="183" t="str">
        <x:v>F01.StableName</x:v>
      </x:c>
      <x:c r="N26" s="184" t="str">
        <x:v>05_基础对象与基础计算!C11</x:v>
      </x:c>
      <x:c r="O26" s="183" t="str">
        <x:v>V4.9对象/属性/方法
V2.01：名称/子方面线索；处置=规划独立契约候选·未批准新增
V7.8：V7.8未检出同名词法声明</x:v>
      </x:c>
      <x:c r="P26" s="136" t="str">
        <x:v>V4.9对象/属性/方法</x:v>
      </x:c>
      <x:c r="Q26"/>
      <x:c r="R26"/>
      <x:c r="S26"/>
    </x:row>
    <x:row r="27" ht="72" customHeight="1">
      <x:c r="A27" s="179" t="str">
        <x:v>F01</x:v>
      </x:c>
      <x:c r="B27" s="180" t="str">
        <x:v>对象与类型｜标识、值语义与类型
Object Identity</x:v>
      </x:c>
      <x:c r="C27" s="180" t="str">
        <x:v>FOITypeConversionUtil</x:v>
      </x:c>
      <x:c r="D27" s="179" t="str">
        <x:v>增构候选·待查重</x:v>
      </x:c>
      <x:c r="E27" s="180" t="str">
        <x:v>提供无状态类型转换工具运算，不持有会话/设备/全局缓存</x:v>
      </x:c>
      <x:c r="F27" s="180" t="str">
        <x:v>SourceType；TargetType</x:v>
      </x:c>
      <x:c r="G27" s="180" t="str">
        <x:v>TryConvert；Validate</x:v>
      </x:c>
      <x:c r="H27" s="180" t="str">
        <x:v>待逐对象核实</x:v>
      </x:c>
      <x:c r="I27" s="180" t="str">
        <x:v>TypeConversionUtil</x:v>
      </x:c>
      <x:c r="J27" s="179" t="str">
        <x:v>静态类</x:v>
      </x:c>
      <x:c r="K27" s="180" t="str">
        <x:v>生命周期：基础值/纯计算</x:v>
      </x:c>
      <x:c r="L27" s="183" t="str">
        <x:v>设计候选，尚待源码验证</x:v>
      </x:c>
      <x:c r="M27" s="183" t="str">
        <x:v>F01.TypeConversionUtil</x:v>
      </x:c>
      <x:c r="N27" s="184" t="str">
        <x:v>05_基础对象与基础计算!C12</x:v>
      </x:c>
      <x:c r="O27" s="183" t="str">
        <x:v>V4.9对象/属性/方法
V2.01：名称/子方面线索；处置=规划独立契约候选·未批准新增
V7.8：V7.8未检出同名词法声明</x:v>
      </x:c>
      <x:c r="P27" s="136" t="str">
        <x:v>V4.9对象/属性/方法</x:v>
      </x:c>
      <x:c r="Q27"/>
      <x:c r="R27"/>
      <x:c r="S27"/>
    </x:row>
    <x:row r="28" ht="72" customHeight="1">
      <x:c r="A28" s="179" t="str">
        <x:v>F01</x:v>
      </x:c>
      <x:c r="B28" s="180" t="str">
        <x:v>对象与类型｜标识、值语义与类型
Object Identity</x:v>
      </x:c>
      <x:c r="C28" s="180" t="str">
        <x:v>FOITypeShape</x:v>
      </x:c>
      <x:c r="D28" s="179" t="str">
        <x:v>增构候选·待查重</x:v>
      </x:c>
      <x:c r="E28" s="180" t="str">
        <x:v>表达和承载类型形状的基础数据或计算参数</x:v>
      </x:c>
      <x:c r="F28" s="180" t="str">
        <x:v>Kind；Nullable；ElementType</x:v>
      </x:c>
      <x:c r="G28" s="180" t="str">
        <x:v>Describe；Check</x:v>
      </x:c>
      <x:c r="H28" s="180" t="str">
        <x:v>待逐对象核实</x:v>
      </x:c>
      <x:c r="I28" s="180" t="str">
        <x:v>TypeShape</x:v>
      </x:c>
      <x:c r="J28" s="179" t="str">
        <x:v>值类型候选</x:v>
      </x:c>
      <x:c r="K28" s="180" t="str">
        <x:v>生命周期：基础数据/值对象</x:v>
      </x:c>
      <x:c r="L28" s="183" t="str">
        <x:v>设计候选，尚待源码验证</x:v>
      </x:c>
      <x:c r="M28" s="183" t="str">
        <x:v>F01.TypeShape</x:v>
      </x:c>
      <x:c r="N28" s="184" t="str">
        <x:v>05_基础对象与基础计算!C13</x:v>
      </x:c>
      <x:c r="O28" s="183" t="str">
        <x:v>V4.9对象/属性/方法
V2.01：名称/子方面线索；处置=规划独立契约候选·未批准新增
V7.8：V7.8未检出同名词法声明</x:v>
      </x:c>
      <x:c r="P28" s="136" t="str">
        <x:v>V4.9对象/属性/方法</x:v>
      </x:c>
      <x:c r="Q28"/>
      <x:c r="R28"/>
      <x:c r="S28"/>
    </x:row>
    <x:row r="29" ht="72" customHeight="1">
      <x:c r="A29" s="179" t="str">
        <x:v>F01</x:v>
      </x:c>
      <x:c r="B29" s="180" t="str">
        <x:v>对象与类型｜标识、值语义与类型
Object Identity</x:v>
      </x:c>
      <x:c r="C29" s="180" t="str">
        <x:v>FOITypeToken</x:v>
      </x:c>
      <x:c r="D29" s="179" t="str">
        <x:v>增构候选·待查重</x:v>
      </x:c>
      <x:c r="E29" s="180" t="str">
        <x:v>表达和承载类型令牌的基础数据或计算参数</x:v>
      </x:c>
      <x:c r="F29" s="180" t="str">
        <x:v>TypeName；AssemblyAlias</x:v>
      </x:c>
      <x:c r="G29" s="180" t="str">
        <x:v>Compare；Resolve</x:v>
      </x:c>
      <x:c r="H29" s="180" t="str">
        <x:v>待逐对象核实</x:v>
      </x:c>
      <x:c r="I29" s="180" t="str">
        <x:v>TypeToken</x:v>
      </x:c>
      <x:c r="J29" s="179" t="str">
        <x:v>值类型候选</x:v>
      </x:c>
      <x:c r="K29" s="180" t="str">
        <x:v>生命周期：基础数据/值对象</x:v>
      </x:c>
      <x:c r="L29" s="183" t="str">
        <x:v>设计候选，尚待源码验证</x:v>
      </x:c>
      <x:c r="M29" s="183" t="str">
        <x:v>F01.TypeToken</x:v>
      </x:c>
      <x:c r="N29" s="184" t="str">
        <x:v>05_基础对象与基础计算!C14</x:v>
      </x:c>
      <x:c r="O29" s="183" t="str">
        <x:v>V4.9对象/属性/方法
V2.01：名称/子方面线索；处置=规划独立契约候选·未批准新增
V7.8：V7.8未检出同名词法声明</x:v>
      </x:c>
      <x:c r="P29" s="136" t="str">
        <x:v>V4.9对象/属性/方法</x:v>
      </x:c>
      <x:c r="Q29"/>
      <x:c r="R29"/>
      <x:c r="S29"/>
    </x:row>
    <x:row r="30" ht="72" customHeight="1">
      <x:c r="A30" s="179" t="str">
        <x:v>F01</x:v>
      </x:c>
      <x:c r="B30" s="180" t="str">
        <x:v>对象与类型｜标识、值语义与类型
Object Identity</x:v>
      </x:c>
      <x:c r="C30" s="180" t="str">
        <x:v>FOIValueSnapshot</x:v>
      </x:c>
      <x:c r="D30" s="179" t="str">
        <x:v>增构候选·待查重</x:v>
      </x:c>
      <x:c r="E30" s="180" t="str">
        <x:v>表达和承载值快照的基础数据或计算参数</x:v>
      </x:c>
      <x:c r="F30" s="180" t="str">
        <x:v>Type；Value；Revision</x:v>
      </x:c>
      <x:c r="G30" s="180" t="str">
        <x:v>Compare；Clone</x:v>
      </x:c>
      <x:c r="H30" s="180" t="str">
        <x:v>待逐对象核实</x:v>
      </x:c>
      <x:c r="I30" s="180" t="str">
        <x:v>ValueSnapshot</x:v>
      </x:c>
      <x:c r="J30" s="179" t="str">
        <x:v>值类型候选</x:v>
      </x:c>
      <x:c r="K30" s="180" t="str">
        <x:v>生命周期：基础数据/值对象</x:v>
      </x:c>
      <x:c r="L30" s="183" t="str">
        <x:v>设计候选，尚待源码验证</x:v>
      </x:c>
      <x:c r="M30" s="183" t="str">
        <x:v>F01.ValueSnapshot</x:v>
      </x:c>
      <x:c r="N30" s="184" t="str">
        <x:v>05_基础对象与基础计算!C15</x:v>
      </x:c>
      <x:c r="O30" s="183" t="str">
        <x:v>V4.9对象/属性/方法
V2.01：名称/子方面线索；处置=规划独立契约候选·未批准新增
V7.8：V7.8未检出同名词法声明</x:v>
      </x:c>
      <x:c r="P30" s="136" t="str">
        <x:v>V4.9对象/属性/方法</x:v>
      </x:c>
      <x:c r="Q30"/>
      <x:c r="R30"/>
      <x:c r="S30"/>
    </x:row>
    <x:row r="31" ht="72" customHeight="1">
      <x:c r="A31" s="179" t="str">
        <x:v>F02</x:v>
      </x:c>
      <x:c r="B31" s="180" t="str">
        <x:v>对象与类型｜集合、索引与结构
Collections Indexing</x:v>
      </x:c>
      <x:c r="C31" s="180" t="str">
        <x:v>FCIBufferHelper</x:v>
      </x:c>
      <x:c r="D31" s="179" t="str">
        <x:v>原有·待核</x:v>
      </x:c>
      <x:c r="E31" s="180" t="str">
        <x:v>提供缓冲区辅助可复用辅助操作，避免业务状态耦合</x:v>
      </x:c>
      <x:c r="F31" s="180" t="str">
        <x:v>—（无公开声明或待核对）</x:v>
      </x:c>
      <x:c r="G31" s="180" t="str">
        <x:v>ConvertBigEndianToInt(bytebuf, bool isLittleEndian = true), byteGetAsciiBytes(params bytenumbers), byteHexToBytes(string hex), BytesToHex(bytebytes), FormatBytes(long bytes)</x:v>
      </x:c>
      <x:c r="H31" s="180" t="str">
        <x:v>—（待核）</x:v>
      </x:c>
      <x:c r="I31" s="180" t="str">
        <x:v>CommonInterfaces.BufferHelper</x:v>
      </x:c>
      <x:c r="J31" s="179" t="str">
        <x:v>静态类</x:v>
      </x:c>
      <x:c r="K31" s="180" t="str">
        <x:v>V1.19 C-0018；原实施方式：原有。迁移风险：提供缓冲区辅助可复用辅助操作，避免业务状态耦合</x:v>
      </x:c>
      <x:c r="L31" s="183" t="str">
        <x:v>源代码声明·待复核</x:v>
      </x:c>
      <x:c r="M31" s="183" t="str">
        <x:v>C-0018</x:v>
      </x:c>
      <x:c r="N31" s="184" t="str">
        <x:v>Platform/CommonInterfaces/BufferHelper.cs</x:v>
      </x:c>
      <x:c r="O31" s="183" t="str">
        <x:v>V1.19旧源码类型（真实成员/实现仍待核）
V2.01：来源ID对应；处置=保留源码·公开契约复核
V7.8：V7.8同名且源文件对应；Platform/CommonInterfaces/BufferHelper.cs</x:v>
      </x:c>
      <x:c r="P31" s="136" t="str">
        <x:v>V1.19旧源码类型（真实成员/实现仍待核）</x:v>
      </x:c>
      <x:c r="Q31"/>
      <x:c r="R31"/>
      <x:c r="S31"/>
    </x:row>
    <x:row r="32" ht="135" customHeight="1">
      <x:c r="A32" s="179" t="str">
        <x:v>F02</x:v>
      </x:c>
      <x:c r="B32" s="180" t="str">
        <x:v>对象与类型｜集合、索引与结构
Collections Indexing</x:v>
      </x:c>
      <x:c r="C32" s="180" t="str">
        <x:v>FCIDicionaryStringHelper</x:v>
      </x:c>
      <x:c r="D32" s="179" t="str">
        <x:v>原有·待核</x:v>
      </x:c>
      <x:c r="E32" s="180" t="str">
        <x:v>提供Dicionary字符串辅助可复用辅助操作，避免业务状态耦合</x:v>
      </x:c>
      <x:c r="F32" s="180" t="str">
        <x:v>—（无公开声明或待核对）</x:v>
      </x:c>
      <x:c r="G32" s="180" t="str">
        <x:v>ContainsKey(Dictionary&lt;string, string&gt; dict, string key), TryGet(Dictionary&lt;string, string&gt; dict, string key, out string value), GetOrDefault(Dictionary&lt;string, string&gt; dict, string key, string defaultValue =), Set(Dictionary&lt;string, string&gt; dict, string key, string value), AddIfAbsent(Dictionary&lt;string, string&gt; dict, string key, string value), UpdateIfPresent(Dictionary&lt;string, string&gt; dict, string key, string value), Remove(Dictionary&lt;string, string&gt; dict, string key), RenameKey(Dictionary&lt;string, string&gt; dict, string oldKey, string newKey, bool overwrite = false), Merge(Dictionary&lt;string, string&gt; dict, Dictionary&lt;string, string&gt; other, bool overwrite = true), ToLines(Dictionary&lt;string, string&gt; dict, char separator =), ParseLines(Dictionary&lt;string, string&gt; dict, IEnumerable&lt;string&gt; lines, char separator =), TryGetInt(Dictionary&lt;string, string&gt; dict, string key, out int result), TryGetDouble(Dictionary&lt;string, string&gt; dict, string key, out double result), TryGetBool(Dictionary&lt;string, string&gt; dict, string key, out bool result), AreValuesEqual(Dictionary&lt;string, string&gt; dict, string key1, string key2, bool ignoreCase = true)</x:v>
      </x:c>
      <x:c r="H32" s="180" t="str">
        <x:v>—（待核）</x:v>
      </x:c>
      <x:c r="I32" s="180" t="str">
        <x:v>CommonInterfaces.DicionaryStringHelper</x:v>
      </x:c>
      <x:c r="J32" s="179" t="str">
        <x:v>静态类</x:v>
      </x:c>
      <x:c r="K32" s="180" t="str">
        <x:v>V1.19 C-0019；原实施方式：原有。迁移风险：提供Dicionary字符串辅助可复用辅助操作，避免业务状态耦合</x:v>
      </x:c>
      <x:c r="L32" s="183" t="str">
        <x:v>源代码声明·待复核</x:v>
      </x:c>
      <x:c r="M32" s="183" t="str">
        <x:v>C-0019</x:v>
      </x:c>
      <x:c r="N32" s="184" t="str">
        <x:v>Platform/CommonInterfaces/DicionaryStringHelper.cs</x:v>
      </x:c>
      <x:c r="O32" s="183" t="str">
        <x:v>V1.19旧源码类型（真实成员/实现仍待核）
V2.01：来源ID对应；处置=保留源码·公开契约复核
V7.8：V7.8同名且源文件对应；Platform/CommonInterfaces/DicionaryStringHelper.cs</x:v>
      </x:c>
      <x:c r="P32" s="136" t="str">
        <x:v>V1.19旧源码类型（真实成员/实现仍待核）</x:v>
      </x:c>
      <x:c r="Q32"/>
      <x:c r="R32"/>
      <x:c r="S32"/>
    </x:row>
    <x:row r="33" ht="135" customHeight="1">
      <x:c r="A33" s="179" t="str">
        <x:v>F02</x:v>
      </x:c>
      <x:c r="B33" s="180" t="str">
        <x:v>对象与类型｜集合、索引与结构
Collections Indexing</x:v>
      </x:c>
      <x:c r="C33" s="180" t="str">
        <x:v>FCIListStringHelper</x:v>
      </x:c>
      <x:c r="D33" s="179" t="str">
        <x:v>原有·待核</x:v>
      </x:c>
      <x:c r="E33" s="180" t="str">
        <x:v>提供List字符串辅助可复用辅助操作，避免业务状态耦合</x:v>
      </x:c>
      <x:c r="F33" s="180" t="str">
        <x:v>—（无公开声明或待核对）</x:v>
      </x:c>
      <x:c r="G33" s="180" t="str">
        <x:v>GetValue(List&lt;KeyValuePair&lt;string, string&gt;&gt; list, string key), SetValue(List&lt;KeyValuePair&lt;string, string&gt;&gt; list, string key, string value), RemoveKey(List&lt;KeyValuePair&lt;string, string&gt;&gt; list, string key), ContainsKey(List&lt;KeyValuePair&lt;string, string&gt;&gt; list, string key), ToDictionary(List&lt;KeyValuePair&lt;string, string&gt;&gt; list), DistinctByKey(List&lt;KeyValuePair&lt;string, string&gt;&gt; list), Keys(List&lt;KeyValuePair&lt;string, string&gt;&gt; list), Values(List&lt;KeyValuePair&lt;string, string&gt;&gt; list)</x:v>
      </x:c>
      <x:c r="H33" s="180" t="str">
        <x:v>—（待核）</x:v>
      </x:c>
      <x:c r="I33" s="180" t="str">
        <x:v>CommonInterfaces.ListStringHelper</x:v>
      </x:c>
      <x:c r="J33" s="179" t="str">
        <x:v>静态类</x:v>
      </x:c>
      <x:c r="K33" s="180" t="str">
        <x:v>V1.19 C-0020；原实施方式：原有。迁移风险：提供List字符串辅助可复用辅助操作，避免业务状态耦合</x:v>
      </x:c>
      <x:c r="L33" s="183" t="str">
        <x:v>源代码声明·待复核</x:v>
      </x:c>
      <x:c r="M33" s="183" t="str">
        <x:v>C-0020</x:v>
      </x:c>
      <x:c r="N33" s="184" t="str">
        <x:v>Platform/CommonInterfaces/ListStringHelper.cs</x:v>
      </x:c>
      <x:c r="O33" s="183" t="str">
        <x:v>V1.19旧源码类型（真实成员/实现仍待核）
V2.01：来源ID对应；处置=保留源码·公开契约复核
V7.8：V7.8同名且源文件对应；Platform/CommonInterfaces/ListStringHelper.cs</x:v>
      </x:c>
      <x:c r="P33" s="136" t="str">
        <x:v>V1.19旧源码类型（真实成员/实现仍待核）</x:v>
      </x:c>
      <x:c r="Q33"/>
      <x:c r="R33"/>
      <x:c r="S33"/>
    </x:row>
    <x:row r="34" ht="72" customHeight="1">
      <x:c r="A34" s="179" t="str">
        <x:v>F02</x:v>
      </x:c>
      <x:c r="B34" s="180" t="str">
        <x:v>对象与类型｜集合、索引与结构
Collections Indexing</x:v>
      </x:c>
      <x:c r="C34" s="180" t="str">
        <x:v>FCIStringHelper</x:v>
      </x:c>
      <x:c r="D34" s="179" t="str">
        <x:v>原有·待核</x:v>
      </x:c>
      <x:c r="E34" s="180" t="str">
        <x:v>提供字符串辅助可复用辅助操作，避免业务状态耦合</x:v>
      </x:c>
      <x:c r="F34" s="180" t="str">
        <x:v>—（无公开声明或待核对）</x:v>
      </x:c>
      <x:c r="G34" s="180" t="str">
        <x:v>ExtractShortNameAfterDot(string fullName), ExtractDirName(List&lt;string&gt; directoryList), BytesToHexString(bytevalue), BytesToHexString(bytevalue, int startIndex, int length), byteHexStringToBytes(string hexString), ReplaceFirstFromRight(string source, string find, string replace), ReplaceFirstFromRight(string source, stringfindArray, string replace), Reverse(string source), ToString(double v)</x:v>
      </x:c>
      <x:c r="H34" s="180" t="str">
        <x:v>—（待核）</x:v>
      </x:c>
      <x:c r="I34" s="180" t="str">
        <x:v>CommonInterfaces.StringHelper</x:v>
      </x:c>
      <x:c r="J34" s="179" t="str">
        <x:v>静态类</x:v>
      </x:c>
      <x:c r="K34" s="180" t="str">
        <x:v>V1.19 C-0021；原实施方式：原有。迁移风险：提供字符串辅助可复用辅助操作，避免业务状态耦合</x:v>
      </x:c>
      <x:c r="L34" s="183" t="str">
        <x:v>源代码声明·待复核</x:v>
      </x:c>
      <x:c r="M34" s="183" t="str">
        <x:v>C-0021</x:v>
      </x:c>
      <x:c r="N34" s="184" t="str">
        <x:v>Platform/CommonInterfaces/StringHelper.cs</x:v>
      </x:c>
      <x:c r="O34" s="183" t="str">
        <x:v>V1.19旧源码类型（真实成员/实现仍待核）
V2.01：来源ID对应；处置=保留源码·公开契约复核
V7.8：V7.8同名且源文件对应；Platform/CommonInterfaces/StringHelper.cs</x:v>
      </x:c>
      <x:c r="P34" s="136" t="str">
        <x:v>V1.19旧源码类型（真实成员/实现仍待核）</x:v>
      </x:c>
      <x:c r="Q34"/>
      <x:c r="R34"/>
      <x:c r="S34"/>
    </x:row>
    <x:row r="35" ht="72" customHeight="1">
      <x:c r="A35" s="179" t="str">
        <x:v>F02</x:v>
      </x:c>
      <x:c r="B35" s="180" t="str">
        <x:v>对象与类型｜集合、索引与结构
Collections Indexing</x:v>
      </x:c>
      <x:c r="C35" s="180" t="str">
        <x:v>FCIBidirectionalMap</x:v>
      </x:c>
      <x:c r="D35" s="179" t="str">
        <x:v>增构候选·待查重</x:v>
      </x:c>
      <x:c r="E35" s="180" t="str">
        <x:v>表达和承载双向映射的基础数据或计算参数</x:v>
      </x:c>
      <x:c r="F35" s="180" t="str">
        <x:v>Forward；Reverse</x:v>
      </x:c>
      <x:c r="G35" s="180" t="str">
        <x:v>TryAdd；FindReverse</x:v>
      </x:c>
      <x:c r="H35" s="180" t="str">
        <x:v>待逐对象核实</x:v>
      </x:c>
      <x:c r="I35" s="180" t="str">
        <x:v>BidirectionalMap</x:v>
      </x:c>
      <x:c r="J35" s="179" t="str">
        <x:v>类/实例候选</x:v>
      </x:c>
      <x:c r="K35" s="180" t="str">
        <x:v>生命周期：基础数据/值对象</x:v>
      </x:c>
      <x:c r="L35" s="183" t="str">
        <x:v>设计候选，尚待源码验证</x:v>
      </x:c>
      <x:c r="M35" s="183" t="str">
        <x:v>F02.BidirectionalMap</x:v>
      </x:c>
      <x:c r="N35" s="184" t="str">
        <x:v>05_基础对象与基础计算!C16</x:v>
      </x:c>
      <x:c r="O35" s="183" t="str">
        <x:v>V4.9对象/属性/方法
V2.01：名称/子方面线索；处置=规划独立契约候选·未批准新增
V7.8：V7.8未检出同名词法声明</x:v>
      </x:c>
      <x:c r="P35" s="136" t="str">
        <x:v>V4.9对象/属性/方法</x:v>
      </x:c>
      <x:c r="Q35"/>
      <x:c r="R35"/>
      <x:c r="S35"/>
    </x:row>
    <x:row r="36" ht="72" customHeight="1">
      <x:c r="A36" s="179" t="str">
        <x:v>F02</x:v>
      </x:c>
      <x:c r="B36" s="180" t="str">
        <x:v>对象与类型｜集合、索引与结构
Collections Indexing</x:v>
      </x:c>
      <x:c r="C36" s="180" t="str">
        <x:v>FCIBitSet</x:v>
      </x:c>
      <x:c r="D36" s="179" t="str">
        <x:v>增构候选·待查重</x:v>
      </x:c>
      <x:c r="E36" s="180" t="str">
        <x:v>表达和承载位集合的基础数据或计算参数</x:v>
      </x:c>
      <x:c r="F36" s="180" t="str">
        <x:v>Bits；Length</x:v>
      </x:c>
      <x:c r="G36" s="180" t="str">
        <x:v>Set；Test；And</x:v>
      </x:c>
      <x:c r="H36" s="180" t="str">
        <x:v>待逐对象核实</x:v>
      </x:c>
      <x:c r="I36" s="180" t="str">
        <x:v>BitSet</x:v>
      </x:c>
      <x:c r="J36" s="179" t="str">
        <x:v>类/实例候选</x:v>
      </x:c>
      <x:c r="K36" s="180" t="str">
        <x:v>生命周期：基础数据/值对象</x:v>
      </x:c>
      <x:c r="L36" s="183" t="str">
        <x:v>设计候选，尚待源码验证</x:v>
      </x:c>
      <x:c r="M36" s="183" t="str">
        <x:v>F02.BitSet</x:v>
      </x:c>
      <x:c r="N36" s="184" t="str">
        <x:v>05_基础对象与基础计算!C17</x:v>
      </x:c>
      <x:c r="O36" s="183" t="str">
        <x:v>V4.9对象/属性/方法
V2.01：名称/子方面线索；处置=规划独立契约候选·未批准新增
V7.8：V7.8未检出同名词法声明</x:v>
      </x:c>
      <x:c r="P36" s="136" t="str">
        <x:v>V4.9对象/属性/方法</x:v>
      </x:c>
      <x:c r="Q36"/>
      <x:c r="R36"/>
      <x:c r="S36"/>
    </x:row>
    <x:row r="37" ht="72" customHeight="1">
      <x:c r="A37" s="179" t="str">
        <x:v>F02</x:v>
      </x:c>
      <x:c r="B37" s="180" t="str">
        <x:v>对象与类型｜集合、索引与结构
Collections Indexing</x:v>
      </x:c>
      <x:c r="C37" s="180" t="str">
        <x:v>FCICollectionDiffUtil</x:v>
      </x:c>
      <x:c r="D37" s="179" t="str">
        <x:v>增构候选·待查重</x:v>
      </x:c>
      <x:c r="E37" s="180" t="str">
        <x:v>提供无状态集合差异工具运算，不持有会话/设备/全局缓存</x:v>
      </x:c>
      <x:c r="F37" s="180" t="str">
        <x:v>Old；New</x:v>
      </x:c>
      <x:c r="G37" s="180" t="str">
        <x:v>Added；Removed；Changed</x:v>
      </x:c>
      <x:c r="H37" s="180" t="str">
        <x:v>待逐对象核实</x:v>
      </x:c>
      <x:c r="I37" s="180" t="str">
        <x:v>CollectionDiffUtil</x:v>
      </x:c>
      <x:c r="J37" s="179" t="str">
        <x:v>静态类</x:v>
      </x:c>
      <x:c r="K37" s="180" t="str">
        <x:v>生命周期：基础值/纯计算</x:v>
      </x:c>
      <x:c r="L37" s="183" t="str">
        <x:v>设计候选，尚待源码验证</x:v>
      </x:c>
      <x:c r="M37" s="183" t="str">
        <x:v>F02.CollectionDiffUtil</x:v>
      </x:c>
      <x:c r="N37" s="184" t="str">
        <x:v>05_基础对象与基础计算!C18</x:v>
      </x:c>
      <x:c r="O37" s="183" t="str">
        <x:v>V4.9对象/属性/方法
V2.01：名称/子方面线索；处置=规划独立契约候选·未批准新增
V7.8：V7.8未检出同名词法声明</x:v>
      </x:c>
      <x:c r="P37" s="136" t="str">
        <x:v>V4.9对象/属性/方法</x:v>
      </x:c>
      <x:c r="Q37"/>
      <x:c r="R37"/>
      <x:c r="S37"/>
    </x:row>
    <x:row r="38" ht="72" customHeight="1">
      <x:c r="A38" s="179" t="str">
        <x:v>F02</x:v>
      </x:c>
      <x:c r="B38" s="180" t="str">
        <x:v>对象与类型｜集合、索引与结构
Collections Indexing</x:v>
      </x:c>
      <x:c r="C38" s="180" t="str">
        <x:v>FCIGraphTopologyUtil</x:v>
      </x:c>
      <x:c r="D38" s="179" t="str">
        <x:v>增构候选·待查重</x:v>
      </x:c>
      <x:c r="E38" s="180" t="str">
        <x:v>提供无状态拓扑计算工具运算，不持有会话/设备/全局缓存</x:v>
      </x:c>
      <x:c r="F38" s="180" t="str">
        <x:v>Nodes；Edges</x:v>
      </x:c>
      <x:c r="G38" s="180" t="str">
        <x:v>TopologicalSort；DetectCycle</x:v>
      </x:c>
      <x:c r="H38" s="180" t="str">
        <x:v>待逐对象核实</x:v>
      </x:c>
      <x:c r="I38" s="180" t="str">
        <x:v>GraphTopologyUtil</x:v>
      </x:c>
      <x:c r="J38" s="179" t="str">
        <x:v>静态类</x:v>
      </x:c>
      <x:c r="K38" s="180" t="str">
        <x:v>生命周期：基础值/纯计算</x:v>
      </x:c>
      <x:c r="L38" s="183" t="str">
        <x:v>设计候选，尚待源码验证</x:v>
      </x:c>
      <x:c r="M38" s="183" t="str">
        <x:v>F02.GraphTopologyUtil</x:v>
      </x:c>
      <x:c r="N38" s="184" t="str">
        <x:v>05_基础对象与基础计算!C19</x:v>
      </x:c>
      <x:c r="O38" s="183" t="str">
        <x:v>V4.9对象/属性/方法
V2.01：名称/子方面线索；处置=规划独立契约候选·未批准新增
V7.8：V7.8未检出同名词法声明</x:v>
      </x:c>
      <x:c r="P38" s="136" t="str">
        <x:v>V4.9对象/属性/方法</x:v>
      </x:c>
      <x:c r="Q38"/>
      <x:c r="R38"/>
      <x:c r="S38"/>
    </x:row>
    <x:row r="39" ht="72" customHeight="1">
      <x:c r="A39" s="179" t="str">
        <x:v>F02</x:v>
      </x:c>
      <x:c r="B39" s="180" t="str">
        <x:v>对象与类型｜集合、索引与结构
Collections Indexing</x:v>
      </x:c>
      <x:c r="C39" s="180" t="str">
        <x:v>FCIHierarchyTraversalUtil</x:v>
      </x:c>
      <x:c r="D39" s="179" t="str">
        <x:v>增构候选·待查重</x:v>
      </x:c>
      <x:c r="E39" s="180" t="str">
        <x:v>提供无状态层级遍历工具运算，不持有会话/设备/全局缓存</x:v>
      </x:c>
      <x:c r="F39" s="180" t="str">
        <x:v>Root；Predicate</x:v>
      </x:c>
      <x:c r="G39" s="180" t="str">
        <x:v>Visit；Find</x:v>
      </x:c>
      <x:c r="H39" s="180" t="str">
        <x:v>待逐对象核实</x:v>
      </x:c>
      <x:c r="I39" s="180" t="str">
        <x:v>HierarchyTraversalUtil</x:v>
      </x:c>
      <x:c r="J39" s="179" t="str">
        <x:v>静态类</x:v>
      </x:c>
      <x:c r="K39" s="180" t="str">
        <x:v>生命周期：基础值/纯计算</x:v>
      </x:c>
      <x:c r="L39" s="183" t="str">
        <x:v>设计候选，尚待源码验证</x:v>
      </x:c>
      <x:c r="M39" s="183" t="str">
        <x:v>F02.HierarchyTraversalUtil</x:v>
      </x:c>
      <x:c r="N39" s="184" t="str">
        <x:v>05_基础对象与基础计算!C20</x:v>
      </x:c>
      <x:c r="O39" s="183" t="str">
        <x:v>V4.9对象/属性/方法
V2.01：名称/子方面线索；处置=规划独立契约候选·未批准新增
V7.8：V7.8未检出同名词法声明</x:v>
      </x:c>
      <x:c r="P39" s="136" t="str">
        <x:v>V4.9对象/属性/方法</x:v>
      </x:c>
      <x:c r="Q39"/>
      <x:c r="R39"/>
      <x:c r="S39"/>
    </x:row>
    <x:row r="40" ht="72" customHeight="1">
      <x:c r="A40" s="179" t="str">
        <x:v>F02</x:v>
      </x:c>
      <x:c r="B40" s="180" t="str">
        <x:v>对象与类型｜集合、索引与结构
Collections Indexing</x:v>
      </x:c>
      <x:c r="C40" s="180" t="str">
        <x:v>FCIIndexMap</x:v>
      </x:c>
      <x:c r="D40" s="179" t="str">
        <x:v>增构候选·待查重</x:v>
      </x:c>
      <x:c r="E40" s="180" t="str">
        <x:v>表达和承载索引映射的基础数据或计算参数</x:v>
      </x:c>
      <x:c r="F40" s="180" t="str">
        <x:v>Source；Target</x:v>
      </x:c>
      <x:c r="G40" s="180" t="str">
        <x:v>Translate；Invert</x:v>
      </x:c>
      <x:c r="H40" s="180" t="str">
        <x:v>待逐对象核实</x:v>
      </x:c>
      <x:c r="I40" s="180" t="str">
        <x:v>IndexMap</x:v>
      </x:c>
      <x:c r="J40" s="179" t="str">
        <x:v>类/实例候选</x:v>
      </x:c>
      <x:c r="K40" s="180" t="str">
        <x:v>生命周期：基础数据/值对象</x:v>
      </x:c>
      <x:c r="L40" s="183" t="str">
        <x:v>设计候选，尚待源码验证</x:v>
      </x:c>
      <x:c r="M40" s="183" t="str">
        <x:v>F02.IndexMap</x:v>
      </x:c>
      <x:c r="N40" s="184" t="str">
        <x:v>05_基础对象与基础计算!C21</x:v>
      </x:c>
      <x:c r="O40" s="183" t="str">
        <x:v>V4.9对象/属性/方法
V2.01：名称/子方面线索；处置=规划独立契约候选·未批准新增
V7.8：V7.8未检出同名词法声明</x:v>
      </x:c>
      <x:c r="P40" s="136" t="str">
        <x:v>V4.9对象/属性/方法</x:v>
      </x:c>
      <x:c r="Q40"/>
      <x:c r="R40"/>
      <x:c r="S40"/>
    </x:row>
    <x:row r="41" ht="72" customHeight="1">
      <x:c r="A41" s="179" t="str">
        <x:v>F02</x:v>
      </x:c>
      <x:c r="B41" s="180" t="str">
        <x:v>对象与类型｜集合、索引与结构
Collections Indexing</x:v>
      </x:c>
      <x:c r="C41" s="180" t="str">
        <x:v>FCIKeyValueEntry</x:v>
      </x:c>
      <x:c r="D41" s="179" t="str">
        <x:v>增构候选·待查重</x:v>
      </x:c>
      <x:c r="E41" s="180" t="str">
        <x:v>表达和承载键值项的基础数据或计算参数</x:v>
      </x:c>
      <x:c r="F41" s="180" t="str">
        <x:v>Key；Value</x:v>
      </x:c>
      <x:c r="G41" s="180" t="str">
        <x:v>Compare</x:v>
      </x:c>
      <x:c r="H41" s="180" t="str">
        <x:v>待逐对象核实</x:v>
      </x:c>
      <x:c r="I41" s="180" t="str">
        <x:v>KeyValueEntry</x:v>
      </x:c>
      <x:c r="J41" s="179" t="str">
        <x:v>值类型候选</x:v>
      </x:c>
      <x:c r="K41" s="180" t="str">
        <x:v>生命周期：基础数据/值对象</x:v>
      </x:c>
      <x:c r="L41" s="183" t="str">
        <x:v>设计候选，尚待源码验证</x:v>
      </x:c>
      <x:c r="M41" s="183" t="str">
        <x:v>F02.KeyValueEntry</x:v>
      </x:c>
      <x:c r="N41" s="184" t="str">
        <x:v>05_基础对象与基础计算!C22</x:v>
      </x:c>
      <x:c r="O41" s="183" t="str">
        <x:v>V4.9对象/属性/方法
V2.01：名称/子方面线索；处置=规划独立契约候选·未批准新增
V7.8：V7.8未检出同名词法声明</x:v>
      </x:c>
      <x:c r="P41" s="136" t="str">
        <x:v>V4.9对象/属性/方法</x:v>
      </x:c>
      <x:c r="Q41"/>
      <x:c r="R41"/>
      <x:c r="S41"/>
    </x:row>
    <x:row r="42" ht="72" customHeight="1">
      <x:c r="A42" s="179" t="str">
        <x:v>F02</x:v>
      </x:c>
      <x:c r="B42" s="180" t="str">
        <x:v>对象与类型｜集合、索引与结构
Collections Indexing</x:v>
      </x:c>
      <x:c r="C42" s="180" t="str">
        <x:v>FCIOrderedMultiMap</x:v>
      </x:c>
      <x:c r="D42" s="179" t="str">
        <x:v>增构候选·待查重</x:v>
      </x:c>
      <x:c r="E42" s="180" t="str">
        <x:v>表达和承载有序多值映射的基础数据或计算参数</x:v>
      </x:c>
      <x:c r="F42" s="180" t="str">
        <x:v>Entries；Index</x:v>
      </x:c>
      <x:c r="G42" s="180" t="str">
        <x:v>Add；Find；Remove</x:v>
      </x:c>
      <x:c r="H42" s="180" t="str">
        <x:v>待逐对象核实</x:v>
      </x:c>
      <x:c r="I42" s="180" t="str">
        <x:v>OrderedMultiMap</x:v>
      </x:c>
      <x:c r="J42" s="179" t="str">
        <x:v>类/实例候选</x:v>
      </x:c>
      <x:c r="K42" s="180" t="str">
        <x:v>生命周期：基础数据/值对象</x:v>
      </x:c>
      <x:c r="L42" s="183" t="str">
        <x:v>设计候选，尚待源码验证</x:v>
      </x:c>
      <x:c r="M42" s="183" t="str">
        <x:v>F02.OrderedMultiMap</x:v>
      </x:c>
      <x:c r="N42" s="184" t="str">
        <x:v>05_基础对象与基础计算!C23</x:v>
      </x:c>
      <x:c r="O42" s="183" t="str">
        <x:v>V4.9对象/属性/方法
V2.01：名称/子方面线索；处置=规划独立契约候选·未批准新增
V7.8：V7.8未检出同名词法声明</x:v>
      </x:c>
      <x:c r="P42" s="136" t="str">
        <x:v>V4.9对象/属性/方法</x:v>
      </x:c>
      <x:c r="Q42"/>
      <x:c r="R42"/>
      <x:c r="S42"/>
    </x:row>
    <x:row r="43" ht="72" customHeight="1">
      <x:c r="A43" s="179" t="str">
        <x:v>F02</x:v>
      </x:c>
      <x:c r="B43" s="180" t="str">
        <x:v>对象与类型｜集合、索引与结构
Collections Indexing</x:v>
      </x:c>
      <x:c r="C43" s="180" t="str">
        <x:v>FCIRangeInt</x:v>
      </x:c>
      <x:c r="D43" s="179" t="str">
        <x:v>增构候选·待查重</x:v>
      </x:c>
      <x:c r="E43" s="180" t="str">
        <x:v>表达和承载整数区间的基础数据或计算参数</x:v>
      </x:c>
      <x:c r="F43" s="180" t="str">
        <x:v>Start；Count</x:v>
      </x:c>
      <x:c r="G43" s="180" t="str">
        <x:v>Contains；Intersect</x:v>
      </x:c>
      <x:c r="H43" s="180" t="str">
        <x:v>待逐对象核实</x:v>
      </x:c>
      <x:c r="I43" s="180" t="str">
        <x:v>RangeInt</x:v>
      </x:c>
      <x:c r="J43" s="179" t="str">
        <x:v>值类型候选</x:v>
      </x:c>
      <x:c r="K43" s="180" t="str">
        <x:v>生命周期：基础数据/值对象</x:v>
      </x:c>
      <x:c r="L43" s="183" t="str">
        <x:v>设计候选，尚待源码验证</x:v>
      </x:c>
      <x:c r="M43" s="183" t="str">
        <x:v>F02.RangeInt</x:v>
      </x:c>
      <x:c r="N43" s="184" t="str">
        <x:v>05_基础对象与基础计算!C24</x:v>
      </x:c>
      <x:c r="O43" s="183" t="str">
        <x:v>V4.9对象/属性/方法
V2.01：名称/子方面线索；处置=规划独立契约候选·未批准新增
V7.8：V7.8未检出同名词法声明</x:v>
      </x:c>
      <x:c r="P43" s="136" t="str">
        <x:v>V4.9对象/属性/方法</x:v>
      </x:c>
      <x:c r="Q43"/>
      <x:c r="R43"/>
      <x:c r="S43"/>
    </x:row>
    <x:row r="44" ht="72" customHeight="1">
      <x:c r="A44" s="179" t="str">
        <x:v>F02</x:v>
      </x:c>
      <x:c r="B44" s="180" t="str">
        <x:v>对象与类型｜集合、索引与结构
Collections Indexing</x:v>
      </x:c>
      <x:c r="C44" s="180" t="str">
        <x:v>FCISliceSpec</x:v>
      </x:c>
      <x:c r="D44" s="179" t="str">
        <x:v>增构候选·待查重</x:v>
      </x:c>
      <x:c r="E44" s="180" t="str">
        <x:v>表达和承载切片描述的基础数据或计算参数</x:v>
      </x:c>
      <x:c r="F44" s="180" t="str">
        <x:v>Offset；Length；Stride</x:v>
      </x:c>
      <x:c r="G44" s="180" t="str">
        <x:v>Validate；Normalize</x:v>
      </x:c>
      <x:c r="H44" s="180" t="str">
        <x:v>待逐对象核实</x:v>
      </x:c>
      <x:c r="I44" s="180" t="str">
        <x:v>SliceSpec</x:v>
      </x:c>
      <x:c r="J44" s="179" t="str">
        <x:v>值类型候选</x:v>
      </x:c>
      <x:c r="K44" s="180" t="str">
        <x:v>生命周期：基础数据/值对象</x:v>
      </x:c>
      <x:c r="L44" s="183" t="str">
        <x:v>设计候选，尚待源码验证</x:v>
      </x:c>
      <x:c r="M44" s="183" t="str">
        <x:v>F02.SliceSpec</x:v>
      </x:c>
      <x:c r="N44" s="184" t="str">
        <x:v>05_基础对象与基础计算!C25</x:v>
      </x:c>
      <x:c r="O44" s="183" t="str">
        <x:v>V4.9对象/属性/方法
V2.01：名称/子方面线索；处置=规划独立契约候选·未批准新增
V7.8：V7.8未检出同名词法声明</x:v>
      </x:c>
      <x:c r="P44" s="136" t="str">
        <x:v>V4.9对象/属性/方法</x:v>
      </x:c>
      <x:c r="Q44"/>
      <x:c r="R44"/>
      <x:c r="S44"/>
    </x:row>
    <x:row r="45" ht="72" customHeight="1">
      <x:c r="A45" s="179" t="str">
        <x:v>F08</x:v>
      </x:c>
      <x:c r="B45" s="180" t="str">
        <x:v>时空与量纲｜时间与同步
Time Synchronization</x:v>
      </x:c>
      <x:c r="C45" s="180" t="str">
        <x:v>FTSClockDriftEstimator</x:v>
      </x:c>
      <x:c r="D45" s="179" t="str">
        <x:v>增构候选·待查重</x:v>
      </x:c>
      <x:c r="E45" s="180" t="str">
        <x:v>提供无状态时钟漂移估计运算，不持有会话/设备/全局缓存</x:v>
      </x:c>
      <x:c r="F45" s="180" t="str">
        <x:v>Samples</x:v>
      </x:c>
      <x:c r="G45" s="180" t="str">
        <x:v>Fit；Estimate</x:v>
      </x:c>
      <x:c r="H45" s="180" t="str">
        <x:v>待逐对象核实</x:v>
      </x:c>
      <x:c r="I45" s="180" t="str">
        <x:v>ClockDriftEstimator</x:v>
      </x:c>
      <x:c r="J45" s="179" t="str">
        <x:v>静态类</x:v>
      </x:c>
      <x:c r="K45" s="180" t="str">
        <x:v>生命周期：基础值/纯计算</x:v>
      </x:c>
      <x:c r="L45" s="183" t="str">
        <x:v>设计候选，尚待源码验证</x:v>
      </x:c>
      <x:c r="M45" s="183" t="str">
        <x:v>F08.ClockDriftEstimator</x:v>
      </x:c>
      <x:c r="N45" s="184" t="str">
        <x:v>05_基础对象与基础计算!C83</x:v>
      </x:c>
      <x:c r="O45" s="183" t="str">
        <x:v>V4.9对象/属性/方法
V2.01：名称/子方面线索；处置=规划独立契约候选·未批准新增
V7.8：V7.8未检出同名词法声明</x:v>
      </x:c>
      <x:c r="P45" s="136" t="str">
        <x:v>V4.9对象/属性/方法</x:v>
      </x:c>
      <x:c r="Q45"/>
      <x:c r="R45"/>
      <x:c r="S45"/>
    </x:row>
    <x:row r="46" ht="72" customHeight="1">
      <x:c r="A46" s="179" t="str">
        <x:v>F08</x:v>
      </x:c>
      <x:c r="B46" s="180" t="str">
        <x:v>时空与量纲｜时间与同步
Time Synchronization</x:v>
      </x:c>
      <x:c r="C46" s="180" t="str">
        <x:v>FTSDuration</x:v>
      </x:c>
      <x:c r="D46" s="179" t="str">
        <x:v>增构候选·待查重</x:v>
      </x:c>
      <x:c r="E46" s="180" t="str">
        <x:v>表达和承载持续时间的基础数据或计算参数</x:v>
      </x:c>
      <x:c r="F46" s="180" t="str">
        <x:v>Ticks；Unit</x:v>
      </x:c>
      <x:c r="G46" s="180" t="str">
        <x:v>Add；Scale</x:v>
      </x:c>
      <x:c r="H46" s="180" t="str">
        <x:v>待逐对象核实</x:v>
      </x:c>
      <x:c r="I46" s="180" t="str">
        <x:v>Duration</x:v>
      </x:c>
      <x:c r="J46" s="179" t="str">
        <x:v>值类型候选</x:v>
      </x:c>
      <x:c r="K46" s="180" t="str">
        <x:v>生命周期：基础数据/值对象</x:v>
      </x:c>
      <x:c r="L46" s="183" t="str">
        <x:v>设计候选，尚待源码验证</x:v>
      </x:c>
      <x:c r="M46" s="183" t="str">
        <x:v>F08.Duration</x:v>
      </x:c>
      <x:c r="N46" s="184" t="str">
        <x:v>05_基础对象与基础计算!C84</x:v>
      </x:c>
      <x:c r="O46" s="183" t="str">
        <x:v>V4.9对象/属性/方法
V2.01：名称/子方面线索；处置=规划独立契约候选·未批准新增
V7.8：V7.8未检出同名词法声明</x:v>
      </x:c>
      <x:c r="P46" s="136" t="str">
        <x:v>V4.9对象/属性/方法</x:v>
      </x:c>
      <x:c r="Q46"/>
      <x:c r="R46"/>
      <x:c r="S46"/>
    </x:row>
    <x:row r="47" ht="72" customHeight="1">
      <x:c r="A47" s="179" t="str">
        <x:v>F08</x:v>
      </x:c>
      <x:c r="B47" s="180" t="str">
        <x:v>时空与量纲｜时间与同步
Time Synchronization</x:v>
      </x:c>
      <x:c r="C47" s="180" t="str">
        <x:v>FTSTemporalAlignmentOps</x:v>
      </x:c>
      <x:c r="D47" s="179" t="str">
        <x:v>增构候选·待查重</x:v>
      </x:c>
      <x:c r="E47" s="180" t="str">
        <x:v>提供无状态时间对齐算法运算，不持有会话/设备/全局缓存</x:v>
      </x:c>
      <x:c r="F47" s="180" t="str">
        <x:v>Samples；Tolerance</x:v>
      </x:c>
      <x:c r="G47" s="180" t="str">
        <x:v>Align；Interpolate</x:v>
      </x:c>
      <x:c r="H47" s="180" t="str">
        <x:v>待逐对象核实</x:v>
      </x:c>
      <x:c r="I47" s="180" t="str">
        <x:v>TemporalAlignmentOps</x:v>
      </x:c>
      <x:c r="J47" s="179" t="str">
        <x:v>静态类</x:v>
      </x:c>
      <x:c r="K47" s="180" t="str">
        <x:v>生命周期：基础值/纯计算</x:v>
      </x:c>
      <x:c r="L47" s="183" t="str">
        <x:v>设计候选，尚待源码验证</x:v>
      </x:c>
      <x:c r="M47" s="183" t="str">
        <x:v>F08.TemporalAlignmentOps</x:v>
      </x:c>
      <x:c r="N47" s="184" t="str">
        <x:v>05_基础对象与基础计算!C85</x:v>
      </x:c>
      <x:c r="O47" s="183" t="str">
        <x:v>V4.9对象/属性/方法
V2.01：名称/子方面线索；处置=规划独立契约候选·未批准新增
V7.8：V7.8未检出同名词法声明</x:v>
      </x:c>
      <x:c r="P47" s="136" t="str">
        <x:v>V4.9对象/属性/方法</x:v>
      </x:c>
      <x:c r="Q47"/>
      <x:c r="R47"/>
      <x:c r="S47"/>
    </x:row>
    <x:row r="48" ht="72" customHeight="1">
      <x:c r="A48" s="179" t="str">
        <x:v>F08</x:v>
      </x:c>
      <x:c r="B48" s="180" t="str">
        <x:v>时空与量纲｜时间与同步
Time Synchronization</x:v>
      </x:c>
      <x:c r="C48" s="180" t="str">
        <x:v>FTSTimeBase</x:v>
      </x:c>
      <x:c r="D48" s="179" t="str">
        <x:v>增构候选·待查重</x:v>
      </x:c>
      <x:c r="E48" s="180" t="str">
        <x:v>表达和承载时钟基准的基础数据或计算参数</x:v>
      </x:c>
      <x:c r="F48" s="180" t="str">
        <x:v>ClockId；Scale；Epoch</x:v>
      </x:c>
      <x:c r="G48" s="180" t="str">
        <x:v>Convert</x:v>
      </x:c>
      <x:c r="H48" s="180" t="str">
        <x:v>待逐对象核实</x:v>
      </x:c>
      <x:c r="I48" s="180" t="str">
        <x:v>TimeBase</x:v>
      </x:c>
      <x:c r="J48" s="179" t="str">
        <x:v>值类型候选</x:v>
      </x:c>
      <x:c r="K48" s="180" t="str">
        <x:v>生命周期：基础数据/值对象</x:v>
      </x:c>
      <x:c r="L48" s="183" t="str">
        <x:v>设计候选，尚待源码验证</x:v>
      </x:c>
      <x:c r="M48" s="183" t="str">
        <x:v>F08.TimeBase</x:v>
      </x:c>
      <x:c r="N48" s="184" t="str">
        <x:v>05_基础对象与基础计算!C86</x:v>
      </x:c>
      <x:c r="O48" s="183" t="str">
        <x:v>V4.9对象/属性/方法
V2.01：名称/子方面线索；处置=规划独立契约候选·未批准新增
V7.8：V7.8未检出同名词法声明</x:v>
      </x:c>
      <x:c r="P48" s="136" t="str">
        <x:v>V4.9对象/属性/方法</x:v>
      </x:c>
      <x:c r="Q48"/>
      <x:c r="R48"/>
      <x:c r="S48"/>
    </x:row>
    <x:row r="49" ht="72" customHeight="1">
      <x:c r="A49" s="179" t="str">
        <x:v>F08</x:v>
      </x:c>
      <x:c r="B49" s="180" t="str">
        <x:v>时空与量纲｜时间与同步
Time Synchronization</x:v>
      </x:c>
      <x:c r="C49" s="180" t="str">
        <x:v>FTSTimeConversionUtil</x:v>
      </x:c>
      <x:c r="D49" s="179" t="str">
        <x:v>增构候选·待查重</x:v>
      </x:c>
      <x:c r="E49" s="180" t="str">
        <x:v>提供无状态时间转换工具运算，不持有会话/设备/全局缓存</x:v>
      </x:c>
      <x:c r="F49" s="180" t="str">
        <x:v>Timezone；Timebase</x:v>
      </x:c>
      <x:c r="G49" s="180" t="str">
        <x:v>Convert；Normalize</x:v>
      </x:c>
      <x:c r="H49" s="180" t="str">
        <x:v>待逐对象核实</x:v>
      </x:c>
      <x:c r="I49" s="180" t="str">
        <x:v>TimeConversionUtil</x:v>
      </x:c>
      <x:c r="J49" s="179" t="str">
        <x:v>静态类</x:v>
      </x:c>
      <x:c r="K49" s="180" t="str">
        <x:v>生命周期：基础值/纯计算</x:v>
      </x:c>
      <x:c r="L49" s="183" t="str">
        <x:v>设计候选，尚待源码验证</x:v>
      </x:c>
      <x:c r="M49" s="183" t="str">
        <x:v>F08.TimeConversionUtil</x:v>
      </x:c>
      <x:c r="N49" s="184" t="str">
        <x:v>05_基础对象与基础计算!C87</x:v>
      </x:c>
      <x:c r="O49" s="183" t="str">
        <x:v>V4.9对象/属性/方法
V2.01：名称/子方面线索；处置=规划独立契约候选·未批准新增
V7.8：V7.8未检出同名词法声明</x:v>
      </x:c>
      <x:c r="P49" s="136" t="str">
        <x:v>V4.9对象/属性/方法</x:v>
      </x:c>
      <x:c r="Q49"/>
      <x:c r="R49"/>
      <x:c r="S49"/>
    </x:row>
    <x:row r="50" ht="72" customHeight="1">
      <x:c r="A50" s="179" t="str">
        <x:v>F08</x:v>
      </x:c>
      <x:c r="B50" s="180" t="str">
        <x:v>时空与量纲｜时间与同步
Time Synchronization</x:v>
      </x:c>
      <x:c r="C50" s="180" t="str">
        <x:v>FTSTimeInterval</x:v>
      </x:c>
      <x:c r="D50" s="179" t="str">
        <x:v>增构候选·待查重</x:v>
      </x:c>
      <x:c r="E50" s="180" t="str">
        <x:v>表达和承载时间区间的基础数据或计算参数</x:v>
      </x:c>
      <x:c r="F50" s="180" t="str">
        <x:v>Start；End</x:v>
      </x:c>
      <x:c r="G50" s="180" t="str">
        <x:v>Contains；Intersect</x:v>
      </x:c>
      <x:c r="H50" s="180" t="str">
        <x:v>待逐对象核实</x:v>
      </x:c>
      <x:c r="I50" s="180" t="str">
        <x:v>TimeInterval</x:v>
      </x:c>
      <x:c r="J50" s="179" t="str">
        <x:v>值类型候选</x:v>
      </x:c>
      <x:c r="K50" s="180" t="str">
        <x:v>生命周期：基础数据/值对象</x:v>
      </x:c>
      <x:c r="L50" s="183" t="str">
        <x:v>设计候选，尚待源码验证</x:v>
      </x:c>
      <x:c r="M50" s="183" t="str">
        <x:v>F08.TimeInterval</x:v>
      </x:c>
      <x:c r="N50" s="184" t="str">
        <x:v>05_基础对象与基础计算!C88</x:v>
      </x:c>
      <x:c r="O50" s="183" t="str">
        <x:v>V4.9对象/属性/方法
V2.01：名称/子方面线索；处置=规划独立契约候选·未批准新增
V7.8：V7.8未检出同名词法声明</x:v>
      </x:c>
      <x:c r="P50" s="136" t="str">
        <x:v>V4.9对象/属性/方法</x:v>
      </x:c>
      <x:c r="Q50"/>
      <x:c r="R50"/>
      <x:c r="S50"/>
    </x:row>
    <x:row r="51" ht="72" customHeight="1">
      <x:c r="A51" s="179" t="str">
        <x:v>F08</x:v>
      </x:c>
      <x:c r="B51" s="180" t="str">
        <x:v>时空与量纲｜时间与同步
Time Synchronization</x:v>
      </x:c>
      <x:c r="C51" s="180" t="str">
        <x:v>FTSTimestamp</x:v>
      </x:c>
      <x:c r="D51" s="179" t="str">
        <x:v>增构候选·待查重</x:v>
      </x:c>
      <x:c r="E51" s="180" t="str">
        <x:v>表达和承载时间戳的基础数据或计算参数</x:v>
      </x:c>
      <x:c r="F51" s="180" t="str">
        <x:v>Ticks；TimeBase</x:v>
      </x:c>
      <x:c r="G51" s="180" t="str">
        <x:v>Compare；Convert</x:v>
      </x:c>
      <x:c r="H51" s="180" t="str">
        <x:v>待逐对象核实</x:v>
      </x:c>
      <x:c r="I51" s="180" t="str">
        <x:v>Timestamp</x:v>
      </x:c>
      <x:c r="J51" s="179" t="str">
        <x:v>值类型候选</x:v>
      </x:c>
      <x:c r="K51" s="180" t="str">
        <x:v>生命周期：基础数据/值对象</x:v>
      </x:c>
      <x:c r="L51" s="183" t="str">
        <x:v>设计候选，尚待源码验证</x:v>
      </x:c>
      <x:c r="M51" s="183" t="str">
        <x:v>F08.Timestamp</x:v>
      </x:c>
      <x:c r="N51" s="184" t="str">
        <x:v>05_基础对象与基础计算!C90</x:v>
      </x:c>
      <x:c r="O51" s="183" t="str">
        <x:v>V4.9对象/属性/方法
V2.01：名称/子方面线索；处置=规划独立契约候选·未批准新增
V7.8：V7.8未检出同名词法声明</x:v>
      </x:c>
      <x:c r="P51" s="136" t="str">
        <x:v>V4.9对象/属性/方法</x:v>
      </x:c>
      <x:c r="Q51"/>
      <x:c r="R51"/>
      <x:c r="S51"/>
    </x:row>
    <x:row r="52" ht="72" customHeight="1">
      <x:c r="A52" s="179" t="str">
        <x:v>F08</x:v>
      </x:c>
      <x:c r="B52" s="180" t="str">
        <x:v>时空与量纲｜时间与同步
Time Synchronization</x:v>
      </x:c>
      <x:c r="C52" s="180" t="str">
        <x:v>FTSTimeSyncSample</x:v>
      </x:c>
      <x:c r="D52" s="179" t="str">
        <x:v>增构候选·待查重</x:v>
      </x:c>
      <x:c r="E52" s="180" t="str">
        <x:v>表达和承载同步样本的基础数据或计算参数</x:v>
      </x:c>
      <x:c r="F52" s="180" t="str">
        <x:v>SourceTime；TargetTime</x:v>
      </x:c>
      <x:c r="G52" s="180" t="str">
        <x:v>Offset；Drift</x:v>
      </x:c>
      <x:c r="H52" s="180" t="str">
        <x:v>待逐对象核实</x:v>
      </x:c>
      <x:c r="I52" s="180" t="str">
        <x:v>TimeSyncSample</x:v>
      </x:c>
      <x:c r="J52" s="179" t="str">
        <x:v>值类型候选</x:v>
      </x:c>
      <x:c r="K52" s="180" t="str">
        <x:v>生命周期：基础数据/值对象</x:v>
      </x:c>
      <x:c r="L52" s="183" t="str">
        <x:v>设计候选，尚待源码验证</x:v>
      </x:c>
      <x:c r="M52" s="183" t="str">
        <x:v>F08.TimeSyncSample</x:v>
      </x:c>
      <x:c r="N52" s="184" t="str">
        <x:v>05_基础对象与基础计算!C89</x:v>
      </x:c>
      <x:c r="O52" s="183" t="str">
        <x:v>V4.9对象/属性/方法
V2.01：名称/子方面线索；处置=规划独立契约候选·未批准新增
V7.8：V7.8未检出同名词法声明</x:v>
      </x:c>
      <x:c r="P52" s="136" t="str">
        <x:v>V4.9对象/属性/方法</x:v>
      </x:c>
      <x:c r="Q52"/>
      <x:c r="R52"/>
      <x:c r="S52"/>
    </x:row>
    <x:row r="53" ht="72" customHeight="1">
      <x:c r="A53" s="179" t="str">
        <x:v>F09</x:v>
      </x:c>
      <x:c r="B53" s="180" t="str">
        <x:v>时空与量纲｜单位、误差与测量
Units Measurement</x:v>
      </x:c>
      <x:c r="C53" s="180" t="str">
        <x:v>FUMTimeHelper</x:v>
      </x:c>
      <x:c r="D53" s="179" t="str">
        <x:v>原有·待核</x:v>
      </x:c>
      <x:c r="E53" s="180" t="str">
        <x:v>提供时间戳格式化、时钟读数等旧版通用操作</x:v>
      </x:c>
      <x:c r="F53" s="180" t="str">
        <x:v>DefaultFormatDateTime, DefaultFormatDateTimeMS</x:v>
      </x:c>
      <x:c r="G53" s="180" t="str">
        <x:v>GetNow(), GetDateTimeString(long ms, string format = DefaultFormatDateTime), GetDateTimeString(DateTime dt, string format = DefaultFormatDateTimeMS), GetDateTime(long ms), GetNowTimeString(), GetMs(DateTime dt), GetDiffMsFromNow(DateTime dt), GetTodayEndMs(), TryParseDateTime(string dateTimeString, out DateTime dateTime)</x:v>
      </x:c>
      <x:c r="H53" s="180" t="str">
        <x:v>—（待核）</x:v>
      </x:c>
      <x:c r="I53" s="180" t="str">
        <x:v>CommonInterfaces.TimeHelper</x:v>
      </x:c>
      <x:c r="J53" s="179" t="str">
        <x:v>静态类</x:v>
      </x:c>
      <x:c r="K53" s="180" t="str">
        <x:v>V1.19 C-0017；原实施方式：原有。迁移风险：TimeHelper主要是时间戳格式与换算，当前放在F09量纲测量不准确，建议属于F08时间与同步。</x:v>
      </x:c>
      <x:c r="L53" s="183" t="str">
        <x:v>源代码声明·待复核</x:v>
      </x:c>
      <x:c r="M53" s="183" t="str">
        <x:v>C-0017</x:v>
      </x:c>
      <x:c r="N53" s="184" t="str">
        <x:v>Platform/CommonInterfaces/TimeHelper.cs</x:v>
      </x:c>
      <x:c r="O53" s="183" t="str">
        <x:v>V1.19旧源码类型（真实成员/实现仍待核）
V2.01：来源ID对应；处置=保留源码·公开契约复核
V7.8：V7.8同名且源文件对应；Platform/CommonInterfaces/TimeHelper.cs</x:v>
      </x:c>
      <x:c r="P53" s="136" t="str">
        <x:v>V1.19旧源码类型（真实成员/实现仍待核）</x:v>
      </x:c>
      <x:c r="Q53"/>
      <x:c r="R53"/>
      <x:c r="S53"/>
    </x:row>
    <x:row r="54" ht="72" customHeight="1">
      <x:c r="A54" s="179" t="str">
        <x:v>F09</x:v>
      </x:c>
      <x:c r="B54" s="180" t="str">
        <x:v>时空与量纲｜单位、误差与测量
Units Measurement</x:v>
      </x:c>
      <x:c r="C54" s="180" t="str">
        <x:v>FUMDimensionVector</x:v>
      </x:c>
      <x:c r="D54" s="179" t="str">
        <x:v>增构候选·待查重</x:v>
      </x:c>
      <x:c r="E54" s="180" t="str">
        <x:v>表达和承载量纲向量的基础数据或计算参数</x:v>
      </x:c>
      <x:c r="F54" s="180" t="str">
        <x:v>Exponents</x:v>
      </x:c>
      <x:c r="G54" s="180" t="str">
        <x:v>Multiply；Divide</x:v>
      </x:c>
      <x:c r="H54" s="180" t="str">
        <x:v>待逐对象核实</x:v>
      </x:c>
      <x:c r="I54" s="180" t="str">
        <x:v>DimensionVector</x:v>
      </x:c>
      <x:c r="J54" s="179" t="str">
        <x:v>值类型候选</x:v>
      </x:c>
      <x:c r="K54" s="180" t="str">
        <x:v>生命周期：基础数据/值对象</x:v>
      </x:c>
      <x:c r="L54" s="183" t="str">
        <x:v>设计候选，尚待源码验证</x:v>
      </x:c>
      <x:c r="M54" s="183" t="str">
        <x:v>F09.DimensionVector</x:v>
      </x:c>
      <x:c r="N54" s="184" t="str">
        <x:v>05_基础对象与基础计算!C91</x:v>
      </x:c>
      <x:c r="O54" s="183" t="str">
        <x:v>V4.9对象/属性/方法
V2.01：名称/子方面线索；处置=规划独立契约候选·未批准新增
V7.8：V7.8未检出同名词法声明</x:v>
      </x:c>
      <x:c r="P54" s="136" t="str">
        <x:v>V4.9对象/属性/方法</x:v>
      </x:c>
      <x:c r="Q54"/>
      <x:c r="R54"/>
      <x:c r="S54"/>
    </x:row>
    <x:row r="55" ht="72" customHeight="1">
      <x:c r="A55" s="179" t="str">
        <x:v>F09</x:v>
      </x:c>
      <x:c r="B55" s="180" t="str">
        <x:v>时空与量纲｜单位、误差与测量
Units Measurement</x:v>
      </x:c>
      <x:c r="C55" s="180" t="str">
        <x:v>FUMMeasurementUncertainty</x:v>
      </x:c>
      <x:c r="D55" s="179" t="str">
        <x:v>增构候选·待查重</x:v>
      </x:c>
      <x:c r="E55" s="180" t="str">
        <x:v>表达和承载测量不确定度的基础数据或计算参数</x:v>
      </x:c>
      <x:c r="F55" s="180" t="str">
        <x:v>Value；StdDev；Confidence</x:v>
      </x:c>
      <x:c r="G55" s="180" t="str">
        <x:v>Propagate</x:v>
      </x:c>
      <x:c r="H55" s="180" t="str">
        <x:v>待逐对象核实</x:v>
      </x:c>
      <x:c r="I55" s="180" t="str">
        <x:v>MeasurementUncertainty</x:v>
      </x:c>
      <x:c r="J55" s="179" t="str">
        <x:v>值类型候选</x:v>
      </x:c>
      <x:c r="K55" s="180" t="str">
        <x:v>生命周期：基础数据/值对象</x:v>
      </x:c>
      <x:c r="L55" s="183" t="str">
        <x:v>设计候选，尚待源码验证</x:v>
      </x:c>
      <x:c r="M55" s="183" t="str">
        <x:v>F09.MeasurementUncertainty</x:v>
      </x:c>
      <x:c r="N55" s="184" t="str">
        <x:v>05_基础对象与基础计算!C92</x:v>
      </x:c>
      <x:c r="O55" s="183" t="str">
        <x:v>V4.9对象/属性/方法
V2.01：名称/子方面线索；处置=规划独立契约候选·未批准新增
V7.8：V7.8未检出同名词法声明</x:v>
      </x:c>
      <x:c r="P55" s="136" t="str">
        <x:v>V4.9对象/属性/方法</x:v>
      </x:c>
      <x:c r="Q55"/>
      <x:c r="R55"/>
      <x:c r="S55"/>
    </x:row>
    <x:row r="56" ht="72" customHeight="1">
      <x:c r="A56" s="179" t="str">
        <x:v>F09</x:v>
      </x:c>
      <x:c r="B56" s="180" t="str">
        <x:v>时空与量纲｜单位、误差与测量
Units Measurement</x:v>
      </x:c>
      <x:c r="C56" s="180" t="str">
        <x:v>FUMNumericTolerance</x:v>
      </x:c>
      <x:c r="D56" s="179" t="str">
        <x:v>增构候选·待查重</x:v>
      </x:c>
      <x:c r="E56" s="180" t="str">
        <x:v>表达和承载数值公差的基础数据或计算参数</x:v>
      </x:c>
      <x:c r="F56" s="180" t="str">
        <x:v>Absolute；Relative</x:v>
      </x:c>
      <x:c r="G56" s="180" t="str">
        <x:v>Accept</x:v>
      </x:c>
      <x:c r="H56" s="180" t="str">
        <x:v>待逐对象核实</x:v>
      </x:c>
      <x:c r="I56" s="180" t="str">
        <x:v>NumericTolerance</x:v>
      </x:c>
      <x:c r="J56" s="179" t="str">
        <x:v>值类型候选</x:v>
      </x:c>
      <x:c r="K56" s="180" t="str">
        <x:v>生命周期：基础数据/值对象</x:v>
      </x:c>
      <x:c r="L56" s="183" t="str">
        <x:v>设计候选，尚待源码验证</x:v>
      </x:c>
      <x:c r="M56" s="183" t="str">
        <x:v>F09.NumericTolerance</x:v>
      </x:c>
      <x:c r="N56" s="184" t="str">
        <x:v>05_基础对象与基础计算!C93</x:v>
      </x:c>
      <x:c r="O56" s="183" t="str">
        <x:v>V4.9对象/属性/方法
V2.01：名称/子方面线索；处置=规划独立契约候选·未批准新增
V7.8：V7.8未检出同名词法声明</x:v>
      </x:c>
      <x:c r="P56" s="136" t="str">
        <x:v>V4.9对象/属性/方法</x:v>
      </x:c>
    </x:row>
    <x:row r="57" ht="72" customHeight="1">
      <x:c r="A57" s="179" t="str">
        <x:v>F09</x:v>
      </x:c>
      <x:c r="B57" s="180" t="str">
        <x:v>时空与量纲｜单位、误差与测量
Units Measurement</x:v>
      </x:c>
      <x:c r="C57" s="180" t="str">
        <x:v>FUMPhysicalConstants</x:v>
      </x:c>
      <x:c r="D57" s="179" t="str">
        <x:v>增构候选·待查重</x:v>
      </x:c>
      <x:c r="E57" s="180" t="str">
        <x:v>无状态物理常量；仅接收显式参数，不持有共享可变状态</x:v>
      </x:c>
      <x:c r="F57" s="180" t="str">
        <x:v>Name；Value；Unit</x:v>
      </x:c>
      <x:c r="G57" s="180" t="str">
        <x:v>Lookup</x:v>
      </x:c>
      <x:c r="H57" s="180" t="str">
        <x:v>待逐对象核实</x:v>
      </x:c>
      <x:c r="I57" s="180" t="str">
        <x:v>PhysicalConstants</x:v>
      </x:c>
      <x:c r="J57" s="179" t="str">
        <x:v>静态类</x:v>
      </x:c>
      <x:c r="K57" s="180" t="str">
        <x:v>生命周期：基础值/纯计算</x:v>
      </x:c>
      <x:c r="L57" s="183" t="str">
        <x:v>设计候选，尚待源码验证</x:v>
      </x:c>
      <x:c r="M57" s="183" t="str">
        <x:v>F09.PhysicalConstants</x:v>
      </x:c>
      <x:c r="N57" s="184" t="str">
        <x:v>05_基础对象与基础计算!C94</x:v>
      </x:c>
      <x:c r="O57" s="183" t="str">
        <x:v>V4.9对象/属性/方法
V2.01：名称/子方面线索；处置=规划独立契约候选·未批准新增
V7.8：V7.8未检出同名词法声明</x:v>
      </x:c>
      <x:c r="P57" s="136" t="str">
        <x:v>V4.9对象/属性/方法</x:v>
      </x:c>
    </x:row>
    <x:row r="58" ht="72" customHeight="1">
      <x:c r="A58" s="179" t="str">
        <x:v>F09</x:v>
      </x:c>
      <x:c r="B58" s="180" t="str">
        <x:v>时空与量纲｜单位、误差与测量
Units Measurement</x:v>
      </x:c>
      <x:c r="C58" s="180" t="str">
        <x:v>FUMPhysicalQuantity</x:v>
      </x:c>
      <x:c r="D58" s="179" t="str">
        <x:v>增构候选·待查重</x:v>
      </x:c>
      <x:c r="E58" s="180" t="str">
        <x:v>表达和承载物理量的基础数据或计算参数</x:v>
      </x:c>
      <x:c r="F58" s="180" t="str">
        <x:v>Value；Unit；Uncertainty</x:v>
      </x:c>
      <x:c r="G58" s="180" t="str">
        <x:v>Convert；Add</x:v>
      </x:c>
      <x:c r="H58" s="180" t="str">
        <x:v>待逐对象核实</x:v>
      </x:c>
      <x:c r="I58" s="180" t="str">
        <x:v>PhysicalQuantity</x:v>
      </x:c>
      <x:c r="J58" s="179" t="str">
        <x:v>值类型候选</x:v>
      </x:c>
      <x:c r="K58" s="180" t="str">
        <x:v>生命周期：基础数据/值对象</x:v>
      </x:c>
      <x:c r="L58" s="183" t="str">
        <x:v>设计候选，尚待源码验证</x:v>
      </x:c>
      <x:c r="M58" s="183" t="str">
        <x:v>F09.PhysicalQuantity</x:v>
      </x:c>
      <x:c r="N58" s="184" t="str">
        <x:v>05_基础对象与基础计算!C95</x:v>
      </x:c>
      <x:c r="O58" s="183" t="str">
        <x:v>V4.9对象/属性/方法
V2.01：名称/子方面线索；处置=规划独立契约候选·未批准新增
V7.8：V7.8未检出同名词法声明</x:v>
      </x:c>
      <x:c r="P58" s="136" t="str">
        <x:v>V4.9对象/属性/方法</x:v>
      </x:c>
    </x:row>
    <x:row r="59" ht="72" customHeight="1">
      <x:c r="A59" s="179" t="str">
        <x:v>F09</x:v>
      </x:c>
      <x:c r="B59" s="180" t="str">
        <x:v>时空与量纲｜单位、误差与测量
Units Measurement</x:v>
      </x:c>
      <x:c r="C59" s="180" t="str">
        <x:v>FUMSignificantDigitsUtil</x:v>
      </x:c>
      <x:c r="D59" s="179" t="str">
        <x:v>增构候选·待查重</x:v>
      </x:c>
      <x:c r="E59" s="180" t="str">
        <x:v>提供无状态有效数字算法运算，不持有会话/设备/全局缓存</x:v>
      </x:c>
      <x:c r="F59" s="180" t="str">
        <x:v>Precision；Rounding</x:v>
      </x:c>
      <x:c r="G59" s="180" t="str">
        <x:v>Round；Format</x:v>
      </x:c>
      <x:c r="H59" s="180" t="str">
        <x:v>待逐对象核实</x:v>
      </x:c>
      <x:c r="I59" s="180" t="str">
        <x:v>SignificantDigitsUtil</x:v>
      </x:c>
      <x:c r="J59" s="179" t="str">
        <x:v>静态类</x:v>
      </x:c>
      <x:c r="K59" s="180" t="str">
        <x:v>生命周期：基础值/纯计算</x:v>
      </x:c>
      <x:c r="L59" s="183" t="str">
        <x:v>设计候选，尚待源码验证</x:v>
      </x:c>
      <x:c r="M59" s="183" t="str">
        <x:v>F09.SignificantDigitsUtil</x:v>
      </x:c>
      <x:c r="N59" s="184" t="str">
        <x:v>05_基础对象与基础计算!C96</x:v>
      </x:c>
      <x:c r="O59" s="183" t="str">
        <x:v>V4.9对象/属性/方法
V2.01：名称/子方面线索；处置=规划独立契约候选·未批准新增
V7.8：V7.8未检出同名词法声明</x:v>
      </x:c>
      <x:c r="P59" s="136" t="str">
        <x:v>V4.9对象/属性/方法</x:v>
      </x:c>
    </x:row>
    <x:row r="60" ht="72" customHeight="1">
      <x:c r="A60" s="179" t="str">
        <x:v>F09</x:v>
      </x:c>
      <x:c r="B60" s="180" t="str">
        <x:v>时空与量纲｜单位、误差与测量
Units Measurement</x:v>
      </x:c>
      <x:c r="C60" s="180" t="str">
        <x:v>FUMUnitConversionUtil</x:v>
      </x:c>
      <x:c r="D60" s="179" t="str">
        <x:v>增构候选·待查重</x:v>
      </x:c>
      <x:c r="E60" s="180" t="str">
        <x:v>提供无状态单位换算算法运算，不持有会话/设备/全局缓存</x:v>
      </x:c>
      <x:c r="F60" s="180" t="str">
        <x:v>From；To</x:v>
      </x:c>
      <x:c r="G60" s="180" t="str">
        <x:v>Convert；Validate</x:v>
      </x:c>
      <x:c r="H60" s="180" t="str">
        <x:v>待逐对象核实</x:v>
      </x:c>
      <x:c r="I60" s="180" t="str">
        <x:v>UnitConversionUtil</x:v>
      </x:c>
      <x:c r="J60" s="179" t="str">
        <x:v>静态类</x:v>
      </x:c>
      <x:c r="K60" s="180" t="str">
        <x:v>生命周期：基础值/纯计算</x:v>
      </x:c>
      <x:c r="L60" s="183" t="str">
        <x:v>设计候选，尚待源码验证</x:v>
      </x:c>
      <x:c r="M60" s="183" t="str">
        <x:v>F09.UnitConversionUtil</x:v>
      </x:c>
      <x:c r="N60" s="184" t="str">
        <x:v>05_基础对象与基础计算!C97</x:v>
      </x:c>
      <x:c r="O60" s="183" t="str">
        <x:v>V4.9对象/属性/方法
V2.01：名称/子方面线索；处置=规划独立契约候选·未批准新增
V7.8：V7.8未检出同名词法声明</x:v>
      </x:c>
      <x:c r="P60" s="136" t="str">
        <x:v>V4.9对象/属性/方法</x:v>
      </x:c>
    </x:row>
    <x:row r="61" ht="72" customHeight="1">
      <x:c r="A61" s="179" t="str">
        <x:v>F09</x:v>
      </x:c>
      <x:c r="B61" s="180" t="str">
        <x:v>时空与量纲｜单位、误差与测量
Units Measurement</x:v>
      </x:c>
      <x:c r="C61" s="180" t="str">
        <x:v>FUMUnitDefinition</x:v>
      </x:c>
      <x:c r="D61" s="179" t="str">
        <x:v>增构候选·待查重</x:v>
      </x:c>
      <x:c r="E61" s="180" t="str">
        <x:v>表达和承载单位定义的基础数据或计算参数</x:v>
      </x:c>
      <x:c r="F61" s="180" t="str">
        <x:v>Symbol；Dimension；Factor</x:v>
      </x:c>
      <x:c r="G61" s="180" t="str">
        <x:v>Compatibility</x:v>
      </x:c>
      <x:c r="H61" s="180" t="str">
        <x:v>待逐对象核实</x:v>
      </x:c>
      <x:c r="I61" s="180" t="str">
        <x:v>UnitDefinition</x:v>
      </x:c>
      <x:c r="J61" s="179" t="str">
        <x:v>类/实例候选</x:v>
      </x:c>
      <x:c r="K61" s="180" t="str">
        <x:v>生命周期：基础数据/值对象</x:v>
      </x:c>
      <x:c r="L61" s="183" t="str">
        <x:v>设计候选，尚待源码验证</x:v>
      </x:c>
      <x:c r="M61" s="183" t="str">
        <x:v>F09.UnitDefinition</x:v>
      </x:c>
      <x:c r="N61" s="184" t="str">
        <x:v>05_基础对象与基础计算!C98</x:v>
      </x:c>
      <x:c r="O61" s="183" t="str">
        <x:v>V4.9对象/属性/方法
V2.01：名称/子方面线索；处置=规划独立契约候选·未批准新增
V7.8：V7.8未检出同名词法声明</x:v>
      </x:c>
      <x:c r="P61" s="136" t="str">
        <x:v>V4.9对象/属性/方法</x:v>
      </x:c>
    </x:row>
  </x:sheetData>
  <x:mergeCells>
    <x:mergeCell ref="A6:A30"/>
    <x:mergeCell ref="A31:A44"/>
    <x:mergeCell ref="A45:A52"/>
    <x:mergeCell ref="A53:A61"/>
    <x:mergeCell ref="A1:P1"/>
    <x:mergeCell ref="A2:P2"/>
    <x:mergeCell ref="A3:P3"/>
    <x:mergeCell ref="A4:P4"/>
    <x:mergeCell ref="B6:B30"/>
    <x:mergeCell ref="B31:B44"/>
    <x:mergeCell ref="B45:B52"/>
    <x:mergeCell ref="B53:B61"/>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CxVisual.Foundation.Numerics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子方面：F03、F04、F10、F13｜来源：V1.19旧类型 + V4.9对象 + V7.8源码 + V5.0/R3架构裁决｜本项目 44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F03</x:v>
      </x:c>
      <x:c r="B6" s="180" t="str">
        <x:v>数学与数值｜标量、向量与矩阵
Linear Algebra</x:v>
      </x:c>
      <x:c r="C6" s="180" t="str">
        <x:v>FLAMathHelper</x:v>
      </x:c>
      <x:c r="D6" s="179" t="str">
        <x:v>原有·待核</x:v>
      </x:c>
      <x:c r="E6" s="180" t="str">
        <x:v>提供数学辅助可复用辅助操作，避免业务状态耦合</x:v>
      </x:c>
      <x:c r="F6" s="180" t="str">
        <x:v>—（无公开声明或待核对）</x:v>
      </x:c>
      <x:c r="G6" s="180" t="str">
        <x:v>—(无公开声明或待核对)</x:v>
      </x:c>
      <x:c r="H6" s="180" t="str">
        <x:v>—（待核）</x:v>
      </x:c>
      <x:c r="I6" s="180" t="str">
        <x:v>CommonInterfaces.MathHelper</x:v>
      </x:c>
      <x:c r="J6" s="179" t="str">
        <x:v>静态类</x:v>
      </x:c>
      <x:c r="K6" s="180" t="str">
        <x:v>V1.19 C-0006；原实施方式：原有。迁移风险：该类型当前无公开数学运算成员，不能作为数值功能已落地的证据。</x:v>
      </x:c>
      <x:c r="L6" s="183" t="str">
        <x:v>源代码声明·待复核</x:v>
      </x:c>
      <x:c r="M6" s="183" t="str">
        <x:v>C-0006</x:v>
      </x:c>
      <x:c r="N6" s="184" t="str">
        <x:v>Platform/CommonInterfaces/MathHelper.cs</x:v>
      </x:c>
      <x:c r="O6" s="183" t="str">
        <x:v>V1.19旧源码类型（真实成员/实现仍待核）
V2.01：来源ID对应；处置=专项需裁决：核心重构
V7.8：V7.8同名且源文件对应；Platform/CommonInterfaces/MathHelper.cs</x:v>
      </x:c>
      <x:c r="P6" s="136" t="str">
        <x:v>V1.19旧源码类型（真实成员/实现仍待核）</x:v>
      </x:c>
      <x:c r="Q6"/>
      <x:c r="R6"/>
      <x:c r="S6"/>
    </x:row>
    <x:row r="7" ht="72" customHeight="1">
      <x:c r="A7" s="179" t="str">
        <x:v>F03</x:v>
      </x:c>
      <x:c r="B7" s="180" t="str">
        <x:v>数学与数值｜标量、向量与矩阵
Linear Algebra</x:v>
      </x:c>
      <x:c r="C7" s="180" t="str">
        <x:v>FLARandomHelper</x:v>
      </x:c>
      <x:c r="D7" s="179" t="str">
        <x:v>原有·待核</x:v>
      </x:c>
      <x:c r="E7" s="180" t="str">
        <x:v>提供Random辅助可复用辅助操作，避免业务状态耦合</x:v>
      </x:c>
      <x:c r="F7" s="180" t="str">
        <x:v>—（无公开声明或待核对）</x:v>
      </x:c>
      <x:c r="G7" s="180" t="str">
        <x:v>RandomTif(string directoryPath)</x:v>
      </x:c>
      <x:c r="H7" s="180" t="str">
        <x:v>—（待核）</x:v>
      </x:c>
      <x:c r="I7" s="180" t="str">
        <x:v>CommonInterfaces.RandomHelper</x:v>
      </x:c>
      <x:c r="J7" s="179" t="str">
        <x:v>静态类</x:v>
      </x:c>
      <x:c r="K7" s="180" t="str">
        <x:v>V1.19 C-0007；原实施方式：原有。迁移风险：RandomTif从目录随机选取.tif文件，这是图像测试数据选择，不是F03通用随机数运算。</x:v>
      </x:c>
      <x:c r="L7" s="183" t="str">
        <x:v>源代码声明·待复核</x:v>
      </x:c>
      <x:c r="M7" s="183" t="str">
        <x:v>C-0007</x:v>
      </x:c>
      <x:c r="N7" s="184" t="str">
        <x:v>Platform/CommonInterfaces/RandomHelper.cs</x:v>
      </x:c>
      <x:c r="O7" s="183" t="str">
        <x:v>V1.19旧源码类型（真实成员/实现仍待核）
V2.01：来源ID对应；处置=专项需裁决：核心重构
V7.8：V7.8同名且源文件对应；Platform/CommonInterfaces/RandomHelper.cs</x:v>
      </x:c>
      <x:c r="P7" s="136" t="str">
        <x:v>V1.19旧源码类型（真实成员/实现仍待核）</x:v>
      </x:c>
      <x:c r="Q7"/>
      <x:c r="R7"/>
      <x:c r="S7"/>
    </x:row>
    <x:row r="8" ht="72" customHeight="1">
      <x:c r="A8" s="179" t="str">
        <x:v>F03</x:v>
      </x:c>
      <x:c r="B8" s="180" t="str">
        <x:v>数学与数值｜标量、向量与矩阵
Linear Algebra</x:v>
      </x:c>
      <x:c r="C8" s="180" t="str">
        <x:v>FLAComplexNumber</x:v>
      </x:c>
      <x:c r="D8" s="179" t="str">
        <x:v>增构候选·待查重</x:v>
      </x:c>
      <x:c r="E8" s="180" t="str">
        <x:v>表达和承载复数值的基础数据或计算参数</x:v>
      </x:c>
      <x:c r="F8" s="180" t="str">
        <x:v>Real；Imaginary</x:v>
      </x:c>
      <x:c r="G8" s="180" t="str">
        <x:v>Add；Magnitude</x:v>
      </x:c>
      <x:c r="H8" s="180" t="str">
        <x:v>待逐对象核实</x:v>
      </x:c>
      <x:c r="I8" s="180" t="str">
        <x:v>ComplexNumber</x:v>
      </x:c>
      <x:c r="J8" s="179" t="str">
        <x:v>值类型候选</x:v>
      </x:c>
      <x:c r="K8" s="180" t="str">
        <x:v>生命周期：基础数据/值对象</x:v>
      </x:c>
      <x:c r="L8" s="183" t="str">
        <x:v>设计候选，尚待源码验证</x:v>
      </x:c>
      <x:c r="M8" s="183" t="str">
        <x:v>F03.ComplexNumber</x:v>
      </x:c>
      <x:c r="N8" s="184" t="str">
        <x:v>05_基础对象与基础计算!C26</x:v>
      </x:c>
      <x:c r="O8" s="183" t="str">
        <x:v>V4.9对象/属性/方法
V2.01：名称/子方面线索；处置=规划独立契约候选·未批准新增
V7.8：V7.8未检出同名词法声明</x:v>
      </x:c>
      <x:c r="P8" s="136" t="str">
        <x:v>V4.9对象/属性/方法</x:v>
      </x:c>
      <x:c r="Q8"/>
      <x:c r="R8"/>
      <x:c r="S8"/>
    </x:row>
    <x:row r="9" ht="72" customHeight="1">
      <x:c r="A9" s="179" t="str">
        <x:v>F03</x:v>
      </x:c>
      <x:c r="B9" s="180" t="str">
        <x:v>数学与数值｜标量、向量与矩阵
Linear Algebra</x:v>
      </x:c>
      <x:c r="C9" s="180" t="str">
        <x:v>FLAIntervalDouble</x:v>
      </x:c>
      <x:c r="D9" s="179" t="str">
        <x:v>增构候选·待查重</x:v>
      </x:c>
      <x:c r="E9" s="180" t="str">
        <x:v>表达和承载浮点区间的基础数据或计算参数</x:v>
      </x:c>
      <x:c r="F9" s="180" t="str">
        <x:v>Min；Max</x:v>
      </x:c>
      <x:c r="G9" s="180" t="str">
        <x:v>Clamp；Intersect</x:v>
      </x:c>
      <x:c r="H9" s="180" t="str">
        <x:v>待逐对象核实</x:v>
      </x:c>
      <x:c r="I9" s="180" t="str">
        <x:v>IntervalDouble</x:v>
      </x:c>
      <x:c r="J9" s="179" t="str">
        <x:v>值类型候选</x:v>
      </x:c>
      <x:c r="K9" s="180" t="str">
        <x:v>生命周期：基础数据/值对象</x:v>
      </x:c>
      <x:c r="L9" s="183" t="str">
        <x:v>设计候选，尚待源码验证</x:v>
      </x:c>
      <x:c r="M9" s="183" t="str">
        <x:v>F03.IntervalDouble</x:v>
      </x:c>
      <x:c r="N9" s="184" t="str">
        <x:v>05_基础对象与基础计算!C27</x:v>
      </x:c>
      <x:c r="O9" s="183" t="str">
        <x:v>V4.9对象/属性/方法
V2.01：名称/子方面线索；处置=规划独立契约候选·未批准新增
V7.8：V7.8未检出同名词法声明</x:v>
      </x:c>
      <x:c r="P9" s="136" t="str">
        <x:v>V4.9对象/属性/方法</x:v>
      </x:c>
      <x:c r="Q9"/>
      <x:c r="R9"/>
      <x:c r="S9"/>
    </x:row>
    <x:row r="10" ht="72" customHeight="1">
      <x:c r="A10" s="179" t="str">
        <x:v>F03</x:v>
      </x:c>
      <x:c r="B10" s="180" t="str">
        <x:v>数学与数值｜标量、向量与矩阵
Linear Algebra</x:v>
      </x:c>
      <x:c r="C10" s="180" t="str">
        <x:v>FLALinearAlgebraOps</x:v>
      </x:c>
      <x:c r="D10" s="179" t="str">
        <x:v>增构候选·待查重</x:v>
      </x:c>
      <x:c r="E10" s="180" t="str">
        <x:v>提供无状态线性代数计算运算，不持有会话/设备/全局缓存</x:v>
      </x:c>
      <x:c r="F10" s="180" t="str">
        <x:v>Matrix；Vector</x:v>
      </x:c>
      <x:c r="G10" s="180" t="str">
        <x:v>Decompose；Solve；Multiply</x:v>
      </x:c>
      <x:c r="H10" s="180" t="str">
        <x:v>待逐对象核实</x:v>
      </x:c>
      <x:c r="I10" s="180" t="str">
        <x:v>LinearAlgebraOps</x:v>
      </x:c>
      <x:c r="J10" s="179" t="str">
        <x:v>静态类</x:v>
      </x:c>
      <x:c r="K10" s="180" t="str">
        <x:v>生命周期：基础值/纯计算</x:v>
      </x:c>
      <x:c r="L10" s="183" t="str">
        <x:v>设计候选，尚待源码验证</x:v>
      </x:c>
      <x:c r="M10" s="183" t="str">
        <x:v>F03.LinearAlgebraOps</x:v>
      </x:c>
      <x:c r="N10" s="184" t="str">
        <x:v>05_基础对象与基础计算!C28</x:v>
      </x:c>
      <x:c r="O10" s="183" t="str">
        <x:v>V4.9对象/属性/方法
V2.01：名称/子方面线索；处置=规划独立契约候选·未批准新增
V7.8：V7.8未检出同名词法声明</x:v>
      </x:c>
      <x:c r="P10" s="136" t="str">
        <x:v>V4.9对象/属性/方法</x:v>
      </x:c>
      <x:c r="Q10"/>
      <x:c r="R10"/>
      <x:c r="S10"/>
    </x:row>
    <x:row r="11" ht="72" customHeight="1">
      <x:c r="A11" s="179" t="str">
        <x:v>F03</x:v>
      </x:c>
      <x:c r="B11" s="180" t="str">
        <x:v>数学与数值｜标量、向量与矩阵
Linear Algebra</x:v>
      </x:c>
      <x:c r="C11" s="180" t="str">
        <x:v>FLAMatrix2x2</x:v>
      </x:c>
      <x:c r="D11" s="179" t="str">
        <x:v>增构候选·待查重</x:v>
      </x:c>
      <x:c r="E11" s="180" t="str">
        <x:v>表达和承载二维矩阵的基础数据或计算参数</x:v>
      </x:c>
      <x:c r="F11" s="180" t="str">
        <x:v>Elements</x:v>
      </x:c>
      <x:c r="G11" s="180" t="str">
        <x:v>Multiply；Inverse</x:v>
      </x:c>
      <x:c r="H11" s="180" t="str">
        <x:v>待逐对象核实</x:v>
      </x:c>
      <x:c r="I11" s="180" t="str">
        <x:v>Matrix2x2</x:v>
      </x:c>
      <x:c r="J11" s="179" t="str">
        <x:v>值类型候选</x:v>
      </x:c>
      <x:c r="K11" s="180" t="str">
        <x:v>生命周期：基础数据/值对象</x:v>
      </x:c>
      <x:c r="L11" s="183" t="str">
        <x:v>设计候选，尚待源码验证</x:v>
      </x:c>
      <x:c r="M11" s="183" t="str">
        <x:v>F03.Matrix2x2</x:v>
      </x:c>
      <x:c r="N11" s="184" t="str">
        <x:v>05_基础对象与基础计算!C29</x:v>
      </x:c>
      <x:c r="O11" s="183" t="str">
        <x:v>V4.9对象/属性/方法
V2.01：名称/子方面线索；处置=规划独立契约候选·未批准新增
V7.8：V7.8未检出同名词法声明</x:v>
      </x:c>
      <x:c r="P11" s="136" t="str">
        <x:v>V4.9对象/属性/方法</x:v>
      </x:c>
      <x:c r="Q11"/>
      <x:c r="R11"/>
      <x:c r="S11"/>
    </x:row>
    <x:row r="12" ht="72" customHeight="1">
      <x:c r="A12" s="179" t="str">
        <x:v>F03</x:v>
      </x:c>
      <x:c r="B12" s="180" t="str">
        <x:v>数学与数值｜标量、向量与矩阵
Linear Algebra</x:v>
      </x:c>
      <x:c r="C12" s="180" t="str">
        <x:v>FLAMatrix3x3</x:v>
      </x:c>
      <x:c r="D12" s="179" t="str">
        <x:v>增构候选·待查重</x:v>
      </x:c>
      <x:c r="E12" s="180" t="str">
        <x:v>表达和承载三维矩阵的基础数据或计算参数</x:v>
      </x:c>
      <x:c r="F12" s="180" t="str">
        <x:v>Elements</x:v>
      </x:c>
      <x:c r="G12" s="180" t="str">
        <x:v>Multiply；Determinant；Inverse</x:v>
      </x:c>
      <x:c r="H12" s="180" t="str">
        <x:v>待逐对象核实</x:v>
      </x:c>
      <x:c r="I12" s="180" t="str">
        <x:v>Matrix3x3</x:v>
      </x:c>
      <x:c r="J12" s="179" t="str">
        <x:v>值类型候选</x:v>
      </x:c>
      <x:c r="K12" s="180" t="str">
        <x:v>生命周期：基础数据/值对象</x:v>
      </x:c>
      <x:c r="L12" s="183" t="str">
        <x:v>设计候选，尚待源码验证</x:v>
      </x:c>
      <x:c r="M12" s="183" t="str">
        <x:v>F03.Matrix3x3</x:v>
      </x:c>
      <x:c r="N12" s="184" t="str">
        <x:v>05_基础对象与基础计算!C30</x:v>
      </x:c>
      <x:c r="O12" s="183" t="str">
        <x:v>V4.9对象/属性/方法
V2.01：名称/子方面线索；处置=规划独立契约候选·未批准新增
V7.8：V7.8未检出同名词法声明</x:v>
      </x:c>
      <x:c r="P12" s="136" t="str">
        <x:v>V4.9对象/属性/方法</x:v>
      </x:c>
      <x:c r="Q12"/>
      <x:c r="R12"/>
      <x:c r="S12"/>
    </x:row>
    <x:row r="13" ht="72" customHeight="1">
      <x:c r="A13" s="179" t="str">
        <x:v>F03</x:v>
      </x:c>
      <x:c r="B13" s="180" t="str">
        <x:v>数学与数值｜标量、向量与矩阵
Linear Algebra</x:v>
      </x:c>
      <x:c r="C13" s="180" t="str">
        <x:v>FLAMatrix4x4</x:v>
      </x:c>
      <x:c r="D13" s="179" t="str">
        <x:v>增构候选·待查重</x:v>
      </x:c>
      <x:c r="E13" s="180" t="str">
        <x:v>表达和承载齐次矩阵的基础数据或计算参数</x:v>
      </x:c>
      <x:c r="F13" s="180" t="str">
        <x:v>Elements</x:v>
      </x:c>
      <x:c r="G13" s="180" t="str">
        <x:v>Multiply；Inverse；Transform</x:v>
      </x:c>
      <x:c r="H13" s="180" t="str">
        <x:v>待逐对象核实</x:v>
      </x:c>
      <x:c r="I13" s="180" t="str">
        <x:v>Matrix4x4</x:v>
      </x:c>
      <x:c r="J13" s="179" t="str">
        <x:v>值类型候选</x:v>
      </x:c>
      <x:c r="K13" s="180" t="str">
        <x:v>生命周期：基础数据/值对象</x:v>
      </x:c>
      <x:c r="L13" s="183" t="str">
        <x:v>设计候选，尚待源码验证</x:v>
      </x:c>
      <x:c r="M13" s="183" t="str">
        <x:v>F03.Matrix4x4</x:v>
      </x:c>
      <x:c r="N13" s="184" t="str">
        <x:v>05_基础对象与基础计算!C31</x:v>
      </x:c>
      <x:c r="O13" s="183" t="str">
        <x:v>V4.9对象/属性/方法
V2.01：名称/子方面线索；处置=规划独立契约候选·未批准新增
V7.8：V7.8未检出同名词法声明</x:v>
      </x:c>
      <x:c r="P13" s="136" t="str">
        <x:v>V4.9对象/属性/方法</x:v>
      </x:c>
      <x:c r="Q13"/>
      <x:c r="R13"/>
      <x:c r="S13"/>
    </x:row>
    <x:row r="14" ht="72" customHeight="1">
      <x:c r="A14" s="179" t="str">
        <x:v>F03</x:v>
      </x:c>
      <x:c r="B14" s="180" t="str">
        <x:v>数学与数值｜标量、向量与矩阵
Linear Algebra</x:v>
      </x:c>
      <x:c r="C14" s="180" t="str">
        <x:v>FLANumericUtil</x:v>
      </x:c>
      <x:c r="D14" s="179" t="str">
        <x:v>原有·待核</x:v>
      </x:c>
      <x:c r="E14" s="180" t="str">
        <x:v>提供无状态基础数值工具运算，不持有会话/设备/全局缓存</x:v>
      </x:c>
      <x:c r="F14" s="180" t="str">
        <x:v>Tolerance；Policy</x:v>
      </x:c>
      <x:c r="G14" s="180" t="str">
        <x:v>Clamp；Lerp；Approximately</x:v>
      </x:c>
      <x:c r="H14" s="180" t="str">
        <x:v>待逐对象核实</x:v>
      </x:c>
      <x:c r="I14" s="180" t="str">
        <x:v>NumericUtil</x:v>
      </x:c>
      <x:c r="J14" s="179" t="str">
        <x:v>静态类</x:v>
      </x:c>
      <x:c r="K14" s="180" t="str">
        <x:v>V1.19 C-0008：原有；生命周期：基础值/纯计算</x:v>
      </x:c>
      <x:c r="L14" s="183" t="str">
        <x:v>V7.8源码词法匹配，尚未验收</x:v>
      </x:c>
      <x:c r="M14" s="183" t="str">
        <x:v>F03.NumericUtil</x:v>
      </x:c>
      <x:c r="N14" s="184" t="str">
        <x:v>Platform/Core/Common/Utilities.cs</x:v>
      </x:c>
      <x:c r="O14" s="183" t="str">
        <x:v>V4.9对象/属性/方法
V2.01：同名多条·待消歧；处置=暂无可信对应
V7.8：V7.8同名且源文件对应；Platform/Core/Common/Utilities.cs</x:v>
      </x:c>
      <x:c r="P14" s="136" t="str">
        <x:v>V4.9对象/属性/方法</x:v>
      </x:c>
      <x:c r="Q14"/>
      <x:c r="R14"/>
      <x:c r="S14"/>
    </x:row>
    <x:row r="15" ht="72" customHeight="1">
      <x:c r="A15" s="179" t="str">
        <x:v>F03</x:v>
      </x:c>
      <x:c r="B15" s="180" t="str">
        <x:v>数学与数值｜标量、向量与矩阵
Linear Algebra</x:v>
      </x:c>
      <x:c r="C15" s="180" t="str">
        <x:v>FLAQuaternion</x:v>
      </x:c>
      <x:c r="D15" s="179" t="str">
        <x:v>增构候选·待查重</x:v>
      </x:c>
      <x:c r="E15" s="180" t="str">
        <x:v>表达和承载四元数的基础数据或计算参数</x:v>
      </x:c>
      <x:c r="F15" s="180" t="str">
        <x:v>X；Y；Z；W</x:v>
      </x:c>
      <x:c r="G15" s="180" t="str">
        <x:v>Normalize；Multiply；Slerp</x:v>
      </x:c>
      <x:c r="H15" s="180" t="str">
        <x:v>待逐对象核实</x:v>
      </x:c>
      <x:c r="I15" s="180" t="str">
        <x:v>Quaternion</x:v>
      </x:c>
      <x:c r="J15" s="179" t="str">
        <x:v>值类型候选</x:v>
      </x:c>
      <x:c r="K15" s="180" t="str">
        <x:v>生命周期：基础数据/值对象</x:v>
      </x:c>
      <x:c r="L15" s="183" t="str">
        <x:v>设计候选，尚待源码验证</x:v>
      </x:c>
      <x:c r="M15" s="183" t="str">
        <x:v>F03.Quaternion</x:v>
      </x:c>
      <x:c r="N15" s="184" t="str">
        <x:v>05_基础对象与基础计算!C33</x:v>
      </x:c>
      <x:c r="O15" s="183" t="str">
        <x:v>V4.9对象/属性/方法
V2.01：名称/子方面线索；处置=规划独立契约候选·未批准新增
V7.8：V7.8未检出同名词法声明</x:v>
      </x:c>
      <x:c r="P15" s="136" t="str">
        <x:v>V4.9对象/属性/方法</x:v>
      </x:c>
      <x:c r="Q15"/>
      <x:c r="R15"/>
      <x:c r="S15"/>
    </x:row>
    <x:row r="16" ht="72" customHeight="1">
      <x:c r="A16" s="179" t="str">
        <x:v>F03</x:v>
      </x:c>
      <x:c r="B16" s="180" t="str">
        <x:v>数学与数值｜标量、向量与矩阵
Linear Algebra</x:v>
      </x:c>
      <x:c r="C16" s="180" t="str">
        <x:v>FLAStatisticsOps</x:v>
      </x:c>
      <x:c r="D16" s="179" t="str">
        <x:v>增构候选·待查重</x:v>
      </x:c>
      <x:c r="E16" s="180" t="str">
        <x:v>提供无状态基础统计计算运算，不持有会话/设备/全局缓存</x:v>
      </x:c>
      <x:c r="F16" s="180" t="str">
        <x:v>Samples；Weights</x:v>
      </x:c>
      <x:c r="G16" s="180" t="str">
        <x:v>Mean；Variance；Quantile</x:v>
      </x:c>
      <x:c r="H16" s="180" t="str">
        <x:v>待逐对象核实</x:v>
      </x:c>
      <x:c r="I16" s="180" t="str">
        <x:v>StatisticsOps</x:v>
      </x:c>
      <x:c r="J16" s="179" t="str">
        <x:v>静态类</x:v>
      </x:c>
      <x:c r="K16" s="180" t="str">
        <x:v>生命周期：基础值/纯计算</x:v>
      </x:c>
      <x:c r="L16" s="183" t="str">
        <x:v>设计候选，尚待源码验证</x:v>
      </x:c>
      <x:c r="M16" s="183" t="str">
        <x:v>F03.StatisticsOps</x:v>
      </x:c>
      <x:c r="N16" s="184" t="str">
        <x:v>05_基础对象与基础计算!C34</x:v>
      </x:c>
      <x:c r="O16" s="183" t="str">
        <x:v>V4.9对象/属性/方法
V2.01：名称/子方面线索；处置=规划独立契约候选·未批准新增
V7.8：V7.8未检出同名词法声明</x:v>
      </x:c>
      <x:c r="P16" s="136" t="str">
        <x:v>V4.9对象/属性/方法</x:v>
      </x:c>
      <x:c r="Q16"/>
      <x:c r="R16"/>
      <x:c r="S16"/>
    </x:row>
    <x:row r="17" ht="72" customHeight="1">
      <x:c r="A17" s="179" t="str">
        <x:v>F03</x:v>
      </x:c>
      <x:c r="B17" s="180" t="str">
        <x:v>数学与数值｜标量、向量与矩阵
Linear Algebra</x:v>
      </x:c>
      <x:c r="C17" s="180" t="str">
        <x:v>FLAVector2</x:v>
      </x:c>
      <x:c r="D17" s="179" t="str">
        <x:v>增构候选·待查重</x:v>
      </x:c>
      <x:c r="E17" s="180" t="str">
        <x:v>表达和承载二维向量的基础数据或计算参数</x:v>
      </x:c>
      <x:c r="F17" s="180" t="str">
        <x:v>X；Y</x:v>
      </x:c>
      <x:c r="G17" s="180" t="str">
        <x:v>Add；Dot；Normalize</x:v>
      </x:c>
      <x:c r="H17" s="180" t="str">
        <x:v>待逐对象核实</x:v>
      </x:c>
      <x:c r="I17" s="180" t="str">
        <x:v>Vector2</x:v>
      </x:c>
      <x:c r="J17" s="179" t="str">
        <x:v>值类型候选</x:v>
      </x:c>
      <x:c r="K17" s="180" t="str">
        <x:v>生命周期：基础数据/值对象</x:v>
      </x:c>
      <x:c r="L17" s="183" t="str">
        <x:v>设计候选，尚待源码验证</x:v>
      </x:c>
      <x:c r="M17" s="183" t="str">
        <x:v>F03.Vector2</x:v>
      </x:c>
      <x:c r="N17" s="184" t="str">
        <x:v>05_基础对象与基础计算!C35</x:v>
      </x:c>
      <x:c r="O17" s="183" t="str">
        <x:v>V4.9对象/属性/方法
V2.01：名称/子方面线索；处置=规划独立契约候选·未批准新增
V7.8：V7.8未检出同名词法声明</x:v>
      </x:c>
      <x:c r="P17" s="136" t="str">
        <x:v>V4.9对象/属性/方法</x:v>
      </x:c>
      <x:c r="Q17"/>
      <x:c r="R17"/>
      <x:c r="S17"/>
    </x:row>
    <x:row r="18" ht="72" customHeight="1">
      <x:c r="A18" s="179" t="str">
        <x:v>F03</x:v>
      </x:c>
      <x:c r="B18" s="180" t="str">
        <x:v>数学与数值｜标量、向量与矩阵
Linear Algebra</x:v>
      </x:c>
      <x:c r="C18" s="180" t="str">
        <x:v>FLAVector3</x:v>
      </x:c>
      <x:c r="D18" s="179" t="str">
        <x:v>增构候选·待查重</x:v>
      </x:c>
      <x:c r="E18" s="180" t="str">
        <x:v>表达和承载三维向量的基础数据或计算参数</x:v>
      </x:c>
      <x:c r="F18" s="180" t="str">
        <x:v>X；Y；Z</x:v>
      </x:c>
      <x:c r="G18" s="180" t="str">
        <x:v>Cross；Dot；Normalize</x:v>
      </x:c>
      <x:c r="H18" s="180" t="str">
        <x:v>待逐对象核实</x:v>
      </x:c>
      <x:c r="I18" s="180" t="str">
        <x:v>Vector3</x:v>
      </x:c>
      <x:c r="J18" s="179" t="str">
        <x:v>值类型候选</x:v>
      </x:c>
      <x:c r="K18" s="180" t="str">
        <x:v>生命周期：基础数据/值对象</x:v>
      </x:c>
      <x:c r="L18" s="183" t="str">
        <x:v>设计候选，尚待源码验证</x:v>
      </x:c>
      <x:c r="M18" s="183" t="str">
        <x:v>F03.Vector3</x:v>
      </x:c>
      <x:c r="N18" s="184" t="str">
        <x:v>05_基础对象与基础计算!C36</x:v>
      </x:c>
      <x:c r="O18" s="183" t="str">
        <x:v>V4.9对象/属性/方法
V2.01：名称/子方面线索；处置=规划独立契约候选·未批准新增
V7.8：V7.8未检出同名词法声明</x:v>
      </x:c>
      <x:c r="P18" s="136" t="str">
        <x:v>V4.9对象/属性/方法</x:v>
      </x:c>
      <x:c r="Q18"/>
      <x:c r="R18"/>
      <x:c r="S18"/>
    </x:row>
    <x:row r="19" ht="72" customHeight="1">
      <x:c r="A19" s="179" t="str">
        <x:v>F03</x:v>
      </x:c>
      <x:c r="B19" s="180" t="str">
        <x:v>数学与数值｜标量、向量与矩阵
Linear Algebra</x:v>
      </x:c>
      <x:c r="C19" s="180" t="str">
        <x:v>FLAVector4</x:v>
      </x:c>
      <x:c r="D19" s="179" t="str">
        <x:v>增构候选·待查重</x:v>
      </x:c>
      <x:c r="E19" s="180" t="str">
        <x:v>表达和承载四维向量的基础数据或计算参数</x:v>
      </x:c>
      <x:c r="F19" s="180" t="str">
        <x:v>X；Y；Z；W</x:v>
      </x:c>
      <x:c r="G19" s="180" t="str">
        <x:v>Dot；Normalize</x:v>
      </x:c>
      <x:c r="H19" s="180" t="str">
        <x:v>待逐对象核实</x:v>
      </x:c>
      <x:c r="I19" s="180" t="str">
        <x:v>Vector4</x:v>
      </x:c>
      <x:c r="J19" s="179" t="str">
        <x:v>值类型候选</x:v>
      </x:c>
      <x:c r="K19" s="180" t="str">
        <x:v>生命周期：基础数据/值对象</x:v>
      </x:c>
      <x:c r="L19" s="183" t="str">
        <x:v>设计候选，尚待源码验证</x:v>
      </x:c>
      <x:c r="M19" s="183" t="str">
        <x:v>F03.Vector4</x:v>
      </x:c>
      <x:c r="N19" s="184" t="str">
        <x:v>05_基础对象与基础计算!C37</x:v>
      </x:c>
      <x:c r="O19" s="183" t="str">
        <x:v>V4.9对象/属性/方法
V2.01：名称/子方面线索；处置=规划独立契约候选·未批准新增
V7.8：V7.8未检出同名词法声明</x:v>
      </x:c>
      <x:c r="P19" s="136" t="str">
        <x:v>V4.9对象/属性/方法</x:v>
      </x:c>
      <x:c r="Q19"/>
      <x:c r="R19"/>
      <x:c r="S19"/>
    </x:row>
    <x:row r="20" ht="72" customHeight="1">
      <x:c r="A20" s="179" t="str">
        <x:v>F04</x:v>
      </x:c>
      <x:c r="B20" s="180" t="str">
        <x:v>数学与数值｜数值求解与优化
Numerical Optimization</x:v>
      </x:c>
      <x:c r="C20" s="180" t="str">
        <x:v>FNODifferentiationOps</x:v>
      </x:c>
      <x:c r="D20" s="179" t="str">
        <x:v>增构候选·待查重</x:v>
      </x:c>
      <x:c r="E20" s="180" t="str">
        <x:v>提供无状态数值微分运算，不持有会话/设备/全局缓存</x:v>
      </x:c>
      <x:c r="F20" s="180" t="str">
        <x:v>Values；Step</x:v>
      </x:c>
      <x:c r="G20" s="180" t="str">
        <x:v>Gradient；Jacobian</x:v>
      </x:c>
      <x:c r="H20" s="180" t="str">
        <x:v>待逐对象核实</x:v>
      </x:c>
      <x:c r="I20" s="180" t="str">
        <x:v>DifferentiationOps</x:v>
      </x:c>
      <x:c r="J20" s="179" t="str">
        <x:v>静态类</x:v>
      </x:c>
      <x:c r="K20" s="180" t="str">
        <x:v>生命周期：基础值/纯计算</x:v>
      </x:c>
      <x:c r="L20" s="183" t="str">
        <x:v>设计候选，尚待源码验证</x:v>
      </x:c>
      <x:c r="M20" s="183" t="str">
        <x:v>F04.DifferentiationOps</x:v>
      </x:c>
      <x:c r="N20" s="184" t="str">
        <x:v>05_基础对象与基础计算!C38</x:v>
      </x:c>
      <x:c r="O20" s="183" t="str">
        <x:v>V4.9对象/属性/方法
V2.01：名称/子方面线索；处置=规划独立契约候选·未批准新增
V7.8：V7.8未检出同名词法声明</x:v>
      </x:c>
      <x:c r="P20" s="136" t="str">
        <x:v>V4.9对象/属性/方法</x:v>
      </x:c>
      <x:c r="Q20"/>
      <x:c r="R20"/>
      <x:c r="S20"/>
    </x:row>
    <x:row r="21" ht="72" customHeight="1">
      <x:c r="A21" s="179" t="str">
        <x:v>F04</x:v>
      </x:c>
      <x:c r="B21" s="180" t="str">
        <x:v>数学与数值｜数值求解与优化
Numerical Optimization</x:v>
      </x:c>
      <x:c r="C21" s="180" t="str">
        <x:v>FNOInterpolationOps</x:v>
      </x:c>
      <x:c r="D21" s="179" t="str">
        <x:v>增构候选·待查重</x:v>
      </x:c>
      <x:c r="E21" s="180" t="str">
        <x:v>提供无状态插值算法运算，不持有会话/设备/全局缓存</x:v>
      </x:c>
      <x:c r="F21" s="180" t="str">
        <x:v>Samples；Mode</x:v>
      </x:c>
      <x:c r="G21" s="180" t="str">
        <x:v>Linear；Spline；Bicubic</x:v>
      </x:c>
      <x:c r="H21" s="180" t="str">
        <x:v>待逐对象核实</x:v>
      </x:c>
      <x:c r="I21" s="180" t="str">
        <x:v>InterpolationOps</x:v>
      </x:c>
      <x:c r="J21" s="179" t="str">
        <x:v>静态类</x:v>
      </x:c>
      <x:c r="K21" s="180" t="str">
        <x:v>生命周期：基础值/纯计算</x:v>
      </x:c>
      <x:c r="L21" s="183" t="str">
        <x:v>设计候选，尚待源码验证</x:v>
      </x:c>
      <x:c r="M21" s="183" t="str">
        <x:v>F04.InterpolationOps</x:v>
      </x:c>
      <x:c r="N21" s="184" t="str">
        <x:v>05_基础对象与基础计算!C39</x:v>
      </x:c>
      <x:c r="O21" s="183" t="str">
        <x:v>V4.9对象/属性/方法
V2.01：名称/子方面线索；处置=规划独立契约候选·未批准新增
V7.8：V7.8未检出同名词法声明</x:v>
      </x:c>
      <x:c r="P21" s="136" t="str">
        <x:v>V4.9对象/属性/方法</x:v>
      </x:c>
      <x:c r="Q21"/>
      <x:c r="R21"/>
      <x:c r="S21"/>
    </x:row>
    <x:row r="22" ht="72" customHeight="1">
      <x:c r="A22" s="179" t="str">
        <x:v>F04</x:v>
      </x:c>
      <x:c r="B22" s="180" t="str">
        <x:v>数学与数值｜数值求解与优化
Numerical Optimization</x:v>
      </x:c>
      <x:c r="C22" s="180" t="str">
        <x:v>FNOLeastSquares</x:v>
      </x:c>
      <x:c r="D22" s="179" t="str">
        <x:v>增构候选·待查重</x:v>
      </x:c>
      <x:c r="E22" s="180" t="str">
        <x:v>提供无状态最小二乘拟合运算，不持有会话/设备/全局缓存</x:v>
      </x:c>
      <x:c r="F22" s="180" t="str">
        <x:v>Samples；Weights</x:v>
      </x:c>
      <x:c r="G22" s="180" t="str">
        <x:v>Fit；Residual</x:v>
      </x:c>
      <x:c r="H22" s="180" t="str">
        <x:v>待逐对象核实</x:v>
      </x:c>
      <x:c r="I22" s="180" t="str">
        <x:v>LeastSquares</x:v>
      </x:c>
      <x:c r="J22" s="179" t="str">
        <x:v>静态类</x:v>
      </x:c>
      <x:c r="K22" s="180" t="str">
        <x:v>生命周期：基础值/纯计算</x:v>
      </x:c>
      <x:c r="L22" s="183" t="str">
        <x:v>设计候选，尚待源码验证</x:v>
      </x:c>
      <x:c r="M22" s="183" t="str">
        <x:v>F04.LeastSquares</x:v>
      </x:c>
      <x:c r="N22" s="184" t="str">
        <x:v>05_基础对象与基础计算!C40</x:v>
      </x:c>
      <x:c r="O22" s="183" t="str">
        <x:v>V4.9对象/属性/方法
V2.01：名称/子方面线索；处置=规划独立契约候选·未批准新增
V7.8：V7.8未检出同名词法声明</x:v>
      </x:c>
      <x:c r="P22" s="136" t="str">
        <x:v>V4.9对象/属性/方法</x:v>
      </x:c>
      <x:c r="Q22"/>
      <x:c r="R22"/>
      <x:c r="S22"/>
    </x:row>
    <x:row r="23" ht="72" customHeight="1">
      <x:c r="A23" s="179" t="str">
        <x:v>F04</x:v>
      </x:c>
      <x:c r="B23" s="180" t="str">
        <x:v>数学与数值｜数值求解与优化
Numerical Optimization</x:v>
      </x:c>
      <x:c r="C23" s="180" t="str">
        <x:v>FNONonlinearOptimization</x:v>
      </x:c>
      <x:c r="D23" s="179" t="str">
        <x:v>增构候选·待查重</x:v>
      </x:c>
      <x:c r="E23" s="180" t="str">
        <x:v>提供无状态非线性优化运算，不持有会话/设备/全局缓存</x:v>
      </x:c>
      <x:c r="F23" s="180" t="str">
        <x:v>Objective；Constraints</x:v>
      </x:c>
      <x:c r="G23" s="180" t="str">
        <x:v>Minimize</x:v>
      </x:c>
      <x:c r="H23" s="180" t="str">
        <x:v>待逐对象核实</x:v>
      </x:c>
      <x:c r="I23" s="180" t="str">
        <x:v>NonlinearOptimization</x:v>
      </x:c>
      <x:c r="J23" s="179" t="str">
        <x:v>静态类</x:v>
      </x:c>
      <x:c r="K23" s="180" t="str">
        <x:v>生命周期：基础值/纯计算</x:v>
      </x:c>
      <x:c r="L23" s="183" t="str">
        <x:v>设计候选，尚待源码验证</x:v>
      </x:c>
      <x:c r="M23" s="183" t="str">
        <x:v>F04.NonlinearOptimization</x:v>
      </x:c>
      <x:c r="N23" s="184" t="str">
        <x:v>05_基础对象与基础计算!C41</x:v>
      </x:c>
      <x:c r="O23" s="183" t="str">
        <x:v>V4.9对象/属性/方法
V2.01：名称/子方面线索；处置=规划独立契约候选·未批准新增
V7.8：V7.8未检出同名词法声明</x:v>
      </x:c>
      <x:c r="P23" s="136" t="str">
        <x:v>V4.9对象/属性/方法</x:v>
      </x:c>
      <x:c r="Q23"/>
      <x:c r="R23"/>
      <x:c r="S23"/>
    </x:row>
    <x:row r="24" ht="72" customHeight="1">
      <x:c r="A24" s="179" t="str">
        <x:v>F04</x:v>
      </x:c>
      <x:c r="B24" s="180" t="str">
        <x:v>数学与数值｜数值求解与优化
Numerical Optimization</x:v>
      </x:c>
      <x:c r="C24" s="180" t="str">
        <x:v>FNONumericalConditioning</x:v>
      </x:c>
      <x:c r="D24" s="179" t="str">
        <x:v>增构候选·待查重</x:v>
      </x:c>
      <x:c r="E24" s="180" t="str">
        <x:v>提供无状态数值稳定性评估运算，不持有会话/设备/全局缓存</x:v>
      </x:c>
      <x:c r="F24" s="180" t="str">
        <x:v>Matrix；Epsilon</x:v>
      </x:c>
      <x:c r="G24" s="180" t="str">
        <x:v>ConditionNumber；Check</x:v>
      </x:c>
      <x:c r="H24" s="180" t="str">
        <x:v>待逐对象核实</x:v>
      </x:c>
      <x:c r="I24" s="180" t="str">
        <x:v>NumericalConditioning</x:v>
      </x:c>
      <x:c r="J24" s="179" t="str">
        <x:v>静态类</x:v>
      </x:c>
      <x:c r="K24" s="180" t="str">
        <x:v>生命周期：基础值/纯计算</x:v>
      </x:c>
      <x:c r="L24" s="183" t="str">
        <x:v>设计候选，尚待源码验证</x:v>
      </x:c>
      <x:c r="M24" s="183" t="str">
        <x:v>F04.NumericalConditioning</x:v>
      </x:c>
      <x:c r="N24" s="184" t="str">
        <x:v>05_基础对象与基础计算!C42</x:v>
      </x:c>
      <x:c r="O24" s="183" t="str">
        <x:v>V4.9对象/属性/方法
V2.01：名称/子方面线索；处置=规划独立契约候选·未批准新增
V7.8：V7.8未检出同名词法声明</x:v>
      </x:c>
      <x:c r="P24" s="136" t="str">
        <x:v>V4.9对象/属性/方法</x:v>
      </x:c>
      <x:c r="Q24"/>
      <x:c r="R24"/>
      <x:c r="S24"/>
    </x:row>
    <x:row r="25" ht="72" customHeight="1">
      <x:c r="A25" s="179" t="str">
        <x:v>F04</x:v>
      </x:c>
      <x:c r="B25" s="180" t="str">
        <x:v>数学与数值｜数值求解与优化
Numerical Optimization</x:v>
      </x:c>
      <x:c r="C25" s="180" t="str">
        <x:v>FNONumericalIntegration</x:v>
      </x:c>
      <x:c r="D25" s="179" t="str">
        <x:v>增构候选·待查重</x:v>
      </x:c>
      <x:c r="E25" s="180" t="str">
        <x:v>提供无状态数值积分算法运算，不持有会话/设备/全局缓存</x:v>
      </x:c>
      <x:c r="F25" s="180" t="str">
        <x:v>Samples；Bounds</x:v>
      </x:c>
      <x:c r="G25" s="180" t="str">
        <x:v>Trapezoid；Simpson</x:v>
      </x:c>
      <x:c r="H25" s="180" t="str">
        <x:v>待逐对象核实</x:v>
      </x:c>
      <x:c r="I25" s="180" t="str">
        <x:v>NumericalIntegration</x:v>
      </x:c>
      <x:c r="J25" s="179" t="str">
        <x:v>静态类</x:v>
      </x:c>
      <x:c r="K25" s="180" t="str">
        <x:v>生命周期：基础值/纯计算</x:v>
      </x:c>
      <x:c r="L25" s="183" t="str">
        <x:v>设计候选，尚待源码验证</x:v>
      </x:c>
      <x:c r="M25" s="183" t="str">
        <x:v>F04.NumericalIntegration</x:v>
      </x:c>
      <x:c r="N25" s="184" t="str">
        <x:v>05_基础对象与基础计算!C43</x:v>
      </x:c>
      <x:c r="O25" s="183" t="str">
        <x:v>V4.9对象/属性/方法
V2.01：名称/子方面线索；处置=规划独立契约候选·未批准新增
V7.8：V7.8未检出同名词法声明</x:v>
      </x:c>
      <x:c r="P25" s="136" t="str">
        <x:v>V4.9对象/属性/方法</x:v>
      </x:c>
      <x:c r="Q25"/>
      <x:c r="R25"/>
      <x:c r="S25"/>
    </x:row>
    <x:row r="26" ht="72" customHeight="1">
      <x:c r="A26" s="179" t="str">
        <x:v>F04</x:v>
      </x:c>
      <x:c r="B26" s="180" t="str">
        <x:v>数学与数值｜数值求解与优化
Numerical Optimization</x:v>
      </x:c>
      <x:c r="C26" s="180" t="str">
        <x:v>FNOPolynomial</x:v>
      </x:c>
      <x:c r="D26" s="179" t="str">
        <x:v>增构候选·待查重</x:v>
      </x:c>
      <x:c r="E26" s="180" t="str">
        <x:v>表达和承载多项式的基础数据或计算参数</x:v>
      </x:c>
      <x:c r="F26" s="180" t="str">
        <x:v>Coefficients</x:v>
      </x:c>
      <x:c r="G26" s="180" t="str">
        <x:v>Evaluate；Derivative</x:v>
      </x:c>
      <x:c r="H26" s="180" t="str">
        <x:v>待逐对象核实</x:v>
      </x:c>
      <x:c r="I26" s="180" t="str">
        <x:v>Polynomial</x:v>
      </x:c>
      <x:c r="J26" s="179" t="str">
        <x:v>值类型候选</x:v>
      </x:c>
      <x:c r="K26" s="180" t="str">
        <x:v>生命周期：基础数据/值对象</x:v>
      </x:c>
      <x:c r="L26" s="183" t="str">
        <x:v>设计候选，尚待源码验证</x:v>
      </x:c>
      <x:c r="M26" s="183" t="str">
        <x:v>F04.Polynomial</x:v>
      </x:c>
      <x:c r="N26" s="184" t="str">
        <x:v>05_基础对象与基础计算!C44</x:v>
      </x:c>
      <x:c r="O26" s="183" t="str">
        <x:v>V4.9对象/属性/方法
V2.01：名称/子方面线索；处置=规划独立契约候选·未批准新增
V7.8：V7.8未检出同名词法声明</x:v>
      </x:c>
      <x:c r="P26" s="136" t="str">
        <x:v>V4.9对象/属性/方法</x:v>
      </x:c>
      <x:c r="Q26"/>
      <x:c r="R26"/>
      <x:c r="S26"/>
    </x:row>
    <x:row r="27" ht="72" customHeight="1">
      <x:c r="A27" s="179" t="str">
        <x:v>F04</x:v>
      </x:c>
      <x:c r="B27" s="180" t="str">
        <x:v>数学与数值｜数值求解与优化
Numerical Optimization</x:v>
      </x:c>
      <x:c r="C27" s="180" t="str">
        <x:v>FNORandomSampling</x:v>
      </x:c>
      <x:c r="D27" s="179" t="str">
        <x:v>增构候选·待查重</x:v>
      </x:c>
      <x:c r="E27" s="180" t="str">
        <x:v>提供无状态随机抽样工具运算，不持有会话/设备/全局缓存</x:v>
      </x:c>
      <x:c r="F27" s="180" t="str">
        <x:v>Distribution；Seed</x:v>
      </x:c>
      <x:c r="G27" s="180" t="str">
        <x:v>Sample；Shuffle</x:v>
      </x:c>
      <x:c r="H27" s="180" t="str">
        <x:v>待逐对象核实</x:v>
      </x:c>
      <x:c r="I27" s="180" t="str">
        <x:v>RandomSampling</x:v>
      </x:c>
      <x:c r="J27" s="179" t="str">
        <x:v>静态类</x:v>
      </x:c>
      <x:c r="K27" s="180" t="str">
        <x:v>生命周期：基础值/纯计算</x:v>
      </x:c>
      <x:c r="L27" s="183" t="str">
        <x:v>设计候选，尚待源码验证</x:v>
      </x:c>
      <x:c r="M27" s="183" t="str">
        <x:v>F04.RandomSampling</x:v>
      </x:c>
      <x:c r="N27" s="184" t="str">
        <x:v>05_基础对象与基础计算!C45</x:v>
      </x:c>
      <x:c r="O27" s="183" t="str">
        <x:v>V4.9对象/属性/方法
V2.01：名称/子方面线索；处置=规划独立契约候选·未批准新增
V7.8：V7.8未检出同名词法声明</x:v>
      </x:c>
      <x:c r="P27" s="136" t="str">
        <x:v>V4.9对象/属性/方法</x:v>
      </x:c>
      <x:c r="Q27"/>
      <x:c r="R27"/>
      <x:c r="S27"/>
    </x:row>
    <x:row r="28" ht="72" customHeight="1">
      <x:c r="A28" s="179" t="str">
        <x:v>F04</x:v>
      </x:c>
      <x:c r="B28" s="180" t="str">
        <x:v>数学与数值｜数值求解与优化
Numerical Optimization</x:v>
      </x:c>
      <x:c r="C28" s="180" t="str">
        <x:v>FNORobustEstimation</x:v>
      </x:c>
      <x:c r="D28" s="179" t="str">
        <x:v>增构候选·待查重</x:v>
      </x:c>
      <x:c r="E28" s="180" t="str">
        <x:v>提供无状态鲁棒估计算法运算，不持有会话/设备/全局缓存</x:v>
      </x:c>
      <x:c r="F28" s="180" t="str">
        <x:v>Samples；Outliers</x:v>
      </x:c>
      <x:c r="G28" s="180" t="str">
        <x:v>Ransac；Huber</x:v>
      </x:c>
      <x:c r="H28" s="180" t="str">
        <x:v>待逐对象核实</x:v>
      </x:c>
      <x:c r="I28" s="180" t="str">
        <x:v>RobustEstimation</x:v>
      </x:c>
      <x:c r="J28" s="179" t="str">
        <x:v>静态类</x:v>
      </x:c>
      <x:c r="K28" s="180" t="str">
        <x:v>生命周期：基础值/纯计算</x:v>
      </x:c>
      <x:c r="L28" s="183" t="str">
        <x:v>设计候选，尚待源码验证</x:v>
      </x:c>
      <x:c r="M28" s="183" t="str">
        <x:v>F04.RobustEstimation</x:v>
      </x:c>
      <x:c r="N28" s="184" t="str">
        <x:v>05_基础对象与基础计算!C46</x:v>
      </x:c>
      <x:c r="O28" s="183" t="str">
        <x:v>V4.9对象/属性/方法
V2.01：名称/子方面线索；处置=规划独立契约候选·未批准新增
V7.8：V7.8未检出同名词法声明</x:v>
      </x:c>
      <x:c r="P28" s="136" t="str">
        <x:v>V4.9对象/属性/方法</x:v>
      </x:c>
      <x:c r="Q28"/>
      <x:c r="R28"/>
      <x:c r="S28"/>
    </x:row>
    <x:row r="29" ht="72" customHeight="1">
      <x:c r="A29" s="179" t="str">
        <x:v>F04</x:v>
      </x:c>
      <x:c r="B29" s="180" t="str">
        <x:v>数学与数值｜数值求解与优化
Numerical Optimization</x:v>
      </x:c>
      <x:c r="C29" s="180" t="str">
        <x:v>FNORootFinding</x:v>
      </x:c>
      <x:c r="D29" s="179" t="str">
        <x:v>增构候选·待查重</x:v>
      </x:c>
      <x:c r="E29" s="180" t="str">
        <x:v>提供无状态根求解算法运算，不持有会话/设备/全局缓存</x:v>
      </x:c>
      <x:c r="F29" s="180" t="str">
        <x:v>Function；Bounds</x:v>
      </x:c>
      <x:c r="G29" s="180" t="str">
        <x:v>Bisection；Newton</x:v>
      </x:c>
      <x:c r="H29" s="180" t="str">
        <x:v>待逐对象核实</x:v>
      </x:c>
      <x:c r="I29" s="180" t="str">
        <x:v>RootFinding</x:v>
      </x:c>
      <x:c r="J29" s="179" t="str">
        <x:v>静态类</x:v>
      </x:c>
      <x:c r="K29" s="180" t="str">
        <x:v>生命周期：基础值/纯计算</x:v>
      </x:c>
      <x:c r="L29" s="183" t="str">
        <x:v>设计候选，尚待源码验证</x:v>
      </x:c>
      <x:c r="M29" s="183" t="str">
        <x:v>F04.RootFinding</x:v>
      </x:c>
      <x:c r="N29" s="184" t="str">
        <x:v>05_基础对象与基础计算!C47</x:v>
      </x:c>
      <x:c r="O29" s="183" t="str">
        <x:v>V4.9对象/属性/方法
V2.01：名称/子方面线索；处置=规划独立契约候选·未批准新增
V7.8：V7.8未检出同名词法声明</x:v>
      </x:c>
      <x:c r="P29" s="136" t="str">
        <x:v>V4.9对象/属性/方法</x:v>
      </x:c>
      <x:c r="Q29"/>
      <x:c r="R29"/>
      <x:c r="S29"/>
    </x:row>
    <x:row r="30" ht="72" customHeight="1">
      <x:c r="A30" s="179" t="str">
        <x:v>F10</x:v>
      </x:c>
      <x:c r="B30" s="180" t="str">
        <x:v>信号与采样｜离散采样与时频
Signal Processing</x:v>
      </x:c>
      <x:c r="C30" s="180" t="str">
        <x:v>FSPConvolutionOps</x:v>
      </x:c>
      <x:c r="D30" s="179" t="str">
        <x:v>增构候选·待查重</x:v>
      </x:c>
      <x:c r="E30" s="180" t="str">
        <x:v>提供无状态卷积计算运算，不持有会话/设备/全局缓存</x:v>
      </x:c>
      <x:c r="F30" s="180" t="str">
        <x:v>Input；Kernel</x:v>
      </x:c>
      <x:c r="G30" s="180" t="str">
        <x:v>Convolve；Correlate</x:v>
      </x:c>
      <x:c r="H30" s="180" t="str">
        <x:v>待逐对象核实</x:v>
      </x:c>
      <x:c r="I30" s="180" t="str">
        <x:v>ConvolutionOps</x:v>
      </x:c>
      <x:c r="J30" s="179" t="str">
        <x:v>静态类</x:v>
      </x:c>
      <x:c r="K30" s="180" t="str">
        <x:v>生命周期：基础值/纯计算</x:v>
      </x:c>
      <x:c r="L30" s="183" t="str">
        <x:v>设计候选，尚待源码验证</x:v>
      </x:c>
      <x:c r="M30" s="183" t="str">
        <x:v>F10.ConvolutionOps</x:v>
      </x:c>
      <x:c r="N30" s="184" t="str">
        <x:v>05_基础对象与基础计算!C99</x:v>
      </x:c>
      <x:c r="O30" s="183" t="str">
        <x:v>V4.9对象/属性/方法
V2.01：名称/子方面线索；处置=规划独立契约候选·未批准新增
V7.8：V7.8未检出同名词法声明</x:v>
      </x:c>
      <x:c r="P30" s="136" t="str">
        <x:v>V4.9对象/属性/方法</x:v>
      </x:c>
      <x:c r="Q30"/>
      <x:c r="R30"/>
      <x:c r="S30"/>
    </x:row>
    <x:row r="31" ht="72" customHeight="1">
      <x:c r="A31" s="179" t="str">
        <x:v>F10</x:v>
      </x:c>
      <x:c r="B31" s="180" t="str">
        <x:v>信号与采样｜离散采样与时频
Signal Processing</x:v>
      </x:c>
      <x:c r="C31" s="180" t="str">
        <x:v>FSPFftOps</x:v>
      </x:c>
      <x:c r="D31" s="179" t="str">
        <x:v>增构候选·待查重</x:v>
      </x:c>
      <x:c r="E31" s="180" t="str">
        <x:v>提供无状态快速傅里叶变换运算，不持有会话/设备/全局缓存</x:v>
      </x:c>
      <x:c r="F31" s="180" t="str">
        <x:v>Real；Imaginary</x:v>
      </x:c>
      <x:c r="G31" s="180" t="str">
        <x:v>Forward；Inverse</x:v>
      </x:c>
      <x:c r="H31" s="180" t="str">
        <x:v>待逐对象核实</x:v>
      </x:c>
      <x:c r="I31" s="180" t="str">
        <x:v>FftOps</x:v>
      </x:c>
      <x:c r="J31" s="179" t="str">
        <x:v>静态类</x:v>
      </x:c>
      <x:c r="K31" s="180" t="str">
        <x:v>生命周期：基础值/纯计算</x:v>
      </x:c>
      <x:c r="L31" s="183" t="str">
        <x:v>设计候选，尚待源码验证</x:v>
      </x:c>
      <x:c r="M31" s="183" t="str">
        <x:v>F10.FftOps</x:v>
      </x:c>
      <x:c r="N31" s="184" t="str">
        <x:v>05_基础对象与基础计算!C100</x:v>
      </x:c>
      <x:c r="O31" s="183" t="str">
        <x:v>V4.9对象/属性/方法
V2.01：名称/子方面线索；处置=规划独立契约候选·未批准新增
V7.8：V7.8未检出同名词法声明</x:v>
      </x:c>
      <x:c r="P31" s="136" t="str">
        <x:v>V4.9对象/属性/方法</x:v>
      </x:c>
      <x:c r="Q31"/>
      <x:c r="R31"/>
      <x:c r="S31"/>
    </x:row>
    <x:row r="32" ht="72" customHeight="1">
      <x:c r="A32" s="179" t="str">
        <x:v>F10</x:v>
      </x:c>
      <x:c r="B32" s="180" t="str">
        <x:v>信号与采样｜离散采样与时频
Signal Processing</x:v>
      </x:c>
      <x:c r="C32" s="180" t="str">
        <x:v>FSPFilterKernel</x:v>
      </x:c>
      <x:c r="D32" s="179" t="str">
        <x:v>增构候选·待查重</x:v>
      </x:c>
      <x:c r="E32" s="180" t="str">
        <x:v>表达和承载滤波核的基础数据或计算参数</x:v>
      </x:c>
      <x:c r="F32" s="180" t="str">
        <x:v>Weights；Anchor</x:v>
      </x:c>
      <x:c r="G32" s="180" t="str">
        <x:v>Normalize</x:v>
      </x:c>
      <x:c r="H32" s="180" t="str">
        <x:v>待逐对象核实</x:v>
      </x:c>
      <x:c r="I32" s="180" t="str">
        <x:v>FilterKernel</x:v>
      </x:c>
      <x:c r="J32" s="179" t="str">
        <x:v>值类型候选</x:v>
      </x:c>
      <x:c r="K32" s="180" t="str">
        <x:v>生命周期：基础数据/值对象</x:v>
      </x:c>
      <x:c r="L32" s="183" t="str">
        <x:v>设计候选，尚待源码验证</x:v>
      </x:c>
      <x:c r="M32" s="183" t="str">
        <x:v>F10.FilterKernel</x:v>
      </x:c>
      <x:c r="N32" s="184" t="str">
        <x:v>05_基础对象与基础计算!C101</x:v>
      </x:c>
      <x:c r="O32" s="183" t="str">
        <x:v>V4.9对象/属性/方法
V2.01：名称/子方面线索；处置=规划独立契约候选·未批准新增
V7.8：V7.8未检出同名词法声明</x:v>
      </x:c>
      <x:c r="P32" s="136" t="str">
        <x:v>V4.9对象/属性/方法</x:v>
      </x:c>
      <x:c r="Q32"/>
      <x:c r="R32"/>
      <x:c r="S32"/>
    </x:row>
    <x:row r="33" ht="72" customHeight="1">
      <x:c r="A33" s="179" t="str">
        <x:v>F10</x:v>
      </x:c>
      <x:c r="B33" s="180" t="str">
        <x:v>信号与采样｜离散采样与时频
Signal Processing</x:v>
      </x:c>
      <x:c r="C33" s="180" t="str">
        <x:v>FSPPeakDetectionOps</x:v>
      </x:c>
      <x:c r="D33" s="179" t="str">
        <x:v>增构候选·待查重</x:v>
      </x:c>
      <x:c r="E33" s="180" t="str">
        <x:v>提供无状态峰值检测运算，不持有会话/设备/全局缓存</x:v>
      </x:c>
      <x:c r="F33" s="180" t="str">
        <x:v>Signal；Threshold</x:v>
      </x:c>
      <x:c r="G33" s="180" t="str">
        <x:v>FindPeaks</x:v>
      </x:c>
      <x:c r="H33" s="180" t="str">
        <x:v>待逐对象核实</x:v>
      </x:c>
      <x:c r="I33" s="180" t="str">
        <x:v>PeakDetectionOps</x:v>
      </x:c>
      <x:c r="J33" s="179" t="str">
        <x:v>静态类</x:v>
      </x:c>
      <x:c r="K33" s="180" t="str">
        <x:v>生命周期：基础值/纯计算</x:v>
      </x:c>
      <x:c r="L33" s="183" t="str">
        <x:v>设计候选，尚待源码验证</x:v>
      </x:c>
      <x:c r="M33" s="183" t="str">
        <x:v>F10.PeakDetectionOps</x:v>
      </x:c>
      <x:c r="N33" s="184" t="str">
        <x:v>05_基础对象与基础计算!C102</x:v>
      </x:c>
      <x:c r="O33" s="183" t="str">
        <x:v>V4.9对象/属性/方法
V2.01：名称/子方面线索；处置=规划独立契约候选·未批准新增
V7.8：V7.8未检出同名词法声明</x:v>
      </x:c>
      <x:c r="P33" s="136" t="str">
        <x:v>V4.9对象/属性/方法</x:v>
      </x:c>
      <x:c r="Q33"/>
      <x:c r="R33"/>
      <x:c r="S33"/>
    </x:row>
    <x:row r="34" ht="72" customHeight="1">
      <x:c r="A34" s="179" t="str">
        <x:v>F10</x:v>
      </x:c>
      <x:c r="B34" s="180" t="str">
        <x:v>信号与采样｜离散采样与时频
Signal Processing</x:v>
      </x:c>
      <x:c r="C34" s="180" t="str">
        <x:v>FSPResamplingOps</x:v>
      </x:c>
      <x:c r="D34" s="179" t="str">
        <x:v>增构候选·待查重</x:v>
      </x:c>
      <x:c r="E34" s="180" t="str">
        <x:v>提供无状态信号重采样运算，不持有会话/设备/全局缓存</x:v>
      </x:c>
      <x:c r="F34" s="180" t="str">
        <x:v>SourceRate；TargetRate</x:v>
      </x:c>
      <x:c r="G34" s="180" t="str">
        <x:v>Resample</x:v>
      </x:c>
      <x:c r="H34" s="180" t="str">
        <x:v>待逐对象核实</x:v>
      </x:c>
      <x:c r="I34" s="180" t="str">
        <x:v>ResamplingOps</x:v>
      </x:c>
      <x:c r="J34" s="179" t="str">
        <x:v>静态类</x:v>
      </x:c>
      <x:c r="K34" s="180" t="str">
        <x:v>生命周期：基础值/纯计算</x:v>
      </x:c>
      <x:c r="L34" s="183" t="str">
        <x:v>设计候选，尚待源码验证</x:v>
      </x:c>
      <x:c r="M34" s="183" t="str">
        <x:v>F10.ResamplingOps</x:v>
      </x:c>
      <x:c r="N34" s="184" t="str">
        <x:v>05_基础对象与基础计算!C103</x:v>
      </x:c>
      <x:c r="O34" s="183" t="str">
        <x:v>V4.9对象/属性/方法
V2.01：名称/子方面线索；处置=规划独立契约候选·未批准新增
V7.8：V7.8未检出同名词法声明</x:v>
      </x:c>
      <x:c r="P34" s="136" t="str">
        <x:v>V4.9对象/属性/方法</x:v>
      </x:c>
      <x:c r="Q34"/>
      <x:c r="R34"/>
      <x:c r="S34"/>
    </x:row>
    <x:row r="35" ht="72" customHeight="1">
      <x:c r="A35" s="179" t="str">
        <x:v>F10</x:v>
      </x:c>
      <x:c r="B35" s="180" t="str">
        <x:v>信号与采样｜离散采样与时频
Signal Processing</x:v>
      </x:c>
      <x:c r="C35" s="180" t="str">
        <x:v>FSPSampleSeries</x:v>
      </x:c>
      <x:c r="D35" s="179" t="str">
        <x:v>增构候选·待查重</x:v>
      </x:c>
      <x:c r="E35" s="180" t="str">
        <x:v>表达和承载采样序列的基础数据或计算参数</x:v>
      </x:c>
      <x:c r="F35" s="180" t="str">
        <x:v>Samples；Rate；Unit</x:v>
      </x:c>
      <x:c r="G35" s="180" t="str">
        <x:v>Window；Resample</x:v>
      </x:c>
      <x:c r="H35" s="180" t="str">
        <x:v>待逐对象核实</x:v>
      </x:c>
      <x:c r="I35" s="180" t="str">
        <x:v>SampleSeries</x:v>
      </x:c>
      <x:c r="J35" s="179" t="str">
        <x:v>类/实例候选</x:v>
      </x:c>
      <x:c r="K35" s="180" t="str">
        <x:v>生命周期：基础数据/值对象</x:v>
      </x:c>
      <x:c r="L35" s="183" t="str">
        <x:v>设计候选，尚待源码验证</x:v>
      </x:c>
      <x:c r="M35" s="183" t="str">
        <x:v>F10.SampleSeries</x:v>
      </x:c>
      <x:c r="N35" s="184" t="str">
        <x:v>05_基础对象与基础计算!C104</x:v>
      </x:c>
      <x:c r="O35" s="183" t="str">
        <x:v>V4.9对象/属性/方法
V2.01：名称/子方面线索；处置=规划独立契约候选·未批准新增
V7.8：V7.8未检出同名词法声明</x:v>
      </x:c>
      <x:c r="P35" s="136" t="str">
        <x:v>V4.9对象/属性/方法</x:v>
      </x:c>
      <x:c r="Q35"/>
      <x:c r="R35"/>
      <x:c r="S35"/>
    </x:row>
    <x:row r="36" ht="72" customHeight="1">
      <x:c r="A36" s="179" t="str">
        <x:v>F10</x:v>
      </x:c>
      <x:c r="B36" s="180" t="str">
        <x:v>信号与采样｜离散采样与时频
Signal Processing</x:v>
      </x:c>
      <x:c r="C36" s="180" t="str">
        <x:v>FSPSignalChannelData</x:v>
      </x:c>
      <x:c r="D36" s="179" t="str">
        <x:v>增构候选·待查重</x:v>
      </x:c>
      <x:c r="E36" s="180" t="str">
        <x:v>表达和承载信号通道数据的基础数据或计算参数</x:v>
      </x:c>
      <x:c r="F36" s="180" t="str">
        <x:v>ChannelId；Samples；Timebase</x:v>
      </x:c>
      <x:c r="G36" s="180" t="str">
        <x:v>Segment</x:v>
      </x:c>
      <x:c r="H36" s="180" t="str">
        <x:v>待逐对象核实</x:v>
      </x:c>
      <x:c r="I36" s="180" t="str">
        <x:v>SignalChannelData</x:v>
      </x:c>
      <x:c r="J36" s="179" t="str">
        <x:v>类/实例候选</x:v>
      </x:c>
      <x:c r="K36" s="180" t="str">
        <x:v>生命周期：基础数据/值对象</x:v>
      </x:c>
      <x:c r="L36" s="183" t="str">
        <x:v>设计候选，尚待源码验证</x:v>
      </x:c>
      <x:c r="M36" s="183" t="str">
        <x:v>F10.SignalChannelData</x:v>
      </x:c>
      <x:c r="N36" s="184" t="str">
        <x:v>05_基础对象与基础计算!C105</x:v>
      </x:c>
      <x:c r="O36" s="183" t="str">
        <x:v>V4.9对象/属性/方法
V2.01：名称/子方面线索；处置=规划独立契约候选·未批准新增
V7.8：V7.8未检出同名词法声明</x:v>
      </x:c>
      <x:c r="P36" s="136" t="str">
        <x:v>V4.9对象/属性/方法</x:v>
      </x:c>
      <x:c r="Q36"/>
      <x:c r="R36"/>
      <x:c r="S36"/>
    </x:row>
    <x:row r="37" ht="72" customHeight="1">
      <x:c r="A37" s="179" t="str">
        <x:v>F10</x:v>
      </x:c>
      <x:c r="B37" s="180" t="str">
        <x:v>信号与采样｜离散采样与时频
Signal Processing</x:v>
      </x:c>
      <x:c r="C37" s="180" t="str">
        <x:v>FSPSignalFilteringOps</x:v>
      </x:c>
      <x:c r="D37" s="179" t="str">
        <x:v>增构候选·待查重</x:v>
      </x:c>
      <x:c r="E37" s="180" t="str">
        <x:v>提供无状态数字信号滤波运算，不持有会话/设备/全局缓存</x:v>
      </x:c>
      <x:c r="F37" s="180" t="str">
        <x:v>Coefficients；Samples</x:v>
      </x:c>
      <x:c r="G37" s="180" t="str">
        <x:v>LowPass；HighPass</x:v>
      </x:c>
      <x:c r="H37" s="180" t="str">
        <x:v>待逐对象核实</x:v>
      </x:c>
      <x:c r="I37" s="180" t="str">
        <x:v>SignalFilteringOps</x:v>
      </x:c>
      <x:c r="J37" s="179" t="str">
        <x:v>静态类</x:v>
      </x:c>
      <x:c r="K37" s="180" t="str">
        <x:v>生命周期：基础值/纯计算</x:v>
      </x:c>
      <x:c r="L37" s="183" t="str">
        <x:v>设计候选，尚待源码验证</x:v>
      </x:c>
      <x:c r="M37" s="183" t="str">
        <x:v>F10.SignalFilteringOps</x:v>
      </x:c>
      <x:c r="N37" s="184" t="str">
        <x:v>05_基础对象与基础计算!C106</x:v>
      </x:c>
      <x:c r="O37" s="183" t="str">
        <x:v>V4.9对象/属性/方法
V2.01：名称/子方面线索；处置=规划独立契约候选·未批准新增
V7.8：V7.8未检出同名词法声明</x:v>
      </x:c>
      <x:c r="P37" s="136" t="str">
        <x:v>V4.9对象/属性/方法</x:v>
      </x:c>
      <x:c r="Q37"/>
      <x:c r="R37"/>
      <x:c r="S37"/>
    </x:row>
    <x:row r="38" ht="72" customHeight="1">
      <x:c r="A38" s="179" t="str">
        <x:v>F10</x:v>
      </x:c>
      <x:c r="B38" s="180" t="str">
        <x:v>信号与采样｜离散采样与时频
Signal Processing</x:v>
      </x:c>
      <x:c r="C38" s="180" t="str">
        <x:v>FSPSpectrumData</x:v>
      </x:c>
      <x:c r="D38" s="179" t="str">
        <x:v>增构候选·待查重</x:v>
      </x:c>
      <x:c r="E38" s="180" t="str">
        <x:v>表达和承载频谱数据的基础数据或计算参数</x:v>
      </x:c>
      <x:c r="F38" s="180" t="str">
        <x:v>Bins；Window；Scale</x:v>
      </x:c>
      <x:c r="G38" s="180" t="str">
        <x:v>Peak</x:v>
      </x:c>
      <x:c r="H38" s="180" t="str">
        <x:v>待逐对象核实</x:v>
      </x:c>
      <x:c r="I38" s="180" t="str">
        <x:v>SpectrumData</x:v>
      </x:c>
      <x:c r="J38" s="179" t="str">
        <x:v>值类型候选</x:v>
      </x:c>
      <x:c r="K38" s="180" t="str">
        <x:v>生命周期：基础数据/值对象</x:v>
      </x:c>
      <x:c r="L38" s="183" t="str">
        <x:v>设计候选，尚待源码验证</x:v>
      </x:c>
      <x:c r="M38" s="183" t="str">
        <x:v>F10.SpectrumData</x:v>
      </x:c>
      <x:c r="N38" s="184" t="str">
        <x:v>05_基础对象与基础计算!C107</x:v>
      </x:c>
      <x:c r="O38" s="183" t="str">
        <x:v>V4.9对象/属性/方法
V2.01：名称/子方面线索；处置=规划独立契约候选·未批准新增
V7.8：V7.8未检出同名词法声明</x:v>
      </x:c>
      <x:c r="P38" s="136" t="str">
        <x:v>V4.9对象/属性/方法</x:v>
      </x:c>
      <x:c r="Q38"/>
      <x:c r="R38"/>
      <x:c r="S38"/>
    </x:row>
    <x:row r="39" ht="72" customHeight="1">
      <x:c r="A39" s="179" t="str">
        <x:v>F10</x:v>
      </x:c>
      <x:c r="B39" s="180" t="str">
        <x:v>信号与采样｜离散采样与时频
Signal Processing</x:v>
      </x:c>
      <x:c r="C39" s="180" t="str">
        <x:v>FSPWaveletOps</x:v>
      </x:c>
      <x:c r="D39" s="179" t="str">
        <x:v>增构候选·待查重</x:v>
      </x:c>
      <x:c r="E39" s="180" t="str">
        <x:v>提供无状态小波分解运算，不持有会话/设备/全局缓存</x:v>
      </x:c>
      <x:c r="F39" s="180" t="str">
        <x:v>Signal；Family</x:v>
      </x:c>
      <x:c r="G39" s="180" t="str">
        <x:v>Decompose；Reconstruct</x:v>
      </x:c>
      <x:c r="H39" s="180" t="str">
        <x:v>待逐对象核实</x:v>
      </x:c>
      <x:c r="I39" s="180" t="str">
        <x:v>WaveletOps</x:v>
      </x:c>
      <x:c r="J39" s="179" t="str">
        <x:v>静态类</x:v>
      </x:c>
      <x:c r="K39" s="180" t="str">
        <x:v>生命周期：基础值/纯计算</x:v>
      </x:c>
      <x:c r="L39" s="183" t="str">
        <x:v>设计候选，尚待源码验证</x:v>
      </x:c>
      <x:c r="M39" s="183" t="str">
        <x:v>F10.WaveletOps</x:v>
      </x:c>
      <x:c r="N39" s="184" t="str">
        <x:v>05_基础对象与基础计算!C108</x:v>
      </x:c>
      <x:c r="O39" s="183" t="str">
        <x:v>V4.9对象/属性/方法
V2.01：名称/子方面线索；处置=规划独立契约候选·未批准新增
V7.8：V7.8未检出同名词法声明</x:v>
      </x:c>
      <x:c r="P39" s="136" t="str">
        <x:v>V4.9对象/属性/方法</x:v>
      </x:c>
      <x:c r="Q39"/>
      <x:c r="R39"/>
      <x:c r="S39"/>
    </x:row>
    <x:row r="40" ht="72" customHeight="1">
      <x:c r="A40" s="179" t="str">
        <x:v>F10</x:v>
      </x:c>
      <x:c r="B40" s="180" t="str">
        <x:v>信号与采样｜离散采样与时频
Signal Processing</x:v>
      </x:c>
      <x:c r="C40" s="180" t="str">
        <x:v>FSPWindowFunctions</x:v>
      </x:c>
      <x:c r="D40" s="179" t="str">
        <x:v>增构候选·待查重</x:v>
      </x:c>
      <x:c r="E40" s="180" t="str">
        <x:v>提供无状态窗函数工具运算，不持有会话/设备/全局缓存</x:v>
      </x:c>
      <x:c r="F40" s="180" t="str">
        <x:v>Size；WindowType</x:v>
      </x:c>
      <x:c r="G40" s="180" t="str">
        <x:v>Hann；Hamming；Blackman</x:v>
      </x:c>
      <x:c r="H40" s="180" t="str">
        <x:v>待逐对象核实</x:v>
      </x:c>
      <x:c r="I40" s="180" t="str">
        <x:v>WindowFunctions</x:v>
      </x:c>
      <x:c r="J40" s="179" t="str">
        <x:v>静态类</x:v>
      </x:c>
      <x:c r="K40" s="180" t="str">
        <x:v>生命周期：基础值/纯计算</x:v>
      </x:c>
      <x:c r="L40" s="183" t="str">
        <x:v>设计候选，尚待源码验证</x:v>
      </x:c>
      <x:c r="M40" s="183" t="str">
        <x:v>F10.WindowFunctions</x:v>
      </x:c>
      <x:c r="N40" s="184" t="str">
        <x:v>05_基础对象与基础计算!C109</x:v>
      </x:c>
      <x:c r="O40" s="183" t="str">
        <x:v>V4.9对象/属性/方法
V2.01：名称/子方面线索；处置=规划独立契约候选·未批准新增
V7.8：V7.8未检出同名词法声明</x:v>
      </x:c>
      <x:c r="P40" s="136" t="str">
        <x:v>V4.9对象/属性/方法</x:v>
      </x:c>
      <x:c r="Q40"/>
      <x:c r="R40"/>
      <x:c r="S40"/>
    </x:row>
    <x:row r="41" ht="72" customHeight="1">
      <x:c r="A41" s="179" t="str">
        <x:v>F13</x:v>
      </x:c>
      <x:c r="B41" s="180" t="str">
        <x:v>AI张量与数值｜张量类型与运算
Tensor Operations</x:v>
      </x:c>
      <x:c r="C41" s="180" t="str">
        <x:v>FTOQuantizationOps</x:v>
      </x:c>
      <x:c r="D41" s="179" t="str">
        <x:v>增构候选·待查重</x:v>
      </x:c>
      <x:c r="E41" s="180" t="str">
        <x:v>提供无状态量化变换运算，不持有会话/设备/全局缓存</x:v>
      </x:c>
      <x:c r="F41" s="180" t="str">
        <x:v>Scale；ZeroPoint</x:v>
      </x:c>
      <x:c r="G41" s="180" t="str">
        <x:v>Quantize；Dequantize</x:v>
      </x:c>
      <x:c r="H41" s="180" t="str">
        <x:v>待逐对象核实</x:v>
      </x:c>
      <x:c r="I41" s="180" t="str">
        <x:v>QuantizationOps</x:v>
      </x:c>
      <x:c r="J41" s="179" t="str">
        <x:v>静态类</x:v>
      </x:c>
      <x:c r="K41" s="180" t="str">
        <x:v>生命周期：基础值/纯计算</x:v>
      </x:c>
      <x:c r="L41" s="183" t="str">
        <x:v>设计候选，尚待源码验证</x:v>
      </x:c>
      <x:c r="M41" s="183" t="str">
        <x:v>F13.QuantizationOps</x:v>
      </x:c>
      <x:c r="N41" s="184" t="str">
        <x:v>05_基础对象与基础计算!C137</x:v>
      </x:c>
      <x:c r="O41" s="183" t="str">
        <x:v>V4.9对象/属性/方法
V2.01：名称/子方面线索；处置=规划独立契约候选·未批准新增
V7.8：V7.8未检出同名词法声明</x:v>
      </x:c>
      <x:c r="P41" s="136" t="str">
        <x:v>V4.9对象/属性/方法</x:v>
      </x:c>
      <x:c r="Q41"/>
      <x:c r="R41"/>
      <x:c r="S41"/>
    </x:row>
    <x:row r="42" ht="72" customHeight="1">
      <x:c r="A42" s="179" t="str">
        <x:v>F13</x:v>
      </x:c>
      <x:c r="B42" s="180" t="str">
        <x:v>AI张量与数值｜张量类型与运算
Tensor Operations</x:v>
      </x:c>
      <x:c r="C42" s="180" t="str">
        <x:v>FTOTensorDType</x:v>
      </x:c>
      <x:c r="D42" s="179" t="str">
        <x:v>增构候选·待查重</x:v>
      </x:c>
      <x:c r="E42" s="180" t="str">
        <x:v>表达和承载张量数据类型的基础数据或计算参数</x:v>
      </x:c>
      <x:c r="F42" s="180" t="str">
        <x:v>ElementType；Quantization</x:v>
      </x:c>
      <x:c r="G42" s="180" t="str">
        <x:v>ByteCount</x:v>
      </x:c>
      <x:c r="H42" s="180" t="str">
        <x:v>待逐对象核实</x:v>
      </x:c>
      <x:c r="I42" s="180" t="str">
        <x:v>TensorDType</x:v>
      </x:c>
      <x:c r="J42" s="179" t="str">
        <x:v>值类型候选</x:v>
      </x:c>
      <x:c r="K42" s="180" t="str">
        <x:v>生命周期：基础数据/值对象</x:v>
      </x:c>
      <x:c r="L42" s="183" t="str">
        <x:v>设计候选，尚待源码验证</x:v>
      </x:c>
      <x:c r="M42" s="183" t="str">
        <x:v>F13.TensorDType</x:v>
      </x:c>
      <x:c r="N42" s="184" t="str">
        <x:v>05_基础对象与基础计算!C138</x:v>
      </x:c>
      <x:c r="O42" s="183" t="str">
        <x:v>V4.9对象/属性/方法
V2.01：名称/子方面线索；处置=规划独立契约候选·未批准新增
V7.8：V7.8未检出同名词法声明</x:v>
      </x:c>
      <x:c r="P42" s="136" t="str">
        <x:v>V4.9对象/属性/方法</x:v>
      </x:c>
      <x:c r="Q42"/>
      <x:c r="R42"/>
      <x:c r="S42"/>
    </x:row>
    <x:row r="43" ht="72" customHeight="1">
      <x:c r="A43" s="179" t="str">
        <x:v>F13</x:v>
      </x:c>
      <x:c r="B43" s="180" t="str">
        <x:v>AI张量与数值｜张量类型与运算
Tensor Operations</x:v>
      </x:c>
      <x:c r="C43" s="180" t="str">
        <x:v>FTOTensorIndexOps</x:v>
      </x:c>
      <x:c r="D43" s="179" t="str">
        <x:v>增构候选·待查重</x:v>
      </x:c>
      <x:c r="E43" s="180" t="str">
        <x:v>提供无状态张量索引计算运算，不持有会话/设备/全局缓存</x:v>
      </x:c>
      <x:c r="F43" s="180" t="str">
        <x:v>Indices；Strides</x:v>
      </x:c>
      <x:c r="G43" s="180" t="str">
        <x:v>Flatten；Unflatten</x:v>
      </x:c>
      <x:c r="H43" s="180" t="str">
        <x:v>待逐对象核实</x:v>
      </x:c>
      <x:c r="I43" s="180" t="str">
        <x:v>TensorIndexOps</x:v>
      </x:c>
      <x:c r="J43" s="179" t="str">
        <x:v>静态类</x:v>
      </x:c>
      <x:c r="K43" s="180" t="str">
        <x:v>生命周期：基础值/纯计算</x:v>
      </x:c>
      <x:c r="L43" s="183" t="str">
        <x:v>设计候选，尚待源码验证</x:v>
      </x:c>
      <x:c r="M43" s="183" t="str">
        <x:v>F13.TensorIndexOps</x:v>
      </x:c>
      <x:c r="N43" s="184" t="str">
        <x:v>05_基础对象与基础计算!C139</x:v>
      </x:c>
      <x:c r="O43" s="183" t="str">
        <x:v>V4.9对象/属性/方法
V2.01：名称/子方面线索；处置=规划独立契约候选·未批准新增
V7.8：V7.8未检出同名词法声明</x:v>
      </x:c>
      <x:c r="P43" s="136" t="str">
        <x:v>V4.9对象/属性/方法</x:v>
      </x:c>
      <x:c r="Q43"/>
      <x:c r="R43"/>
      <x:c r="S43"/>
    </x:row>
    <x:row r="44" ht="72" customHeight="1">
      <x:c r="A44" s="179" t="str">
        <x:v>F13</x:v>
      </x:c>
      <x:c r="B44" s="180" t="str">
        <x:v>AI张量与数值｜张量类型与运算
Tensor Operations</x:v>
      </x:c>
      <x:c r="C44" s="180" t="str">
        <x:v>FTOTensorLayout</x:v>
      </x:c>
      <x:c r="D44" s="179" t="str">
        <x:v>增构候选·待查重</x:v>
      </x:c>
      <x:c r="E44" s="180" t="str">
        <x:v>表达和承载张量内存布局的基础数据或计算参数</x:v>
      </x:c>
      <x:c r="F44" s="180" t="str">
        <x:v>Order；Strides</x:v>
      </x:c>
      <x:c r="G44" s="180" t="str">
        <x:v>Offset</x:v>
      </x:c>
      <x:c r="H44" s="180" t="str">
        <x:v>待逐对象核实</x:v>
      </x:c>
      <x:c r="I44" s="180" t="str">
        <x:v>TensorLayout</x:v>
      </x:c>
      <x:c r="J44" s="179" t="str">
        <x:v>值类型候选</x:v>
      </x:c>
      <x:c r="K44" s="180" t="str">
        <x:v>生命周期：基础数据/值对象</x:v>
      </x:c>
      <x:c r="L44" s="183" t="str">
        <x:v>设计候选，尚待源码验证</x:v>
      </x:c>
      <x:c r="M44" s="183" t="str">
        <x:v>F13.TensorLayout</x:v>
      </x:c>
      <x:c r="N44" s="184" t="str">
        <x:v>05_基础对象与基础计算!C140</x:v>
      </x:c>
      <x:c r="O44" s="183" t="str">
        <x:v>V4.9对象/属性/方法
V2.01：名称/子方面线索；处置=规划独立契约候选·未批准新增
V7.8：V7.8未检出同名词法声明</x:v>
      </x:c>
      <x:c r="P44" s="136" t="str">
        <x:v>V4.9对象/属性/方法</x:v>
      </x:c>
      <x:c r="Q44"/>
      <x:c r="R44"/>
      <x:c r="S44"/>
    </x:row>
    <x:row r="45" ht="72" customHeight="1">
      <x:c r="A45" s="179" t="str">
        <x:v>F13</x:v>
      </x:c>
      <x:c r="B45" s="180" t="str">
        <x:v>AI张量与数值｜张量类型与运算
Tensor Operations</x:v>
      </x:c>
      <x:c r="C45" s="180" t="str">
        <x:v>FTOTensorMathOps</x:v>
      </x:c>
      <x:c r="D45" s="179" t="str">
        <x:v>增构候选·待查重</x:v>
      </x:c>
      <x:c r="E45" s="180" t="str">
        <x:v>提供无状态张量基础运算运算，不持有会话/设备/全局缓存</x:v>
      </x:c>
      <x:c r="F45" s="180" t="str">
        <x:v>Shape；DType</x:v>
      </x:c>
      <x:c r="G45" s="180" t="str">
        <x:v>Add；MatMul；Reduce</x:v>
      </x:c>
      <x:c r="H45" s="180" t="str">
        <x:v>待逐对象核实</x:v>
      </x:c>
      <x:c r="I45" s="180" t="str">
        <x:v>TensorMathOps</x:v>
      </x:c>
      <x:c r="J45" s="179" t="str">
        <x:v>静态类</x:v>
      </x:c>
      <x:c r="K45" s="180" t="str">
        <x:v>生命周期：基础值/纯计算</x:v>
      </x:c>
      <x:c r="L45" s="183" t="str">
        <x:v>设计候选，尚待源码验证</x:v>
      </x:c>
      <x:c r="M45" s="183" t="str">
        <x:v>F13.TensorMathOps</x:v>
      </x:c>
      <x:c r="N45" s="184" t="str">
        <x:v>05_基础对象与基础计算!C141</x:v>
      </x:c>
      <x:c r="O45" s="183" t="str">
        <x:v>V4.9对象/属性/方法
V2.01：名称/子方面线索；处置=规划独立契约候选·未批准新增
V7.8：V7.8未检出同名词法声明</x:v>
      </x:c>
      <x:c r="P45" s="136" t="str">
        <x:v>V4.9对象/属性/方法</x:v>
      </x:c>
      <x:c r="Q45"/>
      <x:c r="R45"/>
      <x:c r="S45"/>
    </x:row>
    <x:row r="46" ht="72" customHeight="1">
      <x:c r="A46" s="179" t="str">
        <x:v>F13</x:v>
      </x:c>
      <x:c r="B46" s="180" t="str">
        <x:v>AI张量与数值｜张量类型与运算
Tensor Operations</x:v>
      </x:c>
      <x:c r="C46" s="180" t="str">
        <x:v>FTOTensorNormalizationOps</x:v>
      </x:c>
      <x:c r="D46" s="179" t="str">
        <x:v>增构候选·待查重</x:v>
      </x:c>
      <x:c r="E46" s="180" t="str">
        <x:v>提供无状态张量归一化运算，不持有会话/设备/全局缓存</x:v>
      </x:c>
      <x:c r="F46" s="180" t="str">
        <x:v>Mean；Std</x:v>
      </x:c>
      <x:c r="G46" s="180" t="str">
        <x:v>Normalize；Denormalize</x:v>
      </x:c>
      <x:c r="H46" s="180" t="str">
        <x:v>待逐对象核实</x:v>
      </x:c>
      <x:c r="I46" s="180" t="str">
        <x:v>TensorNormalizationOps</x:v>
      </x:c>
      <x:c r="J46" s="179" t="str">
        <x:v>静态类</x:v>
      </x:c>
      <x:c r="K46" s="180" t="str">
        <x:v>生命周期：基础值/纯计算</x:v>
      </x:c>
      <x:c r="L46" s="183" t="str">
        <x:v>设计候选，尚待源码验证</x:v>
      </x:c>
      <x:c r="M46" s="183" t="str">
        <x:v>F13.TensorNormalizationOps</x:v>
      </x:c>
      <x:c r="N46" s="184" t="str">
        <x:v>05_基础对象与基础计算!C142</x:v>
      </x:c>
      <x:c r="O46" s="183" t="str">
        <x:v>V4.9对象/属性/方法
V2.01：名称/子方面线索；处置=规划独立契约候选·未批准新增
V7.8：V7.8未检出同名词法声明</x:v>
      </x:c>
      <x:c r="P46" s="136" t="str">
        <x:v>V4.9对象/属性/方法</x:v>
      </x:c>
      <x:c r="Q46"/>
      <x:c r="R46"/>
      <x:c r="S46"/>
    </x:row>
    <x:row r="47" ht="72" customHeight="1">
      <x:c r="A47" s="179" t="str">
        <x:v>F13</x:v>
      </x:c>
      <x:c r="B47" s="180" t="str">
        <x:v>AI张量与数值｜张量类型与运算
Tensor Operations</x:v>
      </x:c>
      <x:c r="C47" s="180" t="str">
        <x:v>FTOTensorShape</x:v>
      </x:c>
      <x:c r="D47" s="179" t="str">
        <x:v>增构候选·待查重</x:v>
      </x:c>
      <x:c r="E47" s="180" t="str">
        <x:v>表达和承载张量形状的基础数据或计算参数</x:v>
      </x:c>
      <x:c r="F47" s="180" t="str">
        <x:v>Dimensions；Rank</x:v>
      </x:c>
      <x:c r="G47" s="180" t="str">
        <x:v>Broadcast；Reshape</x:v>
      </x:c>
      <x:c r="H47" s="180" t="str">
        <x:v>待逐对象核实</x:v>
      </x:c>
      <x:c r="I47" s="180" t="str">
        <x:v>TensorShape</x:v>
      </x:c>
      <x:c r="J47" s="179" t="str">
        <x:v>值类型候选</x:v>
      </x:c>
      <x:c r="K47" s="180" t="str">
        <x:v>生命周期：基础数据/值对象</x:v>
      </x:c>
      <x:c r="L47" s="183" t="str">
        <x:v>设计候选，尚待源码验证</x:v>
      </x:c>
      <x:c r="M47" s="183" t="str">
        <x:v>F13.TensorShape</x:v>
      </x:c>
      <x:c r="N47" s="184" t="str">
        <x:v>05_基础对象与基础计算!C143</x:v>
      </x:c>
      <x:c r="O47" s="183" t="str">
        <x:v>V4.9对象/属性/方法
V2.01：名称/子方面线索；处置=规划独立契约候选·未批准新增
V7.8：V7.8未检出同名词法声明</x:v>
      </x:c>
      <x:c r="P47" s="136" t="str">
        <x:v>V4.9对象/属性/方法</x:v>
      </x:c>
      <x:c r="Q47"/>
      <x:c r="R47"/>
      <x:c r="S47"/>
    </x:row>
    <x:row r="48" ht="72" customHeight="1">
      <x:c r="A48" s="179" t="str">
        <x:v>F13</x:v>
      </x:c>
      <x:c r="B48" s="180" t="str">
        <x:v>AI张量与数值｜张量类型与运算
Tensor Operations</x:v>
      </x:c>
      <x:c r="C48" s="180" t="str">
        <x:v>FTOTensorView</x:v>
      </x:c>
      <x:c r="D48" s="179" t="str">
        <x:v>增构候选·待查重</x:v>
      </x:c>
      <x:c r="E48" s="180" t="str">
        <x:v>表达和承载张量视图的基础数据或计算参数</x:v>
      </x:c>
      <x:c r="F48" s="180" t="str">
        <x:v>Buffer；Shape；Strides</x:v>
      </x:c>
      <x:c r="G48" s="180" t="str">
        <x:v>Slice；Transpose</x:v>
      </x:c>
      <x:c r="H48" s="180" t="str">
        <x:v>待逐对象核实</x:v>
      </x:c>
      <x:c r="I48" s="180" t="str">
        <x:v>可释放数据容器</x:v>
      </x:c>
      <x:c r="J48" s="179" t="str">
        <x:v>类/实例候选</x:v>
      </x:c>
      <x:c r="K48" s="180" t="str">
        <x:v>生命周期：基础数据/值对象</x:v>
      </x:c>
      <x:c r="L48" s="183" t="str">
        <x:v>设计候选，尚待源码验证</x:v>
      </x:c>
      <x:c r="M48" s="183" t="str">
        <x:v>F13.TensorView</x:v>
      </x:c>
      <x:c r="N48" s="184"/>
      <x:c r="O48" s="183" t="str">
        <x:v>V4.9对象/属性/方法
V2.01：未匹配V2.01；处置=暂无可信对应
V7.8：V7.8未检出同名词法声明</x:v>
      </x:c>
      <x:c r="P48" s="136" t="str">
        <x:v>V4.9对象/属性/方法</x:v>
      </x:c>
      <x:c r="Q48"/>
      <x:c r="R48"/>
      <x:c r="S48"/>
    </x:row>
    <x:row r="49" ht="72" customHeight="1">
      <x:c r="A49" s="179" t="str">
        <x:v>F13</x:v>
      </x:c>
      <x:c r="B49" s="180" t="str">
        <x:v>AI张量与数值｜张量类型与运算
Tensor Operations</x:v>
      </x:c>
      <x:c r="C49" s="180" t="str">
        <x:v>IFTOTensorView</x:v>
      </x:c>
      <x:c r="D49" s="179" t="str">
        <x:v>增构候选·待查重</x:v>
      </x:c>
      <x:c r="E49" s="180" t="str">
        <x:v>表达和承载张量视图的基础数据或计算参数</x:v>
      </x:c>
      <x:c r="F49" s="180" t="str">
        <x:v>Buffer, Shape, Strides</x:v>
      </x:c>
      <x:c r="G49" s="180" t="str">
        <x:v>Slice(), Transpose()</x:v>
      </x:c>
      <x:c r="H49" s="180" t="str">
        <x:v>—（待核）</x:v>
      </x:c>
      <x:c r="I49" s="180" t="str">
        <x:v>TensorView</x:v>
      </x:c>
      <x:c r="J49" s="179" t="str">
        <x:v>类/接口/枚举（待裁决）</x:v>
      </x:c>
      <x:c r="K49" s="180" t="str">
        <x:v>V1.19 S-0139；原实施方式：增构候选。迁移风险：表达和承载张量视图的基础数据或计算参数</x:v>
      </x:c>
      <x:c r="L49" s="183" t="str">
        <x:v>V1.19设计候选·待核</x:v>
      </x:c>
      <x:c r="M49" s="183" t="str">
        <x:v>S-0139</x:v>
      </x:c>
      <x:c r="N49" s="184" t="str">
        <x:v>05_基础对象与基础计算!C144</x:v>
      </x:c>
      <x:c r="O49" s="183" t="str">
        <x:v>V1.19旧规格候选
V2.01：来源ID对应；处置=规划独立契约候选·未批准新增
V7.8：V7.8未检出同名词法声明</x:v>
      </x:c>
      <x:c r="P49" s="136" t="str">
        <x:v>V1.19旧规格候选</x:v>
      </x:c>
      <x:c r="Q49"/>
      <x:c r="R49"/>
      <x:c r="S49"/>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6:A19"/>
    <x:mergeCell ref="A20:A29"/>
    <x:mergeCell ref="A30:A40"/>
    <x:mergeCell ref="A41:A49"/>
    <x:mergeCell ref="A1:P1"/>
    <x:mergeCell ref="A2:P2"/>
    <x:mergeCell ref="A3:P3"/>
    <x:mergeCell ref="A4:P4"/>
    <x:mergeCell ref="B6:B19"/>
    <x:mergeCell ref="B20:B29"/>
    <x:mergeCell ref="B30:B40"/>
    <x:mergeCell ref="B41:B49"/>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CxVisual.Foundation.Geometry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子方面：F05、F06、F07｜来源：V1.19旧类型 + V4.9对象 + V7.8源码 + V5.0/R3架构裁决｜本项目 44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F05</x:v>
      </x:c>
      <x:c r="B6" s="180" t="str">
        <x:v>几何与空间｜二维几何图元
Planar Geometry</x:v>
      </x:c>
      <x:c r="C6" s="180" t="str">
        <x:v>FPGArc2</x:v>
      </x:c>
      <x:c r="D6" s="179" t="str">
        <x:v>增构候选·待查重</x:v>
      </x:c>
      <x:c r="E6" s="180" t="str">
        <x:v>表达和承载圆弧的基础数据或计算参数</x:v>
      </x:c>
      <x:c r="F6" s="180" t="str">
        <x:v>Center；Radius；Angles</x:v>
      </x:c>
      <x:c r="G6" s="180" t="str">
        <x:v>Evaluate；Length</x:v>
      </x:c>
      <x:c r="H6" s="180" t="str">
        <x:v>待逐对象核实</x:v>
      </x:c>
      <x:c r="I6" s="180" t="str">
        <x:v>Arc2</x:v>
      </x:c>
      <x:c r="J6" s="179" t="str">
        <x:v>值类型候选</x:v>
      </x:c>
      <x:c r="K6" s="180" t="str">
        <x:v>生命周期：基础数据/值对象</x:v>
      </x:c>
      <x:c r="L6" s="183" t="str">
        <x:v>设计候选，尚待源码验证</x:v>
      </x:c>
      <x:c r="M6" s="183" t="str">
        <x:v>F05.Arc2</x:v>
      </x:c>
      <x:c r="N6" s="184" t="str">
        <x:v>05_基础对象与基础计算!C48</x:v>
      </x:c>
      <x:c r="O6" s="183" t="str">
        <x:v>V4.9对象/属性/方法
V2.01：名称/子方面线索；处置=规划独立契约候选·未批准新增
V7.8：V7.8未检出同名词法声明</x:v>
      </x:c>
      <x:c r="P6" s="136" t="str">
        <x:v>V4.9对象/属性/方法</x:v>
      </x:c>
      <x:c r="Q6"/>
      <x:c r="R6"/>
      <x:c r="S6"/>
    </x:row>
    <x:row r="7" ht="72" customHeight="1">
      <x:c r="A7" s="179" t="str">
        <x:v>F05</x:v>
      </x:c>
      <x:c r="B7" s="180" t="str">
        <x:v>几何与空间｜二维几何图元
Planar Geometry</x:v>
      </x:c>
      <x:c r="C7" s="180" t="str">
        <x:v>FPGBezierCurve2</x:v>
      </x:c>
      <x:c r="D7" s="179" t="str">
        <x:v>增构候选·待查重</x:v>
      </x:c>
      <x:c r="E7" s="180" t="str">
        <x:v>表达和承载贝塞尔曲线的基础数据或计算参数</x:v>
      </x:c>
      <x:c r="F7" s="180" t="str">
        <x:v>ControlPoints</x:v>
      </x:c>
      <x:c r="G7" s="180" t="str">
        <x:v>Evaluate；Split</x:v>
      </x:c>
      <x:c r="H7" s="180" t="str">
        <x:v>待逐对象核实</x:v>
      </x:c>
      <x:c r="I7" s="180" t="str">
        <x:v>BezierCurve2</x:v>
      </x:c>
      <x:c r="J7" s="179" t="str">
        <x:v>值类型候选</x:v>
      </x:c>
      <x:c r="K7" s="180" t="str">
        <x:v>生命周期：基础数据/值对象</x:v>
      </x:c>
      <x:c r="L7" s="183" t="str">
        <x:v>设计候选，尚待源码验证</x:v>
      </x:c>
      <x:c r="M7" s="183" t="str">
        <x:v>F05.BezierCurve2</x:v>
      </x:c>
      <x:c r="N7" s="184" t="str">
        <x:v>05_基础对象与基础计算!C49</x:v>
      </x:c>
      <x:c r="O7" s="183" t="str">
        <x:v>V4.9对象/属性/方法
V2.01：名称/子方面线索；处置=规划独立契约候选·未批准新增
V7.8：V7.8未检出同名词法声明</x:v>
      </x:c>
      <x:c r="P7" s="136" t="str">
        <x:v>V4.9对象/属性/方法</x:v>
      </x:c>
      <x:c r="Q7"/>
      <x:c r="R7"/>
      <x:c r="S7"/>
    </x:row>
    <x:row r="8" ht="72" customHeight="1">
      <x:c r="A8" s="179" t="str">
        <x:v>F05</x:v>
      </x:c>
      <x:c r="B8" s="180" t="str">
        <x:v>几何与空间｜二维几何图元
Planar Geometry</x:v>
      </x:c>
      <x:c r="C8" s="180" t="str">
        <x:v>FPGCircle2</x:v>
      </x:c>
      <x:c r="D8" s="179" t="str">
        <x:v>增构候选·待查重</x:v>
      </x:c>
      <x:c r="E8" s="180" t="str">
        <x:v>表达和承载圆的基础数据或计算参数</x:v>
      </x:c>
      <x:c r="F8" s="180" t="str">
        <x:v>Center；Radius</x:v>
      </x:c>
      <x:c r="G8" s="180" t="str">
        <x:v>Contain；Intersect</x:v>
      </x:c>
      <x:c r="H8" s="180" t="str">
        <x:v>待逐对象核实</x:v>
      </x:c>
      <x:c r="I8" s="180" t="str">
        <x:v>Circle2</x:v>
      </x:c>
      <x:c r="J8" s="179" t="str">
        <x:v>值类型候选</x:v>
      </x:c>
      <x:c r="K8" s="180" t="str">
        <x:v>生命周期：基础数据/值对象</x:v>
      </x:c>
      <x:c r="L8" s="183" t="str">
        <x:v>设计候选，尚待源码验证</x:v>
      </x:c>
      <x:c r="M8" s="183" t="str">
        <x:v>F05.Circle2</x:v>
      </x:c>
      <x:c r="N8" s="184" t="str">
        <x:v>05_基础对象与基础计算!C50</x:v>
      </x:c>
      <x:c r="O8" s="183" t="str">
        <x:v>V4.9对象/属性/方法
V2.01：名称/子方面线索；处置=规划独立契约候选·未批准新增
V7.8：V7.8未检出同名词法声明</x:v>
      </x:c>
      <x:c r="P8" s="136" t="str">
        <x:v>V4.9对象/属性/方法</x:v>
      </x:c>
      <x:c r="Q8"/>
      <x:c r="R8"/>
      <x:c r="S8"/>
    </x:row>
    <x:row r="9" ht="72" customHeight="1">
      <x:c r="A9" s="179" t="str">
        <x:v>F05</x:v>
      </x:c>
      <x:c r="B9" s="180" t="str">
        <x:v>几何与空间｜二维几何图元
Planar Geometry</x:v>
      </x:c>
      <x:c r="C9" s="180" t="str">
        <x:v>FPGEllipse2</x:v>
      </x:c>
      <x:c r="D9" s="179" t="str">
        <x:v>增构候选·待查重</x:v>
      </x:c>
      <x:c r="E9" s="180" t="str">
        <x:v>表达和承载椭圆的基础数据或计算参数</x:v>
      </x:c>
      <x:c r="F9" s="180" t="str">
        <x:v>Center；Axes；Angle</x:v>
      </x:c>
      <x:c r="G9" s="180" t="str">
        <x:v>Sample；BoundingBox</x:v>
      </x:c>
      <x:c r="H9" s="180" t="str">
        <x:v>待逐对象核实</x:v>
      </x:c>
      <x:c r="I9" s="180" t="str">
        <x:v>Ellipse2</x:v>
      </x:c>
      <x:c r="J9" s="179" t="str">
        <x:v>值类型候选</x:v>
      </x:c>
      <x:c r="K9" s="180" t="str">
        <x:v>生命周期：基础数据/值对象</x:v>
      </x:c>
      <x:c r="L9" s="183" t="str">
        <x:v>设计候选，尚待源码验证</x:v>
      </x:c>
      <x:c r="M9" s="183" t="str">
        <x:v>F05.Ellipse2</x:v>
      </x:c>
      <x:c r="N9" s="184" t="str">
        <x:v>05_基础对象与基础计算!C51</x:v>
      </x:c>
      <x:c r="O9" s="183" t="str">
        <x:v>V4.9对象/属性/方法
V2.01：名称/子方面线索；处置=规划独立契约候选·未批准新增
V7.8：V7.8未检出同名词法声明</x:v>
      </x:c>
      <x:c r="P9" s="136" t="str">
        <x:v>V4.9对象/属性/方法</x:v>
      </x:c>
      <x:c r="Q9"/>
      <x:c r="R9"/>
      <x:c r="S9"/>
    </x:row>
    <x:row r="10" ht="72" customHeight="1">
      <x:c r="A10" s="179" t="str">
        <x:v>F05</x:v>
      </x:c>
      <x:c r="B10" s="180" t="str">
        <x:v>几何与空间｜二维几何图元
Planar Geometry</x:v>
      </x:c>
      <x:c r="C10" s="180" t="str">
        <x:v>FPGGeometry2DUtil</x:v>
      </x:c>
      <x:c r="D10" s="179" t="str">
        <x:v>增构候选·待查重</x:v>
      </x:c>
      <x:c r="E10" s="180" t="str">
        <x:v>提供无状态二维几何算法运算，不持有会话/设备/全局缓存</x:v>
      </x:c>
      <x:c r="F10" s="180" t="str">
        <x:v>Tolerance</x:v>
      </x:c>
      <x:c r="G10" s="180" t="str">
        <x:v>Clip；Offset；Boolean；public static bool Contains(Point2 point, Polygon2 polygon, BoundaryPolicy boundary)</x:v>
      </x:c>
      <x:c r="H10" s="180" t="str">
        <x:v>待逐对象核实</x:v>
      </x:c>
      <x:c r="I10" s="180" t="str">
        <x:v>Geometry2DUtil</x:v>
      </x:c>
      <x:c r="J10" s="179" t="str">
        <x:v>静态类</x:v>
      </x:c>
      <x:c r="K10" s="180" t="str">
        <x:v>生命周期：基础值/纯计算</x:v>
      </x:c>
      <x:c r="L10" s="183" t="str">
        <x:v>设计候选，尚待源码验证</x:v>
      </x:c>
      <x:c r="M10" s="183" t="str">
        <x:v>F05.Geometry2DUtil</x:v>
      </x:c>
      <x:c r="N10" s="184" t="str">
        <x:v>05_基础对象与基础计算!C52</x:v>
      </x:c>
      <x:c r="O10" s="183" t="str">
        <x:v>V4.9对象/属性/方法
V2.01：名称/子方面线索；处置=规划独立契约候选·未批准新增
V7.8：V7.8未检出同名词法声明</x:v>
      </x:c>
      <x:c r="P10" s="136" t="str">
        <x:v>V4.9对象/属性/方法</x:v>
      </x:c>
      <x:c r="Q10"/>
      <x:c r="R10"/>
      <x:c r="S10"/>
    </x:row>
    <x:row r="11" ht="72" customHeight="1">
      <x:c r="A11" s="179" t="str">
        <x:v>F05</x:v>
      </x:c>
      <x:c r="B11" s="180" t="str">
        <x:v>几何与空间｜二维几何图元
Planar Geometry</x:v>
      </x:c>
      <x:c r="C11" s="180" t="str">
        <x:v>FPGLine2</x:v>
      </x:c>
      <x:c r="D11" s="179" t="str">
        <x:v>增构候选·待查重</x:v>
      </x:c>
      <x:c r="E11" s="180" t="str">
        <x:v>表达和承载二维直线的基础数据或计算参数</x:v>
      </x:c>
      <x:c r="F11" s="180" t="str">
        <x:v>Origin；Direction</x:v>
      </x:c>
      <x:c r="G11" s="180" t="str">
        <x:v>Project；Intersect</x:v>
      </x:c>
      <x:c r="H11" s="180" t="str">
        <x:v>待逐对象核实</x:v>
      </x:c>
      <x:c r="I11" s="180" t="str">
        <x:v>Line2</x:v>
      </x:c>
      <x:c r="J11" s="179" t="str">
        <x:v>值类型候选</x:v>
      </x:c>
      <x:c r="K11" s="180" t="str">
        <x:v>生命周期：基础数据/值对象</x:v>
      </x:c>
      <x:c r="L11" s="183" t="str">
        <x:v>设计候选，尚待源码验证</x:v>
      </x:c>
      <x:c r="M11" s="183" t="str">
        <x:v>F05.Line2</x:v>
      </x:c>
      <x:c r="N11" s="184" t="str">
        <x:v>05_基础对象与基础计算!C53</x:v>
      </x:c>
      <x:c r="O11" s="183" t="str">
        <x:v>V4.9对象/属性/方法
V2.01：名称/子方面线索；处置=规划独立契约候选·未批准新增
V7.8：V7.8未检出同名词法声明</x:v>
      </x:c>
      <x:c r="P11" s="136" t="str">
        <x:v>V4.9对象/属性/方法</x:v>
      </x:c>
      <x:c r="Q11"/>
      <x:c r="R11"/>
      <x:c r="S11"/>
    </x:row>
    <x:row r="12" ht="72" customHeight="1">
      <x:c r="A12" s="179" t="str">
        <x:v>F05</x:v>
      </x:c>
      <x:c r="B12" s="180" t="str">
        <x:v>几何与空间｜二维几何图元
Planar Geometry</x:v>
      </x:c>
      <x:c r="C12" s="180" t="str">
        <x:v>FPGPoint2</x:v>
      </x:c>
      <x:c r="D12" s="179" t="str">
        <x:v>增构候选·待查重</x:v>
      </x:c>
      <x:c r="E12" s="180" t="str">
        <x:v>表达和承载二维点的基础数据或计算参数</x:v>
      </x:c>
      <x:c r="F12" s="180" t="str">
        <x:v>X；Y</x:v>
      </x:c>
      <x:c r="G12" s="180" t="str">
        <x:v>DistanceTo；Transform</x:v>
      </x:c>
      <x:c r="H12" s="180" t="str">
        <x:v>待逐对象核实</x:v>
      </x:c>
      <x:c r="I12" s="180" t="str">
        <x:v>Point2</x:v>
      </x:c>
      <x:c r="J12" s="179" t="str">
        <x:v>值类型候选</x:v>
      </x:c>
      <x:c r="K12" s="180" t="str">
        <x:v>生命周期：基础数据/值对象</x:v>
      </x:c>
      <x:c r="L12" s="183" t="str">
        <x:v>设计候选，尚待源码验证</x:v>
      </x:c>
      <x:c r="M12" s="183" t="str">
        <x:v>F05.Point2</x:v>
      </x:c>
      <x:c r="N12" s="184" t="str">
        <x:v>05_基础对象与基础计算!C54</x:v>
      </x:c>
      <x:c r="O12" s="183" t="str">
        <x:v>V4.9对象/属性/方法
V2.01：名称/子方面线索；处置=规划独立契约候选·未批准新增
V7.8：V7.8未检出同名词法声明</x:v>
      </x:c>
      <x:c r="P12" s="136" t="str">
        <x:v>V4.9对象/属性/方法</x:v>
      </x:c>
      <x:c r="Q12"/>
      <x:c r="R12"/>
      <x:c r="S12"/>
    </x:row>
    <x:row r="13" ht="72" customHeight="1">
      <x:c r="A13" s="179" t="str">
        <x:v>F05</x:v>
      </x:c>
      <x:c r="B13" s="180" t="str">
        <x:v>几何与空间｜二维几何图元
Planar Geometry</x:v>
      </x:c>
      <x:c r="C13" s="180" t="str">
        <x:v>FPGPolygon2</x:v>
      </x:c>
      <x:c r="D13" s="179" t="str">
        <x:v>增构候选·待查重</x:v>
      </x:c>
      <x:c r="E13" s="180" t="str">
        <x:v>表达和承载多边形的基础数据或计算参数</x:v>
      </x:c>
      <x:c r="F13" s="180" t="str">
        <x:v>Ring；Holes</x:v>
      </x:c>
      <x:c r="G13" s="180" t="str">
        <x:v>Contains；Area</x:v>
      </x:c>
      <x:c r="H13" s="180" t="str">
        <x:v>待逐对象核实</x:v>
      </x:c>
      <x:c r="I13" s="180" t="str">
        <x:v>Polygon2</x:v>
      </x:c>
      <x:c r="J13" s="179" t="str">
        <x:v>值类型候选</x:v>
      </x:c>
      <x:c r="K13" s="180" t="str">
        <x:v>生命周期：基础数据/值对象</x:v>
      </x:c>
      <x:c r="L13" s="183" t="str">
        <x:v>设计候选，尚待源码验证</x:v>
      </x:c>
      <x:c r="M13" s="183" t="str">
        <x:v>F05.Polygon2</x:v>
      </x:c>
      <x:c r="N13" s="184" t="str">
        <x:v>05_基础对象与基础计算!C55</x:v>
      </x:c>
      <x:c r="O13" s="183" t="str">
        <x:v>V4.9对象/属性/方法
V2.01：名称/子方面线索；处置=规划独立契约候选·未批准新增
V7.8：V7.8未检出同名词法声明</x:v>
      </x:c>
      <x:c r="P13" s="136" t="str">
        <x:v>V4.9对象/属性/方法</x:v>
      </x:c>
      <x:c r="Q13"/>
      <x:c r="R13"/>
      <x:c r="S13"/>
    </x:row>
    <x:row r="14" ht="72" customHeight="1">
      <x:c r="A14" s="179" t="str">
        <x:v>F05</x:v>
      </x:c>
      <x:c r="B14" s="180" t="str">
        <x:v>几何与空间｜二维几何图元
Planar Geometry</x:v>
      </x:c>
      <x:c r="C14" s="180" t="str">
        <x:v>FPGPolyline2</x:v>
      </x:c>
      <x:c r="D14" s="179" t="str">
        <x:v>增构候选·待查重</x:v>
      </x:c>
      <x:c r="E14" s="180" t="str">
        <x:v>表达和承载二维折线的基础数据或计算参数</x:v>
      </x:c>
      <x:c r="F14" s="180" t="str">
        <x:v>Vertices</x:v>
      </x:c>
      <x:c r="G14" s="180" t="str">
        <x:v>IsClosed；Length</x:v>
      </x:c>
      <x:c r="H14" s="180" t="str">
        <x:v>待逐对象核实</x:v>
      </x:c>
      <x:c r="I14" s="180" t="str">
        <x:v>Polyline2</x:v>
      </x:c>
      <x:c r="J14" s="179" t="str">
        <x:v>值类型候选</x:v>
      </x:c>
      <x:c r="K14" s="180" t="str">
        <x:v>生命周期：基础数据/值对象</x:v>
      </x:c>
      <x:c r="L14" s="183" t="str">
        <x:v>设计候选，尚待源码验证</x:v>
      </x:c>
      <x:c r="M14" s="183" t="str">
        <x:v>F05.Polyline2</x:v>
      </x:c>
      <x:c r="N14" s="184" t="str">
        <x:v>05_基础对象与基础计算!C56</x:v>
      </x:c>
      <x:c r="O14" s="183" t="str">
        <x:v>V4.9对象/属性/方法
V2.01：名称/子方面线索；处置=规划独立契约候选·未批准新增
V7.8：V7.8未检出同名词法声明</x:v>
      </x:c>
      <x:c r="P14" s="136" t="str">
        <x:v>V4.9对象/属性/方法</x:v>
      </x:c>
      <x:c r="Q14"/>
      <x:c r="R14"/>
      <x:c r="S14"/>
    </x:row>
    <x:row r="15" ht="72" customHeight="1">
      <x:c r="A15" s="179" t="str">
        <x:v>F05</x:v>
      </x:c>
      <x:c r="B15" s="180" t="str">
        <x:v>几何与空间｜二维几何图元
Planar Geometry</x:v>
      </x:c>
      <x:c r="C15" s="180" t="str">
        <x:v>FPGRay2</x:v>
      </x:c>
      <x:c r="D15" s="179" t="str">
        <x:v>增构候选·待查重</x:v>
      </x:c>
      <x:c r="E15" s="180" t="str">
        <x:v>表达和承载二维射线的基础数据或计算参数</x:v>
      </x:c>
      <x:c r="F15" s="180" t="str">
        <x:v>Origin；Direction</x:v>
      </x:c>
      <x:c r="G15" s="180" t="str">
        <x:v>Intersect</x:v>
      </x:c>
      <x:c r="H15" s="180" t="str">
        <x:v>待逐对象核实</x:v>
      </x:c>
      <x:c r="I15" s="180" t="str">
        <x:v>Ray2</x:v>
      </x:c>
      <x:c r="J15" s="179" t="str">
        <x:v>值类型候选</x:v>
      </x:c>
      <x:c r="K15" s="180" t="str">
        <x:v>生命周期：基础数据/值对象</x:v>
      </x:c>
      <x:c r="L15" s="183" t="str">
        <x:v>设计候选，尚待源码验证</x:v>
      </x:c>
      <x:c r="M15" s="183" t="str">
        <x:v>F05.Ray2</x:v>
      </x:c>
      <x:c r="N15" s="184" t="str">
        <x:v>05_基础对象与基础计算!C57</x:v>
      </x:c>
      <x:c r="O15" s="183" t="str">
        <x:v>V4.9对象/属性/方法
V2.01：名称/子方面线索；处置=规划独立契约候选·未批准新增
V7.8：V7.8未检出同名词法声明</x:v>
      </x:c>
      <x:c r="P15" s="136" t="str">
        <x:v>V4.9对象/属性/方法</x:v>
      </x:c>
      <x:c r="Q15"/>
      <x:c r="R15"/>
      <x:c r="S15"/>
    </x:row>
    <x:row r="16" ht="72" customHeight="1">
      <x:c r="A16" s="179" t="str">
        <x:v>F05</x:v>
      </x:c>
      <x:c r="B16" s="180" t="str">
        <x:v>几何与空间｜二维几何图元
Planar Geometry</x:v>
      </x:c>
      <x:c r="C16" s="180" t="str">
        <x:v>FPGRect2</x:v>
      </x:c>
      <x:c r="D16" s="179" t="str">
        <x:v>增构候选·待查重</x:v>
      </x:c>
      <x:c r="E16" s="180" t="str">
        <x:v>表达和承载矩形的基础数据或计算参数</x:v>
      </x:c>
      <x:c r="F16" s="180" t="str">
        <x:v>Origin；Size</x:v>
      </x:c>
      <x:c r="G16" s="180" t="str">
        <x:v>Intersect；Contains</x:v>
      </x:c>
      <x:c r="H16" s="180" t="str">
        <x:v>待逐对象核实</x:v>
      </x:c>
      <x:c r="I16" s="180" t="str">
        <x:v>Rect2</x:v>
      </x:c>
      <x:c r="J16" s="179" t="str">
        <x:v>值类型候选</x:v>
      </x:c>
      <x:c r="K16" s="180" t="str">
        <x:v>生命周期：基础数据/值对象</x:v>
      </x:c>
      <x:c r="L16" s="183" t="str">
        <x:v>设计候选，尚待源码验证</x:v>
      </x:c>
      <x:c r="M16" s="183" t="str">
        <x:v>F05.Rect2</x:v>
      </x:c>
      <x:c r="N16" s="184" t="str">
        <x:v>05_基础对象与基础计算!C58</x:v>
      </x:c>
      <x:c r="O16" s="183" t="str">
        <x:v>V4.9对象/属性/方法
V2.01：名称/子方面线索；处置=规划独立契约候选·未批准新增
V7.8：V7.8未检出同名词法声明</x:v>
      </x:c>
      <x:c r="P16" s="136" t="str">
        <x:v>V4.9对象/属性/方法</x:v>
      </x:c>
      <x:c r="Q16"/>
      <x:c r="R16"/>
      <x:c r="S16"/>
    </x:row>
    <x:row r="17" ht="72" customHeight="1">
      <x:c r="A17" s="179" t="str">
        <x:v>F05</x:v>
      </x:c>
      <x:c r="B17" s="180" t="str">
        <x:v>几何与空间｜二维几何图元
Planar Geometry</x:v>
      </x:c>
      <x:c r="C17" s="180" t="str">
        <x:v>FPGSegment2</x:v>
      </x:c>
      <x:c r="D17" s="179" t="str">
        <x:v>增构候选·待查重</x:v>
      </x:c>
      <x:c r="E17" s="180" t="str">
        <x:v>表达和承载二维线段的基础数据或计算参数</x:v>
      </x:c>
      <x:c r="F17" s="180" t="str">
        <x:v>Start；End</x:v>
      </x:c>
      <x:c r="G17" s="180" t="str">
        <x:v>Length；Intersect</x:v>
      </x:c>
      <x:c r="H17" s="180" t="str">
        <x:v>待逐对象核实</x:v>
      </x:c>
      <x:c r="I17" s="180" t="str">
        <x:v>Segment2</x:v>
      </x:c>
      <x:c r="J17" s="179" t="str">
        <x:v>值类型候选</x:v>
      </x:c>
      <x:c r="K17" s="180" t="str">
        <x:v>生命周期：基础数据/值对象</x:v>
      </x:c>
      <x:c r="L17" s="183" t="str">
        <x:v>设计候选，尚待源码验证</x:v>
      </x:c>
      <x:c r="M17" s="183" t="str">
        <x:v>F05.Segment2</x:v>
      </x:c>
      <x:c r="N17" s="184" t="str">
        <x:v>05_基础对象与基础计算!C59</x:v>
      </x:c>
      <x:c r="O17" s="183" t="str">
        <x:v>V4.9对象/属性/方法
V2.01：名称/子方面线索；处置=规划独立契约候选·未批准新增
V7.8：V7.8未检出同名词法声明</x:v>
      </x:c>
      <x:c r="P17" s="136" t="str">
        <x:v>V4.9对象/属性/方法</x:v>
      </x:c>
      <x:c r="Q17"/>
      <x:c r="R17"/>
      <x:c r="S17"/>
    </x:row>
    <x:row r="18" ht="72" customHeight="1">
      <x:c r="A18" s="179" t="str">
        <x:v>F06</x:v>
      </x:c>
      <x:c r="B18" s="180" t="str">
        <x:v>几何与空间｜三维几何图元
Spatial Geometry</x:v>
      </x:c>
      <x:c r="C18" s="180" t="str">
        <x:v>FSGAabb3</x:v>
      </x:c>
      <x:c r="D18" s="179" t="str">
        <x:v>增构候选·待查重</x:v>
      </x:c>
      <x:c r="E18" s="180" t="str">
        <x:v>表达和承载轴对齐包围盒的基础数据或计算参数</x:v>
      </x:c>
      <x:c r="F18" s="180" t="str">
        <x:v>Min；Max</x:v>
      </x:c>
      <x:c r="G18" s="180" t="str">
        <x:v>Intersect；Union</x:v>
      </x:c>
      <x:c r="H18" s="180" t="str">
        <x:v>待逐对象核实</x:v>
      </x:c>
      <x:c r="I18" s="180" t="str">
        <x:v>Aabb3</x:v>
      </x:c>
      <x:c r="J18" s="179" t="str">
        <x:v>值类型候选</x:v>
      </x:c>
      <x:c r="K18" s="180" t="str">
        <x:v>生命周期：基础数据/值对象</x:v>
      </x:c>
      <x:c r="L18" s="183" t="str">
        <x:v>设计候选，尚待源码验证</x:v>
      </x:c>
      <x:c r="M18" s="183" t="str">
        <x:v>F06.Aabb3</x:v>
      </x:c>
      <x:c r="N18" s="184" t="str">
        <x:v>05_基础对象与基础计算!C60</x:v>
      </x:c>
      <x:c r="O18" s="183" t="str">
        <x:v>V4.9对象/属性/方法
V2.01：名称/子方面线索；处置=规划独立契约候选·未批准新增
V7.8：V7.8未检出同名词法声明</x:v>
      </x:c>
      <x:c r="P18" s="136" t="str">
        <x:v>V4.9对象/属性/方法</x:v>
      </x:c>
      <x:c r="Q18"/>
      <x:c r="R18"/>
      <x:c r="S18"/>
    </x:row>
    <x:row r="19" ht="72" customHeight="1">
      <x:c r="A19" s="179" t="str">
        <x:v>F06</x:v>
      </x:c>
      <x:c r="B19" s="180" t="str">
        <x:v>几何与空间｜三维几何图元
Spatial Geometry</x:v>
      </x:c>
      <x:c r="C19" s="180" t="str">
        <x:v>FSGCone3</x:v>
      </x:c>
      <x:c r="D19" s="179" t="str">
        <x:v>增构候选·待查重</x:v>
      </x:c>
      <x:c r="E19" s="180" t="str">
        <x:v>表达和承载圆锥的基础数据或计算参数</x:v>
      </x:c>
      <x:c r="F19" s="180" t="str">
        <x:v>Origin；Axis；Angle</x:v>
      </x:c>
      <x:c r="G19" s="180" t="str">
        <x:v>Contain</x:v>
      </x:c>
      <x:c r="H19" s="180" t="str">
        <x:v>待逐对象核实</x:v>
      </x:c>
      <x:c r="I19" s="180" t="str">
        <x:v>Cone3</x:v>
      </x:c>
      <x:c r="J19" s="179" t="str">
        <x:v>值类型候选</x:v>
      </x:c>
      <x:c r="K19" s="180" t="str">
        <x:v>生命周期：基础数据/值对象</x:v>
      </x:c>
      <x:c r="L19" s="183" t="str">
        <x:v>设计候选，尚待源码验证</x:v>
      </x:c>
      <x:c r="M19" s="183" t="str">
        <x:v>F06.Cone3</x:v>
      </x:c>
      <x:c r="N19" s="184" t="str">
        <x:v>05_基础对象与基础计算!C61</x:v>
      </x:c>
      <x:c r="O19" s="183" t="str">
        <x:v>V4.9对象/属性/方法
V2.01：名称/子方面线索；处置=规划独立契约候选·未批准新增
V7.8：V7.8未检出同名词法声明</x:v>
      </x:c>
      <x:c r="P19" s="136" t="str">
        <x:v>V4.9对象/属性/方法</x:v>
      </x:c>
      <x:c r="Q19"/>
      <x:c r="R19"/>
      <x:c r="S19"/>
    </x:row>
    <x:row r="20" ht="72" customHeight="1">
      <x:c r="A20" s="179" t="str">
        <x:v>F06</x:v>
      </x:c>
      <x:c r="B20" s="180" t="str">
        <x:v>几何与空间｜三维几何图元
Spatial Geometry</x:v>
      </x:c>
      <x:c r="C20" s="180" t="str">
        <x:v>FSGCylinder3</x:v>
      </x:c>
      <x:c r="D20" s="179" t="str">
        <x:v>增构候选·待查重</x:v>
      </x:c>
      <x:c r="E20" s="180" t="str">
        <x:v>表达和承载圆柱的基础数据或计算参数</x:v>
      </x:c>
      <x:c r="F20" s="180" t="str">
        <x:v>Axis；Radius；Height</x:v>
      </x:c>
      <x:c r="G20" s="180" t="str">
        <x:v>SurfaceDistance</x:v>
      </x:c>
      <x:c r="H20" s="180" t="str">
        <x:v>待逐对象核实</x:v>
      </x:c>
      <x:c r="I20" s="180" t="str">
        <x:v>Cylinder3</x:v>
      </x:c>
      <x:c r="J20" s="179" t="str">
        <x:v>值类型候选</x:v>
      </x:c>
      <x:c r="K20" s="180" t="str">
        <x:v>生命周期：基础数据/值对象</x:v>
      </x:c>
      <x:c r="L20" s="183" t="str">
        <x:v>设计候选，尚待源码验证</x:v>
      </x:c>
      <x:c r="M20" s="183" t="str">
        <x:v>F06.Cylinder3</x:v>
      </x:c>
      <x:c r="N20" s="184" t="str">
        <x:v>05_基础对象与基础计算!C62</x:v>
      </x:c>
      <x:c r="O20" s="183" t="str">
        <x:v>V4.9对象/属性/方法
V2.01：名称/子方面线索；处置=规划独立契约候选·未批准新增
V7.8：V7.8未检出同名词法声明</x:v>
      </x:c>
      <x:c r="P20" s="136" t="str">
        <x:v>V4.9对象/属性/方法</x:v>
      </x:c>
      <x:c r="Q20"/>
      <x:c r="R20"/>
      <x:c r="S20"/>
    </x:row>
    <x:row r="21" ht="72" customHeight="1">
      <x:c r="A21" s="179" t="str">
        <x:v>F06</x:v>
      </x:c>
      <x:c r="B21" s="180" t="str">
        <x:v>几何与空间｜三维几何图元
Spatial Geometry</x:v>
      </x:c>
      <x:c r="C21" s="180" t="str">
        <x:v>FSGGeometry3DUtil</x:v>
      </x:c>
      <x:c r="D21" s="179" t="str">
        <x:v>增构候选·待查重</x:v>
      </x:c>
      <x:c r="E21" s="180" t="str">
        <x:v>提供无状态三维几何算法运算，不持有会话/设备/全局缓存</x:v>
      </x:c>
      <x:c r="F21" s="180" t="str">
        <x:v>Tolerance</x:v>
      </x:c>
      <x:c r="G21" s="180" t="str">
        <x:v>Intersection；Projection；Distance</x:v>
      </x:c>
      <x:c r="H21" s="180" t="str">
        <x:v>待逐对象核实</x:v>
      </x:c>
      <x:c r="I21" s="180" t="str">
        <x:v>Geometry3DUtil</x:v>
      </x:c>
      <x:c r="J21" s="179" t="str">
        <x:v>静态类</x:v>
      </x:c>
      <x:c r="K21" s="180" t="str">
        <x:v>生命周期：基础值/纯计算</x:v>
      </x:c>
      <x:c r="L21" s="183" t="str">
        <x:v>设计候选，尚待源码验证</x:v>
      </x:c>
      <x:c r="M21" s="183" t="str">
        <x:v>F06.Geometry3DUtil</x:v>
      </x:c>
      <x:c r="N21" s="184" t="str">
        <x:v>05_基础对象与基础计算!C63</x:v>
      </x:c>
      <x:c r="O21" s="183" t="str">
        <x:v>V4.9对象/属性/方法
V2.01：名称/子方面线索；处置=规划独立契约候选·未批准新增
V7.8：V7.8未检出同名词法声明</x:v>
      </x:c>
      <x:c r="P21" s="136" t="str">
        <x:v>V4.9对象/属性/方法</x:v>
      </x:c>
      <x:c r="Q21"/>
      <x:c r="R21"/>
      <x:c r="S21"/>
    </x:row>
    <x:row r="22" ht="72" customHeight="1">
      <x:c r="A22" s="179" t="str">
        <x:v>F06</x:v>
      </x:c>
      <x:c r="B22" s="180" t="str">
        <x:v>几何与空间｜三维几何图元
Spatial Geometry</x:v>
      </x:c>
      <x:c r="C22" s="180" t="str">
        <x:v>FSGLine3</x:v>
      </x:c>
      <x:c r="D22" s="179" t="str">
        <x:v>增构候选·待查重</x:v>
      </x:c>
      <x:c r="E22" s="180" t="str">
        <x:v>表达和承载三维直线的基础数据或计算参数</x:v>
      </x:c>
      <x:c r="F22" s="180" t="str">
        <x:v>Origin；Direction</x:v>
      </x:c>
      <x:c r="G22" s="180" t="str">
        <x:v>Project；Distance</x:v>
      </x:c>
      <x:c r="H22" s="180" t="str">
        <x:v>待逐对象核实</x:v>
      </x:c>
      <x:c r="I22" s="180" t="str">
        <x:v>Line3</x:v>
      </x:c>
      <x:c r="J22" s="179" t="str">
        <x:v>值类型候选</x:v>
      </x:c>
      <x:c r="K22" s="180" t="str">
        <x:v>生命周期：基础数据/值对象</x:v>
      </x:c>
      <x:c r="L22" s="183" t="str">
        <x:v>设计候选，尚待源码验证</x:v>
      </x:c>
      <x:c r="M22" s="183" t="str">
        <x:v>F06.Line3</x:v>
      </x:c>
      <x:c r="N22" s="184" t="str">
        <x:v>05_基础对象与基础计算!C64</x:v>
      </x:c>
      <x:c r="O22" s="183" t="str">
        <x:v>V4.9对象/属性/方法
V2.01：名称/子方面线索；处置=规划独立契约候选·未批准新增
V7.8：V7.8未检出同名词法声明</x:v>
      </x:c>
      <x:c r="P22" s="136" t="str">
        <x:v>V4.9对象/属性/方法</x:v>
      </x:c>
      <x:c r="Q22"/>
      <x:c r="R22"/>
      <x:c r="S22"/>
    </x:row>
    <x:row r="23" ht="72" customHeight="1">
      <x:c r="A23" s="179" t="str">
        <x:v>F06</x:v>
      </x:c>
      <x:c r="B23" s="180" t="str">
        <x:v>几何与空间｜三维几何图元
Spatial Geometry</x:v>
      </x:c>
      <x:c r="C23" s="180" t="str">
        <x:v>FSGMeshTopology</x:v>
      </x:c>
      <x:c r="D23" s="179" t="str">
        <x:v>增构候选·待查重</x:v>
      </x:c>
      <x:c r="E23" s="180" t="str">
        <x:v>表达和承载网格拓扑的基础数据或计算参数</x:v>
      </x:c>
      <x:c r="F23" s="180" t="str">
        <x:v>Vertices；Faces；Edges</x:v>
      </x:c>
      <x:c r="G23" s="180" t="str">
        <x:v>Validate；Adjacency</x:v>
      </x:c>
      <x:c r="H23" s="180" t="str">
        <x:v>待逐对象核实</x:v>
      </x:c>
      <x:c r="I23" s="180" t="str">
        <x:v>MeshTopology</x:v>
      </x:c>
      <x:c r="J23" s="179" t="str">
        <x:v>值类型候选</x:v>
      </x:c>
      <x:c r="K23" s="180" t="str">
        <x:v>生命周期：基础数据/值对象</x:v>
      </x:c>
      <x:c r="L23" s="183" t="str">
        <x:v>设计候选，尚待源码验证</x:v>
      </x:c>
      <x:c r="M23" s="183" t="str">
        <x:v>F06.MeshTopology</x:v>
      </x:c>
      <x:c r="N23" s="184" t="str">
        <x:v>05_基础对象与基础计算!C65</x:v>
      </x:c>
      <x:c r="O23" s="183" t="str">
        <x:v>V4.9对象/属性/方法
V2.01：名称/子方面线索；处置=规划独立契约候选·未批准新增
V7.8：V7.8未检出同名词法声明</x:v>
      </x:c>
      <x:c r="P23" s="136" t="str">
        <x:v>V4.9对象/属性/方法</x:v>
      </x:c>
      <x:c r="Q23"/>
      <x:c r="R23"/>
      <x:c r="S23"/>
    </x:row>
    <x:row r="24" ht="72" customHeight="1">
      <x:c r="A24" s="179" t="str">
        <x:v>F06</x:v>
      </x:c>
      <x:c r="B24" s="180" t="str">
        <x:v>几何与空间｜三维几何图元
Spatial Geometry</x:v>
      </x:c>
      <x:c r="C24" s="180" t="str">
        <x:v>FSGObb3</x:v>
      </x:c>
      <x:c r="D24" s="179" t="str">
        <x:v>增构候选·待查重</x:v>
      </x:c>
      <x:c r="E24" s="180" t="str">
        <x:v>表达和承载有向包围盒的基础数据或计算参数</x:v>
      </x:c>
      <x:c r="F24" s="180" t="str">
        <x:v>Frame；Extent</x:v>
      </x:c>
      <x:c r="G24" s="180" t="str">
        <x:v>Contains；Intersect</x:v>
      </x:c>
      <x:c r="H24" s="180" t="str">
        <x:v>待逐对象核实</x:v>
      </x:c>
      <x:c r="I24" s="180" t="str">
        <x:v>Obb3</x:v>
      </x:c>
      <x:c r="J24" s="179" t="str">
        <x:v>值类型候选</x:v>
      </x:c>
      <x:c r="K24" s="180" t="str">
        <x:v>生命周期：基础数据/值对象</x:v>
      </x:c>
      <x:c r="L24" s="183" t="str">
        <x:v>设计候选，尚待源码验证</x:v>
      </x:c>
      <x:c r="M24" s="183" t="str">
        <x:v>F06.Obb3</x:v>
      </x:c>
      <x:c r="N24" s="184" t="str">
        <x:v>05_基础对象与基础计算!C66</x:v>
      </x:c>
      <x:c r="O24" s="183" t="str">
        <x:v>V4.9对象/属性/方法
V2.01：名称/子方面线索；处置=规划独立契约候选·未批准新增
V7.8：V7.8未检出同名词法声明</x:v>
      </x:c>
      <x:c r="P24" s="136" t="str">
        <x:v>V4.9对象/属性/方法</x:v>
      </x:c>
      <x:c r="Q24"/>
      <x:c r="R24"/>
      <x:c r="S24"/>
    </x:row>
    <x:row r="25" ht="72" customHeight="1">
      <x:c r="A25" s="179" t="str">
        <x:v>F06</x:v>
      </x:c>
      <x:c r="B25" s="180" t="str">
        <x:v>几何与空间｜三维几何图元
Spatial Geometry</x:v>
      </x:c>
      <x:c r="C25" s="180" t="str">
        <x:v>FSGPlane3</x:v>
      </x:c>
      <x:c r="D25" s="179" t="str">
        <x:v>增构候选·待查重</x:v>
      </x:c>
      <x:c r="E25" s="180" t="str">
        <x:v>表达和承载空间平面的基础数据或计算参数</x:v>
      </x:c>
      <x:c r="F25" s="180" t="str">
        <x:v>Normal；Offset</x:v>
      </x:c>
      <x:c r="G25" s="180" t="str">
        <x:v>Project；Intersect</x:v>
      </x:c>
      <x:c r="H25" s="180" t="str">
        <x:v>待逐对象核实</x:v>
      </x:c>
      <x:c r="I25" s="180" t="str">
        <x:v>Plane3</x:v>
      </x:c>
      <x:c r="J25" s="179" t="str">
        <x:v>值类型候选</x:v>
      </x:c>
      <x:c r="K25" s="180" t="str">
        <x:v>生命周期：基础数据/值对象</x:v>
      </x:c>
      <x:c r="L25" s="183" t="str">
        <x:v>设计候选，尚待源码验证</x:v>
      </x:c>
      <x:c r="M25" s="183" t="str">
        <x:v>F06.Plane3</x:v>
      </x:c>
      <x:c r="N25" s="184" t="str">
        <x:v>05_基础对象与基础计算!C67</x:v>
      </x:c>
      <x:c r="O25" s="183" t="str">
        <x:v>V4.9对象/属性/方法
V2.01：名称/子方面线索；处置=规划独立契约候选·未批准新增
V7.8：V7.8未检出同名词法声明</x:v>
      </x:c>
      <x:c r="P25" s="136" t="str">
        <x:v>V4.9对象/属性/方法</x:v>
      </x:c>
      <x:c r="Q25"/>
      <x:c r="R25"/>
      <x:c r="S25"/>
    </x:row>
    <x:row r="26" ht="72" customHeight="1">
      <x:c r="A26" s="179" t="str">
        <x:v>F06</x:v>
      </x:c>
      <x:c r="B26" s="180" t="str">
        <x:v>几何与空间｜三维几何图元
Spatial Geometry</x:v>
      </x:c>
      <x:c r="C26" s="180" t="str">
        <x:v>FSGPoint3</x:v>
      </x:c>
      <x:c r="D26" s="179" t="str">
        <x:v>增构候选·待查重</x:v>
      </x:c>
      <x:c r="E26" s="180" t="str">
        <x:v>表达和承载三维点的基础数据或计算参数</x:v>
      </x:c>
      <x:c r="F26" s="180" t="str">
        <x:v>X；Y；Z</x:v>
      </x:c>
      <x:c r="G26" s="180" t="str">
        <x:v>DistanceTo；Transform</x:v>
      </x:c>
      <x:c r="H26" s="180" t="str">
        <x:v>待逐对象核实</x:v>
      </x:c>
      <x:c r="I26" s="180" t="str">
        <x:v>Point3</x:v>
      </x:c>
      <x:c r="J26" s="179" t="str">
        <x:v>值类型候选</x:v>
      </x:c>
      <x:c r="K26" s="180" t="str">
        <x:v>生命周期：基础数据/值对象</x:v>
      </x:c>
      <x:c r="L26" s="183" t="str">
        <x:v>设计候选，尚待源码验证</x:v>
      </x:c>
      <x:c r="M26" s="183" t="str">
        <x:v>F06.Point3</x:v>
      </x:c>
      <x:c r="N26" s="184" t="str">
        <x:v>05_基础对象与基础计算!C68</x:v>
      </x:c>
      <x:c r="O26" s="183" t="str">
        <x:v>V4.9对象/属性/方法
V2.01：名称/子方面线索；处置=规划独立契约候选·未批准新增
V7.8：V7.8未检出同名词法声明</x:v>
      </x:c>
      <x:c r="P26" s="136" t="str">
        <x:v>V4.9对象/属性/方法</x:v>
      </x:c>
      <x:c r="Q26"/>
      <x:c r="R26"/>
      <x:c r="S26"/>
    </x:row>
    <x:row r="27" ht="72" customHeight="1">
      <x:c r="A27" s="179" t="str">
        <x:v>F06</x:v>
      </x:c>
      <x:c r="B27" s="180" t="str">
        <x:v>几何与空间｜三维几何图元
Spatial Geometry</x:v>
      </x:c>
      <x:c r="C27" s="180" t="str">
        <x:v>FSGPointSet3</x:v>
      </x:c>
      <x:c r="D27" s="179" t="str">
        <x:v>增构候选·待查重</x:v>
      </x:c>
      <x:c r="E27" s="180" t="str">
        <x:v>表达和承载三维点集合的基础数据或计算参数</x:v>
      </x:c>
      <x:c r="F27" s="180" t="str">
        <x:v>Points</x:v>
      </x:c>
      <x:c r="G27" s="180" t="str">
        <x:v>Centroid；Bounds</x:v>
      </x:c>
      <x:c r="H27" s="180" t="str">
        <x:v>待逐对象核实</x:v>
      </x:c>
      <x:c r="I27" s="180" t="str">
        <x:v>PointSet3</x:v>
      </x:c>
      <x:c r="J27" s="179" t="str">
        <x:v>类/实例候选</x:v>
      </x:c>
      <x:c r="K27" s="180" t="str">
        <x:v>生命周期：基础数据/值对象</x:v>
      </x:c>
      <x:c r="L27" s="183" t="str">
        <x:v>设计候选，尚待源码验证</x:v>
      </x:c>
      <x:c r="M27" s="183" t="str">
        <x:v>F06.PointSet3</x:v>
      </x:c>
      <x:c r="N27" s="184" t="str">
        <x:v>05_基础对象与基础计算!C69</x:v>
      </x:c>
      <x:c r="O27" s="183" t="str">
        <x:v>V4.9对象/属性/方法
V2.01：名称/子方面线索；处置=规划独立契约候选·未批准新增
V7.8：V7.8未检出同名词法声明</x:v>
      </x:c>
      <x:c r="P27" s="136" t="str">
        <x:v>V4.9对象/属性/方法</x:v>
      </x:c>
      <x:c r="Q27"/>
      <x:c r="R27"/>
      <x:c r="S27"/>
    </x:row>
    <x:row r="28" ht="72" customHeight="1">
      <x:c r="A28" s="179" t="str">
        <x:v>F06</x:v>
      </x:c>
      <x:c r="B28" s="180" t="str">
        <x:v>几何与空间｜三维几何图元
Spatial Geometry</x:v>
      </x:c>
      <x:c r="C28" s="180" t="str">
        <x:v>FSGSphere3</x:v>
      </x:c>
      <x:c r="D28" s="179" t="str">
        <x:v>增构候选·待查重</x:v>
      </x:c>
      <x:c r="E28" s="180" t="str">
        <x:v>表达和承载球体的基础数据或计算参数</x:v>
      </x:c>
      <x:c r="F28" s="180" t="str">
        <x:v>Center；Radius</x:v>
      </x:c>
      <x:c r="G28" s="180" t="str">
        <x:v>Contains；Intersect</x:v>
      </x:c>
      <x:c r="H28" s="180" t="str">
        <x:v>待逐对象核实</x:v>
      </x:c>
      <x:c r="I28" s="180" t="str">
        <x:v>Sphere3</x:v>
      </x:c>
      <x:c r="J28" s="179" t="str">
        <x:v>值类型候选</x:v>
      </x:c>
      <x:c r="K28" s="180" t="str">
        <x:v>生命周期：基础数据/值对象</x:v>
      </x:c>
      <x:c r="L28" s="183" t="str">
        <x:v>设计候选，尚待源码验证</x:v>
      </x:c>
      <x:c r="M28" s="183" t="str">
        <x:v>F06.Sphere3</x:v>
      </x:c>
      <x:c r="N28" s="184" t="str">
        <x:v>05_基础对象与基础计算!C70</x:v>
      </x:c>
      <x:c r="O28" s="183" t="str">
        <x:v>V4.9对象/属性/方法
V2.01：名称/子方面线索；处置=规划独立契约候选·未批准新增
V7.8：V7.8未检出同名词法声明</x:v>
      </x:c>
      <x:c r="P28" s="136" t="str">
        <x:v>V4.9对象/属性/方法</x:v>
      </x:c>
      <x:c r="Q28"/>
      <x:c r="R28"/>
      <x:c r="S28"/>
    </x:row>
    <x:row r="29" ht="72" customHeight="1">
      <x:c r="A29" s="179" t="str">
        <x:v>F06</x:v>
      </x:c>
      <x:c r="B29" s="180" t="str">
        <x:v>几何与空间｜三维几何图元
Spatial Geometry</x:v>
      </x:c>
      <x:c r="C29" s="180" t="str">
        <x:v>FSGTriangle3</x:v>
      </x:c>
      <x:c r="D29" s="179" t="str">
        <x:v>增构候选·待查重</x:v>
      </x:c>
      <x:c r="E29" s="180" t="str">
        <x:v>表达和承载三角面片的基础数据或计算参数</x:v>
      </x:c>
      <x:c r="F29" s="180" t="str">
        <x:v>Vertices</x:v>
      </x:c>
      <x:c r="G29" s="180" t="str">
        <x:v>Normal；Area</x:v>
      </x:c>
      <x:c r="H29" s="180" t="str">
        <x:v>待逐对象核实</x:v>
      </x:c>
      <x:c r="I29" s="180" t="str">
        <x:v>Triangle3</x:v>
      </x:c>
      <x:c r="J29" s="179" t="str">
        <x:v>值类型候选</x:v>
      </x:c>
      <x:c r="K29" s="180" t="str">
        <x:v>生命周期：基础数据/值对象</x:v>
      </x:c>
      <x:c r="L29" s="183" t="str">
        <x:v>设计候选，尚待源码验证</x:v>
      </x:c>
      <x:c r="M29" s="183" t="str">
        <x:v>F06.Triangle3</x:v>
      </x:c>
      <x:c r="N29" s="184" t="str">
        <x:v>05_基础对象与基础计算!C71</x:v>
      </x:c>
      <x:c r="O29" s="183" t="str">
        <x:v>V4.9对象/属性/方法
V2.01：名称/子方面线索；处置=规划独立契约候选·未批准新增
V7.8：V7.8未检出同名词法声明</x:v>
      </x:c>
      <x:c r="P29" s="136" t="str">
        <x:v>V4.9对象/属性/方法</x:v>
      </x:c>
      <x:c r="Q29"/>
      <x:c r="R29"/>
      <x:c r="S29"/>
    </x:row>
    <x:row r="30" ht="72" customHeight="1">
      <x:c r="A30" s="179" t="str">
        <x:v>F07</x:v>
      </x:c>
      <x:c r="B30" s="180" t="str">
        <x:v>几何与空间｜坐标框架与空间变换
Coordinate Transform</x:v>
      </x:c>
      <x:c r="C30" s="180" t="str">
        <x:v>FCTBounds2D</x:v>
      </x:c>
      <x:c r="D30" s="179" t="str">
        <x:v>原有·待核</x:v>
      </x:c>
      <x:c r="E30" s="180" t="str">
        <x:v>表示二维轴对齐包围盒、尺寸及边界</x:v>
      </x:c>
      <x:c r="F30" s="180" t="str">
        <x:v>X, Y, Width, Height</x:v>
      </x:c>
      <x:c r="G30" s="180" t="str">
        <x:v>Bounds2D(), Bounds2D(double x, double y, double width, double height), Clone(), Contains(Point2D point)</x:v>
      </x:c>
      <x:c r="H30" s="180" t="str">
        <x:v>—（待核）</x:v>
      </x:c>
      <x:c r="I30" s="180" t="str">
        <x:v>CxVisual.Core.Bounds2D</x:v>
      </x:c>
      <x:c r="J30" s="179" t="str">
        <x:v>类</x:v>
      </x:c>
      <x:c r="K30" s="180" t="str">
        <x:v>V1.19 C-0009；原实施方式：原有。迁移风险：表示二维轴对齐包围盒、尺寸及边界</x:v>
      </x:c>
      <x:c r="L30" s="183" t="str">
        <x:v>源代码声明·待复核</x:v>
      </x:c>
      <x:c r="M30" s="183" t="str">
        <x:v>C-0009</x:v>
      </x:c>
      <x:c r="N30" s="184" t="str">
        <x:v>Platform/Core/Primitives.cs</x:v>
      </x:c>
      <x:c r="O30" s="183" t="str">
        <x:v>V1.19旧源码类型（真实成员/实现仍待核）
V2.01：来源ID对应；处置=保留源码·公开契约复核
V7.8：V7.8同名且源文件对应；Platform/Core/Primitives.cs</x:v>
      </x:c>
      <x:c r="P30" s="136" t="str">
        <x:v>V1.19旧源码类型（真实成员/实现仍待核）</x:v>
      </x:c>
      <x:c r="Q30"/>
      <x:c r="R30"/>
      <x:c r="S30"/>
    </x:row>
    <x:row r="31" ht="72" customHeight="1">
      <x:c r="A31" s="179" t="str">
        <x:v>F07</x:v>
      </x:c>
      <x:c r="B31" s="180" t="str">
        <x:v>几何与空间｜坐标框架与空间变换
Coordinate Transform</x:v>
      </x:c>
      <x:c r="C31" s="180" t="str">
        <x:v>FCTCxGeometry</x:v>
      </x:c>
      <x:c r="D31" s="179" t="str">
        <x:v>原有·待核</x:v>
      </x:c>
      <x:c r="E31" s="180" t="str">
        <x:v>承载二维几何形状及边界等表示，供可视编辑计算使用</x:v>
      </x:c>
      <x:c r="F31" s="180" t="str">
        <x:v>Bounds</x:v>
      </x:c>
      <x:c r="G31" s="180" t="str">
        <x:v>Point2D(point.X, point.Y), CxGeometry(Bounds2D bounds), CxGeometry(IEnumerable&lt;Point2D&gt; points), Transform(CxTransform transform), Clone(), HitTest(Point2D point, double tolerance = 0), DistanceToSegment(Point2D point, Point2D a, Point2D b)</x:v>
      </x:c>
      <x:c r="H31" s="180" t="str">
        <x:v>—（待核）</x:v>
      </x:c>
      <x:c r="I31" s="180" t="str">
        <x:v>CxVisual.Core.CxGeometry</x:v>
      </x:c>
      <x:c r="J31" s="179" t="str">
        <x:v>类</x:v>
      </x:c>
      <x:c r="K31" s="180" t="str">
        <x:v>V1.19 C-0010；原实施方式：原有。迁移风险：承载二维几何形状及边界等表示，供可视编辑计算使用</x:v>
      </x:c>
      <x:c r="L31" s="183" t="str">
        <x:v>源代码声明·待复核</x:v>
      </x:c>
      <x:c r="M31" s="183" t="str">
        <x:v>C-0010</x:v>
      </x:c>
      <x:c r="N31" s="184" t="str">
        <x:v>Platform/Core/CxGeometry.cs</x:v>
      </x:c>
      <x:c r="O31" s="183" t="str">
        <x:v>V1.19旧源码类型（真实成员/实现仍待核）
V2.01：来源ID对应；处置=保留源码·公开契约复核
V7.8：V7.8同名且源文件对应；Platform/Core/CxGeometry.cs</x:v>
      </x:c>
      <x:c r="P31" s="136" t="str">
        <x:v>V1.19旧源码类型（真实成员/实现仍待核）</x:v>
      </x:c>
      <x:c r="Q31"/>
      <x:c r="R31"/>
      <x:c r="S31"/>
    </x:row>
    <x:row r="32" ht="72" customHeight="1">
      <x:c r="A32" s="179" t="str">
        <x:v>F07</x:v>
      </x:c>
      <x:c r="B32" s="180" t="str">
        <x:v>几何与空间｜坐标框架与空间变换
Coordinate Transform</x:v>
      </x:c>
      <x:c r="C32" s="180" t="str">
        <x:v>FCTCxTransform</x:v>
      </x:c>
      <x:c r="D32" s="179" t="str">
        <x:v>原有·待核</x:v>
      </x:c>
      <x:c r="E32" s="180" t="str">
        <x:v>提供二维坐标变换的应用、组合与求逆计算</x:v>
      </x:c>
      <x:c r="F32" s="180" t="str">
        <x:v>TranslateX, TranslateY, ScaleX, ScaleY, Rotation, Pivot, SkewX, SkewY</x:v>
      </x:c>
      <x:c r="G32" s="180" t="str">
        <x:v>doubleMatrix(), Apply(Point2D point), Compose(CxTransform next), Invert(), FromMatrix(doublematrix), FromModel(Bounds2D bounds, TransformModel model), Finite(double value)</x:v>
      </x:c>
      <x:c r="H32" s="180" t="str">
        <x:v>—（待核）</x:v>
      </x:c>
      <x:c r="I32" s="180" t="str">
        <x:v>CxVisual.Core.CxTransform</x:v>
      </x:c>
      <x:c r="J32" s="179" t="str">
        <x:v>类</x:v>
      </x:c>
      <x:c r="K32" s="180" t="str">
        <x:v>V1.19 C-0011；原实施方式：原有。迁移风险：提供二维坐标变换的应用、组合与求逆计算</x:v>
      </x:c>
      <x:c r="L32" s="183" t="str">
        <x:v>源代码声明·待复核</x:v>
      </x:c>
      <x:c r="M32" s="183" t="str">
        <x:v>C-0011</x:v>
      </x:c>
      <x:c r="N32" s="184" t="str">
        <x:v>Platform/Core/CxGeometry.cs</x:v>
      </x:c>
      <x:c r="O32" s="183" t="str">
        <x:v>V1.19旧源码类型（真实成员/实现仍待核）
V2.01：来源ID对应；处置=保留源码·公开契约复核
V7.8：V7.8同名且源文件对应；Platform/Core/CxGeometry.cs</x:v>
      </x:c>
      <x:c r="P32" s="136" t="str">
        <x:v>V1.19旧源码类型（真实成员/实现仍待核）</x:v>
      </x:c>
      <x:c r="Q32"/>
      <x:c r="R32"/>
      <x:c r="S32"/>
    </x:row>
    <x:row r="33" ht="72" customHeight="1">
      <x:c r="A33" s="179" t="str">
        <x:v>F07</x:v>
      </x:c>
      <x:c r="B33" s="180" t="str">
        <x:v>几何与空间｜坐标框架与空间变换
Coordinate Transform</x:v>
      </x:c>
      <x:c r="C33" s="180" t="str">
        <x:v>FCTEntry</x:v>
      </x:c>
      <x:c r="D33" s="179" t="str">
        <x:v>原有·待核</x:v>
      </x:c>
      <x:c r="E33" s="180" t="str">
        <x:v>表达或管理Entry相关的数据及协作职责，具体行为待源码复核〔待核〕</x:v>
      </x:c>
      <x:c r="F33" s="180" t="str">
        <x:v>Element, Bounds</x:v>
      </x:c>
      <x:c r="G33" s="180" t="str">
        <x:v>Entry(ElementModel element, Bounds2D bounds)</x:v>
      </x:c>
      <x:c r="H33" s="180" t="str">
        <x:v>—（待核）</x:v>
      </x:c>
      <x:c r="I33" s="180" t="str">
        <x:v>CxVisual.Core.QuadtreeSpatialIndex.Entry</x:v>
      </x:c>
      <x:c r="J33" s="179" t="str">
        <x:v>类</x:v>
      </x:c>
      <x:c r="K33" s="180" t="str">
        <x:v>V1.19 C-0014；原实施方式：原有。迁移风险：表达或管理Entry相关的数据及协作职责，具体行为待源码复核〔待核〕</x:v>
      </x:c>
      <x:c r="L33" s="183" t="str">
        <x:v>源代码声明·待复核</x:v>
      </x:c>
      <x:c r="M33" s="183" t="str">
        <x:v>C-0014</x:v>
      </x:c>
      <x:c r="N33" s="184" t="str">
        <x:v>Platform/Core/SpatialIndex.cs; Platform/Data/CxStreamHandle.cs; Platform/Simulation/CxSimulationRuntime.cs; Platform/Workbench/Drawing/CxCanvasHost.cs</x:v>
      </x:c>
      <x:c r="O33" s="183" t="str">
        <x:v>V1.19旧源码类型（真实成员/实现仍待核）
V2.01：来源ID对应；处置=保留源码·公开契约复核
V7.8：V7.8同名且源文件对应；Platform/Core/SpatialIndex.cs</x:v>
      </x:c>
      <x:c r="P33" s="136" t="str">
        <x:v>V1.19旧源码类型（真实成员/实现仍待核）</x:v>
      </x:c>
      <x:c r="Q33"/>
      <x:c r="R33"/>
      <x:c r="S33"/>
    </x:row>
    <x:row r="34" ht="72" customHeight="1">
      <x:c r="A34" s="179" t="str">
        <x:v>F07</x:v>
      </x:c>
      <x:c r="B34" s="180" t="str">
        <x:v>几何与空间｜坐标框架与空间变换
Coordinate Transform</x:v>
      </x:c>
      <x:c r="C34" s="180" t="str">
        <x:v>FCTNode</x:v>
      </x:c>
      <x:c r="D34" s="179" t="str">
        <x:v>原有·待核</x:v>
      </x:c>
      <x:c r="E34" s="180" t="str">
        <x:v>表达或管理节点相关的数据及协作职责，具体行为待源码复核〔待核〕</x:v>
      </x:c>
      <x:c r="F34" s="180" t="str">
        <x:v>Bounds, Depth, Items, NodeChildren</x:v>
      </x:c>
      <x:c r="G34" s="180" t="str">
        <x:v>Node(Bounds2D bounds, int depth)</x:v>
      </x:c>
      <x:c r="H34" s="180" t="str">
        <x:v>—（待核）</x:v>
      </x:c>
      <x:c r="I34" s="180" t="str">
        <x:v>CxVisual.Core.QuadtreeSpatialIndex.Node</x:v>
      </x:c>
      <x:c r="J34" s="179" t="str">
        <x:v>类</x:v>
      </x:c>
      <x:c r="K34" s="180" t="str">
        <x:v>V1.19 C-0015；原实施方式：原有。迁移风险：表达或管理节点相关的数据及协作职责，具体行为待源码复核〔待核〕</x:v>
      </x:c>
      <x:c r="L34" s="183" t="str">
        <x:v>源代码声明·待复核</x:v>
      </x:c>
      <x:c r="M34" s="183" t="str">
        <x:v>C-0015</x:v>
      </x:c>
      <x:c r="N34" s="184" t="str">
        <x:v>Platform/Core/SpatialIndex.cs</x:v>
      </x:c>
      <x:c r="O34" s="183" t="str">
        <x:v>V1.19旧源码类型（真实成员/实现仍待核）
V2.01：来源ID对应；处置=保留源码·公开契约复核
V7.8：V7.8同名且源文件对应；Platform/Core/SpatialIndex.cs</x:v>
      </x:c>
      <x:c r="P34" s="136" t="str">
        <x:v>V1.19旧源码类型（真实成员/实现仍待核）</x:v>
      </x:c>
      <x:c r="Q34"/>
      <x:c r="R34"/>
      <x:c r="S34"/>
    </x:row>
    <x:row r="35" ht="72" customHeight="1">
      <x:c r="A35" s="179" t="str">
        <x:v>F07</x:v>
      </x:c>
      <x:c r="B35" s="180" t="str">
        <x:v>几何与空间｜坐标框架与空间变换
Coordinate Transform</x:v>
      </x:c>
      <x:c r="C35" s="180" t="str">
        <x:v>FCTPoint2D</x:v>
      </x:c>
      <x:c r="D35" s="179" t="str">
        <x:v>原有·待核</x:v>
      </x:c>
      <x:c r="E35" s="180" t="str">
        <x:v>表示二维位置坐标</x:v>
      </x:c>
      <x:c r="F35" s="180" t="str">
        <x:v>X, Y</x:v>
      </x:c>
      <x:c r="G35" s="180" t="str">
        <x:v>Point2D(), Point2D(double x, double y)</x:v>
      </x:c>
      <x:c r="H35" s="180" t="str">
        <x:v>—（待核）</x:v>
      </x:c>
      <x:c r="I35" s="180" t="str">
        <x:v>CxVisual.Core.Point2D</x:v>
      </x:c>
      <x:c r="J35" s="179" t="str">
        <x:v>类</x:v>
      </x:c>
      <x:c r="K35" s="180" t="str">
        <x:v>V1.19 C-0012；原实施方式：原有。迁移风险：表示二维位置坐标</x:v>
      </x:c>
      <x:c r="L35" s="183" t="str">
        <x:v>源代码声明·待复核</x:v>
      </x:c>
      <x:c r="M35" s="183" t="str">
        <x:v>C-0012</x:v>
      </x:c>
      <x:c r="N35" s="184" t="str">
        <x:v>Platform/Core/Primitives.cs</x:v>
      </x:c>
      <x:c r="O35" s="183" t="str">
        <x:v>V1.19旧源码类型（真实成员/实现仍待核）
V2.01：来源ID对应；处置=保留源码·公开契约复核
V7.8：V7.8同名且源文件对应；Platform/Core/Primitives.cs</x:v>
      </x:c>
      <x:c r="P35" s="136" t="str">
        <x:v>V1.19旧源码类型（真实成员/实现仍待核）</x:v>
      </x:c>
      <x:c r="Q35"/>
      <x:c r="R35"/>
      <x:c r="S35"/>
    </x:row>
    <x:row r="36" ht="72" customHeight="1">
      <x:c r="A36" s="179" t="str">
        <x:v>F07</x:v>
      </x:c>
      <x:c r="B36" s="180" t="str">
        <x:v>几何与空间｜坐标框架与空间变换
Coordinate Transform</x:v>
      </x:c>
      <x:c r="C36" s="180" t="str">
        <x:v>FCTQuadtreeSpatialIndex</x:v>
      </x:c>
      <x:c r="D36" s="179" t="str">
        <x:v>原有·待核</x:v>
      </x:c>
      <x:c r="E36" s="180" t="str">
        <x:v>按二维包围盒组织空间索引以加速查找和命中测试</x:v>
      </x:c>
      <x:c r="F36" s="180" t="str">
        <x:v>Count</x:v>
      </x:c>
      <x:c r="G36" s="180" t="str">
        <x:v>QuadtreeSpatialIndex(Bounds2D worldBounds, int maxItemsPerNode = 12, int maxDepth = 8), ResetWorld(Bounds2D worldBounds), Clear(), Add(ElementModel element), Remove(string elementId), Update(ElementModel element), Query(Point2D point), Query(Bounds2D area)</x:v>
      </x:c>
      <x:c r="H36" s="180" t="str">
        <x:v>—（待核）</x:v>
      </x:c>
      <x:c r="I36" s="180" t="str">
        <x:v>CxVisual.Core.QuadtreeSpatialIndex</x:v>
      </x:c>
      <x:c r="J36" s="179" t="str">
        <x:v>类</x:v>
      </x:c>
      <x:c r="K36" s="180" t="str">
        <x:v>V1.19 C-0013；原实施方式：原有。迁移风险：按二维包围盒组织空间索引以加速查找和命中测试</x:v>
      </x:c>
      <x:c r="L36" s="183" t="str">
        <x:v>源代码声明·待复核</x:v>
      </x:c>
      <x:c r="M36" s="183" t="str">
        <x:v>C-0013</x:v>
      </x:c>
      <x:c r="N36" s="184" t="str">
        <x:v>Platform/Core/SpatialIndex.cs</x:v>
      </x:c>
      <x:c r="O36" s="183" t="str">
        <x:v>V1.19旧源码类型（真实成员/实现仍待核）
V2.01：来源ID对应；处置=保留源码·公开契约复核
V7.8：V7.8同名且源文件对应；Platform/Core/SpatialIndex.cs</x:v>
      </x:c>
      <x:c r="P36" s="136" t="str">
        <x:v>V1.19旧源码类型（真实成员/实现仍待核）</x:v>
      </x:c>
      <x:c r="Q36"/>
      <x:c r="R36"/>
      <x:c r="S36"/>
    </x:row>
    <x:row r="37" ht="72" customHeight="1">
      <x:c r="A37" s="179" t="str">
        <x:v>F07</x:v>
      </x:c>
      <x:c r="B37" s="180" t="str">
        <x:v>几何与空间｜坐标框架与空间变换
Coordinate Transform</x:v>
      </x:c>
      <x:c r="C37" s="180" t="str">
        <x:v>FCTTransformModel</x:v>
      </x:c>
      <x:c r="D37" s="179" t="str">
        <x:v>原有·待核</x:v>
      </x:c>
      <x:c r="E37" s="180" t="str">
        <x:v>表达变换模型相关的数据结构、配置及状态视图</x:v>
      </x:c>
      <x:c r="F37" s="180" t="str">
        <x:v>Rotation, ScaleX, ScaleY, SkewX, SkewY, OriginX, OriginY</x:v>
      </x:c>
      <x:c r="G37" s="180" t="str">
        <x:v>Clone()</x:v>
      </x:c>
      <x:c r="H37" s="180" t="str">
        <x:v>—（待核）</x:v>
      </x:c>
      <x:c r="I37" s="180" t="str">
        <x:v>CxVisual.Core.TransformModel</x:v>
      </x:c>
      <x:c r="J37" s="179" t="str">
        <x:v>类</x:v>
      </x:c>
      <x:c r="K37" s="180" t="str">
        <x:v>V1.19 C-0016；原实施方式：原有。迁移风险：表达变换模型相关的数据结构、配置及状态视图</x:v>
      </x:c>
      <x:c r="L37" s="183" t="str">
        <x:v>源代码声明·待复核</x:v>
      </x:c>
      <x:c r="M37" s="183" t="str">
        <x:v>C-0016</x:v>
      </x:c>
      <x:c r="N37" s="184" t="str">
        <x:v>Platform/Core/Primitives.cs</x:v>
      </x:c>
      <x:c r="O37" s="183" t="str">
        <x:v>V1.19旧源码类型（真实成员/实现仍待核）
V2.01：来源ID对应；处置=保留源码·公开契约复核
V7.8：V7.8同名且源文件对应；Platform/Core/Primitives.cs</x:v>
      </x:c>
      <x:c r="P37" s="136" t="str">
        <x:v>V1.19旧源码类型（真实成员/实现仍待核）</x:v>
      </x:c>
      <x:c r="Q37"/>
      <x:c r="R37"/>
      <x:c r="S37"/>
    </x:row>
    <x:row r="38" ht="72" customHeight="1">
      <x:c r="A38" s="179" t="str">
        <x:v>F07</x:v>
      </x:c>
      <x:c r="B38" s="180" t="str">
        <x:v>几何与空间｜坐标框架与空间变换
Coordinate Transform</x:v>
      </x:c>
      <x:c r="C38" s="180" t="str">
        <x:v>CxTransformValue</x:v>
      </x:c>
      <x:c r="D38" s="179" t="str">
        <x:v>增构候选·待查重</x:v>
      </x:c>
      <x:c r="E38" s="180" t="str">
        <x:v>2D Element直接复用V1.3已有FCTAffine2D；避免再造通用Transform</x:v>
      </x:c>
      <x:c r="F38" s="180" t="str">
        <x:v>M06多坐标维度的解析结果，需核已有F07 2D/3D类型</x:v>
      </x:c>
      <x:c r="G38" s="180" t="str">
        <x:v>—</x:v>
      </x:c>
      <x:c r="H38" s="180" t="str">
        <x:v>待逐对象核实</x:v>
      </x:c>
      <x:c r="I38" s="180" t="str">
        <x:v>CxTransformValue</x:v>
      </x:c>
      <x:c r="J38" s="179" t="str">
        <x:v>待裁决</x:v>
      </x:c>
      <x:c r="K38" s="180" t="str">
        <x:v>生命周期：需定案；审核：补充类型字典</x:v>
      </x:c>
      <x:c r="L38" s="183" t="str">
        <x:v>设计候选，尚待源码验证</x:v>
      </x:c>
      <x:c r="M38" s="183" t="str">
        <x:v>R3A.F07.CxTransformValue</x:v>
      </x:c>
      <x:c r="N38" s="184"/>
      <x:c r="O38" s="183" t="str">
        <x:v>补充类型字典
V2.01：未匹配V2.01；处置=暂无可信对应
V7.8：V7.8未检出同名词法声明</x:v>
      </x:c>
      <x:c r="P38" s="136" t="str">
        <x:v>补充类型字典</x:v>
      </x:c>
      <x:c r="Q38"/>
      <x:c r="R38"/>
      <x:c r="S38"/>
    </x:row>
    <x:row r="39" ht="72" customHeight="1">
      <x:c r="A39" s="179" t="str">
        <x:v>F07</x:v>
      </x:c>
      <x:c r="B39" s="180" t="str">
        <x:v>几何与空间｜坐标框架与空间变换
Coordinate Transform</x:v>
      </x:c>
      <x:c r="C39" s="180" t="str">
        <x:v>FCTAffineTransform2D</x:v>
      </x:c>
      <x:c r="D39" s="179" t="str">
        <x:v>增构候选·待查重</x:v>
      </x:c>
      <x:c r="E39" s="180" t="str">
        <x:v>表达和承载二维仿射变换的基础数据或计算参数</x:v>
      </x:c>
      <x:c r="F39" s="180" t="str">
        <x:v>Matrix；Translation</x:v>
      </x:c>
      <x:c r="G39" s="180" t="str">
        <x:v>Apply；Inverse；public bool TryInvert(out AffineTransform2D inverse)</x:v>
      </x:c>
      <x:c r="H39" s="180" t="str">
        <x:v>待逐对象核实</x:v>
      </x:c>
      <x:c r="I39" s="180" t="str">
        <x:v>AffineTransform2D</x:v>
      </x:c>
      <x:c r="J39" s="179" t="str">
        <x:v>值类型候选</x:v>
      </x:c>
      <x:c r="K39" s="180" t="str">
        <x:v>生命周期：基础数据/值对象</x:v>
      </x:c>
      <x:c r="L39" s="183" t="str">
        <x:v>设计候选，尚待源码验证</x:v>
      </x:c>
      <x:c r="M39" s="183" t="str">
        <x:v>F07.AffineTransform2D</x:v>
      </x:c>
      <x:c r="N39" s="184" t="str">
        <x:v>05_基础对象与基础计算!C72</x:v>
      </x:c>
      <x:c r="O39" s="183" t="str">
        <x:v>V4.9对象/属性/方法
V2.01：名称/子方面线索；处置=规划独立契约候选·未批准新增
V7.8：V7.8未检出同名词法声明</x:v>
      </x:c>
      <x:c r="P39" s="136" t="str">
        <x:v>V4.9对象/属性/方法</x:v>
      </x:c>
      <x:c r="Q39"/>
      <x:c r="R39"/>
      <x:c r="S39"/>
    </x:row>
    <x:row r="40" ht="72" customHeight="1">
      <x:c r="A40" s="179" t="str">
        <x:v>F07</x:v>
      </x:c>
      <x:c r="B40" s="180" t="str">
        <x:v>几何与空间｜坐标框架与空间变换
Coordinate Transform</x:v>
      </x:c>
      <x:c r="C40" s="180" t="str">
        <x:v>FCTAffineTransform3D</x:v>
      </x:c>
      <x:c r="D40" s="179" t="str">
        <x:v>增构候选·待查重</x:v>
      </x:c>
      <x:c r="E40" s="180" t="str">
        <x:v>表达和承载三维仿射变换的基础数据或计算参数</x:v>
      </x:c>
      <x:c r="F40" s="180" t="str">
        <x:v>Matrix；Translation</x:v>
      </x:c>
      <x:c r="G40" s="180" t="str">
        <x:v>Apply；Inverse</x:v>
      </x:c>
      <x:c r="H40" s="180" t="str">
        <x:v>待逐对象核实</x:v>
      </x:c>
      <x:c r="I40" s="180" t="str">
        <x:v>AffineTransform3D</x:v>
      </x:c>
      <x:c r="J40" s="179" t="str">
        <x:v>值类型候选</x:v>
      </x:c>
      <x:c r="K40" s="180" t="str">
        <x:v>生命周期：基础数据/值对象</x:v>
      </x:c>
      <x:c r="L40" s="183" t="str">
        <x:v>设计候选，尚待源码验证</x:v>
      </x:c>
      <x:c r="M40" s="183" t="str">
        <x:v>F07.AffineTransform3D</x:v>
      </x:c>
      <x:c r="N40" s="184" t="str">
        <x:v>05_基础对象与基础计算!C73</x:v>
      </x:c>
      <x:c r="O40" s="183" t="str">
        <x:v>V4.9对象/属性/方法
V2.01：名称/子方面线索；处置=规划独立契约候选·未批准新增
V7.8：V7.8未检出同名词法声明</x:v>
      </x:c>
      <x:c r="P40" s="136" t="str">
        <x:v>V4.9对象/属性/方法</x:v>
      </x:c>
      <x:c r="Q40"/>
      <x:c r="R40"/>
      <x:c r="S40"/>
    </x:row>
    <x:row r="41" ht="72" customHeight="1">
      <x:c r="A41" s="179" t="str">
        <x:v>F07</x:v>
      </x:c>
      <x:c r="B41" s="180" t="str">
        <x:v>几何与空间｜坐标框架与空间变换
Coordinate Transform</x:v>
      </x:c>
      <x:c r="C41" s="180" t="str">
        <x:v>FCTCoordinateFrame2D</x:v>
      </x:c>
      <x:c r="D41" s="179" t="str">
        <x:v>增构候选·待查重</x:v>
      </x:c>
      <x:c r="E41" s="180" t="str">
        <x:v>表达和承载二维坐标系的基础数据或计算参数</x:v>
      </x:c>
      <x:c r="F41" s="180" t="str">
        <x:v>Origin；Axes；Unit</x:v>
      </x:c>
      <x:c r="G41" s="180" t="str">
        <x:v>TransformTo</x:v>
      </x:c>
      <x:c r="H41" s="180" t="str">
        <x:v>待逐对象核实</x:v>
      </x:c>
      <x:c r="I41" s="180" t="str">
        <x:v>CoordinateFrame2D</x:v>
      </x:c>
      <x:c r="J41" s="179" t="str">
        <x:v>值类型候选</x:v>
      </x:c>
      <x:c r="K41" s="180" t="str">
        <x:v>生命周期：基础数据/值对象</x:v>
      </x:c>
      <x:c r="L41" s="183" t="str">
        <x:v>设计候选，尚待源码验证</x:v>
      </x:c>
      <x:c r="M41" s="183" t="str">
        <x:v>F07.CoordinateFrame2D</x:v>
      </x:c>
      <x:c r="N41" s="184" t="str">
        <x:v>05_基础对象与基础计算!C74</x:v>
      </x:c>
      <x:c r="O41" s="183" t="str">
        <x:v>V4.9对象/属性/方法
V2.01：名称/子方面线索；处置=规划独立契约候选·未批准新增
V7.8：V7.8未检出同名词法声明</x:v>
      </x:c>
      <x:c r="P41" s="136" t="str">
        <x:v>V4.9对象/属性/方法</x:v>
      </x:c>
      <x:c r="Q41"/>
      <x:c r="R41"/>
      <x:c r="S41"/>
    </x:row>
    <x:row r="42" ht="72" customHeight="1">
      <x:c r="A42" s="179" t="str">
        <x:v>F07</x:v>
      </x:c>
      <x:c r="B42" s="180" t="str">
        <x:v>几何与空间｜坐标框架与空间变换
Coordinate Transform</x:v>
      </x:c>
      <x:c r="C42" s="180" t="str">
        <x:v>FCTCoordinateFrame3D</x:v>
      </x:c>
      <x:c r="D42" s="179" t="str">
        <x:v>增构候选·待查重</x:v>
      </x:c>
      <x:c r="E42" s="180" t="str">
        <x:v>表达和承载三维坐标系的基础数据或计算参数</x:v>
      </x:c>
      <x:c r="F42" s="180" t="str">
        <x:v>Origin；Orientation；Unit</x:v>
      </x:c>
      <x:c r="G42" s="180" t="str">
        <x:v>TransformTo</x:v>
      </x:c>
      <x:c r="H42" s="180" t="str">
        <x:v>待逐对象核实</x:v>
      </x:c>
      <x:c r="I42" s="180" t="str">
        <x:v>CoordinateFrame3D</x:v>
      </x:c>
      <x:c r="J42" s="179" t="str">
        <x:v>值类型候选</x:v>
      </x:c>
      <x:c r="K42" s="180" t="str">
        <x:v>生命周期：基础数据/值对象</x:v>
      </x:c>
      <x:c r="L42" s="183" t="str">
        <x:v>设计候选，尚待源码验证</x:v>
      </x:c>
      <x:c r="M42" s="183" t="str">
        <x:v>F07.CoordinateFrame3D</x:v>
      </x:c>
      <x:c r="N42" s="184" t="str">
        <x:v>05_基础对象与基础计算!C75</x:v>
      </x:c>
      <x:c r="O42" s="183" t="str">
        <x:v>V4.9对象/属性/方法
V2.01：名称/子方面线索；处置=规划独立契约候选·未批准新增
V7.8：V7.8未检出同名词法声明</x:v>
      </x:c>
      <x:c r="P42" s="136" t="str">
        <x:v>V4.9对象/属性/方法</x:v>
      </x:c>
      <x:c r="Q42"/>
      <x:c r="R42"/>
      <x:c r="S42"/>
    </x:row>
    <x:row r="43" ht="72" customHeight="1">
      <x:c r="A43" s="179" t="str">
        <x:v>F07</x:v>
      </x:c>
      <x:c r="B43" s="180" t="str">
        <x:v>几何与空间｜坐标框架与空间变换
Coordinate Transform</x:v>
      </x:c>
      <x:c r="C43" s="180" t="str">
        <x:v>FCTCoordinateValidation</x:v>
      </x:c>
      <x:c r="D43" s="179" t="str">
        <x:v>增构候选·待查重</x:v>
      </x:c>
      <x:c r="E43" s="180" t="str">
        <x:v>表达和承载坐标系校验的基础数据或计算参数</x:v>
      </x:c>
      <x:c r="F43" s="180" t="str">
        <x:v>Handedness；Unit；Version</x:v>
      </x:c>
      <x:c r="G43" s="180" t="str">
        <x:v>Validate</x:v>
      </x:c>
      <x:c r="H43" s="180" t="str">
        <x:v>待逐对象核实</x:v>
      </x:c>
      <x:c r="I43" s="180" t="str">
        <x:v>CoordinateValidation</x:v>
      </x:c>
      <x:c r="J43" s="179" t="str">
        <x:v>值类型候选</x:v>
      </x:c>
      <x:c r="K43" s="180" t="str">
        <x:v>生命周期：基础数据/值对象</x:v>
      </x:c>
      <x:c r="L43" s="183" t="str">
        <x:v>设计候选，尚待源码验证</x:v>
      </x:c>
      <x:c r="M43" s="183" t="str">
        <x:v>F07.CoordinateValidation</x:v>
      </x:c>
      <x:c r="N43" s="184" t="str">
        <x:v>05_基础对象与基础计算!C76</x:v>
      </x:c>
      <x:c r="O43" s="183" t="str">
        <x:v>V4.9对象/属性/方法
V2.01：名称/子方面线索；处置=规划独立契约候选·未批准新增
V7.8：V7.8未检出同名词法声明</x:v>
      </x:c>
      <x:c r="P43" s="136" t="str">
        <x:v>V4.9对象/属性/方法</x:v>
      </x:c>
      <x:c r="Q43"/>
      <x:c r="R43"/>
      <x:c r="S43"/>
    </x:row>
    <x:row r="44" ht="72" customHeight="1">
      <x:c r="A44" s="179" t="str">
        <x:v>F07</x:v>
      </x:c>
      <x:c r="B44" s="180" t="str">
        <x:v>几何与空间｜坐标框架与空间变换
Coordinate Transform</x:v>
      </x:c>
      <x:c r="C44" s="180" t="str">
        <x:v>FCTPose3D</x:v>
      </x:c>
      <x:c r="D44" s="179" t="str">
        <x:v>增构候选·待查重</x:v>
      </x:c>
      <x:c r="E44" s="180" t="str">
        <x:v>表达和承载三维位姿的基础数据或计算参数</x:v>
      </x:c>
      <x:c r="F44" s="180" t="str">
        <x:v>Position；Orientation</x:v>
      </x:c>
      <x:c r="G44" s="180" t="str">
        <x:v>Compose；Interpolate</x:v>
      </x:c>
      <x:c r="H44" s="180" t="str">
        <x:v>待逐对象核实</x:v>
      </x:c>
      <x:c r="I44" s="180" t="str">
        <x:v>Pose3D</x:v>
      </x:c>
      <x:c r="J44" s="179" t="str">
        <x:v>值类型候选</x:v>
      </x:c>
      <x:c r="K44" s="180" t="str">
        <x:v>生命周期：基础数据/值对象</x:v>
      </x:c>
      <x:c r="L44" s="183" t="str">
        <x:v>设计候选，尚待源码验证</x:v>
      </x:c>
      <x:c r="M44" s="183" t="str">
        <x:v>F07.Pose3D</x:v>
      </x:c>
      <x:c r="N44" s="184" t="str">
        <x:v>05_基础对象与基础计算!C77</x:v>
      </x:c>
      <x:c r="O44" s="183" t="str">
        <x:v>V4.9对象/属性/方法
V2.01：名称/子方面线索；处置=规划独立契约候选·未批准新增
V7.8：V7.8未检出同名词法声明</x:v>
      </x:c>
      <x:c r="P44" s="136" t="str">
        <x:v>V4.9对象/属性/方法</x:v>
      </x:c>
      <x:c r="Q44"/>
      <x:c r="R44"/>
      <x:c r="S44"/>
    </x:row>
    <x:row r="45" ht="72" customHeight="1">
      <x:c r="A45" s="179" t="str">
        <x:v>F07</x:v>
      </x:c>
      <x:c r="B45" s="180" t="str">
        <x:v>几何与空间｜坐标框架与空间变换
Coordinate Transform</x:v>
      </x:c>
      <x:c r="C45" s="180" t="str">
        <x:v>FCTProjectiveTransform2D</x:v>
      </x:c>
      <x:c r="D45" s="179" t="str">
        <x:v>增构候选·待查重</x:v>
      </x:c>
      <x:c r="E45" s="180" t="str">
        <x:v>表达和承载二维单应变换的基础数据或计算参数</x:v>
      </x:c>
      <x:c r="F45" s="180" t="str">
        <x:v>Homography</x:v>
      </x:c>
      <x:c r="G45" s="180" t="str">
        <x:v>Project；Inverse</x:v>
      </x:c>
      <x:c r="H45" s="180" t="str">
        <x:v>待逐对象核实</x:v>
      </x:c>
      <x:c r="I45" s="180" t="str">
        <x:v>ProjectiveTransform2D</x:v>
      </x:c>
      <x:c r="J45" s="179" t="str">
        <x:v>值类型候选</x:v>
      </x:c>
      <x:c r="K45" s="180" t="str">
        <x:v>生命周期：基础数据/值对象</x:v>
      </x:c>
      <x:c r="L45" s="183" t="str">
        <x:v>设计候选，尚待源码验证</x:v>
      </x:c>
      <x:c r="M45" s="183" t="str">
        <x:v>F07.ProjectiveTransform2D</x:v>
      </x:c>
      <x:c r="N45" s="184" t="str">
        <x:v>05_基础对象与基础计算!C78</x:v>
      </x:c>
      <x:c r="O45" s="183" t="str">
        <x:v>V4.9对象/属性/方法
V2.01：名称/子方面线索；处置=规划独立契约候选·未批准新增
V7.8：V7.8未检出同名词法声明</x:v>
      </x:c>
      <x:c r="P45" s="136" t="str">
        <x:v>V4.9对象/属性/方法</x:v>
      </x:c>
      <x:c r="Q45"/>
      <x:c r="R45"/>
      <x:c r="S45"/>
    </x:row>
    <x:row r="46" ht="72" customHeight="1">
      <x:c r="A46" s="179" t="str">
        <x:v>F07</x:v>
      </x:c>
      <x:c r="B46" s="180" t="str">
        <x:v>几何与空间｜坐标框架与空间变换
Coordinate Transform</x:v>
      </x:c>
      <x:c r="C46" s="180" t="str">
        <x:v>FCTRigidTransform2D</x:v>
      </x:c>
      <x:c r="D46" s="179" t="str">
        <x:v>增构候选·待查重</x:v>
      </x:c>
      <x:c r="E46" s="180" t="str">
        <x:v>表达和承载二维刚体变换的基础数据或计算参数</x:v>
      </x:c>
      <x:c r="F46" s="180" t="str">
        <x:v>Rotation；Translation</x:v>
      </x:c>
      <x:c r="G46" s="180" t="str">
        <x:v>Apply；Inverse</x:v>
      </x:c>
      <x:c r="H46" s="180" t="str">
        <x:v>待逐对象核实</x:v>
      </x:c>
      <x:c r="I46" s="180" t="str">
        <x:v>RigidTransform2D</x:v>
      </x:c>
      <x:c r="J46" s="179" t="str">
        <x:v>值类型候选</x:v>
      </x:c>
      <x:c r="K46" s="180" t="str">
        <x:v>生命周期：基础数据/值对象</x:v>
      </x:c>
      <x:c r="L46" s="183" t="str">
        <x:v>设计候选，尚待源码验证</x:v>
      </x:c>
      <x:c r="M46" s="183" t="str">
        <x:v>F07.RigidTransform2D</x:v>
      </x:c>
      <x:c r="N46" s="184" t="str">
        <x:v>05_基础对象与基础计算!C79</x:v>
      </x:c>
      <x:c r="O46" s="183" t="str">
        <x:v>V4.9对象/属性/方法
V2.01：名称/子方面线索；处置=规划独立契约候选·未批准新增
V7.8：V7.8未检出同名词法声明</x:v>
      </x:c>
      <x:c r="P46" s="136" t="str">
        <x:v>V4.9对象/属性/方法</x:v>
      </x:c>
      <x:c r="Q46"/>
      <x:c r="R46"/>
      <x:c r="S46"/>
    </x:row>
    <x:row r="47" ht="72" customHeight="1">
      <x:c r="A47" s="179" t="str">
        <x:v>F07</x:v>
      </x:c>
      <x:c r="B47" s="180" t="str">
        <x:v>几何与空间｜坐标框架与空间变换
Coordinate Transform</x:v>
      </x:c>
      <x:c r="C47" s="180" t="str">
        <x:v>FCTRigidTransform3D</x:v>
      </x:c>
      <x:c r="D47" s="179" t="str">
        <x:v>增构候选·待查重</x:v>
      </x:c>
      <x:c r="E47" s="180" t="str">
        <x:v>表达和承载三维刚体变换的基础数据或计算参数</x:v>
      </x:c>
      <x:c r="F47" s="180" t="str">
        <x:v>Quaternion；Translation</x:v>
      </x:c>
      <x:c r="G47" s="180" t="str">
        <x:v>Apply；Inverse</x:v>
      </x:c>
      <x:c r="H47" s="180" t="str">
        <x:v>待逐对象核实</x:v>
      </x:c>
      <x:c r="I47" s="180" t="str">
        <x:v>RigidTransform3D</x:v>
      </x:c>
      <x:c r="J47" s="179" t="str">
        <x:v>值类型候选</x:v>
      </x:c>
      <x:c r="K47" s="180" t="str">
        <x:v>生命周期：基础数据/值对象</x:v>
      </x:c>
      <x:c r="L47" s="183" t="str">
        <x:v>设计候选，尚待源码验证</x:v>
      </x:c>
      <x:c r="M47" s="183" t="str">
        <x:v>F07.RigidTransform3D</x:v>
      </x:c>
      <x:c r="N47" s="184" t="str">
        <x:v>05_基础对象与基础计算!C80</x:v>
      </x:c>
      <x:c r="O47" s="183" t="str">
        <x:v>V4.9对象/属性/方法
V2.01：名称/子方面线索；处置=规划独立契约候选·未批准新增
V7.8：V7.8未检出同名词法声明</x:v>
      </x:c>
      <x:c r="P47" s="136" t="str">
        <x:v>V4.9对象/属性/方法</x:v>
      </x:c>
      <x:c r="Q47"/>
      <x:c r="R47"/>
      <x:c r="S47"/>
    </x:row>
    <x:row r="48" ht="72" customHeight="1">
      <x:c r="A48" s="179" t="str">
        <x:v>F07</x:v>
      </x:c>
      <x:c r="B48" s="180" t="str">
        <x:v>几何与空间｜坐标框架与空间变换
Coordinate Transform</x:v>
      </x:c>
      <x:c r="C48" s="180" t="str">
        <x:v>FCTSpatialTransformOps</x:v>
      </x:c>
      <x:c r="D48" s="179" t="str">
        <x:v>增构候选·待查重</x:v>
      </x:c>
      <x:c r="E48" s="180" t="str">
        <x:v>提供无状态空间变换算法运算，不持有会话/设备/全局缓存</x:v>
      </x:c>
      <x:c r="F48" s="180" t="str">
        <x:v>FrameSource；Target</x:v>
      </x:c>
      <x:c r="G48" s="180" t="str">
        <x:v>Convert；Compose</x:v>
      </x:c>
      <x:c r="H48" s="180" t="str">
        <x:v>待逐对象核实</x:v>
      </x:c>
      <x:c r="I48" s="180" t="str">
        <x:v>SpatialTransformOps</x:v>
      </x:c>
      <x:c r="J48" s="179" t="str">
        <x:v>静态类</x:v>
      </x:c>
      <x:c r="K48" s="180" t="str">
        <x:v>生命周期：基础值/纯计算</x:v>
      </x:c>
      <x:c r="L48" s="183" t="str">
        <x:v>设计候选，尚待源码验证</x:v>
      </x:c>
      <x:c r="M48" s="183" t="str">
        <x:v>F07.SpatialTransformOps</x:v>
      </x:c>
      <x:c r="N48" s="184" t="str">
        <x:v>05_基础对象与基础计算!C81</x:v>
      </x:c>
      <x:c r="O48" s="183" t="str">
        <x:v>V4.9对象/属性/方法
V2.01：名称/子方面线索；处置=规划独立契约候选·未批准新增
V7.8：V7.8未检出同名词法声明</x:v>
      </x:c>
      <x:c r="P48" s="136" t="str">
        <x:v>V4.9对象/属性/方法</x:v>
      </x:c>
      <x:c r="Q48"/>
      <x:c r="R48"/>
      <x:c r="S48"/>
    </x:row>
    <x:row r="49" ht="72" customHeight="1">
      <x:c r="A49" s="179" t="str">
        <x:v>F07</x:v>
      </x:c>
      <x:c r="B49" s="180" t="str">
        <x:v>几何与空间｜坐标框架与空间变换
Coordinate Transform</x:v>
      </x:c>
      <x:c r="C49" s="180" t="str">
        <x:v>FCTTransformChain</x:v>
      </x:c>
      <x:c r="D49" s="179" t="str">
        <x:v>增构候选·待查重</x:v>
      </x:c>
      <x:c r="E49" s="180" t="str">
        <x:v>表达和承载变换链的基础数据或计算参数</x:v>
      </x:c>
      <x:c r="F49" s="180" t="str">
        <x:v>Transforms；Frames</x:v>
      </x:c>
      <x:c r="G49" s="180" t="str">
        <x:v>Compose；Invert</x:v>
      </x:c>
      <x:c r="H49" s="180" t="str">
        <x:v>待逐对象核实</x:v>
      </x:c>
      <x:c r="I49" s="180" t="str">
        <x:v>TransformChain</x:v>
      </x:c>
      <x:c r="J49" s="179" t="str">
        <x:v>类/实例候选</x:v>
      </x:c>
      <x:c r="K49" s="180" t="str">
        <x:v>生命周期：基础数据/值对象</x:v>
      </x:c>
      <x:c r="L49" s="183" t="str">
        <x:v>设计候选，尚待源码验证</x:v>
      </x:c>
      <x:c r="M49" s="183" t="str">
        <x:v>F07.TransformChain</x:v>
      </x:c>
      <x:c r="N49" s="184" t="str">
        <x:v>05_基础对象与基础计算!C82</x:v>
      </x:c>
      <x:c r="O49" s="183" t="str">
        <x:v>V4.9对象/属性/方法
V2.01：名称/子方面线索；处置=规划独立契约候选·未批准新增
V7.8：V7.8未检出同名词法声明</x:v>
      </x:c>
      <x:c r="P49" s="136" t="str">
        <x:v>V4.9对象/属性/方法</x:v>
      </x:c>
      <x:c r="Q49"/>
      <x:c r="R49"/>
      <x:c r="S49"/>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6:A17"/>
    <x:mergeCell ref="A18:A29"/>
    <x:mergeCell ref="A30:A49"/>
    <x:mergeCell ref="A1:P1"/>
    <x:mergeCell ref="A2:P2"/>
    <x:mergeCell ref="A3:P3"/>
    <x:mergeCell ref="A4:P4"/>
    <x:mergeCell ref="B6:B17"/>
    <x:mergeCell ref="B18:B29"/>
    <x:mergeCell ref="B30:B49"/>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CxVisual.Foundation.Imaging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子方面：F11、F22｜来源：V1.19旧类型 + V4.9对象 + V7.8源码 + V5.0/R3架构裁决｜本项目 29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F11</x:v>
      </x:c>
      <x:c r="B6" s="180" t="str">
        <x:v>图像与像素｜图像空间及像素格式
Image Pixels</x:v>
      </x:c>
      <x:c r="C6" s="180" t="str">
        <x:v>FIPCxImageDescriptor</x:v>
      </x:c>
      <x:c r="D6" s="179" t="str">
        <x:v>原有·待核</x:v>
      </x:c>
      <x:c r="E6" s="180" t="str">
        <x:v>描述图像数据布局与字节大小，验证图像元数据合法性</x:v>
      </x:c>
      <x:c r="F6" s="180" t="str">
        <x:v>Width, Height, PixelFormat, Stride, CalibrationRef, Metadata</x:v>
      </x:c>
      <x:c r="G6" s="180" t="str">
        <x:v>Validate(), GetByteLength(), Clone()</x:v>
      </x:c>
      <x:c r="H6" s="180" t="str">
        <x:v>—（待核）</x:v>
      </x:c>
      <x:c r="I6" s="180" t="str">
        <x:v>CxVisual.Core.CxImageDescriptor</x:v>
      </x:c>
      <x:c r="J6" s="179" t="str">
        <x:v>类</x:v>
      </x:c>
      <x:c r="K6" s="180" t="str">
        <x:v>V1.19 C-0064；原实施方式：原有。迁移风险：描述图像数据布局与字节大小，验证图像元数据合法性</x:v>
      </x:c>
      <x:c r="L6" s="183" t="str">
        <x:v>源代码声明·待复核</x:v>
      </x:c>
      <x:c r="M6" s="183" t="str">
        <x:v>C-0064</x:v>
      </x:c>
      <x:c r="N6" s="184" t="str">
        <x:v>Platform/Core/CxVisionDefinitions.cs</x:v>
      </x:c>
      <x:c r="O6" s="183" t="str">
        <x:v>V1.19旧源码类型（真实成员/实现仍待核）
V2.01：来源ID对应；处置=保留源码·公开契约复核
V7.8：V7.8同名且源文件对应；Platform/Core/CxVisionDefinitions.cs</x:v>
      </x:c>
      <x:c r="P6" s="136" t="str">
        <x:v>V1.19旧源码类型（真实成员/实现仍待核）</x:v>
      </x:c>
      <x:c r="Q6"/>
      <x:c r="R6"/>
      <x:c r="S6"/>
    </x:row>
    <x:row r="7" ht="72" customHeight="1">
      <x:c r="A7" s="179" t="str">
        <x:v>F11</x:v>
      </x:c>
      <x:c r="B7" s="180" t="str">
        <x:v>图像与像素｜图像空间及像素格式
Image Pixels</x:v>
      </x:c>
      <x:c r="C7" s="180" t="str">
        <x:v>FIPImageBuffer</x:v>
      </x:c>
      <x:c r="D7" s="179" t="str">
        <x:v>增构候选·待查重</x:v>
      </x:c>
      <x:c r="E7" s="180" t="str">
        <x:v>表达和承载图像像素缓冲的基础数据或计算参数</x:v>
      </x:c>
      <x:c r="F7" s="180" t="str">
        <x:v>Memory；Stride；Format；public int Stride { get; }</x:v>
      </x:c>
      <x:c r="G7" s="180" t="str">
        <x:v>Slice；Release</x:v>
      </x:c>
      <x:c r="H7" s="180" t="str">
        <x:v>待逐对象核实</x:v>
      </x:c>
      <x:c r="I7" s="180" t="str">
        <x:v>可释放数据容器</x:v>
      </x:c>
      <x:c r="J7" s="179" t="str">
        <x:v>类/实例候选</x:v>
      </x:c>
      <x:c r="K7" s="180" t="str">
        <x:v>生命周期：基础数据/值对象</x:v>
      </x:c>
      <x:c r="L7" s="183" t="str">
        <x:v>设计候选，尚待源码验证</x:v>
      </x:c>
      <x:c r="M7" s="183" t="str">
        <x:v>F11.ImageBuffer</x:v>
      </x:c>
      <x:c r="N7" s="184"/>
      <x:c r="O7" s="183" t="str">
        <x:v>V4.9对象/属性/方法
V2.01：未匹配V2.01；处置=暂无可信对应
V7.8：V7.8未检出同名词法声明</x:v>
      </x:c>
      <x:c r="P7" s="136" t="str">
        <x:v>V4.9对象/属性/方法</x:v>
      </x:c>
      <x:c r="Q7"/>
      <x:c r="R7"/>
      <x:c r="S7"/>
    </x:row>
    <x:row r="8" ht="72" customHeight="1">
      <x:c r="A8" s="179" t="str">
        <x:v>F11</x:v>
      </x:c>
      <x:c r="B8" s="180" t="str">
        <x:v>图像与像素｜图像空间及像素格式
Image Pixels</x:v>
      </x:c>
      <x:c r="C8" s="180" t="str">
        <x:v>FIPImageFilterOps</x:v>
      </x:c>
      <x:c r="D8" s="179" t="str">
        <x:v>增构候选·待查重</x:v>
      </x:c>
      <x:c r="E8" s="180" t="str">
        <x:v>提供无状态基础像素滤波运算，不持有会话/设备/全局缓存</x:v>
      </x:c>
      <x:c r="F8" s="180" t="str">
        <x:v>Kernel；Border</x:v>
      </x:c>
      <x:c r="G8" s="180" t="str">
        <x:v>Convolve；Gaussian；Median</x:v>
      </x:c>
      <x:c r="H8" s="180" t="str">
        <x:v>待逐对象核实</x:v>
      </x:c>
      <x:c r="I8" s="180" t="str">
        <x:v>ImageFilterOps</x:v>
      </x:c>
      <x:c r="J8" s="179" t="str">
        <x:v>静态类</x:v>
      </x:c>
      <x:c r="K8" s="180" t="str">
        <x:v>生命周期：基础值/纯计算</x:v>
      </x:c>
      <x:c r="L8" s="183" t="str">
        <x:v>设计候选，尚待源码验证</x:v>
      </x:c>
      <x:c r="M8" s="183" t="str">
        <x:v>F11.ImageFilterOps</x:v>
      </x:c>
      <x:c r="N8" s="184" t="str">
        <x:v>05_基础对象与基础计算!C111</x:v>
      </x:c>
      <x:c r="O8" s="183" t="str">
        <x:v>V4.9对象/属性/方法
V2.01：名称/子方面线索；处置=规划独立契约候选·未批准新增
V7.8：V7.8未检出同名词法声明</x:v>
      </x:c>
      <x:c r="P8" s="136" t="str">
        <x:v>V4.9对象/属性/方法</x:v>
      </x:c>
      <x:c r="Q8"/>
      <x:c r="R8"/>
      <x:c r="S8"/>
    </x:row>
    <x:row r="9" ht="72" customHeight="1">
      <x:c r="A9" s="179" t="str">
        <x:v>F11</x:v>
      </x:c>
      <x:c r="B9" s="180" t="str">
        <x:v>图像与像素｜图像空间及像素格式
Image Pixels</x:v>
      </x:c>
      <x:c r="C9" s="180" t="str">
        <x:v>FIPImageFormatUtil</x:v>
      </x:c>
      <x:c r="D9" s="179" t="str">
        <x:v>增构候选·待查重</x:v>
      </x:c>
      <x:c r="E9" s="180" t="str">
        <x:v>提供无状态图像格式辅助运算，不持有会话/设备/全局缓存</x:v>
      </x:c>
      <x:c r="F9" s="180" t="str">
        <x:v>Format；Endian</x:v>
      </x:c>
      <x:c r="G9" s="180" t="str">
        <x:v>ConvertPacking</x:v>
      </x:c>
      <x:c r="H9" s="180" t="str">
        <x:v>待逐对象核实</x:v>
      </x:c>
      <x:c r="I9" s="180" t="str">
        <x:v>ImageFormatUtil</x:v>
      </x:c>
      <x:c r="J9" s="179" t="str">
        <x:v>静态类</x:v>
      </x:c>
      <x:c r="K9" s="180" t="str">
        <x:v>生命周期：基础值/纯计算</x:v>
      </x:c>
      <x:c r="L9" s="183" t="str">
        <x:v>设计候选，尚待源码验证</x:v>
      </x:c>
      <x:c r="M9" s="183" t="str">
        <x:v>F11.ImageFormatUtil</x:v>
      </x:c>
      <x:c r="N9" s="184" t="str">
        <x:v>05_基础对象与基础计算!C112</x:v>
      </x:c>
      <x:c r="O9" s="183" t="str">
        <x:v>V4.9对象/属性/方法
V2.01：名称/子方面线索；处置=规划独立契约候选·未批准新增
V7.8：V7.8未检出同名词法声明</x:v>
      </x:c>
      <x:c r="P9" s="136" t="str">
        <x:v>V4.9对象/属性/方法</x:v>
      </x:c>
      <x:c r="Q9"/>
      <x:c r="R9"/>
      <x:c r="S9"/>
    </x:row>
    <x:row r="10" ht="72" customHeight="1">
      <x:c r="A10" s="179" t="str">
        <x:v>F11</x:v>
      </x:c>
      <x:c r="B10" s="180" t="str">
        <x:v>图像与像素｜图像空间及像素格式
Image Pixels</x:v>
      </x:c>
      <x:c r="C10" s="180" t="str">
        <x:v>FIPImageGeometryOps</x:v>
      </x:c>
      <x:c r="D10" s="179" t="str">
        <x:v>增构候选·待查重</x:v>
      </x:c>
      <x:c r="E10" s="180" t="str">
        <x:v>提供无状态图像几何变换运算，不持有会话/设备/全局缓存</x:v>
      </x:c>
      <x:c r="F10" s="180" t="str">
        <x:v>Transform；Interpolation</x:v>
      </x:c>
      <x:c r="G10" s="180" t="str">
        <x:v>Warp；Remap</x:v>
      </x:c>
      <x:c r="H10" s="180" t="str">
        <x:v>待逐对象核实</x:v>
      </x:c>
      <x:c r="I10" s="180" t="str">
        <x:v>ImageGeometryOps</x:v>
      </x:c>
      <x:c r="J10" s="179" t="str">
        <x:v>静态类</x:v>
      </x:c>
      <x:c r="K10" s="180" t="str">
        <x:v>生命周期：基础值/纯计算</x:v>
      </x:c>
      <x:c r="L10" s="183" t="str">
        <x:v>设计候选，尚待源码验证</x:v>
      </x:c>
      <x:c r="M10" s="183" t="str">
        <x:v>F11.ImageGeometryOps</x:v>
      </x:c>
      <x:c r="N10" s="184" t="str">
        <x:v>05_基础对象与基础计算!C113</x:v>
      </x:c>
      <x:c r="O10" s="183" t="str">
        <x:v>V4.9对象/属性/方法
V2.01：名称/子方面线索；处置=规划独立契约候选·未批准新增
V7.8：V7.8未检出同名词法声明</x:v>
      </x:c>
      <x:c r="P10" s="136" t="str">
        <x:v>V4.9对象/属性/方法</x:v>
      </x:c>
      <x:c r="Q10"/>
      <x:c r="R10"/>
      <x:c r="S10"/>
    </x:row>
    <x:row r="11" ht="72" customHeight="1">
      <x:c r="A11" s="179" t="str">
        <x:v>F11</x:v>
      </x:c>
      <x:c r="B11" s="180" t="str">
        <x:v>图像与像素｜图像空间及像素格式
Image Pixels</x:v>
      </x:c>
      <x:c r="C11" s="180" t="str">
        <x:v>FIPImageHistogram</x:v>
      </x:c>
      <x:c r="D11" s="179" t="str">
        <x:v>复用待核</x:v>
      </x:c>
      <x:c r="E11" s="180" t="str">
        <x:v>表达和承载灰度直方图的基础数据或计算参数</x:v>
      </x:c>
      <x:c r="F11" s="180" t="str">
        <x:v>Bins；Range</x:v>
      </x:c>
      <x:c r="G11" s="180" t="str">
        <x:v>Percentile</x:v>
      </x:c>
      <x:c r="H11" s="180" t="str">
        <x:v>待逐对象核实</x:v>
      </x:c>
      <x:c r="I11" s="180" t="str">
        <x:v>ImageHistogram</x:v>
      </x:c>
      <x:c r="J11" s="179" t="str">
        <x:v>值类型候选</x:v>
      </x:c>
      <x:c r="K11" s="180" t="str">
        <x:v>生命周期：基础数据/值对象</x:v>
      </x:c>
      <x:c r="L11" s="183" t="str">
        <x:v>V7.8源码词法匹配，尚未验收</x:v>
      </x:c>
      <x:c r="M11" s="183" t="str">
        <x:v>F11.ImageHistogram</x:v>
      </x:c>
      <x:c r="N11" s="184" t="str">
        <x:v>Visions/CxECTImageWinForms/Services/ImageStatisticsService.cs</x:v>
      </x:c>
      <x:c r="O11" s="183" t="str">
        <x:v>V4.9对象/属性/方法
V2.01：名称/子方面线索；处置=规划独立契约候选·未批准新增
V7.8：V7.8同名且源文件对应；Visions/CxECTImageWinForms/Services/ImageStatisticsService.cs</x:v>
      </x:c>
      <x:c r="P11" s="136" t="str">
        <x:v>V4.9对象/属性/方法</x:v>
      </x:c>
      <x:c r="Q11"/>
      <x:c r="R11"/>
      <x:c r="S11"/>
    </x:row>
    <x:row r="12" ht="72" customHeight="1">
      <x:c r="A12" s="179" t="str">
        <x:v>F11</x:v>
      </x:c>
      <x:c r="B12" s="180" t="str">
        <x:v>图像与像素｜图像空间及像素格式
Image Pixels</x:v>
      </x:c>
      <x:c r="C12" s="180" t="str">
        <x:v>FIPImageIntensityOps</x:v>
      </x:c>
      <x:c r="D12" s="179" t="str">
        <x:v>增构候选·待查重</x:v>
      </x:c>
      <x:c r="E12" s="180" t="str">
        <x:v>提供无状态灰度与对比变换运算，不持有会话/设备/全局缓存</x:v>
      </x:c>
      <x:c r="F12" s="180" t="str">
        <x:v>Lut；Gamma</x:v>
      </x:c>
      <x:c r="G12" s="180" t="str">
        <x:v>Normalize；WindowLevel</x:v>
      </x:c>
      <x:c r="H12" s="180" t="str">
        <x:v>待逐对象核实</x:v>
      </x:c>
      <x:c r="I12" s="180" t="str">
        <x:v>ImageIntensityOps</x:v>
      </x:c>
      <x:c r="J12" s="179" t="str">
        <x:v>静态类</x:v>
      </x:c>
      <x:c r="K12" s="180" t="str">
        <x:v>生命周期：基础值/纯计算</x:v>
      </x:c>
      <x:c r="L12" s="183" t="str">
        <x:v>设计候选，尚待源码验证</x:v>
      </x:c>
      <x:c r="M12" s="183" t="str">
        <x:v>F11.ImageIntensityOps</x:v>
      </x:c>
      <x:c r="N12" s="184" t="str">
        <x:v>05_基础对象与基础计算!C115</x:v>
      </x:c>
      <x:c r="O12" s="183" t="str">
        <x:v>V4.9对象/属性/方法
V2.01：名称/子方面线索；处置=规划独立契约候选·未批准新增
V7.8：V7.8未检出同名词法声明</x:v>
      </x:c>
      <x:c r="P12" s="136" t="str">
        <x:v>V4.9对象/属性/方法</x:v>
      </x:c>
      <x:c r="Q12"/>
      <x:c r="R12"/>
      <x:c r="S12"/>
    </x:row>
    <x:row r="13" ht="72" customHeight="1">
      <x:c r="A13" s="179" t="str">
        <x:v>F11</x:v>
      </x:c>
      <x:c r="B13" s="180" t="str">
        <x:v>图像与像素｜图像空间及像素格式
Image Pixels</x:v>
      </x:c>
      <x:c r="C13" s="180" t="str">
        <x:v>FIPImagePlane</x:v>
      </x:c>
      <x:c r="D13" s="179" t="str">
        <x:v>增构候选·待查重</x:v>
      </x:c>
      <x:c r="E13" s="180" t="str">
        <x:v>表达和承载图像平面的基础数据或计算参数</x:v>
      </x:c>
      <x:c r="F13" s="180" t="str">
        <x:v>Buffer；Width；Height</x:v>
      </x:c>
      <x:c r="G13" s="180" t="str">
        <x:v>Crop</x:v>
      </x:c>
      <x:c r="H13" s="180" t="str">
        <x:v>待逐对象核实</x:v>
      </x:c>
      <x:c r="I13" s="180" t="str">
        <x:v>ImagePlane</x:v>
      </x:c>
      <x:c r="J13" s="179" t="str">
        <x:v>类/实例候选</x:v>
      </x:c>
      <x:c r="K13" s="180" t="str">
        <x:v>生命周期：基础数据/值对象</x:v>
      </x:c>
      <x:c r="L13" s="183" t="str">
        <x:v>设计候选，尚待源码验证</x:v>
      </x:c>
      <x:c r="M13" s="183" t="str">
        <x:v>F11.ImagePlane</x:v>
      </x:c>
      <x:c r="N13" s="184" t="str">
        <x:v>05_基础对象与基础计算!C116</x:v>
      </x:c>
      <x:c r="O13" s="183" t="str">
        <x:v>V4.9对象/属性/方法
V2.01：名称/子方面线索；处置=规划独立契约候选·未批准新增
V7.8：V7.8未检出同名词法声明</x:v>
      </x:c>
      <x:c r="P13" s="136" t="str">
        <x:v>V4.9对象/属性/方法</x:v>
      </x:c>
      <x:c r="Q13"/>
      <x:c r="R13"/>
      <x:c r="S13"/>
    </x:row>
    <x:row r="14" ht="72" customHeight="1">
      <x:c r="A14" s="179" t="str">
        <x:v>F11</x:v>
      </x:c>
      <x:c r="B14" s="180" t="str">
        <x:v>图像与像素｜图像空间及像素格式
Image Pixels</x:v>
      </x:c>
      <x:c r="C14" s="180" t="str">
        <x:v>FIPImageSize</x:v>
      </x:c>
      <x:c r="D14" s="179" t="str">
        <x:v>复用待核</x:v>
      </x:c>
      <x:c r="E14" s="180" t="str">
        <x:v>表达和承载图像尺寸的基础数据或计算参数</x:v>
      </x:c>
      <x:c r="F14" s="180" t="str">
        <x:v>Width；Height</x:v>
      </x:c>
      <x:c r="G14" s="180" t="str">
        <x:v>Area；Validate</x:v>
      </x:c>
      <x:c r="H14" s="180" t="str">
        <x:v>待逐对象核实</x:v>
      </x:c>
      <x:c r="I14" s="180" t="str">
        <x:v>ImageSize</x:v>
      </x:c>
      <x:c r="J14" s="179" t="str">
        <x:v>值类型候选</x:v>
      </x:c>
      <x:c r="K14" s="180" t="str">
        <x:v>生命周期：基础数据/值对象</x:v>
      </x:c>
      <x:c r="L14" s="183" t="str">
        <x:v>V7.8源码词法匹配，尚未验收</x:v>
      </x:c>
      <x:c r="M14" s="183" t="str">
        <x:v>F11.ImageSize</x:v>
      </x:c>
      <x:c r="N14" s="184" t="str">
        <x:v>Visions/CxECTImageWinForms/Models/ImageSize.cs</x:v>
      </x:c>
      <x:c r="O14" s="183" t="str">
        <x:v>V4.9对象/属性/方法
V2.01：名称/子方面线索；处置=规划独立契约候选·未批准新增
V7.8：V7.8同名且源文件对应；Visions/CxECTImageWinForms/Models/ImageSize.cs</x:v>
      </x:c>
      <x:c r="P14" s="136" t="str">
        <x:v>V4.9对象/属性/方法</x:v>
      </x:c>
      <x:c r="Q14"/>
      <x:c r="R14"/>
      <x:c r="S14"/>
    </x:row>
    <x:row r="15" ht="72" customHeight="1">
      <x:c r="A15" s="179" t="str">
        <x:v>F11</x:v>
      </x:c>
      <x:c r="B15" s="180" t="str">
        <x:v>图像与像素｜图像空间及像素格式
Image Pixels</x:v>
      </x:c>
      <x:c r="C15" s="180" t="str">
        <x:v>FIPImageSpace</x:v>
      </x:c>
      <x:c r="D15" s="179" t="str">
        <x:v>增构候选·待查重</x:v>
      </x:c>
      <x:c r="E15" s="180" t="str">
        <x:v>表达和承载二维图像空间的基础数据或计算参数</x:v>
      </x:c>
      <x:c r="F15" s="180" t="str">
        <x:v>Origin；Scale；Direction</x:v>
      </x:c>
      <x:c r="G15" s="180" t="str">
        <x:v>PixelToWorld</x:v>
      </x:c>
      <x:c r="H15" s="180" t="str">
        <x:v>待逐对象核实</x:v>
      </x:c>
      <x:c r="I15" s="180" t="str">
        <x:v>ImageSpace</x:v>
      </x:c>
      <x:c r="J15" s="179" t="str">
        <x:v>值类型候选</x:v>
      </x:c>
      <x:c r="K15" s="180" t="str">
        <x:v>生命周期：基础数据/值对象</x:v>
      </x:c>
      <x:c r="L15" s="183" t="str">
        <x:v>设计候选，尚待源码验证</x:v>
      </x:c>
      <x:c r="M15" s="183" t="str">
        <x:v>F11.ImageSpace</x:v>
      </x:c>
      <x:c r="N15" s="184" t="str">
        <x:v>05_基础对象与基础计算!C118</x:v>
      </x:c>
      <x:c r="O15" s="183" t="str">
        <x:v>V4.9对象/属性/方法
V2.01：名称/子方面线索；处置=规划独立契约候选·未批准新增
V7.8：V7.8未检出同名词法声明</x:v>
      </x:c>
      <x:c r="P15" s="136" t="str">
        <x:v>V4.9对象/属性/方法</x:v>
      </x:c>
      <x:c r="Q15"/>
      <x:c r="R15"/>
      <x:c r="S15"/>
    </x:row>
    <x:row r="16" ht="72" customHeight="1">
      <x:c r="A16" s="179" t="str">
        <x:v>F11</x:v>
      </x:c>
      <x:c r="B16" s="180" t="str">
        <x:v>图像与像素｜图像空间及像素格式
Image Pixels</x:v>
      </x:c>
      <x:c r="C16" s="180" t="str">
        <x:v>FIPImageStatistics</x:v>
      </x:c>
      <x:c r="D16" s="179" t="str">
        <x:v>复用待核</x:v>
      </x:c>
      <x:c r="E16" s="180" t="str">
        <x:v>提供无状态图像统计值运算，不持有会话/设备/全局缓存</x:v>
      </x:c>
      <x:c r="F16" s="180" t="str">
        <x:v>Min；Max；Mean</x:v>
      </x:c>
      <x:c r="G16" s="180" t="str">
        <x:v>Compute</x:v>
      </x:c>
      <x:c r="H16" s="180" t="str">
        <x:v>待逐对象核实</x:v>
      </x:c>
      <x:c r="I16" s="180" t="str">
        <x:v>ImageStatistics</x:v>
      </x:c>
      <x:c r="J16" s="179" t="str">
        <x:v>静态类</x:v>
      </x:c>
      <x:c r="K16" s="180" t="str">
        <x:v>生命周期：基础值/纯计算</x:v>
      </x:c>
      <x:c r="L16" s="183" t="str">
        <x:v>V7.8源码词法匹配，尚未验收</x:v>
      </x:c>
      <x:c r="M16" s="183" t="str">
        <x:v>F11.ImageStatistics</x:v>
      </x:c>
      <x:c r="N16" s="184" t="str">
        <x:v>Visions/CxECTImageWinForms/Services/ImageStatisticsService.cs</x:v>
      </x:c>
      <x:c r="O16" s="183" t="str">
        <x:v>V4.9对象/属性/方法
V2.01：名称/子方面线索；处置=规划独立契约候选·未批准新增
V7.8：V7.8同名且源文件对应；Visions/CxECTImageWinForms/Services/ImageStatisticsService.cs</x:v>
      </x:c>
      <x:c r="P16" s="136" t="str">
        <x:v>V4.9对象/属性/方法</x:v>
      </x:c>
      <x:c r="Q16"/>
      <x:c r="R16"/>
      <x:c r="S16"/>
    </x:row>
    <x:row r="17" ht="72" customHeight="1">
      <x:c r="A17" s="179" t="str">
        <x:v>F11</x:v>
      </x:c>
      <x:c r="B17" s="180" t="str">
        <x:v>图像与像素｜图像空间及像素格式
Image Pixels</x:v>
      </x:c>
      <x:c r="C17" s="180" t="str">
        <x:v>FIPImageStride</x:v>
      </x:c>
      <x:c r="D17" s="179" t="str">
        <x:v>增构候选·待查重</x:v>
      </x:c>
      <x:c r="E17" s="180" t="str">
        <x:v>表达和承载图像步长的基础数据或计算参数</x:v>
      </x:c>
      <x:c r="F17" s="180" t="str">
        <x:v>RowBytes；Alignment</x:v>
      </x:c>
      <x:c r="G17" s="180" t="str">
        <x:v>Compute</x:v>
      </x:c>
      <x:c r="H17" s="180" t="str">
        <x:v>待逐对象核实</x:v>
      </x:c>
      <x:c r="I17" s="180" t="str">
        <x:v>ImageStride</x:v>
      </x:c>
      <x:c r="J17" s="179" t="str">
        <x:v>值类型候选</x:v>
      </x:c>
      <x:c r="K17" s="180" t="str">
        <x:v>生命周期：基础数据/值对象</x:v>
      </x:c>
      <x:c r="L17" s="183" t="str">
        <x:v>设计候选，尚待源码验证</x:v>
      </x:c>
      <x:c r="M17" s="183" t="str">
        <x:v>F11.ImageStride</x:v>
      </x:c>
      <x:c r="N17" s="184" t="str">
        <x:v>05_基础对象与基础计算!C120</x:v>
      </x:c>
      <x:c r="O17" s="183" t="str">
        <x:v>V4.9对象/属性/方法
V2.01：名称/子方面线索；处置=规划独立契约候选·未批准新增
V7.8：V7.8未检出同名词法声明</x:v>
      </x:c>
      <x:c r="P17" s="136" t="str">
        <x:v>V4.9对象/属性/方法</x:v>
      </x:c>
      <x:c r="Q17"/>
      <x:c r="R17"/>
      <x:c r="S17"/>
    </x:row>
    <x:row r="18" ht="72" customHeight="1">
      <x:c r="A18" s="179" t="str">
        <x:v>F11</x:v>
      </x:c>
      <x:c r="B18" s="180" t="str">
        <x:v>图像与像素｜图像空间及像素格式
Image Pixels</x:v>
      </x:c>
      <x:c r="C18" s="180" t="str">
        <x:v>FIPMorphology2DOps</x:v>
      </x:c>
      <x:c r="D18" s="179" t="str">
        <x:v>增构候选·待查重</x:v>
      </x:c>
      <x:c r="E18" s="180" t="str">
        <x:v>提供无状态二维形态学计算运算，不持有会话/设备/全局缓存</x:v>
      </x:c>
      <x:c r="F18" s="180" t="str">
        <x:v>Kernel；Mask</x:v>
      </x:c>
      <x:c r="G18" s="180" t="str">
        <x:v>Erode；Dilate；Open；Close</x:v>
      </x:c>
      <x:c r="H18" s="180" t="str">
        <x:v>待逐对象核实</x:v>
      </x:c>
      <x:c r="I18" s="180" t="str">
        <x:v>Morphology2DOps</x:v>
      </x:c>
      <x:c r="J18" s="179" t="str">
        <x:v>静态类</x:v>
      </x:c>
      <x:c r="K18" s="180" t="str">
        <x:v>生命周期：基础值/纯计算</x:v>
      </x:c>
      <x:c r="L18" s="183" t="str">
        <x:v>设计候选，尚待源码验证</x:v>
      </x:c>
      <x:c r="M18" s="183" t="str">
        <x:v>F11.Morphology2DOps</x:v>
      </x:c>
      <x:c r="N18" s="184" t="str">
        <x:v>05_基础对象与基础计算!C121</x:v>
      </x:c>
      <x:c r="O18" s="183" t="str">
        <x:v>V4.9对象/属性/方法
V2.01：名称/子方面线索；处置=规划独立契约候选·未批准新增
V7.8：V7.8未检出同名词法声明</x:v>
      </x:c>
      <x:c r="P18" s="136" t="str">
        <x:v>V4.9对象/属性/方法</x:v>
      </x:c>
      <x:c r="Q18"/>
      <x:c r="R18"/>
      <x:c r="S18"/>
    </x:row>
    <x:row r="19" ht="72" customHeight="1">
      <x:c r="A19" s="179" t="str">
        <x:v>F11</x:v>
      </x:c>
      <x:c r="B19" s="180" t="str">
        <x:v>图像与像素｜图像空间及像素格式
Image Pixels</x:v>
      </x:c>
      <x:c r="C19" s="180" t="str">
        <x:v>FIPPixelAccessOps</x:v>
      </x:c>
      <x:c r="D19" s="179" t="str">
        <x:v>增构候选·待查重</x:v>
      </x:c>
      <x:c r="E19" s="180" t="str">
        <x:v>提供无状态像素访问算法运算，不持有会话/设备/全局缓存</x:v>
      </x:c>
      <x:c r="F19" s="180" t="str">
        <x:v>Buffer；Boundary</x:v>
      </x:c>
      <x:c r="G19" s="180" t="str">
        <x:v>Get；Set；Sample</x:v>
      </x:c>
      <x:c r="H19" s="180" t="str">
        <x:v>待逐对象核实</x:v>
      </x:c>
      <x:c r="I19" s="180" t="str">
        <x:v>PixelAccessOps</x:v>
      </x:c>
      <x:c r="J19" s="179" t="str">
        <x:v>静态类</x:v>
      </x:c>
      <x:c r="K19" s="180" t="str">
        <x:v>生命周期：基础值/纯计算</x:v>
      </x:c>
      <x:c r="L19" s="183" t="str">
        <x:v>设计候选，尚待源码验证</x:v>
      </x:c>
      <x:c r="M19" s="183" t="str">
        <x:v>F11.PixelAccessOps</x:v>
      </x:c>
      <x:c r="N19" s="184" t="str">
        <x:v>05_基础对象与基础计算!C122</x:v>
      </x:c>
      <x:c r="O19" s="183" t="str">
        <x:v>V4.9对象/属性/方法
V2.01：名称/子方面线索；处置=规划独立契约候选·未批准新增
V7.8：V7.8未检出同名词法声明</x:v>
      </x:c>
      <x:c r="P19" s="136" t="str">
        <x:v>V4.9对象/属性/方法</x:v>
      </x:c>
      <x:c r="Q19"/>
      <x:c r="R19"/>
      <x:c r="S19"/>
    </x:row>
    <x:row r="20" ht="72" customHeight="1">
      <x:c r="A20" s="179" t="str">
        <x:v>F11</x:v>
      </x:c>
      <x:c r="B20" s="180" t="str">
        <x:v>图像与像素｜图像空间及像素格式
Image Pixels</x:v>
      </x:c>
      <x:c r="C20" s="180" t="str">
        <x:v>FIPPixelFormat</x:v>
      </x:c>
      <x:c r="D20" s="179" t="str">
        <x:v>增构候选·待查重</x:v>
      </x:c>
      <x:c r="E20" s="180" t="str">
        <x:v>表达和承载像素格式定义的基础数据或计算参数</x:v>
      </x:c>
      <x:c r="F20" s="180" t="str">
        <x:v>Depth；Channels；Layout</x:v>
      </x:c>
      <x:c r="G20" s="180" t="str">
        <x:v>BytesPerPixel</x:v>
      </x:c>
      <x:c r="H20" s="180" t="str">
        <x:v>待逐对象核实</x:v>
      </x:c>
      <x:c r="I20" s="180" t="str">
        <x:v>PixelFormat</x:v>
      </x:c>
      <x:c r="J20" s="179" t="str">
        <x:v>值类型候选</x:v>
      </x:c>
      <x:c r="K20" s="180" t="str">
        <x:v>生命周期：基础数据/值对象</x:v>
      </x:c>
      <x:c r="L20" s="183" t="str">
        <x:v>设计候选，尚待源码验证</x:v>
      </x:c>
      <x:c r="M20" s="183" t="str">
        <x:v>F11.PixelFormat</x:v>
      </x:c>
      <x:c r="N20" s="184" t="str">
        <x:v>05_基础对象与基础计算!C123</x:v>
      </x:c>
      <x:c r="O20" s="183" t="str">
        <x:v>V4.9对象/属性/方法
V2.01：名称/子方面线索；处置=规划独立契约候选·未批准新增
V7.8：V7.8未检出同名词法声明</x:v>
      </x:c>
      <x:c r="P20" s="136" t="str">
        <x:v>V4.9对象/属性/方法</x:v>
      </x:c>
      <x:c r="Q20"/>
      <x:c r="R20"/>
      <x:c r="S20"/>
    </x:row>
    <x:row r="21" ht="72" customHeight="1">
      <x:c r="A21" s="179" t="str">
        <x:v>F11</x:v>
      </x:c>
      <x:c r="B21" s="180" t="str">
        <x:v>图像与像素｜图像空间及像素格式
Image Pixels</x:v>
      </x:c>
      <x:c r="C21" s="180" t="str">
        <x:v>IFIPImageBuffer</x:v>
      </x:c>
      <x:c r="D21" s="179" t="str">
        <x:v>增构候选·待查重</x:v>
      </x:c>
      <x:c r="E21" s="180" t="str">
        <x:v>表达和承载图像像素缓冲的基础数据或计算参数</x:v>
      </x:c>
      <x:c r="F21" s="180" t="str">
        <x:v>Memory, Stride, Format</x:v>
      </x:c>
      <x:c r="G21" s="180" t="str">
        <x:v>Slice(), Release()</x:v>
      </x:c>
      <x:c r="H21" s="180" t="str">
        <x:v>—（待核）</x:v>
      </x:c>
      <x:c r="I21" s="180" t="str">
        <x:v>ImageBuffer</x:v>
      </x:c>
      <x:c r="J21" s="179" t="str">
        <x:v>类/接口/枚举（待裁决）</x:v>
      </x:c>
      <x:c r="K21" s="180" t="str">
        <x:v>V1.19 S-0105；原实施方式：增构候选。迁移风险：表达和承载图像像素缓冲的基础数据或计算参数</x:v>
      </x:c>
      <x:c r="L21" s="183" t="str">
        <x:v>V1.19设计候选·待核</x:v>
      </x:c>
      <x:c r="M21" s="183" t="str">
        <x:v>S-0105</x:v>
      </x:c>
      <x:c r="N21" s="184" t="str">
        <x:v>05_基础对象与基础计算!C110</x:v>
      </x:c>
      <x:c r="O21" s="183" t="str">
        <x:v>V1.19旧规格候选
V2.01：来源ID对应；处置=规划独立契约候选·未批准新增
V7.8：V7.8未检出同名词法声明</x:v>
      </x:c>
      <x:c r="P21" s="136" t="str">
        <x:v>V1.19旧规格候选</x:v>
      </x:c>
      <x:c r="Q21"/>
      <x:c r="R21"/>
      <x:c r="S21"/>
    </x:row>
    <x:row r="22" ht="72" customHeight="1">
      <x:c r="A22" s="179" t="str">
        <x:v>F22</x:v>
      </x:c>
      <x:c r="B22" s="180" t="str">
        <x:v>渲染与颜色｜颜色、视口与基础排版
Color Rendering</x:v>
      </x:c>
      <x:c r="C22" s="180" t="str">
        <x:v>FCLEasingFunctions</x:v>
      </x:c>
      <x:c r="D22" s="179" t="str">
        <x:v>原有·待核</x:v>
      </x:c>
      <x:c r="E22" s="180" t="str">
        <x:v>提供EasingFunctions相关基础操作或类型辅助处理</x:v>
      </x:c>
      <x:c r="F22" s="180" t="str">
        <x:v>—（无公开声明或待核对）</x:v>
      </x:c>
      <x:c r="G22" s="180" t="str">
        <x:v>Apply(string easing, double value)</x:v>
      </x:c>
      <x:c r="H22" s="180" t="str">
        <x:v>—（待核）</x:v>
      </x:c>
      <x:c r="I22" s="180" t="str">
        <x:v>CxVisual.Runtime.Core.EasingFunctions</x:v>
      </x:c>
      <x:c r="J22" s="179" t="str">
        <x:v>静态类</x:v>
      </x:c>
      <x:c r="K22" s="180" t="str">
        <x:v>V1.19 C-0068；原实施方式：原有。迁移风险：提供EasingFunctions相关基础操作或类型辅助处理</x:v>
      </x:c>
      <x:c r="L22" s="183" t="str">
        <x:v>源代码声明·待复核</x:v>
      </x:c>
      <x:c r="M22" s="183" t="str">
        <x:v>C-0068</x:v>
      </x:c>
      <x:c r="N22" s="184" t="str">
        <x:v>Platform/Runtime/AnimationRuntime.cs</x:v>
      </x:c>
      <x:c r="O22" s="183" t="str">
        <x:v>V1.19旧源码类型（真实成员/实现仍待核）
V2.01：来源ID对应；处置=保留源码·公开契约复核
V7.8：V7.8同名且源文件对应；Platform/Runtime/AnimationRuntime.cs</x:v>
      </x:c>
      <x:c r="P22" s="136" t="str">
        <x:v>V1.19旧源码类型（真实成员/实现仍待核）</x:v>
      </x:c>
      <x:c r="Q22"/>
      <x:c r="R22"/>
      <x:c r="S22"/>
    </x:row>
    <x:row r="23" ht="72" customHeight="1">
      <x:c r="A23" s="179" t="str">
        <x:v>F22</x:v>
      </x:c>
      <x:c r="B23" s="180" t="str">
        <x:v>渲染与颜色｜颜色、视口与基础排版
Color Rendering</x:v>
      </x:c>
      <x:c r="C23" s="180" t="str">
        <x:v>FCLGradientPaintModel</x:v>
      </x:c>
      <x:c r="D23" s="179" t="str">
        <x:v>原有·待核</x:v>
      </x:c>
      <x:c r="E23" s="180" t="str">
        <x:v>承载可持久化的渐变填充样式定义</x:v>
      </x:c>
      <x:c r="F23" s="180" t="str">
        <x:v>Kind, X1, Y1, X2, Y2, CenterX, CenterY, FocusX, FocusY, RadiusX, RadiusY, Stops</x:v>
      </x:c>
      <x:c r="G23" s="180" t="str">
        <x:v>Clone()</x:v>
      </x:c>
      <x:c r="H23" s="180" t="str">
        <x:v>—（待核）</x:v>
      </x:c>
      <x:c r="I23" s="180" t="str">
        <x:v>CxVisual.Core.GradientPaintModel</x:v>
      </x:c>
      <x:c r="J23" s="179" t="str">
        <x:v>类</x:v>
      </x:c>
      <x:c r="K23" s="180" t="str">
        <x:v>V1.19 C-0065；原实施方式：原有。迁移风险：承载可持久化的渐变填充样式定义</x:v>
      </x:c>
      <x:c r="L23" s="183" t="str">
        <x:v>源代码声明·待复核</x:v>
      </x:c>
      <x:c r="M23" s="183" t="str">
        <x:v>C-0065</x:v>
      </x:c>
      <x:c r="N23" s="184" t="str">
        <x:v>Platform/Core/Primitives.cs</x:v>
      </x:c>
      <x:c r="O23" s="183" t="str">
        <x:v>V1.19旧源码类型（真实成员/实现仍待核）
V2.01：来源ID对应；处置=保留源码·公开契约复核
V7.8：V7.8同名且源文件对应；Platform/Core/Primitives.cs</x:v>
      </x:c>
      <x:c r="P23" s="136" t="str">
        <x:v>V1.19旧源码类型（真实成员/实现仍待核）</x:v>
      </x:c>
      <x:c r="Q23"/>
      <x:c r="R23"/>
      <x:c r="S23"/>
    </x:row>
    <x:row r="24" ht="72" customHeight="1">
      <x:c r="A24" s="179" t="str">
        <x:v>F22</x:v>
      </x:c>
      <x:c r="B24" s="180" t="str">
        <x:v>渲染与颜色｜颜色、视口与基础排版
Color Rendering</x:v>
      </x:c>
      <x:c r="C24" s="180" t="str">
        <x:v>FCLGradientStopModel</x:v>
      </x:c>
      <x:c r="D24" s="179" t="str">
        <x:v>原有·待核</x:v>
      </x:c>
      <x:c r="E24" s="180" t="str">
        <x:v>定义渐变色标的位置与颜色参数</x:v>
      </x:c>
      <x:c r="F24" s="180" t="str">
        <x:v>Offset, Color, Opacity</x:v>
      </x:c>
      <x:c r="G24" s="180" t="str">
        <x:v>Clone()</x:v>
      </x:c>
      <x:c r="H24" s="180" t="str">
        <x:v>—（待核）</x:v>
      </x:c>
      <x:c r="I24" s="180" t="str">
        <x:v>CxVisual.Core.GradientStopModel</x:v>
      </x:c>
      <x:c r="J24" s="179" t="str">
        <x:v>类</x:v>
      </x:c>
      <x:c r="K24" s="180" t="str">
        <x:v>V1.19 C-0066；原实施方式：原有。迁移风险：定义渐变色标的位置与颜色参数</x:v>
      </x:c>
      <x:c r="L24" s="183" t="str">
        <x:v>源代码声明·待复核</x:v>
      </x:c>
      <x:c r="M24" s="183" t="str">
        <x:v>C-0066</x:v>
      </x:c>
      <x:c r="N24" s="184" t="str">
        <x:v>Platform/Core/Primitives.cs</x:v>
      </x:c>
      <x:c r="O24" s="183" t="str">
        <x:v>V1.19旧源码类型（真实成员/实现仍待核）
V2.01：来源ID对应；处置=保留源码·公开契约复核
V7.8：V7.8同名且源文件对应；Platform/Core/Primitives.cs</x:v>
      </x:c>
      <x:c r="P24" s="136" t="str">
        <x:v>V1.19旧源码类型（真实成员/实现仍待核）</x:v>
      </x:c>
      <x:c r="Q24"/>
      <x:c r="R24"/>
      <x:c r="S24"/>
    </x:row>
    <x:row r="25" ht="72" customHeight="1">
      <x:c r="A25" s="179" t="str">
        <x:v>F22</x:v>
      </x:c>
      <x:c r="B25" s="180" t="str">
        <x:v>渲染与颜色｜颜色、视口与基础排版
Color Rendering</x:v>
      </x:c>
      <x:c r="C25" s="180" t="str">
        <x:v>FCLStyleModel</x:v>
      </x:c>
      <x:c r="D25" s="179" t="str">
        <x:v>原有·待核</x:v>
      </x:c>
      <x:c r="E25" s="180" t="str">
        <x:v>承载元素的颜色、描边、剪切及其他外观样式</x:v>
      </x:c>
      <x:c r="F25" s="180" t="str">
        <x:v>Fill, Stroke, StrokeWidth, Opacity, DashStyle, FillGradient, StrokeGradient, ClipPathData, ClipSourceOrigin, MaskMarkup</x:v>
      </x:c>
      <x:c r="G25" s="180" t="str">
        <x:v>ShouldSerializeClipSourceOrigin(), Clone()</x:v>
      </x:c>
      <x:c r="H25" s="180" t="str">
        <x:v>—（待核）</x:v>
      </x:c>
      <x:c r="I25" s="180" t="str">
        <x:v>CxVisual.Core.StyleModel</x:v>
      </x:c>
      <x:c r="J25" s="179" t="str">
        <x:v>类</x:v>
      </x:c>
      <x:c r="K25" s="180" t="str">
        <x:v>V1.19 C-0067；原实施方式：原有。迁移风险：承载元素的颜色、描边、剪切及其他外观样式</x:v>
      </x:c>
      <x:c r="L25" s="183" t="str">
        <x:v>源代码声明·待复核</x:v>
      </x:c>
      <x:c r="M25" s="183" t="str">
        <x:v>C-0067</x:v>
      </x:c>
      <x:c r="N25" s="184" t="str">
        <x:v>Platform/Core/Primitives.cs</x:v>
      </x:c>
      <x:c r="O25" s="183" t="str">
        <x:v>V1.19旧源码类型（真实成员/实现仍待核）
V2.01：来源ID对应；处置=保留源码·公开契约复核
V7.8：V7.8同名且源文件对应；Platform/Core/Primitives.cs</x:v>
      </x:c>
      <x:c r="P25" s="136" t="str">
        <x:v>V1.19旧源码类型（真实成员/实现仍待核）</x:v>
      </x:c>
      <x:c r="Q25"/>
      <x:c r="R25"/>
      <x:c r="S25"/>
    </x:row>
    <x:row r="26" ht="72" customHeight="1">
      <x:c r="A26" s="179" t="str">
        <x:v>F22</x:v>
      </x:c>
      <x:c r="B26" s="180" t="str">
        <x:v>渲染与颜色｜颜色、视口与基础排版
Color Rendering</x:v>
      </x:c>
      <x:c r="C26" s="180" t="str">
        <x:v>FCLColorConversionOps</x:v>
      </x:c>
      <x:c r="D26" s="179" t="str">
        <x:v>增构候选·待查重</x:v>
      </x:c>
      <x:c r="E26" s="180" t="str">
        <x:v>提供无状态颜色空间转换运算，不持有会话/设备/全局缓存</x:v>
      </x:c>
      <x:c r="F26" s="180" t="str">
        <x:v>ColorProfile</x:v>
      </x:c>
      <x:c r="G26" s="180" t="str">
        <x:v>RgbToLab；HsvToRgb</x:v>
      </x:c>
      <x:c r="H26" s="180" t="str">
        <x:v>待逐对象核实</x:v>
      </x:c>
      <x:c r="I26" s="180" t="str">
        <x:v>ColorConversionOps</x:v>
      </x:c>
      <x:c r="J26" s="179" t="str">
        <x:v>静态类</x:v>
      </x:c>
      <x:c r="K26" s="180" t="str">
        <x:v>生命周期：基础值/纯计算</x:v>
      </x:c>
      <x:c r="L26" s="183" t="str">
        <x:v>设计候选，尚待源码验证</x:v>
      </x:c>
      <x:c r="M26" s="183" t="str">
        <x:v>F22.ColorConversionOps</x:v>
      </x:c>
      <x:c r="N26" s="184" t="str">
        <x:v>05_基础对象与基础计算!C227</x:v>
      </x:c>
      <x:c r="O26" s="183" t="str">
        <x:v>V4.9对象/属性/方法
V2.01：名称/子方面线索；处置=规划独立契约候选·未批准新增
V7.8：V7.8未检出同名词法声明</x:v>
      </x:c>
      <x:c r="P26" s="136" t="str">
        <x:v>V4.9对象/属性/方法</x:v>
      </x:c>
      <x:c r="Q26"/>
      <x:c r="R26"/>
      <x:c r="S26"/>
    </x:row>
    <x:row r="27" ht="72" customHeight="1">
      <x:c r="A27" s="179" t="str">
        <x:v>F22</x:v>
      </x:c>
      <x:c r="B27" s="180" t="str">
        <x:v>渲染与颜色｜颜色、视口与基础排版
Color Rendering</x:v>
      </x:c>
      <x:c r="C27" s="180" t="str">
        <x:v>FCLColorRgba</x:v>
      </x:c>
      <x:c r="D27" s="179" t="str">
        <x:v>增构候选·待查重</x:v>
      </x:c>
      <x:c r="E27" s="180" t="str">
        <x:v>表达和承载RGBA颜色值的基础数据或计算参数</x:v>
      </x:c>
      <x:c r="F27" s="180" t="str">
        <x:v>R；G；B；A；public byte A { get; }</x:v>
      </x:c>
      <x:c r="G27" s="180" t="str">
        <x:v>Blend；Convert</x:v>
      </x:c>
      <x:c r="H27" s="180" t="str">
        <x:v>待逐对象核实</x:v>
      </x:c>
      <x:c r="I27" s="180" t="str">
        <x:v>ColorRgba</x:v>
      </x:c>
      <x:c r="J27" s="179" t="str">
        <x:v>值类型候选</x:v>
      </x:c>
      <x:c r="K27" s="180" t="str">
        <x:v>生命周期：基础数据/值对象</x:v>
      </x:c>
      <x:c r="L27" s="183" t="str">
        <x:v>设计候选，尚待源码验证</x:v>
      </x:c>
      <x:c r="M27" s="183" t="str">
        <x:v>F22.ColorRgba</x:v>
      </x:c>
      <x:c r="N27" s="184" t="str">
        <x:v>05_基础对象与基础计算!C228</x:v>
      </x:c>
      <x:c r="O27" s="183" t="str">
        <x:v>V4.9对象/属性/方法
V2.01：名称/子方面线索；处置=规划独立契约候选·未批准新增
V7.8：V7.8未检出同名词法声明</x:v>
      </x:c>
      <x:c r="P27" s="136" t="str">
        <x:v>V4.9对象/属性/方法</x:v>
      </x:c>
      <x:c r="Q27"/>
      <x:c r="R27"/>
      <x:c r="S27"/>
    </x:row>
    <x:row r="28" ht="72" customHeight="1">
      <x:c r="A28" s="179" t="str">
        <x:v>F22</x:v>
      </x:c>
      <x:c r="B28" s="180" t="str">
        <x:v>渲染与颜色｜颜色、视口与基础排版
Color Rendering</x:v>
      </x:c>
      <x:c r="C28" s="180" t="str">
        <x:v>FCLColorSpace</x:v>
      </x:c>
      <x:c r="D28" s="179" t="str">
        <x:v>增构候选·待查重</x:v>
      </x:c>
      <x:c r="E28" s="180" t="str">
        <x:v>表达和承载颜色空间定义的基础数据或计算参数</x:v>
      </x:c>
      <x:c r="F28" s="180" t="str">
        <x:v>Primaries；Gamma；WhitePoint</x:v>
      </x:c>
      <x:c r="G28" s="180" t="str">
        <x:v>Convert</x:v>
      </x:c>
      <x:c r="H28" s="180" t="str">
        <x:v>待逐对象核实</x:v>
      </x:c>
      <x:c r="I28" s="180" t="str">
        <x:v>ColorSpace</x:v>
      </x:c>
      <x:c r="J28" s="179" t="str">
        <x:v>值类型候选</x:v>
      </x:c>
      <x:c r="K28" s="180" t="str">
        <x:v>生命周期：基础数据/值对象</x:v>
      </x:c>
      <x:c r="L28" s="183" t="str">
        <x:v>设计候选，尚待源码验证</x:v>
      </x:c>
      <x:c r="M28" s="183" t="str">
        <x:v>F22.ColorSpace</x:v>
      </x:c>
      <x:c r="N28" s="184" t="str">
        <x:v>05_基础对象与基础计算!C229</x:v>
      </x:c>
      <x:c r="O28" s="183" t="str">
        <x:v>V4.9对象/属性/方法
V2.01：名称/子方面线索；处置=规划独立契约候选·未批准新增
V7.8：V7.8未检出同名词法声明</x:v>
      </x:c>
      <x:c r="P28" s="136" t="str">
        <x:v>V4.9对象/属性/方法</x:v>
      </x:c>
      <x:c r="Q28"/>
      <x:c r="R28"/>
      <x:c r="S28"/>
    </x:row>
    <x:row r="29" ht="72" customHeight="1">
      <x:c r="A29" s="179" t="str">
        <x:v>F22</x:v>
      </x:c>
      <x:c r="B29" s="180" t="str">
        <x:v>渲染与颜色｜颜色、视口与基础排版
Color Rendering</x:v>
      </x:c>
      <x:c r="C29" s="180" t="str">
        <x:v>FCLFontMetrics</x:v>
      </x:c>
      <x:c r="D29" s="179" t="str">
        <x:v>增构候选·待查重</x:v>
      </x:c>
      <x:c r="E29" s="180" t="str">
        <x:v>表达和承载字体度量的基础数据或计算参数</x:v>
      </x:c>
      <x:c r="F29" s="180" t="str">
        <x:v>Family；Size；Ascent</x:v>
      </x:c>
      <x:c r="G29" s="180" t="str">
        <x:v>Measure</x:v>
      </x:c>
      <x:c r="H29" s="180" t="str">
        <x:v>待逐对象核实</x:v>
      </x:c>
      <x:c r="I29" s="180" t="str">
        <x:v>FontMetrics</x:v>
      </x:c>
      <x:c r="J29" s="179" t="str">
        <x:v>值类型候选</x:v>
      </x:c>
      <x:c r="K29" s="180" t="str">
        <x:v>生命周期：基础数据/值对象</x:v>
      </x:c>
      <x:c r="L29" s="183" t="str">
        <x:v>设计候选，尚待源码验证</x:v>
      </x:c>
      <x:c r="M29" s="183" t="str">
        <x:v>F22.FontMetrics</x:v>
      </x:c>
      <x:c r="N29" s="184" t="str">
        <x:v>05_基础对象与基础计算!C230</x:v>
      </x:c>
      <x:c r="O29" s="183" t="str">
        <x:v>V4.9对象/属性/方法
V2.01：名称/子方面线索；处置=规划独立契约候选·未批准新增
V7.8：V7.8未检出同名词法声明</x:v>
      </x:c>
      <x:c r="P29" s="136" t="str">
        <x:v>V4.9对象/属性/方法</x:v>
      </x:c>
      <x:c r="Q29"/>
      <x:c r="R29"/>
      <x:c r="S29"/>
    </x:row>
    <x:row r="30" ht="72" customHeight="1">
      <x:c r="A30" s="179" t="str">
        <x:v>F22</x:v>
      </x:c>
      <x:c r="B30" s="180" t="str">
        <x:v>渲染与颜色｜颜色、视口与基础排版
Color Rendering</x:v>
      </x:c>
      <x:c r="C30" s="180" t="str">
        <x:v>FCLGeometryRasterOps</x:v>
      </x:c>
      <x:c r="D30" s="179" t="str">
        <x:v>增构候选·待查重</x:v>
      </x:c>
      <x:c r="E30" s="180" t="str">
        <x:v>提供无状态基础栅格化运算，不持有会话/设备/全局缓存</x:v>
      </x:c>
      <x:c r="F30" s="180" t="str">
        <x:v>Paths；Transform</x:v>
      </x:c>
      <x:c r="G30" s="180" t="str">
        <x:v>Rasterize</x:v>
      </x:c>
      <x:c r="H30" s="180" t="str">
        <x:v>待逐对象核实</x:v>
      </x:c>
      <x:c r="I30" s="180" t="str">
        <x:v>GeometryRasterOps</x:v>
      </x:c>
      <x:c r="J30" s="179" t="str">
        <x:v>静态类</x:v>
      </x:c>
      <x:c r="K30" s="180" t="str">
        <x:v>生命周期：基础值/纯计算</x:v>
      </x:c>
      <x:c r="L30" s="183" t="str">
        <x:v>设计候选，尚待源码验证</x:v>
      </x:c>
      <x:c r="M30" s="183" t="str">
        <x:v>F22.GeometryRasterOps</x:v>
      </x:c>
      <x:c r="N30" s="184" t="str">
        <x:v>05_基础对象与基础计算!C231</x:v>
      </x:c>
      <x:c r="O30" s="183" t="str">
        <x:v>V4.9对象/属性/方法
V2.01：名称/子方面线索；处置=规划独立契约候选·未批准新增
V7.8：V7.8未检出同名词法声明</x:v>
      </x:c>
      <x:c r="P30" s="136" t="str">
        <x:v>V4.9对象/属性/方法</x:v>
      </x:c>
      <x:c r="Q30"/>
      <x:c r="R30"/>
      <x:c r="S30"/>
    </x:row>
    <x:row r="31" ht="72" customHeight="1">
      <x:c r="A31" s="179" t="str">
        <x:v>F22</x:v>
      </x:c>
      <x:c r="B31" s="180" t="str">
        <x:v>渲染与颜色｜颜色、视口与基础排版
Color Rendering</x:v>
      </x:c>
      <x:c r="C31" s="180" t="str">
        <x:v>FCLRectTransform</x:v>
      </x:c>
      <x:c r="D31" s="179" t="str">
        <x:v>增构候选·待查重</x:v>
      </x:c>
      <x:c r="E31" s="180" t="str">
        <x:v>表达和承载矩形布局变换的基础数据或计算参数</x:v>
      </x:c>
      <x:c r="F31" s="180" t="str">
        <x:v>Anchor；Pivot；Scale</x:v>
      </x:c>
      <x:c r="G31" s="180" t="str">
        <x:v>Apply</x:v>
      </x:c>
      <x:c r="H31" s="180" t="str">
        <x:v>待逐对象核实</x:v>
      </x:c>
      <x:c r="I31" s="180" t="str">
        <x:v>RectTransform</x:v>
      </x:c>
      <x:c r="J31" s="179" t="str">
        <x:v>值类型候选</x:v>
      </x:c>
      <x:c r="K31" s="180" t="str">
        <x:v>生命周期：基础数据/值对象</x:v>
      </x:c>
      <x:c r="L31" s="183" t="str">
        <x:v>设计候选，尚待源码验证</x:v>
      </x:c>
      <x:c r="M31" s="183" t="str">
        <x:v>F22.RectTransform</x:v>
      </x:c>
      <x:c r="N31" s="184" t="str">
        <x:v>05_基础对象与基础计算!C232</x:v>
      </x:c>
      <x:c r="O31" s="183" t="str">
        <x:v>V4.9对象/属性/方法
V2.01：名称/子方面线索；处置=规划独立契约候选·未批准新增
V7.8：V7.8未检出同名词法声明</x:v>
      </x:c>
      <x:c r="P31" s="136" t="str">
        <x:v>V4.9对象/属性/方法</x:v>
      </x:c>
      <x:c r="Q31"/>
      <x:c r="R31"/>
      <x:c r="S31"/>
    </x:row>
    <x:row r="32" ht="72" customHeight="1">
      <x:c r="A32" s="179" t="str">
        <x:v>F22</x:v>
      </x:c>
      <x:c r="B32" s="180" t="str">
        <x:v>渲染与颜色｜颜色、视口与基础排版
Color Rendering</x:v>
      </x:c>
      <x:c r="C32" s="180" t="str">
        <x:v>FCLRenderMathUtil</x:v>
      </x:c>
      <x:c r="D32" s="179" t="str">
        <x:v>增构候选·待查重</x:v>
      </x:c>
      <x:c r="E32" s="180" t="str">
        <x:v>提供无状态渲染数学辅助运算，不持有会话/设备/全局缓存</x:v>
      </x:c>
      <x:c r="F32" s="180" t="str">
        <x:v>Viewport；Transform</x:v>
      </x:c>
      <x:c r="G32" s="180" t="str">
        <x:v>Project；Unproject</x:v>
      </x:c>
      <x:c r="H32" s="180" t="str">
        <x:v>待逐对象核实</x:v>
      </x:c>
      <x:c r="I32" s="180" t="str">
        <x:v>RenderMathUtil</x:v>
      </x:c>
      <x:c r="J32" s="179" t="str">
        <x:v>静态类</x:v>
      </x:c>
      <x:c r="K32" s="180" t="str">
        <x:v>生命周期：基础值/纯计算</x:v>
      </x:c>
      <x:c r="L32" s="183" t="str">
        <x:v>设计候选，尚待源码验证</x:v>
      </x:c>
      <x:c r="M32" s="183" t="str">
        <x:v>F22.RenderMathUtil</x:v>
      </x:c>
      <x:c r="N32" s="184" t="str">
        <x:v>05_基础对象与基础计算!C233</x:v>
      </x:c>
      <x:c r="O32" s="183" t="str">
        <x:v>V4.9对象/属性/方法
V2.01：名称/子方面线索；处置=规划独立契约候选·未批准新增
V7.8：V7.8未检出同名词法声明</x:v>
      </x:c>
      <x:c r="P32" s="136" t="str">
        <x:v>V4.9对象/属性/方法</x:v>
      </x:c>
      <x:c r="Q32"/>
      <x:c r="R32"/>
      <x:c r="S32"/>
    </x:row>
    <x:row r="33" ht="72" customHeight="1">
      <x:c r="A33" s="179" t="str">
        <x:v>F22</x:v>
      </x:c>
      <x:c r="B33" s="180" t="str">
        <x:v>渲染与颜色｜颜色、视口与基础排版
Color Rendering</x:v>
      </x:c>
      <x:c r="C33" s="180" t="str">
        <x:v>FCLTextMeasurementOps</x:v>
      </x:c>
      <x:c r="D33" s="179" t="str">
        <x:v>增构候选·待查重</x:v>
      </x:c>
      <x:c r="E33" s="180" t="str">
        <x:v>提供无状态文本度量算法运算，不持有会话/设备/全局缓存</x:v>
      </x:c>
      <x:c r="F33" s="180" t="str">
        <x:v>Font；Text</x:v>
      </x:c>
      <x:c r="G33" s="180" t="str">
        <x:v>Measure</x:v>
      </x:c>
      <x:c r="H33" s="180" t="str">
        <x:v>待逐对象核实</x:v>
      </x:c>
      <x:c r="I33" s="180" t="str">
        <x:v>TextMeasurementOps</x:v>
      </x:c>
      <x:c r="J33" s="179" t="str">
        <x:v>静态类</x:v>
      </x:c>
      <x:c r="K33" s="180" t="str">
        <x:v>生命周期：基础值/纯计算</x:v>
      </x:c>
      <x:c r="L33" s="183" t="str">
        <x:v>设计候选，尚待源码验证</x:v>
      </x:c>
      <x:c r="M33" s="183" t="str">
        <x:v>F22.TextMeasurementOps</x:v>
      </x:c>
      <x:c r="N33" s="184" t="str">
        <x:v>05_基础对象与基础计算!C234</x:v>
      </x:c>
      <x:c r="O33" s="183" t="str">
        <x:v>V4.9对象/属性/方法
V2.01：名称/子方面线索；处置=规划独立契约候选·未批准新增
V7.8：V7.8未检出同名词法声明</x:v>
      </x:c>
      <x:c r="P33" s="136" t="str">
        <x:v>V4.9对象/属性/方法</x:v>
      </x:c>
      <x:c r="Q33"/>
      <x:c r="R33"/>
      <x:c r="S33"/>
    </x:row>
    <x:row r="34" ht="72" customHeight="1">
      <x:c r="A34" s="179" t="str">
        <x:v>F22</x:v>
      </x:c>
      <x:c r="B34" s="180" t="str">
        <x:v>渲染与颜色｜颜色、视口与基础排版
Color Rendering</x:v>
      </x:c>
      <x:c r="C34" s="180" t="str">
        <x:v>FCLViewport2D</x:v>
      </x:c>
      <x:c r="D34" s="179" t="str">
        <x:v>增构候选·待查重</x:v>
      </x:c>
      <x:c r="E34" s="180" t="str">
        <x:v>表达和承载二维视口的基础数据或计算参数</x:v>
      </x:c>
      <x:c r="F34" s="180" t="str">
        <x:v>Origin；Zoom；Rotation</x:v>
      </x:c>
      <x:c r="G34" s="180" t="str">
        <x:v>ScreenToWorld</x:v>
      </x:c>
      <x:c r="H34" s="180" t="str">
        <x:v>待逐对象核实</x:v>
      </x:c>
      <x:c r="I34" s="180" t="str">
        <x:v>Viewport2D</x:v>
      </x:c>
      <x:c r="J34" s="179" t="str">
        <x:v>值类型候选</x:v>
      </x:c>
      <x:c r="K34" s="180" t="str">
        <x:v>生命周期：基础数据/值对象</x:v>
      </x:c>
      <x:c r="L34" s="183" t="str">
        <x:v>设计候选，尚待源码验证</x:v>
      </x:c>
      <x:c r="M34" s="183" t="str">
        <x:v>F22.Viewport2D</x:v>
      </x:c>
      <x:c r="N34" s="184" t="str">
        <x:v>05_基础对象与基础计算!C235</x:v>
      </x:c>
      <x:c r="O34" s="183" t="str">
        <x:v>V4.9对象/属性/方法
V2.01：名称/子方面线索；处置=规划独立契约候选·未批准新增
V7.8：V7.8未检出同名词法声明</x:v>
      </x:c>
      <x:c r="P34" s="136" t="str">
        <x:v>V4.9对象/属性/方法</x:v>
      </x:c>
      <x:c r="Q34"/>
      <x:c r="R34"/>
      <x:c r="S34"/>
    </x:row>
    <x:row r="35" ht="72" customHeight="1">
      <x:c r="A35" s="188"/>
      <x:c r="B35" s="187"/>
      <x:c r="C35" s="187"/>
      <x:c r="D35" s="188"/>
      <x:c r="E35" s="187"/>
      <x:c r="F35" s="187"/>
      <x:c r="G35" s="187"/>
      <x:c r="H35" s="187"/>
      <x:c r="I35" s="187"/>
      <x:c r="J35" s="188"/>
      <x:c r="K35" s="187"/>
      <x:c r="L35" s="190"/>
      <x:c r="M35" s="190"/>
      <x:c r="N35" s="190"/>
      <x:c r="O35" s="190"/>
      <x:c r="P35" s="46"/>
      <x:c r="Q35" s="46"/>
      <x:c r="R35" s="46"/>
      <x:c r="S35" s="46"/>
    </x:row>
    <x:row r="36" ht="72" customHeight="1">
      <x:c r="A36" s="188"/>
      <x:c r="B36" s="187"/>
      <x:c r="C36" s="187"/>
      <x:c r="D36" s="188"/>
      <x:c r="E36" s="187"/>
      <x:c r="F36" s="187"/>
      <x:c r="G36" s="187"/>
      <x:c r="H36" s="187"/>
      <x:c r="I36" s="187"/>
      <x:c r="J36" s="188"/>
      <x:c r="K36" s="187"/>
      <x:c r="L36" s="190"/>
      <x:c r="M36" s="190"/>
      <x:c r="N36" s="190"/>
      <x:c r="O36" s="190"/>
      <x:c r="P36" s="46"/>
      <x:c r="Q36" s="46"/>
      <x:c r="R36" s="46"/>
      <x:c r="S36" s="46"/>
    </x:row>
    <x:row r="37" ht="72" customHeight="1">
      <x:c r="A37" s="188"/>
      <x:c r="B37" s="187"/>
      <x:c r="C37" s="187"/>
      <x:c r="D37" s="188"/>
      <x:c r="E37" s="187"/>
      <x:c r="F37" s="187"/>
      <x:c r="G37" s="187"/>
      <x:c r="H37" s="187"/>
      <x:c r="I37" s="187"/>
      <x:c r="J37" s="188"/>
      <x:c r="K37" s="187"/>
      <x:c r="L37" s="190"/>
      <x:c r="M37" s="190"/>
      <x:c r="N37" s="190"/>
      <x:c r="O37" s="190"/>
      <x:c r="P37" s="46"/>
      <x:c r="Q37" s="46"/>
      <x:c r="R37" s="46"/>
      <x:c r="S37" s="46"/>
    </x:row>
    <x:row r="38" ht="72" customHeight="1">
      <x:c r="A38" s="188"/>
      <x:c r="B38" s="187"/>
      <x:c r="C38" s="187"/>
      <x:c r="D38" s="188"/>
      <x:c r="E38" s="187"/>
      <x:c r="F38" s="187"/>
      <x:c r="G38" s="187"/>
      <x:c r="H38" s="187"/>
      <x:c r="I38" s="187"/>
      <x:c r="J38" s="188"/>
      <x:c r="K38" s="187"/>
      <x:c r="L38" s="190"/>
      <x:c r="M38" s="190"/>
      <x:c r="N38" s="190"/>
      <x:c r="O38" s="190"/>
      <x:c r="P38" s="46"/>
      <x:c r="Q38" s="46"/>
      <x:c r="R38" s="46"/>
      <x:c r="S38" s="46"/>
    </x:row>
    <x:row r="39" ht="72" customHeight="1">
      <x:c r="A39" s="188"/>
      <x:c r="B39" s="187"/>
      <x:c r="C39" s="187"/>
      <x:c r="D39" s="188"/>
      <x:c r="E39" s="187"/>
      <x:c r="F39" s="187"/>
      <x:c r="G39" s="187"/>
      <x:c r="H39" s="187"/>
      <x:c r="I39" s="187"/>
      <x:c r="J39" s="188"/>
      <x:c r="K39" s="187"/>
      <x:c r="L39" s="190"/>
      <x:c r="M39" s="190"/>
      <x:c r="N39" s="190"/>
      <x:c r="O39" s="190"/>
      <x:c r="P39" s="46"/>
      <x:c r="Q39" s="46"/>
      <x:c r="R39" s="46"/>
      <x:c r="S39" s="46"/>
    </x:row>
    <x:row r="40" ht="72" customHeight="1">
      <x:c r="A40" s="188"/>
      <x:c r="B40" s="187"/>
      <x:c r="C40" s="187"/>
      <x:c r="D40" s="188"/>
      <x:c r="E40" s="187"/>
      <x:c r="F40" s="187"/>
      <x:c r="G40" s="187"/>
      <x:c r="H40" s="187"/>
      <x:c r="I40" s="187"/>
      <x:c r="J40" s="188"/>
      <x:c r="K40" s="187"/>
      <x:c r="L40" s="190"/>
      <x:c r="M40" s="190"/>
      <x:c r="N40" s="190"/>
      <x:c r="O40" s="190"/>
      <x:c r="P40" s="46"/>
      <x:c r="Q40" s="46"/>
      <x:c r="R40" s="46"/>
      <x:c r="S40" s="46"/>
    </x:row>
    <x:row r="41" ht="72" customHeight="1">
      <x:c r="A41" s="188"/>
      <x:c r="B41" s="187"/>
      <x:c r="C41" s="187"/>
      <x:c r="D41" s="188"/>
      <x:c r="E41" s="187"/>
      <x:c r="F41" s="187"/>
      <x:c r="G41" s="187"/>
      <x:c r="H41" s="187"/>
      <x:c r="I41" s="187"/>
      <x:c r="J41" s="188"/>
      <x:c r="K41" s="187"/>
      <x:c r="L41" s="190"/>
      <x:c r="M41" s="190"/>
      <x:c r="N41" s="190"/>
      <x:c r="O41" s="190"/>
      <x:c r="P41" s="46"/>
      <x:c r="Q41" s="46"/>
      <x:c r="R41" s="46"/>
      <x:c r="S41" s="46"/>
    </x:row>
    <x:row r="42" ht="72" customHeight="1">
      <x:c r="A42" s="188"/>
      <x:c r="B42" s="187"/>
      <x:c r="C42" s="187"/>
      <x:c r="D42" s="188"/>
      <x:c r="E42" s="187"/>
      <x:c r="F42" s="187"/>
      <x:c r="G42" s="187"/>
      <x:c r="H42" s="187"/>
      <x:c r="I42" s="187"/>
      <x:c r="J42" s="188"/>
      <x:c r="K42" s="187"/>
      <x:c r="L42" s="190"/>
      <x:c r="M42" s="190"/>
      <x:c r="N42" s="190"/>
      <x:c r="O42" s="190"/>
      <x:c r="P42" s="46"/>
      <x:c r="Q42" s="46"/>
      <x:c r="R42" s="46"/>
      <x:c r="S42" s="46"/>
    </x:row>
    <x:row r="43" ht="72" customHeight="1">
      <x:c r="A43" s="188"/>
      <x:c r="B43" s="187"/>
      <x:c r="C43" s="187"/>
      <x:c r="D43" s="188"/>
      <x:c r="E43" s="187"/>
      <x:c r="F43" s="187"/>
      <x:c r="G43" s="187"/>
      <x:c r="H43" s="187"/>
      <x:c r="I43" s="187"/>
      <x:c r="J43" s="188"/>
      <x:c r="K43" s="187"/>
      <x:c r="L43" s="190"/>
      <x:c r="M43" s="190"/>
      <x:c r="N43" s="190"/>
      <x:c r="O43" s="190"/>
      <x:c r="P43" s="46"/>
      <x:c r="Q43" s="46"/>
      <x:c r="R43" s="46"/>
      <x:c r="S43" s="46"/>
    </x:row>
    <x:row r="44" ht="72" customHeight="1">
      <x:c r="A44" s="188"/>
      <x:c r="B44" s="187"/>
      <x:c r="C44" s="187"/>
      <x:c r="D44" s="188"/>
      <x:c r="E44" s="187"/>
      <x:c r="F44" s="187"/>
      <x:c r="G44" s="187"/>
      <x:c r="H44" s="187"/>
      <x:c r="I44" s="187"/>
      <x:c r="J44" s="188"/>
      <x:c r="K44" s="187"/>
      <x:c r="L44" s="190"/>
      <x:c r="M44" s="190"/>
      <x:c r="N44" s="190"/>
      <x:c r="O44" s="190"/>
      <x:c r="P44" s="46"/>
      <x:c r="Q44" s="46"/>
      <x:c r="R44" s="46"/>
      <x:c r="S44" s="46"/>
    </x:row>
    <x:row r="45" ht="72" customHeight="1">
      <x:c r="A45" s="188"/>
      <x:c r="B45" s="187"/>
      <x:c r="C45" s="187"/>
      <x:c r="D45" s="188"/>
      <x:c r="E45" s="187"/>
      <x:c r="F45" s="187"/>
      <x:c r="G45" s="187"/>
      <x:c r="H45" s="187"/>
      <x:c r="I45" s="187"/>
      <x:c r="J45" s="188"/>
      <x:c r="K45" s="187"/>
      <x:c r="L45" s="190"/>
      <x:c r="M45" s="190"/>
      <x:c r="N45" s="190"/>
      <x:c r="O45" s="190"/>
      <x:c r="P45" s="46"/>
      <x:c r="Q45" s="46"/>
      <x:c r="R45" s="46"/>
      <x:c r="S45" s="46"/>
    </x:row>
    <x:row r="46" ht="72" customHeight="1">
      <x:c r="A46" s="188"/>
      <x:c r="B46" s="187"/>
      <x:c r="C46" s="187"/>
      <x:c r="D46" s="188"/>
      <x:c r="E46" s="187"/>
      <x:c r="F46" s="187"/>
      <x:c r="G46" s="187"/>
      <x:c r="H46" s="187"/>
      <x:c r="I46" s="187"/>
      <x:c r="J46" s="188"/>
      <x:c r="K46" s="187"/>
      <x:c r="L46" s="190"/>
      <x:c r="M46" s="190"/>
      <x:c r="N46" s="190"/>
      <x:c r="O46" s="190"/>
      <x:c r="P46" s="46"/>
      <x:c r="Q46" s="46"/>
      <x:c r="R46" s="46"/>
      <x:c r="S46" s="46"/>
    </x:row>
    <x:row r="47" ht="72" customHeight="1">
      <x:c r="A47" s="188"/>
      <x:c r="B47" s="187"/>
      <x:c r="C47" s="187"/>
      <x:c r="D47" s="188"/>
      <x:c r="E47" s="187"/>
      <x:c r="F47" s="187"/>
      <x:c r="G47" s="187"/>
      <x:c r="H47" s="187"/>
      <x:c r="I47" s="187"/>
      <x:c r="J47" s="188"/>
      <x:c r="K47" s="187"/>
      <x:c r="L47" s="190"/>
      <x:c r="M47" s="190"/>
      <x:c r="N47" s="190"/>
      <x:c r="O47" s="190"/>
      <x:c r="P47" s="46"/>
      <x:c r="Q47" s="46"/>
      <x:c r="R47" s="46"/>
      <x:c r="S47" s="46"/>
    </x:row>
    <x:row r="48" ht="72" customHeight="1">
      <x:c r="A48" s="188"/>
      <x:c r="B48" s="187"/>
      <x:c r="C48" s="187"/>
      <x:c r="D48" s="188"/>
      <x:c r="E48" s="187"/>
      <x:c r="F48" s="187"/>
      <x:c r="G48" s="187"/>
      <x:c r="H48" s="187"/>
      <x:c r="I48" s="187"/>
      <x:c r="J48" s="188"/>
      <x:c r="K48" s="187"/>
      <x:c r="L48" s="190"/>
      <x:c r="M48" s="190"/>
      <x:c r="N48" s="190"/>
      <x:c r="O48" s="190"/>
      <x:c r="P48" s="46"/>
      <x:c r="Q48" s="46"/>
      <x:c r="R48" s="46"/>
      <x:c r="S48" s="46"/>
    </x:row>
    <x:row r="49" ht="72" customHeight="1">
      <x:c r="A49" s="188"/>
      <x:c r="B49" s="187"/>
      <x:c r="C49" s="187"/>
      <x:c r="D49" s="188"/>
      <x:c r="E49" s="187"/>
      <x:c r="F49" s="187"/>
      <x:c r="G49" s="187"/>
      <x:c r="H49" s="187"/>
      <x:c r="I49" s="187"/>
      <x:c r="J49" s="188"/>
      <x:c r="K49" s="187"/>
      <x:c r="L49" s="190"/>
      <x:c r="M49" s="190"/>
      <x:c r="N49" s="190"/>
      <x:c r="O49" s="190"/>
      <x:c r="P49" s="46"/>
      <x:c r="Q49" s="46"/>
      <x:c r="R49" s="46"/>
      <x:c r="S49" s="46"/>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6:A21"/>
    <x:mergeCell ref="A22:A34"/>
    <x:mergeCell ref="A1:P1"/>
    <x:mergeCell ref="A2:P2"/>
    <x:mergeCell ref="A3:P3"/>
    <x:mergeCell ref="A4:P4"/>
    <x:mergeCell ref="B6:B21"/>
    <x:mergeCell ref="B22:B34"/>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CxVisual.Foundation.Volume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子方面：F12｜来源：V1.19旧类型 + V4.9对象 + V7.8源码 + V5.0/R3架构裁决｜本项目 15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F12</x:v>
      </x:c>
      <x:c r="B6" s="180" t="str">
        <x:v>三维与体素｜体数据与网格基础
Volume Meshes</x:v>
      </x:c>
      <x:c r="C6" s="180" t="str">
        <x:v>FVMMeshGeometryOps</x:v>
      </x:c>
      <x:c r="D6" s="179" t="str">
        <x:v>增构候选·待查重</x:v>
      </x:c>
      <x:c r="E6" s="180" t="str">
        <x:v>提供无状态网格几何计算运算，不持有会话/设备/全局缓存</x:v>
      </x:c>
      <x:c r="F6" s="180" t="str">
        <x:v>Mesh</x:v>
      </x:c>
      <x:c r="G6" s="180" t="str">
        <x:v>Normals；Simplify；Measure</x:v>
      </x:c>
      <x:c r="H6" s="180" t="str">
        <x:v>待逐对象核实</x:v>
      </x:c>
      <x:c r="I6" s="180" t="str">
        <x:v>MeshGeometryOps</x:v>
      </x:c>
      <x:c r="J6" s="179" t="str">
        <x:v>静态类</x:v>
      </x:c>
      <x:c r="K6" s="180" t="str">
        <x:v>生命周期：基础值/纯计算</x:v>
      </x:c>
      <x:c r="L6" s="183" t="str">
        <x:v>设计候选，尚待源码验证</x:v>
      </x:c>
      <x:c r="M6" s="183" t="str">
        <x:v>F12.MeshGeometryOps</x:v>
      </x:c>
      <x:c r="N6" s="184" t="str">
        <x:v>05_基础对象与基础计算!C124</x:v>
      </x:c>
      <x:c r="O6" s="183" t="str">
        <x:v>V4.9对象/属性/方法
V2.01：名称/子方面线索；处置=规划独立契约候选·未批准新增
V7.8：V7.8未检出同名词法声明</x:v>
      </x:c>
      <x:c r="P6" s="136" t="str">
        <x:v>V4.9对象/属性/方法</x:v>
      </x:c>
      <x:c r="Q6"/>
      <x:c r="R6"/>
      <x:c r="S6"/>
    </x:row>
    <x:row r="7" ht="72" customHeight="1">
      <x:c r="A7" s="179" t="str">
        <x:v>F12</x:v>
      </x:c>
      <x:c r="B7" s="180" t="str">
        <x:v>三维与体素｜体数据与网格基础
Volume Meshes</x:v>
      </x:c>
      <x:c r="C7" s="180" t="str">
        <x:v>FVMPointCloudBuffer</x:v>
      </x:c>
      <x:c r="D7" s="179" t="str">
        <x:v>增构候选·待查重</x:v>
      </x:c>
      <x:c r="E7" s="180" t="str">
        <x:v>表达和承载点云缓冲的基础数据或计算参数</x:v>
      </x:c>
      <x:c r="F7" s="180" t="str">
        <x:v>Coordinates；Attributes</x:v>
      </x:c>
      <x:c r="G7" s="180" t="str">
        <x:v>Slice；Bounds</x:v>
      </x:c>
      <x:c r="H7" s="180" t="str">
        <x:v>待逐对象核实</x:v>
      </x:c>
      <x:c r="I7" s="180" t="str">
        <x:v>可释放数据容器</x:v>
      </x:c>
      <x:c r="J7" s="179" t="str">
        <x:v>类/实例候选</x:v>
      </x:c>
      <x:c r="K7" s="180" t="str">
        <x:v>生命周期：基础数据/值对象</x:v>
      </x:c>
      <x:c r="L7" s="183" t="str">
        <x:v>设计候选，尚待源码验证</x:v>
      </x:c>
      <x:c r="M7" s="183" t="str">
        <x:v>F12.PointCloudBuffer</x:v>
      </x:c>
      <x:c r="N7" s="184"/>
      <x:c r="O7" s="183" t="str">
        <x:v>V4.9对象/属性/方法
V2.01：未匹配V2.01；处置=暂无可信对应
V7.8：V7.8未检出同名词法声明</x:v>
      </x:c>
      <x:c r="P7" s="136" t="str">
        <x:v>V4.9对象/属性/方法</x:v>
      </x:c>
      <x:c r="Q7"/>
      <x:c r="R7"/>
      <x:c r="S7"/>
    </x:row>
    <x:row r="8" ht="72" customHeight="1">
      <x:c r="A8" s="179" t="str">
        <x:v>F12</x:v>
      </x:c>
      <x:c r="B8" s="180" t="str">
        <x:v>三维与体素｜体数据与网格基础
Volume Meshes</x:v>
      </x:c>
      <x:c r="C8" s="180" t="str">
        <x:v>FVMSpatialGrid</x:v>
      </x:c>
      <x:c r="D8" s="179" t="str">
        <x:v>增构候选·待查重</x:v>
      </x:c>
      <x:c r="E8" s="180" t="str">
        <x:v>表达和承载空间网格的基础数据或计算参数</x:v>
      </x:c>
      <x:c r="F8" s="180" t="str">
        <x:v>Dimensions；Resolution</x:v>
      </x:c>
      <x:c r="G8" s="180" t="str">
        <x:v>Index；Neighbors</x:v>
      </x:c>
      <x:c r="H8" s="180" t="str">
        <x:v>待逐对象核实</x:v>
      </x:c>
      <x:c r="I8" s="180" t="str">
        <x:v>SpatialGrid</x:v>
      </x:c>
      <x:c r="J8" s="179" t="str">
        <x:v>值类型候选</x:v>
      </x:c>
      <x:c r="K8" s="180" t="str">
        <x:v>生命周期：基础数据/值对象</x:v>
      </x:c>
      <x:c r="L8" s="183" t="str">
        <x:v>设计候选，尚待源码验证</x:v>
      </x:c>
      <x:c r="M8" s="183" t="str">
        <x:v>F12.SpatialGrid</x:v>
      </x:c>
      <x:c r="N8" s="184" t="str">
        <x:v>05_基础对象与基础计算!C126</x:v>
      </x:c>
      <x:c r="O8" s="183" t="str">
        <x:v>V4.9对象/属性/方法
V2.01：名称/子方面线索；处置=规划独立契约候选·未批准新增
V7.8：V7.8未检出同名词法声明</x:v>
      </x:c>
      <x:c r="P8" s="136" t="str">
        <x:v>V4.9对象/属性/方法</x:v>
      </x:c>
      <x:c r="Q8"/>
      <x:c r="R8"/>
      <x:c r="S8"/>
    </x:row>
    <x:row r="9" ht="72" customHeight="1">
      <x:c r="A9" s="179" t="str">
        <x:v>F12</x:v>
      </x:c>
      <x:c r="B9" s="180" t="str">
        <x:v>三维与体素｜体数据与网格基础
Volume Meshes</x:v>
      </x:c>
      <x:c r="C9" s="180" t="str">
        <x:v>FVMSpatialIndexOps</x:v>
      </x:c>
      <x:c r="D9" s="179" t="str">
        <x:v>增构候选·待查重</x:v>
      </x:c>
      <x:c r="E9" s="180" t="str">
        <x:v>提供无状态空间索引算法运算，不持有会话/设备/全局缓存</x:v>
      </x:c>
      <x:c r="F9" s="180" t="str">
        <x:v>Points；Bounds</x:v>
      </x:c>
      <x:c r="G9" s="180" t="str">
        <x:v>KdTree；Bvh</x:v>
      </x:c>
      <x:c r="H9" s="180" t="str">
        <x:v>待逐对象核实</x:v>
      </x:c>
      <x:c r="I9" s="180" t="str">
        <x:v>SpatialIndexOps</x:v>
      </x:c>
      <x:c r="J9" s="179" t="str">
        <x:v>静态类</x:v>
      </x:c>
      <x:c r="K9" s="180" t="str">
        <x:v>生命周期：基础值/纯计算</x:v>
      </x:c>
      <x:c r="L9" s="183" t="str">
        <x:v>设计候选，尚待源码验证</x:v>
      </x:c>
      <x:c r="M9" s="183" t="str">
        <x:v>F12.SpatialIndexOps</x:v>
      </x:c>
      <x:c r="N9" s="184" t="str">
        <x:v>05_基础对象与基础计算!C127</x:v>
      </x:c>
      <x:c r="O9" s="183" t="str">
        <x:v>V4.9对象/属性/方法
V2.01：名称/子方面线索；处置=规划独立契约候选·未批准新增
V7.8：V7.8未检出同名词法声明</x:v>
      </x:c>
      <x:c r="P9" s="136" t="str">
        <x:v>V4.9对象/属性/方法</x:v>
      </x:c>
      <x:c r="Q9"/>
      <x:c r="R9"/>
      <x:c r="S9"/>
    </x:row>
    <x:row r="10" ht="72" customHeight="1">
      <x:c r="A10" s="179" t="str">
        <x:v>F12</x:v>
      </x:c>
      <x:c r="B10" s="180" t="str">
        <x:v>三维与体素｜体数据与网格基础
Volume Meshes</x:v>
      </x:c>
      <x:c r="C10" s="180" t="str">
        <x:v>FVMTriangleMesh</x:v>
      </x:c>
      <x:c r="D10" s="179" t="str">
        <x:v>增构候选·待查重</x:v>
      </x:c>
      <x:c r="E10" s="180" t="str">
        <x:v>表达和承载三角网格的基础数据或计算参数</x:v>
      </x:c>
      <x:c r="F10" s="180" t="str">
        <x:v>Vertices；Faces</x:v>
      </x:c>
      <x:c r="G10" s="180" t="str">
        <x:v>Normals；Bounds</x:v>
      </x:c>
      <x:c r="H10" s="180" t="str">
        <x:v>待逐对象核实</x:v>
      </x:c>
      <x:c r="I10" s="180" t="str">
        <x:v>TriangleMesh</x:v>
      </x:c>
      <x:c r="J10" s="179" t="str">
        <x:v>类/实例候选</x:v>
      </x:c>
      <x:c r="K10" s="180" t="str">
        <x:v>生命周期：基础数据/值对象</x:v>
      </x:c>
      <x:c r="L10" s="183" t="str">
        <x:v>设计候选，尚待源码验证</x:v>
      </x:c>
      <x:c r="M10" s="183" t="str">
        <x:v>F12.TriangleMesh</x:v>
      </x:c>
      <x:c r="N10" s="184" t="str">
        <x:v>05_基础对象与基础计算!C128</x:v>
      </x:c>
      <x:c r="O10" s="183" t="str">
        <x:v>V4.9对象/属性/方法
V2.01：名称/子方面线索；处置=规划独立契约候选·未批准新增
V7.8：V7.8未检出同名词法声明</x:v>
      </x:c>
      <x:c r="P10" s="136" t="str">
        <x:v>V4.9对象/属性/方法</x:v>
      </x:c>
      <x:c r="Q10"/>
      <x:c r="R10"/>
      <x:c r="S10"/>
    </x:row>
    <x:row r="11" ht="72" customHeight="1">
      <x:c r="A11" s="179" t="str">
        <x:v>F12</x:v>
      </x:c>
      <x:c r="B11" s="180" t="str">
        <x:v>三维与体素｜体数据与网格基础
Volume Meshes</x:v>
      </x:c>
      <x:c r="C11" s="180" t="str">
        <x:v>FVMVolumeBlockIndex</x:v>
      </x:c>
      <x:c r="D11" s="179" t="str">
        <x:v>增构候选·待查重</x:v>
      </x:c>
      <x:c r="E11" s="180" t="str">
        <x:v>表达和承载体数据块索引的基础数据或计算参数</x:v>
      </x:c>
      <x:c r="F11" s="180" t="str">
        <x:v>TileCoord；Extent</x:v>
      </x:c>
      <x:c r="G11" s="180" t="str">
        <x:v>Locate</x:v>
      </x:c>
      <x:c r="H11" s="180" t="str">
        <x:v>待逐对象核实</x:v>
      </x:c>
      <x:c r="I11" s="180" t="str">
        <x:v>VolumeBlockIndex</x:v>
      </x:c>
      <x:c r="J11" s="179" t="str">
        <x:v>类/实例候选</x:v>
      </x:c>
      <x:c r="K11" s="180" t="str">
        <x:v>生命周期：基础数据/值对象</x:v>
      </x:c>
      <x:c r="L11" s="183" t="str">
        <x:v>设计候选，尚待源码验证</x:v>
      </x:c>
      <x:c r="M11" s="183" t="str">
        <x:v>F12.VolumeBlockIndex</x:v>
      </x:c>
      <x:c r="N11" s="184" t="str">
        <x:v>05_基础对象与基础计算!C129</x:v>
      </x:c>
      <x:c r="O11" s="183" t="str">
        <x:v>V4.9对象/属性/方法
V2.01：名称/子方面线索；处置=规划独立契约候选·未批准新增
V7.8：V7.8未检出同名词法声明</x:v>
      </x:c>
      <x:c r="P11" s="136" t="str">
        <x:v>V4.9对象/属性/方法</x:v>
      </x:c>
      <x:c r="Q11"/>
      <x:c r="R11"/>
      <x:c r="S11"/>
    </x:row>
    <x:row r="12" ht="72" customHeight="1">
      <x:c r="A12" s="179" t="str">
        <x:v>F12</x:v>
      </x:c>
      <x:c r="B12" s="180" t="str">
        <x:v>三维与体素｜体数据与网格基础
Volume Meshes</x:v>
      </x:c>
      <x:c r="C12" s="180" t="str">
        <x:v>FVMVolumeBuffer</x:v>
      </x:c>
      <x:c r="D12" s="179" t="str">
        <x:v>增构候选·待查重</x:v>
      </x:c>
      <x:c r="E12" s="180" t="str">
        <x:v>表达和承载体素数据缓冲的基础数据或计算参数</x:v>
      </x:c>
      <x:c r="F12" s="180" t="str">
        <x:v>Memory；Stride；Shape</x:v>
      </x:c>
      <x:c r="G12" s="180" t="str">
        <x:v>Index；Slice</x:v>
      </x:c>
      <x:c r="H12" s="180" t="str">
        <x:v>待逐对象核实</x:v>
      </x:c>
      <x:c r="I12" s="180" t="str">
        <x:v>可释放数据容器</x:v>
      </x:c>
      <x:c r="J12" s="179" t="str">
        <x:v>类/实例候选</x:v>
      </x:c>
      <x:c r="K12" s="180" t="str">
        <x:v>生命周期：基础数据/值对象</x:v>
      </x:c>
      <x:c r="L12" s="183" t="str">
        <x:v>设计候选，尚待源码验证</x:v>
      </x:c>
      <x:c r="M12" s="183" t="str">
        <x:v>F12.VolumeBuffer</x:v>
      </x:c>
      <x:c r="N12" s="184"/>
      <x:c r="O12" s="183" t="str">
        <x:v>V4.9对象/属性/方法
V2.01：未匹配V2.01；处置=暂无可信对应
V7.8：V7.8未检出同名词法声明</x:v>
      </x:c>
      <x:c r="P12" s="136" t="str">
        <x:v>V4.9对象/属性/方法</x:v>
      </x:c>
      <x:c r="Q12"/>
      <x:c r="R12"/>
      <x:c r="S12"/>
    </x:row>
    <x:row r="13" ht="72" customHeight="1">
      <x:c r="A13" s="179" t="str">
        <x:v>F12</x:v>
      </x:c>
      <x:c r="B13" s="180" t="str">
        <x:v>三维与体素｜体数据与网格基础
Volume Meshes</x:v>
      </x:c>
      <x:c r="C13" s="180" t="str">
        <x:v>FVMVolumeResamplingOps</x:v>
      </x:c>
      <x:c r="D13" s="179" t="str">
        <x:v>增构候选·待查重</x:v>
      </x:c>
      <x:c r="E13" s="180" t="str">
        <x:v>提供无状态三维重采样算法运算，不持有会话/设备/全局缓存</x:v>
      </x:c>
      <x:c r="F13" s="180" t="str">
        <x:v>Transform；Interpolation</x:v>
      </x:c>
      <x:c r="G13" s="180" t="str">
        <x:v>Resample</x:v>
      </x:c>
      <x:c r="H13" s="180" t="str">
        <x:v>待逐对象核实</x:v>
      </x:c>
      <x:c r="I13" s="180" t="str">
        <x:v>VolumeResamplingOps</x:v>
      </x:c>
      <x:c r="J13" s="179" t="str">
        <x:v>静态类</x:v>
      </x:c>
      <x:c r="K13" s="180" t="str">
        <x:v>生命周期：基础值/纯计算</x:v>
      </x:c>
      <x:c r="L13" s="183" t="str">
        <x:v>设计候选，尚待源码验证</x:v>
      </x:c>
      <x:c r="M13" s="183" t="str">
        <x:v>F12.VolumeResamplingOps</x:v>
      </x:c>
      <x:c r="N13" s="184" t="str">
        <x:v>05_基础对象与基础计算!C131</x:v>
      </x:c>
      <x:c r="O13" s="183" t="str">
        <x:v>V4.9对象/属性/方法
V2.01：名称/子方面线索；处置=规划独立契约候选·未批准新增
V7.8：V7.8未检出同名词法声明</x:v>
      </x:c>
      <x:c r="P13" s="136" t="str">
        <x:v>V4.9对象/属性/方法</x:v>
      </x:c>
      <x:c r="Q13"/>
      <x:c r="R13"/>
      <x:c r="S13"/>
    </x:row>
    <x:row r="14" ht="72" customHeight="1">
      <x:c r="A14" s="179" t="str">
        <x:v>F12</x:v>
      </x:c>
      <x:c r="B14" s="180" t="str">
        <x:v>三维与体素｜体数据与网格基础
Volume Meshes</x:v>
      </x:c>
      <x:c r="C14" s="180" t="str">
        <x:v>FVMVolumeShape</x:v>
      </x:c>
      <x:c r="D14" s="179" t="str">
        <x:v>增构候选·待查重</x:v>
      </x:c>
      <x:c r="E14" s="180" t="str">
        <x:v>表达和承载体积维度的基础数据或计算参数</x:v>
      </x:c>
      <x:c r="F14" s="180" t="str">
        <x:v>Width；Height；Depth</x:v>
      </x:c>
      <x:c r="G14" s="180" t="str">
        <x:v>VoxelCount</x:v>
      </x:c>
      <x:c r="H14" s="180" t="str">
        <x:v>待逐对象核实</x:v>
      </x:c>
      <x:c r="I14" s="180" t="str">
        <x:v>VolumeShape</x:v>
      </x:c>
      <x:c r="J14" s="179" t="str">
        <x:v>值类型候选</x:v>
      </x:c>
      <x:c r="K14" s="180" t="str">
        <x:v>生命周期：基础数据/值对象</x:v>
      </x:c>
      <x:c r="L14" s="183" t="str">
        <x:v>设计候选，尚待源码验证</x:v>
      </x:c>
      <x:c r="M14" s="183" t="str">
        <x:v>F12.VolumeShape</x:v>
      </x:c>
      <x:c r="N14" s="184" t="str">
        <x:v>05_基础对象与基础计算!C132</x:v>
      </x:c>
      <x:c r="O14" s="183" t="str">
        <x:v>V4.9对象/属性/方法
V2.01：名称/子方面线索；处置=规划独立契约候选·未批准新增
V7.8：V7.8未检出同名词法声明</x:v>
      </x:c>
      <x:c r="P14" s="136" t="str">
        <x:v>V4.9对象/属性/方法</x:v>
      </x:c>
      <x:c r="Q14"/>
      <x:c r="R14"/>
      <x:c r="S14"/>
    </x:row>
    <x:row r="15" ht="72" customHeight="1">
      <x:c r="A15" s="179" t="str">
        <x:v>F12</x:v>
      </x:c>
      <x:c r="B15" s="180" t="str">
        <x:v>三维与体素｜体数据与网格基础
Volume Meshes</x:v>
      </x:c>
      <x:c r="C15" s="180" t="str">
        <x:v>FVMVolumeSpace</x:v>
      </x:c>
      <x:c r="D15" s="179" t="str">
        <x:v>增构候选·待查重</x:v>
      </x:c>
      <x:c r="E15" s="180" t="str">
        <x:v>表达和承载三维体数据空间的基础数据或计算参数</x:v>
      </x:c>
      <x:c r="F15" s="180" t="str">
        <x:v>Origin；Direction；Spacing</x:v>
      </x:c>
      <x:c r="G15" s="180" t="str">
        <x:v>VoxelToWorld</x:v>
      </x:c>
      <x:c r="H15" s="180" t="str">
        <x:v>待逐对象核实</x:v>
      </x:c>
      <x:c r="I15" s="180" t="str">
        <x:v>VolumeSpace</x:v>
      </x:c>
      <x:c r="J15" s="179" t="str">
        <x:v>值类型候选</x:v>
      </x:c>
      <x:c r="K15" s="180" t="str">
        <x:v>生命周期：基础数据/值对象</x:v>
      </x:c>
      <x:c r="L15" s="183" t="str">
        <x:v>设计候选，尚待源码验证</x:v>
      </x:c>
      <x:c r="M15" s="183" t="str">
        <x:v>F12.VolumeSpace</x:v>
      </x:c>
      <x:c r="N15" s="184" t="str">
        <x:v>05_基础对象与基础计算!C133</x:v>
      </x:c>
      <x:c r="O15" s="183" t="str">
        <x:v>V4.9对象/属性/方法
V2.01：名称/子方面线索；处置=规划独立契约候选·未批准新增
V7.8：V7.8未检出同名词法声明</x:v>
      </x:c>
      <x:c r="P15" s="136" t="str">
        <x:v>V4.9对象/属性/方法</x:v>
      </x:c>
      <x:c r="Q15"/>
      <x:c r="R15"/>
      <x:c r="S15"/>
    </x:row>
    <x:row r="16" ht="72" customHeight="1">
      <x:c r="A16" s="179" t="str">
        <x:v>F12</x:v>
      </x:c>
      <x:c r="B16" s="180" t="str">
        <x:v>三维与体素｜体数据与网格基础
Volume Meshes</x:v>
      </x:c>
      <x:c r="C16" s="180" t="str">
        <x:v>FVMVoxelProcessingOps</x:v>
      </x:c>
      <x:c r="D16" s="179" t="str">
        <x:v>增构候选·待查重</x:v>
      </x:c>
      <x:c r="E16" s="180" t="str">
        <x:v>提供无状态体素基本处理运算，不持有会话/设备/全局缓存</x:v>
      </x:c>
      <x:c r="F16" s="180" t="str">
        <x:v>Kernel；Threshold</x:v>
      </x:c>
      <x:c r="G16" s="180" t="str">
        <x:v>Crop；Threshold；Filter</x:v>
      </x:c>
      <x:c r="H16" s="180" t="str">
        <x:v>待逐对象核实</x:v>
      </x:c>
      <x:c r="I16" s="180" t="str">
        <x:v>VoxelProcessingOps</x:v>
      </x:c>
      <x:c r="J16" s="179" t="str">
        <x:v>静态类</x:v>
      </x:c>
      <x:c r="K16" s="180" t="str">
        <x:v>生命周期：基础值/纯计算</x:v>
      </x:c>
      <x:c r="L16" s="183" t="str">
        <x:v>设计候选，尚待源码验证</x:v>
      </x:c>
      <x:c r="M16" s="183" t="str">
        <x:v>F12.VoxelProcessingOps</x:v>
      </x:c>
      <x:c r="N16" s="184" t="str">
        <x:v>05_基础对象与基础计算!C134</x:v>
      </x:c>
      <x:c r="O16" s="183" t="str">
        <x:v>V4.9对象/属性/方法
V2.01：名称/子方面线索；处置=规划独立契约候选·未批准新增
V7.8：V7.8未检出同名词法声明</x:v>
      </x:c>
      <x:c r="P16" s="136" t="str">
        <x:v>V4.9对象/属性/方法</x:v>
      </x:c>
      <x:c r="Q16"/>
      <x:c r="R16"/>
      <x:c r="S16"/>
    </x:row>
    <x:row r="17" ht="72" customHeight="1">
      <x:c r="A17" s="179" t="str">
        <x:v>F12</x:v>
      </x:c>
      <x:c r="B17" s="180" t="str">
        <x:v>三维与体素｜体数据与网格基础
Volume Meshes</x:v>
      </x:c>
      <x:c r="C17" s="180" t="str">
        <x:v>FVMVoxelSpacing</x:v>
      </x:c>
      <x:c r="D17" s="179" t="str">
        <x:v>增构候选·待查重</x:v>
      </x:c>
      <x:c r="E17" s="180" t="str">
        <x:v>表达和承载体素间距的基础数据或计算参数</x:v>
      </x:c>
      <x:c r="F17" s="180" t="str">
        <x:v>StepX；StepY；StepZ</x:v>
      </x:c>
      <x:c r="G17" s="180" t="str">
        <x:v>ToPhysical</x:v>
      </x:c>
      <x:c r="H17" s="180" t="str">
        <x:v>待逐对象核实</x:v>
      </x:c>
      <x:c r="I17" s="180" t="str">
        <x:v>VoxelSpacing</x:v>
      </x:c>
      <x:c r="J17" s="179" t="str">
        <x:v>值类型候选</x:v>
      </x:c>
      <x:c r="K17" s="180" t="str">
        <x:v>生命周期：基础数据/值对象</x:v>
      </x:c>
      <x:c r="L17" s="183" t="str">
        <x:v>设计候选，尚待源码验证</x:v>
      </x:c>
      <x:c r="M17" s="183" t="str">
        <x:v>F12.VoxelSpacing</x:v>
      </x:c>
      <x:c r="N17" s="184" t="str">
        <x:v>05_基础对象与基础计算!C135</x:v>
      </x:c>
      <x:c r="O17" s="183" t="str">
        <x:v>V4.9对象/属性/方法
V2.01：名称/子方面线索；处置=规划独立契约候选·未批准新增
V7.8：V7.8未检出同名词法声明</x:v>
      </x:c>
      <x:c r="P17" s="136" t="str">
        <x:v>V4.9对象/属性/方法</x:v>
      </x:c>
      <x:c r="Q17"/>
      <x:c r="R17"/>
      <x:c r="S17"/>
    </x:row>
    <x:row r="18" ht="72" customHeight="1">
      <x:c r="A18" s="179" t="str">
        <x:v>F12</x:v>
      </x:c>
      <x:c r="B18" s="180" t="str">
        <x:v>三维与体素｜体数据与网格基础
Volume Meshes</x:v>
      </x:c>
      <x:c r="C18" s="180" t="str">
        <x:v>FVMVoxelType</x:v>
      </x:c>
      <x:c r="D18" s="179" t="str">
        <x:v>增构候选·待查重</x:v>
      </x:c>
      <x:c r="E18" s="180" t="str">
        <x:v>表达和承载体素类型的基础数据或计算参数</x:v>
      </x:c>
      <x:c r="F18" s="180" t="str">
        <x:v>ScalarType；Components</x:v>
      </x:c>
      <x:c r="G18" s="180" t="str">
        <x:v>ByteWidth</x:v>
      </x:c>
      <x:c r="H18" s="180" t="str">
        <x:v>待逐对象核实</x:v>
      </x:c>
      <x:c r="I18" s="180" t="str">
        <x:v>VoxelType</x:v>
      </x:c>
      <x:c r="J18" s="179" t="str">
        <x:v>值类型候选</x:v>
      </x:c>
      <x:c r="K18" s="180" t="str">
        <x:v>生命周期：基础数据/值对象</x:v>
      </x:c>
      <x:c r="L18" s="183" t="str">
        <x:v>设计候选，尚待源码验证</x:v>
      </x:c>
      <x:c r="M18" s="183" t="str">
        <x:v>F12.VoxelType</x:v>
      </x:c>
      <x:c r="N18" s="184" t="str">
        <x:v>05_基础对象与基础计算!C136</x:v>
      </x:c>
      <x:c r="O18" s="183" t="str">
        <x:v>V4.9对象/属性/方法
V2.01：名称/子方面线索；处置=规划独立契约候选·未批准新增
V7.8：V7.8未检出同名词法声明</x:v>
      </x:c>
      <x:c r="P18" s="136" t="str">
        <x:v>V4.9对象/属性/方法</x:v>
      </x:c>
      <x:c r="Q18"/>
      <x:c r="R18"/>
      <x:c r="S18"/>
    </x:row>
    <x:row r="19" ht="72" customHeight="1">
      <x:c r="A19" s="179" t="str">
        <x:v>F12</x:v>
      </x:c>
      <x:c r="B19" s="180" t="str">
        <x:v>三维与体素｜体数据与网格基础
Volume Meshes</x:v>
      </x:c>
      <x:c r="C19" s="180" t="str">
        <x:v>IFVMPointCloudBuffer</x:v>
      </x:c>
      <x:c r="D19" s="179" t="str">
        <x:v>增构候选·待查重</x:v>
      </x:c>
      <x:c r="E19" s="180" t="str">
        <x:v>表达和承载点云缓冲的基础数据或计算参数</x:v>
      </x:c>
      <x:c r="F19" s="180" t="str">
        <x:v>Coordinates, Attributes</x:v>
      </x:c>
      <x:c r="G19" s="180" t="str">
        <x:v>Slice(), Bounds()</x:v>
      </x:c>
      <x:c r="H19" s="180" t="str">
        <x:v>—（待核）</x:v>
      </x:c>
      <x:c r="I19" s="180" t="str">
        <x:v>PointCloudBuffer</x:v>
      </x:c>
      <x:c r="J19" s="179" t="str">
        <x:v>类/接口/枚举（待裁决）</x:v>
      </x:c>
      <x:c r="K19" s="180" t="str">
        <x:v>V1.19 S-0120；原实施方式：增构候选。迁移风险：表达和承载点云缓冲的基础数据或计算参数</x:v>
      </x:c>
      <x:c r="L19" s="183" t="str">
        <x:v>V1.19设计候选·待核</x:v>
      </x:c>
      <x:c r="M19" s="183" t="str">
        <x:v>S-0120</x:v>
      </x:c>
      <x:c r="N19" s="184" t="str">
        <x:v>05_基础对象与基础计算!C125</x:v>
      </x:c>
      <x:c r="O19" s="183" t="str">
        <x:v>V1.19旧规格候选
V2.01：来源ID对应；处置=规划独立契约候选·未批准新增
V7.8：V7.8未检出同名词法声明</x:v>
      </x:c>
      <x:c r="P19" s="136" t="str">
        <x:v>V1.19旧规格候选</x:v>
      </x:c>
      <x:c r="Q19"/>
      <x:c r="R19"/>
      <x:c r="S19"/>
    </x:row>
    <x:row r="20" ht="72" customHeight="1">
      <x:c r="A20" s="179" t="str">
        <x:v>F12</x:v>
      </x:c>
      <x:c r="B20" s="180" t="str">
        <x:v>三维与体素｜体数据与网格基础
Volume Meshes</x:v>
      </x:c>
      <x:c r="C20" s="180" t="str">
        <x:v>IFVMVolumeBuffer</x:v>
      </x:c>
      <x:c r="D20" s="179" t="str">
        <x:v>增构候选·待查重</x:v>
      </x:c>
      <x:c r="E20" s="180" t="str">
        <x:v>表达和承载体素数据缓冲的基础数据或计算参数</x:v>
      </x:c>
      <x:c r="F20" s="180" t="str">
        <x:v>Memory, Stride, Shape</x:v>
      </x:c>
      <x:c r="G20" s="180" t="str">
        <x:v>Index(), Slice()</x:v>
      </x:c>
      <x:c r="H20" s="180" t="str">
        <x:v>—（待核）</x:v>
      </x:c>
      <x:c r="I20" s="180" t="str">
        <x:v>VolumeBuffer</x:v>
      </x:c>
      <x:c r="J20" s="179" t="str">
        <x:v>类/接口/枚举（待裁决）</x:v>
      </x:c>
      <x:c r="K20" s="180" t="str">
        <x:v>V1.19 S-0125；原实施方式：增构候选。迁移风险：表达和承载体素数据缓冲的基础数据或计算参数</x:v>
      </x:c>
      <x:c r="L20" s="183" t="str">
        <x:v>V1.19设计候选·待核</x:v>
      </x:c>
      <x:c r="M20" s="183" t="str">
        <x:v>S-0125</x:v>
      </x:c>
      <x:c r="N20" s="184" t="str">
        <x:v>05_基础对象与基础计算!C130</x:v>
      </x:c>
      <x:c r="O20" s="183" t="str">
        <x:v>V1.19旧规格候选
V2.01：来源ID对应；处置=规划独立契约候选·未批准新增
V7.8：V7.8未检出同名词法声明</x:v>
      </x:c>
      <x:c r="P20" s="136" t="str">
        <x:v>V1.19旧规格候选</x:v>
      </x:c>
      <x:c r="Q20"/>
      <x:c r="R20"/>
      <x:c r="S20"/>
    </x:row>
    <x:row r="21" ht="72" customHeight="1">
      <x:c r="A21" s="188"/>
      <x:c r="B21" s="187"/>
      <x:c r="C21" s="187"/>
      <x:c r="D21" s="188"/>
      <x:c r="E21" s="187"/>
      <x:c r="F21" s="187"/>
      <x:c r="G21" s="187"/>
      <x:c r="H21" s="187"/>
      <x:c r="I21" s="187"/>
      <x:c r="J21" s="188"/>
      <x:c r="K21" s="187"/>
      <x:c r="L21" s="190"/>
      <x:c r="M21" s="190"/>
      <x:c r="N21" s="190"/>
      <x:c r="O21" s="190"/>
      <x:c r="P21" s="46"/>
      <x:c r="Q21" s="46"/>
      <x:c r="R21" s="46"/>
      <x:c r="S21" s="46"/>
    </x:row>
    <x:row r="22" ht="72" customHeight="1">
      <x:c r="A22" s="188"/>
      <x:c r="B22" s="187"/>
      <x:c r="C22" s="187"/>
      <x:c r="D22" s="188"/>
      <x:c r="E22" s="187"/>
      <x:c r="F22" s="187"/>
      <x:c r="G22" s="187"/>
      <x:c r="H22" s="187"/>
      <x:c r="I22" s="187"/>
      <x:c r="J22" s="188"/>
      <x:c r="K22" s="187"/>
      <x:c r="L22" s="190"/>
      <x:c r="M22" s="190"/>
      <x:c r="N22" s="190"/>
      <x:c r="O22" s="190"/>
      <x:c r="P22" s="46"/>
      <x:c r="Q22" s="46"/>
      <x:c r="R22" s="46"/>
      <x:c r="S22" s="46"/>
    </x:row>
    <x:row r="23" ht="72" customHeight="1">
      <x:c r="A23" s="188"/>
      <x:c r="B23" s="187"/>
      <x:c r="C23" s="187"/>
      <x:c r="D23" s="188"/>
      <x:c r="E23" s="187"/>
      <x:c r="F23" s="187"/>
      <x:c r="G23" s="187"/>
      <x:c r="H23" s="187"/>
      <x:c r="I23" s="187"/>
      <x:c r="J23" s="188"/>
      <x:c r="K23" s="187"/>
      <x:c r="L23" s="190"/>
      <x:c r="M23" s="190"/>
      <x:c r="N23" s="190"/>
      <x:c r="O23" s="190"/>
      <x:c r="P23" s="46"/>
      <x:c r="Q23" s="46"/>
      <x:c r="R23" s="46"/>
      <x:c r="S23" s="46"/>
    </x:row>
    <x:row r="24" ht="72" customHeight="1">
      <x:c r="A24" s="188"/>
      <x:c r="B24" s="187"/>
      <x:c r="C24" s="187"/>
      <x:c r="D24" s="188"/>
      <x:c r="E24" s="187"/>
      <x:c r="F24" s="187"/>
      <x:c r="G24" s="187"/>
      <x:c r="H24" s="187"/>
      <x:c r="I24" s="187"/>
      <x:c r="J24" s="188"/>
      <x:c r="K24" s="187"/>
      <x:c r="L24" s="190"/>
      <x:c r="M24" s="190"/>
      <x:c r="N24" s="190"/>
      <x:c r="O24" s="190"/>
      <x:c r="P24" s="46"/>
      <x:c r="Q24" s="46"/>
      <x:c r="R24" s="46"/>
      <x:c r="S24" s="46"/>
    </x:row>
    <x:row r="25" ht="72" customHeight="1">
      <x:c r="A25" s="188"/>
      <x:c r="B25" s="187"/>
      <x:c r="C25" s="187"/>
      <x:c r="D25" s="188"/>
      <x:c r="E25" s="187"/>
      <x:c r="F25" s="187"/>
      <x:c r="G25" s="187"/>
      <x:c r="H25" s="187"/>
      <x:c r="I25" s="187"/>
      <x:c r="J25" s="188"/>
      <x:c r="K25" s="187"/>
      <x:c r="L25" s="190"/>
      <x:c r="M25" s="190"/>
      <x:c r="N25" s="190"/>
      <x:c r="O25" s="190"/>
      <x:c r="P25" s="46"/>
      <x:c r="Q25" s="46"/>
      <x:c r="R25" s="46"/>
      <x:c r="S25" s="46"/>
    </x:row>
    <x:row r="26" ht="72" customHeight="1">
      <x:c r="A26" s="188"/>
      <x:c r="B26" s="187"/>
      <x:c r="C26" s="187"/>
      <x:c r="D26" s="188"/>
      <x:c r="E26" s="187"/>
      <x:c r="F26" s="187"/>
      <x:c r="G26" s="187"/>
      <x:c r="H26" s="187"/>
      <x:c r="I26" s="187"/>
      <x:c r="J26" s="188"/>
      <x:c r="K26" s="187"/>
      <x:c r="L26" s="190"/>
      <x:c r="M26" s="190"/>
      <x:c r="N26" s="190"/>
      <x:c r="O26" s="190"/>
      <x:c r="P26" s="46"/>
      <x:c r="Q26" s="46"/>
      <x:c r="R26" s="46"/>
      <x:c r="S26" s="46"/>
    </x:row>
    <x:row r="27" ht="72" customHeight="1">
      <x:c r="A27" s="188"/>
      <x:c r="B27" s="187"/>
      <x:c r="C27" s="187"/>
      <x:c r="D27" s="188"/>
      <x:c r="E27" s="187"/>
      <x:c r="F27" s="187"/>
      <x:c r="G27" s="187"/>
      <x:c r="H27" s="187"/>
      <x:c r="I27" s="187"/>
      <x:c r="J27" s="188"/>
      <x:c r="K27" s="187"/>
      <x:c r="L27" s="190"/>
      <x:c r="M27" s="190"/>
      <x:c r="N27" s="190"/>
      <x:c r="O27" s="190"/>
      <x:c r="P27" s="46"/>
      <x:c r="Q27" s="46"/>
      <x:c r="R27" s="46"/>
      <x:c r="S27" s="46"/>
    </x:row>
    <x:row r="28" ht="72" customHeight="1">
      <x:c r="A28" s="188"/>
      <x:c r="B28" s="187"/>
      <x:c r="C28" s="187"/>
      <x:c r="D28" s="188"/>
      <x:c r="E28" s="187"/>
      <x:c r="F28" s="187"/>
      <x:c r="G28" s="187"/>
      <x:c r="H28" s="187"/>
      <x:c r="I28" s="187"/>
      <x:c r="J28" s="188"/>
      <x:c r="K28" s="187"/>
      <x:c r="L28" s="190"/>
      <x:c r="M28" s="190"/>
      <x:c r="N28" s="190"/>
      <x:c r="O28" s="190"/>
      <x:c r="P28" s="46"/>
      <x:c r="Q28" s="46"/>
      <x:c r="R28" s="46"/>
      <x:c r="S28" s="46"/>
    </x:row>
    <x:row r="29" ht="72" customHeight="1">
      <x:c r="A29" s="188"/>
      <x:c r="B29" s="187"/>
      <x:c r="C29" s="187"/>
      <x:c r="D29" s="188"/>
      <x:c r="E29" s="187"/>
      <x:c r="F29" s="187"/>
      <x:c r="G29" s="187"/>
      <x:c r="H29" s="187"/>
      <x:c r="I29" s="187"/>
      <x:c r="J29" s="188"/>
      <x:c r="K29" s="187"/>
      <x:c r="L29" s="190"/>
      <x:c r="M29" s="190"/>
      <x:c r="N29" s="190"/>
      <x:c r="O29" s="190"/>
      <x:c r="P29" s="46"/>
      <x:c r="Q29" s="46"/>
      <x:c r="R29" s="46"/>
      <x:c r="S29" s="46"/>
    </x:row>
    <x:row r="30" ht="72" customHeight="1">
      <x:c r="A30" s="188"/>
      <x:c r="B30" s="187"/>
      <x:c r="C30" s="187"/>
      <x:c r="D30" s="188"/>
      <x:c r="E30" s="187"/>
      <x:c r="F30" s="187"/>
      <x:c r="G30" s="187"/>
      <x:c r="H30" s="187"/>
      <x:c r="I30" s="187"/>
      <x:c r="J30" s="188"/>
      <x:c r="K30" s="187"/>
      <x:c r="L30" s="190"/>
      <x:c r="M30" s="190"/>
      <x:c r="N30" s="190"/>
      <x:c r="O30" s="190"/>
      <x:c r="P30" s="46"/>
      <x:c r="Q30" s="46"/>
      <x:c r="R30" s="46"/>
      <x:c r="S30" s="46"/>
    </x:row>
    <x:row r="31" ht="72" customHeight="1">
      <x:c r="A31" s="188"/>
      <x:c r="B31" s="187"/>
      <x:c r="C31" s="187"/>
      <x:c r="D31" s="188"/>
      <x:c r="E31" s="187"/>
      <x:c r="F31" s="187"/>
      <x:c r="G31" s="187"/>
      <x:c r="H31" s="187"/>
      <x:c r="I31" s="187"/>
      <x:c r="J31" s="188"/>
      <x:c r="K31" s="187"/>
      <x:c r="L31" s="190"/>
      <x:c r="M31" s="190"/>
      <x:c r="N31" s="190"/>
      <x:c r="O31" s="190"/>
      <x:c r="P31" s="46"/>
      <x:c r="Q31" s="46"/>
      <x:c r="R31" s="46"/>
      <x:c r="S31" s="46"/>
    </x:row>
    <x:row r="32" ht="72" customHeight="1">
      <x:c r="A32" s="188"/>
      <x:c r="B32" s="187"/>
      <x:c r="C32" s="187"/>
      <x:c r="D32" s="188"/>
      <x:c r="E32" s="187"/>
      <x:c r="F32" s="187"/>
      <x:c r="G32" s="187"/>
      <x:c r="H32" s="187"/>
      <x:c r="I32" s="187"/>
      <x:c r="J32" s="188"/>
      <x:c r="K32" s="187"/>
      <x:c r="L32" s="190"/>
      <x:c r="M32" s="190"/>
      <x:c r="N32" s="190"/>
      <x:c r="O32" s="190"/>
      <x:c r="P32" s="46"/>
      <x:c r="Q32" s="46"/>
      <x:c r="R32" s="46"/>
      <x:c r="S32" s="46"/>
    </x:row>
    <x:row r="33" ht="72" customHeight="1">
      <x:c r="A33" s="188"/>
      <x:c r="B33" s="187"/>
      <x:c r="C33" s="187"/>
      <x:c r="D33" s="188"/>
      <x:c r="E33" s="187"/>
      <x:c r="F33" s="187"/>
      <x:c r="G33" s="187"/>
      <x:c r="H33" s="187"/>
      <x:c r="I33" s="187"/>
      <x:c r="J33" s="188"/>
      <x:c r="K33" s="187"/>
      <x:c r="L33" s="190"/>
      <x:c r="M33" s="190"/>
      <x:c r="N33" s="190"/>
      <x:c r="O33" s="190"/>
      <x:c r="P33" s="46"/>
      <x:c r="Q33" s="46"/>
      <x:c r="R33" s="46"/>
      <x:c r="S33" s="46"/>
    </x:row>
    <x:row r="34" ht="72" customHeight="1">
      <x:c r="A34" s="188"/>
      <x:c r="B34" s="187"/>
      <x:c r="C34" s="187"/>
      <x:c r="D34" s="188"/>
      <x:c r="E34" s="187"/>
      <x:c r="F34" s="187"/>
      <x:c r="G34" s="187"/>
      <x:c r="H34" s="187"/>
      <x:c r="I34" s="187"/>
      <x:c r="J34" s="188"/>
      <x:c r="K34" s="187"/>
      <x:c r="L34" s="190"/>
      <x:c r="M34" s="190"/>
      <x:c r="N34" s="190"/>
      <x:c r="O34" s="190"/>
      <x:c r="P34" s="46"/>
      <x:c r="Q34" s="46"/>
      <x:c r="R34" s="46"/>
      <x:c r="S34" s="46"/>
    </x:row>
    <x:row r="35" ht="72" customHeight="1">
      <x:c r="A35" s="188"/>
      <x:c r="B35" s="187"/>
      <x:c r="C35" s="187"/>
      <x:c r="D35" s="188"/>
      <x:c r="E35" s="187"/>
      <x:c r="F35" s="187"/>
      <x:c r="G35" s="187"/>
      <x:c r="H35" s="187"/>
      <x:c r="I35" s="187"/>
      <x:c r="J35" s="188"/>
      <x:c r="K35" s="187"/>
      <x:c r="L35" s="190"/>
      <x:c r="M35" s="190"/>
      <x:c r="N35" s="190"/>
      <x:c r="O35" s="190"/>
      <x:c r="P35" s="46"/>
      <x:c r="Q35" s="46"/>
      <x:c r="R35" s="46"/>
      <x:c r="S35" s="46"/>
    </x:row>
    <x:row r="36" ht="72" customHeight="1">
      <x:c r="A36" s="188"/>
      <x:c r="B36" s="187"/>
      <x:c r="C36" s="187"/>
      <x:c r="D36" s="188"/>
      <x:c r="E36" s="187"/>
      <x:c r="F36" s="187"/>
      <x:c r="G36" s="187"/>
      <x:c r="H36" s="187"/>
      <x:c r="I36" s="187"/>
      <x:c r="J36" s="188"/>
      <x:c r="K36" s="187"/>
      <x:c r="L36" s="190"/>
      <x:c r="M36" s="190"/>
      <x:c r="N36" s="190"/>
      <x:c r="O36" s="190"/>
      <x:c r="P36" s="46"/>
      <x:c r="Q36" s="46"/>
      <x:c r="R36" s="46"/>
      <x:c r="S36" s="46"/>
    </x:row>
    <x:row r="37" ht="72" customHeight="1">
      <x:c r="A37" s="188"/>
      <x:c r="B37" s="187"/>
      <x:c r="C37" s="187"/>
      <x:c r="D37" s="188"/>
      <x:c r="E37" s="187"/>
      <x:c r="F37" s="187"/>
      <x:c r="G37" s="187"/>
      <x:c r="H37" s="187"/>
      <x:c r="I37" s="187"/>
      <x:c r="J37" s="188"/>
      <x:c r="K37" s="187"/>
      <x:c r="L37" s="190"/>
      <x:c r="M37" s="190"/>
      <x:c r="N37" s="190"/>
      <x:c r="O37" s="190"/>
      <x:c r="P37" s="46"/>
      <x:c r="Q37" s="46"/>
      <x:c r="R37" s="46"/>
      <x:c r="S37" s="46"/>
    </x:row>
    <x:row r="38" ht="72" customHeight="1">
      <x:c r="A38" s="188"/>
      <x:c r="B38" s="187"/>
      <x:c r="C38" s="187"/>
      <x:c r="D38" s="188"/>
      <x:c r="E38" s="187"/>
      <x:c r="F38" s="187"/>
      <x:c r="G38" s="187"/>
      <x:c r="H38" s="187"/>
      <x:c r="I38" s="187"/>
      <x:c r="J38" s="188"/>
      <x:c r="K38" s="187"/>
      <x:c r="L38" s="190"/>
      <x:c r="M38" s="190"/>
      <x:c r="N38" s="190"/>
      <x:c r="O38" s="190"/>
      <x:c r="P38" s="46"/>
      <x:c r="Q38" s="46"/>
      <x:c r="R38" s="46"/>
      <x:c r="S38" s="46"/>
    </x:row>
    <x:row r="39" ht="72" customHeight="1">
      <x:c r="A39" s="188"/>
      <x:c r="B39" s="187"/>
      <x:c r="C39" s="187"/>
      <x:c r="D39" s="188"/>
      <x:c r="E39" s="187"/>
      <x:c r="F39" s="187"/>
      <x:c r="G39" s="187"/>
      <x:c r="H39" s="187"/>
      <x:c r="I39" s="187"/>
      <x:c r="J39" s="188"/>
      <x:c r="K39" s="187"/>
      <x:c r="L39" s="190"/>
      <x:c r="M39" s="190"/>
      <x:c r="N39" s="190"/>
      <x:c r="O39" s="190"/>
      <x:c r="P39" s="46"/>
      <x:c r="Q39" s="46"/>
      <x:c r="R39" s="46"/>
      <x:c r="S39" s="46"/>
    </x:row>
    <x:row r="40" ht="72" customHeight="1">
      <x:c r="A40" s="188"/>
      <x:c r="B40" s="187"/>
      <x:c r="C40" s="187"/>
      <x:c r="D40" s="188"/>
      <x:c r="E40" s="187"/>
      <x:c r="F40" s="187"/>
      <x:c r="G40" s="187"/>
      <x:c r="H40" s="187"/>
      <x:c r="I40" s="187"/>
      <x:c r="J40" s="188"/>
      <x:c r="K40" s="187"/>
      <x:c r="L40" s="190"/>
      <x:c r="M40" s="190"/>
      <x:c r="N40" s="190"/>
      <x:c r="O40" s="190"/>
      <x:c r="P40" s="46"/>
      <x:c r="Q40" s="46"/>
      <x:c r="R40" s="46"/>
      <x:c r="S40" s="46"/>
    </x:row>
    <x:row r="41" ht="72" customHeight="1">
      <x:c r="A41" s="188"/>
      <x:c r="B41" s="187"/>
      <x:c r="C41" s="187"/>
      <x:c r="D41" s="188"/>
      <x:c r="E41" s="187"/>
      <x:c r="F41" s="187"/>
      <x:c r="G41" s="187"/>
      <x:c r="H41" s="187"/>
      <x:c r="I41" s="187"/>
      <x:c r="J41" s="188"/>
      <x:c r="K41" s="187"/>
      <x:c r="L41" s="190"/>
      <x:c r="M41" s="190"/>
      <x:c r="N41" s="190"/>
      <x:c r="O41" s="190"/>
      <x:c r="P41" s="46"/>
      <x:c r="Q41" s="46"/>
      <x:c r="R41" s="46"/>
      <x:c r="S41" s="46"/>
    </x:row>
    <x:row r="42" ht="72" customHeight="1">
      <x:c r="A42" s="188"/>
      <x:c r="B42" s="187"/>
      <x:c r="C42" s="187"/>
      <x:c r="D42" s="188"/>
      <x:c r="E42" s="187"/>
      <x:c r="F42" s="187"/>
      <x:c r="G42" s="187"/>
      <x:c r="H42" s="187"/>
      <x:c r="I42" s="187"/>
      <x:c r="J42" s="188"/>
      <x:c r="K42" s="187"/>
      <x:c r="L42" s="190"/>
      <x:c r="M42" s="190"/>
      <x:c r="N42" s="190"/>
      <x:c r="O42" s="190"/>
      <x:c r="P42" s="46"/>
      <x:c r="Q42" s="46"/>
      <x:c r="R42" s="46"/>
      <x:c r="S42" s="46"/>
    </x:row>
    <x:row r="43" ht="72" customHeight="1">
      <x:c r="A43" s="188"/>
      <x:c r="B43" s="187"/>
      <x:c r="C43" s="187"/>
      <x:c r="D43" s="188"/>
      <x:c r="E43" s="187"/>
      <x:c r="F43" s="187"/>
      <x:c r="G43" s="187"/>
      <x:c r="H43" s="187"/>
      <x:c r="I43" s="187"/>
      <x:c r="J43" s="188"/>
      <x:c r="K43" s="187"/>
      <x:c r="L43" s="190"/>
      <x:c r="M43" s="190"/>
      <x:c r="N43" s="190"/>
      <x:c r="O43" s="190"/>
      <x:c r="P43" s="46"/>
      <x:c r="Q43" s="46"/>
      <x:c r="R43" s="46"/>
      <x:c r="S43" s="46"/>
    </x:row>
    <x:row r="44" ht="72" customHeight="1">
      <x:c r="A44" s="188"/>
      <x:c r="B44" s="187"/>
      <x:c r="C44" s="187"/>
      <x:c r="D44" s="188"/>
      <x:c r="E44" s="187"/>
      <x:c r="F44" s="187"/>
      <x:c r="G44" s="187"/>
      <x:c r="H44" s="187"/>
      <x:c r="I44" s="187"/>
      <x:c r="J44" s="188"/>
      <x:c r="K44" s="187"/>
      <x:c r="L44" s="190"/>
      <x:c r="M44" s="190"/>
      <x:c r="N44" s="190"/>
      <x:c r="O44" s="190"/>
      <x:c r="P44" s="46"/>
      <x:c r="Q44" s="46"/>
      <x:c r="R44" s="46"/>
      <x:c r="S44" s="46"/>
    </x:row>
    <x:row r="45" ht="72" customHeight="1">
      <x:c r="A45" s="188"/>
      <x:c r="B45" s="187"/>
      <x:c r="C45" s="187"/>
      <x:c r="D45" s="188"/>
      <x:c r="E45" s="187"/>
      <x:c r="F45" s="187"/>
      <x:c r="G45" s="187"/>
      <x:c r="H45" s="187"/>
      <x:c r="I45" s="187"/>
      <x:c r="J45" s="188"/>
      <x:c r="K45" s="187"/>
      <x:c r="L45" s="190"/>
      <x:c r="M45" s="190"/>
      <x:c r="N45" s="190"/>
      <x:c r="O45" s="190"/>
      <x:c r="P45" s="46"/>
      <x:c r="Q45" s="46"/>
      <x:c r="R45" s="46"/>
      <x:c r="S45" s="46"/>
    </x:row>
    <x:row r="46" ht="72" customHeight="1">
      <x:c r="A46" s="188"/>
      <x:c r="B46" s="187"/>
      <x:c r="C46" s="187"/>
      <x:c r="D46" s="188"/>
      <x:c r="E46" s="187"/>
      <x:c r="F46" s="187"/>
      <x:c r="G46" s="187"/>
      <x:c r="H46" s="187"/>
      <x:c r="I46" s="187"/>
      <x:c r="J46" s="188"/>
      <x:c r="K46" s="187"/>
      <x:c r="L46" s="190"/>
      <x:c r="M46" s="190"/>
      <x:c r="N46" s="190"/>
      <x:c r="O46" s="190"/>
      <x:c r="P46" s="46"/>
      <x:c r="Q46" s="46"/>
      <x:c r="R46" s="46"/>
      <x:c r="S46" s="46"/>
    </x:row>
    <x:row r="47" ht="72" customHeight="1">
      <x:c r="A47" s="188"/>
      <x:c r="B47" s="187"/>
      <x:c r="C47" s="187"/>
      <x:c r="D47" s="188"/>
      <x:c r="E47" s="187"/>
      <x:c r="F47" s="187"/>
      <x:c r="G47" s="187"/>
      <x:c r="H47" s="187"/>
      <x:c r="I47" s="187"/>
      <x:c r="J47" s="188"/>
      <x:c r="K47" s="187"/>
      <x:c r="L47" s="190"/>
      <x:c r="M47" s="190"/>
      <x:c r="N47" s="190"/>
      <x:c r="O47" s="190"/>
      <x:c r="P47" s="46"/>
      <x:c r="Q47" s="46"/>
      <x:c r="R47" s="46"/>
      <x:c r="S47" s="46"/>
    </x:row>
    <x:row r="48" ht="72" customHeight="1">
      <x:c r="A48" s="188"/>
      <x:c r="B48" s="187"/>
      <x:c r="C48" s="187"/>
      <x:c r="D48" s="188"/>
      <x:c r="E48" s="187"/>
      <x:c r="F48" s="187"/>
      <x:c r="G48" s="187"/>
      <x:c r="H48" s="187"/>
      <x:c r="I48" s="187"/>
      <x:c r="J48" s="188"/>
      <x:c r="K48" s="187"/>
      <x:c r="L48" s="190"/>
      <x:c r="M48" s="190"/>
      <x:c r="N48" s="190"/>
      <x:c r="O48" s="190"/>
      <x:c r="P48" s="46"/>
      <x:c r="Q48" s="46"/>
      <x:c r="R48" s="46"/>
      <x:c r="S48" s="46"/>
    </x:row>
    <x:row r="49" ht="72" customHeight="1">
      <x:c r="A49" s="188"/>
      <x:c r="B49" s="187"/>
      <x:c r="C49" s="187"/>
      <x:c r="D49" s="188"/>
      <x:c r="E49" s="187"/>
      <x:c r="F49" s="187"/>
      <x:c r="G49" s="187"/>
      <x:c r="H49" s="187"/>
      <x:c r="I49" s="187"/>
      <x:c r="J49" s="188"/>
      <x:c r="K49" s="187"/>
      <x:c r="L49" s="190"/>
      <x:c r="M49" s="190"/>
      <x:c r="N49" s="190"/>
      <x:c r="O49" s="190"/>
      <x:c r="P49" s="46"/>
      <x:c r="Q49" s="46"/>
      <x:c r="R49" s="46"/>
      <x:c r="S49" s="46"/>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6:A20"/>
    <x:mergeCell ref="A1:P1"/>
    <x:mergeCell ref="A2:P2"/>
    <x:mergeCell ref="A3:P3"/>
    <x:mergeCell ref="A4:P4"/>
    <x:mergeCell ref="B6:B20"/>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CxVisual.Foundation.Data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子方面：F14、F15、F18、F21｜来源：V1.19旧类型 + V4.9对象 + V7.8源码 + V5.0/R3架构裁决｜本项目 57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F14</x:v>
      </x:c>
      <x:c r="B6" s="180" t="str">
        <x:v>数据格式与序列化｜编码、Codec与协议帧
Encoding Codecs</x:v>
      </x:c>
      <x:c r="C6" s="180" t="str">
        <x:v>FECCompressionHelper</x:v>
      </x:c>
      <x:c r="D6" s="179" t="str">
        <x:v>原有·待核</x:v>
      </x:c>
      <x:c r="E6" s="180" t="str">
        <x:v>提供Compression辅助可复用辅助操作，避免业务状态耦合</x:v>
      </x:c>
      <x:c r="F6" s="180" t="str">
        <x:v>—（无公开声明或待核对）</x:v>
      </x:c>
      <x:c r="G6" s="180" t="str">
        <x:v>CreateZipFileAsync(string zipDirPath, string destinationZipPath), CreateZipFileAsync(IEnumerable&lt;string&gt; files, string destinationZipFilePath, string baseFolder), CreateZipFileAsync(IEnumerable&lt;string&gt; files, string destinationZipFilePath, List&lt;string&gt; baseFolders), ZipCxHalconFiles(string destinationZipPath, string baseFolder), GetRelativePath(string fromPath, string toPath)</x:v>
      </x:c>
      <x:c r="H6" s="180" t="str">
        <x:v>—（待核）</x:v>
      </x:c>
      <x:c r="I6" s="180" t="str">
        <x:v>CommonInterfaces.CompressionHelper</x:v>
      </x:c>
      <x:c r="J6" s="179" t="str">
        <x:v>静态类</x:v>
      </x:c>
      <x:c r="K6" s="180" t="str">
        <x:v>V1.19 C-0022；原实施方式：原有。迁移风险：提供Compression辅助可复用辅助操作，避免业务状态耦合</x:v>
      </x:c>
      <x:c r="L6" s="183" t="str">
        <x:v>源代码声明·待复核</x:v>
      </x:c>
      <x:c r="M6" s="183" t="str">
        <x:v>C-0022</x:v>
      </x:c>
      <x:c r="N6" s="184" t="str">
        <x:v>Platform/CommonInterfaces/CompressionHelper.cs</x:v>
      </x:c>
      <x:c r="O6" s="183" t="str">
        <x:v>V1.19旧源码类型（真实成员/实现仍待核）
V2.01：来源ID对应；处置=保留源码·公开契约复核
V7.8：V7.8同名且源文件对应；Platform/CommonInterfaces/CompressionHelper.cs</x:v>
      </x:c>
      <x:c r="P6" s="136" t="str">
        <x:v>V1.19旧源码类型（真实成员/实现仍待核）</x:v>
      </x:c>
      <x:c r="Q6"/>
      <x:c r="R6"/>
      <x:c r="S6"/>
    </x:row>
    <x:row r="7" ht="72" customHeight="1">
      <x:c r="A7" s="179" t="str">
        <x:v>F14</x:v>
      </x:c>
      <x:c r="B7" s="180" t="str">
        <x:v>数据格式与序列化｜编码、Codec与协议帧
Encoding Codecs</x:v>
      </x:c>
      <x:c r="C7" s="180" t="str">
        <x:v>FECEncodingHelper</x:v>
      </x:c>
      <x:c r="D7" s="179" t="str">
        <x:v>原有·待核</x:v>
      </x:c>
      <x:c r="E7" s="180" t="str">
        <x:v>提供Encoding辅助可复用辅助操作，避免业务状态耦合</x:v>
      </x:c>
      <x:c r="F7" s="180" t="str">
        <x:v>—（无公开声明或待核对）</x:v>
      </x:c>
      <x:c r="G7" s="180" t="str">
        <x:v>IsValidEncoding(bytebytes, Encoding encoding), IsValidEncoding(stringstrings, Encoding encoding), GetEncoding(string filePath), GuessFileEncoding(string filePath), GuessFileEncoding(bytefileContent), byteGbkToUtf8(bytegbkBytes), byteUtf8ToGbk(byteutf8Bytes), stringConvertArrayEncoding(stringinputStrings, string fromEncoding, string toEncoding)</x:v>
      </x:c>
      <x:c r="H7" s="180" t="str">
        <x:v>—（待核）</x:v>
      </x:c>
      <x:c r="I7" s="180" t="str">
        <x:v>CommonInterfaces.EncodingHelper</x:v>
      </x:c>
      <x:c r="J7" s="179" t="str">
        <x:v>静态类</x:v>
      </x:c>
      <x:c r="K7" s="180" t="str">
        <x:v>V1.19 C-0023；原实施方式：原有。迁移风险：提供Encoding辅助可复用辅助操作，避免业务状态耦合</x:v>
      </x:c>
      <x:c r="L7" s="183" t="str">
        <x:v>源代码声明·待复核</x:v>
      </x:c>
      <x:c r="M7" s="183" t="str">
        <x:v>C-0023</x:v>
      </x:c>
      <x:c r="N7" s="184" t="str">
        <x:v>Platform/CommonInterfaces/EncodingHelper.cs</x:v>
      </x:c>
      <x:c r="O7" s="183" t="str">
        <x:v>V1.19旧源码类型（真实成员/实现仍待核）
V2.01：来源ID对应；处置=保留源码·公开契约复核
V7.8：V7.8同名且源文件对应；Platform/CommonInterfaces/EncodingHelper.cs</x:v>
      </x:c>
      <x:c r="P7" s="136" t="str">
        <x:v>V1.19旧源码类型（真实成员/实现仍待核）</x:v>
      </x:c>
      <x:c r="Q7"/>
      <x:c r="R7"/>
      <x:c r="S7"/>
    </x:row>
    <x:row r="8" ht="72" customHeight="1">
      <x:c r="A8" s="179" t="str">
        <x:v>F14</x:v>
      </x:c>
      <x:c r="B8" s="180" t="str">
        <x:v>数据格式与序列化｜编码、Codec与协议帧
Encoding Codecs</x:v>
      </x:c>
      <x:c r="C8" s="180" t="str">
        <x:v>FECEncodingTestor</x:v>
      </x:c>
      <x:c r="D8" s="179" t="str">
        <x:v>原有·待核</x:v>
      </x:c>
      <x:c r="E8" s="180" t="str">
        <x:v>提供EncodingTestor相关基础操作或类型辅助处理</x:v>
      </x:c>
      <x:c r="F8" s="180" t="str">
        <x:v>—（无公开声明或待核对）</x:v>
      </x:c>
      <x:c r="G8" s="180" t="str">
        <x:v>HelloIsValidEncoding(), HelloIsValidEncoding2(), HelloGbkToUtf8(), helloConvertArrayEncoding()</x:v>
      </x:c>
      <x:c r="H8" s="180" t="str">
        <x:v>—（待核）</x:v>
      </x:c>
      <x:c r="I8" s="180" t="str">
        <x:v>CommonInterfaces.EncodingTestor</x:v>
      </x:c>
      <x:c r="J8" s="179" t="str">
        <x:v>静态类</x:v>
      </x:c>
      <x:c r="K8" s="180" t="str">
        <x:v>V1.19 C-0024；原实施方式：原有。迁移风险：提供EncodingTestor相关基础操作或类型辅助处理</x:v>
      </x:c>
      <x:c r="L8" s="183" t="str">
        <x:v>源代码声明·待复核</x:v>
      </x:c>
      <x:c r="M8" s="183" t="str">
        <x:v>C-0024</x:v>
      </x:c>
      <x:c r="N8" s="184" t="str">
        <x:v>Platform/CommonInterfaces/EncodingHelper.cs</x:v>
      </x:c>
      <x:c r="O8" s="183" t="str">
        <x:v>V1.19旧源码类型（真实成员/实现仍待核）
V2.01：来源ID对应；处置=保留源码·公开契约复核
V7.8：V7.8同名且源文件对应；Platform/CommonInterfaces/EncodingHelper.cs</x:v>
      </x:c>
      <x:c r="P8" s="136" t="str">
        <x:v>V1.19旧源码类型（真实成员/实现仍待核）</x:v>
      </x:c>
      <x:c r="Q8"/>
      <x:c r="R8"/>
      <x:c r="S8"/>
    </x:row>
    <x:row r="9" ht="72" customHeight="1">
      <x:c r="A9" s="179" t="str">
        <x:v>F14</x:v>
      </x:c>
      <x:c r="B9" s="180" t="str">
        <x:v>数据格式与序列化｜编码、Codec与协议帧
Encoding Codecs</x:v>
      </x:c>
      <x:c r="C9" s="180" t="str">
        <x:v>FECHashUtil</x:v>
      </x:c>
      <x:c r="D9" s="179" t="str">
        <x:v>原有·待核</x:v>
      </x:c>
      <x:c r="E9" s="180" t="str">
        <x:v>提供Hash工具无状态数据计算、解析或转换工具</x:v>
      </x:c>
      <x:c r="F9" s="180" t="str">
        <x:v>—（无公开声明或待核对）</x:v>
      </x:c>
      <x:c r="G9" s="180" t="str">
        <x:v>Sha256(bytedata)</x:v>
      </x:c>
      <x:c r="H9" s="180" t="str">
        <x:v>—（待核）</x:v>
      </x:c>
      <x:c r="I9" s="180" t="str">
        <x:v>CxVisual.Common.HashUtil</x:v>
      </x:c>
      <x:c r="J9" s="179" t="str">
        <x:v>静态类</x:v>
      </x:c>
      <x:c r="K9" s="180" t="str">
        <x:v>V1.19 C-0025；原实施方式：原有。迁移风险：提供Hash工具无状态数据计算、解析或转换工具</x:v>
      </x:c>
      <x:c r="L9" s="183" t="str">
        <x:v>源代码声明·待复核</x:v>
      </x:c>
      <x:c r="M9" s="183" t="str">
        <x:v>C-0025</x:v>
      </x:c>
      <x:c r="N9" s="184" t="str">
        <x:v>Platform/Core/Common/Utilities.cs</x:v>
      </x:c>
      <x:c r="O9" s="183" t="str">
        <x:v>V1.19旧源码类型（真实成员/实现仍待核）
V2.01：来源ID对应；处置=保留源码·公开契约复核
V7.8：V7.8同名且源文件对应；Platform/Core/Common/Utilities.cs</x:v>
      </x:c>
      <x:c r="P9" s="136" t="str">
        <x:v>V1.19旧源码类型（真实成员/实现仍待核）</x:v>
      </x:c>
      <x:c r="Q9"/>
      <x:c r="R9"/>
      <x:c r="S9"/>
    </x:row>
    <x:row r="10" ht="72" customHeight="1">
      <x:c r="A10" s="179" t="str">
        <x:v>F14</x:v>
      </x:c>
      <x:c r="B10" s="180" t="str">
        <x:v>数据格式与序列化｜编码、Codec与协议帧
Encoding Codecs</x:v>
      </x:c>
      <x:c r="C10" s="180" t="str">
        <x:v>FECYamlHelper</x:v>
      </x:c>
      <x:c r="D10" s="179" t="str">
        <x:v>原有·待核</x:v>
      </x:c>
      <x:c r="E10" s="180" t="str">
        <x:v>提供Yaml辅助可复用辅助操作，避免业务状态耦合</x:v>
      </x:c>
      <x:c r="F10" s="180" t="str">
        <x:v>—（无公开声明或待核对）</x:v>
      </x:c>
      <x:c r="G10" s="180" t="str">
        <x:v>CreateSerializer(), CreateDeserializer()</x:v>
      </x:c>
      <x:c r="H10" s="180" t="str">
        <x:v>—（待核）</x:v>
      </x:c>
      <x:c r="I10" s="180" t="str">
        <x:v>CommonInterfaces.YamlHelper</x:v>
      </x:c>
      <x:c r="J10" s="179" t="str">
        <x:v>静态类</x:v>
      </x:c>
      <x:c r="K10" s="180" t="str">
        <x:v>V1.19 C-0026；原实施方式：原有。迁移风险：提供Yaml辅助可复用辅助操作，避免业务状态耦合</x:v>
      </x:c>
      <x:c r="L10" s="183" t="str">
        <x:v>源代码声明·待复核</x:v>
      </x:c>
      <x:c r="M10" s="183" t="str">
        <x:v>C-0026</x:v>
      </x:c>
      <x:c r="N10" s="184" t="str">
        <x:v>Platform/CommonInterfaces/YamlHelper.cs</x:v>
      </x:c>
      <x:c r="O10" s="183" t="str">
        <x:v>V1.19旧源码类型（真实成员/实现仍待核）
V2.01：来源ID对应；处置=保留源码·公开契约复核
V7.8：V7.8同名且源文件对应；Platform/CommonInterfaces/YamlHelper.cs</x:v>
      </x:c>
      <x:c r="P10" s="136" t="str">
        <x:v>V1.19旧源码类型（真实成员/实现仍待核）</x:v>
      </x:c>
      <x:c r="Q10"/>
      <x:c r="R10"/>
      <x:c r="S10"/>
    </x:row>
    <x:row r="11" ht="72" customHeight="1">
      <x:c r="A11" s="179" t="str">
        <x:v>F14</x:v>
      </x:c>
      <x:c r="B11" s="180" t="str">
        <x:v>数据格式与序列化｜编码、Codec与协议帧
Encoding Codecs</x:v>
      </x:c>
      <x:c r="C11" s="180" t="str">
        <x:v>FECBinaryCodecUtil</x:v>
      </x:c>
      <x:c r="D11" s="179" t="str">
        <x:v>增构候选·待查重</x:v>
      </x:c>
      <x:c r="E11" s="180" t="str">
        <x:v>提供无状态二进制编解码算法运算，不持有会话/设备/全局缓存</x:v>
      </x:c>
      <x:c r="F11" s="180" t="str">
        <x:v>Endian；Encoding</x:v>
      </x:c>
      <x:c r="G11" s="180" t="str">
        <x:v>Encode；Decode；public static ushort ReadUInt16(byte[] source, int offset, ByteOrder order)</x:v>
      </x:c>
      <x:c r="H11" s="180" t="str">
        <x:v>待逐对象核实</x:v>
      </x:c>
      <x:c r="I11" s="180" t="str">
        <x:v>BinaryCodecUtil</x:v>
      </x:c>
      <x:c r="J11" s="179" t="str">
        <x:v>静态类</x:v>
      </x:c>
      <x:c r="K11" s="180" t="str">
        <x:v>生命周期：基础值/纯计算</x:v>
      </x:c>
      <x:c r="L11" s="183" t="str">
        <x:v>设计候选，尚待源码验证</x:v>
      </x:c>
      <x:c r="M11" s="183" t="str">
        <x:v>F14.BinaryCodecUtil</x:v>
      </x:c>
      <x:c r="N11" s="184" t="str">
        <x:v>05_基础对象与基础计算!C145</x:v>
      </x:c>
      <x:c r="O11" s="183" t="str">
        <x:v>V4.9对象/属性/方法
V2.01：名称/子方面线索；处置=规划独立契约候选·未批准新增
V7.8：V7.8未检出同名词法声明</x:v>
      </x:c>
      <x:c r="P11" s="136" t="str">
        <x:v>V4.9对象/属性/方法</x:v>
      </x:c>
      <x:c r="Q11"/>
      <x:c r="R11"/>
      <x:c r="S11"/>
    </x:row>
    <x:row r="12" ht="72" customHeight="1">
      <x:c r="A12" s="179" t="str">
        <x:v>F14</x:v>
      </x:c>
      <x:c r="B12" s="180" t="str">
        <x:v>数据格式与序列化｜编码、Codec与协议帧
Encoding Codecs</x:v>
      </x:c>
      <x:c r="C12" s="180" t="str">
        <x:v>FECBinarySpanReader</x:v>
      </x:c>
      <x:c r="D12" s="179" t="str">
        <x:v>增构候选·待查重</x:v>
      </x:c>
      <x:c r="E12" s="180" t="str">
        <x:v>表达和承载二进制读取游标的基础数据或计算参数</x:v>
      </x:c>
      <x:c r="F12" s="180" t="str">
        <x:v>Buffer；Position</x:v>
      </x:c>
      <x:c r="G12" s="180" t="str">
        <x:v>ReadInt；ReadBytes</x:v>
      </x:c>
      <x:c r="H12" s="180" t="str">
        <x:v>待逐对象核实</x:v>
      </x:c>
      <x:c r="I12" s="180" t="str">
        <x:v>BinarySpanReader</x:v>
      </x:c>
      <x:c r="J12" s="179" t="str">
        <x:v>值类型候选</x:v>
      </x:c>
      <x:c r="K12" s="180" t="str">
        <x:v>生命周期：基础数据/值对象</x:v>
      </x:c>
      <x:c r="L12" s="183" t="str">
        <x:v>设计候选，尚待源码验证</x:v>
      </x:c>
      <x:c r="M12" s="183" t="str">
        <x:v>F14.BinarySpanReader</x:v>
      </x:c>
      <x:c r="N12" s="184" t="str">
        <x:v>05_基础对象与基础计算!C146</x:v>
      </x:c>
      <x:c r="O12" s="183" t="str">
        <x:v>V4.9对象/属性/方法
V2.01：名称/子方面线索；处置=规划独立契约候选·未批准新增
V7.8：V7.8未检出同名词法声明</x:v>
      </x:c>
      <x:c r="P12" s="136" t="str">
        <x:v>V4.9对象/属性/方法</x:v>
      </x:c>
      <x:c r="Q12"/>
      <x:c r="R12"/>
      <x:c r="S12"/>
    </x:row>
    <x:row r="13" ht="72" customHeight="1">
      <x:c r="A13" s="179" t="str">
        <x:v>F14</x:v>
      </x:c>
      <x:c r="B13" s="180" t="str">
        <x:v>数据格式与序列化｜编码、Codec与协议帧
Encoding Codecs</x:v>
      </x:c>
      <x:c r="C13" s="180" t="str">
        <x:v>FECBinarySpanWriter</x:v>
      </x:c>
      <x:c r="D13" s="179" t="str">
        <x:v>增构候选·待查重</x:v>
      </x:c>
      <x:c r="E13" s="180" t="str">
        <x:v>表达和承载二进制写入游标的基础数据或计算参数</x:v>
      </x:c>
      <x:c r="F13" s="180" t="str">
        <x:v>Buffer；Position</x:v>
      </x:c>
      <x:c r="G13" s="180" t="str">
        <x:v>WriteInt；WriteBytes</x:v>
      </x:c>
      <x:c r="H13" s="180" t="str">
        <x:v>待逐对象核实</x:v>
      </x:c>
      <x:c r="I13" s="180" t="str">
        <x:v>BinarySpanWriter</x:v>
      </x:c>
      <x:c r="J13" s="179" t="str">
        <x:v>值类型候选</x:v>
      </x:c>
      <x:c r="K13" s="180" t="str">
        <x:v>生命周期：基础数据/值对象</x:v>
      </x:c>
      <x:c r="L13" s="183" t="str">
        <x:v>设计候选，尚待源码验证</x:v>
      </x:c>
      <x:c r="M13" s="183" t="str">
        <x:v>F14.BinarySpanWriter</x:v>
      </x:c>
      <x:c r="N13" s="184" t="str">
        <x:v>05_基础对象与基础计算!C147</x:v>
      </x:c>
      <x:c r="O13" s="183" t="str">
        <x:v>V4.9对象/属性/方法
V2.01：名称/子方面线索；处置=规划独立契约候选·未批准新增
V7.8：V7.8未检出同名词法声明</x:v>
      </x:c>
      <x:c r="P13" s="136" t="str">
        <x:v>V4.9对象/属性/方法</x:v>
      </x:c>
      <x:c r="Q13"/>
      <x:c r="R13"/>
      <x:c r="S13"/>
    </x:row>
    <x:row r="14" ht="72" customHeight="1">
      <x:c r="A14" s="179" t="str">
        <x:v>F14</x:v>
      </x:c>
      <x:c r="B14" s="180" t="str">
        <x:v>数据格式与序列化｜编码、Codec与协议帧
Encoding Codecs</x:v>
      </x:c>
      <x:c r="C14" s="180" t="str">
        <x:v>FECByteSlice</x:v>
      </x:c>
      <x:c r="D14" s="179" t="str">
        <x:v>增构候选·待查重</x:v>
      </x:c>
      <x:c r="E14" s="180" t="str">
        <x:v>表达和承载字节片段的基础数据或计算参数</x:v>
      </x:c>
      <x:c r="F14" s="180" t="str">
        <x:v>Buffer；Offset；Length</x:v>
      </x:c>
      <x:c r="G14" s="180" t="str">
        <x:v>Slice；Copy</x:v>
      </x:c>
      <x:c r="H14" s="180" t="str">
        <x:v>待逐对象核实</x:v>
      </x:c>
      <x:c r="I14" s="180" t="str">
        <x:v>ByteSlice</x:v>
      </x:c>
      <x:c r="J14" s="179" t="str">
        <x:v>值类型候选</x:v>
      </x:c>
      <x:c r="K14" s="180" t="str">
        <x:v>生命周期：基础数据/值对象</x:v>
      </x:c>
      <x:c r="L14" s="183" t="str">
        <x:v>设计候选，尚待源码验证</x:v>
      </x:c>
      <x:c r="M14" s="183" t="str">
        <x:v>F14.ByteSlice</x:v>
      </x:c>
      <x:c r="N14" s="184" t="str">
        <x:v>05_基础对象与基础计算!C148</x:v>
      </x:c>
      <x:c r="O14" s="183" t="str">
        <x:v>V4.9对象/属性/方法
V2.01：名称/子方面线索；处置=规划独立契约候选·未批准新增
V7.8：V7.8未检出同名词法声明</x:v>
      </x:c>
      <x:c r="P14" s="136" t="str">
        <x:v>V4.9对象/属性/方法</x:v>
      </x:c>
      <x:c r="Q14"/>
      <x:c r="R14"/>
      <x:c r="S14"/>
    </x:row>
    <x:row r="15" ht="72" customHeight="1">
      <x:c r="A15" s="179" t="str">
        <x:v>F14</x:v>
      </x:c>
      <x:c r="B15" s="180" t="str">
        <x:v>数据格式与序列化｜编码、Codec与协议帧
Encoding Codecs</x:v>
      </x:c>
      <x:c r="C15" s="180" t="str">
        <x:v>FECChecksumUtil</x:v>
      </x:c>
      <x:c r="D15" s="179" t="str">
        <x:v>增构候选·待查重</x:v>
      </x:c>
      <x:c r="E15" s="180" t="str">
        <x:v>提供无状态校验和工具运算，不持有会话/设备/全局缓存</x:v>
      </x:c>
      <x:c r="F15" s="180" t="str">
        <x:v>Bytes；Algorithm</x:v>
      </x:c>
      <x:c r="G15" s="180" t="str">
        <x:v>Crc16；Crc32</x:v>
      </x:c>
      <x:c r="H15" s="180" t="str">
        <x:v>待逐对象核实</x:v>
      </x:c>
      <x:c r="I15" s="180" t="str">
        <x:v>ChecksumUtil</x:v>
      </x:c>
      <x:c r="J15" s="179" t="str">
        <x:v>静态类</x:v>
      </x:c>
      <x:c r="K15" s="180" t="str">
        <x:v>生命周期：基础值/纯计算</x:v>
      </x:c>
      <x:c r="L15" s="183" t="str">
        <x:v>设计候选，尚待源码验证</x:v>
      </x:c>
      <x:c r="M15" s="183" t="str">
        <x:v>F14.ChecksumUtil</x:v>
      </x:c>
      <x:c r="N15" s="184" t="str">
        <x:v>05_基础对象与基础计算!C149</x:v>
      </x:c>
      <x:c r="O15" s="183" t="str">
        <x:v>V4.9对象/属性/方法
V2.01：名称/子方面线索；处置=规划独立契约候选·未批准新增
V7.8：V7.8未检出同名词法声明</x:v>
      </x:c>
      <x:c r="P15" s="136" t="str">
        <x:v>V4.9对象/属性/方法</x:v>
      </x:c>
      <x:c r="Q15"/>
      <x:c r="R15"/>
      <x:c r="S15"/>
    </x:row>
    <x:row r="16" ht="72" customHeight="1">
      <x:c r="A16" s="179" t="str">
        <x:v>F14</x:v>
      </x:c>
      <x:c r="B16" s="180" t="str">
        <x:v>数据格式与序列化｜编码、Codec与协议帧
Encoding Codecs</x:v>
      </x:c>
      <x:c r="C16" s="180" t="str">
        <x:v>FECCompressionOps</x:v>
      </x:c>
      <x:c r="D16" s="179" t="str">
        <x:v>增构候选·待查重</x:v>
      </x:c>
      <x:c r="E16" s="180" t="str">
        <x:v>提供无状态压缩算法运算，不持有会话/设备/全局缓存</x:v>
      </x:c>
      <x:c r="F16" s="180" t="str">
        <x:v>Codec；Level</x:v>
      </x:c>
      <x:c r="G16" s="180" t="str">
        <x:v>Compress；Decompress</x:v>
      </x:c>
      <x:c r="H16" s="180" t="str">
        <x:v>待逐对象核实</x:v>
      </x:c>
      <x:c r="I16" s="180" t="str">
        <x:v>CompressionOps</x:v>
      </x:c>
      <x:c r="J16" s="179" t="str">
        <x:v>静态类</x:v>
      </x:c>
      <x:c r="K16" s="180" t="str">
        <x:v>生命周期：基础值/纯计算</x:v>
      </x:c>
      <x:c r="L16" s="183" t="str">
        <x:v>设计候选，尚待源码验证</x:v>
      </x:c>
      <x:c r="M16" s="183" t="str">
        <x:v>F14.CompressionOps</x:v>
      </x:c>
      <x:c r="N16" s="184" t="str">
        <x:v>05_基础对象与基础计算!C150</x:v>
      </x:c>
      <x:c r="O16" s="183" t="str">
        <x:v>V4.9对象/属性/方法
V2.01：名称/子方面线索；处置=规划独立契约候选·未批准新增
V7.8：V7.8未检出同名词法声明</x:v>
      </x:c>
      <x:c r="P16" s="136" t="str">
        <x:v>V4.9对象/属性/方法</x:v>
      </x:c>
      <x:c r="Q16"/>
      <x:c r="R16"/>
      <x:c r="S16"/>
    </x:row>
    <x:row r="17" ht="72" customHeight="1">
      <x:c r="A17" s="179" t="str">
        <x:v>F14</x:v>
      </x:c>
      <x:c r="B17" s="180" t="str">
        <x:v>数据格式与序列化｜编码、Codec与协议帧
Encoding Codecs</x:v>
      </x:c>
      <x:c r="C17" s="180" t="str">
        <x:v>FECCsvCodec</x:v>
      </x:c>
      <x:c r="D17" s="179" t="str">
        <x:v>增构候选·待查重</x:v>
      </x:c>
      <x:c r="E17" s="180" t="str">
        <x:v>无状态CSV编码转换；仅接收显式参数，不持有共享可变状态</x:v>
      </x:c>
      <x:c r="F17" s="180" t="str">
        <x:v>Dialect；Encoding</x:v>
      </x:c>
      <x:c r="G17" s="180" t="str">
        <x:v>Parse；Format</x:v>
      </x:c>
      <x:c r="H17" s="180" t="str">
        <x:v>待逐对象核实</x:v>
      </x:c>
      <x:c r="I17" s="180" t="str">
        <x:v>CsvCodec</x:v>
      </x:c>
      <x:c r="J17" s="179" t="str">
        <x:v>静态类</x:v>
      </x:c>
      <x:c r="K17" s="180" t="str">
        <x:v>生命周期：基础值/纯计算</x:v>
      </x:c>
      <x:c r="L17" s="183" t="str">
        <x:v>设计候选，尚待源码验证</x:v>
      </x:c>
      <x:c r="M17" s="183" t="str">
        <x:v>F14.CsvCodec</x:v>
      </x:c>
      <x:c r="N17" s="184" t="str">
        <x:v>05_基础对象与基础计算!C151</x:v>
      </x:c>
      <x:c r="O17" s="183" t="str">
        <x:v>V4.9对象/属性/方法
V2.01：名称/子方面线索；处置=规划独立契约候选·未批准新增
V7.8：V7.8未检出同名词法声明</x:v>
      </x:c>
      <x:c r="P17" s="136" t="str">
        <x:v>V4.9对象/属性/方法</x:v>
      </x:c>
      <x:c r="Q17"/>
      <x:c r="R17"/>
      <x:c r="S17"/>
    </x:row>
    <x:row r="18" ht="72" customHeight="1">
      <x:c r="A18" s="179" t="str">
        <x:v>F14</x:v>
      </x:c>
      <x:c r="B18" s="180" t="str">
        <x:v>数据格式与序列化｜编码、Codec与协议帧
Encoding Codecs</x:v>
      </x:c>
      <x:c r="C18" s="180" t="str">
        <x:v>FECFrameCodecUtil</x:v>
      </x:c>
      <x:c r="D18" s="179" t="str">
        <x:v>增构候选·待查重</x:v>
      </x:c>
      <x:c r="E18" s="180" t="str">
        <x:v>提供无状态帧编解码算法运算，不持有会话/设备/全局缓存</x:v>
      </x:c>
      <x:c r="F18" s="180" t="str">
        <x:v>Framing；Checksum</x:v>
      </x:c>
      <x:c r="G18" s="180" t="str">
        <x:v>Encode；Decode</x:v>
      </x:c>
      <x:c r="H18" s="180" t="str">
        <x:v>待逐对象核实</x:v>
      </x:c>
      <x:c r="I18" s="180" t="str">
        <x:v>FrameCodecUtil</x:v>
      </x:c>
      <x:c r="J18" s="179" t="str">
        <x:v>静态类</x:v>
      </x:c>
      <x:c r="K18" s="180" t="str">
        <x:v>生命周期：基础值/纯计算</x:v>
      </x:c>
      <x:c r="L18" s="183" t="str">
        <x:v>设计候选，尚待源码验证</x:v>
      </x:c>
      <x:c r="M18" s="183" t="str">
        <x:v>F14.FrameCodecUtil</x:v>
      </x:c>
      <x:c r="N18" s="184" t="str">
        <x:v>05_基础对象与基础计算!C152</x:v>
      </x:c>
      <x:c r="O18" s="183" t="str">
        <x:v>V4.9对象/属性/方法
V2.01：名称/子方面线索；处置=规划独立契约候选·未批准新增
V7.8：V7.8未检出同名词法声明</x:v>
      </x:c>
      <x:c r="P18" s="136" t="str">
        <x:v>V4.9对象/属性/方法</x:v>
      </x:c>
      <x:c r="Q18"/>
      <x:c r="R18"/>
      <x:c r="S18"/>
    </x:row>
    <x:row r="19" ht="72" customHeight="1">
      <x:c r="A19" s="179" t="str">
        <x:v>F14</x:v>
      </x:c>
      <x:c r="B19" s="180" t="str">
        <x:v>数据格式与序列化｜编码、Codec与协议帧
Encoding Codecs</x:v>
      </x:c>
      <x:c r="C19" s="180" t="str">
        <x:v>FECJsonCodec</x:v>
      </x:c>
      <x:c r="D19" s="179" t="str">
        <x:v>增构候选·待查重</x:v>
      </x:c>
      <x:c r="E19" s="180" t="str">
        <x:v>无状态JSON序列化转换；仅接收显式参数，不持有共享可变状态</x:v>
      </x:c>
      <x:c r="F19" s="180" t="str">
        <x:v>SerializerOptions</x:v>
      </x:c>
      <x:c r="G19" s="180" t="str">
        <x:v>Serialize；Deserialize</x:v>
      </x:c>
      <x:c r="H19" s="180" t="str">
        <x:v>待逐对象核实</x:v>
      </x:c>
      <x:c r="I19" s="180" t="str">
        <x:v>JsonCodec</x:v>
      </x:c>
      <x:c r="J19" s="179" t="str">
        <x:v>静态类</x:v>
      </x:c>
      <x:c r="K19" s="180" t="str">
        <x:v>生命周期：基础值/纯计算</x:v>
      </x:c>
      <x:c r="L19" s="183" t="str">
        <x:v>设计候选，尚待源码验证</x:v>
      </x:c>
      <x:c r="M19" s="183" t="str">
        <x:v>F14.JsonCodec</x:v>
      </x:c>
      <x:c r="N19" s="184" t="str">
        <x:v>05_基础对象与基础计算!C153</x:v>
      </x:c>
      <x:c r="O19" s="183" t="str">
        <x:v>V4.9对象/属性/方法
V2.01：名称/子方面线索；处置=规划独立契约候选·未批准新增
V7.8：V7.8未检出同名词法声明</x:v>
      </x:c>
      <x:c r="P19" s="136" t="str">
        <x:v>V4.9对象/属性/方法</x:v>
      </x:c>
      <x:c r="Q19"/>
      <x:c r="R19"/>
      <x:c r="S19"/>
    </x:row>
    <x:row r="20" ht="72" customHeight="1">
      <x:c r="A20" s="179" t="str">
        <x:v>F14</x:v>
      </x:c>
      <x:c r="B20" s="180" t="str">
        <x:v>数据格式与序列化｜编码、Codec与协议帧
Encoding Codecs</x:v>
      </x:c>
      <x:c r="C20" s="180" t="str">
        <x:v>FECJsonValueUtil</x:v>
      </x:c>
      <x:c r="D20" s="179" t="str">
        <x:v>增构候选·待查重</x:v>
      </x:c>
      <x:c r="E20" s="180" t="str">
        <x:v>提供无状态JSON值工具运算，不持有会话/设备/全局缓存</x:v>
      </x:c>
      <x:c r="F20" s="180" t="str">
        <x:v>Value；Path</x:v>
      </x:c>
      <x:c r="G20" s="180" t="str">
        <x:v>Query；Normalize</x:v>
      </x:c>
      <x:c r="H20" s="180" t="str">
        <x:v>待逐对象核实</x:v>
      </x:c>
      <x:c r="I20" s="180" t="str">
        <x:v>JsonValueUtil</x:v>
      </x:c>
      <x:c r="J20" s="179" t="str">
        <x:v>静态类</x:v>
      </x:c>
      <x:c r="K20" s="180" t="str">
        <x:v>生命周期：基础值/纯计算</x:v>
      </x:c>
      <x:c r="L20" s="183" t="str">
        <x:v>设计候选，尚待源码验证</x:v>
      </x:c>
      <x:c r="M20" s="183" t="str">
        <x:v>F14.JsonValueUtil</x:v>
      </x:c>
      <x:c r="N20" s="184" t="str">
        <x:v>05_基础对象与基础计算!C154</x:v>
      </x:c>
      <x:c r="O20" s="183" t="str">
        <x:v>V4.9对象/属性/方法
V2.01：名称/子方面线索；处置=规划独立契约候选·未批准新增
V7.8：V7.8未检出同名词法声明</x:v>
      </x:c>
      <x:c r="P20" s="136" t="str">
        <x:v>V4.9对象/属性/方法</x:v>
      </x:c>
      <x:c r="Q20"/>
      <x:c r="R20"/>
      <x:c r="S20"/>
    </x:row>
    <x:row r="21" ht="72" customHeight="1">
      <x:c r="A21" s="179" t="str">
        <x:v>F14</x:v>
      </x:c>
      <x:c r="B21" s="180" t="str">
        <x:v>数据格式与序列化｜编码、Codec与协议帧
Encoding Codecs</x:v>
      </x:c>
      <x:c r="C21" s="180" t="str">
        <x:v>FECMessageFrame</x:v>
      </x:c>
      <x:c r="D21" s="179" t="str">
        <x:v>增构候选·待查重</x:v>
      </x:c>
      <x:c r="E21" s="180" t="str">
        <x:v>表达和承载消息帧的基础数据或计算参数</x:v>
      </x:c>
      <x:c r="F21" s="180" t="str">
        <x:v>Header；Payload；Checksum</x:v>
      </x:c>
      <x:c r="G21" s="180" t="str">
        <x:v>Validate</x:v>
      </x:c>
      <x:c r="H21" s="180" t="str">
        <x:v>待逐对象核实</x:v>
      </x:c>
      <x:c r="I21" s="180" t="str">
        <x:v>MessageFrame</x:v>
      </x:c>
      <x:c r="J21" s="179" t="str">
        <x:v>值类型候选</x:v>
      </x:c>
      <x:c r="K21" s="180" t="str">
        <x:v>生命周期：基础数据/值对象</x:v>
      </x:c>
      <x:c r="L21" s="183" t="str">
        <x:v>设计候选，尚待源码验证</x:v>
      </x:c>
      <x:c r="M21" s="183" t="str">
        <x:v>F14.MessageFrame</x:v>
      </x:c>
      <x:c r="N21" s="184" t="str">
        <x:v>05_基础对象与基础计算!C155</x:v>
      </x:c>
      <x:c r="O21" s="183" t="str">
        <x:v>V4.9对象/属性/方法
V2.01：名称/子方面线索；处置=规划独立契约候选·未批准新增
V7.8：V7.8未检出同名词法声明</x:v>
      </x:c>
      <x:c r="P21" s="136" t="str">
        <x:v>V4.9对象/属性/方法</x:v>
      </x:c>
      <x:c r="Q21"/>
      <x:c r="R21"/>
      <x:c r="S21"/>
    </x:row>
    <x:row r="22" ht="72" customHeight="1">
      <x:c r="A22" s="179" t="str">
        <x:v>F14</x:v>
      </x:c>
      <x:c r="B22" s="180" t="str">
        <x:v>数据格式与序列化｜编码、Codec与协议帧
Encoding Codecs</x:v>
      </x:c>
      <x:c r="C22" s="180" t="str">
        <x:v>FECXmlCodec</x:v>
      </x:c>
      <x:c r="D22" s="179" t="str">
        <x:v>增构候选·待查重</x:v>
      </x:c>
      <x:c r="E22" s="180" t="str">
        <x:v>无状态XML编码转换；仅接收显式参数，不持有共享可变状态</x:v>
      </x:c>
      <x:c r="F22" s="180" t="str">
        <x:v>Schema；Options</x:v>
      </x:c>
      <x:c r="G22" s="180" t="str">
        <x:v>Serialize；Deserialize</x:v>
      </x:c>
      <x:c r="H22" s="180" t="str">
        <x:v>待逐对象核实</x:v>
      </x:c>
      <x:c r="I22" s="180" t="str">
        <x:v>XmlCodec</x:v>
      </x:c>
      <x:c r="J22" s="179" t="str">
        <x:v>静态类</x:v>
      </x:c>
      <x:c r="K22" s="180" t="str">
        <x:v>生命周期：基础值/纯计算</x:v>
      </x:c>
      <x:c r="L22" s="183" t="str">
        <x:v>设计候选，尚待源码验证</x:v>
      </x:c>
      <x:c r="M22" s="183" t="str">
        <x:v>F14.XmlCodec</x:v>
      </x:c>
      <x:c r="N22" s="184" t="str">
        <x:v>05_基础对象与基础计算!C156</x:v>
      </x:c>
      <x:c r="O22" s="183" t="str">
        <x:v>V4.9对象/属性/方法
V2.01：名称/子方面线索；处置=规划独立契约候选·未批准新增
V7.8：V7.8未检出同名词法声明</x:v>
      </x:c>
      <x:c r="P22" s="136" t="str">
        <x:v>V4.9对象/属性/方法</x:v>
      </x:c>
      <x:c r="Q22"/>
      <x:c r="R22"/>
      <x:c r="S22"/>
    </x:row>
    <x:row r="23" ht="72" customHeight="1">
      <x:c r="A23" s="179" t="str">
        <x:v>F14</x:v>
      </x:c>
      <x:c r="B23" s="180" t="str">
        <x:v>数据格式与序列化｜编码、Codec与协议帧
Encoding Codecs</x:v>
      </x:c>
      <x:c r="C23" s="180" t="str">
        <x:v>FECYamlCodec</x:v>
      </x:c>
      <x:c r="D23" s="179" t="str">
        <x:v>增构候选·待查重</x:v>
      </x:c>
      <x:c r="E23" s="180" t="str">
        <x:v>无状态YAML编码转换；仅接收显式参数，不持有共享可变状态</x:v>
      </x:c>
      <x:c r="F23" s="180" t="str">
        <x:v>Schema；Options</x:v>
      </x:c>
      <x:c r="G23" s="180" t="str">
        <x:v>Serialize；Deserialize</x:v>
      </x:c>
      <x:c r="H23" s="180" t="str">
        <x:v>待逐对象核实</x:v>
      </x:c>
      <x:c r="I23" s="180" t="str">
        <x:v>YamlCodec</x:v>
      </x:c>
      <x:c r="J23" s="179" t="str">
        <x:v>静态类</x:v>
      </x:c>
      <x:c r="K23" s="180" t="str">
        <x:v>生命周期：基础值/纯计算</x:v>
      </x:c>
      <x:c r="L23" s="183" t="str">
        <x:v>设计候选，尚待源码验证</x:v>
      </x:c>
      <x:c r="M23" s="183" t="str">
        <x:v>F14.YamlCodec</x:v>
      </x:c>
      <x:c r="N23" s="184" t="str">
        <x:v>05_基础对象与基础计算!C157</x:v>
      </x:c>
      <x:c r="O23" s="183" t="str">
        <x:v>V4.9对象/属性/方法
V2.01：名称/子方面线索；处置=规划独立契约候选·未批准新增
V7.8：V7.8未检出同名词法声明</x:v>
      </x:c>
      <x:c r="P23" s="136" t="str">
        <x:v>V4.9对象/属性/方法</x:v>
      </x:c>
      <x:c r="Q23"/>
      <x:c r="R23"/>
      <x:c r="S23"/>
    </x:row>
    <x:row r="24" ht="72" customHeight="1">
      <x:c r="A24" s="179" t="str">
        <x:v>F15</x:v>
      </x:c>
      <x:c r="B24" s="180" t="str">
        <x:v>配置与参数｜配置模型与静态辅助
Configuration Models</x:v>
      </x:c>
      <x:c r="C24" s="180" t="str">
        <x:v>FCMConfigHelper</x:v>
      </x:c>
      <x:c r="D24" s="179" t="str">
        <x:v>原有·待核</x:v>
      </x:c>
      <x:c r="E24" s="180" t="str">
        <x:v>提供配置辅助可复用辅助操作，避免业务状态耦合</x:v>
      </x:c>
      <x:c r="F24" s="180" t="str">
        <x:v>APPDATA_DIR_NAME, COMMANDS_DIR_NAME, CONFIG_DIR_NAME, ProductModel_DIR_NAME, PRODUCT_DIR_NAME, DRIVER_DIR_NAME, LOG_DIR_NAME, TEMP_DIR_NAME, DATA_DIR_NAME, DirNameVision, SELFCHECK_DIR_NAME, CASES_DIR_NAME, EXCEPTION_LOG_FILE_NAME, VERSION_LOG_FILE_NAME</x:v>
      </x:c>
      <x:c r="G24" s="180" t="str">
        <x:v>GetAppDataParentDirectory(), GetAppDataDirectory(), GetCommandsDirectory(), JoinAppDataPath(string subPath), ConfigPath(), DriverPath(), LogPath(), TempPath(), DataPath(), CasesPath(), CommandsFilePath(string fileName), ConfigFilePath(string fileName), DriverFilePath(string fileName), LogFilePath(string fileName), DataFilePath(string fileName), NaviFilePath(string fileName), …(另28项)</x:v>
      </x:c>
      <x:c r="H24" s="180" t="str">
        <x:v>—（待核）</x:v>
      </x:c>
      <x:c r="I24" s="180" t="str">
        <x:v>CommonInterfaces.ConfigHelper</x:v>
      </x:c>
      <x:c r="J24" s="179" t="str">
        <x:v>静态类</x:v>
      </x:c>
      <x:c r="K24" s="180" t="str">
        <x:v>V1.19 C-0027；原实施方式：原有。迁移风险：静态目录与配置路径含Vision/驱动/产品等具体语义，使用缓存_appDataPath等进程环境状态。</x:v>
      </x:c>
      <x:c r="L24" s="183" t="str">
        <x:v>源代码声明·待复核</x:v>
      </x:c>
      <x:c r="M24" s="183" t="str">
        <x:v>C-0027</x:v>
      </x:c>
      <x:c r="N24" s="184" t="str">
        <x:v>Platform/CommonInterfaces/ConfigHelper.cs</x:v>
      </x:c>
      <x:c r="O24" s="183" t="str">
        <x:v>V1.19旧源码类型（真实成员/实现仍待核）
V2.01：来源ID对应；处置=保留源码·公开契约复核
V7.8：V7.8同名且源文件对应；Platform/CommonInterfaces/ConfigHelper.cs</x:v>
      </x:c>
      <x:c r="P24" s="136" t="str">
        <x:v>V1.19旧源码类型（真实成员/实现仍待核）</x:v>
      </x:c>
      <x:c r="Q24"/>
      <x:c r="R24"/>
      <x:c r="S24"/>
    </x:row>
    <x:row r="25" ht="135" customHeight="1">
      <x:c r="A25" s="179" t="str">
        <x:v>F15</x:v>
      </x:c>
      <x:c r="B25" s="180" t="str">
        <x:v>配置与参数｜配置模型与静态辅助
Configuration Models</x:v>
      </x:c>
      <x:c r="C25" s="180" t="str">
        <x:v>FCMIniFileAdapter</x:v>
      </x:c>
      <x:c r="D25" s="179" t="str">
        <x:v>原有·待核</x:v>
      </x:c>
      <x:c r="E25" s="180" t="str">
        <x:v>适配Ini文件适配器外部/内部接口差异，转换数据与调用行为</x:v>
      </x:c>
      <x:c r="F25" s="180" t="str">
        <x:v>—（无公开声明或待核对）</x:v>
      </x:c>
      <x:c r="G25" s="180" t="str">
        <x:v>IniFileAdapter(string filePath), GetValue(Dictionary&lt;string, Dictionary&lt;string, string&gt;&gt; data, string section, string key, string defaultValue =), SetValues(Dictionary&lt;string, Dictionary&lt;string, string&gt;&gt; data, string section, Dictionary&lt;string, string&gt; values), SetValue(Dictionary&lt;string, Dictionary&lt;string, string&gt;&gt; data, string section, string key, string value), WriteValue(string section, string key, string value), WriteValues(string section, Dictionary&lt;string, string&gt; values), ReadValue(string section, string key, string defaultValue =), ReadIniFile(), WriteIniFile(Dictionary&lt;string, Dictionary&lt;string, string&gt;&gt; data), PrintData(Dictionary&lt;string, Dictionary&lt;string, string&gt;&gt; data, Action&lt;string&gt; printMethod)</x:v>
      </x:c>
      <x:c r="H25" s="180" t="str">
        <x:v>—（待核）</x:v>
      </x:c>
      <x:c r="I25" s="180" t="str">
        <x:v>CommonInterfaces.IniFileAdapter</x:v>
      </x:c>
      <x:c r="J25" s="179" t="str">
        <x:v>类</x:v>
      </x:c>
      <x:c r="K25" s="180" t="str">
        <x:v>V1.19 C-0028；原实施方式：原有。迁移风险：适配Ini文件适配器外部/内部接口差异，转换数据与调用行为</x:v>
      </x:c>
      <x:c r="L25" s="183" t="str">
        <x:v>源代码声明·待复核</x:v>
      </x:c>
      <x:c r="M25" s="183" t="str">
        <x:v>C-0028</x:v>
      </x:c>
      <x:c r="N25" s="184" t="str">
        <x:v>Platform/CommonInterfaces/IniFileAdapter.cs</x:v>
      </x:c>
      <x:c r="O25" s="183" t="str">
        <x:v>V1.19旧源码类型（真实成员/实现仍待核）
V2.01：来源ID对应；处置=保留源码·公开契约复核
V7.8：V7.8同名且源文件对应；Platform/CommonInterfaces/IniFileAdapter.cs</x:v>
      </x:c>
      <x:c r="P25" s="136" t="str">
        <x:v>V1.19旧源码类型（真实成员/实现仍待核）</x:v>
      </x:c>
      <x:c r="Q25"/>
      <x:c r="R25"/>
      <x:c r="S25"/>
    </x:row>
    <x:row r="26" ht="72" customHeight="1">
      <x:c r="A26" s="179" t="str">
        <x:v>F15</x:v>
      </x:c>
      <x:c r="B26" s="180" t="str">
        <x:v>配置与参数｜配置模型与静态辅助
Configuration Models</x:v>
      </x:c>
      <x:c r="C26" s="180" t="str">
        <x:v>FCMIniParser</x:v>
      </x:c>
      <x:c r="D26" s="179" t="str">
        <x:v>原有·待核</x:v>
      </x:c>
      <x:c r="E26" s="180" t="str">
        <x:v>解析IniParser输入内容，生成结构化表达</x:v>
      </x:c>
      <x:c r="F26" s="180" t="str">
        <x:v>—（无公开声明或待核对）</x:v>
      </x:c>
      <x:c r="G26" s="180" t="str">
        <x:v>LoadFromFile(string filename), SaveToFile(string filename), HasSection(string section), HasKey(string section, string key), GetValue(string section, string key), SetValue(string section, string key, string value), Test(string filePath)</x:v>
      </x:c>
      <x:c r="H26" s="180" t="str">
        <x:v>—（待核）</x:v>
      </x:c>
      <x:c r="I26" s="180" t="str">
        <x:v>CommonInterfaces.IniParser</x:v>
      </x:c>
      <x:c r="J26" s="179" t="str">
        <x:v>类</x:v>
      </x:c>
      <x:c r="K26" s="180" t="str">
        <x:v>V1.19 C-0029；原实施方式：原有。迁移风险：解析IniParser输入内容，生成结构化表达</x:v>
      </x:c>
      <x:c r="L26" s="183" t="str">
        <x:v>源代码声明·待复核</x:v>
      </x:c>
      <x:c r="M26" s="183" t="str">
        <x:v>C-0029</x:v>
      </x:c>
      <x:c r="N26" s="184" t="str">
        <x:v>Platform/CommonInterfaces/IniParser.cs</x:v>
      </x:c>
      <x:c r="O26" s="183" t="str">
        <x:v>V1.19旧源码类型（真实成员/实现仍待核）
V2.01：来源ID对应；处置=保留源码·公开契约复核
V7.8：V7.8同名且源文件对应；Platform/CommonInterfaces/IniParser.cs</x:v>
      </x:c>
      <x:c r="P26" s="136" t="str">
        <x:v>V1.19旧源码类型（真实成员/实现仍待核）</x:v>
      </x:c>
      <x:c r="Q26"/>
      <x:c r="R26"/>
      <x:c r="S26"/>
    </x:row>
    <x:row r="27" ht="135" customHeight="1">
      <x:c r="A27" s="179" t="str">
        <x:v>F15</x:v>
      </x:c>
      <x:c r="B27" s="180" t="str">
        <x:v>配置与参数｜配置模型与静态辅助
Configuration Models</x:v>
      </x:c>
      <x:c r="C27" s="180" t="str">
        <x:v>FCMKvText</x:v>
      </x:c>
      <x:c r="D27" s="179" t="str">
        <x:v>原有·待核</x:v>
      </x:c>
      <x:c r="E27" s="180" t="str">
        <x:v>表达或管理KvText相关的数据及协作职责，具体行为待源码复核〔待核〕</x:v>
      </x:c>
      <x:c r="F27" s="180" t="str">
        <x:v>Separator, CaseInsensitiveKeys, IgnoreCommentLines, IgnoreMalformedLines, IgnoreEmptyKeys, NullValueAsEmptyString, Count</x:v>
      </x:c>
      <x:c r="G27" s="180" t="str">
        <x:v>KvText(), KvText(string text), KvText(char separator, bool caseInsensitiveKeys), Parse(string text), AsReadOnly(), ContainsKey(string key), Set(string key, string value), Set(string key, object value), SetRange(IDictionary&lt;string, string&gt; values), Remove(string key), Clear(), GetString(string key, string defaultValue), GetInt(string key, int defaultValue = 0), GetLong(string key, long defaultValue = 0), GetDouble(string key, double defaultValue = 0), GetBool(string key, bool defaultValue = false), …(另11项)</x:v>
      </x:c>
      <x:c r="H27" s="180" t="str">
        <x:v>—（待核）</x:v>
      </x:c>
      <x:c r="I27" s="180" t="str">
        <x:v>CommonInterfaces.KvText</x:v>
      </x:c>
      <x:c r="J27" s="179" t="str">
        <x:v>类</x:v>
      </x:c>
      <x:c r="K27" s="180" t="str">
        <x:v>V1.19 C-0032；原实施方式：原有。迁移风险：表达或管理KvText相关的数据及协作职责，具体行为待源码复核〔待核〕</x:v>
      </x:c>
      <x:c r="L27" s="183" t="str">
        <x:v>源代码声明·待复核</x:v>
      </x:c>
      <x:c r="M27" s="183" t="str">
        <x:v>C-0032</x:v>
      </x:c>
      <x:c r="N27" s="184" t="str">
        <x:v>Platform/CommonInterfaces/KvText.cs</x:v>
      </x:c>
      <x:c r="O27" s="183" t="str">
        <x:v>V1.19旧源码类型（真实成员/实现仍待核）
V2.01：来源ID对应；处置=保留源码·公开契约复核
V7.8：V7.8同名且源文件对应；Platform/CommonInterfaces/KvText.cs</x:v>
      </x:c>
      <x:c r="P27" s="136" t="str">
        <x:v>V1.19旧源码类型（真实成员/实现仍待核）</x:v>
      </x:c>
      <x:c r="Q27"/>
      <x:c r="R27"/>
      <x:c r="S27"/>
    </x:row>
    <x:row r="28" ht="72" customHeight="1">
      <x:c r="A28" s="179" t="str">
        <x:v>F15</x:v>
      </x:c>
      <x:c r="B28" s="180" t="str">
        <x:v>配置与参数｜配置模型与静态辅助
Configuration Models</x:v>
      </x:c>
      <x:c r="C28" s="180" t="str">
        <x:v>FCMLine</x:v>
      </x:c>
      <x:c r="D28" s="179" t="str">
        <x:v>原有·待核</x:v>
      </x:c>
      <x:c r="E28" s="180" t="str">
        <x:v>表达或管理Line相关的数据及协作职责，具体行为待源码复核〔待核〕</x:v>
      </x:c>
      <x:c r="F28" s="180" t="str">
        <x:v>—（无公开声明或待核对）</x:v>
      </x:c>
      <x:c r="G28" s="180" t="str">
        <x:v>—(无公开声明或待核对)</x:v>
      </x:c>
      <x:c r="H28" s="180" t="str">
        <x:v>—（待核）</x:v>
      </x:c>
      <x:c r="I28" s="180" t="str">
        <x:v>CommonInterfaces.IniParser.Line</x:v>
      </x:c>
      <x:c r="J28" s="179" t="str">
        <x:v>类</x:v>
      </x:c>
      <x:c r="K28" s="180" t="str">
        <x:v>V1.19 C-0030；原实施方式：原有。迁移风险：表达或管理Line相关的数据及协作职责，具体行为待源码复核〔待核〕</x:v>
      </x:c>
      <x:c r="L28" s="183" t="str">
        <x:v>源代码声明·待复核</x:v>
      </x:c>
      <x:c r="M28" s="183" t="str">
        <x:v>C-0030</x:v>
      </x:c>
      <x:c r="N28" s="184" t="str">
        <x:v>Platform/CommonInterfaces/IniParser.cs</x:v>
      </x:c>
      <x:c r="O28" s="183" t="str">
        <x:v>V1.19旧源码类型（真实成员/实现仍待核）
V2.01：来源ID对应；处置=保留源码·公开契约复核
V7.8：V7.8同名且源文件对应；Platform/CommonInterfaces/IniParser.cs</x:v>
      </x:c>
      <x:c r="P28" s="136" t="str">
        <x:v>V1.19旧源码类型（真实成员/实现仍待核）</x:v>
      </x:c>
      <x:c r="Q28"/>
      <x:c r="R28"/>
      <x:c r="S28"/>
    </x:row>
    <x:row r="29" ht="72" customHeight="1">
      <x:c r="A29" s="179" t="str">
        <x:v>F15</x:v>
      </x:c>
      <x:c r="B29" s="180" t="str">
        <x:v>配置与参数｜配置模型与静态辅助
Configuration Models</x:v>
      </x:c>
      <x:c r="C29" s="180" t="str">
        <x:v>FCMLineType</x:v>
      </x:c>
      <x:c r="D29" s="179" t="str">
        <x:v>原有·待核</x:v>
      </x:c>
      <x:c r="E29" s="180" t="str">
        <x:v>定义Line类型的候选取值、状态或模式，供相关流程作分支判断</x:v>
      </x:c>
      <x:c r="F29" s="180" t="str">
        <x:v>枚举值：Blank, Comment, Section, KeyValue</x:v>
      </x:c>
      <x:c r="G29" s="180" t="str">
        <x:v>—(无公开声明或待核对)</x:v>
      </x:c>
      <x:c r="H29" s="180" t="str">
        <x:v>—（待核）</x:v>
      </x:c>
      <x:c r="I29" s="180" t="str">
        <x:v>CommonInterfaces.IniParser.LineType</x:v>
      </x:c>
      <x:c r="J29" s="179" t="str">
        <x:v>枚举</x:v>
      </x:c>
      <x:c r="K29" s="180" t="str">
        <x:v>V1.19 C-0031；原实施方式：原有。迁移风险：定义Line类型的候选取值、状态或模式，供相关流程作分支判断</x:v>
      </x:c>
      <x:c r="L29" s="183" t="str">
        <x:v>源代码声明·待复核</x:v>
      </x:c>
      <x:c r="M29" s="183" t="str">
        <x:v>C-0031</x:v>
      </x:c>
      <x:c r="N29" s="184" t="str">
        <x:v>Platform/CommonInterfaces/IniParser.cs</x:v>
      </x:c>
      <x:c r="O29" s="183" t="str">
        <x:v>V1.19旧源码类型（真实成员/实现仍待核）
V2.01：来源ID对应；处置=保留源码·公开契约复核
V7.8：V7.8同名且源文件对应；Platform/CommonInterfaces/IniParser.cs</x:v>
      </x:c>
      <x:c r="P29" s="136" t="str">
        <x:v>V1.19旧源码类型（真实成员/实现仍待核）</x:v>
      </x:c>
      <x:c r="Q29"/>
      <x:c r="R29"/>
      <x:c r="S29"/>
    </x:row>
    <x:row r="30" ht="72" customHeight="1">
      <x:c r="A30" s="179" t="str">
        <x:v>F15</x:v>
      </x:c>
      <x:c r="B30" s="180" t="str">
        <x:v>配置与参数｜配置模型与静态辅助
Configuration Models</x:v>
      </x:c>
      <x:c r="C30" s="180" t="str">
        <x:v>FCMConfigKey</x:v>
      </x:c>
      <x:c r="D30" s="179" t="str">
        <x:v>增构候选·待查重</x:v>
      </x:c>
      <x:c r="E30" s="180" t="str">
        <x:v>表达和承载配置键的基础数据或计算参数</x:v>
      </x:c>
      <x:c r="F30" s="180" t="str">
        <x:v>Path；Scope</x:v>
      </x:c>
      <x:c r="G30" s="180" t="str">
        <x:v>Normalize</x:v>
      </x:c>
      <x:c r="H30" s="180" t="str">
        <x:v>待逐对象核实</x:v>
      </x:c>
      <x:c r="I30" s="180" t="str">
        <x:v>ConfigKey</x:v>
      </x:c>
      <x:c r="J30" s="179" t="str">
        <x:v>值类型候选</x:v>
      </x:c>
      <x:c r="K30" s="180" t="str">
        <x:v>生命周期：基础数据/值对象</x:v>
      </x:c>
      <x:c r="L30" s="183" t="str">
        <x:v>设计候选，尚待源码验证</x:v>
      </x:c>
      <x:c r="M30" s="183" t="str">
        <x:v>F15.ConfigKey</x:v>
      </x:c>
      <x:c r="N30" s="184" t="str">
        <x:v>05_基础对象与基础计算!C158</x:v>
      </x:c>
      <x:c r="O30" s="183" t="str">
        <x:v>V4.9对象/属性/方法
V2.01：名称/子方面线索；处置=规划独立契约候选·未批准新增
V7.8：V7.8未检出同名词法声明</x:v>
      </x:c>
      <x:c r="P30" s="136" t="str">
        <x:v>V4.9对象/属性/方法</x:v>
      </x:c>
      <x:c r="Q30"/>
      <x:c r="R30"/>
      <x:c r="S30"/>
    </x:row>
    <x:row r="31" ht="72" customHeight="1">
      <x:c r="A31" s="179" t="str">
        <x:v>F15</x:v>
      </x:c>
      <x:c r="B31" s="180" t="str">
        <x:v>配置与参数｜配置模型与静态辅助
Configuration Models</x:v>
      </x:c>
      <x:c r="C31" s="180" t="str">
        <x:v>FCMConfigLayer</x:v>
      </x:c>
      <x:c r="D31" s="179" t="str">
        <x:v>增构候选·待查重</x:v>
      </x:c>
      <x:c r="E31" s="180" t="str">
        <x:v>表达和承载配置层数据的基础数据或计算参数</x:v>
      </x:c>
      <x:c r="F31" s="180" t="str">
        <x:v>Source；Priority；Values</x:v>
      </x:c>
      <x:c r="G31" s="180" t="str">
        <x:v>Merge</x:v>
      </x:c>
      <x:c r="H31" s="180" t="str">
        <x:v>待逐对象核实</x:v>
      </x:c>
      <x:c r="I31" s="180" t="str">
        <x:v>ConfigLayer</x:v>
      </x:c>
      <x:c r="J31" s="179" t="str">
        <x:v>类/实例候选</x:v>
      </x:c>
      <x:c r="K31" s="180" t="str">
        <x:v>生命周期：基础数据/值对象</x:v>
      </x:c>
      <x:c r="L31" s="183" t="str">
        <x:v>设计候选，尚待源码验证</x:v>
      </x:c>
      <x:c r="M31" s="183" t="str">
        <x:v>F15.ConfigLayer</x:v>
      </x:c>
      <x:c r="N31" s="184" t="str">
        <x:v>05_基础对象与基础计算!C159</x:v>
      </x:c>
      <x:c r="O31" s="183" t="str">
        <x:v>V4.9对象/属性/方法
V2.01：名称/子方面线索；处置=规划独立契约候选·未批准新增
V7.8：V7.8未检出同名词法声明</x:v>
      </x:c>
      <x:c r="P31" s="136" t="str">
        <x:v>V4.9对象/属性/方法</x:v>
      </x:c>
      <x:c r="Q31"/>
      <x:c r="R31"/>
      <x:c r="S31"/>
    </x:row>
    <x:row r="32" ht="72" customHeight="1">
      <x:c r="A32" s="179" t="str">
        <x:v>F15</x:v>
      </x:c>
      <x:c r="B32" s="180" t="str">
        <x:v>配置与参数｜配置模型与静态辅助
Configuration Models</x:v>
      </x:c>
      <x:c r="C32" s="180" t="str">
        <x:v>FCMConfigMergeUtil</x:v>
      </x:c>
      <x:c r="D32" s="179" t="str">
        <x:v>增构候选·待查重</x:v>
      </x:c>
      <x:c r="E32" s="180" t="str">
        <x:v>提供无状态配置合并工具运算，不持有会话/设备/全局缓存</x:v>
      </x:c>
      <x:c r="F32" s="180" t="str">
        <x:v>Priority；Overrides</x:v>
      </x:c>
      <x:c r="G32" s="180" t="str">
        <x:v>Merge；Resolve</x:v>
      </x:c>
      <x:c r="H32" s="180" t="str">
        <x:v>待逐对象核实</x:v>
      </x:c>
      <x:c r="I32" s="180" t="str">
        <x:v>ConfigMergeUtil</x:v>
      </x:c>
      <x:c r="J32" s="179" t="str">
        <x:v>静态类</x:v>
      </x:c>
      <x:c r="K32" s="180" t="str">
        <x:v>生命周期：基础值/纯计算</x:v>
      </x:c>
      <x:c r="L32" s="183" t="str">
        <x:v>设计候选，尚待源码验证</x:v>
      </x:c>
      <x:c r="M32" s="183" t="str">
        <x:v>F15.ConfigMergeUtil</x:v>
      </x:c>
      <x:c r="N32" s="184" t="str">
        <x:v>05_基础对象与基础计算!C160</x:v>
      </x:c>
      <x:c r="O32" s="183" t="str">
        <x:v>V4.9对象/属性/方法
V2.01：名称/子方面线索；处置=规划独立契约候选·未批准新增
V7.8：V7.8未检出同名词法声明</x:v>
      </x:c>
      <x:c r="P32" s="136" t="str">
        <x:v>V4.9对象/属性/方法</x:v>
      </x:c>
      <x:c r="Q32"/>
      <x:c r="R32"/>
      <x:c r="S32"/>
    </x:row>
    <x:row r="33" ht="72" customHeight="1">
      <x:c r="A33" s="179" t="str">
        <x:v>F15</x:v>
      </x:c>
      <x:c r="B33" s="180" t="str">
        <x:v>配置与参数｜配置模型与静态辅助
Configuration Models</x:v>
      </x:c>
      <x:c r="C33" s="180" t="str">
        <x:v>FCMConfigParsingUtil</x:v>
      </x:c>
      <x:c r="D33" s="179" t="str">
        <x:v>增构候选·待查重</x:v>
      </x:c>
      <x:c r="E33" s="180" t="str">
        <x:v>提供无状态配置解析工具运算，不持有会话/设备/全局缓存</x:v>
      </x:c>
      <x:c r="F33" s="180" t="str">
        <x:v>Format；Encoding</x:v>
      </x:c>
      <x:c r="G33" s="180" t="str">
        <x:v>Parse；Validate</x:v>
      </x:c>
      <x:c r="H33" s="180" t="str">
        <x:v>待逐对象核实</x:v>
      </x:c>
      <x:c r="I33" s="180" t="str">
        <x:v>ConfigParsingUtil</x:v>
      </x:c>
      <x:c r="J33" s="179" t="str">
        <x:v>静态类</x:v>
      </x:c>
      <x:c r="K33" s="180" t="str">
        <x:v>生命周期：基础值/纯计算</x:v>
      </x:c>
      <x:c r="L33" s="183" t="str">
        <x:v>设计候选，尚待源码验证</x:v>
      </x:c>
      <x:c r="M33" s="183" t="str">
        <x:v>F15.ConfigParsingUtil</x:v>
      </x:c>
      <x:c r="N33" s="184" t="str">
        <x:v>05_基础对象与基础计算!C161</x:v>
      </x:c>
      <x:c r="O33" s="183" t="str">
        <x:v>V4.9对象/属性/方法
V2.01：名称/子方面线索；处置=规划独立契约候选·未批准新增
V7.8：V7.8未检出同名词法声明</x:v>
      </x:c>
      <x:c r="P33" s="136" t="str">
        <x:v>V4.9对象/属性/方法</x:v>
      </x:c>
      <x:c r="Q33"/>
      <x:c r="R33"/>
      <x:c r="S33"/>
    </x:row>
    <x:row r="34" ht="72" customHeight="1">
      <x:c r="A34" s="179" t="str">
        <x:v>F15</x:v>
      </x:c>
      <x:c r="B34" s="180" t="str">
        <x:v>配置与参数｜配置模型与静态辅助
Configuration Models</x:v>
      </x:c>
      <x:c r="C34" s="180" t="str">
        <x:v>FCMConfigPathUtil</x:v>
      </x:c>
      <x:c r="D34" s="179" t="str">
        <x:v>增构候选·待查重</x:v>
      </x:c>
      <x:c r="E34" s="180" t="str">
        <x:v>提供无状态配置路径工具运算，不持有会话/设备/全局缓存</x:v>
      </x:c>
      <x:c r="F34" s="180" t="str">
        <x:v>Separator；Segments</x:v>
      </x:c>
      <x:c r="G34" s="180" t="str">
        <x:v>Split；Join</x:v>
      </x:c>
      <x:c r="H34" s="180" t="str">
        <x:v>待逐对象核实</x:v>
      </x:c>
      <x:c r="I34" s="180" t="str">
        <x:v>ConfigPathUtil</x:v>
      </x:c>
      <x:c r="J34" s="179" t="str">
        <x:v>静态类</x:v>
      </x:c>
      <x:c r="K34" s="180" t="str">
        <x:v>生命周期：基础值/纯计算</x:v>
      </x:c>
      <x:c r="L34" s="183" t="str">
        <x:v>设计候选，尚待源码验证</x:v>
      </x:c>
      <x:c r="M34" s="183" t="str">
        <x:v>F15.ConfigPathUtil</x:v>
      </x:c>
      <x:c r="N34" s="184" t="str">
        <x:v>05_基础对象与基础计算!C162</x:v>
      </x:c>
      <x:c r="O34" s="183" t="str">
        <x:v>V4.9对象/属性/方法
V2.01：名称/子方面线索；处置=规划独立契约候选·未批准新增
V7.8：V7.8未检出同名词法声明</x:v>
      </x:c>
      <x:c r="P34" s="136" t="str">
        <x:v>V4.9对象/属性/方法</x:v>
      </x:c>
      <x:c r="Q34"/>
      <x:c r="R34"/>
      <x:c r="S34"/>
    </x:row>
    <x:row r="35" ht="72" customHeight="1">
      <x:c r="A35" s="179" t="str">
        <x:v>F15</x:v>
      </x:c>
      <x:c r="B35" s="180" t="str">
        <x:v>配置与参数｜配置模型与静态辅助
Configuration Models</x:v>
      </x:c>
      <x:c r="C35" s="180" t="str">
        <x:v>FCMConfigSchema</x:v>
      </x:c>
      <x:c r="D35" s="179" t="str">
        <x:v>增构候选·待查重</x:v>
      </x:c>
      <x:c r="E35" s="180" t="str">
        <x:v>表达和承载配置约束的基础数据或计算参数</x:v>
      </x:c>
      <x:c r="F35" s="180" t="str">
        <x:v>Properties；Defaults；Validation</x:v>
      </x:c>
      <x:c r="G35" s="180" t="str">
        <x:v>Validate</x:v>
      </x:c>
      <x:c r="H35" s="180" t="str">
        <x:v>待逐对象核实</x:v>
      </x:c>
      <x:c r="I35" s="180" t="str">
        <x:v>ConfigSchema</x:v>
      </x:c>
      <x:c r="J35" s="179" t="str">
        <x:v>类/实例候选</x:v>
      </x:c>
      <x:c r="K35" s="180" t="str">
        <x:v>生命周期：基础数据/值对象</x:v>
      </x:c>
      <x:c r="L35" s="183" t="str">
        <x:v>设计候选，尚待源码验证</x:v>
      </x:c>
      <x:c r="M35" s="183" t="str">
        <x:v>F15.ConfigSchema</x:v>
      </x:c>
      <x:c r="N35" s="184" t="str">
        <x:v>05_基础对象与基础计算!C163</x:v>
      </x:c>
      <x:c r="O35" s="183" t="str">
        <x:v>V4.9对象/属性/方法
V2.01：名称/子方面线索；处置=规划独立契约候选·未批准新增
V7.8：V7.8未检出同名词法声明</x:v>
      </x:c>
      <x:c r="P35" s="136" t="str">
        <x:v>V4.9对象/属性/方法</x:v>
      </x:c>
      <x:c r="Q35"/>
      <x:c r="R35"/>
      <x:c r="S35"/>
    </x:row>
    <x:row r="36" ht="72" customHeight="1">
      <x:c r="A36" s="179" t="str">
        <x:v>F15</x:v>
      </x:c>
      <x:c r="B36" s="180" t="str">
        <x:v>配置与参数｜配置模型与静态辅助
Configuration Models</x:v>
      </x:c>
      <x:c r="C36" s="180" t="str">
        <x:v>FCMConfigValue</x:v>
      </x:c>
      <x:c r="D36" s="179" t="str">
        <x:v>增构候选·待查重</x:v>
      </x:c>
      <x:c r="E36" s="180" t="str">
        <x:v>表达和承载配置值的基础数据或计算参数</x:v>
      </x:c>
      <x:c r="F36" s="180" t="str">
        <x:v>Key；Value；Source</x:v>
      </x:c>
      <x:c r="G36" s="180" t="str">
        <x:v>AsType</x:v>
      </x:c>
      <x:c r="H36" s="180" t="str">
        <x:v>待逐对象核实</x:v>
      </x:c>
      <x:c r="I36" s="180" t="str">
        <x:v>ConfigValue</x:v>
      </x:c>
      <x:c r="J36" s="179" t="str">
        <x:v>值类型候选</x:v>
      </x:c>
      <x:c r="K36" s="180" t="str">
        <x:v>生命周期：基础数据/值对象</x:v>
      </x:c>
      <x:c r="L36" s="183" t="str">
        <x:v>设计候选，尚待源码验证</x:v>
      </x:c>
      <x:c r="M36" s="183" t="str">
        <x:v>F15.ConfigValue</x:v>
      </x:c>
      <x:c r="N36" s="184" t="str">
        <x:v>05_基础对象与基础计算!C164</x:v>
      </x:c>
      <x:c r="O36" s="183" t="str">
        <x:v>V4.9对象/属性/方法
V2.01：名称/子方面线索；处置=规划独立契约候选·未批准新增
V7.8：V7.8未检出同名词法声明</x:v>
      </x:c>
      <x:c r="P36" s="136" t="str">
        <x:v>V4.9对象/属性/方法</x:v>
      </x:c>
      <x:c r="Q36"/>
      <x:c r="R36"/>
      <x:c r="S36"/>
    </x:row>
    <x:row r="37" ht="72" customHeight="1">
      <x:c r="A37" s="179" t="str">
        <x:v>F15</x:v>
      </x:c>
      <x:c r="B37" s="180" t="str">
        <x:v>配置与参数｜配置模型与静态辅助
Configuration Models</x:v>
      </x:c>
      <x:c r="C37" s="180" t="str">
        <x:v>FCMEnvironmentKeyUtil</x:v>
      </x:c>
      <x:c r="D37" s="179" t="str">
        <x:v>增构候选·待查重</x:v>
      </x:c>
      <x:c r="E37" s="180" t="str">
        <x:v>提供无状态环境变量键工具运算，不持有会话/设备/全局缓存</x:v>
      </x:c>
      <x:c r="F37" s="180" t="str">
        <x:v>Prefix；Case</x:v>
      </x:c>
      <x:c r="G37" s="180" t="str">
        <x:v>Normalize</x:v>
      </x:c>
      <x:c r="H37" s="180" t="str">
        <x:v>待逐对象核实</x:v>
      </x:c>
      <x:c r="I37" s="180" t="str">
        <x:v>EnvironmentKeyUtil</x:v>
      </x:c>
      <x:c r="J37" s="179" t="str">
        <x:v>静态类</x:v>
      </x:c>
      <x:c r="K37" s="180" t="str">
        <x:v>生命周期：基础值/纯计算</x:v>
      </x:c>
      <x:c r="L37" s="183" t="str">
        <x:v>设计候选，尚待源码验证</x:v>
      </x:c>
      <x:c r="M37" s="183" t="str">
        <x:v>F15.EnvironmentKeyUtil</x:v>
      </x:c>
      <x:c r="N37" s="184" t="str">
        <x:v>05_基础对象与基础计算!C165</x:v>
      </x:c>
      <x:c r="O37" s="183" t="str">
        <x:v>V4.9对象/属性/方法
V2.01：名称/子方面线索；处置=规划独立契约候选·未批准新增
V7.8：V7.8未检出同名词法声明</x:v>
      </x:c>
      <x:c r="P37" s="136" t="str">
        <x:v>V4.9对象/属性/方法</x:v>
      </x:c>
      <x:c r="Q37"/>
      <x:c r="R37"/>
      <x:c r="S37"/>
    </x:row>
    <x:row r="38" ht="72" customHeight="1">
      <x:c r="A38" s="179" t="str">
        <x:v>F15</x:v>
      </x:c>
      <x:c r="B38" s="180" t="str">
        <x:v>配置与参数｜配置模型与静态辅助
Configuration Models</x:v>
      </x:c>
      <x:c r="C38" s="180" t="str">
        <x:v>FCMSecretReference</x:v>
      </x:c>
      <x:c r="D38" s="179" t="str">
        <x:v>增构候选·待查重</x:v>
      </x:c>
      <x:c r="E38" s="180" t="str">
        <x:v>表达和承载密钥引用值的基础数据或计算参数</x:v>
      </x:c>
      <x:c r="F38" s="180" t="str">
        <x:v>Provider；KeyName</x:v>
      </x:c>
      <x:c r="G38" s="180" t="str">
        <x:v>Format；Validate</x:v>
      </x:c>
      <x:c r="H38" s="180" t="str">
        <x:v>待逐对象核实</x:v>
      </x:c>
      <x:c r="I38" s="180" t="str">
        <x:v>SecretReference</x:v>
      </x:c>
      <x:c r="J38" s="179" t="str">
        <x:v>值类型候选</x:v>
      </x:c>
      <x:c r="K38" s="180" t="str">
        <x:v>生命周期：基础数据/值对象</x:v>
      </x:c>
      <x:c r="L38" s="183" t="str">
        <x:v>设计候选，尚待源码验证</x:v>
      </x:c>
      <x:c r="M38" s="183" t="str">
        <x:v>F15.SecretReference</x:v>
      </x:c>
      <x:c r="N38" s="184" t="str">
        <x:v>05_基础对象与基础计算!C166</x:v>
      </x:c>
      <x:c r="O38" s="183" t="str">
        <x:v>V4.9对象/属性/方法
V2.01：名称/子方面线索；处置=规划独立契约候选·未批准新增
V7.8：V7.8未检出同名词法声明</x:v>
      </x:c>
      <x:c r="P38" s="136" t="str">
        <x:v>V4.9对象/属性/方法</x:v>
      </x:c>
      <x:c r="Q38"/>
      <x:c r="R38"/>
      <x:c r="S38"/>
    </x:row>
    <x:row r="39" ht="72" customHeight="1">
      <x:c r="A39" s="179" t="str">
        <x:v>F15</x:v>
      </x:c>
      <x:c r="B39" s="180" t="str">
        <x:v>配置与参数｜配置模型与静态辅助
Configuration Models</x:v>
      </x:c>
      <x:c r="C39" s="180" t="str">
        <x:v>FCMSettingsSnapshot</x:v>
      </x:c>
      <x:c r="D39" s="179" t="str">
        <x:v>增构候选·待查重</x:v>
      </x:c>
      <x:c r="E39" s="180" t="str">
        <x:v>表达和承载配置快照的基础数据或计算参数</x:v>
      </x:c>
      <x:c r="F39" s="180" t="str">
        <x:v>Version；Values</x:v>
      </x:c>
      <x:c r="G39" s="180" t="str">
        <x:v>Diff；Compare</x:v>
      </x:c>
      <x:c r="H39" s="180" t="str">
        <x:v>待逐对象核实</x:v>
      </x:c>
      <x:c r="I39" s="180" t="str">
        <x:v>SettingsSnapshot</x:v>
      </x:c>
      <x:c r="J39" s="179" t="str">
        <x:v>值类型候选</x:v>
      </x:c>
      <x:c r="K39" s="180" t="str">
        <x:v>生命周期：基础数据/值对象</x:v>
      </x:c>
      <x:c r="L39" s="183" t="str">
        <x:v>设计候选，尚待源码验证</x:v>
      </x:c>
      <x:c r="M39" s="183" t="str">
        <x:v>F15.SettingsSnapshot</x:v>
      </x:c>
      <x:c r="N39" s="184" t="str">
        <x:v>05_基础对象与基础计算!C167</x:v>
      </x:c>
      <x:c r="O39" s="183" t="str">
        <x:v>V4.9对象/属性/方法
V2.01：名称/子方面线索；处置=规划独立契约候选·未批准新增
V7.8：V7.8未检出同名词法声明</x:v>
      </x:c>
      <x:c r="P39" s="136" t="str">
        <x:v>V4.9对象/属性/方法</x:v>
      </x:c>
      <x:c r="Q39"/>
      <x:c r="R39"/>
      <x:c r="S39"/>
    </x:row>
    <x:row r="40" ht="72" customHeight="1">
      <x:c r="A40" s="179" t="str">
        <x:v>F18</x:v>
      </x:c>
      <x:c r="B40" s="180" t="str">
        <x:v>文件与持久化｜路径、文件和流基础
File Streams</x:v>
      </x:c>
      <x:c r="C40" s="180" t="str">
        <x:v>FFSDirectoryNode</x:v>
      </x:c>
      <x:c r="D40" s="179" t="str">
        <x:v>原有·待核</x:v>
      </x:c>
      <x:c r="E40" s="180" t="str">
        <x:v>表达或管理目录节点相关的数据及协作职责，具体行为待源码复核〔待核〕</x:v>
      </x:c>
      <x:c r="F40" s="180" t="str">
        <x:v>Name, LastWriteTime, Subdirectories, Files</x:v>
      </x:c>
      <x:c r="G40" s="180" t="str">
        <x:v>DirectoryNode(string name, DateTime lastWriteTime)</x:v>
      </x:c>
      <x:c r="H40" s="180" t="str">
        <x:v>—（待核）</x:v>
      </x:c>
      <x:c r="I40" s="180" t="str">
        <x:v>CommonInterfaces.DirectoryNode</x:v>
      </x:c>
      <x:c r="J40" s="179" t="str">
        <x:v>类</x:v>
      </x:c>
      <x:c r="K40" s="180" t="str">
        <x:v>V1.19 C-0046；原实施方式：原有。迁移风险：表达或管理目录节点相关的数据及协作职责，具体行为待源码复核〔待核〕</x:v>
      </x:c>
      <x:c r="L40" s="183" t="str">
        <x:v>源代码声明·待复核</x:v>
      </x:c>
      <x:c r="M40" s="183" t="str">
        <x:v>C-0046</x:v>
      </x:c>
      <x:c r="N40" s="184" t="str">
        <x:v>Platform/CommonInterfaces/FileSystemHelper.cs</x:v>
      </x:c>
      <x:c r="O40" s="183" t="str">
        <x:v>V1.19旧源码类型（真实成员/实现仍待核）
V2.01：来源ID对应；处置=保留源码·公开契约复核
V7.8：V7.8同名且源文件对应；Platform/CommonInterfaces/FileSystemHelper.cs</x:v>
      </x:c>
      <x:c r="P40" s="136" t="str">
        <x:v>V1.19旧源码类型（真实成员/实现仍待核）</x:v>
      </x:c>
      <x:c r="Q40"/>
      <x:c r="R40"/>
      <x:c r="S40"/>
    </x:row>
    <x:row r="41" ht="72" customHeight="1">
      <x:c r="A41" s="179" t="str">
        <x:v>F18</x:v>
      </x:c>
      <x:c r="B41" s="180" t="str">
        <x:v>文件与持久化｜路径、文件和流基础
File Streams</x:v>
      </x:c>
      <x:c r="C41" s="180" t="str">
        <x:v>FFSFileInfoNode</x:v>
      </x:c>
      <x:c r="D41" s="179" t="str">
        <x:v>原有·待核</x:v>
      </x:c>
      <x:c r="E41" s="180" t="str">
        <x:v>表达或管理文件Info节点相关的数据及协作职责，具体行为待源码复核〔待核〕</x:v>
      </x:c>
      <x:c r="F41" s="180" t="str">
        <x:v>Name, Size, LastWriteTime, FileType</x:v>
      </x:c>
      <x:c r="G41" s="180" t="str">
        <x:v>FileInfoNode(string name, long size, DateTime lastWriteTime, string fileType), ToLower()</x:v>
      </x:c>
      <x:c r="H41" s="180" t="str">
        <x:v>—（待核）</x:v>
      </x:c>
      <x:c r="I41" s="180" t="str">
        <x:v>CommonInterfaces.FileInfoNode</x:v>
      </x:c>
      <x:c r="J41" s="179" t="str">
        <x:v>类</x:v>
      </x:c>
      <x:c r="K41" s="180" t="str">
        <x:v>V1.19 C-0047；原实施方式：原有。迁移风险：表达或管理文件Info节点相关的数据及协作职责，具体行为待源码复核〔待核〕</x:v>
      </x:c>
      <x:c r="L41" s="183" t="str">
        <x:v>源代码声明·待复核</x:v>
      </x:c>
      <x:c r="M41" s="183" t="str">
        <x:v>C-0047</x:v>
      </x:c>
      <x:c r="N41" s="184" t="str">
        <x:v>Platform/CommonInterfaces/FileSystemHelper.cs</x:v>
      </x:c>
      <x:c r="O41" s="183" t="str">
        <x:v>V1.19旧源码类型（真实成员/实现仍待核）
V2.01：来源ID对应；处置=保留源码·公开契约复核
V7.8：V7.8同名且源文件对应；Platform/CommonInterfaces/FileSystemHelper.cs</x:v>
      </x:c>
      <x:c r="P41" s="136" t="str">
        <x:v>V1.19旧源码类型（真实成员/实现仍待核）</x:v>
      </x:c>
      <x:c r="Q41"/>
      <x:c r="R41"/>
      <x:c r="S41"/>
    </x:row>
    <x:row r="42" ht="135" customHeight="1">
      <x:c r="A42" s="179" t="str">
        <x:v>F18</x:v>
      </x:c>
      <x:c r="B42" s="180" t="str">
        <x:v>文件与持久化｜路径、文件和流基础
File Streams</x:v>
      </x:c>
      <x:c r="C42" s="180" t="str">
        <x:v>FFSFileSystemHelper</x:v>
      </x:c>
      <x:c r="D42" s="179" t="str">
        <x:v>原有·待核</x:v>
      </x:c>
      <x:c r="E42" s="180" t="str">
        <x:v>提供文件System辅助可复用辅助操作，避免业务状态耦合</x:v>
      </x:c>
      <x:c r="F42" s="180" t="str">
        <x:v>DefaultFormatShortDateTime</x:v>
      </x:c>
      <x:c r="G42" s="180" t="str">
        <x:v>GetPathRoot(string path), GetDirectoryName(string path), GetFileName(string path), GetFileNameWithoutExtension(string path), GetExtension(string path), ChangeExtension(string path, string newExtension), GetFileSystemInfo(string path), GetSubDirectoryList(string rootPath), GetSubFileList(string rootPath), GetAllSubFileList(string rootPath), GetSubDirectoryInfoList(string rootPath), GetSubFileInfoList(string rootPath), ScanAll(string rootPath, out List&lt;FileSystemInfo&gt; items), PrintDirectoryTree(DirectoryNode node, string indent =), BuildDirectoryTree(string rootPath), CreateDirectory(string path), …(另10项)</x:v>
      </x:c>
      <x:c r="H42" s="180" t="str">
        <x:v>—（待核）</x:v>
      </x:c>
      <x:c r="I42" s="180" t="str">
        <x:v>CommonInterfaces.FileSystemHelper</x:v>
      </x:c>
      <x:c r="J42" s="179" t="str">
        <x:v>静态类</x:v>
      </x:c>
      <x:c r="K42" s="180" t="str">
        <x:v>V1.19 C-0048；原实施方式：原有。迁移风险：提供文件System辅助可复用辅助操作，避免业务状态耦合</x:v>
      </x:c>
      <x:c r="L42" s="183" t="str">
        <x:v>源代码声明·待复核</x:v>
      </x:c>
      <x:c r="M42" s="183" t="str">
        <x:v>C-0048</x:v>
      </x:c>
      <x:c r="N42" s="184" t="str">
        <x:v>Platform/CommonInterfaces/FileSystemHelper.cs</x:v>
      </x:c>
      <x:c r="O42" s="183" t="str">
        <x:v>V1.19旧源码类型（真实成员/实现仍待核）
V2.01：来源ID对应；处置=保留源码·公开契约复核
V7.8：V7.8同名且源文件对应；Platform/CommonInterfaces/FileSystemHelper.cs</x:v>
      </x:c>
      <x:c r="P42" s="136" t="str">
        <x:v>V1.19旧源码类型（真实成员/实现仍待核）</x:v>
      </x:c>
      <x:c r="Q42"/>
      <x:c r="R42"/>
      <x:c r="S42"/>
    </x:row>
    <x:row r="43" ht="72" customHeight="1">
      <x:c r="A43" s="179" t="str">
        <x:v>F18</x:v>
      </x:c>
      <x:c r="B43" s="180" t="str">
        <x:v>文件与持久化｜路径、文件和流基础
File Streams</x:v>
      </x:c>
      <x:c r="C43" s="180" t="str">
        <x:v>FFSAtomicFileWriteUtil</x:v>
      </x:c>
      <x:c r="D43" s="179" t="str">
        <x:v>增构候选·待查重</x:v>
      </x:c>
      <x:c r="E43" s="180" t="str">
        <x:v>提供无状态原子文件写入算法运算，不持有会话/设备/全局缓存</x:v>
      </x:c>
      <x:c r="F43" s="180" t="str">
        <x:v>TempPath；Target</x:v>
      </x:c>
      <x:c r="G43" s="180" t="str">
        <x:v>WriteAndReplace；public static void Replace(string targetPath, byte[] bytes)</x:v>
      </x:c>
      <x:c r="H43" s="180" t="str">
        <x:v>待逐对象核实</x:v>
      </x:c>
      <x:c r="I43" s="180" t="str">
        <x:v>AtomicFileWriteUtil</x:v>
      </x:c>
      <x:c r="J43" s="179" t="str">
        <x:v>静态类</x:v>
      </x:c>
      <x:c r="K43" s="180" t="str">
        <x:v>生命周期：基础值/纯计算</x:v>
      </x:c>
      <x:c r="L43" s="183" t="str">
        <x:v>设计候选，尚待源码验证</x:v>
      </x:c>
      <x:c r="M43" s="183" t="str">
        <x:v>F18.AtomicFileWriteUtil</x:v>
      </x:c>
      <x:c r="N43" s="184" t="str">
        <x:v>05_基础对象与基础计算!C189</x:v>
      </x:c>
      <x:c r="O43" s="183" t="str">
        <x:v>V4.9对象/属性/方法
V2.01：名称/子方面线索；处置=规划独立契约候选·未批准新增
V7.8：V7.8未检出同名词法声明</x:v>
      </x:c>
      <x:c r="P43" s="136" t="str">
        <x:v>V4.9对象/属性/方法</x:v>
      </x:c>
      <x:c r="Q43"/>
      <x:c r="R43"/>
      <x:c r="S43"/>
    </x:row>
    <x:row r="44" ht="72" customHeight="1">
      <x:c r="A44" s="179" t="str">
        <x:v>F18</x:v>
      </x:c>
      <x:c r="B44" s="180" t="str">
        <x:v>文件与持久化｜路径、文件和流基础
File Streams</x:v>
      </x:c>
      <x:c r="C44" s="180" t="str">
        <x:v>FFSContentAddress</x:v>
      </x:c>
      <x:c r="D44" s="179" t="str">
        <x:v>增构候选·待查重</x:v>
      </x:c>
      <x:c r="E44" s="180" t="str">
        <x:v>表达和承载内容寻址值的基础数据或计算参数</x:v>
      </x:c>
      <x:c r="F44" s="180" t="str">
        <x:v>Hash；Namespace</x:v>
      </x:c>
      <x:c r="G44" s="180" t="str">
        <x:v>Resolve</x:v>
      </x:c>
      <x:c r="H44" s="180" t="str">
        <x:v>待逐对象核实</x:v>
      </x:c>
      <x:c r="I44" s="180" t="str">
        <x:v>ContentAddress</x:v>
      </x:c>
      <x:c r="J44" s="179" t="str">
        <x:v>值类型候选</x:v>
      </x:c>
      <x:c r="K44" s="180" t="str">
        <x:v>生命周期：基础数据/值对象</x:v>
      </x:c>
      <x:c r="L44" s="183" t="str">
        <x:v>设计候选，尚待源码验证</x:v>
      </x:c>
      <x:c r="M44" s="183" t="str">
        <x:v>F18.ContentAddress</x:v>
      </x:c>
      <x:c r="N44" s="184" t="str">
        <x:v>05_基础对象与基础计算!C190</x:v>
      </x:c>
      <x:c r="O44" s="183" t="str">
        <x:v>V4.9对象/属性/方法
V2.01：名称/子方面线索；处置=规划独立契约候选·未批准新增
V7.8：V7.8未检出同名词法声明</x:v>
      </x:c>
      <x:c r="P44" s="136" t="str">
        <x:v>V4.9对象/属性/方法</x:v>
      </x:c>
      <x:c r="Q44"/>
      <x:c r="R44"/>
      <x:c r="S44"/>
    </x:row>
    <x:row r="45" ht="72" customHeight="1">
      <x:c r="A45" s="179" t="str">
        <x:v>F18</x:v>
      </x:c>
      <x:c r="B45" s="180" t="str">
        <x:v>文件与持久化｜路径、文件和流基础
File Streams</x:v>
      </x:c>
      <x:c r="C45" s="180" t="str">
        <x:v>FFSFileHashUtil</x:v>
      </x:c>
      <x:c r="D45" s="179" t="str">
        <x:v>增构候选·待查重</x:v>
      </x:c>
      <x:c r="E45" s="180" t="str">
        <x:v>提供无状态文件哈希工具运算，不持有会话/设备/全局缓存</x:v>
      </x:c>
      <x:c r="F45" s="180" t="str">
        <x:v>Algorithm；Chunks</x:v>
      </x:c>
      <x:c r="G45" s="180" t="str">
        <x:v>Sha256；Verify</x:v>
      </x:c>
      <x:c r="H45" s="180" t="str">
        <x:v>待逐对象核实</x:v>
      </x:c>
      <x:c r="I45" s="180" t="str">
        <x:v>FileHashUtil</x:v>
      </x:c>
      <x:c r="J45" s="179" t="str">
        <x:v>静态类</x:v>
      </x:c>
      <x:c r="K45" s="180" t="str">
        <x:v>生命周期：基础值/纯计算</x:v>
      </x:c>
      <x:c r="L45" s="183" t="str">
        <x:v>设计候选，尚待源码验证</x:v>
      </x:c>
      <x:c r="M45" s="183" t="str">
        <x:v>F18.FileHashUtil</x:v>
      </x:c>
      <x:c r="N45" s="184" t="str">
        <x:v>05_基础对象与基础计算!C191</x:v>
      </x:c>
      <x:c r="O45" s="183" t="str">
        <x:v>V4.9对象/属性/方法
V2.01：名称/子方面线索；处置=规划独立契约候选·未批准新增
V7.8：V7.8未检出同名词法声明</x:v>
      </x:c>
      <x:c r="P45" s="136" t="str">
        <x:v>V4.9对象/属性/方法</x:v>
      </x:c>
      <x:c r="Q45"/>
      <x:c r="R45"/>
      <x:c r="S45"/>
    </x:row>
    <x:row r="46" ht="72" customHeight="1">
      <x:c r="A46" s="179" t="str">
        <x:v>F18</x:v>
      </x:c>
      <x:c r="B46" s="180" t="str">
        <x:v>文件与持久化｜路径、文件和流基础
File Streams</x:v>
      </x:c>
      <x:c r="C46" s="180" t="str">
        <x:v>FFSFileManifest</x:v>
      </x:c>
      <x:c r="D46" s="179" t="str">
        <x:v>增构候选·待查重</x:v>
      </x:c>
      <x:c r="E46" s="180" t="str">
        <x:v>表达和承载文件清单的基础数据或计算参数</x:v>
      </x:c>
      <x:c r="F46" s="180" t="str">
        <x:v>Entries；Hashes</x:v>
      </x:c>
      <x:c r="G46" s="180" t="str">
        <x:v>Verify</x:v>
      </x:c>
      <x:c r="H46" s="180" t="str">
        <x:v>待逐对象核实</x:v>
      </x:c>
      <x:c r="I46" s="180" t="str">
        <x:v>FileManifest</x:v>
      </x:c>
      <x:c r="J46" s="179" t="str">
        <x:v>类/实例候选</x:v>
      </x:c>
      <x:c r="K46" s="180" t="str">
        <x:v>生命周期：基础数据/值对象</x:v>
      </x:c>
      <x:c r="L46" s="183" t="str">
        <x:v>设计候选，尚待源码验证</x:v>
      </x:c>
      <x:c r="M46" s="183" t="str">
        <x:v>F18.FileManifest</x:v>
      </x:c>
      <x:c r="N46" s="184" t="str">
        <x:v>05_基础对象与基础计算!C192</x:v>
      </x:c>
      <x:c r="O46" s="183" t="str">
        <x:v>V4.9对象/属性/方法
V2.01：名称/子方面线索；处置=规划独立契约候选·未批准新增
V7.8：V7.8未检出同名词法声明</x:v>
      </x:c>
      <x:c r="P46" s="136" t="str">
        <x:v>V4.9对象/属性/方法</x:v>
      </x:c>
      <x:c r="Q46"/>
      <x:c r="R46"/>
      <x:c r="S46"/>
    </x:row>
    <x:row r="47" ht="72" customHeight="1">
      <x:c r="A47" s="179" t="str">
        <x:v>F18</x:v>
      </x:c>
      <x:c r="B47" s="180" t="str">
        <x:v>文件与持久化｜路径、文件和流基础
File Streams</x:v>
      </x:c>
      <x:c r="C47" s="180" t="str">
        <x:v>FFSFilePath</x:v>
      </x:c>
      <x:c r="D47" s="179" t="str">
        <x:v>增构候选·待查重</x:v>
      </x:c>
      <x:c r="E47" s="180" t="str">
        <x:v>表达和承载文件路径值的基础数据或计算参数</x:v>
      </x:c>
      <x:c r="F47" s="180" t="str">
        <x:v>Path；Root</x:v>
      </x:c>
      <x:c r="G47" s="180" t="str">
        <x:v>Normalize；Combine</x:v>
      </x:c>
      <x:c r="H47" s="180" t="str">
        <x:v>待逐对象核实</x:v>
      </x:c>
      <x:c r="I47" s="180" t="str">
        <x:v>FilePath</x:v>
      </x:c>
      <x:c r="J47" s="179" t="str">
        <x:v>值类型候选</x:v>
      </x:c>
      <x:c r="K47" s="180" t="str">
        <x:v>生命周期：基础数据/值对象</x:v>
      </x:c>
      <x:c r="L47" s="183" t="str">
        <x:v>设计候选，尚待源码验证</x:v>
      </x:c>
      <x:c r="M47" s="183" t="str">
        <x:v>F18.FilePath</x:v>
      </x:c>
      <x:c r="N47" s="184" t="str">
        <x:v>05_基础对象与基础计算!C193</x:v>
      </x:c>
      <x:c r="O47" s="183" t="str">
        <x:v>V4.9对象/属性/方法
V2.01：名称/子方面线索；处置=规划独立契约候选·未批准新增
V7.8：V7.8未检出同名词法声明</x:v>
      </x:c>
      <x:c r="P47" s="136" t="str">
        <x:v>V4.9对象/属性/方法</x:v>
      </x:c>
      <x:c r="Q47"/>
      <x:c r="R47"/>
      <x:c r="S47"/>
    </x:row>
    <x:row r="48" ht="72" customHeight="1">
      <x:c r="A48" s="179" t="str">
        <x:v>F18</x:v>
      </x:c>
      <x:c r="B48" s="180" t="str">
        <x:v>文件与持久化｜路径、文件和流基础
File Streams</x:v>
      </x:c>
      <x:c r="C48" s="180" t="str">
        <x:v>FFSFileSignatureUtil</x:v>
      </x:c>
      <x:c r="D48" s="179" t="str">
        <x:v>增构候选·待查重</x:v>
      </x:c>
      <x:c r="E48" s="180" t="str">
        <x:v>提供无状态文件签名检测运算，不持有会话/设备/全局缓存</x:v>
      </x:c>
      <x:c r="F48" s="180" t="str">
        <x:v>MagicBytes</x:v>
      </x:c>
      <x:c r="G48" s="180" t="str">
        <x:v>Identify</x:v>
      </x:c>
      <x:c r="H48" s="180" t="str">
        <x:v>待逐对象核实</x:v>
      </x:c>
      <x:c r="I48" s="180" t="str">
        <x:v>FileSignatureUtil</x:v>
      </x:c>
      <x:c r="J48" s="179" t="str">
        <x:v>静态类</x:v>
      </x:c>
      <x:c r="K48" s="180" t="str">
        <x:v>生命周期：基础值/纯计算</x:v>
      </x:c>
      <x:c r="L48" s="183" t="str">
        <x:v>设计候选，尚待源码验证</x:v>
      </x:c>
      <x:c r="M48" s="183" t="str">
        <x:v>F18.FileSignatureUtil</x:v>
      </x:c>
      <x:c r="N48" s="184" t="str">
        <x:v>05_基础对象与基础计算!C194</x:v>
      </x:c>
      <x:c r="O48" s="183" t="str">
        <x:v>V4.9对象/属性/方法
V2.01：名称/子方面线索；处置=规划独立契约候选·未批准新增
V7.8：V7.8未检出同名词法声明</x:v>
      </x:c>
      <x:c r="P48" s="136" t="str">
        <x:v>V4.9对象/属性/方法</x:v>
      </x:c>
      <x:c r="Q48"/>
      <x:c r="R48"/>
      <x:c r="S48"/>
    </x:row>
    <x:row r="49" ht="72" customHeight="1">
      <x:c r="A49" s="179" t="str">
        <x:v>F18</x:v>
      </x:c>
      <x:c r="B49" s="180" t="str">
        <x:v>文件与持久化｜路径、文件和流基础
File Streams</x:v>
      </x:c>
      <x:c r="C49" s="180" t="str">
        <x:v>FFSMemoryMappedRegion</x:v>
      </x:c>
      <x:c r="D49" s="179" t="str">
        <x:v>增构候选·待查重</x:v>
      </x:c>
      <x:c r="E49" s="180" t="str">
        <x:v>表达和承载映射文件区段的基础数据或计算参数</x:v>
      </x:c>
      <x:c r="F49" s="180" t="str">
        <x:v>Offset；Size</x:v>
      </x:c>
      <x:c r="G49" s="180" t="str">
        <x:v>Read；Release</x:v>
      </x:c>
      <x:c r="H49" s="180" t="str">
        <x:v>待逐对象核实</x:v>
      </x:c>
      <x:c r="I49" s="180" t="str">
        <x:v>可释放数据容器</x:v>
      </x:c>
      <x:c r="J49" s="179" t="str">
        <x:v>类/实例候选</x:v>
      </x:c>
      <x:c r="K49" s="180" t="str">
        <x:v>生命周期：基础数据/值对象</x:v>
      </x:c>
      <x:c r="L49" s="183" t="str">
        <x:v>设计候选，尚待源码验证</x:v>
      </x:c>
      <x:c r="M49" s="183" t="str">
        <x:v>F18.MemoryMappedRegion</x:v>
      </x:c>
      <x:c r="N49" s="184"/>
      <x:c r="O49" s="183" t="str">
        <x:v>V4.9对象/属性/方法
V2.01：未匹配V2.01；处置=暂无可信对应
V7.8：V7.8未检出同名词法声明</x:v>
      </x:c>
      <x:c r="P49" s="136" t="str">
        <x:v>V4.9对象/属性/方法</x:v>
      </x:c>
      <x:c r="Q49"/>
      <x:c r="R49"/>
      <x:c r="S49"/>
    </x:row>
    <x:row r="50" ht="72" customHeight="1">
      <x:c r="A50" s="179" t="str">
        <x:v>F18</x:v>
      </x:c>
      <x:c r="B50" s="180" t="str">
        <x:v>文件与持久化｜路径、文件和流基础
File Streams</x:v>
      </x:c>
      <x:c r="C50" s="180" t="str">
        <x:v>FFSPathSafetyUtil</x:v>
      </x:c>
      <x:c r="D50" s="179" t="str">
        <x:v>增构候选·待查重</x:v>
      </x:c>
      <x:c r="E50" s="180" t="str">
        <x:v>提供无状态安全路径工具运算，不持有会话/设备/全局缓存</x:v>
      </x:c>
      <x:c r="F50" s="180" t="str">
        <x:v>Root；Policy</x:v>
      </x:c>
      <x:c r="G50" s="180" t="str">
        <x:v>Validate；Canonicalize</x:v>
      </x:c>
      <x:c r="H50" s="180" t="str">
        <x:v>待逐对象核实</x:v>
      </x:c>
      <x:c r="I50" s="180" t="str">
        <x:v>PathSafetyUtil</x:v>
      </x:c>
      <x:c r="J50" s="179" t="str">
        <x:v>静态类</x:v>
      </x:c>
      <x:c r="K50" s="180" t="str">
        <x:v>生命周期：基础值/纯计算</x:v>
      </x:c>
      <x:c r="L50" s="183" t="str">
        <x:v>设计候选，尚待源码验证</x:v>
      </x:c>
      <x:c r="M50" s="183" t="str">
        <x:v>F18.PathSafetyUtil</x:v>
      </x:c>
      <x:c r="N50" s="184" t="str">
        <x:v>05_基础对象与基础计算!C196</x:v>
      </x:c>
      <x:c r="O50" s="183" t="str">
        <x:v>V4.9对象/属性/方法
V2.01：名称/子方面线索；处置=规划独立契约候选·未批准新增
V7.8：V7.8未检出同名词法声明</x:v>
      </x:c>
      <x:c r="P50" s="136" t="str">
        <x:v>V4.9对象/属性/方法</x:v>
      </x:c>
      <x:c r="Q50"/>
      <x:c r="R50"/>
      <x:c r="S50"/>
    </x:row>
    <x:row r="51" ht="72" customHeight="1">
      <x:c r="A51" s="179" t="str">
        <x:v>F18</x:v>
      </x:c>
      <x:c r="B51" s="180" t="str">
        <x:v>文件与持久化｜路径、文件和流基础
File Streams</x:v>
      </x:c>
      <x:c r="C51" s="180" t="str">
        <x:v>FFSStorageSize</x:v>
      </x:c>
      <x:c r="D51" s="179" t="str">
        <x:v>增构候选·待查重</x:v>
      </x:c>
      <x:c r="E51" s="180" t="str">
        <x:v>表达和承载存储容量值的基础数据或计算参数</x:v>
      </x:c>
      <x:c r="F51" s="180" t="str">
        <x:v>Bytes；Unit</x:v>
      </x:c>
      <x:c r="G51" s="180" t="str">
        <x:v>Format；Compare</x:v>
      </x:c>
      <x:c r="H51" s="180" t="str">
        <x:v>待逐对象核实</x:v>
      </x:c>
      <x:c r="I51" s="180" t="str">
        <x:v>StorageSize</x:v>
      </x:c>
      <x:c r="J51" s="179" t="str">
        <x:v>值类型候选</x:v>
      </x:c>
      <x:c r="K51" s="180" t="str">
        <x:v>生命周期：基础数据/值对象</x:v>
      </x:c>
      <x:c r="L51" s="183" t="str">
        <x:v>设计候选，尚待源码验证</x:v>
      </x:c>
      <x:c r="M51" s="183" t="str">
        <x:v>F18.StorageSize</x:v>
      </x:c>
      <x:c r="N51" s="184" t="str">
        <x:v>05_基础对象与基础计算!C197</x:v>
      </x:c>
      <x:c r="O51" s="183" t="str">
        <x:v>V4.9对象/属性/方法
V2.01：名称/子方面线索；处置=规划独立契约候选·未批准新增
V7.8：V7.8未检出同名词法声明</x:v>
      </x:c>
      <x:c r="P51" s="136" t="str">
        <x:v>V4.9对象/属性/方法</x:v>
      </x:c>
      <x:c r="Q51"/>
      <x:c r="R51"/>
      <x:c r="S51"/>
    </x:row>
    <x:row r="52" ht="72" customHeight="1">
      <x:c r="A52" s="179" t="str">
        <x:v>F18</x:v>
      </x:c>
      <x:c r="B52" s="180" t="str">
        <x:v>文件与持久化｜路径、文件和流基础
File Streams</x:v>
      </x:c>
      <x:c r="C52" s="180" t="str">
        <x:v>FFSStreamCopyUtil</x:v>
      </x:c>
      <x:c r="D52" s="179" t="str">
        <x:v>增构候选·待查重</x:v>
      </x:c>
      <x:c r="E52" s="180" t="str">
        <x:v>提供无状态流拷贝辅助运算，不持有会话/设备/全局缓存</x:v>
      </x:c>
      <x:c r="F52" s="180" t="str">
        <x:v>Source；Target</x:v>
      </x:c>
      <x:c r="G52" s="180" t="str">
        <x:v>CopyAsync</x:v>
      </x:c>
      <x:c r="H52" s="180" t="str">
        <x:v>待逐对象核实</x:v>
      </x:c>
      <x:c r="I52" s="180" t="str">
        <x:v>StreamCopyUtil</x:v>
      </x:c>
      <x:c r="J52" s="179" t="str">
        <x:v>静态类</x:v>
      </x:c>
      <x:c r="K52" s="180" t="str">
        <x:v>生命周期：基础值/纯计算</x:v>
      </x:c>
      <x:c r="L52" s="183" t="str">
        <x:v>设计候选，尚待源码验证</x:v>
      </x:c>
      <x:c r="M52" s="183" t="str">
        <x:v>F18.StreamCopyUtil</x:v>
      </x:c>
      <x:c r="N52" s="184" t="str">
        <x:v>05_基础对象与基础计算!C198</x:v>
      </x:c>
      <x:c r="O52" s="183" t="str">
        <x:v>V4.9对象/属性/方法
V2.01：名称/子方面线索；处置=规划独立契约候选·未批准新增
V7.8：V7.8未检出同名词法声明</x:v>
      </x:c>
      <x:c r="P52" s="136" t="str">
        <x:v>V4.9对象/属性/方法</x:v>
      </x:c>
      <x:c r="Q52"/>
      <x:c r="R52"/>
      <x:c r="S52"/>
    </x:row>
    <x:row r="53" ht="72" customHeight="1">
      <x:c r="A53" s="179" t="str">
        <x:v>F18</x:v>
      </x:c>
      <x:c r="B53" s="180" t="str">
        <x:v>文件与持久化｜路径、文件和流基础
File Streams</x:v>
      </x:c>
      <x:c r="C53" s="180" t="str">
        <x:v>IFFSMemoryMappedRegion</x:v>
      </x:c>
      <x:c r="D53" s="179" t="str">
        <x:v>增构候选·待查重</x:v>
      </x:c>
      <x:c r="E53" s="180" t="str">
        <x:v>表达和承载映射文件区段的基础数据或计算参数</x:v>
      </x:c>
      <x:c r="F53" s="180" t="str">
        <x:v>Offset, Size</x:v>
      </x:c>
      <x:c r="G53" s="180" t="str">
        <x:v>Read(), Release()</x:v>
      </x:c>
      <x:c r="H53" s="180" t="str">
        <x:v>—（待核）</x:v>
      </x:c>
      <x:c r="I53" s="180" t="str">
        <x:v>MemoryMappedRegion</x:v>
      </x:c>
      <x:c r="J53" s="179" t="str">
        <x:v>类/接口/枚举（待裁决）</x:v>
      </x:c>
      <x:c r="K53" s="180" t="str">
        <x:v>V1.19 S-0190；原实施方式：增构候选。迁移风险：表达和承载映射文件区段的基础数据或计算参数</x:v>
      </x:c>
      <x:c r="L53" s="183" t="str">
        <x:v>V1.19设计候选·待核</x:v>
      </x:c>
      <x:c r="M53" s="183" t="str">
        <x:v>S-0190</x:v>
      </x:c>
      <x:c r="N53" s="184" t="str">
        <x:v>05_基础对象与基础计算!C195</x:v>
      </x:c>
      <x:c r="O53" s="183" t="str">
        <x:v>V1.19旧规格候选
V2.01：来源ID对应；处置=规划独立契约候选·未批准新增
V7.8：V7.8未检出同名词法声明</x:v>
      </x:c>
      <x:c r="P53" s="136" t="str">
        <x:v>V1.19旧规格候选</x:v>
      </x:c>
      <x:c r="Q53"/>
      <x:c r="R53"/>
      <x:c r="S53"/>
    </x:row>
    <x:row r="54" ht="72" customHeight="1">
      <x:c r="A54" s="179" t="str">
        <x:v>F21</x:v>
      </x:c>
      <x:c r="B54" s="180" t="str">
        <x:v>数据质量与溯源｜基础元数据与校验
Data Provenance</x:v>
      </x:c>
      <x:c r="C54" s="180" t="str">
        <x:v>FDPDataFingerprintUtil</x:v>
      </x:c>
      <x:c r="D54" s="179" t="str">
        <x:v>增构候选·待查重</x:v>
      </x:c>
      <x:c r="E54" s="180" t="str">
        <x:v>提供无状态数据指纹算法运算，不持有会话/设备/全局缓存</x:v>
      </x:c>
      <x:c r="F54" s="180" t="str">
        <x:v>Record；Fields</x:v>
      </x:c>
      <x:c r="G54" s="180" t="str">
        <x:v>Hash</x:v>
      </x:c>
      <x:c r="H54" s="180" t="str">
        <x:v>待逐对象核实</x:v>
      </x:c>
      <x:c r="I54" s="180" t="str">
        <x:v>DataFingerprintUtil</x:v>
      </x:c>
      <x:c r="J54" s="179" t="str">
        <x:v>静态类</x:v>
      </x:c>
      <x:c r="K54" s="180" t="str">
        <x:v>生命周期：基础值/纯计算</x:v>
      </x:c>
      <x:c r="L54" s="183" t="str">
        <x:v>设计候选，尚待源码验证</x:v>
      </x:c>
      <x:c r="M54" s="183" t="str">
        <x:v>F21.DataFingerprintUtil</x:v>
      </x:c>
      <x:c r="N54" s="184" t="str">
        <x:v>05_基础对象与基础计算!C218</x:v>
      </x:c>
      <x:c r="O54" s="183" t="str">
        <x:v>V4.9对象/属性/方法
V2.01：名称/子方面线索；处置=规划独立契约候选·未批准新增
V7.8：V7.8未检出同名词法声明</x:v>
      </x:c>
      <x:c r="P54" s="136" t="str">
        <x:v>V4.9对象/属性/方法</x:v>
      </x:c>
      <x:c r="Q54"/>
      <x:c r="R54"/>
      <x:c r="S54"/>
    </x:row>
    <x:row r="55" ht="72" customHeight="1">
      <x:c r="A55" s="179" t="str">
        <x:v>F21</x:v>
      </x:c>
      <x:c r="B55" s="180" t="str">
        <x:v>数据质量与溯源｜基础元数据与校验
Data Provenance</x:v>
      </x:c>
      <x:c r="C55" s="180" t="str">
        <x:v>FDPDataLineageEdge</x:v>
      </x:c>
      <x:c r="D55" s="179" t="str">
        <x:v>增构候选·待查重</x:v>
      </x:c>
      <x:c r="E55" s="180" t="str">
        <x:v>表达和承载数据血缘边的基础数据或计算参数</x:v>
      </x:c>
      <x:c r="F55" s="180" t="str">
        <x:v>Producer；Consumer；Transform</x:v>
      </x:c>
      <x:c r="G55" s="180" t="str">
        <x:v>Compare</x:v>
      </x:c>
      <x:c r="H55" s="180" t="str">
        <x:v>待逐对象核实</x:v>
      </x:c>
      <x:c r="I55" s="180" t="str">
        <x:v>DataLineageEdge</x:v>
      </x:c>
      <x:c r="J55" s="179" t="str">
        <x:v>值类型候选</x:v>
      </x:c>
      <x:c r="K55" s="180" t="str">
        <x:v>生命周期：基础数据/值对象</x:v>
      </x:c>
      <x:c r="L55" s="183" t="str">
        <x:v>设计候选，尚待源码验证</x:v>
      </x:c>
      <x:c r="M55" s="183" t="str">
        <x:v>F21.DataLineageEdge</x:v>
      </x:c>
      <x:c r="N55" s="184" t="str">
        <x:v>05_基础对象与基础计算!C219</x:v>
      </x:c>
      <x:c r="O55" s="183" t="str">
        <x:v>V4.9对象/属性/方法
V2.01：名称/子方面线索；处置=规划独立契约候选·未批准新增
V7.8：V7.8未检出同名词法声明</x:v>
      </x:c>
      <x:c r="P55" s="136" t="str">
        <x:v>V4.9对象/属性/方法</x:v>
      </x:c>
      <x:c r="Q55"/>
      <x:c r="R55"/>
      <x:c r="S55"/>
    </x:row>
    <x:row r="56" ht="72" customHeight="1">
      <x:c r="A56" s="179" t="str">
        <x:v>F21</x:v>
      </x:c>
      <x:c r="B56" s="180" t="str">
        <x:v>数据质量与溯源｜基础元数据与校验
Data Provenance</x:v>
      </x:c>
      <x:c r="C56" s="180" t="str">
        <x:v>FDPDataQualityFlag</x:v>
      </x:c>
      <x:c r="D56" s="179" t="str">
        <x:v>增构候选·待查重</x:v>
      </x:c>
      <x:c r="E56" s="180" t="str">
        <x:v>表达和承载数据质量标记的基础数据或计算参数</x:v>
      </x:c>
      <x:c r="F56" s="180" t="str">
        <x:v>Good；Stale；Invalid</x:v>
      </x:c>
      <x:c r="G56" s="180" t="str">
        <x:v>Combine</x:v>
      </x:c>
      <x:c r="H56" s="180" t="str">
        <x:v>待逐对象核实</x:v>
      </x:c>
      <x:c r="I56" s="180" t="str">
        <x:v>DataQualityFlag</x:v>
      </x:c>
      <x:c r="J56" s="179" t="str">
        <x:v>值类型候选</x:v>
      </x:c>
      <x:c r="K56" s="180" t="str">
        <x:v>生命周期：基础数据/值对象</x:v>
      </x:c>
      <x:c r="L56" s="183" t="str">
        <x:v>设计候选，尚待源码验证</x:v>
      </x:c>
      <x:c r="M56" s="183" t="str">
        <x:v>F21.DataQualityFlag</x:v>
      </x:c>
      <x:c r="N56" s="184" t="str">
        <x:v>05_基础对象与基础计算!C220</x:v>
      </x:c>
      <x:c r="O56" s="183" t="str">
        <x:v>V4.9对象/属性/方法
V2.01：名称/子方面线索；处置=规划独立契约候选·未批准新增
V7.8：V7.8未检出同名词法声明</x:v>
      </x:c>
      <x:c r="P56" s="136" t="str">
        <x:v>V4.9对象/属性/方法</x:v>
      </x:c>
    </x:row>
    <x:row r="57" ht="72" customHeight="1">
      <x:c r="A57" s="179" t="str">
        <x:v>F21</x:v>
      </x:c>
      <x:c r="B57" s="180" t="str">
        <x:v>数据质量与溯源｜基础元数据与校验
Data Provenance</x:v>
      </x:c>
      <x:c r="C57" s="180" t="str">
        <x:v>FDPDataValidationOps</x:v>
      </x:c>
      <x:c r="D57" s="179" t="str">
        <x:v>增构候选·待查重</x:v>
      </x:c>
      <x:c r="E57" s="180" t="str">
        <x:v>提供无状态数据校验算法运算，不持有会话/设备/全局缓存</x:v>
      </x:c>
      <x:c r="F57" s="180" t="str">
        <x:v>Value；Schema</x:v>
      </x:c>
      <x:c r="G57" s="180" t="str">
        <x:v>Validate</x:v>
      </x:c>
      <x:c r="H57" s="180" t="str">
        <x:v>待逐对象核实</x:v>
      </x:c>
      <x:c r="I57" s="180" t="str">
        <x:v>DataValidationOps</x:v>
      </x:c>
      <x:c r="J57" s="179" t="str">
        <x:v>静态类</x:v>
      </x:c>
      <x:c r="K57" s="180" t="str">
        <x:v>生命周期：基础值/纯计算</x:v>
      </x:c>
      <x:c r="L57" s="183" t="str">
        <x:v>设计候选，尚待源码验证</x:v>
      </x:c>
      <x:c r="M57" s="183" t="str">
        <x:v>F21.DataValidationOps</x:v>
      </x:c>
      <x:c r="N57" s="184" t="str">
        <x:v>05_基础对象与基础计算!C221</x:v>
      </x:c>
      <x:c r="O57" s="183" t="str">
        <x:v>V4.9对象/属性/方法
V2.01：名称/子方面线索；处置=规划独立契约候选·未批准新增
V7.8：V7.8未检出同名词法声明</x:v>
      </x:c>
      <x:c r="P57" s="136" t="str">
        <x:v>V4.9对象/属性/方法</x:v>
      </x:c>
    </x:row>
    <x:row r="58" ht="72" customHeight="1">
      <x:c r="A58" s="179" t="str">
        <x:v>F21</x:v>
      </x:c>
      <x:c r="B58" s="180" t="str">
        <x:v>数据质量与溯源｜基础元数据与校验
Data Provenance</x:v>
      </x:c>
      <x:c r="C58" s="180" t="str">
        <x:v>FDPIntegrityDigest</x:v>
      </x:c>
      <x:c r="D58" s="179" t="str">
        <x:v>增构候选·待查重</x:v>
      </x:c>
      <x:c r="E58" s="180" t="str">
        <x:v>表达和承载完整性摘要的基础数据或计算参数</x:v>
      </x:c>
      <x:c r="F58" s="180" t="str">
        <x:v>Algorithm；Hash</x:v>
      </x:c>
      <x:c r="G58" s="180" t="str">
        <x:v>Verify</x:v>
      </x:c>
      <x:c r="H58" s="180" t="str">
        <x:v>待逐对象核实</x:v>
      </x:c>
      <x:c r="I58" s="180" t="str">
        <x:v>IntegrityDigest</x:v>
      </x:c>
      <x:c r="J58" s="179" t="str">
        <x:v>值类型候选</x:v>
      </x:c>
      <x:c r="K58" s="180" t="str">
        <x:v>生命周期：基础数据/值对象</x:v>
      </x:c>
      <x:c r="L58" s="183" t="str">
        <x:v>设计候选，尚待源码验证</x:v>
      </x:c>
      <x:c r="M58" s="183" t="str">
        <x:v>F21.IntegrityDigest</x:v>
      </x:c>
      <x:c r="N58" s="184" t="str">
        <x:v>05_基础对象与基础计算!C222</x:v>
      </x:c>
      <x:c r="O58" s="183" t="str">
        <x:v>V4.9对象/属性/方法
V2.01：名称/子方面线索；处置=规划独立契约候选·未批准新增
V7.8：V7.8未检出同名词法声明</x:v>
      </x:c>
      <x:c r="P58" s="136" t="str">
        <x:v>V4.9对象/属性/方法</x:v>
      </x:c>
    </x:row>
    <x:row r="59" ht="72" customHeight="1">
      <x:c r="A59" s="179" t="str">
        <x:v>F21</x:v>
      </x:c>
      <x:c r="B59" s="180" t="str">
        <x:v>数据质量与溯源｜基础元数据与校验
Data Provenance</x:v>
      </x:c>
      <x:c r="C59" s="180" t="str">
        <x:v>FDPNullabilityOps</x:v>
      </x:c>
      <x:c r="D59" s="179" t="str">
        <x:v>增构候选·待查重</x:v>
      </x:c>
      <x:c r="E59" s="180" t="str">
        <x:v>提供无状态空值处理工具运算，不持有会话/设备/全局缓存</x:v>
      </x:c>
      <x:c r="F59" s="180" t="str">
        <x:v>Nullable；Default</x:v>
      </x:c>
      <x:c r="G59" s="180" t="str">
        <x:v>Coalesce</x:v>
      </x:c>
      <x:c r="H59" s="180" t="str">
        <x:v>待逐对象核实</x:v>
      </x:c>
      <x:c r="I59" s="180" t="str">
        <x:v>NullabilityOps</x:v>
      </x:c>
      <x:c r="J59" s="179" t="str">
        <x:v>静态类</x:v>
      </x:c>
      <x:c r="K59" s="180" t="str">
        <x:v>生命周期：基础值/纯计算</x:v>
      </x:c>
      <x:c r="L59" s="183" t="str">
        <x:v>设计候选，尚待源码验证</x:v>
      </x:c>
      <x:c r="M59" s="183" t="str">
        <x:v>F21.NullabilityOps</x:v>
      </x:c>
      <x:c r="N59" s="184" t="str">
        <x:v>05_基础对象与基础计算!C223</x:v>
      </x:c>
      <x:c r="O59" s="183" t="str">
        <x:v>V4.9对象/属性/方法
V2.01：名称/子方面线索；处置=规划独立契约候选·未批准新增
V7.8：V7.8未检出同名词法声明</x:v>
      </x:c>
      <x:c r="P59" s="136" t="str">
        <x:v>V4.9对象/属性/方法</x:v>
      </x:c>
    </x:row>
    <x:row r="60" ht="72" customHeight="1">
      <x:c r="A60" s="179" t="str">
        <x:v>F21</x:v>
      </x:c>
      <x:c r="B60" s="180" t="str">
        <x:v>数据质量与溯源｜基础元数据与校验
Data Provenance</x:v>
      </x:c>
      <x:c r="C60" s="180" t="str">
        <x:v>FDPProvenancePointer</x:v>
      </x:c>
      <x:c r="D60" s="179" t="str">
        <x:v>增构候选·待查重</x:v>
      </x:c>
      <x:c r="E60" s="180" t="str">
        <x:v>表达和承载来源引用值的基础数据或计算参数</x:v>
      </x:c>
      <x:c r="F60" s="180" t="str">
        <x:v>Source；Revision；Hash</x:v>
      </x:c>
      <x:c r="G60" s="180" t="str">
        <x:v>Validate</x:v>
      </x:c>
      <x:c r="H60" s="180" t="str">
        <x:v>待逐对象核实</x:v>
      </x:c>
      <x:c r="I60" s="180" t="str">
        <x:v>ProvenancePointer</x:v>
      </x:c>
      <x:c r="J60" s="179" t="str">
        <x:v>值类型候选</x:v>
      </x:c>
      <x:c r="K60" s="180" t="str">
        <x:v>生命周期：基础数据/值对象</x:v>
      </x:c>
      <x:c r="L60" s="183" t="str">
        <x:v>设计候选，尚待源码验证</x:v>
      </x:c>
      <x:c r="M60" s="183" t="str">
        <x:v>F21.ProvenancePointer</x:v>
      </x:c>
      <x:c r="N60" s="184" t="str">
        <x:v>05_基础对象与基础计算!C224</x:v>
      </x:c>
      <x:c r="O60" s="183" t="str">
        <x:v>V4.9对象/属性/方法
V2.01：名称/子方面线索；处置=规划独立契约候选·未批准新增
V7.8：V7.8未检出同名词法声明</x:v>
      </x:c>
      <x:c r="P60" s="136" t="str">
        <x:v>V4.9对象/属性/方法</x:v>
      </x:c>
    </x:row>
    <x:row r="61" ht="72" customHeight="1">
      <x:c r="A61" s="179" t="str">
        <x:v>F21</x:v>
      </x:c>
      <x:c r="B61" s="180" t="str">
        <x:v>数据质量与溯源｜基础元数据与校验
Data Provenance</x:v>
      </x:c>
      <x:c r="C61" s="180" t="str">
        <x:v>FDPSchemaCompatibilityUtil</x:v>
      </x:c>
      <x:c r="D61" s="179" t="str">
        <x:v>增构候选·待查重</x:v>
      </x:c>
      <x:c r="E61" s="180" t="str">
        <x:v>提供无状态Schema兼容检查运算，不持有会话/设备/全局缓存</x:v>
      </x:c>
      <x:c r="F61" s="180" t="str">
        <x:v>Old；New</x:v>
      </x:c>
      <x:c r="G61" s="180" t="str">
        <x:v>Diff；Check</x:v>
      </x:c>
      <x:c r="H61" s="180" t="str">
        <x:v>待逐对象核实</x:v>
      </x:c>
      <x:c r="I61" s="180" t="str">
        <x:v>SchemaCompatibilityUtil</x:v>
      </x:c>
      <x:c r="J61" s="179" t="str">
        <x:v>静态类</x:v>
      </x:c>
      <x:c r="K61" s="180" t="str">
        <x:v>生命周期：基础值/纯计算</x:v>
      </x:c>
      <x:c r="L61" s="183" t="str">
        <x:v>设计候选，尚待源码验证</x:v>
      </x:c>
      <x:c r="M61" s="183" t="str">
        <x:v>F21.SchemaCompatibilityUtil</x:v>
      </x:c>
      <x:c r="N61" s="184" t="str">
        <x:v>05_基础对象与基础计算!C225</x:v>
      </x:c>
      <x:c r="O61" s="183" t="str">
        <x:v>V4.9对象/属性/方法
V2.01：名称/子方面线索；处置=规划独立契约候选·未批准新增
V7.8：V7.8未检出同名词法声明</x:v>
      </x:c>
      <x:c r="P61" s="136" t="str">
        <x:v>V4.9对象/属性/方法</x:v>
      </x:c>
    </x:row>
    <x:row r="62" ht="72" customHeight="1">
      <x:c r="A62" s="179" t="str">
        <x:v>F21</x:v>
      </x:c>
      <x:c r="B62" s="180" t="str">
        <x:v>数据质量与溯源｜基础元数据与校验
Data Provenance</x:v>
      </x:c>
      <x:c r="C62" s="180" t="str">
        <x:v>FDPSnapshotDiffUtil</x:v>
      </x:c>
      <x:c r="D62" s="179" t="str">
        <x:v>增构候选·待查重</x:v>
      </x:c>
      <x:c r="E62" s="180" t="str">
        <x:v>提供无状态快照差异算法运算，不持有会话/设备/全局缓存</x:v>
      </x:c>
      <x:c r="F62" s="180" t="str">
        <x:v>SnapshotA；SnapshotB</x:v>
      </x:c>
      <x:c r="G62" s="180" t="str">
        <x:v>Compare</x:v>
      </x:c>
      <x:c r="H62" s="180" t="str">
        <x:v>待逐对象核实</x:v>
      </x:c>
      <x:c r="I62" s="180" t="str">
        <x:v>SnapshotDiffUtil</x:v>
      </x:c>
      <x:c r="J62" s="179" t="str">
        <x:v>静态类</x:v>
      </x:c>
      <x:c r="K62" s="180" t="str">
        <x:v>生命周期：基础值/纯计算</x:v>
      </x:c>
      <x:c r="L62" s="183" t="str">
        <x:v>设计候选，尚待源码验证</x:v>
      </x:c>
      <x:c r="M62" s="183" t="str">
        <x:v>F21.SnapshotDiffUtil</x:v>
      </x:c>
      <x:c r="N62" s="184" t="str">
        <x:v>05_基础对象与基础计算!C226</x:v>
      </x:c>
      <x:c r="O62" s="183" t="str">
        <x:v>V4.9对象/属性/方法
V2.01：名称/子方面线索；处置=规划独立契约候选·未批准新增
V7.8：V7.8未检出同名词法声明</x:v>
      </x:c>
      <x:c r="P62" s="136" t="str">
        <x:v>V4.9对象/属性/方法</x:v>
      </x:c>
    </x:row>
  </x:sheetData>
  <x:mergeCells>
    <x:mergeCell ref="A6:A23"/>
    <x:mergeCell ref="A24:A39"/>
    <x:mergeCell ref="A40:A53"/>
    <x:mergeCell ref="A54:A62"/>
    <x:mergeCell ref="A1:P1"/>
    <x:mergeCell ref="A2:P2"/>
    <x:mergeCell ref="A3:P3"/>
    <x:mergeCell ref="A4:P4"/>
    <x:mergeCell ref="B6:B23"/>
    <x:mergeCell ref="B24:B39"/>
    <x:mergeCell ref="B40:B53"/>
    <x:mergeCell ref="B54:B62"/>
  </x:mergeCells>
  <x:pageMargins left="0.7" right="0.7" top="0.75" bottom="0.75" header="0.3" footer="0.3"/>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CxVisual.Foundation.Infrastructure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子方面：F16、F19、F20｜来源：V1.19旧类型 + V4.9对象 + V7.8源码 + V5.0/R3架构裁决｜本项目 42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F16</x:v>
      </x:c>
      <x:c r="B6" s="180" t="str">
        <x:v>日志与诊断｜日志记录与诊断基础
Logging Diagnostics</x:v>
      </x:c>
      <x:c r="C6" s="180" t="str">
        <x:v>FLDDiagnosticLevel</x:v>
      </x:c>
      <x:c r="D6" s="179" t="str">
        <x:v>原有·待核</x:v>
      </x:c>
      <x:c r="E6" s="180" t="str">
        <x:v>定义诊断Level的候选取值、状态或模式，供相关流程作分支判断</x:v>
      </x:c>
      <x:c r="F6" s="180" t="str">
        <x:v>枚举值：Information, Warning, Error, Critical</x:v>
      </x:c>
      <x:c r="G6" s="180" t="str">
        <x:v>—(无公开声明或待核对)</x:v>
      </x:c>
      <x:c r="H6" s="180" t="str">
        <x:v>—（待核）</x:v>
      </x:c>
      <x:c r="I6" s="180" t="str">
        <x:v>CxVisual.Abstractions.DiagnosticLevel</x:v>
      </x:c>
      <x:c r="J6" s="179" t="str">
        <x:v>枚举</x:v>
      </x:c>
      <x:c r="K6" s="180" t="str">
        <x:v>V1.19 C-0042；原实施方式：原有。迁移风险：定义诊断Level的候选取值、状态或模式，供相关流程作分支判断</x:v>
      </x:c>
      <x:c r="L6" s="183" t="str">
        <x:v>源代码声明·待复核</x:v>
      </x:c>
      <x:c r="M6" s="183" t="str">
        <x:v>C-0042</x:v>
      </x:c>
      <x:c r="N6" s="184" t="str">
        <x:v>Platform/Core/Abstractions/Diagnostics.cs</x:v>
      </x:c>
      <x:c r="O6" s="183" t="str">
        <x:v>V1.19旧源码类型（真实成员/实现仍待核）
V2.01：来源ID对应；处置=保留源码·公开契约复核
V7.8：V7.8同名且源文件对应；Platform/Core/Abstractions/Diagnostics.cs</x:v>
      </x:c>
      <x:c r="P6" s="136" t="str">
        <x:v>V1.19旧源码类型（真实成员/实现仍待核）</x:v>
      </x:c>
      <x:c r="Q6"/>
      <x:c r="R6"/>
      <x:c r="S6"/>
    </x:row>
    <x:row r="7" ht="72" customHeight="1">
      <x:c r="A7" s="179" t="str">
        <x:v>F16</x:v>
      </x:c>
      <x:c r="B7" s="180" t="str">
        <x:v>日志与诊断｜日志记录与诊断基础
Logging Diagnostics</x:v>
      </x:c>
      <x:c r="C7" s="180" t="str">
        <x:v>FLDDiagnosticRecord</x:v>
      </x:c>
      <x:c r="D7" s="179" t="str">
        <x:v>原有·待核</x:v>
      </x:c>
      <x:c r="E7" s="180" t="str">
        <x:v>记录诊断记录过程、关联身份和可追踪的事实信息</x:v>
      </x:c>
      <x:c r="F7" s="180" t="str">
        <x:v>Code, Level, Module, Message, ObjectId, Resolution, TimestampUtc</x:v>
      </x:c>
      <x:c r="G7" s="180" t="str">
        <x:v>DiagnosticRecord(string code, DiagnosticLevel level, string module, string message)</x:v>
      </x:c>
      <x:c r="H7" s="180" t="str">
        <x:v>—（待核）</x:v>
      </x:c>
      <x:c r="I7" s="180" t="str">
        <x:v>CxVisual.Abstractions.DiagnosticRecord</x:v>
      </x:c>
      <x:c r="J7" s="179" t="str">
        <x:v>类</x:v>
      </x:c>
      <x:c r="K7" s="180" t="str">
        <x:v>V1.19 C-0043；原实施方式：原有。迁移风险：记录诊断记录过程、关联身份和可追踪的事实信息</x:v>
      </x:c>
      <x:c r="L7" s="183" t="str">
        <x:v>源代码声明·待复核</x:v>
      </x:c>
      <x:c r="M7" s="183" t="str">
        <x:v>C-0043</x:v>
      </x:c>
      <x:c r="N7" s="184" t="str">
        <x:v>Platform/Core/Abstractions/Diagnostics.cs</x:v>
      </x:c>
      <x:c r="O7" s="183" t="str">
        <x:v>V1.19旧源码类型（真实成员/实现仍待核）
V2.01：来源ID对应；处置=保留源码·公开契约复核
V7.8：V7.8同名且源文件对应；Platform/Core/Abstractions/Diagnostics.cs</x:v>
      </x:c>
      <x:c r="P7" s="136" t="str">
        <x:v>V1.19旧源码类型（真实成员/实现仍待核）</x:v>
      </x:c>
      <x:c r="Q7"/>
      <x:c r="R7"/>
      <x:c r="S7"/>
    </x:row>
    <x:row r="8" ht="135" customHeight="1">
      <x:c r="A8" s="179" t="str">
        <x:v>F16</x:v>
      </x:c>
      <x:c r="B8" s="180" t="str">
        <x:v>日志与诊断｜日志记录与诊断基础
Logging Diagnostics</x:v>
      </x:c>
      <x:c r="C8" s="180" t="str">
        <x:v>FLDEventLogHelper</x:v>
      </x:c>
      <x:c r="D8" s="179" t="str">
        <x:v>原有·待核</x:v>
      </x:c>
      <x:c r="E8" s="180" t="str">
        <x:v>提供事件日志辅助可复用辅助操作，避免业务状态耦合</x:v>
      </x:c>
      <x:c r="F8" s="180" t="str">
        <x:v>—（无公开声明或待核对）</x:v>
      </x:c>
      <x:c r="G8" s="180" t="str">
        <x:v>Init(bool append), Relase(), SetLevel(LOG_TYPE log_type,LogLevel level), SetLevel(LogLevel level), Debug(LOG_TYPE log_type, string eventType, string source = , string description = , Dictionary&lt;string, string&gt; Ex…), Information(LOG_TYPE log_type, string eventType, string source = , string description = , Dictionary&lt;string, string&gt; Ex…), Warning(LOG_TYPE log_type, string eventType, string source = , string description = , Dictionary&lt;string, string&gt; Ex…), Error(LOG_TYPE log_type, string eventType, string source = , string description = , Dictionary&lt;string, string&gt; Ex…), Log(LOG_TYPE log_type, LogLevel logLevel, string eventType, string source, string description, Dictionary&lt;strin…)</x:v>
      </x:c>
      <x:c r="H8" s="180" t="str">
        <x:v>—（待核）</x:v>
      </x:c>
      <x:c r="I8" s="180" t="str">
        <x:v>CommonInterfaces.EventLogHelper</x:v>
      </x:c>
      <x:c r="J8" s="179" t="str">
        <x:v>静态类</x:v>
      </x:c>
      <x:c r="K8" s="180" t="str">
        <x:v>V1.19 C-0033；原实施方式：原有。迁移风险：提供事件日志辅助可复用辅助操作，避免业务状态耦合</x:v>
      </x:c>
      <x:c r="L8" s="183" t="str">
        <x:v>源代码声明·待复核</x:v>
      </x:c>
      <x:c r="M8" s="183" t="str">
        <x:v>C-0033</x:v>
      </x:c>
      <x:c r="N8" s="184" t="str">
        <x:v>Platform/CommonInterfaces/LogHelper.cs</x:v>
      </x:c>
      <x:c r="O8" s="183" t="str">
        <x:v>V1.19旧源码类型（真实成员/实现仍待核）
V2.01：来源ID对应；处置=保留源码·公开契约复核
V7.8：V7.8同名且源文件对应；Platform/CommonInterfaces/LogHelper.cs</x:v>
      </x:c>
      <x:c r="P8" s="136" t="str">
        <x:v>V1.19旧源码类型（真实成员/实现仍待核）</x:v>
      </x:c>
      <x:c r="Q8"/>
      <x:c r="R8"/>
      <x:c r="S8"/>
    </x:row>
    <x:row r="9" ht="72" customHeight="1">
      <x:c r="A9" s="179" t="str">
        <x:v>F16</x:v>
      </x:c>
      <x:c r="B9" s="180" t="str">
        <x:v>日志与诊断｜日志记录与诊断基础
Logging Diagnostics</x:v>
      </x:c>
      <x:c r="C9" s="180" t="str">
        <x:v>FLDImportantEventLog</x:v>
      </x:c>
      <x:c r="D9" s="179" t="str">
        <x:v>原有·待核</x:v>
      </x:c>
      <x:c r="E9" s="180" t="str">
        <x:v>表达或管理Important事件日志相关的数据及协作职责，具体行为待源码复核〔待核〕</x:v>
      </x:c>
      <x:c r="F9" s="180" t="str">
        <x:v>logLevel</x:v>
      </x:c>
      <x:c r="G9" s="180" t="str">
        <x:v>ImportantEventLog(bool append, string file_name), Write(ImportantEventLogEntry entry, bool bForce = false), Flush(), Dispose()</x:v>
      </x:c>
      <x:c r="H9" s="180" t="str">
        <x:v>—（待核）</x:v>
      </x:c>
      <x:c r="I9" s="180" t="str">
        <x:v>CommonInterfaces.ImportantEventLog</x:v>
      </x:c>
      <x:c r="J9" s="179" t="str">
        <x:v>类</x:v>
      </x:c>
      <x:c r="K9" s="180" t="str">
        <x:v>V1.19 C-0034；原实施方式：原有。迁移风险：表达或管理Important事件日志相关的数据及协作职责，具体行为待源码复核〔待核〕</x:v>
      </x:c>
      <x:c r="L9" s="183" t="str">
        <x:v>源代码声明·待复核</x:v>
      </x:c>
      <x:c r="M9" s="183" t="str">
        <x:v>C-0034</x:v>
      </x:c>
      <x:c r="N9" s="184" t="str">
        <x:v>Platform/CommonInterfaces/ImportantEventLog.cs</x:v>
      </x:c>
      <x:c r="O9" s="183" t="str">
        <x:v>V1.19旧源码类型（真实成员/实现仍待核）
V2.01：来源ID对应；处置=保留源码·公开契约复核
V7.8：V7.8同名且源文件对应；Platform/CommonInterfaces/ImportantEventLog.cs</x:v>
      </x:c>
      <x:c r="P9" s="136" t="str">
        <x:v>V1.19旧源码类型（真实成员/实现仍待核）</x:v>
      </x:c>
      <x:c r="Q9"/>
      <x:c r="R9"/>
      <x:c r="S9"/>
    </x:row>
    <x:row r="10" ht="72" customHeight="1">
      <x:c r="A10" s="179" t="str">
        <x:v>F16</x:v>
      </x:c>
      <x:c r="B10" s="180" t="str">
        <x:v>日志与诊断｜日志记录与诊断基础
Logging Diagnostics</x:v>
      </x:c>
      <x:c r="C10" s="180" t="str">
        <x:v>FLDImportantEventLogEntry</x:v>
      </x:c>
      <x:c r="D10" s="179" t="str">
        <x:v>原有·待核</x:v>
      </x:c>
      <x:c r="E10" s="180" t="str">
        <x:v>表达或管理Important事件日志Entry相关的数据及协作职责，具体行为待源码复核〔待核〕</x:v>
      </x:c>
      <x:c r="F10" s="180" t="str">
        <x:v>Timestamp, Level, EventType, Source, Description, User, MemberName, ExtraData</x:v>
      </x:c>
      <x:c r="G10" s="180" t="str">
        <x:v>—(无公开声明或待核对)</x:v>
      </x:c>
      <x:c r="H10" s="180" t="str">
        <x:v>—（待核）</x:v>
      </x:c>
      <x:c r="I10" s="180" t="str">
        <x:v>CommonInterfaces.ImportantEventLogEntry</x:v>
      </x:c>
      <x:c r="J10" s="179" t="str">
        <x:v>类</x:v>
      </x:c>
      <x:c r="K10" s="180" t="str">
        <x:v>V1.19 C-0035；原实施方式：原有。迁移风险：表达或管理Important事件日志Entry相关的数据及协作职责，具体行为待源码复核〔待核〕</x:v>
      </x:c>
      <x:c r="L10" s="183" t="str">
        <x:v>源代码声明·待复核</x:v>
      </x:c>
      <x:c r="M10" s="183" t="str">
        <x:v>C-0035</x:v>
      </x:c>
      <x:c r="N10" s="184" t="str">
        <x:v>Platform/CommonInterfaces/ImportantEventLog.cs</x:v>
      </x:c>
      <x:c r="O10" s="183" t="str">
        <x:v>V1.19旧源码类型（真实成员/实现仍待核）
V2.01：来源ID对应；处置=保留源码·公开契约复核
V7.8：V7.8同名且源文件对应；Platform/CommonInterfaces/ImportantEventLog.cs</x:v>
      </x:c>
      <x:c r="P10" s="136" t="str">
        <x:v>V1.19旧源码类型（真实成员/实现仍待核）</x:v>
      </x:c>
      <x:c r="Q10"/>
      <x:c r="R10"/>
      <x:c r="S10"/>
    </x:row>
    <x:row r="11" ht="72" customHeight="1">
      <x:c r="A11" s="179" t="str">
        <x:v>F16</x:v>
      </x:c>
      <x:c r="B11" s="180" t="str">
        <x:v>日志与诊断｜日志记录与诊断基础
Logging Diagnostics</x:v>
      </x:c>
      <x:c r="C11" s="180" t="str">
        <x:v>FLDLOG_TYPE</x:v>
      </x:c>
      <x:c r="D11" s="179" t="str">
        <x:v>原有·待核</x:v>
      </x:c>
      <x:c r="E11" s="180" t="str">
        <x:v>定义LOGTYPE的候选取值、状态或模式，供相关流程作分支判断</x:v>
      </x:c>
      <x:c r="F11" s="180" t="str">
        <x:v>枚举值：Important, Mes, Panda, Statistics, PLC, HLib, Radiation, ResFeeback</x:v>
      </x:c>
      <x:c r="G11" s="180" t="str">
        <x:v>—(无公开声明或待核对)</x:v>
      </x:c>
      <x:c r="H11" s="180" t="str">
        <x:v>—（待核）</x:v>
      </x:c>
      <x:c r="I11" s="180" t="str">
        <x:v>CommonInterfaces.LOG_TYPE</x:v>
      </x:c>
      <x:c r="J11" s="179" t="str">
        <x:v>枚举</x:v>
      </x:c>
      <x:c r="K11" s="180" t="str">
        <x:v>V1.19 C-0036；原实施方式：原有。迁移风险：定义LOGTYPE的候选取值、状态或模式，供相关流程作分支判断</x:v>
      </x:c>
      <x:c r="L11" s="183" t="str">
        <x:v>源代码声明·待复核</x:v>
      </x:c>
      <x:c r="M11" s="183" t="str">
        <x:v>C-0036</x:v>
      </x:c>
      <x:c r="N11" s="184" t="str">
        <x:v>Platform/CommonInterfaces/LogHelper.cs</x:v>
      </x:c>
      <x:c r="O11" s="183" t="str">
        <x:v>V1.19旧源码类型（真实成员/实现仍待核）
V2.01：来源ID对应；处置=保留源码·公开契约复核
V7.8：V7.8同名且源文件对应；Platform/CommonInterfaces/LogHelper.cs</x:v>
      </x:c>
      <x:c r="P11" s="136" t="str">
        <x:v>V1.19旧源码类型（真实成员/实现仍待核）</x:v>
      </x:c>
      <x:c r="Q11"/>
      <x:c r="R11"/>
      <x:c r="S11"/>
    </x:row>
    <x:row r="12" ht="72" customHeight="1">
      <x:c r="A12" s="179" t="str">
        <x:v>F16</x:v>
      </x:c>
      <x:c r="B12" s="180" t="str">
        <x:v>日志与诊断｜日志记录与诊断基础
Logging Diagnostics</x:v>
      </x:c>
      <x:c r="C12" s="180" t="str">
        <x:v>FLDLogEntry</x:v>
      </x:c>
      <x:c r="D12" s="179" t="str">
        <x:v>原有·待核</x:v>
      </x:c>
      <x:c r="E12" s="180" t="str">
        <x:v>表达或管理日志Entry相关的数据及协作职责，具体行为待源码复核〔待核〕</x:v>
      </x:c>
      <x:c r="F12" s="180" t="str">
        <x:v>Id, Level, Timestamp, Message, Tag, MemberName</x:v>
      </x:c>
      <x:c r="G12" s="180" t="str">
        <x:v>—(无公开声明或待核对)</x:v>
      </x:c>
      <x:c r="H12" s="180" t="str">
        <x:v>—（待核）</x:v>
      </x:c>
      <x:c r="I12" s="180" t="str">
        <x:v>CommonInterfaces.LogEntry</x:v>
      </x:c>
      <x:c r="J12" s="179" t="str">
        <x:v>类</x:v>
      </x:c>
      <x:c r="K12" s="180" t="str">
        <x:v>V1.19 C-0037；原实施方式：原有。迁移风险：表达或管理日志Entry相关的数据及协作职责，具体行为待源码复核〔待核〕</x:v>
      </x:c>
      <x:c r="L12" s="183" t="str">
        <x:v>源代码声明·待复核</x:v>
      </x:c>
      <x:c r="M12" s="183" t="str">
        <x:v>C-0037</x:v>
      </x:c>
      <x:c r="N12" s="184" t="str">
        <x:v>Platform/CommonInterfaces/LogHelper.cs</x:v>
      </x:c>
      <x:c r="O12" s="183" t="str">
        <x:v>V1.19旧源码类型（真实成员/实现仍待核）
V2.01：来源ID对应；处置=保留源码·公开契约复核
V7.8：V7.8同名且源文件对应；Platform/CommonInterfaces/LogHelper.cs</x:v>
      </x:c>
      <x:c r="P12" s="136" t="str">
        <x:v>V1.19旧源码类型（真实成员/实现仍待核）</x:v>
      </x:c>
      <x:c r="Q12"/>
      <x:c r="R12"/>
      <x:c r="S12"/>
    </x:row>
    <x:row r="13" ht="72" customHeight="1">
      <x:c r="A13" s="179" t="str">
        <x:v>F16</x:v>
      </x:c>
      <x:c r="B13" s="180" t="str">
        <x:v>日志与诊断｜日志记录与诊断基础
Logging Diagnostics</x:v>
      </x:c>
      <x:c r="C13" s="180" t="str">
        <x:v>FLDLogEventHandler</x:v>
      </x:c>
      <x:c r="D13" s="179" t="str">
        <x:v>原有·待核</x:v>
      </x:c>
      <x:c r="E13" s="180" t="str">
        <x:v>约定日志事件Handler回调签名，供事件通知或异步操作使用</x:v>
      </x:c>
      <x:c r="F13" s="180" t="str">
        <x:v>未提取到声明（请核对源码）</x:v>
      </x:c>
      <x:c r="G13" s="180" t="str">
        <x:v>未提取到声明(请核对源码)</x:v>
      </x:c>
      <x:c r="H13" s="180" t="str">
        <x:v>—（待核）</x:v>
      </x:c>
      <x:c r="I13" s="180" t="str">
        <x:v>CommonInterfaces.LogHelper.LogEventHandler</x:v>
      </x:c>
      <x:c r="J13" s="179" t="str">
        <x:v>委托</x:v>
      </x:c>
      <x:c r="K13" s="180" t="str">
        <x:v>V1.19 C-0039；原实施方式：原有。迁移风险：约定日志事件Handler回调签名，供事件通知或异步操作使用</x:v>
      </x:c>
      <x:c r="L13" s="183" t="str">
        <x:v>源代码声明·待复核</x:v>
      </x:c>
      <x:c r="M13" s="183" t="str">
        <x:v>C-0039</x:v>
      </x:c>
      <x:c r="N13" s="184" t="str">
        <x:v>D:\cyg\cx-visual-x2\Platform\CommonInterfaces\LogHelper.cs:18</x:v>
      </x:c>
      <x:c r="O13" s="183" t="str">
        <x:v>V1.19旧源码类型（真实成员/实现仍待核）
V2.01：来源ID对应；处置=保留源码·公开契约复核
V7.8：V7.8未检出同名词法声明</x:v>
      </x:c>
      <x:c r="P13" s="136" t="str">
        <x:v>V1.19旧源码类型（真实成员/实现仍待核）</x:v>
      </x:c>
      <x:c r="Q13"/>
      <x:c r="R13"/>
      <x:c r="S13"/>
    </x:row>
    <x:row r="14" ht="135" customHeight="1">
      <x:c r="A14" s="179" t="str">
        <x:v>F16</x:v>
      </x:c>
      <x:c r="B14" s="180" t="str">
        <x:v>日志与诊断｜日志记录与诊断基础
Logging Diagnostics</x:v>
      </x:c>
      <x:c r="C14" s="180" t="str">
        <x:v>FLDLogHelper</x:v>
      </x:c>
      <x:c r="D14" s="179" t="str">
        <x:v>原有·待核</x:v>
      </x:c>
      <x:c r="E14" s="180" t="str">
        <x:v>提供日志辅助可复用辅助操作，避免业务状态耦合</x:v>
      </x:c>
      <x:c r="F14" s="180" t="str">
        <x:v>LogEvent, LogLevelTranslations</x:v>
      </x:c>
      <x:c r="G14" s="180" t="str">
        <x:v>LogEventHandler(long time, LogLevel level, string logMessage, string logTag), GetLogPath(string logFileName), Run(string LogFileName), Stop(), GetLogLevelTranslation(LogLevel level), SetLogLevel(LogLevel logLevel), Information(string message, string tag = , string memberName =), Warning(string message, string tag = , string memberName =), Error(string message, string tag = , string memberName =), Fatal(string message, string tag = , string memberName =), Debug(string message, string tag = , string memberName =), Exception(Exception ex, string message, string tag = , string memberName =), Log(LogLevel logLevel, string message, string tag = , string memberName =)</x:v>
      </x:c>
      <x:c r="H14" s="180" t="str">
        <x:v>—（待核）</x:v>
      </x:c>
      <x:c r="I14" s="180" t="str">
        <x:v>CommonInterfaces.LogHelper</x:v>
      </x:c>
      <x:c r="J14" s="179" t="str">
        <x:v>静态类</x:v>
      </x:c>
      <x:c r="K14" s="180" t="str">
        <x:v>V1.19 C-0038；原实施方式：原有。迁移风险：LogHelper为静态类，但持有全局LogEvent、队列、线程与Run/Stop生命周期，不是F16无状态诊断运算。</x:v>
      </x:c>
      <x:c r="L14" s="183" t="str">
        <x:v>源代码声明·待复核</x:v>
      </x:c>
      <x:c r="M14" s="183" t="str">
        <x:v>C-0038</x:v>
      </x:c>
      <x:c r="N14" s="184" t="str">
        <x:v>Platform/CommonInterfaces/LogHelper.cs</x:v>
      </x:c>
      <x:c r="O14" s="183" t="str">
        <x:v>V1.19旧源码类型（真实成员/实现仍待核）
V2.01：来源ID对应；处置=保留源码·公开契约复核
V7.8：V7.8同名且源文件对应；Platform/CommonInterfaces/LogHelper.cs</x:v>
      </x:c>
      <x:c r="P14" s="136" t="str">
        <x:v>V1.19旧源码类型（真实成员/实现仍待核）</x:v>
      </x:c>
      <x:c r="Q14"/>
      <x:c r="R14"/>
      <x:c r="S14"/>
    </x:row>
    <x:row r="15" ht="72" customHeight="1">
      <x:c r="A15" s="179" t="str">
        <x:v>F16</x:v>
      </x:c>
      <x:c r="B15" s="180" t="str">
        <x:v>日志与诊断｜日志记录与诊断基础
Logging Diagnostics</x:v>
      </x:c>
      <x:c r="C15" s="180" t="str">
        <x:v>FLDLogItem</x:v>
      </x:c>
      <x:c r="D15" s="179" t="str">
        <x:v>原有·待核</x:v>
      </x:c>
      <x:c r="E15" s="180" t="str">
        <x:v>表达或管理日志Item相关的数据及协作职责，具体行为待源码复核〔待核〕</x:v>
      </x:c>
      <x:c r="F15" s="180" t="str">
        <x:v>Text, Color, Level, Timestamp, Tags</x:v>
      </x:c>
      <x:c r="G15" s="180" t="str">
        <x:v>ToString()</x:v>
      </x:c>
      <x:c r="H15" s="180" t="str">
        <x:v>—（待核）</x:v>
      </x:c>
      <x:c r="I15" s="180" t="str">
        <x:v>CommonInterfaces.LogItem</x:v>
      </x:c>
      <x:c r="J15" s="179" t="str">
        <x:v>类</x:v>
      </x:c>
      <x:c r="K15" s="180" t="str">
        <x:v>V1.19 C-0040；原实施方式：原有。迁移风险：表达或管理日志Item相关的数据及协作职责，具体行为待源码复核〔待核〕</x:v>
      </x:c>
      <x:c r="L15" s="183" t="str">
        <x:v>源代码声明·待复核</x:v>
      </x:c>
      <x:c r="M15" s="183" t="str">
        <x:v>C-0040</x:v>
      </x:c>
      <x:c r="N15" s="184" t="str">
        <x:v>Platform/CommonInterfaces/LogHelper.cs</x:v>
      </x:c>
      <x:c r="O15" s="183" t="str">
        <x:v>V1.19旧源码类型（真实成员/实现仍待核）
V2.01：来源ID对应；处置=保留源码·公开契约复核
V7.8：V7.8同名且源文件对应；Platform/CommonInterfaces/LogHelper.cs</x:v>
      </x:c>
      <x:c r="P15" s="136" t="str">
        <x:v>V1.19旧源码类型（真实成员/实现仍待核）</x:v>
      </x:c>
      <x:c r="Q15"/>
      <x:c r="R15"/>
      <x:c r="S15"/>
    </x:row>
    <x:row r="16" ht="72" customHeight="1">
      <x:c r="A16" s="179" t="str">
        <x:v>F16</x:v>
      </x:c>
      <x:c r="B16" s="180" t="str">
        <x:v>日志与诊断｜日志记录与诊断基础
Logging Diagnostics</x:v>
      </x:c>
      <x:c r="C16" s="180" t="str">
        <x:v>FLDOperationResult</x:v>
      </x:c>
      <x:c r="D16" s="179" t="str">
        <x:v>原有·待核</x:v>
      </x:c>
      <x:c r="E16" s="180" t="str">
        <x:v>承载Operation结果操作结果、返回值、状态及错误说明</x:v>
      </x:c>
      <x:c r="F16" s="180" t="str">
        <x:v>Success, Diagnostics, Code, Message</x:v>
      </x:c>
      <x:c r="G16" s="180" t="str">
        <x:v>Ok(), Fail(string code, string module, string message)</x:v>
      </x:c>
      <x:c r="H16" s="180" t="str">
        <x:v>—（待核）</x:v>
      </x:c>
      <x:c r="I16" s="180" t="str">
        <x:v>CxVisual.Abstractions.OperationResult</x:v>
      </x:c>
      <x:c r="J16" s="179" t="str">
        <x:v>类</x:v>
      </x:c>
      <x:c r="K16" s="180" t="str">
        <x:v>V1.19 C-0044；原实施方式：原有。迁移风险：承载Operation结果操作结果、返回值、状态及错误说明</x:v>
      </x:c>
      <x:c r="L16" s="183" t="str">
        <x:v>源代码声明·待复核</x:v>
      </x:c>
      <x:c r="M16" s="183" t="str">
        <x:v>C-0044</x:v>
      </x:c>
      <x:c r="N16" s="184" t="str">
        <x:v>Platform/Core/Abstractions/Diagnostics.cs</x:v>
      </x:c>
      <x:c r="O16" s="183" t="str">
        <x:v>V1.19旧源码类型（真实成员/实现仍待核）
V2.01：来源ID对应；处置=保留源码·公开契约复核
V7.8：V7.8同名且源文件对应；Platform/Core/Abstractions/Diagnostics.cs</x:v>
      </x:c>
      <x:c r="P16" s="136" t="str">
        <x:v>V1.19旧源码类型（真实成员/实现仍待核）</x:v>
      </x:c>
      <x:c r="Q16"/>
      <x:c r="R16"/>
      <x:c r="S16"/>
    </x:row>
    <x:row r="17" ht="72" customHeight="1">
      <x:c r="A17" s="179" t="str">
        <x:v>F16</x:v>
      </x:c>
      <x:c r="B17" s="180" t="str">
        <x:v>日志与诊断｜日志记录与诊断基础
Logging Diagnostics</x:v>
      </x:c>
      <x:c r="C17" s="180" t="str">
        <x:v>FLDPlatformError</x:v>
      </x:c>
      <x:c r="D17" s="179" t="str">
        <x:v>原有·待核</x:v>
      </x:c>
      <x:c r="E17" s="180" t="str">
        <x:v>表达或管理Mechanism错误相关的数据及协作职责，具体行为待源码复核〔待核〕</x:v>
      </x:c>
      <x:c r="F17" s="180" t="str">
        <x:v>Code, Message, DomainId, Target, Correlation</x:v>
      </x:c>
      <x:c r="G17" s="180" t="str">
        <x:v>PlatformError(string code, string message, string domainId = null, StableReference target = null, CorrelationContext corr…)</x:v>
      </x:c>
      <x:c r="H17" s="180" t="str">
        <x:v>—（待核）</x:v>
      </x:c>
      <x:c r="I17" s="180" t="str">
        <x:v>CxVisual.Abstractions.PlatformError</x:v>
      </x:c>
      <x:c r="J17" s="179" t="str">
        <x:v>类</x:v>
      </x:c>
      <x:c r="K17" s="180" t="str">
        <x:v>V1.19 C-0045；原实施方式：原有。迁移风险：表达或管理Mechanism错误相关的数据及协作职责，具体行为待源码复核〔待核〕</x:v>
      </x:c>
      <x:c r="L17" s="183" t="str">
        <x:v>源代码声明·待复核</x:v>
      </x:c>
      <x:c r="M17" s="183" t="str">
        <x:v>C-0045</x:v>
      </x:c>
      <x:c r="N17" s="184" t="str">
        <x:v>Platform/Core/Abstractions/PlatformContracts.cs</x:v>
      </x:c>
      <x:c r="O17" s="183" t="str">
        <x:v>V1.19旧源码类型（真实成员/实现仍待核）
V2.01：来源ID对应；处置=保留源码·公开契约复核
V7.8：V7.8同名且源文件对应；Platform/Core/Abstractions/PlatformContracts.cs</x:v>
      </x:c>
      <x:c r="P17" s="136" t="str">
        <x:v>V1.19旧源码类型（真实成员/实现仍待核）</x:v>
      </x:c>
      <x:c r="Q17"/>
      <x:c r="R17"/>
      <x:c r="S17"/>
    </x:row>
    <x:row r="18" ht="72" customHeight="1">
      <x:c r="A18" s="179" t="str">
        <x:v>F16</x:v>
      </x:c>
      <x:c r="B18" s="180" t="str">
        <x:v>日志与诊断｜日志记录与诊断基础
Logging Diagnostics</x:v>
      </x:c>
      <x:c r="C18" s="180" t="str">
        <x:v>FLDCorrelationKey</x:v>
      </x:c>
      <x:c r="D18" s="179" t="str">
        <x:v>增构候选·待查重</x:v>
      </x:c>
      <x:c r="E18" s="180" t="str">
        <x:v>表达和承载关联键值的基础数据或计算参数</x:v>
      </x:c>
      <x:c r="F18" s="180" t="str">
        <x:v>Trace；Span；Session</x:v>
      </x:c>
      <x:c r="G18" s="180" t="str">
        <x:v>Join</x:v>
      </x:c>
      <x:c r="H18" s="180" t="str">
        <x:v>待逐对象核实</x:v>
      </x:c>
      <x:c r="I18" s="180" t="str">
        <x:v>CorrelationKey</x:v>
      </x:c>
      <x:c r="J18" s="179" t="str">
        <x:v>值类型候选</x:v>
      </x:c>
      <x:c r="K18" s="180" t="str">
        <x:v>生命周期：基础数据/值对象</x:v>
      </x:c>
      <x:c r="L18" s="183" t="str">
        <x:v>设计候选，尚待源码验证</x:v>
      </x:c>
      <x:c r="M18" s="183" t="str">
        <x:v>F16.CorrelationKey</x:v>
      </x:c>
      <x:c r="N18" s="184" t="str">
        <x:v>05_基础对象与基础计算!C168</x:v>
      </x:c>
      <x:c r="O18" s="183" t="str">
        <x:v>V4.9对象/属性/方法
V2.01：名称/子方面线索；处置=规划独立契约候选·未批准新增
V7.8：V7.8未检出同名词法声明</x:v>
      </x:c>
      <x:c r="P18" s="136" t="str">
        <x:v>V4.9对象/属性/方法</x:v>
      </x:c>
      <x:c r="Q18"/>
      <x:c r="R18"/>
      <x:c r="S18"/>
    </x:row>
    <x:row r="19" ht="72" customHeight="1">
      <x:c r="A19" s="179" t="str">
        <x:v>F16</x:v>
      </x:c>
      <x:c r="B19" s="180" t="str">
        <x:v>日志与诊断｜日志记录与诊断基础
Logging Diagnostics</x:v>
      </x:c>
      <x:c r="C19" s="180" t="str">
        <x:v>FLDDiagnosticCode</x:v>
      </x:c>
      <x:c r="D19" s="179" t="str">
        <x:v>增构候选·待查重</x:v>
      </x:c>
      <x:c r="E19" s="180" t="str">
        <x:v>表达和承载诊断码的基础数据或计算参数</x:v>
      </x:c>
      <x:c r="F19" s="180" t="str">
        <x:v>Namespace；Number；Severity</x:v>
      </x:c>
      <x:c r="G19" s="180" t="str">
        <x:v>Format</x:v>
      </x:c>
      <x:c r="H19" s="180" t="str">
        <x:v>待逐对象核实</x:v>
      </x:c>
      <x:c r="I19" s="180" t="str">
        <x:v>DiagnosticCode</x:v>
      </x:c>
      <x:c r="J19" s="179" t="str">
        <x:v>值类型候选</x:v>
      </x:c>
      <x:c r="K19" s="180" t="str">
        <x:v>生命周期：基础数据/值对象</x:v>
      </x:c>
      <x:c r="L19" s="183" t="str">
        <x:v>设计候选，尚待源码验证</x:v>
      </x:c>
      <x:c r="M19" s="183" t="str">
        <x:v>F16.DiagnosticCode</x:v>
      </x:c>
      <x:c r="N19" s="184" t="str">
        <x:v>05_基础对象与基础计算!C169</x:v>
      </x:c>
      <x:c r="O19" s="183" t="str">
        <x:v>V4.9对象/属性/方法
V2.01：名称/子方面线索；处置=规划独立契约候选·未批准新增
V7.8：V7.8未检出同名词法声明</x:v>
      </x:c>
      <x:c r="P19" s="136" t="str">
        <x:v>V4.9对象/属性/方法</x:v>
      </x:c>
      <x:c r="Q19"/>
      <x:c r="R19"/>
      <x:c r="S19"/>
    </x:row>
    <x:row r="20" ht="72" customHeight="1">
      <x:c r="A20" s="179" t="str">
        <x:v>F16</x:v>
      </x:c>
      <x:c r="B20" s="180" t="str">
        <x:v>日志与诊断｜日志记录与诊断基础
Logging Diagnostics</x:v>
      </x:c>
      <x:c r="C20" s="180" t="str">
        <x:v>FLDDiagnosticFormatUtil</x:v>
      </x:c>
      <x:c r="D20" s="179" t="str">
        <x:v>增构候选·待查重</x:v>
      </x:c>
      <x:c r="E20" s="180" t="str">
        <x:v>提供无状态诊断内容格式化运算，不持有会话/设备/全局缓存</x:v>
      </x:c>
      <x:c r="F20" s="180" t="str">
        <x:v>Source；Params</x:v>
      </x:c>
      <x:c r="G20" s="180" t="str">
        <x:v>Format</x:v>
      </x:c>
      <x:c r="H20" s="180" t="str">
        <x:v>待逐对象核实</x:v>
      </x:c>
      <x:c r="I20" s="180" t="str">
        <x:v>DiagnosticFormatUtil</x:v>
      </x:c>
      <x:c r="J20" s="179" t="str">
        <x:v>静态类</x:v>
      </x:c>
      <x:c r="K20" s="180" t="str">
        <x:v>生命周期：基础值/纯计算</x:v>
      </x:c>
      <x:c r="L20" s="183" t="str">
        <x:v>设计候选，尚待源码验证</x:v>
      </x:c>
      <x:c r="M20" s="183" t="str">
        <x:v>F16.DiagnosticFormatUtil</x:v>
      </x:c>
      <x:c r="N20" s="184" t="str">
        <x:v>05_基础对象与基础计算!C170</x:v>
      </x:c>
      <x:c r="O20" s="183" t="str">
        <x:v>V4.9对象/属性/方法
V2.01：名称/子方面线索；处置=规划独立契约候选·未批准新增
V7.8：V7.8未检出同名词法声明</x:v>
      </x:c>
      <x:c r="P20" s="136" t="str">
        <x:v>V4.9对象/属性/方法</x:v>
      </x:c>
      <x:c r="Q20"/>
      <x:c r="R20"/>
      <x:c r="S20"/>
    </x:row>
    <x:row r="21" ht="72" customHeight="1">
      <x:c r="A21" s="179" t="str">
        <x:v>F16</x:v>
      </x:c>
      <x:c r="B21" s="180" t="str">
        <x:v>日志与诊断｜日志记录与诊断基础
Logging Diagnostics</x:v>
      </x:c>
      <x:c r="C21" s="180" t="str">
        <x:v>FLDExceptionDescriptor</x:v>
      </x:c>
      <x:c r="D21" s="179" t="str">
        <x:v>增构候选·待查重</x:v>
      </x:c>
      <x:c r="E21" s="180" t="str">
        <x:v>表达和承载异常描述的基础数据或计算参数</x:v>
      </x:c>
      <x:c r="F21" s="180" t="str">
        <x:v>Code；Category；Inner</x:v>
      </x:c>
      <x:c r="G21" s="180" t="str">
        <x:v>Flatten</x:v>
      </x:c>
      <x:c r="H21" s="180" t="str">
        <x:v>待逐对象核实</x:v>
      </x:c>
      <x:c r="I21" s="180" t="str">
        <x:v>ExceptionDescriptor</x:v>
      </x:c>
      <x:c r="J21" s="179" t="str">
        <x:v>值类型候选</x:v>
      </x:c>
      <x:c r="K21" s="180" t="str">
        <x:v>生命周期：基础数据/值对象</x:v>
      </x:c>
      <x:c r="L21" s="183" t="str">
        <x:v>设计候选，尚待源码验证</x:v>
      </x:c>
      <x:c r="M21" s="183" t="str">
        <x:v>F16.ExceptionDescriptor</x:v>
      </x:c>
      <x:c r="N21" s="184" t="str">
        <x:v>05_基础对象与基础计算!C171</x:v>
      </x:c>
      <x:c r="O21" s="183" t="str">
        <x:v>V4.9对象/属性/方法
V2.01：名称/子方面线索；处置=规划独立契约候选·未批准新增
V7.8：V7.8未检出同名词法声明</x:v>
      </x:c>
      <x:c r="P21" s="136" t="str">
        <x:v>V4.9对象/属性/方法</x:v>
      </x:c>
      <x:c r="Q21"/>
      <x:c r="R21"/>
      <x:c r="S21"/>
    </x:row>
    <x:row r="22" ht="72" customHeight="1">
      <x:c r="A22" s="179" t="str">
        <x:v>F16</x:v>
      </x:c>
      <x:c r="B22" s="180" t="str">
        <x:v>日志与诊断｜日志记录与诊断基础
Logging Diagnostics</x:v>
      </x:c>
      <x:c r="C22" s="180" t="str">
        <x:v>FLDLogFormatter</x:v>
      </x:c>
      <x:c r="D22" s="179" t="str">
        <x:v>增构候选·待查重</x:v>
      </x:c>
      <x:c r="E22" s="180" t="str">
        <x:v>提供无状态日志格式化工具运算，不持有会话/设备/全局缓存</x:v>
      </x:c>
      <x:c r="F22" s="180" t="str">
        <x:v>Format；Privacy</x:v>
      </x:c>
      <x:c r="G22" s="180" t="str">
        <x:v>FormatJson；FormatText</x:v>
      </x:c>
      <x:c r="H22" s="180" t="str">
        <x:v>待逐对象核实</x:v>
      </x:c>
      <x:c r="I22" s="180" t="str">
        <x:v>LogFormatter</x:v>
      </x:c>
      <x:c r="J22" s="179" t="str">
        <x:v>静态类</x:v>
      </x:c>
      <x:c r="K22" s="180" t="str">
        <x:v>生命周期：基础值/纯计算</x:v>
      </x:c>
      <x:c r="L22" s="183" t="str">
        <x:v>设计候选，尚待源码验证</x:v>
      </x:c>
      <x:c r="M22" s="183" t="str">
        <x:v>F16.LogFormatter</x:v>
      </x:c>
      <x:c r="N22" s="184" t="str">
        <x:v>05_基础对象与基础计算!C172</x:v>
      </x:c>
      <x:c r="O22" s="183" t="str">
        <x:v>V4.9对象/属性/方法
V2.01：名称/子方面线索；处置=规划独立契约候选·未批准新增
V7.8：V7.8未检出同名词法声明</x:v>
      </x:c>
      <x:c r="P22" s="136" t="str">
        <x:v>V4.9对象/属性/方法</x:v>
      </x:c>
      <x:c r="Q22"/>
      <x:c r="R22"/>
      <x:c r="S22"/>
    </x:row>
    <x:row r="23" ht="72" customHeight="1">
      <x:c r="A23" s="179" t="str">
        <x:v>F16</x:v>
      </x:c>
      <x:c r="B23" s="180" t="str">
        <x:v>日志与诊断｜日志记录与诊断基础
Logging Diagnostics</x:v>
      </x:c>
      <x:c r="C23" s="180" t="str">
        <x:v>FLDLogLevel</x:v>
      </x:c>
      <x:c r="D23" s="179" t="str">
        <x:v>原有·待核</x:v>
      </x:c>
      <x:c r="E23" s="180" t="str">
        <x:v>表达和承载日志等级的基础数据或计算参数</x:v>
      </x:c>
      <x:c r="F23" s="180" t="str">
        <x:v>Severity；Code</x:v>
      </x:c>
      <x:c r="G23" s="180" t="str">
        <x:v>Compare</x:v>
      </x:c>
      <x:c r="H23" s="180" t="str">
        <x:v>待逐对象核实</x:v>
      </x:c>
      <x:c r="I23" s="180" t="str">
        <x:v>LogLevel</x:v>
      </x:c>
      <x:c r="J23" s="179" t="str">
        <x:v>类/实例候选</x:v>
      </x:c>
      <x:c r="K23" s="180" t="str">
        <x:v>V1.19 C-0041：原有；生命周期：基础数据/值对象</x:v>
      </x:c>
      <x:c r="L23" s="183" t="str">
        <x:v>V7.8源码词法匹配，尚未验收</x:v>
      </x:c>
      <x:c r="M23" s="183" t="str">
        <x:v>F16.LogLevel</x:v>
      </x:c>
      <x:c r="N23" s="184" t="str">
        <x:v>Platform/CommonInterfaces/LogHelper.cs</x:v>
      </x:c>
      <x:c r="O23" s="183" t="str">
        <x:v>V4.9对象/属性/方法
V2.01：同名多条·待消歧；处置=暂无可信对应
V7.8：V7.8同名且源文件对应；Platform/CommonInterfaces/LogHelper.cs</x:v>
      </x:c>
      <x:c r="P23" s="136" t="str">
        <x:v>V4.9对象/属性/方法</x:v>
      </x:c>
      <x:c r="Q23"/>
      <x:c r="R23"/>
      <x:c r="S23"/>
    </x:row>
    <x:row r="24" ht="72" customHeight="1">
      <x:c r="A24" s="179" t="str">
        <x:v>F16</x:v>
      </x:c>
      <x:c r="B24" s="180" t="str">
        <x:v>日志与诊断｜日志记录与诊断基础
Logging Diagnostics</x:v>
      </x:c>
      <x:c r="C24" s="180" t="str">
        <x:v>FLDLogRecord</x:v>
      </x:c>
      <x:c r="D24" s="179" t="str">
        <x:v>增构候选·待查重</x:v>
      </x:c>
      <x:c r="E24" s="180" t="str">
        <x:v>表达和承载结构化日志记录的基础数据或计算参数</x:v>
      </x:c>
      <x:c r="F24" s="180" t="str">
        <x:v>Time；Level；Message；Tags</x:v>
      </x:c>
      <x:c r="G24" s="180" t="str">
        <x:v>Format</x:v>
      </x:c>
      <x:c r="H24" s="180" t="str">
        <x:v>待逐对象核实</x:v>
      </x:c>
      <x:c r="I24" s="180" t="str">
        <x:v>LogRecord</x:v>
      </x:c>
      <x:c r="J24" s="179" t="str">
        <x:v>类/实例候选</x:v>
      </x:c>
      <x:c r="K24" s="180" t="str">
        <x:v>生命周期：基础数据/值对象</x:v>
      </x:c>
      <x:c r="L24" s="183" t="str">
        <x:v>设计候选，尚待源码验证</x:v>
      </x:c>
      <x:c r="M24" s="183" t="str">
        <x:v>F16.LogRecord</x:v>
      </x:c>
      <x:c r="N24" s="184" t="str">
        <x:v>05_基础对象与基础计算!C174</x:v>
      </x:c>
      <x:c r="O24" s="183" t="str">
        <x:v>V4.9对象/属性/方法
V2.01：名称/子方面线索；处置=规划独立契约候选·未批准新增
V7.8：V7.8未检出同名词法声明</x:v>
      </x:c>
      <x:c r="P24" s="136" t="str">
        <x:v>V4.9对象/属性/方法</x:v>
      </x:c>
      <x:c r="Q24"/>
      <x:c r="R24"/>
      <x:c r="S24"/>
    </x:row>
    <x:row r="25" ht="72" customHeight="1">
      <x:c r="A25" s="179" t="str">
        <x:v>F16</x:v>
      </x:c>
      <x:c r="B25" s="180" t="str">
        <x:v>日志与诊断｜日志记录与诊断基础
Logging Diagnostics</x:v>
      </x:c>
      <x:c r="C25" s="180" t="str">
        <x:v>FLDLogSamplingUtil</x:v>
      </x:c>
      <x:c r="D25" s="179" t="str">
        <x:v>增构候选·待查重</x:v>
      </x:c>
      <x:c r="E25" s="180" t="str">
        <x:v>提供无状态日志采样算法运算，不持有会话/设备/全局缓存</x:v>
      </x:c>
      <x:c r="F25" s="180" t="str">
        <x:v>Rate；Key</x:v>
      </x:c>
      <x:c r="G25" s="180" t="str">
        <x:v>ShouldSample</x:v>
      </x:c>
      <x:c r="H25" s="180" t="str">
        <x:v>待逐对象核实</x:v>
      </x:c>
      <x:c r="I25" s="180" t="str">
        <x:v>LogSamplingUtil</x:v>
      </x:c>
      <x:c r="J25" s="179" t="str">
        <x:v>静态类</x:v>
      </x:c>
      <x:c r="K25" s="180" t="str">
        <x:v>生命周期：基础值/纯计算</x:v>
      </x:c>
      <x:c r="L25" s="183" t="str">
        <x:v>设计候选，尚待源码验证</x:v>
      </x:c>
      <x:c r="M25" s="183" t="str">
        <x:v>F16.LogSamplingUtil</x:v>
      </x:c>
      <x:c r="N25" s="184" t="str">
        <x:v>05_基础对象与基础计算!C175</x:v>
      </x:c>
      <x:c r="O25" s="183" t="str">
        <x:v>V4.9对象/属性/方法
V2.01：名称/子方面线索；处置=规划独立契约候选·未批准新增
V7.8：V7.8未检出同名词法声明</x:v>
      </x:c>
      <x:c r="P25" s="136" t="str">
        <x:v>V4.9对象/属性/方法</x:v>
      </x:c>
      <x:c r="Q25"/>
      <x:c r="R25"/>
      <x:c r="S25"/>
    </x:row>
    <x:row r="26" ht="72" customHeight="1">
      <x:c r="A26" s="179" t="str">
        <x:v>F16</x:v>
      </x:c>
      <x:c r="B26" s="180" t="str">
        <x:v>日志与诊断｜日志记录与诊断基础
Logging Diagnostics</x:v>
      </x:c>
      <x:c r="C26" s="180" t="str">
        <x:v>FLDLogSanitizer</x:v>
      </x:c>
      <x:c r="D26" s="179" t="str">
        <x:v>增构候选·待查重</x:v>
      </x:c>
      <x:c r="E26" s="180" t="str">
        <x:v>提供无状态日志脱敏算法运算，不持有会话/设备/全局缓存</x:v>
      </x:c>
      <x:c r="F26" s="180" t="str">
        <x:v>Fields；Rules</x:v>
      </x:c>
      <x:c r="G26" s="180" t="str">
        <x:v>Redact</x:v>
      </x:c>
      <x:c r="H26" s="180" t="str">
        <x:v>待逐对象核实</x:v>
      </x:c>
      <x:c r="I26" s="180" t="str">
        <x:v>LogSanitizer</x:v>
      </x:c>
      <x:c r="J26" s="179" t="str">
        <x:v>静态类</x:v>
      </x:c>
      <x:c r="K26" s="180" t="str">
        <x:v>生命周期：基础值/纯计算</x:v>
      </x:c>
      <x:c r="L26" s="183" t="str">
        <x:v>设计候选，尚待源码验证</x:v>
      </x:c>
      <x:c r="M26" s="183" t="str">
        <x:v>F16.LogSanitizer</x:v>
      </x:c>
      <x:c r="N26" s="184" t="str">
        <x:v>05_基础对象与基础计算!C176</x:v>
      </x:c>
      <x:c r="O26" s="183" t="str">
        <x:v>V4.9对象/属性/方法
V2.01：名称/子方面线索；处置=规划独立契约候选·未批准新增
V7.8：V7.8未检出同名词法声明</x:v>
      </x:c>
      <x:c r="P26" s="136" t="str">
        <x:v>V4.9对象/属性/方法</x:v>
      </x:c>
      <x:c r="Q26"/>
      <x:c r="R26"/>
      <x:c r="S26"/>
    </x:row>
    <x:row r="27" ht="72" customHeight="1">
      <x:c r="A27" s="179" t="str">
        <x:v>F16</x:v>
      </x:c>
      <x:c r="B27" s="180" t="str">
        <x:v>日志与诊断｜日志记录与诊断基础
Logging Diagnostics</x:v>
      </x:c>
      <x:c r="C27" s="180" t="str">
        <x:v>FLDLogScope</x:v>
      </x:c>
      <x:c r="D27" s="179" t="str">
        <x:v>增构候选·待查重</x:v>
      </x:c>
      <x:c r="E27" s="180" t="str">
        <x:v>表达和承载日志上下文值的基础数据或计算参数</x:v>
      </x:c>
      <x:c r="F27" s="180" t="str">
        <x:v>Correlation；Trace；ScopeId</x:v>
      </x:c>
      <x:c r="G27" s="180" t="str">
        <x:v>Merge</x:v>
      </x:c>
      <x:c r="H27" s="180" t="str">
        <x:v>待逐对象核实</x:v>
      </x:c>
      <x:c r="I27" s="180" t="str">
        <x:v>LogScope</x:v>
      </x:c>
      <x:c r="J27" s="179" t="str">
        <x:v>类/实例候选</x:v>
      </x:c>
      <x:c r="K27" s="180" t="str">
        <x:v>生命周期：基础数据/值对象</x:v>
      </x:c>
      <x:c r="L27" s="183" t="str">
        <x:v>设计候选，尚待源码验证</x:v>
      </x:c>
      <x:c r="M27" s="183" t="str">
        <x:v>F16.LogScope</x:v>
      </x:c>
      <x:c r="N27" s="184" t="str">
        <x:v>05_基础对象与基础计算!C177</x:v>
      </x:c>
      <x:c r="O27" s="183" t="str">
        <x:v>V4.9对象/属性/方法
V2.01：名称/子方面线索；处置=规划独立契约候选·未批准新增
V7.8：V7.8未检出同名词法声明</x:v>
      </x:c>
      <x:c r="P27" s="136" t="str">
        <x:v>V4.9对象/属性/方法</x:v>
      </x:c>
      <x:c r="Q27"/>
      <x:c r="R27"/>
      <x:c r="S27"/>
    </x:row>
    <x:row r="28" ht="72" customHeight="1">
      <x:c r="A28" s="179" t="str">
        <x:v>F16</x:v>
      </x:c>
      <x:c r="B28" s="180" t="str">
        <x:v>日志与诊断｜日志记录与诊断基础
Logging Diagnostics</x:v>
      </x:c>
      <x:c r="C28" s="180" t="str">
        <x:v>FLDStackTraceParser</x:v>
      </x:c>
      <x:c r="D28" s="179" t="str">
        <x:v>增构候选·待查重</x:v>
      </x:c>
      <x:c r="E28" s="180" t="str">
        <x:v>提供无状态堆栈解析工具运算，不持有会话/设备/全局缓存</x:v>
      </x:c>
      <x:c r="F28" s="180" t="str">
        <x:v>Frames；Source</x:v>
      </x:c>
      <x:c r="G28" s="180" t="str">
        <x:v>Parse；Collapse</x:v>
      </x:c>
      <x:c r="H28" s="180" t="str">
        <x:v>待逐对象核实</x:v>
      </x:c>
      <x:c r="I28" s="180" t="str">
        <x:v>StackTraceParser</x:v>
      </x:c>
      <x:c r="J28" s="179" t="str">
        <x:v>静态类</x:v>
      </x:c>
      <x:c r="K28" s="180" t="str">
        <x:v>生命周期：基础值/纯计算</x:v>
      </x:c>
      <x:c r="L28" s="183" t="str">
        <x:v>设计候选，尚待源码验证</x:v>
      </x:c>
      <x:c r="M28" s="183" t="str">
        <x:v>F16.StackTraceParser</x:v>
      </x:c>
      <x:c r="N28" s="184" t="str">
        <x:v>05_基础对象与基础计算!C178</x:v>
      </x:c>
      <x:c r="O28" s="183" t="str">
        <x:v>V4.9对象/属性/方法
V2.01：名称/子方面线索；处置=规划独立契约候选·未批准新增
V7.8：V7.8未检出同名词法声明</x:v>
      </x:c>
      <x:c r="P28" s="136" t="str">
        <x:v>V4.9对象/属性/方法</x:v>
      </x:c>
      <x:c r="Q28"/>
      <x:c r="R28"/>
      <x:c r="S28"/>
    </x:row>
    <x:row r="29" ht="72" customHeight="1">
      <x:c r="A29" s="179" t="str">
        <x:v>F19</x:v>
      </x:c>
      <x:c r="B29" s="180" t="str">
        <x:v>并发与资源｜线程协调与容量计算
Concurrency Resources</x:v>
      </x:c>
      <x:c r="C29" s="180" t="str">
        <x:v>FCRAsyncGate</x:v>
      </x:c>
      <x:c r="D29" s="179" t="str">
        <x:v>增构候选·待查重</x:v>
      </x:c>
      <x:c r="E29" s="180" t="str">
        <x:v>表达和承载异步门闩的基础数据或计算参数</x:v>
      </x:c>
      <x:c r="F29" s="180" t="str">
        <x:v>Signal；Waiters</x:v>
      </x:c>
      <x:c r="G29" s="180" t="str">
        <x:v>Wait；Release</x:v>
      </x:c>
      <x:c r="H29" s="180" t="str">
        <x:v>待逐对象核实</x:v>
      </x:c>
      <x:c r="I29" s="180" t="str">
        <x:v>AsyncGate</x:v>
      </x:c>
      <x:c r="J29" s="179" t="str">
        <x:v>值类型候选</x:v>
      </x:c>
      <x:c r="K29" s="180" t="str">
        <x:v>生命周期：基础数据/值对象</x:v>
      </x:c>
      <x:c r="L29" s="183" t="str">
        <x:v>设计候选，尚待源码验证</x:v>
      </x:c>
      <x:c r="M29" s="183" t="str">
        <x:v>F19.AsyncGate</x:v>
      </x:c>
      <x:c r="N29" s="184" t="str">
        <x:v>05_基础对象与基础计算!C199</x:v>
      </x:c>
      <x:c r="O29" s="183" t="str">
        <x:v>V4.9对象/属性/方法
V2.01：名称/子方面线索；处置=规划独立契约候选·未批准新增
V7.8：V7.8未检出同名词法声明</x:v>
      </x:c>
      <x:c r="P29" s="136" t="str">
        <x:v>V4.9对象/属性/方法</x:v>
      </x:c>
      <x:c r="Q29"/>
      <x:c r="R29"/>
      <x:c r="S29"/>
    </x:row>
    <x:row r="30" ht="72" customHeight="1">
      <x:c r="A30" s="179" t="str">
        <x:v>F19</x:v>
      </x:c>
      <x:c r="B30" s="180" t="str">
        <x:v>并发与资源｜线程协调与容量计算
Concurrency Resources</x:v>
      </x:c>
      <x:c r="C30" s="180" t="str">
        <x:v>FCRBackoffPolicy</x:v>
      </x:c>
      <x:c r="D30" s="179" t="str">
        <x:v>增构候选·待查重</x:v>
      </x:c>
      <x:c r="E30" s="180" t="str">
        <x:v>表达和承载退避策略的基础数据或计算参数</x:v>
      </x:c>
      <x:c r="F30" s="180" t="str">
        <x:v>Min；Max；Jitter</x:v>
      </x:c>
      <x:c r="G30" s="180" t="str">
        <x:v>NextDelay</x:v>
      </x:c>
      <x:c r="H30" s="180" t="str">
        <x:v>待逐对象核实</x:v>
      </x:c>
      <x:c r="I30" s="180" t="str">
        <x:v>BackoffPolicy</x:v>
      </x:c>
      <x:c r="J30" s="179" t="str">
        <x:v>类/实例候选</x:v>
      </x:c>
      <x:c r="K30" s="180" t="str">
        <x:v>生命周期：基础数据/值对象</x:v>
      </x:c>
      <x:c r="L30" s="183" t="str">
        <x:v>设计候选，尚待源码验证</x:v>
      </x:c>
      <x:c r="M30" s="183" t="str">
        <x:v>F19.BackoffPolicy</x:v>
      </x:c>
      <x:c r="N30" s="184" t="str">
        <x:v>05_基础对象与基础计算!C200</x:v>
      </x:c>
      <x:c r="O30" s="183" t="str">
        <x:v>V4.9对象/属性/方法
V2.01：名称/子方面线索；处置=规划独立契约候选·未批准新增
V7.8：V7.8未检出同名词法声明</x:v>
      </x:c>
      <x:c r="P30" s="136" t="str">
        <x:v>V4.9对象/属性/方法</x:v>
      </x:c>
      <x:c r="Q30"/>
      <x:c r="R30"/>
      <x:c r="S30"/>
    </x:row>
    <x:row r="31" ht="72" customHeight="1">
      <x:c r="A31" s="179" t="str">
        <x:v>F19</x:v>
      </x:c>
      <x:c r="B31" s="180" t="str">
        <x:v>并发与资源｜线程协调与容量计算
Concurrency Resources</x:v>
      </x:c>
      <x:c r="C31" s="180" t="str">
        <x:v>FCRBoundedQueue</x:v>
      </x:c>
      <x:c r="D31" s="179" t="str">
        <x:v>增构候选·待查重</x:v>
      </x:c>
      <x:c r="E31" s="180" t="str">
        <x:v>表达和承载有界队列的基础数据或计算参数</x:v>
      </x:c>
      <x:c r="F31" s="180" t="str">
        <x:v>Capacity；OverflowPolicy</x:v>
      </x:c>
      <x:c r="G31" s="180" t="str">
        <x:v>Enqueue；TryDequeue</x:v>
      </x:c>
      <x:c r="H31" s="180" t="str">
        <x:v>待逐对象核实</x:v>
      </x:c>
      <x:c r="I31" s="180" t="str">
        <x:v>BoundedQueue</x:v>
      </x:c>
      <x:c r="J31" s="179" t="str">
        <x:v>值类型候选</x:v>
      </x:c>
      <x:c r="K31" s="180" t="str">
        <x:v>生命周期：基础数据/值对象</x:v>
      </x:c>
      <x:c r="L31" s="183" t="str">
        <x:v>设计候选，尚待源码验证</x:v>
      </x:c>
      <x:c r="M31" s="183" t="str">
        <x:v>F19.BoundedQueue</x:v>
      </x:c>
      <x:c r="N31" s="184" t="str">
        <x:v>05_基础对象与基础计算!C201</x:v>
      </x:c>
      <x:c r="O31" s="183" t="str">
        <x:v>V4.9对象/属性/方法
V2.01：名称/子方面线索；处置=规划独立契约候选·未批准新增
V7.8：V7.8未检出同名词法声明</x:v>
      </x:c>
      <x:c r="P31" s="136" t="str">
        <x:v>V4.9对象/属性/方法</x:v>
      </x:c>
      <x:c r="Q31"/>
      <x:c r="R31"/>
      <x:c r="S31"/>
    </x:row>
    <x:row r="32" ht="72" customHeight="1">
      <x:c r="A32" s="179" t="str">
        <x:v>F19</x:v>
      </x:c>
      <x:c r="B32" s="180" t="str">
        <x:v>并发与资源｜线程协调与容量计算
Concurrency Resources</x:v>
      </x:c>
      <x:c r="C32" s="180" t="str">
        <x:v>FCRBufferPoolPolicy</x:v>
      </x:c>
      <x:c r="D32" s="179" t="str">
        <x:v>增构候选·待查重</x:v>
      </x:c>
      <x:c r="E32" s="180" t="str">
        <x:v>表达和承载缓冲池策略的基础数据或计算参数</x:v>
      </x:c>
      <x:c r="F32" s="180" t="str">
        <x:v>SizeClasses；Limit</x:v>
      </x:c>
      <x:c r="G32" s="180" t="str">
        <x:v>Select</x:v>
      </x:c>
      <x:c r="H32" s="180" t="str">
        <x:v>待逐对象核实</x:v>
      </x:c>
      <x:c r="I32" s="180" t="str">
        <x:v>BufferPoolPolicy</x:v>
      </x:c>
      <x:c r="J32" s="179" t="str">
        <x:v>类/实例候选</x:v>
      </x:c>
      <x:c r="K32" s="180" t="str">
        <x:v>生命周期：基础数据/值对象</x:v>
      </x:c>
      <x:c r="L32" s="183" t="str">
        <x:v>设计候选，尚待源码验证</x:v>
      </x:c>
      <x:c r="M32" s="183" t="str">
        <x:v>F19.BufferPoolPolicy</x:v>
      </x:c>
      <x:c r="N32" s="184" t="str">
        <x:v>05_基础对象与基础计算!C202</x:v>
      </x:c>
      <x:c r="O32" s="183" t="str">
        <x:v>V4.9对象/属性/方法
V2.01：名称/子方面线索；处置=规划独立契约候选·未批准新增
V7.8：V7.8未检出同名词法声明</x:v>
      </x:c>
      <x:c r="P32" s="136" t="str">
        <x:v>V4.9对象/属性/方法</x:v>
      </x:c>
      <x:c r="Q32"/>
      <x:c r="R32"/>
      <x:c r="S32"/>
    </x:row>
    <x:row r="33" ht="72" customHeight="1">
      <x:c r="A33" s="179" t="str">
        <x:v>F19</x:v>
      </x:c>
      <x:c r="B33" s="180" t="str">
        <x:v>并发与资源｜线程协调与容量计算
Concurrency Resources</x:v>
      </x:c>
      <x:c r="C33" s="180" t="str">
        <x:v>FCRCancellationReason</x:v>
      </x:c>
      <x:c r="D33" s="179" t="str">
        <x:v>增构候选·待查重</x:v>
      </x:c>
      <x:c r="E33" s="180" t="str">
        <x:v>表达和承载取消原因值的基础数据或计算参数</x:v>
      </x:c>
      <x:c r="F33" s="180" t="str">
        <x:v>Code；Message</x:v>
      </x:c>
      <x:c r="G33" s="180" t="str">
        <x:v>Describe</x:v>
      </x:c>
      <x:c r="H33" s="180" t="str">
        <x:v>待逐对象核实</x:v>
      </x:c>
      <x:c r="I33" s="180" t="str">
        <x:v>CancellationReason</x:v>
      </x:c>
      <x:c r="J33" s="179" t="str">
        <x:v>值类型候选</x:v>
      </x:c>
      <x:c r="K33" s="180" t="str">
        <x:v>生命周期：基础数据/值对象</x:v>
      </x:c>
      <x:c r="L33" s="183" t="str">
        <x:v>设计候选，尚待源码验证</x:v>
      </x:c>
      <x:c r="M33" s="183" t="str">
        <x:v>F19.CancellationReason</x:v>
      </x:c>
      <x:c r="N33" s="184" t="str">
        <x:v>05_基础对象与基础计算!C203</x:v>
      </x:c>
      <x:c r="O33" s="183" t="str">
        <x:v>V4.9对象/属性/方法
V2.01：名称/子方面线索；处置=规划独立契约候选·未批准新增
V7.8：V7.8未检出同名词法声明</x:v>
      </x:c>
      <x:c r="P33" s="136" t="str">
        <x:v>V4.9对象/属性/方法</x:v>
      </x:c>
      <x:c r="Q33"/>
      <x:c r="R33"/>
      <x:c r="S33"/>
    </x:row>
    <x:row r="34" ht="72" customHeight="1">
      <x:c r="A34" s="179" t="str">
        <x:v>F19</x:v>
      </x:c>
      <x:c r="B34" s="180" t="str">
        <x:v>并发与资源｜线程协调与容量计算
Concurrency Resources</x:v>
      </x:c>
      <x:c r="C34" s="180" t="str">
        <x:v>FCRConcurrencyMath</x:v>
      </x:c>
      <x:c r="D34" s="179" t="str">
        <x:v>增构候选·待查重</x:v>
      </x:c>
      <x:c r="E34" s="180" t="str">
        <x:v>提供无状态并发容量计算运算，不持有会话/设备/全局缓存</x:v>
      </x:c>
      <x:c r="F34" s="180" t="str">
        <x:v>Jobs；Quota</x:v>
      </x:c>
      <x:c r="G34" s="180" t="str">
        <x:v>Estimate；Clamp</x:v>
      </x:c>
      <x:c r="H34" s="180" t="str">
        <x:v>待逐对象核实</x:v>
      </x:c>
      <x:c r="I34" s="180" t="str">
        <x:v>ConcurrencyMath</x:v>
      </x:c>
      <x:c r="J34" s="179" t="str">
        <x:v>静态类</x:v>
      </x:c>
      <x:c r="K34" s="180" t="str">
        <x:v>生命周期：基础值/纯计算</x:v>
      </x:c>
      <x:c r="L34" s="183" t="str">
        <x:v>设计候选，尚待源码验证</x:v>
      </x:c>
      <x:c r="M34" s="183" t="str">
        <x:v>F19.ConcurrencyMath</x:v>
      </x:c>
      <x:c r="N34" s="184" t="str">
        <x:v>05_基础对象与基础计算!C204</x:v>
      </x:c>
      <x:c r="O34" s="183" t="str">
        <x:v>V4.9对象/属性/方法
V2.01：名称/子方面线索；处置=规划独立契约候选·未批准新增
V7.8：V7.8未检出同名词法声明</x:v>
      </x:c>
      <x:c r="P34" s="136" t="str">
        <x:v>V4.9对象/属性/方法</x:v>
      </x:c>
      <x:c r="Q34"/>
      <x:c r="R34"/>
      <x:c r="S34"/>
    </x:row>
    <x:row r="35" ht="72" customHeight="1">
      <x:c r="A35" s="179" t="str">
        <x:v>F19</x:v>
      </x:c>
      <x:c r="B35" s="180" t="str">
        <x:v>并发与资源｜线程协调与容量计算
Concurrency Resources</x:v>
      </x:c>
      <x:c r="C35" s="180" t="str">
        <x:v>FCRDeadline</x:v>
      </x:c>
      <x:c r="D35" s="179" t="str">
        <x:v>增构候选·待查重</x:v>
      </x:c>
      <x:c r="E35" s="180" t="str">
        <x:v>表达和承载期限值的基础数据或计算参数</x:v>
      </x:c>
      <x:c r="F35" s="180" t="str">
        <x:v>Timebase；At</x:v>
      </x:c>
      <x:c r="G35" s="180" t="str">
        <x:v>IsExpired；Remaining</x:v>
      </x:c>
      <x:c r="H35" s="180" t="str">
        <x:v>待逐对象核实</x:v>
      </x:c>
      <x:c r="I35" s="180" t="str">
        <x:v>Deadline</x:v>
      </x:c>
      <x:c r="J35" s="179" t="str">
        <x:v>值类型候选</x:v>
      </x:c>
      <x:c r="K35" s="180" t="str">
        <x:v>生命周期：基础数据/值对象</x:v>
      </x:c>
      <x:c r="L35" s="183" t="str">
        <x:v>设计候选，尚待源码验证</x:v>
      </x:c>
      <x:c r="M35" s="183" t="str">
        <x:v>F19.Deadline</x:v>
      </x:c>
      <x:c r="N35" s="184" t="str">
        <x:v>05_基础对象与基础计算!C205</x:v>
      </x:c>
      <x:c r="O35" s="183" t="str">
        <x:v>V4.9对象/属性/方法
V2.01：名称/子方面线索；处置=规划独立契约候选·未批准新增
V7.8：V7.8未检出同名词法声明</x:v>
      </x:c>
      <x:c r="P35" s="136" t="str">
        <x:v>V4.9对象/属性/方法</x:v>
      </x:c>
      <x:c r="Q35"/>
      <x:c r="R35"/>
      <x:c r="S35"/>
    </x:row>
    <x:row r="36" ht="72" customHeight="1">
      <x:c r="A36" s="179" t="str">
        <x:v>F19</x:v>
      </x:c>
      <x:c r="B36" s="180" t="str">
        <x:v>并发与资源｜线程协调与容量计算
Concurrency Resources</x:v>
      </x:c>
      <x:c r="C36" s="180" t="str">
        <x:v>FCRHashingUtil</x:v>
      </x:c>
      <x:c r="D36" s="179" t="str">
        <x:v>增构候选·待查重</x:v>
      </x:c>
      <x:c r="E36" s="180" t="str">
        <x:v>提供无状态稳定哈希工具运算，不持有会话/设备/全局缓存</x:v>
      </x:c>
      <x:c r="F36" s="180" t="str">
        <x:v>Algorithm；Encoding</x:v>
      </x:c>
      <x:c r="G36" s="180" t="str">
        <x:v>Hash；Combine</x:v>
      </x:c>
      <x:c r="H36" s="180" t="str">
        <x:v>待逐对象核实</x:v>
      </x:c>
      <x:c r="I36" s="180" t="str">
        <x:v>HashingUtil</x:v>
      </x:c>
      <x:c r="J36" s="179" t="str">
        <x:v>静态类</x:v>
      </x:c>
      <x:c r="K36" s="180" t="str">
        <x:v>生命周期：基础值/纯计算</x:v>
      </x:c>
      <x:c r="L36" s="183" t="str">
        <x:v>设计候选，尚待源码验证</x:v>
      </x:c>
      <x:c r="M36" s="183" t="str">
        <x:v>F19.HashingUtil</x:v>
      </x:c>
      <x:c r="N36" s="184" t="str">
        <x:v>05_基础对象与基础计算!C206</x:v>
      </x:c>
      <x:c r="O36" s="183" t="str">
        <x:v>V4.9对象/属性/方法
V2.01：名称/子方面线索；处置=规划独立契约候选·未批准新增
V7.8：V7.8未检出同名词法声明</x:v>
      </x:c>
      <x:c r="P36" s="136" t="str">
        <x:v>V4.9对象/属性/方法</x:v>
      </x:c>
      <x:c r="Q36"/>
      <x:c r="R36"/>
      <x:c r="S36"/>
    </x:row>
    <x:row r="37" ht="72" customHeight="1">
      <x:c r="A37" s="179" t="str">
        <x:v>F19</x:v>
      </x:c>
      <x:c r="B37" s="180" t="str">
        <x:v>并发与资源｜线程协调与容量计算
Concurrency Resources</x:v>
      </x:c>
      <x:c r="C37" s="180" t="str">
        <x:v>FCRMemoryBudget</x:v>
      </x:c>
      <x:c r="D37" s="179" t="str">
        <x:v>增构候选·待查重</x:v>
      </x:c>
      <x:c r="E37" s="180" t="str">
        <x:v>表达和承载内存预算值的基础数据或计算参数</x:v>
      </x:c>
      <x:c r="F37" s="180" t="str">
        <x:v>MaxBytes；Reserved</x:v>
      </x:c>
      <x:c r="G37" s="180" t="str">
        <x:v>CanAllocate</x:v>
      </x:c>
      <x:c r="H37" s="180" t="str">
        <x:v>待逐对象核实</x:v>
      </x:c>
      <x:c r="I37" s="180" t="str">
        <x:v>MemoryBudget</x:v>
      </x:c>
      <x:c r="J37" s="179" t="str">
        <x:v>值类型候选</x:v>
      </x:c>
      <x:c r="K37" s="180" t="str">
        <x:v>生命周期：基础数据/值对象</x:v>
      </x:c>
      <x:c r="L37" s="183" t="str">
        <x:v>设计候选，尚待源码验证</x:v>
      </x:c>
      <x:c r="M37" s="183" t="str">
        <x:v>F19.MemoryBudget</x:v>
      </x:c>
      <x:c r="N37" s="184" t="str">
        <x:v>05_基础对象与基础计算!C207</x:v>
      </x:c>
      <x:c r="O37" s="183" t="str">
        <x:v>V4.9对象/属性/方法
V2.01：名称/子方面线索；处置=规划独立契约候选·未批准新增
V7.8：V7.8未检出同名词法声明</x:v>
      </x:c>
      <x:c r="P37" s="136" t="str">
        <x:v>V4.9对象/属性/方法</x:v>
      </x:c>
      <x:c r="Q37"/>
      <x:c r="R37"/>
      <x:c r="S37"/>
    </x:row>
    <x:row r="38" ht="72" customHeight="1">
      <x:c r="A38" s="179" t="str">
        <x:v>F19</x:v>
      </x:c>
      <x:c r="B38" s="180" t="str">
        <x:v>并发与资源｜线程协调与容量计算
Concurrency Resources</x:v>
      </x:c>
      <x:c r="C38" s="180" t="str">
        <x:v>FCRRateLimiterMath</x:v>
      </x:c>
      <x:c r="D38" s="179" t="str">
        <x:v>增构候选·待查重</x:v>
      </x:c>
      <x:c r="E38" s="180" t="str">
        <x:v>提供无状态速率控制计算运算，不持有会话/设备/全局缓存</x:v>
      </x:c>
      <x:c r="F38" s="180" t="str">
        <x:v>Rate；Burst</x:v>
      </x:c>
      <x:c r="G38" s="180" t="str">
        <x:v>ComputeAllowance</x:v>
      </x:c>
      <x:c r="H38" s="180" t="str">
        <x:v>待逐对象核实</x:v>
      </x:c>
      <x:c r="I38" s="180" t="str">
        <x:v>RateLimiterMath</x:v>
      </x:c>
      <x:c r="J38" s="179" t="str">
        <x:v>静态类</x:v>
      </x:c>
      <x:c r="K38" s="180" t="str">
        <x:v>生命周期：基础值/纯计算</x:v>
      </x:c>
      <x:c r="L38" s="183" t="str">
        <x:v>设计候选，尚待源码验证</x:v>
      </x:c>
      <x:c r="M38" s="183" t="str">
        <x:v>F19.RateLimiterMath</x:v>
      </x:c>
      <x:c r="N38" s="184" t="str">
        <x:v>05_基础对象与基础计算!C208</x:v>
      </x:c>
      <x:c r="O38" s="183" t="str">
        <x:v>V4.9对象/属性/方法
V2.01：名称/子方面线索；处置=规划独立契约候选·未批准新增
V7.8：V7.8未检出同名词法声明</x:v>
      </x:c>
      <x:c r="P38" s="136" t="str">
        <x:v>V4.9对象/属性/方法</x:v>
      </x:c>
      <x:c r="Q38"/>
      <x:c r="R38"/>
      <x:c r="S38"/>
    </x:row>
    <x:row r="39" ht="72" customHeight="1">
      <x:c r="A39" s="179" t="str">
        <x:v>F20</x:v>
      </x:c>
      <x:c r="B39" s="180" t="str">
        <x:v>安全与编码｜加密及编码基础
Cryptography Encoding</x:v>
      </x:c>
      <x:c r="C39" s="180" t="str">
        <x:v>FCEAesEncryptionOps</x:v>
      </x:c>
      <x:c r="D39" s="179" t="str">
        <x:v>增构候选·待查重</x:v>
      </x:c>
      <x:c r="E39" s="180" t="str">
        <x:v>提供无状态对称加密基础算法运算，不持有会话/设备/全局缓存</x:v>
      </x:c>
      <x:c r="F39" s="180" t="str">
        <x:v>Key；IV</x:v>
      </x:c>
      <x:c r="G39" s="180" t="str">
        <x:v>Encrypt；Decrypt</x:v>
      </x:c>
      <x:c r="H39" s="180" t="str">
        <x:v>待逐对象核实</x:v>
      </x:c>
      <x:c r="I39" s="180" t="str">
        <x:v>AesEncryptionOps</x:v>
      </x:c>
      <x:c r="J39" s="179" t="str">
        <x:v>静态类</x:v>
      </x:c>
      <x:c r="K39" s="180" t="str">
        <x:v>生命周期：基础值/纯计算</x:v>
      </x:c>
      <x:c r="L39" s="183" t="str">
        <x:v>设计候选，尚待源码验证</x:v>
      </x:c>
      <x:c r="M39" s="183" t="str">
        <x:v>F20.AesEncryptionOps</x:v>
      </x:c>
      <x:c r="N39" s="184" t="str">
        <x:v>05_基础对象与基础计算!C209</x:v>
      </x:c>
      <x:c r="O39" s="183" t="str">
        <x:v>V4.9对象/属性/方法
V2.01：名称/子方面线索；处置=规划独立契约候选·未批准新增
V7.8：V7.8未检出同名词法声明</x:v>
      </x:c>
      <x:c r="P39" s="136" t="str">
        <x:v>V4.9对象/属性/方法</x:v>
      </x:c>
      <x:c r="Q39"/>
      <x:c r="R39"/>
      <x:c r="S39"/>
    </x:row>
    <x:row r="40" ht="72" customHeight="1">
      <x:c r="A40" s="179" t="str">
        <x:v>F20</x:v>
      </x:c>
      <x:c r="B40" s="180" t="str">
        <x:v>安全与编码｜加密及编码基础
Cryptography Encoding</x:v>
      </x:c>
      <x:c r="C40" s="180" t="str">
        <x:v>FCEBase64EncodingUtil</x:v>
      </x:c>
      <x:c r="D40" s="179" t="str">
        <x:v>增构候选·待查重</x:v>
      </x:c>
      <x:c r="E40" s="180" t="str">
        <x:v>提供无状态Base64编码运算，不持有会话/设备/全局缓存</x:v>
      </x:c>
      <x:c r="F40" s="180" t="str">
        <x:v>Bytes</x:v>
      </x:c>
      <x:c r="G40" s="180" t="str">
        <x:v>Encode；Decode</x:v>
      </x:c>
      <x:c r="H40" s="180" t="str">
        <x:v>待逐对象核实</x:v>
      </x:c>
      <x:c r="I40" s="180" t="str">
        <x:v>Base64EncodingUtil</x:v>
      </x:c>
      <x:c r="J40" s="179" t="str">
        <x:v>静态类</x:v>
      </x:c>
      <x:c r="K40" s="180" t="str">
        <x:v>生命周期：基础值/纯计算</x:v>
      </x:c>
      <x:c r="L40" s="183" t="str">
        <x:v>设计候选，尚待源码验证</x:v>
      </x:c>
      <x:c r="M40" s="183" t="str">
        <x:v>F20.Base64EncodingUtil</x:v>
      </x:c>
      <x:c r="N40" s="184" t="str">
        <x:v>05_基础对象与基础计算!C210</x:v>
      </x:c>
      <x:c r="O40" s="183" t="str">
        <x:v>V4.9对象/属性/方法
V2.01：名称/子方面线索；处置=规划独立契约候选·未批准新增
V7.8：V7.8未检出同名词法声明</x:v>
      </x:c>
      <x:c r="P40" s="136" t="str">
        <x:v>V4.9对象/属性/方法</x:v>
      </x:c>
      <x:c r="Q40"/>
      <x:c r="R40"/>
      <x:c r="S40"/>
    </x:row>
    <x:row r="41" ht="72" customHeight="1">
      <x:c r="A41" s="179" t="str">
        <x:v>F20</x:v>
      </x:c>
      <x:c r="B41" s="180" t="str">
        <x:v>安全与编码｜加密及编码基础
Cryptography Encoding</x:v>
      </x:c>
      <x:c r="C41" s="180" t="str">
        <x:v>FCEConstantTimeCompare</x:v>
      </x:c>
      <x:c r="D41" s="179" t="str">
        <x:v>增构候选·待查重</x:v>
      </x:c>
      <x:c r="E41" s="180" t="str">
        <x:v>提供无状态恒定时间比较运算，不持有会话/设备/全局缓存</x:v>
      </x:c>
      <x:c r="F41" s="180" t="str">
        <x:v>ByteArray</x:v>
      </x:c>
      <x:c r="G41" s="180" t="str">
        <x:v>Equals</x:v>
      </x:c>
      <x:c r="H41" s="180" t="str">
        <x:v>待逐对象核实</x:v>
      </x:c>
      <x:c r="I41" s="180" t="str">
        <x:v>ConstantTimeCompare</x:v>
      </x:c>
      <x:c r="J41" s="179" t="str">
        <x:v>静态类</x:v>
      </x:c>
      <x:c r="K41" s="180" t="str">
        <x:v>生命周期：基础值/纯计算</x:v>
      </x:c>
      <x:c r="L41" s="183" t="str">
        <x:v>设计候选，尚待源码验证</x:v>
      </x:c>
      <x:c r="M41" s="183" t="str">
        <x:v>F20.ConstantTimeCompare</x:v>
      </x:c>
      <x:c r="N41" s="184" t="str">
        <x:v>05_基础对象与基础计算!C211</x:v>
      </x:c>
      <x:c r="O41" s="183" t="str">
        <x:v>V4.9对象/属性/方法
V2.01：名称/子方面线索；处置=规划独立契约候选·未批准新增
V7.8：V7.8未检出同名词法声明</x:v>
      </x:c>
      <x:c r="P41" s="136" t="str">
        <x:v>V4.9对象/属性/方法</x:v>
      </x:c>
      <x:c r="Q41"/>
      <x:c r="R41"/>
      <x:c r="S41"/>
    </x:row>
    <x:row r="42" ht="72" customHeight="1">
      <x:c r="A42" s="179" t="str">
        <x:v>F20</x:v>
      </x:c>
      <x:c r="B42" s="180" t="str">
        <x:v>安全与编码｜加密及编码基础
Cryptography Encoding</x:v>
      </x:c>
      <x:c r="C42" s="180" t="str">
        <x:v>FCEHexEncodingUtil</x:v>
      </x:c>
      <x:c r="D42" s="179" t="str">
        <x:v>增构候选·待查重</x:v>
      </x:c>
      <x:c r="E42" s="180" t="str">
        <x:v>提供无状态十六进制编码运算，不持有会话/设备/全局缓存</x:v>
      </x:c>
      <x:c r="F42" s="180" t="str">
        <x:v>Bytes</x:v>
      </x:c>
      <x:c r="G42" s="180" t="str">
        <x:v>Encode；Decode</x:v>
      </x:c>
      <x:c r="H42" s="180" t="str">
        <x:v>待逐对象核实</x:v>
      </x:c>
      <x:c r="I42" s="180" t="str">
        <x:v>HexEncodingUtil</x:v>
      </x:c>
      <x:c r="J42" s="179" t="str">
        <x:v>静态类</x:v>
      </x:c>
      <x:c r="K42" s="180" t="str">
        <x:v>生命周期：基础值/纯计算</x:v>
      </x:c>
      <x:c r="L42" s="183" t="str">
        <x:v>设计候选，尚待源码验证</x:v>
      </x:c>
      <x:c r="M42" s="183" t="str">
        <x:v>F20.HexEncodingUtil</x:v>
      </x:c>
      <x:c r="N42" s="184" t="str">
        <x:v>05_基础对象与基础计算!C212</x:v>
      </x:c>
      <x:c r="O42" s="183" t="str">
        <x:v>V4.9对象/属性/方法
V2.01：名称/子方面线索；处置=规划独立契约候选·未批准新增
V7.8：V7.8未检出同名词法声明</x:v>
      </x:c>
      <x:c r="P42" s="136" t="str">
        <x:v>V4.9对象/属性/方法</x:v>
      </x:c>
      <x:c r="Q42"/>
      <x:c r="R42"/>
      <x:c r="S42"/>
    </x:row>
    <x:row r="43" ht="72" customHeight="1">
      <x:c r="A43" s="179" t="str">
        <x:v>F20</x:v>
      </x:c>
      <x:c r="B43" s="180" t="str">
        <x:v>安全与编码｜加密及编码基础
Cryptography Encoding</x:v>
      </x:c>
      <x:c r="C43" s="180" t="str">
        <x:v>FCEKeyFingerprintUtil</x:v>
      </x:c>
      <x:c r="D43" s="179" t="str">
        <x:v>增构候选·待查重</x:v>
      </x:c>
      <x:c r="E43" s="180" t="str">
        <x:v>提供无状态密钥指纹计算运算，不持有会话/设备/全局缓存</x:v>
      </x:c>
      <x:c r="F43" s="180" t="str">
        <x:v>PublicKey</x:v>
      </x:c>
      <x:c r="G43" s="180" t="str">
        <x:v>Fingerprint</x:v>
      </x:c>
      <x:c r="H43" s="180" t="str">
        <x:v>待逐对象核实</x:v>
      </x:c>
      <x:c r="I43" s="180" t="str">
        <x:v>KeyFingerprintUtil</x:v>
      </x:c>
      <x:c r="J43" s="179" t="str">
        <x:v>静态类</x:v>
      </x:c>
      <x:c r="K43" s="180" t="str">
        <x:v>生命周期：基础值/纯计算</x:v>
      </x:c>
      <x:c r="L43" s="183" t="str">
        <x:v>设计候选，尚待源码验证</x:v>
      </x:c>
      <x:c r="M43" s="183" t="str">
        <x:v>F20.KeyFingerprintUtil</x:v>
      </x:c>
      <x:c r="N43" s="184" t="str">
        <x:v>05_基础对象与基础计算!C213</x:v>
      </x:c>
      <x:c r="O43" s="183" t="str">
        <x:v>V4.9对象/属性/方法
V2.01：名称/子方面线索；处置=规划独立契约候选·未批准新增
V7.8：V7.8未检出同名词法声明</x:v>
      </x:c>
      <x:c r="P43" s="136" t="str">
        <x:v>V4.9对象/属性/方法</x:v>
      </x:c>
      <x:c r="Q43"/>
      <x:c r="R43"/>
      <x:c r="S43"/>
    </x:row>
    <x:row r="44" ht="72" customHeight="1">
      <x:c r="A44" s="179" t="str">
        <x:v>F20</x:v>
      </x:c>
      <x:c r="B44" s="180" t="str">
        <x:v>安全与编码｜加密及编码基础
Cryptography Encoding</x:v>
      </x:c>
      <x:c r="C44" s="180" t="str">
        <x:v>FCEPasswordHashUtil</x:v>
      </x:c>
      <x:c r="D44" s="179" t="str">
        <x:v>增构候选·待查重</x:v>
      </x:c>
      <x:c r="E44" s="180" t="str">
        <x:v>提供无状态口令派生工具运算，不持有会话/设备/全局缓存</x:v>
      </x:c>
      <x:c r="F44" s="180" t="str">
        <x:v>Salt；WorkFactor</x:v>
      </x:c>
      <x:c r="G44" s="180" t="str">
        <x:v>Derive；Verify</x:v>
      </x:c>
      <x:c r="H44" s="180" t="str">
        <x:v>待逐对象核实</x:v>
      </x:c>
      <x:c r="I44" s="180" t="str">
        <x:v>PasswordHashUtil</x:v>
      </x:c>
      <x:c r="J44" s="179" t="str">
        <x:v>静态类</x:v>
      </x:c>
      <x:c r="K44" s="180" t="str">
        <x:v>生命周期：基础值/纯计算</x:v>
      </x:c>
      <x:c r="L44" s="183" t="str">
        <x:v>设计候选，尚待源码验证</x:v>
      </x:c>
      <x:c r="M44" s="183" t="str">
        <x:v>F20.PasswordHashUtil</x:v>
      </x:c>
      <x:c r="N44" s="184" t="str">
        <x:v>05_基础对象与基础计算!C214</x:v>
      </x:c>
      <x:c r="O44" s="183" t="str">
        <x:v>V4.9对象/属性/方法
V2.01：名称/子方面线索；处置=规划独立契约候选·未批准新增
V7.8：V7.8未检出同名词法声明</x:v>
      </x:c>
      <x:c r="P44" s="136" t="str">
        <x:v>V4.9对象/属性/方法</x:v>
      </x:c>
      <x:c r="Q44"/>
      <x:c r="R44"/>
      <x:c r="S44"/>
    </x:row>
    <x:row r="45" ht="72" customHeight="1">
      <x:c r="A45" s="179" t="str">
        <x:v>F20</x:v>
      </x:c>
      <x:c r="B45" s="180" t="str">
        <x:v>安全与编码｜加密及编码基础
Cryptography Encoding</x:v>
      </x:c>
      <x:c r="C45" s="180" t="str">
        <x:v>FCESecureRandomUtil</x:v>
      </x:c>
      <x:c r="D45" s="179" t="str">
        <x:v>增构候选·待查重</x:v>
      </x:c>
      <x:c r="E45" s="180" t="str">
        <x:v>提供无状态安全随机字节生成运算，不持有会话/设备/全局缓存</x:v>
      </x:c>
      <x:c r="F45" s="180" t="str">
        <x:v>Length</x:v>
      </x:c>
      <x:c r="G45" s="180" t="str">
        <x:v>Fill</x:v>
      </x:c>
      <x:c r="H45" s="180" t="str">
        <x:v>待逐对象核实</x:v>
      </x:c>
      <x:c r="I45" s="180" t="str">
        <x:v>SecureRandomUtil</x:v>
      </x:c>
      <x:c r="J45" s="179" t="str">
        <x:v>静态类</x:v>
      </x:c>
      <x:c r="K45" s="180" t="str">
        <x:v>生命周期：基础值/纯计算</x:v>
      </x:c>
      <x:c r="L45" s="183" t="str">
        <x:v>设计候选，尚待源码验证</x:v>
      </x:c>
      <x:c r="M45" s="183" t="str">
        <x:v>F20.SecureRandomUtil</x:v>
      </x:c>
      <x:c r="N45" s="184" t="str">
        <x:v>05_基础对象与基础计算!C215</x:v>
      </x:c>
      <x:c r="O45" s="183" t="str">
        <x:v>V4.9对象/属性/方法
V2.01：名称/子方面线索；处置=规划独立契约候选·未批准新增
V7.8：V7.8未检出同名词法声明</x:v>
      </x:c>
      <x:c r="P45" s="136" t="str">
        <x:v>V4.9对象/属性/方法</x:v>
      </x:c>
      <x:c r="Q45"/>
      <x:c r="R45"/>
      <x:c r="S45"/>
    </x:row>
    <x:row r="46" ht="72" customHeight="1">
      <x:c r="A46" s="179" t="str">
        <x:v>F20</x:v>
      </x:c>
      <x:c r="B46" s="180" t="str">
        <x:v>安全与编码｜加密及编码基础
Cryptography Encoding</x:v>
      </x:c>
      <x:c r="C46" s="180" t="str">
        <x:v>FCESignatureVerifyOps</x:v>
      </x:c>
      <x:c r="D46" s="179" t="str">
        <x:v>增构候选·待查重</x:v>
      </x:c>
      <x:c r="E46" s="180" t="str">
        <x:v>提供无状态数字签名验证运算，不持有会话/设备/全局缓存</x:v>
      </x:c>
      <x:c r="F46" s="180" t="str">
        <x:v>PublicKey；Signature</x:v>
      </x:c>
      <x:c r="G46" s="180" t="str">
        <x:v>Verify</x:v>
      </x:c>
      <x:c r="H46" s="180" t="str">
        <x:v>待逐对象核实</x:v>
      </x:c>
      <x:c r="I46" s="180" t="str">
        <x:v>SignatureVerifyOps</x:v>
      </x:c>
      <x:c r="J46" s="179" t="str">
        <x:v>静态类</x:v>
      </x:c>
      <x:c r="K46" s="180" t="str">
        <x:v>生命周期：基础值/纯计算</x:v>
      </x:c>
      <x:c r="L46" s="183" t="str">
        <x:v>设计候选，尚待源码验证</x:v>
      </x:c>
      <x:c r="M46" s="183" t="str">
        <x:v>F20.SignatureVerifyOps</x:v>
      </x:c>
      <x:c r="N46" s="184" t="str">
        <x:v>05_基础对象与基础计算!C216</x:v>
      </x:c>
      <x:c r="O46" s="183" t="str">
        <x:v>V4.9对象/属性/方法
V2.01：名称/子方面线索；处置=规划独立契约候选·未批准新增
V7.8：V7.8未检出同名词法声明</x:v>
      </x:c>
      <x:c r="P46" s="136" t="str">
        <x:v>V4.9对象/属性/方法</x:v>
      </x:c>
      <x:c r="Q46"/>
      <x:c r="R46"/>
      <x:c r="S46"/>
    </x:row>
    <x:row r="47" ht="72" customHeight="1">
      <x:c r="A47" s="179" t="str">
        <x:v>F20</x:v>
      </x:c>
      <x:c r="B47" s="180" t="str">
        <x:v>安全与编码｜加密及编码基础
Cryptography Encoding</x:v>
      </x:c>
      <x:c r="C47" s="180" t="str">
        <x:v>FCEUtfEncodingUtil</x:v>
      </x:c>
      <x:c r="D47" s="179" t="str">
        <x:v>增构候选·待查重</x:v>
      </x:c>
      <x:c r="E47" s="180" t="str">
        <x:v>提供无状态字符编码运算，不持有会话/设备/全局缓存</x:v>
      </x:c>
      <x:c r="F47" s="180" t="str">
        <x:v>Charset</x:v>
      </x:c>
      <x:c r="G47" s="180" t="str">
        <x:v>Encode；Decode</x:v>
      </x:c>
      <x:c r="H47" s="180" t="str">
        <x:v>待逐对象核实</x:v>
      </x:c>
      <x:c r="I47" s="180" t="str">
        <x:v>UtfEncodingUtil</x:v>
      </x:c>
      <x:c r="J47" s="179" t="str">
        <x:v>静态类</x:v>
      </x:c>
      <x:c r="K47" s="180" t="str">
        <x:v>生命周期：基础值/纯计算</x:v>
      </x:c>
      <x:c r="L47" s="183" t="str">
        <x:v>设计候选，尚待源码验证</x:v>
      </x:c>
      <x:c r="M47" s="183" t="str">
        <x:v>F20.UtfEncodingUtil</x:v>
      </x:c>
      <x:c r="N47" s="184" t="str">
        <x:v>05_基础对象与基础计算!C217</x:v>
      </x:c>
      <x:c r="O47" s="183" t="str">
        <x:v>V4.9对象/属性/方法
V2.01：名称/子方面线索；处置=规划独立契约候选·未批准新增
V7.8：V7.8未检出同名词法声明</x:v>
      </x:c>
      <x:c r="P47" s="136" t="str">
        <x:v>V4.9对象/属性/方法</x:v>
      </x:c>
      <x:c r="Q47"/>
      <x:c r="R47"/>
      <x:c r="S47"/>
    </x:row>
    <x:row r="48" ht="72" customHeight="1">
      <x:c r="A48" s="188"/>
      <x:c r="B48" s="187"/>
      <x:c r="C48" s="187"/>
      <x:c r="D48" s="188"/>
      <x:c r="E48" s="187"/>
      <x:c r="F48" s="187"/>
      <x:c r="G48" s="187"/>
      <x:c r="H48" s="187"/>
      <x:c r="I48" s="187"/>
      <x:c r="J48" s="188"/>
      <x:c r="K48" s="187"/>
      <x:c r="L48" s="190"/>
      <x:c r="M48" s="190"/>
      <x:c r="N48" s="190"/>
      <x:c r="O48" s="190"/>
      <x:c r="P48" s="46"/>
      <x:c r="Q48" s="46"/>
      <x:c r="R48" s="46"/>
      <x:c r="S48" s="46"/>
    </x:row>
    <x:row r="49" ht="72" customHeight="1">
      <x:c r="A49" s="188"/>
      <x:c r="B49" s="187"/>
      <x:c r="C49" s="187"/>
      <x:c r="D49" s="188"/>
      <x:c r="E49" s="187"/>
      <x:c r="F49" s="187"/>
      <x:c r="G49" s="187"/>
      <x:c r="H49" s="187"/>
      <x:c r="I49" s="187"/>
      <x:c r="J49" s="188"/>
      <x:c r="K49" s="187"/>
      <x:c r="L49" s="190"/>
      <x:c r="M49" s="190"/>
      <x:c r="N49" s="190"/>
      <x:c r="O49" s="190"/>
      <x:c r="P49" s="46"/>
      <x:c r="Q49" s="46"/>
      <x:c r="R49" s="46"/>
      <x:c r="S49" s="46"/>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6:A28"/>
    <x:mergeCell ref="A29:A38"/>
    <x:mergeCell ref="A39:A47"/>
    <x:mergeCell ref="A1:P1"/>
    <x:mergeCell ref="A2:P2"/>
    <x:mergeCell ref="A3:P3"/>
    <x:mergeCell ref="A4:P4"/>
    <x:mergeCell ref="B6:B28"/>
    <x:mergeCell ref="B29:B38"/>
    <x:mergeCell ref="B39:B47"/>
  </x:mergeCells>
  <x:pageMargins left="0.7" right="0.7" top="0.75" bottom="0.75" header="0.3" footer="0.3"/>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CxVisual.Foundation.Transport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子方面：F17｜来源：V1.19旧类型 + V4.9对象 + V7.8源码 + V5.0/R3架构裁决｜本项目 17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135" customHeight="1">
      <x:c r="A6" s="179" t="str">
        <x:v>F17</x:v>
      </x:c>
      <x:c r="B6" s="180" t="str">
        <x:v>通信与通道｜传输描述与缓冲基础
Transport Buffers</x:v>
      </x:c>
      <x:c r="C6" s="180" t="str">
        <x:v>FTBAppHelper</x:v>
      </x:c>
      <x:c r="D6" s="179" t="str">
        <x:v>原有·待核</x:v>
      </x:c>
      <x:c r="E6" s="180" t="str">
        <x:v>查询程序可执行路径、应用目录等进程环境信息</x:v>
      </x:c>
      <x:c r="F6" s="180" t="str">
        <x:v>—（无公开声明或待核对）</x:v>
      </x:c>
      <x:c r="G6" s="180" t="str">
        <x:v>GetExecutablePath(), GetApplicationDirectory(), IsFullPath(string path), JoinFullPath(string path), JoinFullPath(string path1, string path2), JoinFullPath(string path1, string path2, string path3), JoinFullPath(string path1, string path2, string path3, string path4), JoinFullPath(string path1, string path2, string path3, string path4, string path5), JoinFullPath(string path1, string path2, string path3, string path4, string path5, string path6)</x:v>
      </x:c>
      <x:c r="H6" s="180" t="str">
        <x:v>—（待核）</x:v>
      </x:c>
      <x:c r="I6" s="180" t="str">
        <x:v>CommonInterfaces.AppHelper</x:v>
      </x:c>
      <x:c r="J6" s="179" t="str">
        <x:v>静态类</x:v>
      </x:c>
      <x:c r="K6" s="180" t="str">
        <x:v>V1.19 C-0059；原实施方式：原有。迁移风险：查询程序可执行路径、应用目录等进程环境信息</x:v>
      </x:c>
      <x:c r="L6" s="183" t="str">
        <x:v>源代码声明·待复核</x:v>
      </x:c>
      <x:c r="M6" s="183" t="str">
        <x:v>C-0059</x:v>
      </x:c>
      <x:c r="N6" s="184" t="str">
        <x:v>Platform/CommonInterfaces/AppHelper.cs</x:v>
      </x:c>
      <x:c r="O6" s="183" t="str">
        <x:v>V1.19旧源码类型（真实成员/实现仍待核）
V2.01：来源ID对应；处置=保留源码·公开契约复核
V7.8：V7.8同名且源文件对应；Platform/CommonInterfaces/AppHelper.cs</x:v>
      </x:c>
      <x:c r="P6" s="136" t="str">
        <x:v>V1.19旧源码类型（真实成员/实现仍待核）</x:v>
      </x:c>
      <x:c r="Q6"/>
      <x:c r="R6"/>
      <x:c r="S6"/>
    </x:row>
    <x:row r="7" ht="72" customHeight="1">
      <x:c r="A7" s="179" t="str">
        <x:v>F17</x:v>
      </x:c>
      <x:c r="B7" s="180" t="str">
        <x:v>通信与通道｜传输描述与缓冲基础
Transport Buffers</x:v>
      </x:c>
      <x:c r="C7" s="180" t="str">
        <x:v>FTBMachineProfile</x:v>
      </x:c>
      <x:c r="D7" s="179" t="str">
        <x:v>原有·待核</x:v>
      </x:c>
      <x:c r="E7" s="180" t="str">
        <x:v>读取机器标识和许可验证相关参数</x:v>
      </x:c>
      <x:c r="F7" s="180" t="str">
        <x:v>MechanicalHashCode, MechanicalNumber, LineTitle, LineStart, LineCountMax, LineCountDefault, LineNumbers, LineCount, S_KEY_LineEnabledCount</x:v>
      </x:c>
      <x:c r="G7" s="180" t="str">
        <x:v>GetMechanicalId(), GetVerifyKey(), GeneratePassword(string machineId)</x:v>
      </x:c>
      <x:c r="H7" s="180" t="str">
        <x:v>—（待核）</x:v>
      </x:c>
      <x:c r="I7" s="180" t="str">
        <x:v>CommonInterfaces.MachineProfile</x:v>
      </x:c>
      <x:c r="J7" s="179" t="str">
        <x:v>静态类</x:v>
      </x:c>
      <x:c r="K7" s="180" t="str">
        <x:v>V1.19 C-0060；原实施方式：原有。迁移风险：读取机器标识和许可验证相关参数</x:v>
      </x:c>
      <x:c r="L7" s="183" t="str">
        <x:v>源代码声明·待复核</x:v>
      </x:c>
      <x:c r="M7" s="183" t="str">
        <x:v>C-0060</x:v>
      </x:c>
      <x:c r="N7" s="184" t="str">
        <x:v>Platform/CommonInterfaces/MachineProfile.cs</x:v>
      </x:c>
      <x:c r="O7" s="183" t="str">
        <x:v>V1.19旧源码类型（真实成员/实现仍待核）
V2.01：来源ID对应；处置=保留源码·公开契约复核
V7.8：V7.8同名且源文件对应；Platform/CommonInterfaces/MachineProfile.cs</x:v>
      </x:c>
      <x:c r="P7" s="136" t="str">
        <x:v>V1.19旧源码类型（真实成员/实现仍待核）</x:v>
      </x:c>
      <x:c r="Q7"/>
      <x:c r="R7"/>
      <x:c r="S7"/>
    </x:row>
    <x:row r="8" ht="72" customHeight="1">
      <x:c r="A8" s="179" t="str">
        <x:v>F17</x:v>
      </x:c>
      <x:c r="B8" s="180" t="str">
        <x:v>通信与通道｜传输描述与缓冲基础
Transport Buffers</x:v>
      </x:c>
      <x:c r="C8" s="180" t="str">
        <x:v>FTBNetHelper</x:v>
      </x:c>
      <x:c r="D8" s="179" t="str">
        <x:v>原有·待核</x:v>
      </x:c>
      <x:c r="E8" s="180" t="str">
        <x:v>校验网络地址、端口与基础网络格式</x:v>
      </x:c>
      <x:c r="F8" s="180" t="str">
        <x:v>—（无公开声明或待核对）</x:v>
      </x:c>
      <x:c r="G8" s="180" t="str">
        <x:v>ValidateIPv4(string ipString), ValidatePort(string portString), ValidatePort(decimal port)</x:v>
      </x:c>
      <x:c r="H8" s="180" t="str">
        <x:v>—（待核）</x:v>
      </x:c>
      <x:c r="I8" s="180" t="str">
        <x:v>CommonInterfaces.NetHelper</x:v>
      </x:c>
      <x:c r="J8" s="179" t="str">
        <x:v>静态类</x:v>
      </x:c>
      <x:c r="K8" s="180" t="str">
        <x:v>V1.19 C-0061；原实施方式：原有。迁移风险：ValidateIPv4和ValidatePort是纯输入校验，可作为基础F17；不代表已有网络通道、重连或协议能力。</x:v>
      </x:c>
      <x:c r="L8" s="183" t="str">
        <x:v>源代码声明·待复核</x:v>
      </x:c>
      <x:c r="M8" s="183" t="str">
        <x:v>C-0061</x:v>
      </x:c>
      <x:c r="N8" s="184" t="str">
        <x:v>Platform/CommonInterfaces/NetHelper.cs</x:v>
      </x:c>
      <x:c r="O8" s="183" t="str">
        <x:v>V1.19旧源码类型（真实成员/实现仍待核）
V2.01：来源ID对应；处置=保留源码·公开契约复核
V7.8：V7.8同名且源文件对应；Platform/CommonInterfaces/NetHelper.cs</x:v>
      </x:c>
      <x:c r="P8" s="136" t="str">
        <x:v>V1.19旧源码类型（真实成员/实现仍待核）</x:v>
      </x:c>
      <x:c r="Q8"/>
      <x:c r="R8"/>
      <x:c r="S8"/>
    </x:row>
    <x:row r="9" ht="72" customHeight="1">
      <x:c r="A9" s="179" t="str">
        <x:v>F17</x:v>
      </x:c>
      <x:c r="B9" s="180" t="str">
        <x:v>通信与通道｜传输描述与缓冲基础
Transport Buffers</x:v>
      </x:c>
      <x:c r="C9" s="180" t="str">
        <x:v>FTBProcessHelper</x:v>
      </x:c>
      <x:c r="D9" s="179" t="str">
        <x:v>原有·待核</x:v>
      </x:c>
      <x:c r="E9" s="180" t="str">
        <x:v>查询进程路径、工作目录及处理相关进程操作</x:v>
      </x:c>
      <x:c r="F9" s="180" t="str">
        <x:v>—（无公开声明或待核对）</x:v>
      </x:c>
      <x:c r="G9" s="180" t="str">
        <x:v>GetProcessFullPath(string procName), GetWorkingDirectory(Process p), KillProcess(string processName), KillProcess(Process process), GetSystemAndProcessInfo(stringprocessNames, out StringBuilder sbSystemInfo)</x:v>
      </x:c>
      <x:c r="H9" s="180" t="str">
        <x:v>—（待核）</x:v>
      </x:c>
      <x:c r="I9" s="180" t="str">
        <x:v>CommonInterfaces.ProcessHelper</x:v>
      </x:c>
      <x:c r="J9" s="179" t="str">
        <x:v>静态类</x:v>
      </x:c>
      <x:c r="K9" s="180" t="str">
        <x:v>V1.19 C-0062；原实施方式：原有。迁移风险：查询进程路径、工作目录及处理相关进程操作；该类型名称显示可能承担状态或服务，应核实是否必须留在基础。</x:v>
      </x:c>
      <x:c r="L9" s="183" t="str">
        <x:v>源代码声明·待复核</x:v>
      </x:c>
      <x:c r="M9" s="183" t="str">
        <x:v>C-0062</x:v>
      </x:c>
      <x:c r="N9" s="184" t="str">
        <x:v>Platform/CommonInterfaces/ProcessHelper.cs</x:v>
      </x:c>
      <x:c r="O9" s="183" t="str">
        <x:v>V1.19旧源码类型（真实成员/实现仍待核）
V2.01：来源ID对应；处置=保留源码·公开契约复核
V7.8：V7.8同名且源文件对应；Platform/CommonInterfaces/ProcessHelper.cs</x:v>
      </x:c>
      <x:c r="P9" s="136" t="str">
        <x:v>V1.19旧源码类型（真实成员/实现仍待核）</x:v>
      </x:c>
      <x:c r="Q9"/>
      <x:c r="R9"/>
      <x:c r="S9"/>
    </x:row>
    <x:row r="10" ht="72" customHeight="1">
      <x:c r="A10" s="179" t="str">
        <x:v>F17</x:v>
      </x:c>
      <x:c r="B10" s="180" t="str">
        <x:v>通信与通道｜传输描述与缓冲基础
Transport Buffers</x:v>
      </x:c>
      <x:c r="C10" s="180" t="str">
        <x:v>FTBWin32ApiHelper</x:v>
      </x:c>
      <x:c r="D10" s="179" t="str">
        <x:v>原有·待核</x:v>
      </x:c>
      <x:c r="E10" s="180" t="str">
        <x:v>封装Win32内存拷贝与进程工作集等本机调用</x:v>
      </x:c>
      <x:c r="F10" s="180" t="str">
        <x:v>—（无公开声明或待核对）</x:v>
      </x:c>
      <x:c r="G10" s="180" t="str">
        <x:v>CopyMemory(IntPtr dest, IntPtr src, uint count), SetProcessWorkingSetSize(IntPtr process, int minSize, int maxSize), ClearMemory()</x:v>
      </x:c>
      <x:c r="H10" s="180" t="str">
        <x:v>—（待核）</x:v>
      </x:c>
      <x:c r="I10" s="180" t="str">
        <x:v>CommonInterfaces.Win32ApiHelper</x:v>
      </x:c>
      <x:c r="J10" s="179" t="str">
        <x:v>静态类</x:v>
      </x:c>
      <x:c r="K10" s="180" t="str">
        <x:v>V1.19 C-0063；原实施方式：原有。迁移风险：封装Win32内存拷贝与进程工作集等本机调用</x:v>
      </x:c>
      <x:c r="L10" s="183" t="str">
        <x:v>源代码声明·待复核</x:v>
      </x:c>
      <x:c r="M10" s="183" t="str">
        <x:v>C-0063</x:v>
      </x:c>
      <x:c r="N10" s="184" t="str">
        <x:v>Platform/CommonInterfaces/Win32ApiHelper.cs</x:v>
      </x:c>
      <x:c r="O10" s="183" t="str">
        <x:v>V1.19旧源码类型（真实成员/实现仍待核）
V2.01：来源ID对应；处置=保留源码·公开契约复核
V7.8：V7.8同名且源文件对应；Platform/CommonInterfaces/Win32ApiHelper.cs</x:v>
      </x:c>
      <x:c r="P10" s="136" t="str">
        <x:v>V1.19旧源码类型（真实成员/实现仍待核）</x:v>
      </x:c>
      <x:c r="Q10"/>
      <x:c r="R10"/>
      <x:c r="S10"/>
    </x:row>
    <x:row r="11" ht="72" customHeight="1">
      <x:c r="A11" s="179" t="str">
        <x:v>F17</x:v>
      </x:c>
      <x:c r="B11" s="180" t="str">
        <x:v>通信与通道｜传输描述与缓冲基础
Transport Buffers</x:v>
      </x:c>
      <x:c r="C11" s="180" t="str">
        <x:v>FTBChannelFrame</x:v>
      </x:c>
      <x:c r="D11" s="179" t="str">
        <x:v>增构候选·待查重</x:v>
      </x:c>
      <x:c r="E11" s="180" t="str">
        <x:v>表达和承载通道数据帧的基础数据或计算参数</x:v>
      </x:c>
      <x:c r="F11" s="180" t="str">
        <x:v>Payload；Sequence；Timestamp</x:v>
      </x:c>
      <x:c r="G11" s="180" t="str">
        <x:v>Validate</x:v>
      </x:c>
      <x:c r="H11" s="180" t="str">
        <x:v>待逐对象核实</x:v>
      </x:c>
      <x:c r="I11" s="180" t="str">
        <x:v>ChannelFrame</x:v>
      </x:c>
      <x:c r="J11" s="179" t="str">
        <x:v>值类型候选</x:v>
      </x:c>
      <x:c r="K11" s="180" t="str">
        <x:v>生命周期：基础数据/值对象</x:v>
      </x:c>
      <x:c r="L11" s="183" t="str">
        <x:v>设计候选，尚待源码验证</x:v>
      </x:c>
      <x:c r="M11" s="183" t="str">
        <x:v>F17.ChannelFrame</x:v>
      </x:c>
      <x:c r="N11" s="184" t="str">
        <x:v>05_基础对象与基础计算!C179</x:v>
      </x:c>
      <x:c r="O11" s="183" t="str">
        <x:v>V4.9对象/属性/方法
V2.01：名称/子方面线索；处置=规划独立契约候选·未批准新增
V7.8：V7.8未检出同名词法声明</x:v>
      </x:c>
      <x:c r="P11" s="136" t="str">
        <x:v>V4.9对象/属性/方法</x:v>
      </x:c>
      <x:c r="Q11"/>
      <x:c r="R11"/>
      <x:c r="S11"/>
    </x:row>
    <x:row r="12" ht="72" customHeight="1">
      <x:c r="A12" s="179" t="str">
        <x:v>F17</x:v>
      </x:c>
      <x:c r="B12" s="180" t="str">
        <x:v>通信与通道｜传输描述与缓冲基础
Transport Buffers</x:v>
      </x:c>
      <x:c r="C12" s="180" t="str">
        <x:v>FTBChannelMetricSample</x:v>
      </x:c>
      <x:c r="D12" s="179" t="str">
        <x:v>增构候选·待查重</x:v>
      </x:c>
      <x:c r="E12" s="180" t="str">
        <x:v>表达和承载通道指标样本的基础数据或计算参数</x:v>
      </x:c>
      <x:c r="F12" s="180" t="str">
        <x:v>Bytes；Latency；Errors</x:v>
      </x:c>
      <x:c r="G12" s="180" t="str">
        <x:v>Aggregate</x:v>
      </x:c>
      <x:c r="H12" s="180" t="str">
        <x:v>待逐对象核实</x:v>
      </x:c>
      <x:c r="I12" s="180" t="str">
        <x:v>ChannelMetricSample</x:v>
      </x:c>
      <x:c r="J12" s="179" t="str">
        <x:v>值类型候选</x:v>
      </x:c>
      <x:c r="K12" s="180" t="str">
        <x:v>生命周期：基础数据/值对象</x:v>
      </x:c>
      <x:c r="L12" s="183" t="str">
        <x:v>设计候选，尚待源码验证</x:v>
      </x:c>
      <x:c r="M12" s="183" t="str">
        <x:v>F17.ChannelMetricSample</x:v>
      </x:c>
      <x:c r="N12" s="184" t="str">
        <x:v>05_基础对象与基础计算!C180</x:v>
      </x:c>
      <x:c r="O12" s="183" t="str">
        <x:v>V4.9对象/属性/方法
V2.01：名称/子方面线索；处置=规划独立契约候选·未批准新增
V7.8：V7.8未检出同名词法声明</x:v>
      </x:c>
      <x:c r="P12" s="136" t="str">
        <x:v>V4.9对象/属性/方法</x:v>
      </x:c>
      <x:c r="Q12"/>
      <x:c r="R12"/>
      <x:c r="S12"/>
    </x:row>
    <x:row r="13" ht="72" customHeight="1">
      <x:c r="A13" s="179" t="str">
        <x:v>F17</x:v>
      </x:c>
      <x:c r="B13" s="180" t="str">
        <x:v>通信与通道｜传输描述与缓冲基础
Transport Buffers</x:v>
      </x:c>
      <x:c r="C13" s="180" t="str">
        <x:v>FTBEndpointAddress</x:v>
      </x:c>
      <x:c r="D13" s="179" t="str">
        <x:v>增构候选·待查重</x:v>
      </x:c>
      <x:c r="E13" s="180" t="str">
        <x:v>表达和承载端点地址的基础数据或计算参数</x:v>
      </x:c>
      <x:c r="F13" s="180" t="str">
        <x:v>Scheme；Host；Port</x:v>
      </x:c>
      <x:c r="G13" s="180" t="str">
        <x:v>Parse；Format</x:v>
      </x:c>
      <x:c r="H13" s="180" t="str">
        <x:v>待逐对象核实</x:v>
      </x:c>
      <x:c r="I13" s="180" t="str">
        <x:v>EndpointAddress</x:v>
      </x:c>
      <x:c r="J13" s="179" t="str">
        <x:v>值类型候选</x:v>
      </x:c>
      <x:c r="K13" s="180" t="str">
        <x:v>生命周期：基础数据/值对象</x:v>
      </x:c>
      <x:c r="L13" s="183" t="str">
        <x:v>设计候选，尚待源码验证</x:v>
      </x:c>
      <x:c r="M13" s="183" t="str">
        <x:v>F17.EndpointAddress</x:v>
      </x:c>
      <x:c r="N13" s="184" t="str">
        <x:v>05_基础对象与基础计算!C181</x:v>
      </x:c>
      <x:c r="O13" s="183" t="str">
        <x:v>V4.9对象/属性/方法
V2.01：名称/子方面线索；处置=规划独立契约候选·未批准新增
V7.8：V7.8未检出同名词法声明</x:v>
      </x:c>
      <x:c r="P13" s="136" t="str">
        <x:v>V4.9对象/属性/方法</x:v>
      </x:c>
      <x:c r="Q13"/>
      <x:c r="R13"/>
      <x:c r="S13"/>
    </x:row>
    <x:row r="14" ht="72" customHeight="1">
      <x:c r="A14" s="179" t="str">
        <x:v>F17</x:v>
      </x:c>
      <x:c r="B14" s="180" t="str">
        <x:v>通信与通道｜传输描述与缓冲基础
Transport Buffers</x:v>
      </x:c>
      <x:c r="C14" s="180" t="str">
        <x:v>FTBNetworkByteOrder</x:v>
      </x:c>
      <x:c r="D14" s="179" t="str">
        <x:v>增构候选·待查重</x:v>
      </x:c>
      <x:c r="E14" s="180" t="str">
        <x:v>表达和承载网络字节序工具的基础数据或计算参数</x:v>
      </x:c>
      <x:c r="F14" s="180" t="str">
        <x:v>Endian</x:v>
      </x:c>
      <x:c r="G14" s="180" t="str">
        <x:v>Swap；Convert</x:v>
      </x:c>
      <x:c r="H14" s="180" t="str">
        <x:v>待逐对象核实</x:v>
      </x:c>
      <x:c r="I14" s="180" t="str">
        <x:v>NetworkByteOrder</x:v>
      </x:c>
      <x:c r="J14" s="179" t="str">
        <x:v>值类型候选</x:v>
      </x:c>
      <x:c r="K14" s="180" t="str">
        <x:v>生命周期：基础数据/值对象</x:v>
      </x:c>
      <x:c r="L14" s="183" t="str">
        <x:v>设计候选，尚待源码验证</x:v>
      </x:c>
      <x:c r="M14" s="183" t="str">
        <x:v>F17.NetworkByteOrder</x:v>
      </x:c>
      <x:c r="N14" s="184" t="str">
        <x:v>05_基础对象与基础计算!C182</x:v>
      </x:c>
      <x:c r="O14" s="183" t="str">
        <x:v>V4.9对象/属性/方法
V2.01：名称/子方面线索；处置=规划独立契约候选·未批准新增
V7.8：V7.8未检出同名词法声明</x:v>
      </x:c>
      <x:c r="P14" s="136" t="str">
        <x:v>V4.9对象/属性/方法</x:v>
      </x:c>
      <x:c r="Q14"/>
      <x:c r="R14"/>
      <x:c r="S14"/>
    </x:row>
    <x:row r="15" ht="72" customHeight="1">
      <x:c r="A15" s="179" t="str">
        <x:v>F17</x:v>
      </x:c>
      <x:c r="B15" s="180" t="str">
        <x:v>通信与通道｜传输描述与缓冲基础
Transport Buffers</x:v>
      </x:c>
      <x:c r="C15" s="180" t="str">
        <x:v>FTBNetworkUriUtil</x:v>
      </x:c>
      <x:c r="D15" s="179" t="str">
        <x:v>增构候选·待查重</x:v>
      </x:c>
      <x:c r="E15" s="180" t="str">
        <x:v>提供无状态网络地址工具运算，不持有会话/设备/全局缓存</x:v>
      </x:c>
      <x:c r="F15" s="180" t="str">
        <x:v>Uri；Scheme</x:v>
      </x:c>
      <x:c r="G15" s="180" t="str">
        <x:v>Normalize；Validate</x:v>
      </x:c>
      <x:c r="H15" s="180" t="str">
        <x:v>待逐对象核实</x:v>
      </x:c>
      <x:c r="I15" s="180" t="str">
        <x:v>NetworkUriUtil</x:v>
      </x:c>
      <x:c r="J15" s="179" t="str">
        <x:v>静态类</x:v>
      </x:c>
      <x:c r="K15" s="180" t="str">
        <x:v>生命周期：基础值/纯计算</x:v>
      </x:c>
      <x:c r="L15" s="183" t="str">
        <x:v>设计候选，尚待源码验证</x:v>
      </x:c>
      <x:c r="M15" s="183" t="str">
        <x:v>F17.NetworkUriUtil</x:v>
      </x:c>
      <x:c r="N15" s="184" t="str">
        <x:v>05_基础对象与基础计算!C183</x:v>
      </x:c>
      <x:c r="O15" s="183" t="str">
        <x:v>V4.9对象/属性/方法
V2.01：名称/子方面线索；处置=规划独立契约候选·未批准新增
V7.8：V7.8未检出同名词法声明</x:v>
      </x:c>
      <x:c r="P15" s="136" t="str">
        <x:v>V4.9对象/属性/方法</x:v>
      </x:c>
      <x:c r="Q15"/>
      <x:c r="R15"/>
      <x:c r="S15"/>
    </x:row>
    <x:row r="16" ht="72" customHeight="1">
      <x:c r="A16" s="179" t="str">
        <x:v>F17</x:v>
      </x:c>
      <x:c r="B16" s="180" t="str">
        <x:v>通信与通道｜传输描述与缓冲基础
Transport Buffers</x:v>
      </x:c>
      <x:c r="C16" s="180" t="str">
        <x:v>FTBPacketBuffer</x:v>
      </x:c>
      <x:c r="D16" s="179" t="str">
        <x:v>增构候选·待查重</x:v>
      </x:c>
      <x:c r="E16" s="180" t="str">
        <x:v>表达和承载数据包缓冲的基础数据或计算参数</x:v>
      </x:c>
      <x:c r="F16" s="180" t="str">
        <x:v>Capacity；Length</x:v>
      </x:c>
      <x:c r="G16" s="180" t="str">
        <x:v>Read；Write</x:v>
      </x:c>
      <x:c r="H16" s="180" t="str">
        <x:v>待逐对象核实</x:v>
      </x:c>
      <x:c r="I16" s="180" t="str">
        <x:v>可释放数据容器</x:v>
      </x:c>
      <x:c r="J16" s="179" t="str">
        <x:v>类/实例候选</x:v>
      </x:c>
      <x:c r="K16" s="180" t="str">
        <x:v>生命周期：基础数据/值对象</x:v>
      </x:c>
      <x:c r="L16" s="183" t="str">
        <x:v>设计候选，尚待源码验证</x:v>
      </x:c>
      <x:c r="M16" s="183" t="str">
        <x:v>F17.PacketBuffer</x:v>
      </x:c>
      <x:c r="N16" s="184"/>
      <x:c r="O16" s="183" t="str">
        <x:v>V4.9对象/属性/方法
V2.01：未匹配V2.01；处置=暂无可信对应
V7.8：V7.8未检出同名词法声明</x:v>
      </x:c>
      <x:c r="P16" s="136" t="str">
        <x:v>V4.9对象/属性/方法</x:v>
      </x:c>
      <x:c r="Q16"/>
      <x:c r="R16"/>
      <x:c r="S16"/>
    </x:row>
    <x:row r="17" ht="72" customHeight="1">
      <x:c r="A17" s="179" t="str">
        <x:v>F17</x:v>
      </x:c>
      <x:c r="B17" s="180" t="str">
        <x:v>通信与通道｜传输描述与缓冲基础
Transport Buffers</x:v>
      </x:c>
      <x:c r="C17" s="180" t="str">
        <x:v>FTBPacketFramingOps</x:v>
      </x:c>
      <x:c r="D17" s="179" t="str">
        <x:v>增构候选·待查重</x:v>
      </x:c>
      <x:c r="E17" s="180" t="str">
        <x:v>提供无状态消息分帧算法运算，不持有会话/设备/全局缓存</x:v>
      </x:c>
      <x:c r="F17" s="180" t="str">
        <x:v>Length；Delimiter</x:v>
      </x:c>
      <x:c r="G17" s="180" t="str">
        <x:v>Split；Combine</x:v>
      </x:c>
      <x:c r="H17" s="180" t="str">
        <x:v>待逐对象核实</x:v>
      </x:c>
      <x:c r="I17" s="180" t="str">
        <x:v>PacketFramingOps</x:v>
      </x:c>
      <x:c r="J17" s="179" t="str">
        <x:v>静态类</x:v>
      </x:c>
      <x:c r="K17" s="180" t="str">
        <x:v>生命周期：基础值/纯计算</x:v>
      </x:c>
      <x:c r="L17" s="183" t="str">
        <x:v>设计候选，尚待源码验证</x:v>
      </x:c>
      <x:c r="M17" s="183" t="str">
        <x:v>F17.PacketFramingOps</x:v>
      </x:c>
      <x:c r="N17" s="184" t="str">
        <x:v>05_基础对象与基础计算!C185</x:v>
      </x:c>
      <x:c r="O17" s="183" t="str">
        <x:v>V4.9对象/属性/方法
V2.01：名称/子方面线索；处置=规划独立契约候选·未批准新增
V7.8：V7.8未检出同名词法声明</x:v>
      </x:c>
      <x:c r="P17" s="136" t="str">
        <x:v>V4.9对象/属性/方法</x:v>
      </x:c>
      <x:c r="Q17"/>
      <x:c r="R17"/>
      <x:c r="S17"/>
    </x:row>
    <x:row r="18" ht="72" customHeight="1">
      <x:c r="A18" s="179" t="str">
        <x:v>F17</x:v>
      </x:c>
      <x:c r="B18" s="180" t="str">
        <x:v>通信与通道｜传输描述与缓冲基础
Transport Buffers</x:v>
      </x:c>
      <x:c r="C18" s="180" t="str">
        <x:v>FTBRingBuffer</x:v>
      </x:c>
      <x:c r="D18" s="179" t="str">
        <x:v>增构候选·待查重</x:v>
      </x:c>
      <x:c r="E18" s="180" t="str">
        <x:v>表达和承载环形缓冲的基础数据或计算参数</x:v>
      </x:c>
      <x:c r="F18" s="180" t="str">
        <x:v>ReadIndex；WriteIndex</x:v>
      </x:c>
      <x:c r="G18" s="180" t="str">
        <x:v>Enqueue；Dequeue</x:v>
      </x:c>
      <x:c r="H18" s="180" t="str">
        <x:v>待逐对象核实</x:v>
      </x:c>
      <x:c r="I18" s="180" t="str">
        <x:v>可释放数据容器</x:v>
      </x:c>
      <x:c r="J18" s="179" t="str">
        <x:v>类/实例候选</x:v>
      </x:c>
      <x:c r="K18" s="180" t="str">
        <x:v>生命周期：基础数据/值对象</x:v>
      </x:c>
      <x:c r="L18" s="183" t="str">
        <x:v>设计候选，尚待源码验证</x:v>
      </x:c>
      <x:c r="M18" s="183" t="str">
        <x:v>F17.RingBuffer</x:v>
      </x:c>
      <x:c r="N18" s="184"/>
      <x:c r="O18" s="183" t="str">
        <x:v>V4.9对象/属性/方法
V2.01：未匹配V2.01；处置=暂无可信对应
V7.8：V7.8未检出同名词法声明</x:v>
      </x:c>
      <x:c r="P18" s="136" t="str">
        <x:v>V4.9对象/属性/方法</x:v>
      </x:c>
      <x:c r="Q18"/>
      <x:c r="R18"/>
      <x:c r="S18"/>
    </x:row>
    <x:row r="19" ht="72" customHeight="1">
      <x:c r="A19" s="179" t="str">
        <x:v>F17</x:v>
      </x:c>
      <x:c r="B19" s="180" t="str">
        <x:v>通信与通道｜传输描述与缓冲基础
Transport Buffers</x:v>
      </x:c>
      <x:c r="C19" s="180" t="str">
        <x:v>FTBTransportChannelSpec</x:v>
      </x:c>
      <x:c r="D19" s="179" t="str">
        <x:v>增构候选·待查重</x:v>
      </x:c>
      <x:c r="E19" s="180" t="str">
        <x:v>表达和承载传输通道规格的基础数据或计算参数</x:v>
      </x:c>
      <x:c r="F19" s="180" t="str">
        <x:v>Transport；Options；Endpoint</x:v>
      </x:c>
      <x:c r="G19" s="180" t="str">
        <x:v>Compare</x:v>
      </x:c>
      <x:c r="H19" s="180" t="str">
        <x:v>待逐对象核实</x:v>
      </x:c>
      <x:c r="I19" s="180" t="str">
        <x:v>TransportChannelSpec</x:v>
      </x:c>
      <x:c r="J19" s="179" t="str">
        <x:v>值类型候选</x:v>
      </x:c>
      <x:c r="K19" s="180" t="str">
        <x:v>生命周期：基础数据/值对象</x:v>
      </x:c>
      <x:c r="L19" s="183" t="str">
        <x:v>设计候选，尚待源码验证</x:v>
      </x:c>
      <x:c r="M19" s="183" t="str">
        <x:v>F17.TransportChannelSpec</x:v>
      </x:c>
      <x:c r="N19" s="184" t="str">
        <x:v>05_基础对象与基础计算!C187</x:v>
      </x:c>
      <x:c r="O19" s="183" t="str">
        <x:v>V4.9对象/属性/方法
V2.01：名称/子方面线索；处置=规划独立契约候选·未批准新增
V7.8：V7.8未检出同名词法声明</x:v>
      </x:c>
      <x:c r="P19" s="136" t="str">
        <x:v>V4.9对象/属性/方法</x:v>
      </x:c>
      <x:c r="Q19"/>
      <x:c r="R19"/>
      <x:c r="S19"/>
    </x:row>
    <x:row r="20" ht="72" customHeight="1">
      <x:c r="A20" s="179" t="str">
        <x:v>F17</x:v>
      </x:c>
      <x:c r="B20" s="180" t="str">
        <x:v>通信与通道｜传输描述与缓冲基础
Transport Buffers</x:v>
      </x:c>
      <x:c r="C20" s="180" t="str">
        <x:v>FTBTransportRetryMath</x:v>
      </x:c>
      <x:c r="D20" s="179" t="str">
        <x:v>增构候选·待查重</x:v>
      </x:c>
      <x:c r="E20" s="180" t="str">
        <x:v>提供无状态重试退避计算运算，不持有会话/设备/全局缓存</x:v>
      </x:c>
      <x:c r="F20" s="180" t="str">
        <x:v>Attempt；Base；Max</x:v>
      </x:c>
      <x:c r="G20" s="180" t="str">
        <x:v>Compute</x:v>
      </x:c>
      <x:c r="H20" s="180" t="str">
        <x:v>待逐对象核实</x:v>
      </x:c>
      <x:c r="I20" s="180" t="str">
        <x:v>TransportRetryMath</x:v>
      </x:c>
      <x:c r="J20" s="179" t="str">
        <x:v>静态类</x:v>
      </x:c>
      <x:c r="K20" s="180" t="str">
        <x:v>生命周期：基础值/纯计算</x:v>
      </x:c>
      <x:c r="L20" s="183" t="str">
        <x:v>设计候选，尚待源码验证</x:v>
      </x:c>
      <x:c r="M20" s="183" t="str">
        <x:v>F17.TransportRetryMath</x:v>
      </x:c>
      <x:c r="N20" s="184" t="str">
        <x:v>05_基础对象与基础计算!C188</x:v>
      </x:c>
      <x:c r="O20" s="183" t="str">
        <x:v>V4.9对象/属性/方法
V2.01：名称/子方面线索；处置=规划独立契约候选·未批准新增
V7.8：V7.8未检出同名词法声明</x:v>
      </x:c>
      <x:c r="P20" s="136" t="str">
        <x:v>V4.9对象/属性/方法</x:v>
      </x:c>
      <x:c r="Q20"/>
      <x:c r="R20"/>
      <x:c r="S20"/>
    </x:row>
    <x:row r="21" ht="72" customHeight="1">
      <x:c r="A21" s="179" t="str">
        <x:v>F17</x:v>
      </x:c>
      <x:c r="B21" s="180" t="str">
        <x:v>通信与通道｜传输描述与缓冲基础
Transport Buffers</x:v>
      </x:c>
      <x:c r="C21" s="180" t="str">
        <x:v>IFTBPacketBuffer</x:v>
      </x:c>
      <x:c r="D21" s="179" t="str">
        <x:v>增构候选·待查重</x:v>
      </x:c>
      <x:c r="E21" s="180" t="str">
        <x:v>表达和承载数据包缓冲的基础数据或计算参数</x:v>
      </x:c>
      <x:c r="F21" s="180" t="str">
        <x:v>Capacity, Length</x:v>
      </x:c>
      <x:c r="G21" s="180" t="str">
        <x:v>Read(), Write()</x:v>
      </x:c>
      <x:c r="H21" s="180" t="str">
        <x:v>—（待核）</x:v>
      </x:c>
      <x:c r="I21" s="180" t="str">
        <x:v>PacketBuffer</x:v>
      </x:c>
      <x:c r="J21" s="179" t="str">
        <x:v>类/接口/枚举（待裁决）</x:v>
      </x:c>
      <x:c r="K21" s="180" t="str">
        <x:v>V1.19 S-0179；原实施方式：增构候选。迁移风险：表达和承载数据包缓冲的基础数据或计算参数</x:v>
      </x:c>
      <x:c r="L21" s="183" t="str">
        <x:v>V1.19设计候选·待核</x:v>
      </x:c>
      <x:c r="M21" s="183" t="str">
        <x:v>S-0179</x:v>
      </x:c>
      <x:c r="N21" s="184" t="str">
        <x:v>05_基础对象与基础计算!C184</x:v>
      </x:c>
      <x:c r="O21" s="183" t="str">
        <x:v>V1.19旧规格候选
V2.01：来源ID对应；处置=规划独立契约候选·未批准新增
V7.8：V7.8未检出同名词法声明</x:v>
      </x:c>
      <x:c r="P21" s="136" t="str">
        <x:v>V1.19旧规格候选</x:v>
      </x:c>
      <x:c r="Q21"/>
      <x:c r="R21"/>
      <x:c r="S21"/>
    </x:row>
    <x:row r="22" ht="72" customHeight="1">
      <x:c r="A22" s="179" t="str">
        <x:v>F17</x:v>
      </x:c>
      <x:c r="B22" s="180" t="str">
        <x:v>通信与通道｜传输描述与缓冲基础
Transport Buffers</x:v>
      </x:c>
      <x:c r="C22" s="180" t="str">
        <x:v>IFTBRingBuffer</x:v>
      </x:c>
      <x:c r="D22" s="179" t="str">
        <x:v>增构候选·待查重</x:v>
      </x:c>
      <x:c r="E22" s="180" t="str">
        <x:v>表达和承载环形缓冲的基础数据或计算参数</x:v>
      </x:c>
      <x:c r="F22" s="180" t="str">
        <x:v>ReadIndex, WriteIndex</x:v>
      </x:c>
      <x:c r="G22" s="180" t="str">
        <x:v>Enqueue(), Dequeue()</x:v>
      </x:c>
      <x:c r="H22" s="180" t="str">
        <x:v>—（待核）</x:v>
      </x:c>
      <x:c r="I22" s="180" t="str">
        <x:v>RingBuffer</x:v>
      </x:c>
      <x:c r="J22" s="179" t="str">
        <x:v>类/接口/枚举（待裁决）</x:v>
      </x:c>
      <x:c r="K22" s="180" t="str">
        <x:v>V1.19 S-0181；原实施方式：增构候选。迁移风险：表达和承载环形缓冲的基础数据或计算参数</x:v>
      </x:c>
      <x:c r="L22" s="183" t="str">
        <x:v>V1.19设计候选·待核</x:v>
      </x:c>
      <x:c r="M22" s="183" t="str">
        <x:v>S-0181</x:v>
      </x:c>
      <x:c r="N22" s="184" t="str">
        <x:v>05_基础对象与基础计算!C186</x:v>
      </x:c>
      <x:c r="O22" s="183" t="str">
        <x:v>V1.19旧规格候选
V2.01：来源ID对应；处置=规划独立契约候选·未批准新增
V7.8：V7.8未检出同名词法声明</x:v>
      </x:c>
      <x:c r="P22" s="136" t="str">
        <x:v>V1.19旧规格候选</x:v>
      </x:c>
      <x:c r="Q22"/>
      <x:c r="R22"/>
      <x:c r="S22"/>
    </x:row>
    <x:row r="23" ht="72" customHeight="1">
      <x:c r="A23" s="188"/>
      <x:c r="B23" s="187"/>
      <x:c r="C23" s="187"/>
      <x:c r="D23" s="188"/>
      <x:c r="E23" s="187"/>
      <x:c r="F23" s="187"/>
      <x:c r="G23" s="187"/>
      <x:c r="H23" s="187"/>
      <x:c r="I23" s="187"/>
      <x:c r="J23" s="188"/>
      <x:c r="K23" s="187"/>
      <x:c r="L23" s="190"/>
      <x:c r="M23" s="190"/>
      <x:c r="N23" s="190"/>
      <x:c r="O23" s="190"/>
      <x:c r="P23" s="46"/>
      <x:c r="Q23" s="46"/>
      <x:c r="R23" s="46"/>
      <x:c r="S23" s="46"/>
    </x:row>
    <x:row r="24" ht="72" customHeight="1">
      <x:c r="A24" s="188"/>
      <x:c r="B24" s="187"/>
      <x:c r="C24" s="187"/>
      <x:c r="D24" s="188"/>
      <x:c r="E24" s="187"/>
      <x:c r="F24" s="187"/>
      <x:c r="G24" s="187"/>
      <x:c r="H24" s="187"/>
      <x:c r="I24" s="187"/>
      <x:c r="J24" s="188"/>
      <x:c r="K24" s="187"/>
      <x:c r="L24" s="190"/>
      <x:c r="M24" s="190"/>
      <x:c r="N24" s="190"/>
      <x:c r="O24" s="190"/>
      <x:c r="P24" s="46"/>
      <x:c r="Q24" s="46"/>
      <x:c r="R24" s="46"/>
      <x:c r="S24" s="46"/>
    </x:row>
    <x:row r="25" ht="72" customHeight="1">
      <x:c r="A25" s="188"/>
      <x:c r="B25" s="187"/>
      <x:c r="C25" s="187"/>
      <x:c r="D25" s="188"/>
      <x:c r="E25" s="187"/>
      <x:c r="F25" s="187"/>
      <x:c r="G25" s="187"/>
      <x:c r="H25" s="187"/>
      <x:c r="I25" s="187"/>
      <x:c r="J25" s="188"/>
      <x:c r="K25" s="187"/>
      <x:c r="L25" s="190"/>
      <x:c r="M25" s="190"/>
      <x:c r="N25" s="190"/>
      <x:c r="O25" s="190"/>
      <x:c r="P25" s="46"/>
      <x:c r="Q25" s="46"/>
      <x:c r="R25" s="46"/>
      <x:c r="S25" s="46"/>
    </x:row>
    <x:row r="26" ht="72" customHeight="1">
      <x:c r="A26" s="188"/>
      <x:c r="B26" s="187"/>
      <x:c r="C26" s="187"/>
      <x:c r="D26" s="188"/>
      <x:c r="E26" s="187"/>
      <x:c r="F26" s="187"/>
      <x:c r="G26" s="187"/>
      <x:c r="H26" s="187"/>
      <x:c r="I26" s="187"/>
      <x:c r="J26" s="188"/>
      <x:c r="K26" s="187"/>
      <x:c r="L26" s="190"/>
      <x:c r="M26" s="190"/>
      <x:c r="N26" s="190"/>
      <x:c r="O26" s="190"/>
      <x:c r="P26" s="46"/>
      <x:c r="Q26" s="46"/>
      <x:c r="R26" s="46"/>
      <x:c r="S26" s="46"/>
    </x:row>
    <x:row r="27" ht="72" customHeight="1">
      <x:c r="A27" s="188"/>
      <x:c r="B27" s="187"/>
      <x:c r="C27" s="187"/>
      <x:c r="D27" s="188"/>
      <x:c r="E27" s="187"/>
      <x:c r="F27" s="187"/>
      <x:c r="G27" s="187"/>
      <x:c r="H27" s="187"/>
      <x:c r="I27" s="187"/>
      <x:c r="J27" s="188"/>
      <x:c r="K27" s="187"/>
      <x:c r="L27" s="190"/>
      <x:c r="M27" s="190"/>
      <x:c r="N27" s="190"/>
      <x:c r="O27" s="190"/>
      <x:c r="P27" s="46"/>
      <x:c r="Q27" s="46"/>
      <x:c r="R27" s="46"/>
      <x:c r="S27" s="46"/>
    </x:row>
    <x:row r="28" ht="72" customHeight="1">
      <x:c r="A28" s="188"/>
      <x:c r="B28" s="187"/>
      <x:c r="C28" s="187"/>
      <x:c r="D28" s="188"/>
      <x:c r="E28" s="187"/>
      <x:c r="F28" s="187"/>
      <x:c r="G28" s="187"/>
      <x:c r="H28" s="187"/>
      <x:c r="I28" s="187"/>
      <x:c r="J28" s="188"/>
      <x:c r="K28" s="187"/>
      <x:c r="L28" s="190"/>
      <x:c r="M28" s="190"/>
      <x:c r="N28" s="190"/>
      <x:c r="O28" s="190"/>
      <x:c r="P28" s="46"/>
      <x:c r="Q28" s="46"/>
      <x:c r="R28" s="46"/>
      <x:c r="S28" s="46"/>
    </x:row>
    <x:row r="29" ht="72" customHeight="1">
      <x:c r="A29" s="188"/>
      <x:c r="B29" s="187"/>
      <x:c r="C29" s="187"/>
      <x:c r="D29" s="188"/>
      <x:c r="E29" s="187"/>
      <x:c r="F29" s="187"/>
      <x:c r="G29" s="187"/>
      <x:c r="H29" s="187"/>
      <x:c r="I29" s="187"/>
      <x:c r="J29" s="188"/>
      <x:c r="K29" s="187"/>
      <x:c r="L29" s="190"/>
      <x:c r="M29" s="190"/>
      <x:c r="N29" s="190"/>
      <x:c r="O29" s="190"/>
      <x:c r="P29" s="46"/>
      <x:c r="Q29" s="46"/>
      <x:c r="R29" s="46"/>
      <x:c r="S29" s="46"/>
    </x:row>
    <x:row r="30" ht="72" customHeight="1">
      <x:c r="A30" s="188"/>
      <x:c r="B30" s="187"/>
      <x:c r="C30" s="187"/>
      <x:c r="D30" s="188"/>
      <x:c r="E30" s="187"/>
      <x:c r="F30" s="187"/>
      <x:c r="G30" s="187"/>
      <x:c r="H30" s="187"/>
      <x:c r="I30" s="187"/>
      <x:c r="J30" s="188"/>
      <x:c r="K30" s="187"/>
      <x:c r="L30" s="190"/>
      <x:c r="M30" s="190"/>
      <x:c r="N30" s="190"/>
      <x:c r="O30" s="190"/>
      <x:c r="P30" s="46"/>
      <x:c r="Q30" s="46"/>
      <x:c r="R30" s="46"/>
      <x:c r="S30" s="46"/>
    </x:row>
    <x:row r="31" ht="72" customHeight="1">
      <x:c r="A31" s="188"/>
      <x:c r="B31" s="187"/>
      <x:c r="C31" s="187"/>
      <x:c r="D31" s="188"/>
      <x:c r="E31" s="187"/>
      <x:c r="F31" s="187"/>
      <x:c r="G31" s="187"/>
      <x:c r="H31" s="187"/>
      <x:c r="I31" s="187"/>
      <x:c r="J31" s="188"/>
      <x:c r="K31" s="187"/>
      <x:c r="L31" s="190"/>
      <x:c r="M31" s="190"/>
      <x:c r="N31" s="190"/>
      <x:c r="O31" s="190"/>
      <x:c r="P31" s="46"/>
      <x:c r="Q31" s="46"/>
      <x:c r="R31" s="46"/>
      <x:c r="S31" s="46"/>
    </x:row>
    <x:row r="32" ht="72" customHeight="1">
      <x:c r="A32" s="188"/>
      <x:c r="B32" s="187"/>
      <x:c r="C32" s="187"/>
      <x:c r="D32" s="188"/>
      <x:c r="E32" s="187"/>
      <x:c r="F32" s="187"/>
      <x:c r="G32" s="187"/>
      <x:c r="H32" s="187"/>
      <x:c r="I32" s="187"/>
      <x:c r="J32" s="188"/>
      <x:c r="K32" s="187"/>
      <x:c r="L32" s="190"/>
      <x:c r="M32" s="190"/>
      <x:c r="N32" s="190"/>
      <x:c r="O32" s="190"/>
      <x:c r="P32" s="46"/>
      <x:c r="Q32" s="46"/>
      <x:c r="R32" s="46"/>
      <x:c r="S32" s="46"/>
    </x:row>
    <x:row r="33" ht="72" customHeight="1">
      <x:c r="A33" s="188"/>
      <x:c r="B33" s="187"/>
      <x:c r="C33" s="187"/>
      <x:c r="D33" s="188"/>
      <x:c r="E33" s="187"/>
      <x:c r="F33" s="187"/>
      <x:c r="G33" s="187"/>
      <x:c r="H33" s="187"/>
      <x:c r="I33" s="187"/>
      <x:c r="J33" s="188"/>
      <x:c r="K33" s="187"/>
      <x:c r="L33" s="190"/>
      <x:c r="M33" s="190"/>
      <x:c r="N33" s="190"/>
      <x:c r="O33" s="190"/>
      <x:c r="P33" s="46"/>
      <x:c r="Q33" s="46"/>
      <x:c r="R33" s="46"/>
      <x:c r="S33" s="46"/>
    </x:row>
    <x:row r="34" ht="72" customHeight="1">
      <x:c r="A34" s="188"/>
      <x:c r="B34" s="187"/>
      <x:c r="C34" s="187"/>
      <x:c r="D34" s="188"/>
      <x:c r="E34" s="187"/>
      <x:c r="F34" s="187"/>
      <x:c r="G34" s="187"/>
      <x:c r="H34" s="187"/>
      <x:c r="I34" s="187"/>
      <x:c r="J34" s="188"/>
      <x:c r="K34" s="187"/>
      <x:c r="L34" s="190"/>
      <x:c r="M34" s="190"/>
      <x:c r="N34" s="190"/>
      <x:c r="O34" s="190"/>
      <x:c r="P34" s="46"/>
      <x:c r="Q34" s="46"/>
      <x:c r="R34" s="46"/>
      <x:c r="S34" s="46"/>
    </x:row>
    <x:row r="35" ht="72" customHeight="1">
      <x:c r="A35" s="188"/>
      <x:c r="B35" s="187"/>
      <x:c r="C35" s="187"/>
      <x:c r="D35" s="188"/>
      <x:c r="E35" s="187"/>
      <x:c r="F35" s="187"/>
      <x:c r="G35" s="187"/>
      <x:c r="H35" s="187"/>
      <x:c r="I35" s="187"/>
      <x:c r="J35" s="188"/>
      <x:c r="K35" s="187"/>
      <x:c r="L35" s="190"/>
      <x:c r="M35" s="190"/>
      <x:c r="N35" s="190"/>
      <x:c r="O35" s="190"/>
      <x:c r="P35" s="46"/>
      <x:c r="Q35" s="46"/>
      <x:c r="R35" s="46"/>
      <x:c r="S35" s="46"/>
    </x:row>
    <x:row r="36" ht="72" customHeight="1">
      <x:c r="A36" s="188"/>
      <x:c r="B36" s="187"/>
      <x:c r="C36" s="187"/>
      <x:c r="D36" s="188"/>
      <x:c r="E36" s="187"/>
      <x:c r="F36" s="187"/>
      <x:c r="G36" s="187"/>
      <x:c r="H36" s="187"/>
      <x:c r="I36" s="187"/>
      <x:c r="J36" s="188"/>
      <x:c r="K36" s="187"/>
      <x:c r="L36" s="190"/>
      <x:c r="M36" s="190"/>
      <x:c r="N36" s="190"/>
      <x:c r="O36" s="190"/>
      <x:c r="P36" s="46"/>
      <x:c r="Q36" s="46"/>
      <x:c r="R36" s="46"/>
      <x:c r="S36" s="46"/>
    </x:row>
    <x:row r="37" ht="72" customHeight="1">
      <x:c r="A37" s="188"/>
      <x:c r="B37" s="187"/>
      <x:c r="C37" s="187"/>
      <x:c r="D37" s="188"/>
      <x:c r="E37" s="187"/>
      <x:c r="F37" s="187"/>
      <x:c r="G37" s="187"/>
      <x:c r="H37" s="187"/>
      <x:c r="I37" s="187"/>
      <x:c r="J37" s="188"/>
      <x:c r="K37" s="187"/>
      <x:c r="L37" s="190"/>
      <x:c r="M37" s="190"/>
      <x:c r="N37" s="190"/>
      <x:c r="O37" s="190"/>
      <x:c r="P37" s="46"/>
      <x:c r="Q37" s="46"/>
      <x:c r="R37" s="46"/>
      <x:c r="S37" s="46"/>
    </x:row>
    <x:row r="38" ht="72" customHeight="1">
      <x:c r="A38" s="188"/>
      <x:c r="B38" s="187"/>
      <x:c r="C38" s="187"/>
      <x:c r="D38" s="188"/>
      <x:c r="E38" s="187"/>
      <x:c r="F38" s="187"/>
      <x:c r="G38" s="187"/>
      <x:c r="H38" s="187"/>
      <x:c r="I38" s="187"/>
      <x:c r="J38" s="188"/>
      <x:c r="K38" s="187"/>
      <x:c r="L38" s="190"/>
      <x:c r="M38" s="190"/>
      <x:c r="N38" s="190"/>
      <x:c r="O38" s="190"/>
      <x:c r="P38" s="46"/>
      <x:c r="Q38" s="46"/>
      <x:c r="R38" s="46"/>
      <x:c r="S38" s="46"/>
    </x:row>
    <x:row r="39" ht="72" customHeight="1">
      <x:c r="A39" s="188"/>
      <x:c r="B39" s="187"/>
      <x:c r="C39" s="187"/>
      <x:c r="D39" s="188"/>
      <x:c r="E39" s="187"/>
      <x:c r="F39" s="187"/>
      <x:c r="G39" s="187"/>
      <x:c r="H39" s="187"/>
      <x:c r="I39" s="187"/>
      <x:c r="J39" s="188"/>
      <x:c r="K39" s="187"/>
      <x:c r="L39" s="190"/>
      <x:c r="M39" s="190"/>
      <x:c r="N39" s="190"/>
      <x:c r="O39" s="190"/>
      <x:c r="P39" s="46"/>
      <x:c r="Q39" s="46"/>
      <x:c r="R39" s="46"/>
      <x:c r="S39" s="46"/>
    </x:row>
    <x:row r="40" ht="72" customHeight="1">
      <x:c r="A40" s="188"/>
      <x:c r="B40" s="187"/>
      <x:c r="C40" s="187"/>
      <x:c r="D40" s="188"/>
      <x:c r="E40" s="187"/>
      <x:c r="F40" s="187"/>
      <x:c r="G40" s="187"/>
      <x:c r="H40" s="187"/>
      <x:c r="I40" s="187"/>
      <x:c r="J40" s="188"/>
      <x:c r="K40" s="187"/>
      <x:c r="L40" s="190"/>
      <x:c r="M40" s="190"/>
      <x:c r="N40" s="190"/>
      <x:c r="O40" s="190"/>
      <x:c r="P40" s="46"/>
      <x:c r="Q40" s="46"/>
      <x:c r="R40" s="46"/>
      <x:c r="S40" s="46"/>
    </x:row>
    <x:row r="41" ht="72" customHeight="1">
      <x:c r="A41" s="188"/>
      <x:c r="B41" s="187"/>
      <x:c r="C41" s="187"/>
      <x:c r="D41" s="188"/>
      <x:c r="E41" s="187"/>
      <x:c r="F41" s="187"/>
      <x:c r="G41" s="187"/>
      <x:c r="H41" s="187"/>
      <x:c r="I41" s="187"/>
      <x:c r="J41" s="188"/>
      <x:c r="K41" s="187"/>
      <x:c r="L41" s="190"/>
      <x:c r="M41" s="190"/>
      <x:c r="N41" s="190"/>
      <x:c r="O41" s="190"/>
      <x:c r="P41" s="46"/>
      <x:c r="Q41" s="46"/>
      <x:c r="R41" s="46"/>
      <x:c r="S41" s="46"/>
    </x:row>
    <x:row r="42" ht="72" customHeight="1">
      <x:c r="A42" s="188"/>
      <x:c r="B42" s="187"/>
      <x:c r="C42" s="187"/>
      <x:c r="D42" s="188"/>
      <x:c r="E42" s="187"/>
      <x:c r="F42" s="187"/>
      <x:c r="G42" s="187"/>
      <x:c r="H42" s="187"/>
      <x:c r="I42" s="187"/>
      <x:c r="J42" s="188"/>
      <x:c r="K42" s="187"/>
      <x:c r="L42" s="190"/>
      <x:c r="M42" s="190"/>
      <x:c r="N42" s="190"/>
      <x:c r="O42" s="190"/>
      <x:c r="P42" s="46"/>
      <x:c r="Q42" s="46"/>
      <x:c r="R42" s="46"/>
      <x:c r="S42" s="46"/>
    </x:row>
    <x:row r="43" ht="72" customHeight="1">
      <x:c r="A43" s="188"/>
      <x:c r="B43" s="187"/>
      <x:c r="C43" s="187"/>
      <x:c r="D43" s="188"/>
      <x:c r="E43" s="187"/>
      <x:c r="F43" s="187"/>
      <x:c r="G43" s="187"/>
      <x:c r="H43" s="187"/>
      <x:c r="I43" s="187"/>
      <x:c r="J43" s="188"/>
      <x:c r="K43" s="187"/>
      <x:c r="L43" s="190"/>
      <x:c r="M43" s="190"/>
      <x:c r="N43" s="190"/>
      <x:c r="O43" s="190"/>
      <x:c r="P43" s="46"/>
      <x:c r="Q43" s="46"/>
      <x:c r="R43" s="46"/>
      <x:c r="S43" s="46"/>
    </x:row>
    <x:row r="44" ht="72" customHeight="1">
      <x:c r="A44" s="188"/>
      <x:c r="B44" s="187"/>
      <x:c r="C44" s="187"/>
      <x:c r="D44" s="188"/>
      <x:c r="E44" s="187"/>
      <x:c r="F44" s="187"/>
      <x:c r="G44" s="187"/>
      <x:c r="H44" s="187"/>
      <x:c r="I44" s="187"/>
      <x:c r="J44" s="188"/>
      <x:c r="K44" s="187"/>
      <x:c r="L44" s="190"/>
      <x:c r="M44" s="190"/>
      <x:c r="N44" s="190"/>
      <x:c r="O44" s="190"/>
      <x:c r="P44" s="46"/>
      <x:c r="Q44" s="46"/>
      <x:c r="R44" s="46"/>
      <x:c r="S44" s="46"/>
    </x:row>
    <x:row r="45" ht="72" customHeight="1">
      <x:c r="A45" s="188"/>
      <x:c r="B45" s="187"/>
      <x:c r="C45" s="187"/>
      <x:c r="D45" s="188"/>
      <x:c r="E45" s="187"/>
      <x:c r="F45" s="187"/>
      <x:c r="G45" s="187"/>
      <x:c r="H45" s="187"/>
      <x:c r="I45" s="187"/>
      <x:c r="J45" s="188"/>
      <x:c r="K45" s="187"/>
      <x:c r="L45" s="190"/>
      <x:c r="M45" s="190"/>
      <x:c r="N45" s="190"/>
      <x:c r="O45" s="190"/>
      <x:c r="P45" s="46"/>
      <x:c r="Q45" s="46"/>
      <x:c r="R45" s="46"/>
      <x:c r="S45" s="46"/>
    </x:row>
    <x:row r="46" ht="72" customHeight="1">
      <x:c r="A46" s="188"/>
      <x:c r="B46" s="187"/>
      <x:c r="C46" s="187"/>
      <x:c r="D46" s="188"/>
      <x:c r="E46" s="187"/>
      <x:c r="F46" s="187"/>
      <x:c r="G46" s="187"/>
      <x:c r="H46" s="187"/>
      <x:c r="I46" s="187"/>
      <x:c r="J46" s="188"/>
      <x:c r="K46" s="187"/>
      <x:c r="L46" s="190"/>
      <x:c r="M46" s="190"/>
      <x:c r="N46" s="190"/>
      <x:c r="O46" s="190"/>
      <x:c r="P46" s="46"/>
      <x:c r="Q46" s="46"/>
      <x:c r="R46" s="46"/>
      <x:c r="S46" s="46"/>
    </x:row>
    <x:row r="47" ht="72" customHeight="1">
      <x:c r="A47" s="188"/>
      <x:c r="B47" s="187"/>
      <x:c r="C47" s="187"/>
      <x:c r="D47" s="188"/>
      <x:c r="E47" s="187"/>
      <x:c r="F47" s="187"/>
      <x:c r="G47" s="187"/>
      <x:c r="H47" s="187"/>
      <x:c r="I47" s="187"/>
      <x:c r="J47" s="188"/>
      <x:c r="K47" s="187"/>
      <x:c r="L47" s="190"/>
      <x:c r="M47" s="190"/>
      <x:c r="N47" s="190"/>
      <x:c r="O47" s="190"/>
      <x:c r="P47" s="46"/>
      <x:c r="Q47" s="46"/>
      <x:c r="R47" s="46"/>
      <x:c r="S47" s="46"/>
    </x:row>
    <x:row r="48" ht="72" customHeight="1">
      <x:c r="A48" s="188"/>
      <x:c r="B48" s="187"/>
      <x:c r="C48" s="187"/>
      <x:c r="D48" s="188"/>
      <x:c r="E48" s="187"/>
      <x:c r="F48" s="187"/>
      <x:c r="G48" s="187"/>
      <x:c r="H48" s="187"/>
      <x:c r="I48" s="187"/>
      <x:c r="J48" s="188"/>
      <x:c r="K48" s="187"/>
      <x:c r="L48" s="190"/>
      <x:c r="M48" s="190"/>
      <x:c r="N48" s="190"/>
      <x:c r="O48" s="190"/>
      <x:c r="P48" s="46"/>
      <x:c r="Q48" s="46"/>
      <x:c r="R48" s="46"/>
      <x:c r="S48" s="46"/>
    </x:row>
    <x:row r="49" ht="72" customHeight="1">
      <x:c r="A49" s="188"/>
      <x:c r="B49" s="187"/>
      <x:c r="C49" s="187"/>
      <x:c r="D49" s="188"/>
      <x:c r="E49" s="187"/>
      <x:c r="F49" s="187"/>
      <x:c r="G49" s="187"/>
      <x:c r="H49" s="187"/>
      <x:c r="I49" s="187"/>
      <x:c r="J49" s="188"/>
      <x:c r="K49" s="187"/>
      <x:c r="L49" s="190"/>
      <x:c r="M49" s="190"/>
      <x:c r="N49" s="190"/>
      <x:c r="O49" s="190"/>
      <x:c r="P49" s="46"/>
      <x:c r="Q49" s="46"/>
      <x:c r="R49" s="46"/>
      <x:c r="S49" s="46"/>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6:A22"/>
    <x:mergeCell ref="A1:P1"/>
    <x:mergeCell ref="A2:P2"/>
    <x:mergeCell ref="A3:P3"/>
    <x:mergeCell ref="A4:P4"/>
    <x:mergeCell ref="B6:B22"/>
  </x:mergeCells>
  <x:pageMargins left="0.7" right="0.7" top="0.75" bottom="0.75" header="0.3" footer="0.3"/>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CxVisual.Mechanism.Core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子方面：M01、M02、M03、M04、M05、M06、M07、M08、M38｜来源：V1.19旧类型 + V4.9对象 + V7.8源码 + V5.0/R3架构裁决｜本项目 273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M01</x:v>
      </x:c>
      <x:c r="B6" s="180" t="str">
        <x:v>Definition与工程组织｜工程对象/资源组织
Engineering Model</x:v>
      </x:c>
      <x:c r="C6" s="180" t="str">
        <x:v>IMEMProjectResourceCatalog</x:v>
      </x:c>
      <x:c r="D6" s="179" t="str">
        <x:v>原有·待核</x:v>
      </x:c>
      <x:c r="E6" s="180" t="str">
        <x:v>约定工程资源目录的操作入口、交互能力及调用方/实现方边界</x:v>
      </x:c>
      <x:c r="F6" s="180" t="str">
        <x:v>—（无公开声明或待核对）</x:v>
      </x:c>
      <x:c r="G6" s="180" t="str">
        <x:v>GetResources(ProjectModel project), Find(ProjectModel project, string resourceId)</x:v>
      </x:c>
      <x:c r="H6" s="180" t="str">
        <x:v>—（待核）</x:v>
      </x:c>
      <x:c r="I6" s="180" t="str">
        <x:v>CxVisual.Designer.Application.Studio.IProjectResourceCatalog</x:v>
      </x:c>
      <x:c r="J6" s="179" t="str">
        <x:v>接口</x:v>
      </x:c>
      <x:c r="K6" s="180" t="str">
        <x:v>V1.19 C-0096；原实施方式：原有。迁移风险：约定工程资源目录的操作入口、交互能力及调用方/实现方边界</x:v>
      </x:c>
      <x:c r="L6" s="183" t="str">
        <x:v>源代码声明·待复核</x:v>
      </x:c>
      <x:c r="M6" s="183" t="str">
        <x:v>C-0096</x:v>
      </x:c>
      <x:c r="N6" s="184" t="str">
        <x:v>Host/Studio/Application/Studio/Resources/ResourcePlatform.cs</x:v>
      </x:c>
      <x:c r="O6"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 s="136" t="str">
        <x:v>V1.19旧源码类型（真实成员/实现仍待核）</x:v>
      </x:c>
      <x:c r="Q6"/>
      <x:c r="R6"/>
      <x:c r="S6"/>
    </x:row>
    <x:row r="7" ht="72" customHeight="1">
      <x:c r="A7" s="179" t="str">
        <x:v>M01</x:v>
      </x:c>
      <x:c r="B7" s="180" t="str">
        <x:v>Definition与工程组织｜工程对象/资源组织
Engineering Model</x:v>
      </x:c>
      <x:c r="C7" s="180" t="str">
        <x:v>IMEMResourceFactory</x:v>
      </x:c>
      <x:c r="D7" s="179" t="str">
        <x:v>原有·待核</x:v>
      </x:c>
      <x:c r="E7" s="180" t="str">
        <x:v>约定资源工厂的操作入口、交互能力及调用方/实现方边界</x:v>
      </x:c>
      <x:c r="F7" s="180" t="str">
        <x:v>ResourceTypeId</x:v>
      </x:c>
      <x:c r="G7" s="180" t="str">
        <x:v>Create(ResourceCreateContext context)</x:v>
      </x:c>
      <x:c r="H7" s="180" t="str">
        <x:v>—（待核）</x:v>
      </x:c>
      <x:c r="I7" s="180" t="str">
        <x:v>CxVisual.Designer.Application.Studio.IResourceFactory</x:v>
      </x:c>
      <x:c r="J7" s="179" t="str">
        <x:v>接口</x:v>
      </x:c>
      <x:c r="K7" s="180" t="str">
        <x:v>V1.19 C-0097；原实施方式：原有。迁移风险：约定资源工厂的操作入口、交互能力及调用方/实现方边界</x:v>
      </x:c>
      <x:c r="L7" s="183" t="str">
        <x:v>源代码声明·待复核</x:v>
      </x:c>
      <x:c r="M7" s="183" t="str">
        <x:v>C-0097</x:v>
      </x:c>
      <x:c r="N7" s="184" t="str">
        <x:v>Host/Studio/Application/Studio/Resources/ResourcePlatform.cs</x:v>
      </x:c>
      <x:c r="O7"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7" s="136" t="str">
        <x:v>V1.19旧源码类型（真实成员/实现仍待核）</x:v>
      </x:c>
      <x:c r="Q7"/>
      <x:c r="R7"/>
      <x:c r="S7"/>
    </x:row>
    <x:row r="8" ht="72" customHeight="1">
      <x:c r="A8" s="179" t="str">
        <x:v>M01</x:v>
      </x:c>
      <x:c r="B8" s="180" t="str">
        <x:v>Definition与工程组织｜工程对象/资源组织
Engineering Model</x:v>
      </x:c>
      <x:c r="C8" s="180" t="str">
        <x:v>MEMActionModelConverter</x:v>
      </x:c>
      <x:c r="D8" s="179" t="str">
        <x:v>原有·待核</x:v>
      </x:c>
      <x:c r="E8" s="180" t="str">
        <x:v>实现Action模型Converter表示之间的转换，处理格式兼容性</x:v>
      </x:c>
      <x:c r="F8" s="180" t="str">
        <x:v>—（无公开声明或待核对）</x:v>
      </x:c>
      <x:c r="G8" s="180" t="str">
        <x:v>CanConvert(Type objectType), WriteJson(JsonWriter writer, object value, JsonSerializer serializer), ReadJson(JsonReader reader, Type objectType, object existingValue, JsonSerializer serializer)</x:v>
      </x:c>
      <x:c r="H8" s="180" t="str">
        <x:v>—（待核）</x:v>
      </x:c>
      <x:c r="I8" s="180" t="str">
        <x:v>CxVisual.Serialization.ActionModelConverter</x:v>
      </x:c>
      <x:c r="J8" s="179" t="str">
        <x:v>类</x:v>
      </x:c>
      <x:c r="K8" s="180" t="str">
        <x:v>V1.19 C-0132；原实施方式：原有。迁移风险：实现Action模型Converter表示之间的转换，处理格式兼容性</x:v>
      </x:c>
      <x:c r="L8" s="183" t="str">
        <x:v>源代码声明·待复核</x:v>
      </x:c>
      <x:c r="M8" s="183" t="str">
        <x:v>C-0132</x:v>
      </x:c>
      <x:c r="N8" s="184" t="str">
        <x:v>Platform/Persistence/Project/JsonSerialization.cs</x:v>
      </x:c>
      <x:c r="O8" s="183" t="str">
        <x:v>V1.19旧源码类型（真实成员/实现仍待核）
V2.01：来源ID对应；处置=保留源码·公开契约复核
V7.8：V7.8同名且源文件对应；Platform/Persistence/Project/JsonSerialization.cs</x:v>
      </x:c>
      <x:c r="P8" s="136" t="str">
        <x:v>V1.19旧源码类型（真实成员/实现仍待核）</x:v>
      </x:c>
      <x:c r="Q8"/>
      <x:c r="R8"/>
      <x:c r="S8"/>
    </x:row>
    <x:row r="9" ht="72" customHeight="1">
      <x:c r="A9" s="179" t="str">
        <x:v>M01</x:v>
      </x:c>
      <x:c r="B9" s="180" t="str">
        <x:v>Definition与工程组织｜工程对象/资源组织
Engineering Model</x:v>
      </x:c>
      <x:c r="C9" s="180" t="str">
        <x:v>MEMAssetDependency</x:v>
      </x:c>
      <x:c r="D9" s="179" t="str">
        <x:v>原有·待核</x:v>
      </x:c>
      <x:c r="E9" s="180" t="str">
        <x:v>表达或管理AssetDependency相关的数据及协作职责，具体行为待源码复核〔待核〕</x:v>
      </x:c>
      <x:c r="F9" s="180" t="str">
        <x:v>AssetId, Version</x:v>
      </x:c>
      <x:c r="G9" s="180" t="str">
        <x:v>—(无公开声明或待核对)</x:v>
      </x:c>
      <x:c r="H9" s="180" t="str">
        <x:v>—（待核）</x:v>
      </x:c>
      <x:c r="I9" s="180" t="str">
        <x:v>CxVisual.Persistence.Resources.AssetDependency</x:v>
      </x:c>
      <x:c r="J9" s="179" t="str">
        <x:v>类</x:v>
      </x:c>
      <x:c r="K9" s="180" t="str">
        <x:v>V1.19 C-0120；原实施方式：原有。迁移风险：表达或管理AssetDependency相关的数据及协作职责，具体行为待源码复核〔待核〕</x:v>
      </x:c>
      <x:c r="L9" s="183" t="str">
        <x:v>源代码声明·待复核</x:v>
      </x:c>
      <x:c r="M9" s="183" t="str">
        <x:v>C-0120</x:v>
      </x:c>
      <x:c r="N9" s="184" t="str">
        <x:v>Platform/Persistence/Resources/VersionedAssetRepository.cs</x:v>
      </x:c>
      <x:c r="O9" s="183" t="str">
        <x:v>V1.19旧源码类型（真实成员/实现仍待核）
V2.01：来源ID对应；处置=保留源码·公开契约复核
V7.8：V7.8同名且源文件对应；Platform/Persistence/Resources/VersionedAssetRepository.cs</x:v>
      </x:c>
      <x:c r="P9" s="136" t="str">
        <x:v>V1.19旧源码类型（真实成员/实现仍待核）</x:v>
      </x:c>
      <x:c r="Q9"/>
      <x:c r="R9"/>
      <x:c r="S9"/>
    </x:row>
    <x:row r="10" ht="72" customHeight="1">
      <x:c r="A10" s="179" t="str">
        <x:v>M01</x:v>
      </x:c>
      <x:c r="B10" s="180" t="str">
        <x:v>Definition与工程组织｜工程对象/资源组织
Engineering Model</x:v>
      </x:c>
      <x:c r="C10" s="180" t="str">
        <x:v>MEMAssetUpgradeItem</x:v>
      </x:c>
      <x:c r="D10" s="179" t="str">
        <x:v>原有·待核</x:v>
      </x:c>
      <x:c r="E10" s="180" t="str">
        <x:v>表达或管理AssetUpgradeItem相关的数据及协作职责，具体行为待源码复核〔待核〕</x:v>
      </x:c>
      <x:c r="F10" s="180" t="str">
        <x:v>AssetId, CurrentVersion, CandidateVersion, BreakingMajor</x:v>
      </x:c>
      <x:c r="G10" s="180" t="str">
        <x:v>—(无公开声明或待核对)</x:v>
      </x:c>
      <x:c r="H10" s="180" t="str">
        <x:v>—（待核）</x:v>
      </x:c>
      <x:c r="I10" s="180" t="str">
        <x:v>CxVisual.Persistence.Resources.AssetUpgradeItem</x:v>
      </x:c>
      <x:c r="J10" s="179" t="str">
        <x:v>类</x:v>
      </x:c>
      <x:c r="K10" s="180" t="str">
        <x:v>V1.19 C-0121；原实施方式：原有。迁移风险：表达或管理AssetUpgradeItem相关的数据及协作职责，具体行为待源码复核〔待核〕</x:v>
      </x:c>
      <x:c r="L10" s="183" t="str">
        <x:v>源代码声明·待复核</x:v>
      </x:c>
      <x:c r="M10" s="183" t="str">
        <x:v>C-0121</x:v>
      </x:c>
      <x:c r="N10" s="184" t="str">
        <x:v>Platform/Persistence/Resources/VersionedAssetRepository.cs</x:v>
      </x:c>
      <x:c r="O10" s="183" t="str">
        <x:v>V1.19旧源码类型（真实成员/实现仍待核）
V2.01：来源ID对应；处置=保留源码·公开契约复核
V7.8：V7.8同名且源文件对应；Platform/Persistence/Resources/VersionedAssetRepository.cs</x:v>
      </x:c>
      <x:c r="P10" s="136" t="str">
        <x:v>V1.19旧源码类型（真实成员/实现仍待核）</x:v>
      </x:c>
      <x:c r="Q10"/>
      <x:c r="R10"/>
      <x:c r="S10"/>
    </x:row>
    <x:row r="11" ht="72" customHeight="1">
      <x:c r="A11" s="179" t="str">
        <x:v>M01</x:v>
      </x:c>
      <x:c r="B11" s="180" t="str">
        <x:v>Definition与工程组织｜工程对象/资源组织
Engineering Model</x:v>
      </x:c>
      <x:c r="C11" s="180" t="str">
        <x:v>MEMBindingModelConverter</x:v>
      </x:c>
      <x:c r="D11" s="179" t="str">
        <x:v>原有·待核</x:v>
      </x:c>
      <x:c r="E11" s="180" t="str">
        <x:v>实现绑定模型Converter表示之间的转换，处理格式兼容性</x:v>
      </x:c>
      <x:c r="F11" s="180" t="str">
        <x:v>—（无公开声明或待核对）</x:v>
      </x:c>
      <x:c r="G11" s="180" t="str">
        <x:v>CanConvert(Type objectType), WriteJson(JsonWriter writer, object value, JsonSerializer serializer), ReadJson(JsonReader reader, Type objectType, object existingValue, JsonSerializer serializer)</x:v>
      </x:c>
      <x:c r="H11" s="180" t="str">
        <x:v>—（待核）</x:v>
      </x:c>
      <x:c r="I11" s="180" t="str">
        <x:v>CxVisual.Serialization.BindingModelConverter</x:v>
      </x:c>
      <x:c r="J11" s="179" t="str">
        <x:v>类</x:v>
      </x:c>
      <x:c r="K11" s="180" t="str">
        <x:v>V1.19 C-0133；原实施方式：原有。迁移风险：实现绑定模型Converter表示之间的转换，处理格式兼容性</x:v>
      </x:c>
      <x:c r="L11" s="183" t="str">
        <x:v>源代码声明·待复核</x:v>
      </x:c>
      <x:c r="M11" s="183" t="str">
        <x:v>C-0133</x:v>
      </x:c>
      <x:c r="N11" s="184" t="str">
        <x:v>Platform/Persistence/Project/JsonSerialization.cs</x:v>
      </x:c>
      <x:c r="O11" s="183" t="str">
        <x:v>V1.19旧源码类型（真实成员/实现仍待核）
V2.01：来源ID对应；处置=保留源码·公开契约复核
V7.8：V7.8同名且源文件对应；Platform/Persistence/Project/JsonSerialization.cs</x:v>
      </x:c>
      <x:c r="P11" s="136" t="str">
        <x:v>V1.19旧源码类型（真实成员/实现仍待核）</x:v>
      </x:c>
      <x:c r="Q11"/>
      <x:c r="R11"/>
      <x:c r="S11"/>
    </x:row>
    <x:row r="12" ht="72" customHeight="1">
      <x:c r="A12" s="179" t="str">
        <x:v>M01</x:v>
      </x:c>
      <x:c r="B12" s="180" t="str">
        <x:v>Definition与工程组织｜工程对象/资源组织
Engineering Model</x:v>
      </x:c>
      <x:c r="C12" s="180" t="str">
        <x:v>MEMBuiltInStudioDomainRegistry</x:v>
      </x:c>
      <x:c r="D12" s="179" t="str">
        <x:v>原有·待核</x:v>
      </x:c>
      <x:c r="E12" s="180" t="str">
        <x:v>注册、索引与查询BuiltInStudioDomain注册表条目，并控制注册身份唯一性</x:v>
      </x:c>
      <x:c r="F12" s="180" t="str">
        <x:v>—（无公开声明或待核对）</x:v>
      </x:c>
      <x:c r="G12" s="180" t="str">
        <x:v>Create()</x:v>
      </x:c>
      <x:c r="H12" s="180" t="str">
        <x:v>—（待核）</x:v>
      </x:c>
      <x:c r="I12" s="180" t="str">
        <x:v>CxVisual.Designer.Application.Studio.BuiltInStudioDomainRegistry</x:v>
      </x:c>
      <x:c r="J12" s="179" t="str">
        <x:v>静态类</x:v>
      </x:c>
      <x:c r="K12" s="180" t="str">
        <x:v>V1.19 C-0091；原实施方式：原有。迁移风险：注册、索引与查询BuiltInStudioDomain注册表条目，并控制注册身份唯一性</x:v>
      </x:c>
      <x:c r="L12" s="183" t="str">
        <x:v>源代码声明·待复核</x:v>
      </x:c>
      <x:c r="M12" s="183" t="str">
        <x:v>C-0091</x:v>
      </x:c>
      <x:c r="N12" s="184" t="str">
        <x:v>Host/Studio/Application/Studio/Resources/StudioDomainRegistryV36.cs</x:v>
      </x:c>
      <x:c r="O12" s="183" t="str">
        <x:v>V1.19旧源码类型（真实成员/实现仍待核）
V2.01：来源ID对应；处置=保留源码·公开契约复核
V7.8：V7.8同名且源文件对应；Host/Studio/Application/Studio/Resources/StudioDomainRegistryV36.cs
归属优先核查：Studio应用层优先；抽象公共契约后可留Core；Studio应用类型疑似混入公共Core</x:v>
      </x:c>
      <x:c r="P12" s="136" t="str">
        <x:v>V1.19旧源码类型（真实成员/实现仍待核）</x:v>
      </x:c>
      <x:c r="Q12"/>
      <x:c r="R12"/>
      <x:c r="S12"/>
    </x:row>
    <x:row r="13" ht="72" customHeight="1">
      <x:c r="A13" s="179" t="str">
        <x:v>M01</x:v>
      </x:c>
      <x:c r="B13" s="180" t="str">
        <x:v>Definition与工程组织｜工程对象/资源组织
Engineering Model</x:v>
      </x:c>
      <x:c r="C13" s="180" t="str">
        <x:v>MEMContentReferenceDto</x:v>
      </x:c>
      <x:c r="D13" s="179" t="str">
        <x:v>原有·待核</x:v>
      </x:c>
      <x:c r="E13" s="180" t="str">
        <x:v>表达或管理内容引用Dto相关的数据及协作职责，具体行为待源码复核〔待核〕</x:v>
      </x:c>
      <x:c r="F13" s="180" t="str">
        <x:v>Id, Name, Path</x:v>
      </x:c>
      <x:c r="G13" s="180" t="str">
        <x:v>—(无公开声明或待核对)</x:v>
      </x:c>
      <x:c r="H13" s="180" t="str">
        <x:v>—（待核）</x:v>
      </x:c>
      <x:c r="I13" s="180" t="str">
        <x:v>CxVisual.Serialization.ContentReferenceDto</x:v>
      </x:c>
      <x:c r="J13" s="179" t="str">
        <x:v>类</x:v>
      </x:c>
      <x:c r="K13" s="180" t="str">
        <x:v>V1.19 C-0134；原实施方式：原有。迁移风险：表达或管理内容引用Dto相关的数据及协作职责，具体行为待源码复核〔待核〕</x:v>
      </x:c>
      <x:c r="L13" s="183" t="str">
        <x:v>源代码声明·待复核</x:v>
      </x:c>
      <x:c r="M13" s="183" t="str">
        <x:v>C-0134</x:v>
      </x:c>
      <x:c r="N13" s="184" t="str">
        <x:v>Platform/Persistence/Project/JsonSerialization.cs</x:v>
      </x:c>
      <x:c r="O13" s="183" t="str">
        <x:v>V1.19旧源码类型（真实成员/实现仍待核）
V2.01：来源ID对应；处置=保留源码·公开契约复核
V7.8：V7.8同名且源文件对应；Platform/Persistence/Project/JsonSerialization.cs</x:v>
      </x:c>
      <x:c r="P13" s="136" t="str">
        <x:v>V1.19旧源码类型（真实成员/实现仍待核）</x:v>
      </x:c>
      <x:c r="Q13"/>
      <x:c r="R13"/>
      <x:c r="S13"/>
    </x:row>
    <x:row r="14" ht="72" customHeight="1">
      <x:c r="A14" s="179" t="str">
        <x:v>M01</x:v>
      </x:c>
      <x:c r="B14" s="180" t="str">
        <x:v>Definition与工程组织｜工程对象/资源组织
Engineering Model</x:v>
      </x:c>
      <x:c r="C14" s="180" t="str">
        <x:v>MEMCxAttribute</x:v>
      </x:c>
      <x:c r="D14" s="179" t="str">
        <x:v>原有·待核</x:v>
      </x:c>
      <x:c r="E14" s="180" t="str">
        <x:v>负责属性标记相关的轻量结构属性与公共契约管理</x:v>
      </x:c>
      <x:c r="F14" s="180" t="str">
        <x:v>Name, LocalName, NamespaceUri, Prefix, Value</x:v>
      </x:c>
      <x:c r="G14" s="180" t="str">
        <x:v>Clone()</x:v>
      </x:c>
      <x:c r="H14" s="180" t="str">
        <x:v>—（待核）</x:v>
      </x:c>
      <x:c r="I14" s="180" t="str">
        <x:v>CxVisual.Core.CxAttribute</x:v>
      </x:c>
      <x:c r="J14" s="179" t="str">
        <x:v>类</x:v>
      </x:c>
      <x:c r="K14" s="180" t="str">
        <x:v>V1.19 C-0069；原实施方式：原有。迁移风险：负责属性标记相关的轻量结构属性与公共契约管理</x:v>
      </x:c>
      <x:c r="L14" s="183" t="str">
        <x:v>源代码声明·待复核</x:v>
      </x:c>
      <x:c r="M14" s="183" t="str">
        <x:v>C-0069</x:v>
      </x:c>
      <x:c r="N14" s="184" t="str">
        <x:v>Platform/Core/CxNodeAttributes.cs</x:v>
      </x:c>
      <x:c r="O14" s="183" t="str">
        <x:v>V1.19旧源码类型（真实成员/实现仍待核）
V2.01：来源ID对应；处置=保留源码·公开契约复核
V7.8：V7.8同名且源文件对应；Platform/Core/CxNodeAttributes.cs</x:v>
      </x:c>
      <x:c r="P14" s="136" t="str">
        <x:v>V1.19旧源码类型（真实成员/实现仍待核）</x:v>
      </x:c>
      <x:c r="Q14"/>
      <x:c r="R14"/>
      <x:c r="S14"/>
    </x:row>
    <x:row r="15" ht="72" customHeight="1">
      <x:c r="A15" s="179" t="str">
        <x:v>M01</x:v>
      </x:c>
      <x:c r="B15" s="180" t="str">
        <x:v>Definition与工程组织｜工程对象/资源组织
Engineering Model</x:v>
      </x:c>
      <x:c r="C15" s="180" t="str">
        <x:v>MEMCxAttributeCollection</x:v>
      </x:c>
      <x:c r="D15" s="179" t="str">
        <x:v>原有·待核</x:v>
      </x:c>
      <x:c r="E15" s="180" t="str">
        <x:v>Attribute 集合</x:v>
      </x:c>
      <x:c r="F15" s="180" t="str">
        <x:v>Count, this</x:v>
      </x:c>
      <x:c r="G15" s="180" t="str">
        <x:v>CxAttributeCollection(CxNode owner), Get(string name, string namespaceUri = null), Contains(string name, string namespaceUri = null), Set(CxAttribute attribute), Set(string name, string value, string namespaceUri = null), Remove(string name, string namespaceUri = null), Clear(), GetEnumerator()</x:v>
      </x:c>
      <x:c r="H15" s="180" t="str">
        <x:v>—（待核）</x:v>
      </x:c>
      <x:c r="I15" s="180" t="str">
        <x:v>CxVisual.Core.CxAttributeCollection</x:v>
      </x:c>
      <x:c r="J15" s="179" t="str">
        <x:v>类</x:v>
      </x:c>
      <x:c r="K15" s="180" t="str">
        <x:v>V1.19 C-0070；原实施方式：原有。迁移风险：Attribute 集合</x:v>
      </x:c>
      <x:c r="L15" s="183" t="str">
        <x:v>源代码声明·待复核</x:v>
      </x:c>
      <x:c r="M15" s="183" t="str">
        <x:v>C-0070</x:v>
      </x:c>
      <x:c r="N15" s="184" t="str">
        <x:v>Platform/Core/CxNodeAttributes.cs</x:v>
      </x:c>
      <x:c r="O15" s="183" t="str">
        <x:v>V1.19旧源码类型（真实成员/实现仍待核）
V2.01：来源ID对应；处置=保留源码·公开契约复核
V7.8：V7.8同名且源文件对应；Platform/Core/CxNodeAttributes.cs</x:v>
      </x:c>
      <x:c r="P15" s="136" t="str">
        <x:v>V1.19旧源码类型（真实成员/实现仍待核）</x:v>
      </x:c>
      <x:c r="Q15"/>
      <x:c r="R15"/>
      <x:c r="S15"/>
    </x:row>
    <x:row r="16" ht="72" customHeight="1">
      <x:c r="A16" s="179" t="str">
        <x:v>M01</x:v>
      </x:c>
      <x:c r="B16" s="180" t="str">
        <x:v>Definition与工程组织｜工程对象/资源组织
Engineering Model</x:v>
      </x:c>
      <x:c r="C16" s="180" t="str">
        <x:v>MEMCxContentDefinitionConverter</x:v>
      </x:c>
      <x:c r="D16" s="179" t="str">
        <x:v>重构建议</x:v>
      </x:c>
      <x:c r="E16" s="180" t="str">
        <x:v>转换内容定义的数据表示；专业扩展应通过类型注册而非硬编码实现</x:v>
      </x:c>
      <x:c r="F16" s="180" t="str">
        <x:v>—（无公开声明或待核对）</x:v>
      </x:c>
      <x:c r="G16" s="180" t="str">
        <x:v>CanConvert(Type type), WriteJson(JsonWriter writer, object value, JsonSerializer serializer), ReadJson(JsonReader reader, Type type, object existingValue, JsonSerializer serializer)</x:v>
      </x:c>
      <x:c r="H16" s="180" t="str">
        <x:v>—（待核）</x:v>
      </x:c>
      <x:c r="I16" s="180" t="str">
        <x:v>CxVisual.Serialization.CxContentDefinitionConverter</x:v>
      </x:c>
      <x:c r="J16" s="179" t="str">
        <x:v>类</x:v>
      </x:c>
      <x:c r="K16" s="180" t="str">
        <x:v>V1.19 C-0135；原实施方式：重构建议。迁移风险：Converter中CanConvert直接识别具体CxVisionPipelineDefinition，Mechanism硬依赖专业类型。</x:v>
      </x:c>
      <x:c r="L16" s="183" t="str">
        <x:v>源代码声明·待复核</x:v>
      </x:c>
      <x:c r="M16" s="183" t="str">
        <x:v>C-0135</x:v>
      </x:c>
      <x:c r="N16" s="184" t="str">
        <x:v>Platform/Persistence/Project/CxContentDefinitionConverter.cs</x:v>
      </x:c>
      <x:c r="O16" s="183" t="str">
        <x:v>V1.19旧源码类型（真实成员/实现仍待核）
V2.01：来源ID对应；处置=保留源码→重构公开契约待裁决
V7.8：V7.8同名且源文件对应；Platform/Persistence/Project/CxContentDefinitionConverter.cs</x:v>
      </x:c>
      <x:c r="P16" s="136" t="str">
        <x:v>V1.19旧源码类型（真实成员/实现仍待核）</x:v>
      </x:c>
      <x:c r="Q16"/>
      <x:c r="R16"/>
      <x:c r="S16"/>
    </x:row>
    <x:row r="17" ht="72" customHeight="1">
      <x:c r="A17" s="179" t="str">
        <x:v>M01</x:v>
      </x:c>
      <x:c r="B17" s="180" t="str">
        <x:v>Definition与工程组织｜工程对象/资源组织
Engineering Model</x:v>
      </x:c>
      <x:c r="C17" s="180" t="str">
        <x:v>MEMCxDefinitionCloneService</x:v>
      </x:c>
      <x:c r="D17" s="179" t="str">
        <x:v>原有·待核</x:v>
      </x:c>
      <x:c r="E17" s="180" t="str">
        <x:v>封装定义Clone服务通用服务操作及其生命周期边界</x:v>
      </x:c>
      <x:c r="F17" s="180" t="str">
        <x:v>—（无公开声明或待核对）</x:v>
      </x:c>
      <x:c r="G17" s="180" t="str">
        <x:v>Clone(CxNode source, bool deep, bool preserveId), CxNodeCloneForest(CxNodesources, stringsourcePaths, CxNode destination, IReadOnlyDictionary&lt;string, string&gt; preservedNodes = …), RefreshLogicPortPaths(CxNode node, IDictionary&lt;string, CxNode&gt; nodes, Func&lt;string, CxNode&gt; resolveOriginal = null)</x:v>
      </x:c>
      <x:c r="H17" s="180" t="str">
        <x:v>—（待核）</x:v>
      </x:c>
      <x:c r="I17" s="180" t="str">
        <x:v>CxVisual.Core.CxDefinitionCloneService</x:v>
      </x:c>
      <x:c r="J17" s="179" t="str">
        <x:v>静态类</x:v>
      </x:c>
      <x:c r="K17" s="180" t="str">
        <x:v>V1.19 C-0071；原实施方式：原有。迁移风险：封装定义Clone服务通用服务操作及其生命周期边界</x:v>
      </x:c>
      <x:c r="L17" s="183" t="str">
        <x:v>源代码声明·待复核</x:v>
      </x:c>
      <x:c r="M17" s="183" t="str">
        <x:v>C-0071</x:v>
      </x:c>
      <x:c r="N17" s="184" t="str">
        <x:v>Platform/Core/CxNodeCloning.cs</x:v>
      </x:c>
      <x:c r="O17" s="183" t="str">
        <x:v>V1.19旧源码类型（真实成员/实现仍待核）
V2.01：来源ID对应；处置=保留源码·公开契约复核
V7.8：V7.8同名且源文件对应；Platform/Core/CxNodeCloning.cs</x:v>
      </x:c>
      <x:c r="P17" s="136" t="str">
        <x:v>V1.19旧源码类型（真实成员/实现仍待核）</x:v>
      </x:c>
      <x:c r="Q17"/>
      <x:c r="R17"/>
      <x:c r="S17"/>
    </x:row>
    <x:row r="18" ht="72" customHeight="1">
      <x:c r="A18" s="179" t="str">
        <x:v>M01</x:v>
      </x:c>
      <x:c r="B18" s="180" t="str">
        <x:v>Definition与工程组织｜工程对象/资源组织
Engineering Model</x:v>
      </x:c>
      <x:c r="C18" s="180" t="str">
        <x:v>MEMCxDocumentPosition</x:v>
      </x:c>
      <x:c r="D18" s="179" t="str">
        <x:v>原有·待核</x:v>
      </x:c>
      <x:c r="E18" s="180" t="str">
        <x:v>定义DocumentPosition的候选取值、状态或模式，供相关流程作分支判断</x:v>
      </x:c>
      <x:c r="F18" s="180" t="str">
        <x:v>枚举值：Same, Disconnected, Preceding, Following, Contains, ContainedBy</x:v>
      </x:c>
      <x:c r="G18" s="180" t="str">
        <x:v>—(无公开声明或待核对)</x:v>
      </x:c>
      <x:c r="H18" s="180" t="str">
        <x:v>—（待核）</x:v>
      </x:c>
      <x:c r="I18" s="180" t="str">
        <x:v>CxVisual.Core.CxDocumentPosition</x:v>
      </x:c>
      <x:c r="J18" s="179" t="str">
        <x:v>枚举</x:v>
      </x:c>
      <x:c r="K18" s="180" t="str">
        <x:v>V1.19 C-0073；原实施方式：原有。迁移风险：定义DocumentPosition的候选取值、状态或模式，供相关流程作分支判断</x:v>
      </x:c>
      <x:c r="L18" s="183" t="str">
        <x:v>源代码声明·待复核</x:v>
      </x:c>
      <x:c r="M18" s="183" t="str">
        <x:v>C-0073</x:v>
      </x:c>
      <x:c r="N18" s="184" t="str">
        <x:v>Platform/Core/CxNodePosition.cs</x:v>
      </x:c>
      <x:c r="O18" s="183" t="str">
        <x:v>V1.19旧源码类型（真实成员/实现仍待核）
V2.01：来源ID对应；处置=保留源码·公开契约复核
V7.8：V7.8同名且源文件对应；Platform/Core/CxNodePosition.cs</x:v>
      </x:c>
      <x:c r="P18" s="136" t="str">
        <x:v>V1.19旧源码类型（真实成员/实现仍待核）</x:v>
      </x:c>
      <x:c r="Q18"/>
      <x:c r="R18"/>
      <x:c r="S18"/>
    </x:row>
    <x:row r="19" ht="72" customHeight="1">
      <x:c r="A19" s="179" t="str">
        <x:v>M01</x:v>
      </x:c>
      <x:c r="B19" s="180" t="str">
        <x:v>Definition与工程组织｜工程对象/资源组织
Engineering Model</x:v>
      </x:c>
      <x:c r="C19" s="180" t="str">
        <x:v>MEMCxNodeCollection</x:v>
      </x:c>
      <x:c r="D19" s="179" t="str">
        <x:v>原有·待核</x:v>
      </x:c>
      <x:c r="E19" s="180" t="str">
        <x:v>Node 内部拥有集合</x:v>
      </x:c>
      <x:c r="F19" s="180" t="str">
        <x:v>Count</x:v>
      </x:c>
      <x:c r="G19" s="180" t="str">
        <x:v>CxNodeCollection(CxNode owner), AppendInternal(CxNode child), PrependInternal(CxNode child), InsertInternal(int index, CxNode child), RemoveInternal(CxNode child), ReplaceInternal(CxNode child, CxNode oldChild), MoveInternal(CxNode child, int index), ClearInternal()</x:v>
      </x:c>
      <x:c r="H19" s="180" t="str">
        <x:v>—（待核）</x:v>
      </x:c>
      <x:c r="I19" s="180" t="str">
        <x:v>CxVisual.Core.CxNodeCollection</x:v>
      </x:c>
      <x:c r="J19" s="179" t="str">
        <x:v>类</x:v>
      </x:c>
      <x:c r="K19" s="180" t="str">
        <x:v>V1.19 C-0076；原实施方式：原有。迁移风险：Node 内部拥有集合</x:v>
      </x:c>
      <x:c r="L19" s="183" t="str">
        <x:v>源代码声明·待复核</x:v>
      </x:c>
      <x:c r="M19" s="183" t="str">
        <x:v>C-0076</x:v>
      </x:c>
      <x:c r="N19" s="184" t="str">
        <x:v>Platform/Core/CxNodeCollection.cs</x:v>
      </x:c>
      <x:c r="O19" s="183" t="str">
        <x:v>V1.19旧源码类型（真实成员/实现仍待核）
V2.01：来源ID对应；处置=保留源码·公开契约复核
V7.8：V7.8同名且源文件对应；Platform/Core/CxNodeCollection.cs</x:v>
      </x:c>
      <x:c r="P19" s="136" t="str">
        <x:v>V1.19旧源码类型（真实成员/实现仍待核）</x:v>
      </x:c>
      <x:c r="Q19"/>
      <x:c r="R19"/>
      <x:c r="S19"/>
    </x:row>
    <x:row r="20" ht="72" customHeight="1">
      <x:c r="A20" s="179" t="str">
        <x:v>M01</x:v>
      </x:c>
      <x:c r="B20" s="180" t="str">
        <x:v>Definition与工程组织｜工程对象/资源组织
Engineering Model</x:v>
      </x:c>
      <x:c r="C20" s="180" t="str">
        <x:v>MEMCxNodeList</x:v>
      </x:c>
      <x:c r="D20" s="179" t="str">
        <x:v>原有·待核</x:v>
      </x:c>
      <x:c r="E20" s="180" t="str">
        <x:v>只读 ChildNodes</x:v>
      </x:c>
      <x:c r="F20" s="180" t="str">
        <x:v>Count, this</x:v>
      </x:c>
      <x:c r="G20" s="180" t="str">
        <x:v>CxNodeList(CxNode owner), IndexOf(CxNode node), GetEnumerator()</x:v>
      </x:c>
      <x:c r="H20" s="180" t="str">
        <x:v>—（待核）</x:v>
      </x:c>
      <x:c r="I20" s="180" t="str">
        <x:v>CxVisual.Core.CxNodeList</x:v>
      </x:c>
      <x:c r="J20" s="179" t="str">
        <x:v>类</x:v>
      </x:c>
      <x:c r="K20" s="180" t="str">
        <x:v>V1.19 C-0077；原实施方式：原有。迁移风险：只读 ChildNodes</x:v>
      </x:c>
      <x:c r="L20" s="183" t="str">
        <x:v>源代码声明·待复核</x:v>
      </x:c>
      <x:c r="M20" s="183" t="str">
        <x:v>C-0077</x:v>
      </x:c>
      <x:c r="N20" s="184" t="str">
        <x:v>Platform/Core/CxNode.cs</x:v>
      </x:c>
      <x:c r="O20" s="183" t="str">
        <x:v>V1.19旧源码类型（真实成员/实现仍待核）
V2.01：来源ID对应；处置=保留源码·公开契约复核
V7.8：V7.8同名且源文件对应；Platform/Core/CxNode.cs</x:v>
      </x:c>
      <x:c r="P20" s="136" t="str">
        <x:v>V1.19旧源码类型（真实成员/实现仍待核）</x:v>
      </x:c>
      <x:c r="Q20"/>
      <x:c r="R20"/>
      <x:c r="S20"/>
    </x:row>
    <x:row r="21" ht="72" customHeight="1">
      <x:c r="A21" s="179" t="str">
        <x:v>M01</x:v>
      </x:c>
      <x:c r="B21" s="180" t="str">
        <x:v>Definition与工程组织｜工程对象/资源组织
Engineering Model</x:v>
      </x:c>
      <x:c r="C21" s="180" t="str">
        <x:v>MEMCxNodePolicy</x:v>
      </x:c>
      <x:c r="D21" s="179" t="str">
        <x:v>原有·待核</x:v>
      </x:c>
      <x:c r="E21" s="180" t="str">
        <x:v>负责节点策略相关的规则与公共契约管理</x:v>
      </x:c>
      <x:c r="F21" s="180" t="str">
        <x:v>Rules</x:v>
      </x:c>
      <x:c r="G21" s="180" t="str">
        <x:v>CanAddChild(CxNode parent, CxNode child), Permits(CxNode parent, CxNode child), CanRemove(CxNode node), CanMove(CxNode node, CxNode destination), CanConnect(CxPort source, CxPort target), CanReference(CxNode source, CxNode target), Validate(CxNode root)</x:v>
      </x:c>
      <x:c r="H21" s="180" t="str">
        <x:v>—（待核）</x:v>
      </x:c>
      <x:c r="I21" s="180" t="str">
        <x:v>CxVisual.Core.CxNodePolicy</x:v>
      </x:c>
      <x:c r="J21" s="179" t="str">
        <x:v>类</x:v>
      </x:c>
      <x:c r="K21" s="180" t="str">
        <x:v>V1.19 C-0078；原实施方式：原有。迁移风险：负责节点策略相关的规则与公共契约管理</x:v>
      </x:c>
      <x:c r="L21" s="183" t="str">
        <x:v>源代码声明·待复核</x:v>
      </x:c>
      <x:c r="M21" s="183" t="str">
        <x:v>C-0078</x:v>
      </x:c>
      <x:c r="N21" s="184" t="str">
        <x:v>Platform/Core/CxNodePolicy.cs</x:v>
      </x:c>
      <x:c r="O21" s="183" t="str">
        <x:v>V1.19旧源码类型（真实成员/实现仍待核）
V2.01：来源ID对应；处置=保留源码·公开契约复核
V7.8：V7.8同名且源文件对应；Platform/Core/CxNodePolicy.cs</x:v>
      </x:c>
      <x:c r="P21" s="136" t="str">
        <x:v>V1.19旧源码类型（真实成员/实现仍待核）</x:v>
      </x:c>
      <x:c r="Q21"/>
      <x:c r="R21"/>
      <x:c r="S21"/>
    </x:row>
    <x:row r="22" ht="72" customHeight="1">
      <x:c r="A22" s="179" t="str">
        <x:v>M01</x:v>
      </x:c>
      <x:c r="B22" s="180" t="str">
        <x:v>Definition与工程组织｜工程对象/资源组织
Engineering Model</x:v>
      </x:c>
      <x:c r="C22" s="180" t="str">
        <x:v>MEMCxNodeSerializer</x:v>
      </x:c>
      <x:c r="D22" s="179" t="str">
        <x:v>原有·待核</x:v>
      </x:c>
      <x:c r="E22" s="180" t="str">
        <x:v>负责节点Serializer相关的Node序列化与公共契约管理</x:v>
      </x:c>
      <x:c r="F22" s="180" t="str">
        <x:v>TypeRegistry</x:v>
      </x:c>
      <x:c r="G22" s="180" t="str">
        <x:v>CxNodeSerializer(ElementFactoryRegistry elementFactories = null, CxDescriptorRegistry nodeTypes = null), Serialize(CxNode node), Deserialize(string json), WriteNode(CxNode node), ReadNode(JObject envelope)</x:v>
      </x:c>
      <x:c r="H22" s="180" t="str">
        <x:v>—（待核）</x:v>
      </x:c>
      <x:c r="I22" s="180" t="str">
        <x:v>CxVisual.Serialization.CxNodeSerializer</x:v>
      </x:c>
      <x:c r="J22" s="179" t="str">
        <x:v>类</x:v>
      </x:c>
      <x:c r="K22" s="180" t="str">
        <x:v>V1.19 C-0136；原实施方式：原有。迁移风险：负责节点Serializer相关的Node序列化与公共契约管理</x:v>
      </x:c>
      <x:c r="L22" s="183" t="str">
        <x:v>源代码声明·待复核</x:v>
      </x:c>
      <x:c r="M22" s="183" t="str">
        <x:v>C-0136</x:v>
      </x:c>
      <x:c r="N22" s="184" t="str">
        <x:v>Platform/Persistence/Project/CxNodeSerializer.cs</x:v>
      </x:c>
      <x:c r="O22" s="183" t="str">
        <x:v>V1.19旧源码类型（真实成员/实现仍待核）
V2.01：来源ID对应；处置=保留源码·公开契约复核
V7.8：V7.8同名且源文件对应；Platform/Persistence/Project/CxNodeSerializer.cs</x:v>
      </x:c>
      <x:c r="P22" s="136" t="str">
        <x:v>V1.19旧源码类型（真实成员/实现仍待核）</x:v>
      </x:c>
      <x:c r="Q22"/>
      <x:c r="R22"/>
      <x:c r="S22"/>
    </x:row>
    <x:row r="23" ht="72" customHeight="1">
      <x:c r="A23" s="179" t="str">
        <x:v>M01</x:v>
      </x:c>
      <x:c r="B23" s="180" t="str">
        <x:v>Definition与工程组织｜工程对象/资源组织
Engineering Model</x:v>
      </x:c>
      <x:c r="C23" s="180" t="str">
        <x:v>MEMCxNodeTreeBinder</x:v>
      </x:c>
      <x:c r="D23" s="179" t="str">
        <x:v>原有·待核</x:v>
      </x:c>
      <x:c r="E23" s="180" t="str">
        <x:v>Load 后重建导航</x:v>
      </x:c>
      <x:c r="F23" s="180" t="str">
        <x:v>—（无公开声明或待核对）</x:v>
      </x:c>
      <x:c r="G23" s="180" t="str">
        <x:v>Bind(ProjectModel project), BindSubtree(CxNode root), BindOwnedChildren(CxNode root), VerifyOwnedTree(CxNode root), CaptureLocalPathResolver(CxNode subtree), RefreshLocalReferencePaths(CxNode subtree, Func&lt;string, CxNode&gt; resolveOriginal = null), RebuildParents(CxNode root), RebuildOwners(CxNode root), UnbindSubtree(CxNode root), DetachSubtree(CxNode root)</x:v>
      </x:c>
      <x:c r="H23" s="180" t="str">
        <x:v>—（待核）</x:v>
      </x:c>
      <x:c r="I23" s="180" t="str">
        <x:v>CxVisual.Core.CxNodeTreeBinder</x:v>
      </x:c>
      <x:c r="J23" s="179" t="str">
        <x:v>静态类</x:v>
      </x:c>
      <x:c r="K23" s="180" t="str">
        <x:v>V1.19 C-0079；原实施方式：原有。迁移风险：Load 后重建导航</x:v>
      </x:c>
      <x:c r="L23" s="183" t="str">
        <x:v>源代码声明·待复核</x:v>
      </x:c>
      <x:c r="M23" s="183" t="str">
        <x:v>C-0079</x:v>
      </x:c>
      <x:c r="N23" s="184" t="str">
        <x:v>Platform/Core/CxNode.cs</x:v>
      </x:c>
      <x:c r="O23" s="183" t="str">
        <x:v>V1.19旧源码类型（真实成员/实现仍待核）
V2.01：来源ID对应；处置=保留源码·公开契约复核
V7.8：V7.8同名且源文件对应；Platform/Core/CxNode.cs</x:v>
      </x:c>
      <x:c r="P23" s="136" t="str">
        <x:v>V1.19旧源码类型（真实成员/实现仍待核）</x:v>
      </x:c>
      <x:c r="Q23"/>
      <x:c r="R23"/>
      <x:c r="S23"/>
    </x:row>
    <x:row r="24" ht="72" customHeight="1">
      <x:c r="A24" s="179" t="str">
        <x:v>M01</x:v>
      </x:c>
      <x:c r="B24" s="180" t="str">
        <x:v>Definition与工程组织｜工程对象/资源组织
Engineering Model</x:v>
      </x:c>
      <x:c r="C24" s="180" t="str">
        <x:v>MEMCxProjectManifest</x:v>
      </x:c>
      <x:c r="D24" s="179" t="str">
        <x:v>原有·待核</x:v>
      </x:c>
      <x:c r="E24" s="180" t="str">
        <x:v>负责工程Manifest相关的工程清单与公共契约管理</x:v>
      </x:c>
      <x:c r="F24" s="180" t="str">
        <x:v>ProjectId, ProjectVersion, SchemaVersion, RequiredPlugins, RequiredCapabilities, Resources, RuntimeTargets, RequiredTypes, MinimumRuntimeVersion</x:v>
      </x:c>
      <x:c r="G24" s="180" t="str">
        <x:v>Validate(), Clone(), FromProject(ProjectModel project)</x:v>
      </x:c>
      <x:c r="H24" s="180" t="str">
        <x:v>—（待核）</x:v>
      </x:c>
      <x:c r="I24" s="180" t="str">
        <x:v>CxVisual.Serialization.CxProjectManifest</x:v>
      </x:c>
      <x:c r="J24" s="179" t="str">
        <x:v>类</x:v>
      </x:c>
      <x:c r="K24" s="180" t="str">
        <x:v>V1.19 C-0137；原实施方式：原有。迁移风险：负责工程Manifest相关的工程清单与公共契约管理</x:v>
      </x:c>
      <x:c r="L24" s="183" t="str">
        <x:v>源代码声明·待复核</x:v>
      </x:c>
      <x:c r="M24" s="183" t="str">
        <x:v>C-0137</x:v>
      </x:c>
      <x:c r="N24" s="184" t="str">
        <x:v>Platform/Persistence/Project/CxProjectManifest.cs</x:v>
      </x:c>
      <x:c r="O24" s="183" t="str">
        <x:v>V1.19旧源码类型（真实成员/实现仍待核）
V2.01：来源ID对应；处置=保留源码·公开契约复核
V7.8：V7.8同名且源文件对应；Platform/Persistence/Project/CxProjectManifest.cs</x:v>
      </x:c>
      <x:c r="P24" s="136" t="str">
        <x:v>V1.19旧源码类型（真实成员/实现仍待核）</x:v>
      </x:c>
      <x:c r="Q24"/>
      <x:c r="R24"/>
      <x:c r="S24"/>
    </x:row>
    <x:row r="25" ht="135" customHeight="1">
      <x:c r="A25" s="179" t="str">
        <x:v>M01</x:v>
      </x:c>
      <x:c r="B25" s="180" t="str">
        <x:v>Definition与工程组织｜工程对象/资源组织
Engineering Model</x:v>
      </x:c>
      <x:c r="C25" s="180" t="str">
        <x:v>MEMCxProjectSerializer</x:v>
      </x:c>
      <x:c r="D25" s="179" t="str">
        <x:v>原有·待核</x:v>
      </x:c>
      <x:c r="E25" s="180" t="str">
        <x:v>负责工程Serializer相关的工程持久化与公共契约管理</x:v>
      </x:c>
      <x:c r="F25" s="180" t="str">
        <x:v>NodeSerializer, WorkspaceStore, SchemaVersion</x:v>
      </x:c>
      <x:c r="G25" s="180" t="str">
        <x:v>CxProjectSerializer(ElementFactoryRegistry elementFactories = null, CxDescriptorRegistry nodeTypes = null, RSA packageVerificat…), Save(ProjectModel project, string workspaceDirectory), Save(ProjectModel project, string workspaceDirectory, string sourceWorkspaceDirectory, CancellationToken cancell…), Load(string workspaceDirectory), SavePackage(ProjectModel project, string packagePath, string sourceWorkspaceDirectory = null), LoadPackage(string packagePath), LoadPackage(string packagePath, string workspaceDirectory, CancellationToken cancellationToken = default(CancellationToken)</x:v>
      </x:c>
      <x:c r="H25" s="180" t="str">
        <x:v>—（待核）</x:v>
      </x:c>
      <x:c r="I25" s="180" t="str">
        <x:v>CxVisual.Serialization.CxProjectSerializer</x:v>
      </x:c>
      <x:c r="J25" s="179" t="str">
        <x:v>类</x:v>
      </x:c>
      <x:c r="K25" s="180" t="str">
        <x:v>V1.19 C-0138；原实施方式：原有。迁移风险：负责工程Serializer相关的工程持久化与公共契约管理</x:v>
      </x:c>
      <x:c r="L25" s="183" t="str">
        <x:v>源代码声明·待复核</x:v>
      </x:c>
      <x:c r="M25" s="183" t="str">
        <x:v>C-0138</x:v>
      </x:c>
      <x:c r="N25" s="184" t="str">
        <x:v>Platform/Persistence/Project/CxProjectSerializer.cs</x:v>
      </x:c>
      <x:c r="O25" s="183" t="str">
        <x:v>V1.19旧源码类型（真实成员/实现仍待核）
V2.01：来源ID对应；处置=专项需裁决：核心重构
V7.8：V7.8同名且源文件对应；Platform/Persistence/Project/CxProjectSerializer.cs</x:v>
      </x:c>
      <x:c r="P25" s="136" t="str">
        <x:v>V1.19旧源码类型（真实成员/实现仍待核）</x:v>
      </x:c>
      <x:c r="Q25"/>
      <x:c r="R25"/>
      <x:c r="S25"/>
    </x:row>
    <x:row r="26" ht="72" customHeight="1">
      <x:c r="A26" s="179" t="str">
        <x:v>M01</x:v>
      </x:c>
      <x:c r="B26" s="180" t="str">
        <x:v>Definition与工程组织｜工程对象/资源组织
Engineering Model</x:v>
      </x:c>
      <x:c r="C26" s="180" t="str">
        <x:v>MEMCxResourceDescriptor</x:v>
      </x:c>
      <x:c r="D26" s="179" t="str">
        <x:v>原有·待核</x:v>
      </x:c>
      <x:c r="E26" s="180" t="str">
        <x:v>负责资源描述符相关的资源元数据与公共契约管理</x:v>
      </x:c>
      <x:c r="F26" s="180" t="str">
        <x:v>ResourceType, DisplayName, Capabilities, ShareMode, ConfigurationSchema</x:v>
      </x:c>
      <x:c r="G26" s="180" t="str">
        <x:v>ValidateConfig(CxResourceDefinition resource)</x:v>
      </x:c>
      <x:c r="H26" s="180" t="str">
        <x:v>—（待核）</x:v>
      </x:c>
      <x:c r="I26" s="180" t="str">
        <x:v>CxVisual.Core.CxResourceDescriptor</x:v>
      </x:c>
      <x:c r="J26" s="179" t="str">
        <x:v>类</x:v>
      </x:c>
      <x:c r="K26" s="180" t="str">
        <x:v>V1.19 C-0082；原实施方式：原有。迁移风险：负责资源描述符相关的资源元数据与公共契约管理</x:v>
      </x:c>
      <x:c r="L26" s="183" t="str">
        <x:v>源代码声明·待复核</x:v>
      </x:c>
      <x:c r="M26" s="183" t="str">
        <x:v>C-0082</x:v>
      </x:c>
      <x:c r="N26" s="184" t="str">
        <x:v>Platform/Core/CxResources.cs</x:v>
      </x:c>
      <x:c r="O26" s="183" t="str">
        <x:v>V1.19旧源码类型（真实成员/实现仍待核）
V2.01：来源ID对应；处置=保留源码·公开契约复核
V7.8：V7.8同名且源文件对应；Platform/Core/CxResources.cs</x:v>
      </x:c>
      <x:c r="P26" s="136" t="str">
        <x:v>V1.19旧源码类型（真实成员/实现仍待核）</x:v>
      </x:c>
      <x:c r="Q26"/>
      <x:c r="R26"/>
      <x:c r="S26"/>
    </x:row>
    <x:row r="27" ht="72" customHeight="1">
      <x:c r="A27" s="179" t="str">
        <x:v>M01</x:v>
      </x:c>
      <x:c r="B27" s="180" t="str">
        <x:v>Definition与工程组织｜工程对象/资源组织
Engineering Model</x:v>
      </x:c>
      <x:c r="C27" s="180" t="str">
        <x:v>MEMCxResourceRegistry</x:v>
      </x:c>
      <x:c r="D27" s="179" t="str">
        <x:v>原有·待核</x:v>
      </x:c>
      <x:c r="E27" s="180" t="str">
        <x:v>负责资源注册表相关的资源注册与公共契约管理</x:v>
      </x:c>
      <x:c r="F27" s="180" t="str">
        <x:v>Resources</x:v>
      </x:c>
      <x:c r="G27" s="180" t="str">
        <x:v>Register(CxResourceDefinition resource), Unregister(string id), Find(string id), QueryByCapability(string capability)</x:v>
      </x:c>
      <x:c r="H27" s="180" t="str">
        <x:v>—（待核）</x:v>
      </x:c>
      <x:c r="I27" s="180" t="str">
        <x:v>CxVisual.Core.CxResourceRegistry</x:v>
      </x:c>
      <x:c r="J27" s="179" t="str">
        <x:v>类</x:v>
      </x:c>
      <x:c r="K27" s="180" t="str">
        <x:v>V1.19 C-0083；原实施方式：原有。迁移风险：负责资源注册表相关的资源注册与公共契约管理</x:v>
      </x:c>
      <x:c r="L27" s="183" t="str">
        <x:v>源代码声明·待复核</x:v>
      </x:c>
      <x:c r="M27" s="183" t="str">
        <x:v>C-0083</x:v>
      </x:c>
      <x:c r="N27" s="184" t="str">
        <x:v>Platform/Core/CxResources.cs</x:v>
      </x:c>
      <x:c r="O27" s="183" t="str">
        <x:v>V1.19旧源码类型（真实成员/实现仍待核）
V2.01：来源ID对应；处置=保留源码·公开契约复核
V7.8：V7.8同名且源文件对应；Platform/Core/CxResources.cs</x:v>
      </x:c>
      <x:c r="P27" s="136" t="str">
        <x:v>V1.19旧源码类型（真实成员/实现仍待核）</x:v>
      </x:c>
      <x:c r="Q27"/>
      <x:c r="R27"/>
      <x:c r="S27"/>
    </x:row>
    <x:row r="28" ht="72" customHeight="1">
      <x:c r="A28" s="179" t="str">
        <x:v>M01</x:v>
      </x:c>
      <x:c r="B28" s="180" t="str">
        <x:v>Definition与工程组织｜工程对象/资源组织
Engineering Model</x:v>
      </x:c>
      <x:c r="C28" s="180" t="str">
        <x:v>MEMDomainAssetResourceFactory</x:v>
      </x:c>
      <x:c r="D28" s="179" t="str">
        <x:v>原有·待核</x:v>
      </x:c>
      <x:c r="E28" s="180" t="str">
        <x:v>根据DomainAsset资源工厂配置构造匹配的实例或实现对象</x:v>
      </x:c>
      <x:c r="F28" s="180" t="str">
        <x:v>ResourceTypeId</x:v>
      </x:c>
      <x:c r="G28" s="180" t="str">
        <x:v>DomainAssetResourceFactory(string typeId, string domainId), Create(ResourceCreateContext context), ApplyCtGeometryOptions(CTGeometry geometry, IDictionary&lt;string, object&gt; options)</x:v>
      </x:c>
      <x:c r="H28" s="180" t="str">
        <x:v>—（待核）</x:v>
      </x:c>
      <x:c r="I28" s="180" t="str">
        <x:v>CxVisual.Designer.Application.Studio.DomainAssetResourceFactory</x:v>
      </x:c>
      <x:c r="J28" s="179" t="str">
        <x:v>类</x:v>
      </x:c>
      <x:c r="K28" s="180" t="str">
        <x:v>V1.19 C-0092；原实施方式：原有。迁移风险：根据DomainAsset资源工厂配置构造匹配的实例或实现对象</x:v>
      </x:c>
      <x:c r="L28" s="183" t="str">
        <x:v>源代码声明·待复核</x:v>
      </x:c>
      <x:c r="M28" s="183" t="str">
        <x:v>C-0092</x:v>
      </x:c>
      <x:c r="N28" s="184" t="str">
        <x:v>Host/Studio/Application/Studio/Resources/ResourcePlatform.cs</x:v>
      </x:c>
      <x:c r="O28"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28" s="136" t="str">
        <x:v>V1.19旧源码类型（真实成员/实现仍待核）</x:v>
      </x:c>
      <x:c r="Q28"/>
      <x:c r="R28"/>
      <x:c r="S28"/>
    </x:row>
    <x:row r="29" ht="72" customHeight="1">
      <x:c r="A29" s="179" t="str">
        <x:v>M01</x:v>
      </x:c>
      <x:c r="B29" s="180" t="str">
        <x:v>Definition与工程组织｜工程对象/资源组织
Engineering Model</x:v>
      </x:c>
      <x:c r="C29" s="180" t="str">
        <x:v>MEMDomainIds</x:v>
      </x:c>
      <x:c r="D29" s="179" t="str">
        <x:v>原有·待核</x:v>
      </x:c>
      <x:c r="E29" s="180" t="str">
        <x:v>提供DomainIds相关基础操作或类型辅助处理</x:v>
      </x:c>
      <x:c r="F29" s="180" t="str">
        <x:v>Mechanism, Automation, Simulation, Hmi, Motion, Robot, Vision, Ct3D, Inspection, Data, Files, Package</x:v>
      </x:c>
      <x:c r="G29" s="180" t="str">
        <x:v>—(无公开声明或待核对)</x:v>
      </x:c>
      <x:c r="H29" s="180" t="str">
        <x:v>—（待核）</x:v>
      </x:c>
      <x:c r="I29" s="180" t="str">
        <x:v>CxVisual.Designer.Application.Studio.DomainIds</x:v>
      </x:c>
      <x:c r="J29" s="179" t="str">
        <x:v>静态类</x:v>
      </x:c>
      <x:c r="K29" s="180" t="str">
        <x:v>V1.19 C-0093；原实施方式：原有。迁移风险：提供DomainIds相关基础操作或类型辅助处理</x:v>
      </x:c>
      <x:c r="L29" s="183" t="str">
        <x:v>源代码声明·待复核</x:v>
      </x:c>
      <x:c r="M29" s="183" t="str">
        <x:v>C-0093</x:v>
      </x:c>
      <x:c r="N29" s="184" t="str">
        <x:v>Host/Studio/Application/Studio/Resources/ResourcePlatform.cs</x:v>
      </x:c>
      <x:c r="O29"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29" s="136" t="str">
        <x:v>V1.19旧源码类型（真实成员/实现仍待核）</x:v>
      </x:c>
      <x:c r="Q29"/>
      <x:c r="R29"/>
      <x:c r="S29"/>
    </x:row>
    <x:row r="30" ht="72" customHeight="1">
      <x:c r="A30" s="179" t="str">
        <x:v>M01</x:v>
      </x:c>
      <x:c r="B30" s="180" t="str">
        <x:v>Definition与工程组织｜工程对象/资源组织
Engineering Model</x:v>
      </x:c>
      <x:c r="C30" s="180" t="str">
        <x:v>MEMDomainLineageDescriptor</x:v>
      </x:c>
      <x:c r="D30" s="179" t="str">
        <x:v>原有·待核</x:v>
      </x:c>
      <x:c r="E30" s="180" t="str">
        <x:v>描述DomainLineage描述符的类型、能力、元数据及可查询信息</x:v>
      </x:c>
      <x:c r="F30" s="180" t="str">
        <x:v>PrimaryDomainId, Ancestors, Breadcrumb</x:v>
      </x:c>
      <x:c r="G30" s="180" t="str">
        <x:v>DomainLineageDescriptor(string primaryDomainId, params stringancestors), IsOrInherits(string domainId), ForDomain(string domainId)</x:v>
      </x:c>
      <x:c r="H30" s="180" t="str">
        <x:v>—（待核）</x:v>
      </x:c>
      <x:c r="I30" s="180" t="str">
        <x:v>CxVisual.Designer.Application.Studio.DomainLineageDescriptor</x:v>
      </x:c>
      <x:c r="J30" s="179" t="str">
        <x:v>类</x:v>
      </x:c>
      <x:c r="K30" s="180" t="str">
        <x:v>V1.19 C-0094；原实施方式：原有。迁移风险：描述DomainLineage描述符的类型、能力、元数据及可查询信息</x:v>
      </x:c>
      <x:c r="L30" s="183" t="str">
        <x:v>源代码声明·待复核</x:v>
      </x:c>
      <x:c r="M30" s="183" t="str">
        <x:v>C-0094</x:v>
      </x:c>
      <x:c r="N30" s="184" t="str">
        <x:v>Host/Studio/Application/Studio/Resources/ResourcePlatform.cs</x:v>
      </x:c>
      <x:c r="O30"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30" s="136" t="str">
        <x:v>V1.19旧源码类型（真实成员/实现仍待核）</x:v>
      </x:c>
      <x:c r="Q30"/>
      <x:c r="R30"/>
      <x:c r="S30"/>
    </x:row>
    <x:row r="31" ht="72" customHeight="1">
      <x:c r="A31" s="179" t="str">
        <x:v>M01</x:v>
      </x:c>
      <x:c r="B31" s="180" t="str">
        <x:v>Definition与工程组织｜工程对象/资源组织
Engineering Model</x:v>
      </x:c>
      <x:c r="C31" s="180" t="str">
        <x:v>MEMElementModelConverter</x:v>
      </x:c>
      <x:c r="D31" s="179" t="str">
        <x:v>原有·待核</x:v>
      </x:c>
      <x:c r="E31" s="180" t="str">
        <x:v>实现元素模型Converter表示之间的转换，处理格式兼容性</x:v>
      </x:c>
      <x:c r="F31" s="180" t="str">
        <x:v>—（无公开声明或待核对）</x:v>
      </x:c>
      <x:c r="G31" s="180" t="str">
        <x:v>ElementModelConverter(ElementFactoryRegistry elementFactories = null), CanConvert(Type objectType), WriteJson(JsonWriter writer, object value, JsonSerializer serializer), ReadJson(JsonReader reader, Type objectType, object existingValue, JsonSerializer serializer)</x:v>
      </x:c>
      <x:c r="H31" s="180" t="str">
        <x:v>—（待核）</x:v>
      </x:c>
      <x:c r="I31" s="180" t="str">
        <x:v>CxVisual.Serialization.ElementModelConverter</x:v>
      </x:c>
      <x:c r="J31" s="179" t="str">
        <x:v>类</x:v>
      </x:c>
      <x:c r="K31" s="180" t="str">
        <x:v>V1.19 C-0139；原实施方式：原有。迁移风险：实现元素模型Converter表示之间的转换，处理格式兼容性</x:v>
      </x:c>
      <x:c r="L31" s="183" t="str">
        <x:v>源代码声明·待复核</x:v>
      </x:c>
      <x:c r="M31" s="183" t="str">
        <x:v>C-0139</x:v>
      </x:c>
      <x:c r="N31" s="184" t="str">
        <x:v>Platform/Persistence/Project/JsonSerialization.cs</x:v>
      </x:c>
      <x:c r="O31" s="183" t="str">
        <x:v>V1.19旧源码类型（真实成员/实现仍待核）
V2.01：来源ID对应；处置=保留源码·公开契约复核
V7.8：V7.8同名且源文件对应；Platform/Persistence/Project/JsonSerialization.cs</x:v>
      </x:c>
      <x:c r="P31" s="136" t="str">
        <x:v>V1.19旧源码类型（真实成员/实现仍待核）</x:v>
      </x:c>
      <x:c r="Q31"/>
      <x:c r="R31"/>
      <x:c r="S31"/>
    </x:row>
    <x:row r="32" ht="72" customHeight="1">
      <x:c r="A32" s="179" t="str">
        <x:v>M01</x:v>
      </x:c>
      <x:c r="B32" s="180" t="str">
        <x:v>Definition与工程组织｜工程对象/资源组织
Engineering Model</x:v>
      </x:c>
      <x:c r="C32" s="180" t="str">
        <x:v>MEMEntry</x:v>
      </x:c>
      <x:c r="D32" s="179" t="str">
        <x:v>原有·待核</x:v>
      </x:c>
      <x:c r="E32" s="180" t="str">
        <x:v>表达或管理Entry相关的数据及协作职责，具体行为待源码复核〔待核〕</x:v>
      </x:c>
      <x:c r="F32" s="180" t="str">
        <x:v>—（无公开声明或待核对）</x:v>
      </x:c>
      <x:c r="G32" s="180" t="str">
        <x:v>—(无公开声明或待核对)</x:v>
      </x:c>
      <x:c r="H32" s="180" t="str">
        <x:v>—（待核）</x:v>
      </x:c>
      <x:c r="I32" s="180" t="str">
        <x:v>CxVisual.Resources.ResourceCache.Entry</x:v>
      </x:c>
      <x:c r="J32" s="179" t="str">
        <x:v>类</x:v>
      </x:c>
      <x:c r="K32" s="180" t="str">
        <x:v>V1.19 C-0126；原实施方式：原有。迁移风险：表达或管理Entry相关的数据及协作职责，具体行为待源码复核〔待核〕</x:v>
      </x:c>
      <x:c r="L32" s="183" t="str">
        <x:v>源代码声明·待复核</x:v>
      </x:c>
      <x:c r="M32" s="183" t="str">
        <x:v>C-0126</x:v>
      </x:c>
      <x:c r="N32" s="184" t="str">
        <x:v>Platform/Core/SpatialIndex.cs; Platform/Data/CxStreamHandle.cs; Platform/Simulation/CxSimulationRuntime.cs; Platform/Workbench/Drawing/CxCanvasHost.cs</x:v>
      </x:c>
      <x:c r="O32" s="183" t="str">
        <x:v>V1.19旧源码类型（真实成员/实现仍待核）
V2.01：来源ID对应；处置=保留源码·公开契约复核
V7.8：V7.8同名且源文件对应；Platform/Core/SpatialIndex.cs</x:v>
      </x:c>
      <x:c r="P32" s="136" t="str">
        <x:v>V1.19旧源码类型（真实成员/实现仍待核）</x:v>
      </x:c>
      <x:c r="Q32"/>
      <x:c r="R32"/>
      <x:c r="S32"/>
    </x:row>
    <x:row r="33" ht="72" customHeight="1">
      <x:c r="A33" s="179" t="str">
        <x:v>M01</x:v>
      </x:c>
      <x:c r="B33" s="180" t="str">
        <x:v>Definition与工程组织｜工程对象/资源组织
Engineering Model</x:v>
      </x:c>
      <x:c r="C33" s="180" t="str">
        <x:v>MEMFieldMap</x:v>
      </x:c>
      <x:c r="D33" s="179" t="str">
        <x:v>原有·待核</x:v>
      </x:c>
      <x:c r="E33" s="180" t="str">
        <x:v>表达或管理FieldMap相关的数据及协作职责，具体行为待源码复核〔待核〕</x:v>
      </x:c>
      <x:c r="F33" s="180" t="str">
        <x:v>Source, Target</x:v>
      </x:c>
      <x:c r="G33" s="180" t="str">
        <x:v>FieldMap(string source, string target)</x:v>
      </x:c>
      <x:c r="H33" s="180" t="str">
        <x:v>—（待核）</x:v>
      </x:c>
      <x:c r="I33" s="180" t="str">
        <x:v>CxVisual.Serialization.ElementModelConverter.FieldMap</x:v>
      </x:c>
      <x:c r="J33" s="179" t="str">
        <x:v>类</x:v>
      </x:c>
      <x:c r="K33" s="180" t="str">
        <x:v>V1.19 C-0140；原实施方式：原有。迁移风险：表达或管理FieldMap相关的数据及协作职责，具体行为待源码复核〔待核〕</x:v>
      </x:c>
      <x:c r="L33" s="183" t="str">
        <x:v>源代码声明·待复核</x:v>
      </x:c>
      <x:c r="M33" s="183" t="str">
        <x:v>C-0140</x:v>
      </x:c>
      <x:c r="N33" s="184" t="str">
        <x:v>Platform/Persistence/Project/JsonSerialization.cs</x:v>
      </x:c>
      <x:c r="O33" s="183" t="str">
        <x:v>V1.19旧源码类型（真实成员/实现仍待核）
V2.01：来源ID对应；处置=保留源码·公开契约复核
V7.8：V7.8同名且源文件对应；Platform/Persistence/Project/JsonSerialization.cs</x:v>
      </x:c>
      <x:c r="P33" s="136" t="str">
        <x:v>V1.19旧源码类型（真实成员/实现仍待核）</x:v>
      </x:c>
      <x:c r="Q33"/>
      <x:c r="R33"/>
      <x:c r="S33"/>
    </x:row>
    <x:row r="34" ht="72" customHeight="1">
      <x:c r="A34" s="179" t="str">
        <x:v>M01</x:v>
      </x:c>
      <x:c r="B34" s="180" t="str">
        <x:v>Definition与工程组织｜工程对象/资源组织
Engineering Model</x:v>
      </x:c>
      <x:c r="C34" s="180" t="str">
        <x:v>MEMGenericAssetResourceFactory</x:v>
      </x:c>
      <x:c r="D34" s="179" t="str">
        <x:v>原有·待核</x:v>
      </x:c>
      <x:c r="E34" s="180" t="str">
        <x:v>根据GenericAsset资源工厂配置构造匹配的实例或实现对象</x:v>
      </x:c>
      <x:c r="F34" s="180" t="str">
        <x:v>ResourceTypeId</x:v>
      </x:c>
      <x:c r="G34" s="180" t="str">
        <x:v>GenericAssetResourceFactory(string typeId, string domainId), Create(ResourceCreateContext context)</x:v>
      </x:c>
      <x:c r="H34" s="180" t="str">
        <x:v>—（待核）</x:v>
      </x:c>
      <x:c r="I34" s="180" t="str">
        <x:v>CxVisual.Designer.Application.Studio.GenericAssetResourceFactory</x:v>
      </x:c>
      <x:c r="J34" s="179" t="str">
        <x:v>类</x:v>
      </x:c>
      <x:c r="K34" s="180" t="str">
        <x:v>V1.19 C-0095；原实施方式：原有。迁移风险：根据GenericAsset资源工厂配置构造匹配的实例或实现对象</x:v>
      </x:c>
      <x:c r="L34" s="183" t="str">
        <x:v>源代码声明·待复核</x:v>
      </x:c>
      <x:c r="M34" s="183" t="str">
        <x:v>C-0095</x:v>
      </x:c>
      <x:c r="N34" s="184" t="str">
        <x:v>Host/Studio/Application/Studio/Resources/ResourcePlatform.cs</x:v>
      </x:c>
      <x:c r="O34"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34" s="136" t="str">
        <x:v>V1.19旧源码类型（真实成员/实现仍待核）</x:v>
      </x:c>
      <x:c r="Q34"/>
      <x:c r="R34"/>
      <x:c r="S34"/>
    </x:row>
    <x:row r="35" ht="72" customHeight="1">
      <x:c r="A35" s="179" t="str">
        <x:v>M01</x:v>
      </x:c>
      <x:c r="B35" s="180" t="str">
        <x:v>Definition与工程组织｜工程对象/资源组织
Engineering Model</x:v>
      </x:c>
      <x:c r="C35" s="180" t="str">
        <x:v>MEMInspectionResourceFactory</x:v>
      </x:c>
      <x:c r="D35" s="179" t="str">
        <x:v>原有·待核</x:v>
      </x:c>
      <x:c r="E35" s="180" t="str">
        <x:v>根据检测判定资源工厂配置构造匹配的实例或实现对象</x:v>
      </x:c>
      <x:c r="F35" s="180" t="str">
        <x:v>ResourceTypeId</x:v>
      </x:c>
      <x:c r="G35" s="180" t="str">
        <x:v>Create(ResourceCreateContext context)</x:v>
      </x:c>
      <x:c r="H35" s="180" t="str">
        <x:v>—（待核）</x:v>
      </x:c>
      <x:c r="I35" s="180" t="str">
        <x:v>CxVisual.Designer.Application.Studio.InspectionResourceFactory</x:v>
      </x:c>
      <x:c r="J35" s="179" t="str">
        <x:v>类</x:v>
      </x:c>
      <x:c r="K35" s="180" t="str">
        <x:v>V1.19 C-0098；原实施方式：原有。迁移风险：根据检测判定资源工厂配置构造匹配的实例或实现对象</x:v>
      </x:c>
      <x:c r="L35" s="183" t="str">
        <x:v>源代码声明·待复核</x:v>
      </x:c>
      <x:c r="M35" s="183" t="str">
        <x:v>C-0098</x:v>
      </x:c>
      <x:c r="N35" s="184" t="str">
        <x:v>Host/Studio/Application/Studio/Resources/ResourcePlatform.cs</x:v>
      </x:c>
      <x:c r="O35"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35" s="136" t="str">
        <x:v>V1.19旧源码类型（真实成员/实现仍待核）</x:v>
      </x:c>
      <x:c r="Q35"/>
      <x:c r="R35"/>
      <x:c r="S35"/>
    </x:row>
    <x:row r="36" ht="72" customHeight="1">
      <x:c r="A36" s="179" t="str">
        <x:v>M01</x:v>
      </x:c>
      <x:c r="B36" s="180" t="str">
        <x:v>Definition与工程组织｜工程对象/资源组织
Engineering Model</x:v>
      </x:c>
      <x:c r="C36" s="180" t="str">
        <x:v>MEMJsonDefaults</x:v>
      </x:c>
      <x:c r="D36" s="179" t="str">
        <x:v>原有·待核</x:v>
      </x:c>
      <x:c r="E36" s="180" t="str">
        <x:v>提供JsonDefaults相关基础操作或类型辅助处理</x:v>
      </x:c>
      <x:c r="F36" s="180" t="str">
        <x:v>—（无公开声明或待核对）</x:v>
      </x:c>
      <x:c r="G36" s="180" t="str">
        <x:v>CreateSettings(ElementFactoryRegistry elementFactories = null, CxDescriptorRegistry nodeTypes = null), CreateContentInnerSerializer(JsonSerializer context), CreatePluginPayloadSerializer(JsonSerializer context), CreateElementInnerSerializer(JsonSerializer context = null), CreateSymbolInnerSerializer(JsonSerializer context = null), CreatePlainSerializer()</x:v>
      </x:c>
      <x:c r="H36" s="180" t="str">
        <x:v>—（待核）</x:v>
      </x:c>
      <x:c r="I36" s="180" t="str">
        <x:v>CxVisual.Serialization.JsonDefaults</x:v>
      </x:c>
      <x:c r="J36" s="179" t="str">
        <x:v>静态类</x:v>
      </x:c>
      <x:c r="K36" s="180" t="str">
        <x:v>V1.19 C-0141；原实施方式：原有。迁移风险：提供JsonDefaults相关基础操作或类型辅助处理</x:v>
      </x:c>
      <x:c r="L36" s="183" t="str">
        <x:v>源代码声明·待复核</x:v>
      </x:c>
      <x:c r="M36" s="183" t="str">
        <x:v>C-0141</x:v>
      </x:c>
      <x:c r="N36" s="184" t="str">
        <x:v>Platform/Persistence/Project/JsonSerialization.cs</x:v>
      </x:c>
      <x:c r="O36" s="183" t="str">
        <x:v>V1.19旧源码类型（真实成员/实现仍待核）
V2.01：来源ID对应；处置=保留源码·公开契约复核
V7.8：V7.8同名且源文件对应；Platform/Persistence/Project/JsonSerialization.cs</x:v>
      </x:c>
      <x:c r="P36" s="136" t="str">
        <x:v>V1.19旧源码类型（真实成员/实现仍待核）</x:v>
      </x:c>
      <x:c r="Q36"/>
      <x:c r="R36"/>
      <x:c r="S36"/>
    </x:row>
    <x:row r="37" ht="72" customHeight="1">
      <x:c r="A37" s="179" t="str">
        <x:v>M01</x:v>
      </x:c>
      <x:c r="B37" s="180" t="str">
        <x:v>Definition与工程组织｜工程对象/资源组织
Engineering Model</x:v>
      </x:c>
      <x:c r="C37" s="180" t="str">
        <x:v>MEMLayerModel</x:v>
      </x:c>
      <x:c r="D37" s="179" t="str">
        <x:v>原有·待核</x:v>
      </x:c>
      <x:c r="E37" s="180" t="str">
        <x:v>表达图层模型相关的数据结构、配置及状态视图</x:v>
      </x:c>
      <x:c r="F37" s="180" t="str">
        <x:v>Id, Name, Order, IsDesignVisible, IsLocked, IsSelectable, DesignRole</x:v>
      </x:c>
      <x:c r="G37" s="180" t="str">
        <x:v>LayerModel()</x:v>
      </x:c>
      <x:c r="H37" s="180" t="str">
        <x:v>—（待核）</x:v>
      </x:c>
      <x:c r="I37" s="180" t="str">
        <x:v>CxVisual.Core.LayerModel</x:v>
      </x:c>
      <x:c r="J37" s="179" t="str">
        <x:v>类</x:v>
      </x:c>
      <x:c r="K37" s="180" t="str">
        <x:v>V1.19 C-0084；原实施方式：原有。迁移风险：表达图层模型相关的数据结构、配置及状态视图</x:v>
      </x:c>
      <x:c r="L37" s="183" t="str">
        <x:v>源代码声明·待复核</x:v>
      </x:c>
      <x:c r="M37" s="183" t="str">
        <x:v>C-0084</x:v>
      </x:c>
      <x:c r="N37" s="184" t="str">
        <x:v>Platform/Core/Projects.cs</x:v>
      </x:c>
      <x:c r="O37" s="183" t="str">
        <x:v>V1.19旧源码类型（真实成员/实现仍待核）
V2.01：来源ID对应；处置=保留源码·公开契约复核
V7.8：V7.8同名且源文件对应；Platform/Core/Projects.cs</x:v>
      </x:c>
      <x:c r="P37" s="136" t="str">
        <x:v>V1.19旧源码类型（真实成员/实现仍待核）</x:v>
      </x:c>
      <x:c r="Q37"/>
      <x:c r="R37"/>
      <x:c r="S37"/>
    </x:row>
    <x:row r="38" ht="72" customHeight="1">
      <x:c r="A38" s="179" t="str">
        <x:v>M01</x:v>
      </x:c>
      <x:c r="B38" s="180" t="str">
        <x:v>Definition与工程组织｜工程对象/资源组织
Engineering Model</x:v>
      </x:c>
      <x:c r="C38" s="180" t="str">
        <x:v>MEMPageModelCloner</x:v>
      </x:c>
      <x:c r="D38" s="179" t="str">
        <x:v>原有·待核</x:v>
      </x:c>
      <x:c r="E38" s="180" t="str">
        <x:v>提供页面模型Cloner相关基础操作或类型辅助处理</x:v>
      </x:c>
      <x:c r="F38" s="180" t="str">
        <x:v>—（无公开声明或待核对）</x:v>
      </x:c>
      <x:c r="G38" s="180" t="str">
        <x:v>DeepCloneWithFreshIds(PageModel source, string newName = null)</x:v>
      </x:c>
      <x:c r="H38" s="180" t="str">
        <x:v>—（待核）</x:v>
      </x:c>
      <x:c r="I38" s="180" t="str">
        <x:v>CxVisual.Core.PageModelCloner</x:v>
      </x:c>
      <x:c r="J38" s="179" t="str">
        <x:v>静态类</x:v>
      </x:c>
      <x:c r="K38" s="180" t="str">
        <x:v>V1.19 C-0086；原实施方式：原有。迁移风险：提供页面模型Cloner相关基础操作或类型辅助处理</x:v>
      </x:c>
      <x:c r="L38" s="183" t="str">
        <x:v>源代码声明·待复核</x:v>
      </x:c>
      <x:c r="M38" s="183" t="str">
        <x:v>C-0086</x:v>
      </x:c>
      <x:c r="N38" s="184" t="str">
        <x:v>Platform/Core/PageCloning.cs</x:v>
      </x:c>
      <x:c r="O38" s="183" t="str">
        <x:v>V1.19旧源码类型（真实成员/实现仍待核）
V2.01：来源ID对应；处置=保留源码·公开契约复核
V7.8：V7.8同名且源文件对应；Platform/Core/PageCloning.cs</x:v>
      </x:c>
      <x:c r="P38" s="136" t="str">
        <x:v>V1.19旧源码类型（真实成员/实现仍待核）</x:v>
      </x:c>
      <x:c r="Q38"/>
      <x:c r="R38"/>
      <x:c r="S38"/>
    </x:row>
    <x:row r="39" ht="72" customHeight="1">
      <x:c r="A39" s="179" t="str">
        <x:v>M01</x:v>
      </x:c>
      <x:c r="B39" s="180" t="str">
        <x:v>Definition与工程组织｜工程对象/资源组织
Engineering Model</x:v>
      </x:c>
      <x:c r="C39" s="180" t="str">
        <x:v>MEMPageReferenceDto</x:v>
      </x:c>
      <x:c r="D39" s="179" t="str">
        <x:v>原有·待核</x:v>
      </x:c>
      <x:c r="E39" s="180" t="str">
        <x:v>表达或管理页面引用Dto相关的数据及协作职责，具体行为待源码复核〔待核〕</x:v>
      </x:c>
      <x:c r="F39" s="180" t="str">
        <x:v>Id, Name, Path</x:v>
      </x:c>
      <x:c r="G39" s="180" t="str">
        <x:v>—(无公开声明或待核对)</x:v>
      </x:c>
      <x:c r="H39" s="180" t="str">
        <x:v>—（待核）</x:v>
      </x:c>
      <x:c r="I39" s="180" t="str">
        <x:v>CxVisual.Serialization.PageReferenceDto</x:v>
      </x:c>
      <x:c r="J39" s="179" t="str">
        <x:v>类</x:v>
      </x:c>
      <x:c r="K39" s="180" t="str">
        <x:v>V1.19 C-0142；原实施方式：原有。迁移风险：表达或管理页面引用Dto相关的数据及协作职责，具体行为待源码复核〔待核〕</x:v>
      </x:c>
      <x:c r="L39" s="183" t="str">
        <x:v>源代码声明·待复核</x:v>
      </x:c>
      <x:c r="M39" s="183" t="str">
        <x:v>C-0142</x:v>
      </x:c>
      <x:c r="N39" s="184" t="str">
        <x:v>Platform/Persistence/Project/JsonSerialization.cs</x:v>
      </x:c>
      <x:c r="O39" s="183" t="str">
        <x:v>V1.19旧源码类型（真实成员/实现仍待核）
V2.01：来源ID对应；处置=保留源码·公开契约复核
V7.8：V7.8同名且源文件对应；Platform/Persistence/Project/JsonSerialization.cs</x:v>
      </x:c>
      <x:c r="P39" s="136" t="str">
        <x:v>V1.19旧源码类型（真实成员/实现仍待核）</x:v>
      </x:c>
      <x:c r="Q39"/>
      <x:c r="R39"/>
      <x:c r="S39"/>
    </x:row>
    <x:row r="40" ht="72" customHeight="1">
      <x:c r="A40" s="179" t="str">
        <x:v>M01</x:v>
      </x:c>
      <x:c r="B40" s="180" t="str">
        <x:v>Definition与工程组织｜工程对象/资源组织
Engineering Model</x:v>
      </x:c>
      <x:c r="C40" s="180" t="str">
        <x:v>MEMPageResourceFactory</x:v>
      </x:c>
      <x:c r="D40" s="179" t="str">
        <x:v>原有·待核</x:v>
      </x:c>
      <x:c r="E40" s="180" t="str">
        <x:v>根据页面资源工厂配置构造匹配的实例或实现对象</x:v>
      </x:c>
      <x:c r="F40" s="180" t="str">
        <x:v>ResourceTypeId</x:v>
      </x:c>
      <x:c r="G40" s="180" t="str">
        <x:v>Create(ResourceCreateContext context), Created(string typeId, string id, string name, string domain, object source)</x:v>
      </x:c>
      <x:c r="H40" s="180" t="str">
        <x:v>—（待核）</x:v>
      </x:c>
      <x:c r="I40" s="180" t="str">
        <x:v>CxVisual.Designer.Application.Studio.PageResourceFactory</x:v>
      </x:c>
      <x:c r="J40" s="179" t="str">
        <x:v>类</x:v>
      </x:c>
      <x:c r="K40" s="180" t="str">
        <x:v>V1.19 C-0099；原实施方式：原有。迁移风险：根据页面资源工厂配置构造匹配的实例或实现对象</x:v>
      </x:c>
      <x:c r="L40" s="183" t="str">
        <x:v>源代码声明·待复核</x:v>
      </x:c>
      <x:c r="M40" s="183" t="str">
        <x:v>C-0099</x:v>
      </x:c>
      <x:c r="N40" s="184" t="str">
        <x:v>Host/Studio/Application/Studio/Resources/ResourcePlatform.cs</x:v>
      </x:c>
      <x:c r="O40"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40" s="136" t="str">
        <x:v>V1.19旧源码类型（真实成员/实现仍待核）</x:v>
      </x:c>
      <x:c r="Q40"/>
      <x:c r="R40"/>
      <x:c r="S40"/>
    </x:row>
    <x:row r="41" ht="72" customHeight="1">
      <x:c r="A41" s="179" t="str">
        <x:v>M01</x:v>
      </x:c>
      <x:c r="B41" s="180" t="str">
        <x:v>Definition与工程组织｜工程对象/资源组织
Engineering Model</x:v>
      </x:c>
      <x:c r="C41" s="180" t="str">
        <x:v>MEMPair</x:v>
      </x:c>
      <x:c r="D41" s="179" t="str">
        <x:v>原有·待核</x:v>
      </x:c>
      <x:c r="E41" s="180" t="str">
        <x:v>表达或管理Pair相关的数据及协作职责，具体行为待源码复核〔待核〕</x:v>
      </x:c>
      <x:c r="F41" s="180" t="str">
        <x:v>—（无公开声明或待核对）</x:v>
      </x:c>
      <x:c r="G41" s="180" t="str">
        <x:v>Dictionary(StringComparer.OrdinalIgnoreCase)</x:v>
      </x:c>
      <x:c r="H41" s="180" t="str">
        <x:v>—（待核）</x:v>
      </x:c>
      <x:c r="I41" s="180" t="str">
        <x:v>CxVisual.Core.CxDefinitionCloneService.Pair</x:v>
      </x:c>
      <x:c r="J41" s="179" t="str">
        <x:v>类</x:v>
      </x:c>
      <x:c r="K41" s="180" t="str">
        <x:v>V1.19 C-0072；原实施方式：原有。迁移风险：表达或管理Pair相关的数据及协作职责，具体行为待源码复核〔待核〕</x:v>
      </x:c>
      <x:c r="L41" s="183" t="str">
        <x:v>源代码声明·待复核</x:v>
      </x:c>
      <x:c r="M41" s="183" t="str">
        <x:v>C-0072</x:v>
      </x:c>
      <x:c r="N41" s="184" t="str">
        <x:v>Platform/Core/CxNodeCloning.cs; Platform/Workbench/Editing/CxTemplateService.cs</x:v>
      </x:c>
      <x:c r="O41" s="183" t="str">
        <x:v>V1.19旧源码类型（真实成员/实现仍待核）
V2.01：来源ID对应；处置=保留源码·公开契约复核
V7.8：V7.8同名且源文件对应；Platform/Core/CxNodeCloning.cs</x:v>
      </x:c>
      <x:c r="P41" s="136" t="str">
        <x:v>V1.19旧源码类型（真实成员/实现仍待核）</x:v>
      </x:c>
      <x:c r="Q41"/>
      <x:c r="R41"/>
      <x:c r="S41"/>
    </x:row>
    <x:row r="42" ht="72" customHeight="1">
      <x:c r="A42" s="179" t="str">
        <x:v>M01</x:v>
      </x:c>
      <x:c r="B42" s="180" t="str">
        <x:v>Definition与工程组织｜工程对象/资源组织
Engineering Model</x:v>
      </x:c>
      <x:c r="C42" s="180" t="str">
        <x:v>MEMProjectFactory</x:v>
      </x:c>
      <x:c r="D42" s="179" t="str">
        <x:v>原有·待核</x:v>
      </x:c>
      <x:c r="E42" s="180" t="str">
        <x:v>根据工程工厂配置构造匹配的实例或实现对象</x:v>
      </x:c>
      <x:c r="F42" s="180" t="str">
        <x:v>—（无公开声明或待核对）</x:v>
      </x:c>
      <x:c r="G42" s="180" t="str">
        <x:v>CreateNew(string name), CreateDemonstration()</x:v>
      </x:c>
      <x:c r="H42" s="180" t="str">
        <x:v>—（待核）</x:v>
      </x:c>
      <x:c r="I42" s="180" t="str">
        <x:v>CxVisual.Designer.Application.ProjectFactory</x:v>
      </x:c>
      <x:c r="J42" s="179" t="str">
        <x:v>静态类</x:v>
      </x:c>
      <x:c r="K42" s="180" t="str">
        <x:v>V1.19 C-0089；原实施方式：原有。迁移风险：根据工程工厂配置构造匹配的实例或实现对象</x:v>
      </x:c>
      <x:c r="L42" s="183" t="str">
        <x:v>源代码声明·待复核</x:v>
      </x:c>
      <x:c r="M42" s="183" t="str">
        <x:v>C-0089</x:v>
      </x:c>
      <x:c r="N42" s="184" t="str">
        <x:v>Host/Studio/Application/DesignerServices.cs</x:v>
      </x:c>
      <x:c r="O42" s="183" t="str">
        <x:v>V1.19旧源码类型（真实成员/实现仍待核）
V2.01：来源ID对应；处置=保留源码·公开契约复核
V7.8：V7.8同名且源文件对应；Host/Studio/Application/DesignerServices.cs
归属优先核查：Studio应用层优先；抽象公共契约后可留Core；Studio应用类型疑似混入公共Core</x:v>
      </x:c>
      <x:c r="P42" s="136" t="str">
        <x:v>V1.19旧源码类型（真实成员/实现仍待核）</x:v>
      </x:c>
      <x:c r="Q42"/>
      <x:c r="R42"/>
      <x:c r="S42"/>
    </x:row>
    <x:row r="43" ht="72" customHeight="1">
      <x:c r="A43" s="179" t="str">
        <x:v>M01</x:v>
      </x:c>
      <x:c r="B43" s="180" t="str">
        <x:v>Definition与工程组织｜工程对象/资源组织
Engineering Model</x:v>
      </x:c>
      <x:c r="C43" s="180" t="str">
        <x:v>MEMProjectManifestDto</x:v>
      </x:c>
      <x:c r="D43" s="179" t="str">
        <x:v>原有·待核</x:v>
      </x:c>
      <x:c r="E43" s="180" t="str">
        <x:v>表达或管理工程ManifestDto相关的数据及协作职责，具体行为待源码复核〔待核〕</x:v>
      </x:c>
      <x:c r="F43" s="180" t="str">
        <x:v>FormatVersion, ProjectId, Name, Theme, DefaultPageWidth, DefaultPageHeight, ProjectNumber, Author, Company, Description, MinimumRuntimeVersion, RequiredPlugins, RequiredCapabilities, Revision, StartPageId, Pages, Professional Domain, Logic, …（另29项）</x:v>
      </x:c>
      <x:c r="G43" s="180" t="str">
        <x:v>ShouldSerializeNodeReadOnly(), ShouldSerializeOwnedPluginNodes()</x:v>
      </x:c>
      <x:c r="H43" s="180" t="str">
        <x:v>—（待核）</x:v>
      </x:c>
      <x:c r="I43" s="180" t="str">
        <x:v>CxVisual.Serialization.ProjectManifestDto</x:v>
      </x:c>
      <x:c r="J43" s="179" t="str">
        <x:v>类</x:v>
      </x:c>
      <x:c r="K43" s="180" t="str">
        <x:v>V1.19 C-0143；原实施方式：原有。迁移风险：表达或管理工程ManifestDto相关的数据及协作职责，具体行为待源码复核〔待核〕</x:v>
      </x:c>
      <x:c r="L43" s="183" t="str">
        <x:v>源代码声明·待复核</x:v>
      </x:c>
      <x:c r="M43" s="183" t="str">
        <x:v>C-0143</x:v>
      </x:c>
      <x:c r="N43" s="184" t="str">
        <x:v>Platform/Persistence/Project/JsonSerialization.cs</x:v>
      </x:c>
      <x:c r="O43" s="183" t="str">
        <x:v>V1.19旧源码类型（真实成员/实现仍待核）
V2.01：来源ID对应；处置=保留源码·公开契约复核
V7.8：V7.8同名且源文件对应；Platform/Persistence/Project/JsonSerialization.cs</x:v>
      </x:c>
      <x:c r="P43" s="136" t="str">
        <x:v>V1.19旧源码类型（真实成员/实现仍待核）</x:v>
      </x:c>
      <x:c r="Q43"/>
      <x:c r="R43"/>
      <x:c r="S43"/>
    </x:row>
    <x:row r="44" ht="72" customHeight="1">
      <x:c r="A44" s="179" t="str">
        <x:v>M01</x:v>
      </x:c>
      <x:c r="B44" s="180" t="str">
        <x:v>Definition与工程组织｜工程对象/资源组织
Engineering Model</x:v>
      </x:c>
      <x:c r="C44" s="180" t="str">
        <x:v>MEMProjectResourceCatalog</x:v>
      </x:c>
      <x:c r="D44" s="179" t="str">
        <x:v>原有·待核</x:v>
      </x:c>
      <x:c r="E44" s="180" t="str">
        <x:v>组织与检索工程资源目录列表及可发现的能力信息</x:v>
      </x:c>
      <x:c r="F44" s="180" t="str">
        <x:v>—（无公开声明或待核对）</x:v>
      </x:c>
      <x:c r="G44" s="180" t="str">
        <x:v>ProjectResourceCatalog(ResourceTypeRegistry types), GetResources(ProjectModel project), Find(ProjectModel project, string resourceId)</x:v>
      </x:c>
      <x:c r="H44" s="180" t="str">
        <x:v>—（待核）</x:v>
      </x:c>
      <x:c r="I44" s="180" t="str">
        <x:v>CxVisual.Designer.Application.Studio.ProjectResourceCatalog</x:v>
      </x:c>
      <x:c r="J44" s="179" t="str">
        <x:v>类</x:v>
      </x:c>
      <x:c r="K44" s="180" t="str">
        <x:v>V1.19 C-0100；原实施方式：原有。迁移风险：组织与检索工程资源目录列表及可发现的能力信息</x:v>
      </x:c>
      <x:c r="L44" s="183" t="str">
        <x:v>源代码声明·待复核</x:v>
      </x:c>
      <x:c r="M44" s="183" t="str">
        <x:v>C-0100</x:v>
      </x:c>
      <x:c r="N44" s="184" t="str">
        <x:v>Host/Studio/Application/Studio/Resources/ResourcePlatform.cs</x:v>
      </x:c>
      <x:c r="O44"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44" s="136" t="str">
        <x:v>V1.19旧源码类型（真实成员/实现仍待核）</x:v>
      </x:c>
      <x:c r="Q44"/>
      <x:c r="R44"/>
      <x:c r="S44"/>
    </x:row>
    <x:row r="45" ht="72" customHeight="1">
      <x:c r="A45" s="179" t="str">
        <x:v>M01</x:v>
      </x:c>
      <x:c r="B45" s="180" t="str">
        <x:v>Definition与工程组织｜工程对象/资源组织
Engineering Model</x:v>
      </x:c>
      <x:c r="C45" s="180" t="str">
        <x:v>MEMProjectResourceReference</x:v>
      </x:c>
      <x:c r="D45" s="179" t="str">
        <x:v>原有·待核</x:v>
      </x:c>
      <x:c r="E45" s="180" t="str">
        <x:v>表达或管理工程资源引用相关的数据及协作职责，具体行为待源码复核〔待核〕</x:v>
      </x:c>
      <x:c r="F45" s="180" t="str">
        <x:v>ResourceId, Location</x:v>
      </x:c>
      <x:c r="G45" s="180" t="str">
        <x:v>ProjectResourceReference(string resourceId, string location, Action&lt;string&gt; set), ReplaceWith(string resourceId)</x:v>
      </x:c>
      <x:c r="H45" s="180" t="str">
        <x:v>—（待核）</x:v>
      </x:c>
      <x:c r="I45" s="180" t="str">
        <x:v>CxVisual.Resources.ProjectResourceReference</x:v>
      </x:c>
      <x:c r="J45" s="179" t="str">
        <x:v>类</x:v>
      </x:c>
      <x:c r="K45" s="180" t="str">
        <x:v>V1.19 C-0124；原实施方式：原有。迁移风险：表达或管理工程资源引用相关的数据及协作职责，具体行为待源码复核〔待核〕</x:v>
      </x:c>
      <x:c r="L45" s="183" t="str">
        <x:v>源代码声明·待复核</x:v>
      </x:c>
      <x:c r="M45" s="183" t="str">
        <x:v>C-0124</x:v>
      </x:c>
      <x:c r="N45" s="184" t="str">
        <x:v>Platform/Persistence/Resources/ResourceLifecycleServices.cs</x:v>
      </x:c>
      <x:c r="O45" s="183" t="str">
        <x:v>V1.19旧源码类型（真实成员/实现仍待核）
V2.01：来源ID对应；处置=保留源码·公开契约复核
V7.8：V7.8同名且源文件对应；Platform/Persistence/Resources/ResourceLifecycleServices.cs</x:v>
      </x:c>
      <x:c r="P45" s="136" t="str">
        <x:v>V1.19旧源码类型（真实成员/实现仍待核）</x:v>
      </x:c>
      <x:c r="Q45"/>
      <x:c r="R45"/>
      <x:c r="S45"/>
    </x:row>
    <x:row r="46" ht="72" customHeight="1">
      <x:c r="A46" s="179" t="str">
        <x:v>M01</x:v>
      </x:c>
      <x:c r="B46" s="180" t="str">
        <x:v>Definition与工程组织｜工程对象/资源组织
Engineering Model</x:v>
      </x:c>
      <x:c r="C46" s="180" t="str">
        <x:v>MEMProjectResourceReferenceScanner</x:v>
      </x:c>
      <x:c r="D46" s="179" t="str">
        <x:v>原有·待核</x:v>
      </x:c>
      <x:c r="E46" s="180" t="str">
        <x:v>表达或管理工程资源引用Scanner相关的数据及协作职责，具体行为待源码复核〔待核〕</x:v>
      </x:c>
      <x:c r="F46" s="180" t="str">
        <x:v>—（无公开声明或待核对）</x:v>
      </x:c>
      <x:c r="G46" s="180" t="str">
        <x:v>Scan(ProjectModel project)</x:v>
      </x:c>
      <x:c r="H46" s="180" t="str">
        <x:v>—（待核）</x:v>
      </x:c>
      <x:c r="I46" s="180" t="str">
        <x:v>CxVisual.Resources.ProjectResourceReferenceScanner</x:v>
      </x:c>
      <x:c r="J46" s="179" t="str">
        <x:v>类</x:v>
      </x:c>
      <x:c r="K46" s="180" t="str">
        <x:v>V1.19 C-0125；原实施方式：原有。迁移风险：表达或管理工程资源引用Scanner相关的数据及协作职责，具体行为待源码复核〔待核〕</x:v>
      </x:c>
      <x:c r="L46" s="183" t="str">
        <x:v>源代码声明·待复核</x:v>
      </x:c>
      <x:c r="M46" s="183" t="str">
        <x:v>C-0125</x:v>
      </x:c>
      <x:c r="N46" s="184" t="str">
        <x:v>Platform/Persistence/Resources/ResourceLifecycleServices.cs</x:v>
      </x:c>
      <x:c r="O46" s="183" t="str">
        <x:v>V1.19旧源码类型（真实成员/实现仍待核）
V2.01：来源ID对应；处置=保留源码·公开契约复核
V7.8：V7.8同名且源文件对应；Platform/Persistence/Resources/ResourceLifecycleServices.cs</x:v>
      </x:c>
      <x:c r="P46" s="136" t="str">
        <x:v>V1.19旧源码类型（真实成员/实现仍待核）</x:v>
      </x:c>
      <x:c r="Q46"/>
      <x:c r="R46"/>
      <x:c r="S46"/>
    </x:row>
    <x:row r="47" ht="72" customHeight="1">
      <x:c r="A47" s="179" t="str">
        <x:v>M01</x:v>
      </x:c>
      <x:c r="B47" s="180" t="str">
        <x:v>Definition与工程组织｜工程对象/资源组织
Engineering Model</x:v>
      </x:c>
      <x:c r="C47" s="180" t="str">
        <x:v>MEMProjectScenarioResourceFactory</x:v>
      </x:c>
      <x:c r="D47" s="179" t="str">
        <x:v>原有·待核</x:v>
      </x:c>
      <x:c r="E47" s="180" t="str">
        <x:v>根据工程Scenario资源工厂配置构造匹配的实例或实现对象</x:v>
      </x:c>
      <x:c r="F47" s="180" t="str">
        <x:v>ResourceTypeId</x:v>
      </x:c>
      <x:c r="G47" s="180" t="str">
        <x:v>ProjectScenarioResourceFactory(string typeId, string profileId, string domainId), Create(ResourceCreateContext context)</x:v>
      </x:c>
      <x:c r="H47" s="180" t="str">
        <x:v>—（待核）</x:v>
      </x:c>
      <x:c r="I47" s="180" t="str">
        <x:v>CxVisual.Designer.Application.Studio.ProjectScenarioResourceFactory</x:v>
      </x:c>
      <x:c r="J47" s="179" t="str">
        <x:v>类</x:v>
      </x:c>
      <x:c r="K47" s="180" t="str">
        <x:v>V1.19 C-0101；原实施方式：原有。迁移风险：根据工程Scenario资源工厂配置构造匹配的实例或实现对象</x:v>
      </x:c>
      <x:c r="L47" s="183" t="str">
        <x:v>源代码声明·待复核</x:v>
      </x:c>
      <x:c r="M47" s="183" t="str">
        <x:v>C-0101</x:v>
      </x:c>
      <x:c r="N47" s="184" t="str">
        <x:v>Host/Studio/Application/Studio/Resources/ResourcePlatform.cs</x:v>
      </x:c>
      <x:c r="O47"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47" s="136" t="str">
        <x:v>V1.19旧源码类型（真实成员/实现仍待核）</x:v>
      </x:c>
      <x:c r="Q47"/>
      <x:c r="R47"/>
      <x:c r="S47"/>
    </x:row>
    <x:row r="48" ht="135" customHeight="1">
      <x:c r="A48" s="179" t="str">
        <x:v>M01</x:v>
      </x:c>
      <x:c r="B48" s="180" t="str">
        <x:v>Definition与工程组织｜工程对象/资源组织
Engineering Model</x:v>
      </x:c>
      <x:c r="C48" s="180" t="str">
        <x:v>MEMProjectSerializer</x:v>
      </x:c>
      <x:c r="D48" s="179" t="str">
        <x:v>原有·待核</x:v>
      </x:c>
      <x:c r="E48" s="180" t="str">
        <x:v>完成工程Serializer数据序列化与反序列化</x:v>
      </x:c>
      <x:c r="F48" s="180" t="str">
        <x:v>—（无公开声明或待核对）</x:v>
      </x:c>
      <x:c r="G48" s="180" t="str">
        <x:v>ProjectSerializer(ElementFactoryRegistry elementFactories = null, CxDescriptorRegistry nodeTypes = null), SerializeManifest(ProjectModel project), DeserializeManifest(string json), SerializePage(PageModel page), DeserializePage(string json), SerializeSymbolDefinition(SymbolDefinition definition), DeserializeSymbolDefinition(string json), SerializeContentDefinition(ContentDefinition definition), DeserializeContentDefinition(string json), SerializeTemplateDefinition(TemplateDefinition definition), DeserializeTemplateDefinition(string json)</x:v>
      </x:c>
      <x:c r="H48" s="180" t="str">
        <x:v>—（待核）</x:v>
      </x:c>
      <x:c r="I48" s="180" t="str">
        <x:v>CxVisual.Serialization.ProjectSerializer</x:v>
      </x:c>
      <x:c r="J48" s="179" t="str">
        <x:v>类</x:v>
      </x:c>
      <x:c r="K48" s="180" t="str">
        <x:v>V1.19 C-0144；原实施方式：原有。迁移风险：完成工程Serializer数据序列化与反序列化</x:v>
      </x:c>
      <x:c r="L48" s="183" t="str">
        <x:v>源代码声明·待复核</x:v>
      </x:c>
      <x:c r="M48" s="183" t="str">
        <x:v>C-0144</x:v>
      </x:c>
      <x:c r="N48" s="184" t="str">
        <x:v>Platform/Persistence/Project/JsonSerialization.cs</x:v>
      </x:c>
      <x:c r="O48" s="183" t="str">
        <x:v>V1.19旧源码类型（真实成员/实现仍待核）
V2.01：来源ID对应；处置=保留源码·公开契约复核
V7.8：V7.8同名且源文件对应；Platform/Persistence/Project/JsonSerialization.cs</x:v>
      </x:c>
      <x:c r="P48" s="136" t="str">
        <x:v>V1.19旧源码类型（真实成员/实现仍待核）</x:v>
      </x:c>
      <x:c r="Q48"/>
      <x:c r="R48"/>
      <x:c r="S48"/>
    </x:row>
    <x:row r="49" ht="72" customHeight="1">
      <x:c r="A49" s="179" t="str">
        <x:v>M01</x:v>
      </x:c>
      <x:c r="B49" s="180" t="str">
        <x:v>Definition与工程组织｜工程对象/资源组织
Engineering Model</x:v>
      </x:c>
      <x:c r="C49" s="180" t="str">
        <x:v>MEMProjectWorkbenchDefinition</x:v>
      </x:c>
      <x:c r="D49" s="179" t="str">
        <x:v>原有·待核</x:v>
      </x:c>
      <x:c r="E49" s="180" t="str">
        <x:v>声明工程专业工作台定义可配置的工程定义、字段和校验约束</x:v>
      </x:c>
      <x:c r="F49" s="180" t="str">
        <x:v>WorkbenchId, DisplayName, Order, Logic, Data, Collaboration</x:v>
      </x:c>
      <x:c r="G49" s="180" t="str">
        <x:v>—(无公开声明或待核对)</x:v>
      </x:c>
      <x:c r="H49" s="180" t="str">
        <x:v>—（待核）</x:v>
      </x:c>
      <x:c r="I49" s="180" t="str">
        <x:v>CxVisual.Core.ProjectWorkbenchDefinition</x:v>
      </x:c>
      <x:c r="J49" s="179" t="str">
        <x:v>类</x:v>
      </x:c>
      <x:c r="K49" s="180" t="str">
        <x:v>V1.19 C-0088；原实施方式：原有。迁移风险：声明工程专业工作台定义可配置的工程定义、字段和校验约束</x:v>
      </x:c>
      <x:c r="L49" s="183" t="str">
        <x:v>源代码声明·待复核</x:v>
      </x:c>
      <x:c r="M49" s="183" t="str">
        <x:v>C-0088</x:v>
      </x:c>
      <x:c r="N49" s="184" t="str">
        <x:v>Platform/Core/UnifiedObjectModel.cs</x:v>
      </x:c>
      <x:c r="O49" s="183" t="str">
        <x:v>V1.19旧源码类型（真实成员/实现仍待核）
V2.01：来源ID对应；处置=保留源码·公开契约复核
V7.8：V7.8同名且源文件对应；Platform/Core/UnifiedObjectModel.cs</x:v>
      </x:c>
      <x:c r="P49" s="136" t="str">
        <x:v>V1.19旧源码类型（真实成员/实现仍待核）</x:v>
      </x:c>
      <x:c r="Q49"/>
      <x:c r="R49"/>
      <x:c r="S49"/>
    </x:row>
    <x:row r="50" ht="72" customHeight="1">
      <x:c r="A50" s="179" t="str">
        <x:v>M01</x:v>
      </x:c>
      <x:c r="B50" s="180" t="str">
        <x:v>Definition与工程组织｜工程对象/资源组织
Engineering Model</x:v>
      </x:c>
      <x:c r="C50" s="180" t="str">
        <x:v>MEMProjectWorkspaceService</x:v>
      </x:c>
      <x:c r="D50" s="179" t="str">
        <x:v>原有·待核</x:v>
      </x:c>
      <x:c r="E50" s="180" t="str">
        <x:v>封装工程Workspace服务通用服务操作及其生命周期边界</x:v>
      </x:c>
      <x:c r="F50" s="180" t="str">
        <x:v>—（无公开声明或待核对）</x:v>
      </x:c>
      <x:c r="G50" s="180" t="str">
        <x:v>DirectoryProjectStore(new ProjectSerializer(); ProjectWorkspaceService(DirectoryProjectStore store); Save(ProjectModel project, string workspaceDirectory); Load(string workspaceDirectory); ExportRelease(ProjectModel project, string packagePath); ExportRelease(ProjectModel project, string packagePath, string sourceWorkspaceDirectory)</x:v>
      </x:c>
      <x:c r="H50" s="180" t="str">
        <x:v>—（待核）</x:v>
      </x:c>
      <x:c r="I50" s="180" t="str">
        <x:v>CxVisual.Designer.Application.ProjectWorkspaceService</x:v>
      </x:c>
      <x:c r="J50" s="179" t="str">
        <x:v>类</x:v>
      </x:c>
      <x:c r="K50" s="180" t="str">
        <x:v>V1.19 C-0090；原实施方式：原有。迁移风险：封装工程Workspace服务通用服务操作及其生命周期边界</x:v>
      </x:c>
      <x:c r="L50" s="183" t="str">
        <x:v>源代码声明·待复核</x:v>
      </x:c>
      <x:c r="M50" s="183" t="str">
        <x:v>C-0090</x:v>
      </x:c>
      <x:c r="N50" s="184" t="str">
        <x:v>Host/Studio/Application/StudioApplicationServices.cs</x:v>
      </x:c>
      <x:c r="O50" s="183" t="str">
        <x:v>V1.19旧源码类型（真实成员/实现仍待核）
V2.01：来源ID对应；处置=保留源码·公开契约复核
V7.8：V7.8同名且源文件对应；Host/Studio/Application/StudioApplicationServices.cs
归属优先核查：Studio应用层优先；抽象公共契约后可留Core；Studio应用类型疑似混入公共Core</x:v>
      </x:c>
      <x:c r="P50" s="136" t="str">
        <x:v>V1.19旧源码类型（真实成员/实现仍待核）</x:v>
      </x:c>
      <x:c r="Q50"/>
      <x:c r="R50"/>
      <x:c r="S50"/>
    </x:row>
    <x:row r="51" ht="72" customHeight="1">
      <x:c r="A51" s="179" t="str">
        <x:v>M01</x:v>
      </x:c>
      <x:c r="B51" s="180" t="str">
        <x:v>Definition与工程组织｜工程对象/资源组织
Engineering Model</x:v>
      </x:c>
      <x:c r="C51" s="180" t="str">
        <x:v>MEMResourceCache&lt;T&gt;</x:v>
      </x:c>
      <x:c r="D51" s="179" t="str">
        <x:v>原有·待核</x:v>
      </x:c>
      <x:c r="E51" s="180" t="str">
        <x:v>表达或管理资源CacheT相关的数据及协作职责，具体行为待源码复核〔待核〕</x:v>
      </x:c>
      <x:c r="F51" s="180" t="str">
        <x:v>CurrentCost, Count</x:v>
      </x:c>
      <x:c r="G51" s="180" t="str">
        <x:v>ResourceCache(long budget), GetOrAdd(string key, long cost, Func&lt;T&gt; factory), Remove(string key), Dispose()</x:v>
      </x:c>
      <x:c r="H51" s="180" t="str">
        <x:v>—（待核）</x:v>
      </x:c>
      <x:c r="I51" s="180" t="str">
        <x:v>CxVisual.Resources.ResourceCache&lt;T&gt;</x:v>
      </x:c>
      <x:c r="J51" s="179" t="str">
        <x:v>类</x:v>
      </x:c>
      <x:c r="K51" s="180" t="str">
        <x:v>V1.19 C-0127；原实施方式：原有。迁移风险：表达或管理资源CacheT相关的数据及协作职责，具体行为待源码复核〔待核〕</x:v>
      </x:c>
      <x:c r="L51" s="183" t="str">
        <x:v>源代码声明·待复核</x:v>
      </x:c>
      <x:c r="M51" s="183" t="str">
        <x:v>C-0127</x:v>
      </x:c>
      <x:c r="N51" s="184" t="str">
        <x:v>D:\cyg\cx-visual-x2\Platform\Persistence\Resources\ResourceLifecycleServices.cs:138</x:v>
      </x:c>
      <x:c r="O51" s="183" t="str">
        <x:v>V1.19旧源码类型（真实成员/实现仍待核）
V2.01：来源ID对应；处置=保留源码·公开契约复核
V7.8：V7.8同名且源文件对应；Platform/Persistence/Resources/ResourceLifecycleServices.cs</x:v>
      </x:c>
      <x:c r="P51" s="136" t="str">
        <x:v>V1.19旧源码类型（真实成员/实现仍待核）</x:v>
      </x:c>
      <x:c r="Q51"/>
      <x:c r="R51"/>
      <x:c r="S51"/>
    </x:row>
    <x:row r="52" ht="72" customHeight="1">
      <x:c r="A52" s="179" t="str">
        <x:v>M01</x:v>
      </x:c>
      <x:c r="B52" s="180" t="str">
        <x:v>Definition与工程组织｜工程对象/资源组织
Engineering Model</x:v>
      </x:c>
      <x:c r="C52" s="180" t="str">
        <x:v>MEMResourceCapabilityIds</x:v>
      </x:c>
      <x:c r="D52" s="179" t="str">
        <x:v>原有·待核</x:v>
      </x:c>
      <x:c r="E52" s="180" t="str">
        <x:v>提供资源CapabilityIds相关基础操作或类型辅助处理</x:v>
      </x:c>
      <x:c r="F52" s="180" t="str">
        <x:v>Create, Open, Save, Rename, Delete, Validate, Debug, Run, Import, Export, Outline, Properties, UndoRedo</x:v>
      </x:c>
      <x:c r="G52" s="180" t="str">
        <x:v>—(无公开声明或待核对)</x:v>
      </x:c>
      <x:c r="H52" s="180" t="str">
        <x:v>—（待核）</x:v>
      </x:c>
      <x:c r="I52" s="180" t="str">
        <x:v>CxVisual.Designer.Application.Studio.ResourceCapabilityIds</x:v>
      </x:c>
      <x:c r="J52" s="179" t="str">
        <x:v>静态类</x:v>
      </x:c>
      <x:c r="K52" s="180" t="str">
        <x:v>V1.19 C-0102；原实施方式：原有。迁移风险：提供资源CapabilityIds相关基础操作或类型辅助处理</x:v>
      </x:c>
      <x:c r="L52" s="183" t="str">
        <x:v>源代码声明·待复核</x:v>
      </x:c>
      <x:c r="M52" s="183" t="str">
        <x:v>C-0102</x:v>
      </x:c>
      <x:c r="N52" s="184" t="str">
        <x:v>Host/Studio/Application/Studio/Resources/ResourcePlatform.cs</x:v>
      </x:c>
      <x:c r="O52"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52" s="136" t="str">
        <x:v>V1.19旧源码类型（真实成员/实现仍待核）</x:v>
      </x:c>
      <x:c r="Q52"/>
      <x:c r="R52"/>
      <x:c r="S52"/>
    </x:row>
    <x:row r="53" ht="72" customHeight="1">
      <x:c r="A53" s="179" t="str">
        <x:v>M01</x:v>
      </x:c>
      <x:c r="B53" s="180" t="str">
        <x:v>Definition与工程组织｜工程对象/资源组织
Engineering Model</x:v>
      </x:c>
      <x:c r="C53" s="180" t="str">
        <x:v>MEMResourceCreateContext</x:v>
      </x:c>
      <x:c r="D53" s="179" t="str">
        <x:v>原有·待核</x:v>
      </x:c>
      <x:c r="E53" s="180" t="str">
        <x:v>传递资源Create上下文执行或编辑过程中共享的上下文数据</x:v>
      </x:c>
      <x:c r="F53" s="180" t="str">
        <x:v>Project, SuggestedName, ParentResourceId, Options</x:v>
      </x:c>
      <x:c r="G53" s="180" t="str">
        <x:v>—(无公开声明或待核对)</x:v>
      </x:c>
      <x:c r="H53" s="180" t="str">
        <x:v>—（待核）</x:v>
      </x:c>
      <x:c r="I53" s="180" t="str">
        <x:v>CxVisual.Designer.Application.Studio.ResourceCreateContext</x:v>
      </x:c>
      <x:c r="J53" s="179" t="str">
        <x:v>类</x:v>
      </x:c>
      <x:c r="K53" s="180" t="str">
        <x:v>V1.19 C-0103；原实施方式：原有。迁移风险：传递资源Create上下文执行或编辑过程中共享的上下文数据</x:v>
      </x:c>
      <x:c r="L53" s="183" t="str">
        <x:v>源代码声明·待复核</x:v>
      </x:c>
      <x:c r="M53" s="183" t="str">
        <x:v>C-0103</x:v>
      </x:c>
      <x:c r="N53" s="184" t="str">
        <x:v>Host/Studio/Application/Studio/Resources/ResourcePlatform.cs</x:v>
      </x:c>
      <x:c r="O53"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53" s="136" t="str">
        <x:v>V1.19旧源码类型（真实成员/实现仍待核）</x:v>
      </x:c>
      <x:c r="Q53"/>
      <x:c r="R53"/>
      <x:c r="S53"/>
    </x:row>
    <x:row r="54" ht="72" customHeight="1">
      <x:c r="A54" s="179" t="str">
        <x:v>M01</x:v>
      </x:c>
      <x:c r="B54" s="180" t="str">
        <x:v>Definition与工程组织｜工程对象/资源组织
Engineering Model</x:v>
      </x:c>
      <x:c r="C54" s="180" t="str">
        <x:v>MEMResourceCreateResult</x:v>
      </x:c>
      <x:c r="D54" s="179" t="str">
        <x:v>原有·待核</x:v>
      </x:c>
      <x:c r="E54" s="180" t="str">
        <x:v>承载资源Create结果操作结果、返回值、状态及错误说明</x:v>
      </x:c>
      <x:c r="F54" s="180" t="str">
        <x:v>Resource, Created, Message</x:v>
      </x:c>
      <x:c r="G54" s="180" t="str">
        <x:v>—(无公开声明或待核对)</x:v>
      </x:c>
      <x:c r="H54" s="180" t="str">
        <x:v>—（待核）</x:v>
      </x:c>
      <x:c r="I54" s="180" t="str">
        <x:v>CxVisual.Designer.Application.Studio.ResourceCreateResult</x:v>
      </x:c>
      <x:c r="J54" s="179" t="str">
        <x:v>类</x:v>
      </x:c>
      <x:c r="K54" s="180" t="str">
        <x:v>V1.19 C-0104；原实施方式：原有。迁移风险：承载资源Create结果操作结果、返回值、状态及错误说明</x:v>
      </x:c>
      <x:c r="L54" s="183" t="str">
        <x:v>源代码声明·待复核</x:v>
      </x:c>
      <x:c r="M54" s="183" t="str">
        <x:v>C-0104</x:v>
      </x:c>
      <x:c r="N54" s="184" t="str">
        <x:v>Host/Studio/Application/Studio/Resources/ResourcePlatform.cs</x:v>
      </x:c>
      <x:c r="O54"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54" s="136" t="str">
        <x:v>V1.19旧源码类型（真实成员/实现仍待核）</x:v>
      </x:c>
      <x:c r="Q54"/>
      <x:c r="R54"/>
      <x:c r="S54"/>
    </x:row>
    <x:row r="55" ht="72" customHeight="1">
      <x:c r="A55" s="179" t="str">
        <x:v>M01</x:v>
      </x:c>
      <x:c r="B55" s="180" t="str">
        <x:v>Definition与工程组织｜工程对象/资源组织
Engineering Model</x:v>
      </x:c>
      <x:c r="C55" s="180" t="str">
        <x:v>MEMResourceEntry</x:v>
      </x:c>
      <x:c r="D55" s="179" t="str">
        <x:v>原有·待核</x:v>
      </x:c>
      <x:c r="E55" s="180" t="str">
        <x:v>表达或管理资源Entry相关的数据及协作职责，具体行为待源码复核〔待核〕</x:v>
      </x:c>
      <x:c r="F55" s="180" t="str">
        <x:v>Id, Kind, Hash, RelativePath, OriginalName, Length, ImportedUtc</x:v>
      </x:c>
      <x:c r="G55" s="180" t="str">
        <x:v>—(无公开声明或待核对)</x:v>
      </x:c>
      <x:c r="H55" s="180" t="str">
        <x:v>—（待核）</x:v>
      </x:c>
      <x:c r="I55" s="180" t="str">
        <x:v>CxVisual.Resources.ResourceEntry</x:v>
      </x:c>
      <x:c r="J55" s="179" t="str">
        <x:v>类</x:v>
      </x:c>
      <x:c r="K55" s="180" t="str">
        <x:v>V1.19 C-0128；原实施方式：原有。迁移风险：表达或管理资源Entry相关的数据及协作职责，具体行为待源码复核〔待核〕</x:v>
      </x:c>
      <x:c r="L55" s="183" t="str">
        <x:v>源代码声明·待复核</x:v>
      </x:c>
      <x:c r="M55" s="183" t="str">
        <x:v>C-0128</x:v>
      </x:c>
      <x:c r="N55" s="184" t="str">
        <x:v>Platform/Persistence/Resources/ResourceStore.cs</x:v>
      </x:c>
      <x:c r="O55" s="183" t="str">
        <x:v>V1.19旧源码类型（真实成员/实现仍待核）
V2.01：来源ID对应；处置=保留源码·公开契约复核
V7.8：V7.8同名且源文件对应；Platform/Persistence/Resources/ResourceStore.cs</x:v>
      </x:c>
      <x:c r="P55" s="136" t="str">
        <x:v>V1.19旧源码类型（真实成员/实现仍待核）</x:v>
      </x:c>
      <x:c r="Q55"/>
      <x:c r="R55"/>
      <x:c r="S55"/>
    </x:row>
    <x:row r="56" ht="72" customHeight="1">
      <x:c r="A56" s="179" t="str">
        <x:v>M01</x:v>
      </x:c>
      <x:c r="B56" s="180" t="str">
        <x:v>Definition与工程组织｜工程对象/资源组织
Engineering Model</x:v>
      </x:c>
      <x:c r="C56" s="180" t="str">
        <x:v>MEMResourceGarbageCollector</x:v>
      </x:c>
      <x:c r="D56" s="179" t="str">
        <x:v>原有·待核</x:v>
      </x:c>
      <x:c r="E56" s="180" t="str">
        <x:v>表达或管理资源GarbageCollector相关的数据及协作职责，具体行为待源码复核〔待核〕</x:v>
      </x:c>
      <x:c r="F56" s="180" t="str">
        <x:v>—（无公开声明或待核对）</x:v>
      </x:c>
      <x:c r="G56" s="180" t="str">
        <x:v>Collect(ResourceStore store, ProjectModel project, bool dryRun = true)</x:v>
      </x:c>
      <x:c r="H56" s="180" t="str">
        <x:v>—（待核）</x:v>
      </x:c>
      <x:c r="I56" s="180" t="str">
        <x:v>CxVisual.Resources.ResourceGarbageCollector</x:v>
      </x:c>
      <x:c r="J56" s="179" t="str">
        <x:v>类</x:v>
      </x:c>
      <x:c r="K56" s="180" t="str">
        <x:v>V1.19 C-0129；原实施方式：原有。迁移风险：表达或管理资源GarbageCollector相关的数据及协作职责，具体行为待源码复核〔待核〕</x:v>
      </x:c>
      <x:c r="L56" s="183" t="str">
        <x:v>源代码声明·待复核</x:v>
      </x:c>
      <x:c r="M56" s="183" t="str">
        <x:v>C-0129</x:v>
      </x:c>
      <x:c r="N56" s="184" t="str">
        <x:v>Platform/Persistence/Resources/ResourceLifecycleServices.cs</x:v>
      </x:c>
      <x:c r="O56" s="183" t="str">
        <x:v>V1.19旧源码类型（真实成员/实现仍待核）
V2.01：来源ID对应；处置=保留源码·公开契约复核
V7.8：V7.8同名且源文件对应；Platform/Persistence/Resources/ResourceLifecycleServices.cs</x:v>
      </x:c>
      <x:c r="P56" s="136" t="str">
        <x:v>V1.19旧源码类型（真实成员/实现仍待核）</x:v>
      </x:c>
      <x:c r="Q56"/>
      <x:c r="R56"/>
      <x:c r="S56"/>
    </x:row>
    <x:row r="57" ht="72" customHeight="1">
      <x:c r="A57" s="179" t="str">
        <x:v>M01</x:v>
      </x:c>
      <x:c r="B57" s="180" t="str">
        <x:v>Definition与工程组织｜工程对象/资源组织
Engineering Model</x:v>
      </x:c>
      <x:c r="C57" s="180" t="str">
        <x:v>MEMResourceGcReport</x:v>
      </x:c>
      <x:c r="D57" s="179" t="str">
        <x:v>原有·待核</x:v>
      </x:c>
      <x:c r="E57" s="180" t="str">
        <x:v>表达或管理资源Gc报表相关的数据及协作职责，具体行为待源码复核〔待核〕</x:v>
      </x:c>
      <x:c r="F57" s="180" t="str">
        <x:v>Referenced, Unreferenced, MissingReferenced, Removed, Diagnostics</x:v>
      </x:c>
      <x:c r="G57" s="180" t="str">
        <x:v>—(无公开声明或待核对)</x:v>
      </x:c>
      <x:c r="H57" s="180" t="str">
        <x:v>—（待核）</x:v>
      </x:c>
      <x:c r="I57" s="180" t="str">
        <x:v>CxVisual.Resources.ResourceGcReport</x:v>
      </x:c>
      <x:c r="J57" s="179" t="str">
        <x:v>类</x:v>
      </x:c>
      <x:c r="K57" s="180" t="str">
        <x:v>V1.19 C-0130；原实施方式：原有。迁移风险：表达或管理资源Gc报表相关的数据及协作职责，具体行为待源码复核〔待核〕</x:v>
      </x:c>
      <x:c r="L57" s="183" t="str">
        <x:v>源代码声明·待复核</x:v>
      </x:c>
      <x:c r="M57" s="183" t="str">
        <x:v>C-0130</x:v>
      </x:c>
      <x:c r="N57" s="184" t="str">
        <x:v>Platform/Persistence/Resources/ResourceLifecycleServices.cs</x:v>
      </x:c>
      <x:c r="O57" s="183" t="str">
        <x:v>V1.19旧源码类型（真实成员/实现仍待核）
V2.01：来源ID对应；处置=保留源码·公开契约复核
V7.8：V7.8同名且源文件对应；Platform/Persistence/Resources/ResourceLifecycleServices.cs</x:v>
      </x:c>
      <x:c r="P57" s="136" t="str">
        <x:v>V1.19旧源码类型（真实成员/实现仍待核）</x:v>
      </x:c>
      <x:c r="Q57"/>
      <x:c r="R57"/>
      <x:c r="S57"/>
    </x:row>
    <x:row r="58" ht="72" customHeight="1">
      <x:c r="A58" s="179" t="str">
        <x:v>M01</x:v>
      </x:c>
      <x:c r="B58" s="180" t="str">
        <x:v>Definition与工程组织｜工程对象/资源组织
Engineering Model</x:v>
      </x:c>
      <x:c r="C58" s="180" t="str">
        <x:v>MEMResourceIdGenerator</x:v>
      </x:c>
      <x:c r="D58" s="179" t="str">
        <x:v>原有·待核</x:v>
      </x:c>
      <x:c r="E58" s="180" t="str">
        <x:v>提供资源IdGenerator相关基础操作或类型辅助处理</x:v>
      </x:c>
      <x:c r="F58" s="180" t="str">
        <x:v>—（无公开声明或待核对）</x:v>
      </x:c>
      <x:c r="G58" s="180" t="str">
        <x:v>New(string typeId, string suggestedName)</x:v>
      </x:c>
      <x:c r="H58" s="180" t="str">
        <x:v>—（待核）</x:v>
      </x:c>
      <x:c r="I58" s="180" t="str">
        <x:v>CxVisual.Designer.Application.Studio.ResourceIdGenerator</x:v>
      </x:c>
      <x:c r="J58" s="179" t="str">
        <x:v>静态类</x:v>
      </x:c>
      <x:c r="K58" s="180" t="str">
        <x:v>V1.19 C-0106；原实施方式：原有。迁移风险：提供资源IdGenerator相关基础操作或类型辅助处理</x:v>
      </x:c>
      <x:c r="L58" s="183" t="str">
        <x:v>源代码声明·待复核</x:v>
      </x:c>
      <x:c r="M58" s="183" t="str">
        <x:v>C-0106</x:v>
      </x:c>
      <x:c r="N58" s="184" t="str">
        <x:v>Host/Studio/Application/Studio/Resources/ResourcePlatform.cs</x:v>
      </x:c>
      <x:c r="O58"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58" s="136" t="str">
        <x:v>V1.19旧源码类型（真实成员/实现仍待核）</x:v>
      </x:c>
      <x:c r="Q58"/>
      <x:c r="R58"/>
      <x:c r="S58"/>
    </x:row>
    <x:row r="59" ht="72" customHeight="1">
      <x:c r="A59" s="179" t="str">
        <x:v>M01</x:v>
      </x:c>
      <x:c r="B59" s="180" t="str">
        <x:v>Definition与工程组织｜工程对象/资源组织
Engineering Model</x:v>
      </x:c>
      <x:c r="C59" s="180" t="str">
        <x:v>MEMResourceReferenceInspector</x:v>
      </x:c>
      <x:c r="D59" s="179" t="str">
        <x:v>原有·待核</x:v>
      </x:c>
      <x:c r="E59" s="180" t="str">
        <x:v>提供资源引用Inspector相关基础操作或类型辅助处理</x:v>
      </x:c>
      <x:c r="F59" s="180" t="str">
        <x:v>—（无公开声明或待核对）</x:v>
      </x:c>
      <x:c r="G59" s="180" t="str">
        <x:v>FindReferences(ProjectModel project, ResourceDescriptor resource)</x:v>
      </x:c>
      <x:c r="H59" s="180" t="str">
        <x:v>—（待核）</x:v>
      </x:c>
      <x:c r="I59" s="180" t="str">
        <x:v>CxVisual.Designer.Application.Studio.ResourceReferenceInspector</x:v>
      </x:c>
      <x:c r="J59" s="179" t="str">
        <x:v>静态类</x:v>
      </x:c>
      <x:c r="K59" s="180" t="str">
        <x:v>V1.19 C-0107；原实施方式：原有。迁移风险：提供资源引用Inspector相关基础操作或类型辅助处理</x:v>
      </x:c>
      <x:c r="L59" s="183" t="str">
        <x:v>源代码声明·待复核</x:v>
      </x:c>
      <x:c r="M59" s="183" t="str">
        <x:v>C-0107</x:v>
      </x:c>
      <x:c r="N59" s="184" t="str">
        <x:v>Host/Studio/Application/Studio/Resources/ResourcePlatform.cs</x:v>
      </x:c>
      <x:c r="O59"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59" s="136" t="str">
        <x:v>V1.19旧源码类型（真实成员/实现仍待核）</x:v>
      </x:c>
      <x:c r="Q59"/>
      <x:c r="R59"/>
      <x:c r="S59"/>
    </x:row>
    <x:row r="60" ht="72" customHeight="1">
      <x:c r="A60" s="179" t="str">
        <x:v>M01</x:v>
      </x:c>
      <x:c r="B60" s="180" t="str">
        <x:v>Definition与工程组织｜工程对象/资源组织
Engineering Model</x:v>
      </x:c>
      <x:c r="C60" s="180" t="str">
        <x:v>MEMResourceService</x:v>
      </x:c>
      <x:c r="D60" s="179" t="str">
        <x:v>原有·待核</x:v>
      </x:c>
      <x:c r="E60" s="180" t="str">
        <x:v>封装资源服务通用服务操作及其生命周期边界</x:v>
      </x:c>
      <x:c r="F60" s="180" t="str">
        <x:v>—（无公开声明或待核对）</x:v>
      </x:c>
      <x:c r="G60" s="180" t="str">
        <x:v>ResourceService(ResourceTypeRegistry types, IProjectResourceCatalog catalog), Browse(ProjectModel project), Find(ProjectModel project, string resourceId), Create(string resourceTypeId, ResourceCreateContext context)</x:v>
      </x:c>
      <x:c r="H60" s="180" t="str">
        <x:v>—（待核）</x:v>
      </x:c>
      <x:c r="I60" s="180" t="str">
        <x:v>CxVisual.Designer.Application.Studio.ResourceService</x:v>
      </x:c>
      <x:c r="J60" s="179" t="str">
        <x:v>类</x:v>
      </x:c>
      <x:c r="K60" s="180" t="str">
        <x:v>V1.19 C-0108；原实施方式：原有。迁移风险：封装资源服务通用服务操作及其生命周期边界</x:v>
      </x:c>
      <x:c r="L60" s="183" t="str">
        <x:v>源代码声明·待复核</x:v>
      </x:c>
      <x:c r="M60" s="183" t="str">
        <x:v>C-0108</x:v>
      </x:c>
      <x:c r="N60" s="184" t="str">
        <x:v>Host/Studio/Application/Studio/Resources/ResourcePlatform.cs</x:v>
      </x:c>
      <x:c r="O60"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0" s="136" t="str">
        <x:v>V1.19旧源码类型（真实成员/实现仍待核）</x:v>
      </x:c>
      <x:c r="Q60"/>
      <x:c r="R60"/>
      <x:c r="S60"/>
    </x:row>
    <x:row r="61" ht="135" customHeight="1">
      <x:c r="A61" s="179" t="str">
        <x:v>M01</x:v>
      </x:c>
      <x:c r="B61" s="180" t="str">
        <x:v>Definition与工程组织｜工程对象/资源组织
Engineering Model</x:v>
      </x:c>
      <x:c r="C61" s="180" t="str">
        <x:v>MEMResourceStore</x:v>
      </x:c>
      <x:c r="D61" s="179" t="str">
        <x:v>原有·待核</x:v>
      </x:c>
      <x:c r="E61" s="180" t="str">
        <x:v>存储并按标识检索资源Store内容及其版本</x:v>
      </x:c>
      <x:c r="F61" s="180" t="str">
        <x:v>Entries</x:v>
      </x:c>
      <x:c r="G61" s="180" t="str">
        <x:v>ResourceStore(string resourceDirectory), Find(string resourceId), FindByHash(string hash), FindByName(string originalName), RestoreEntry(ResourceEntry entry), Import(string sourcePath, string kind), ImportPrepared(string sourcePath, string kind, string originalName, out bool physicalCreated, out bool indexCreated), OpenRead(string resourceId), GetPhysicalPath(ResourceEntry entry), Remove(string resourceId, bool deleteFile), DeletePhysical(ResourceEntry entry), Validate(), SaveIndex(), ComputeSha256(string path), GetLength(string path)</x:v>
      </x:c>
      <x:c r="H61" s="180" t="str">
        <x:v>—（待核）</x:v>
      </x:c>
      <x:c r="I61" s="180" t="str">
        <x:v>CxVisual.Resources.ResourceStore</x:v>
      </x:c>
      <x:c r="J61" s="179" t="str">
        <x:v>类</x:v>
      </x:c>
      <x:c r="K61" s="180" t="str">
        <x:v>V1.19 C-0131；原实施方式：原有。迁移风险：存储并按标识检索资源Store内容及其版本</x:v>
      </x:c>
      <x:c r="L61" s="183" t="str">
        <x:v>源代码声明·待复核</x:v>
      </x:c>
      <x:c r="M61" s="183" t="str">
        <x:v>C-0131</x:v>
      </x:c>
      <x:c r="N61" s="184" t="str">
        <x:v>Platform/Persistence/Resources/ResourceStore.cs</x:v>
      </x:c>
      <x:c r="O61" s="183" t="str">
        <x:v>V1.19旧源码类型（真实成员/实现仍待核）
V2.01：来源ID对应；处置=保留源码·公开契约复核
V7.8：V7.8同名且源文件对应；Platform/Persistence/Resources/ResourceStore.cs</x:v>
      </x:c>
      <x:c r="P61" s="136" t="str">
        <x:v>V1.19旧源码类型（真实成员/实现仍待核）</x:v>
      </x:c>
      <x:c r="Q61"/>
      <x:c r="R61"/>
      <x:c r="S61"/>
    </x:row>
    <x:row r="62" ht="72" customHeight="1">
      <x:c r="A62" s="179" t="str">
        <x:v>M01</x:v>
      </x:c>
      <x:c r="B62" s="180" t="str">
        <x:v>Definition与工程组织｜工程对象/资源组织
Engineering Model</x:v>
      </x:c>
      <x:c r="C62" s="180" t="str">
        <x:v>MEMResourceTypeDescriptor</x:v>
      </x:c>
      <x:c r="D62" s="179" t="str">
        <x:v>原有·待核</x:v>
      </x:c>
      <x:c r="E62" s="180" t="str">
        <x:v>描述资源类型描述符的类型、能力、元数据及可查询信息</x:v>
      </x:c>
      <x:c r="F62" s="180" t="str">
        <x:v>ResourceTypeId, DisplayName, Category, DomainId, IconKey, Extension, CanCreate, CanImport, DomainLineage, Capabilities, Factory</x:v>
      </x:c>
      <x:c r="G62" s="180" t="str">
        <x:v>—(无公开声明或待核对)</x:v>
      </x:c>
      <x:c r="H62" s="180" t="str">
        <x:v>—（待核）</x:v>
      </x:c>
      <x:c r="I62" s="180" t="str">
        <x:v>CxVisual.Designer.Application.Studio.ResourceTypeDescriptor</x:v>
      </x:c>
      <x:c r="J62" s="179" t="str">
        <x:v>类</x:v>
      </x:c>
      <x:c r="K62" s="180" t="str">
        <x:v>V1.19 C-0109；原实施方式：原有。迁移风险：描述资源类型描述符的类型、能力、元数据及可查询信息</x:v>
      </x:c>
      <x:c r="L62" s="183" t="str">
        <x:v>源代码声明·待复核</x:v>
      </x:c>
      <x:c r="M62" s="183" t="str">
        <x:v>C-0109</x:v>
      </x:c>
      <x:c r="N62" s="184" t="str">
        <x:v>Host/Studio/Application/Studio/Resources/ResourcePlatform.cs</x:v>
      </x:c>
      <x:c r="O62"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2" s="136" t="str">
        <x:v>V1.19旧源码类型（真实成员/实现仍待核）</x:v>
      </x:c>
      <x:c r="Q62"/>
      <x:c r="R62"/>
      <x:c r="S62"/>
    </x:row>
    <x:row r="63" ht="72" customHeight="1">
      <x:c r="A63" s="179" t="str">
        <x:v>M01</x:v>
      </x:c>
      <x:c r="B63" s="180" t="str">
        <x:v>Definition与工程组织｜工程对象/资源组织
Engineering Model</x:v>
      </x:c>
      <x:c r="C63" s="180" t="str">
        <x:v>MEMResourceTypeIds</x:v>
      </x:c>
      <x:c r="D63" s="179" t="str">
        <x:v>原有·待核</x:v>
      </x:c>
      <x:c r="E63" s="180" t="str">
        <x:v>提供资源类型Ids相关基础操作或类型辅助处理</x:v>
      </x:c>
      <x:c r="F63" s="180" t="str">
        <x:v>HmiPage, HmiSymbol, HmiTemplate, ProjectScenario, ScadaProject, Isa88BatchCase, ClusterToolCase, MotionProgram, MotionPointTable, RobotDefinition, RobotProgram, RobotPath, RobotTool, RobotFrame, VisionPipeline, VisionCalibration, CtProject, CtGeometry, …（另15项）</x:v>
      </x:c>
      <x:c r="G63" s="180" t="str">
        <x:v>—(无公开声明或待核对)</x:v>
      </x:c>
      <x:c r="H63" s="180" t="str">
        <x:v>—（待核）</x:v>
      </x:c>
      <x:c r="I63" s="180" t="str">
        <x:v>CxVisual.Designer.Application.Studio.ResourceTypeIds</x:v>
      </x:c>
      <x:c r="J63" s="179" t="str">
        <x:v>静态类</x:v>
      </x:c>
      <x:c r="K63" s="180" t="str">
        <x:v>V1.19 C-0110；原实施方式：原有。迁移风险：提供资源类型Ids相关基础操作或类型辅助处理</x:v>
      </x:c>
      <x:c r="L63" s="183" t="str">
        <x:v>源代码声明·待复核</x:v>
      </x:c>
      <x:c r="M63" s="183" t="str">
        <x:v>C-0110</x:v>
      </x:c>
      <x:c r="N63" s="184" t="str">
        <x:v>Host/Studio/Application/Studio/Resources/ResourcePlatform.cs</x:v>
      </x:c>
      <x:c r="O63"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3" s="136" t="str">
        <x:v>V1.19旧源码类型（真实成员/实现仍待核）</x:v>
      </x:c>
      <x:c r="Q63"/>
      <x:c r="R63"/>
      <x:c r="S63"/>
    </x:row>
    <x:row r="64" ht="72" customHeight="1">
      <x:c r="A64" s="179" t="str">
        <x:v>M01</x:v>
      </x:c>
      <x:c r="B64" s="180" t="str">
        <x:v>Definition与工程组织｜工程对象/资源组织
Engineering Model</x:v>
      </x:c>
      <x:c r="C64" s="180" t="str">
        <x:v>MEMResourceTypeRegistry</x:v>
      </x:c>
      <x:c r="D64" s="179" t="str">
        <x:v>原有·待核</x:v>
      </x:c>
      <x:c r="E64" s="180" t="str">
        <x:v>注册、索引与查询资源类型注册表条目，并控制注册身份唯一性</x:v>
      </x:c>
      <x:c r="F64" s="180" t="str">
        <x:v>Types</x:v>
      </x:c>
      <x:c r="G64" s="180" t="str">
        <x:v>Register(ResourceTypeDescriptor descriptor), TryGet(string resourceTypeId, out ResourceTypeDescriptor descriptor), Get(string resourceTypeId), CreateBuiltIns()</x:v>
      </x:c>
      <x:c r="H64" s="180" t="str">
        <x:v>—（待核）</x:v>
      </x:c>
      <x:c r="I64" s="180" t="str">
        <x:v>CxVisual.Designer.Application.Studio.ResourceTypeRegistry</x:v>
      </x:c>
      <x:c r="J64" s="179" t="str">
        <x:v>类</x:v>
      </x:c>
      <x:c r="K64" s="180" t="str">
        <x:v>V1.19 C-0111；原实施方式：原有。迁移风险：注册、索引与查询资源类型注册表条目，并控制注册身份唯一性</x:v>
      </x:c>
      <x:c r="L64" s="183" t="str">
        <x:v>源代码声明·待复核</x:v>
      </x:c>
      <x:c r="M64" s="183" t="str">
        <x:v>C-0111</x:v>
      </x:c>
      <x:c r="N64" s="184" t="str">
        <x:v>Host/Studio/Application/Studio/Resources/ResourcePlatform.cs</x:v>
      </x:c>
      <x:c r="O64"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4" s="136" t="str">
        <x:v>V1.19旧源码类型（真实成员/实现仍待核）</x:v>
      </x:c>
      <x:c r="Q64"/>
      <x:c r="R64"/>
      <x:c r="S64"/>
    </x:row>
    <x:row r="65" ht="72" customHeight="1">
      <x:c r="A65" s="179" t="str">
        <x:v>M01</x:v>
      </x:c>
      <x:c r="B65" s="180" t="str">
        <x:v>Definition与工程组织｜工程对象/资源组织
Engineering Model</x:v>
      </x:c>
      <x:c r="C65" s="180" t="str">
        <x:v>MEMResourceTypeResolver</x:v>
      </x:c>
      <x:c r="D65" s="179" t="str">
        <x:v>原有·待核</x:v>
      </x:c>
      <x:c r="E65" s="180" t="str">
        <x:v>解析资源类型Resolver的目标对象、引用或实际实现</x:v>
      </x:c>
      <x:c r="F65" s="180" t="str">
        <x:v>—（无公开声明或待核对）</x:v>
      </x:c>
      <x:c r="G65" s="180" t="str">
        <x:v>FromAsset(ProjectAssetReference asset)</x:v>
      </x:c>
      <x:c r="H65" s="180" t="str">
        <x:v>—（待核）</x:v>
      </x:c>
      <x:c r="I65" s="180" t="str">
        <x:v>CxVisual.Designer.Application.Studio.ResourceTypeResolver</x:v>
      </x:c>
      <x:c r="J65" s="179" t="str">
        <x:v>静态类</x:v>
      </x:c>
      <x:c r="K65" s="180" t="str">
        <x:v>V1.19 C-0112；原实施方式：原有。迁移风险：解析资源类型Resolver的目标对象、引用或实际实现</x:v>
      </x:c>
      <x:c r="L65" s="183" t="str">
        <x:v>源代码声明·待复核</x:v>
      </x:c>
      <x:c r="M65" s="183" t="str">
        <x:v>C-0112</x:v>
      </x:c>
      <x:c r="N65" s="184" t="str">
        <x:v>Host/Studio/Application/Studio/Resources/ResourcePlatform.cs</x:v>
      </x:c>
      <x:c r="O65"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5" s="136" t="str">
        <x:v>V1.19旧源码类型（真实成员/实现仍待核）</x:v>
      </x:c>
      <x:c r="Q65"/>
      <x:c r="R65"/>
      <x:c r="S65"/>
    </x:row>
    <x:row r="66" ht="72" customHeight="1">
      <x:c r="A66" s="179" t="str">
        <x:v>M01</x:v>
      </x:c>
      <x:c r="B66" s="180" t="str">
        <x:v>Definition与工程组织｜工程对象/资源组织
Engineering Model</x:v>
      </x:c>
      <x:c r="C66" s="180" t="str">
        <x:v>MEMScadaProjectResourceFactory</x:v>
      </x:c>
      <x:c r="D66" s="179" t="str">
        <x:v>原有·待核</x:v>
      </x:c>
      <x:c r="E66" s="180" t="str">
        <x:v>根据Scada工程资源工厂配置构造匹配的实例或实现对象</x:v>
      </x:c>
      <x:c r="F66" s="180" t="str">
        <x:v>ResourceTypeId</x:v>
      </x:c>
      <x:c r="G66" s="180" t="str">
        <x:v>Create(ResourceCreateContext context)</x:v>
      </x:c>
      <x:c r="H66" s="180" t="str">
        <x:v>—（待核）</x:v>
      </x:c>
      <x:c r="I66" s="180" t="str">
        <x:v>CxVisual.Designer.Application.Studio.ScadaProjectResourceFactory</x:v>
      </x:c>
      <x:c r="J66" s="179" t="str">
        <x:v>类</x:v>
      </x:c>
      <x:c r="K66" s="180" t="str">
        <x:v>V1.19 C-0113；原实施方式：原有。迁移风险：根据Scada工程资源工厂配置构造匹配的实例或实现对象</x:v>
      </x:c>
      <x:c r="L66" s="183" t="str">
        <x:v>源代码声明·待复核</x:v>
      </x:c>
      <x:c r="M66" s="183" t="str">
        <x:v>C-0113</x:v>
      </x:c>
      <x:c r="N66" s="184" t="str">
        <x:v>Host/Studio/Application/Studio/Resources/ResourcePlatform.cs</x:v>
      </x:c>
      <x:c r="O66"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6" s="136" t="str">
        <x:v>V1.19旧源码类型（真实成员/实现仍待核）</x:v>
      </x:c>
      <x:c r="Q66"/>
      <x:c r="R66"/>
      <x:c r="S66"/>
    </x:row>
    <x:row r="67" ht="72" customHeight="1">
      <x:c r="A67" s="179" t="str">
        <x:v>M01</x:v>
      </x:c>
      <x:c r="B67" s="180" t="str">
        <x:v>Definition与工程组织｜工程对象/资源组织
Engineering Model</x:v>
      </x:c>
      <x:c r="C67" s="180" t="str">
        <x:v>MEMSimulationScenarioResourceFactory</x:v>
      </x:c>
      <x:c r="D67" s="179" t="str">
        <x:v>原有·待核</x:v>
      </x:c>
      <x:c r="E67" s="180" t="str">
        <x:v>根据仿真Scenario资源工厂配置构造匹配的实例或实现对象</x:v>
      </x:c>
      <x:c r="F67" s="180" t="str">
        <x:v>ResourceTypeId</x:v>
      </x:c>
      <x:c r="G67" s="180" t="str">
        <x:v>Create(ResourceCreateContext context)</x:v>
      </x:c>
      <x:c r="H67" s="180" t="str">
        <x:v>—（待核）</x:v>
      </x:c>
      <x:c r="I67" s="180" t="str">
        <x:v>CxVisual.Designer.Application.Studio.SimulationScenarioResourceFactory</x:v>
      </x:c>
      <x:c r="J67" s="179" t="str">
        <x:v>类</x:v>
      </x:c>
      <x:c r="K67" s="180" t="str">
        <x:v>V1.19 C-0114；原实施方式：原有。迁移风险：根据仿真Scenario资源工厂配置构造匹配的实例或实现对象</x:v>
      </x:c>
      <x:c r="L67" s="183" t="str">
        <x:v>源代码声明·待复核</x:v>
      </x:c>
      <x:c r="M67" s="183" t="str">
        <x:v>C-0114</x:v>
      </x:c>
      <x:c r="N67" s="184" t="str">
        <x:v>Host/Studio/Application/Studio/Resources/ResourcePlatform.cs</x:v>
      </x:c>
      <x:c r="O67"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67" s="136" t="str">
        <x:v>V1.19旧源码类型（真实成员/实现仍待核）</x:v>
      </x:c>
      <x:c r="Q67"/>
      <x:c r="R67"/>
      <x:c r="S67"/>
    </x:row>
    <x:row r="68" ht="72" customHeight="1">
      <x:c r="A68" s="179" t="str">
        <x:v>M01</x:v>
      </x:c>
      <x:c r="B68" s="180" t="str">
        <x:v>Definition与工程组织｜工程对象/资源组织
Engineering Model</x:v>
      </x:c>
      <x:c r="C68" s="180" t="str">
        <x:v>MEMStructureTransaction</x:v>
      </x:c>
      <x:c r="D68" s="179" t="str">
        <x:v>原有·待核</x:v>
      </x:c>
      <x:c r="E68" s="180" t="str">
        <x:v>表达或管理Structure事务相关的数据及协作职责，具体行为待源码复核〔待核〕</x:v>
      </x:c>
      <x:c r="F68" s="180" t="str">
        <x:v>—（无公开声明或待核对）</x:v>
      </x:c>
      <x:c r="G68" s="180" t="str">
        <x:v>List(), StructureTransaction(CxNode destination, CxNodenodes), Capture(CxNode parent), RefreshAddresses(), InvalidateIndexes(), Restore()</x:v>
      </x:c>
      <x:c r="H68" s="180" t="str">
        <x:v>—（待核）</x:v>
      </x:c>
      <x:c r="I68" s="180" t="str">
        <x:v>CxVisual.Core.CxNode.StructureTransaction</x:v>
      </x:c>
      <x:c r="J68" s="179" t="str">
        <x:v>类</x:v>
      </x:c>
      <x:c r="K68" s="180" t="str">
        <x:v>V1.19 C-0075；原实施方式：原有。迁移风险：表达或管理Structure事务相关的数据及协作职责，具体行为待源码复核〔待核〕</x:v>
      </x:c>
      <x:c r="L68" s="183" t="str">
        <x:v>源代码声明·待复核</x:v>
      </x:c>
      <x:c r="M68" s="183" t="str">
        <x:v>C-0075</x:v>
      </x:c>
      <x:c r="N68" s="184" t="str">
        <x:v>Platform/Core/CxNodeMutationTransaction.cs</x:v>
      </x:c>
      <x:c r="O68" s="183" t="str">
        <x:v>V1.19旧源码类型（真实成员/实现仍待核）
V2.01：来源ID对应；处置=保留源码·公开契约复核
V7.8：V7.8同名且源文件对应；Platform/Core/CxNodeMutationTransaction.cs</x:v>
      </x:c>
      <x:c r="P68" s="136" t="str">
        <x:v>V1.19旧源码类型（真实成员/实现仍待核）</x:v>
      </x:c>
      <x:c r="Q68"/>
      <x:c r="R68"/>
      <x:c r="S68"/>
    </x:row>
    <x:row r="69" ht="72" customHeight="1">
      <x:c r="A69" s="179" t="str">
        <x:v>M01</x:v>
      </x:c>
      <x:c r="B69" s="180" t="str">
        <x:v>Definition与工程组织｜工程对象/资源组织
Engineering Model</x:v>
      </x:c>
      <x:c r="C69" s="180" t="str">
        <x:v>MEMStudioDomainDescriptor</x:v>
      </x:c>
      <x:c r="D69" s="179" t="str">
        <x:v>原有·待核</x:v>
      </x:c>
      <x:c r="E69" s="180" t="str">
        <x:v>描述StudioDomain描述符的类型、能力、元数据及可查询信息</x:v>
      </x:c>
      <x:c r="F69" s="180" t="str">
        <x:v>DomainId, DisplayName, ParentDomainId, Order, Professional, ResourceTypeIds</x:v>
      </x:c>
      <x:c r="G69" s="180" t="str">
        <x:v>—(无公开声明或待核对)</x:v>
      </x:c>
      <x:c r="H69" s="180" t="str">
        <x:v>—（待核）</x:v>
      </x:c>
      <x:c r="I69" s="180" t="str">
        <x:v>CxVisual.Designer.Application.Studio.StudioDomainDescriptor</x:v>
      </x:c>
      <x:c r="J69" s="179" t="str">
        <x:v>类</x:v>
      </x:c>
      <x:c r="K69" s="180" t="str">
        <x:v>V1.19 C-0115；原实施方式：原有。迁移风险：描述StudioDomain描述符的类型、能力、元数据及可查询信息</x:v>
      </x:c>
      <x:c r="L69" s="183" t="str">
        <x:v>源代码声明·待复核</x:v>
      </x:c>
      <x:c r="M69" s="183" t="str">
        <x:v>C-0115</x:v>
      </x:c>
      <x:c r="N69" s="184" t="str">
        <x:v>Host/Studio/Application/Studio/Resources/StudioDomainRegistryV36.cs</x:v>
      </x:c>
      <x:c r="O69" s="183" t="str">
        <x:v>V1.19旧源码类型（真实成员/实现仍待核）
V2.01：来源ID对应；处置=保留源码·公开契约复核
V7.8：V7.8同名且源文件对应；Host/Studio/Application/Studio/Resources/StudioDomainRegistryV36.cs
归属优先核查：Studio应用层优先；抽象公共契约后可留Core；Studio应用类型疑似混入公共Core</x:v>
      </x:c>
      <x:c r="P69" s="136" t="str">
        <x:v>V1.19旧源码类型（真实成员/实现仍待核）</x:v>
      </x:c>
      <x:c r="Q69"/>
      <x:c r="R69"/>
      <x:c r="S69"/>
    </x:row>
    <x:row r="70" ht="72" customHeight="1">
      <x:c r="A70" s="179" t="str">
        <x:v>M01</x:v>
      </x:c>
      <x:c r="B70" s="180" t="str">
        <x:v>Definition与工程组织｜工程对象/资源组织
Engineering Model</x:v>
      </x:c>
      <x:c r="C70" s="180" t="str">
        <x:v>MEMStudioDomainRegistry</x:v>
      </x:c>
      <x:c r="D70" s="179" t="str">
        <x:v>原有·待核</x:v>
      </x:c>
      <x:c r="E70" s="180" t="str">
        <x:v>注册、索引与查询StudioDomain注册表条目，并控制注册身份唯一性</x:v>
      </x:c>
      <x:c r="F70" s="180" t="str">
        <x:v>ProfessionalDomains</x:v>
      </x:c>
      <x:c r="G70" s="180" t="str">
        <x:v>Register(StudioDomainDescriptor item), Find(string domainId), List(), Freeze(), Lineage(string domainId), ValidateResourceTypes(ResourceTypeRegistry resources)</x:v>
      </x:c>
      <x:c r="H70" s="180" t="str">
        <x:v>—（待核）</x:v>
      </x:c>
      <x:c r="I70" s="180" t="str">
        <x:v>CxVisual.Designer.Application.Studio.StudioDomainRegistry</x:v>
      </x:c>
      <x:c r="J70" s="179" t="str">
        <x:v>类</x:v>
      </x:c>
      <x:c r="K70" s="180" t="str">
        <x:v>V1.19 C-0116；原实施方式：原有。迁移风险：注册、索引与查询StudioDomain注册表条目，并控制注册身份唯一性</x:v>
      </x:c>
      <x:c r="L70" s="183" t="str">
        <x:v>源代码声明·待复核</x:v>
      </x:c>
      <x:c r="M70" s="183" t="str">
        <x:v>C-0116</x:v>
      </x:c>
      <x:c r="N70" s="184" t="str">
        <x:v>Host/Studio/Application/Studio/Resources/StudioDomainRegistryV36.cs</x:v>
      </x:c>
      <x:c r="O70" s="183" t="str">
        <x:v>V1.19旧源码类型（真实成员/实现仍待核）
V2.01：来源ID对应；处置=保留源码·公开契约复核
V7.8：V7.8同名且源文件对应；Host/Studio/Application/Studio/Resources/StudioDomainRegistryV36.cs
归属优先核查：Studio应用层优先；抽象公共契约后可留Core；Studio应用类型疑似混入公共Core</x:v>
      </x:c>
      <x:c r="P70" s="136" t="str">
        <x:v>V1.19旧源码类型（真实成员/实现仍待核）</x:v>
      </x:c>
      <x:c r="Q70"/>
      <x:c r="R70"/>
      <x:c r="S70"/>
    </x:row>
    <x:row r="71" ht="72" customHeight="1">
      <x:c r="A71" s="179" t="str">
        <x:v>M01</x:v>
      </x:c>
      <x:c r="B71" s="180" t="str">
        <x:v>Definition与工程组织｜工程对象/资源组织
Engineering Model</x:v>
      </x:c>
      <x:c r="C71" s="180" t="str">
        <x:v>MEMSymbolDefinitionConverter</x:v>
      </x:c>
      <x:c r="D71" s="179" t="str">
        <x:v>原有·待核</x:v>
      </x:c>
      <x:c r="E71" s="180" t="str">
        <x:v>实现符号定义Converter表示之间的转换，处理格式兼容性</x:v>
      </x:c>
      <x:c r="F71" s="180" t="str">
        <x:v>—（无公开声明或待核对）</x:v>
      </x:c>
      <x:c r="G71" s="180" t="str">
        <x:v>CanConvert(Type objectType), WriteJson(JsonWriter writer, object value, JsonSerializer serializer), ReadJson(JsonReader reader, Type objectType, object existingValue, JsonSerializer serializer)</x:v>
      </x:c>
      <x:c r="H71" s="180" t="str">
        <x:v>—（待核）</x:v>
      </x:c>
      <x:c r="I71" s="180" t="str">
        <x:v>CxVisual.Serialization.SymbolDefinitionConverter</x:v>
      </x:c>
      <x:c r="J71" s="179" t="str">
        <x:v>类</x:v>
      </x:c>
      <x:c r="K71" s="180" t="str">
        <x:v>V1.19 C-0145；原实施方式：原有。迁移风险：实现符号定义Converter表示之间的转换，处理格式兼容性</x:v>
      </x:c>
      <x:c r="L71" s="183" t="str">
        <x:v>源代码声明·待复核</x:v>
      </x:c>
      <x:c r="M71" s="183" t="str">
        <x:v>C-0145</x:v>
      </x:c>
      <x:c r="N71" s="184" t="str">
        <x:v>Platform/Persistence/Project/JsonSerialization.cs</x:v>
      </x:c>
      <x:c r="O71" s="183" t="str">
        <x:v>V1.19旧源码类型（真实成员/实现仍待核）
V2.01：来源ID对应；处置=保留源码·公开契约复核
V7.8：V7.8同名且源文件对应；Platform/Persistence/Project/JsonSerialization.cs</x:v>
      </x:c>
      <x:c r="P71" s="136" t="str">
        <x:v>V1.19旧源码类型（真实成员/实现仍待核）</x:v>
      </x:c>
      <x:c r="Q71"/>
      <x:c r="R71"/>
      <x:c r="S71"/>
    </x:row>
    <x:row r="72" ht="72" customHeight="1">
      <x:c r="A72" s="179" t="str">
        <x:v>M01</x:v>
      </x:c>
      <x:c r="B72" s="180" t="str">
        <x:v>Definition与工程组织｜工程对象/资源组织
Engineering Model</x:v>
      </x:c>
      <x:c r="C72" s="180" t="str">
        <x:v>MEMSymbolReferenceDto</x:v>
      </x:c>
      <x:c r="D72" s="179" t="str">
        <x:v>原有·待核</x:v>
      </x:c>
      <x:c r="E72" s="180" t="str">
        <x:v>表达或管理符号引用Dto相关的数据及协作职责，具体行为待源码复核〔待核〕</x:v>
      </x:c>
      <x:c r="F72" s="180" t="str">
        <x:v>Id, Name, Version, Path</x:v>
      </x:c>
      <x:c r="G72" s="180" t="str">
        <x:v>—(无公开声明或待核对)</x:v>
      </x:c>
      <x:c r="H72" s="180" t="str">
        <x:v>—（待核）</x:v>
      </x:c>
      <x:c r="I72" s="180" t="str">
        <x:v>CxVisual.Serialization.SymbolReferenceDto</x:v>
      </x:c>
      <x:c r="J72" s="179" t="str">
        <x:v>类</x:v>
      </x:c>
      <x:c r="K72" s="180" t="str">
        <x:v>V1.19 C-0146；原实施方式：原有。迁移风险：表达或管理符号引用Dto相关的数据及协作职责，具体行为待源码复核〔待核〕</x:v>
      </x:c>
      <x:c r="L72" s="183" t="str">
        <x:v>源代码声明·待复核</x:v>
      </x:c>
      <x:c r="M72" s="183" t="str">
        <x:v>C-0146</x:v>
      </x:c>
      <x:c r="N72" s="184" t="str">
        <x:v>Platform/Persistence/Project/JsonSerialization.cs</x:v>
      </x:c>
      <x:c r="O72" s="183" t="str">
        <x:v>V1.19旧源码类型（真实成员/实现仍待核）
V2.01：来源ID对应；处置=保留源码·公开契约复核
V7.8：V7.8同名且源文件对应；Platform/Persistence/Project/JsonSerialization.cs</x:v>
      </x:c>
      <x:c r="P72" s="136" t="str">
        <x:v>V1.19旧源码类型（真实成员/实现仍待核）</x:v>
      </x:c>
      <x:c r="Q72"/>
      <x:c r="R72"/>
      <x:c r="S72"/>
    </x:row>
    <x:row r="73" ht="72" customHeight="1">
      <x:c r="A73" s="179" t="str">
        <x:v>M01</x:v>
      </x:c>
      <x:c r="B73" s="180" t="str">
        <x:v>Definition与工程组织｜工程对象/资源组织
Engineering Model</x:v>
      </x:c>
      <x:c r="C73" s="180" t="str">
        <x:v>MEMSymbolResourceFactory</x:v>
      </x:c>
      <x:c r="D73" s="179" t="str">
        <x:v>原有·待核</x:v>
      </x:c>
      <x:c r="E73" s="180" t="str">
        <x:v>根据符号资源工厂配置构造匹配的实例或实现对象</x:v>
      </x:c>
      <x:c r="F73" s="180" t="str">
        <x:v>ResourceTypeId</x:v>
      </x:c>
      <x:c r="G73" s="180" t="str">
        <x:v>Create(ResourceCreateContext context)</x:v>
      </x:c>
      <x:c r="H73" s="180" t="str">
        <x:v>—（待核）</x:v>
      </x:c>
      <x:c r="I73" s="180" t="str">
        <x:v>CxVisual.Designer.Application.Studio.SymbolResourceFactory</x:v>
      </x:c>
      <x:c r="J73" s="179" t="str">
        <x:v>类</x:v>
      </x:c>
      <x:c r="K73" s="180" t="str">
        <x:v>V1.19 C-0117；原实施方式：原有。迁移风险：根据符号资源工厂配置构造匹配的实例或实现对象</x:v>
      </x:c>
      <x:c r="L73" s="183" t="str">
        <x:v>源代码声明·待复核</x:v>
      </x:c>
      <x:c r="M73" s="183" t="str">
        <x:v>C-0117</x:v>
      </x:c>
      <x:c r="N73" s="184" t="str">
        <x:v>Host/Studio/Application/Studio/Resources/ResourcePlatform.cs</x:v>
      </x:c>
      <x:c r="O73"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73" s="136" t="str">
        <x:v>V1.19旧源码类型（真实成员/实现仍待核）</x:v>
      </x:c>
      <x:c r="Q73"/>
      <x:c r="R73"/>
      <x:c r="S73"/>
    </x:row>
    <x:row r="74" ht="72" customHeight="1">
      <x:c r="A74" s="179" t="str">
        <x:v>M01</x:v>
      </x:c>
      <x:c r="B74" s="180" t="str">
        <x:v>Definition与工程组织｜工程对象/资源组织
Engineering Model</x:v>
      </x:c>
      <x:c r="C74" s="180" t="str">
        <x:v>MEMTemplateReferenceDto</x:v>
      </x:c>
      <x:c r="D74" s="179" t="str">
        <x:v>原有·待核</x:v>
      </x:c>
      <x:c r="E74" s="180" t="str">
        <x:v>表达或管理Template引用Dto相关的数据及协作职责，具体行为待源码复核〔待核〕</x:v>
      </x:c>
      <x:c r="F74" s="180" t="str">
        <x:v>Id, Name, Version, Path</x:v>
      </x:c>
      <x:c r="G74" s="180" t="str">
        <x:v>—(无公开声明或待核对)</x:v>
      </x:c>
      <x:c r="H74" s="180" t="str">
        <x:v>—（待核）</x:v>
      </x:c>
      <x:c r="I74" s="180" t="str">
        <x:v>CxVisual.Serialization.TemplateReferenceDto</x:v>
      </x:c>
      <x:c r="J74" s="179" t="str">
        <x:v>类</x:v>
      </x:c>
      <x:c r="K74" s="180" t="str">
        <x:v>V1.19 C-0147；原实施方式：原有。迁移风险：表达或管理Template引用Dto相关的数据及协作职责，具体行为待源码复核〔待核〕</x:v>
      </x:c>
      <x:c r="L74" s="183" t="str">
        <x:v>源代码声明·待复核</x:v>
      </x:c>
      <x:c r="M74" s="183" t="str">
        <x:v>C-0147</x:v>
      </x:c>
      <x:c r="N74" s="184" t="str">
        <x:v>Platform/Persistence/Project/JsonSerialization.cs</x:v>
      </x:c>
      <x:c r="O74" s="183" t="str">
        <x:v>V1.19旧源码类型（真实成员/实现仍待核）
V2.01：来源ID对应；处置=保留源码·公开契约复核
V7.8：V7.8同名且源文件对应；Platform/Persistence/Project/JsonSerialization.cs</x:v>
      </x:c>
      <x:c r="P74" s="136" t="str">
        <x:v>V1.19旧源码类型（真实成员/实现仍待核）</x:v>
      </x:c>
      <x:c r="Q74"/>
      <x:c r="R74"/>
      <x:c r="S74"/>
    </x:row>
    <x:row r="75" ht="72" customHeight="1">
      <x:c r="A75" s="179" t="str">
        <x:v>M01</x:v>
      </x:c>
      <x:c r="B75" s="180" t="str">
        <x:v>Definition与工程组织｜工程对象/资源组织
Engineering Model</x:v>
      </x:c>
      <x:c r="C75" s="180" t="str">
        <x:v>MEMTemplateResourceFactory</x:v>
      </x:c>
      <x:c r="D75" s="179" t="str">
        <x:v>原有·待核</x:v>
      </x:c>
      <x:c r="E75" s="180" t="str">
        <x:v>根据Template资源工厂配置构造匹配的实例或实现对象</x:v>
      </x:c>
      <x:c r="F75" s="180" t="str">
        <x:v>ResourceTypeId</x:v>
      </x:c>
      <x:c r="G75" s="180" t="str">
        <x:v>Create(ResourceCreateContext context)</x:v>
      </x:c>
      <x:c r="H75" s="180" t="str">
        <x:v>—（待核）</x:v>
      </x:c>
      <x:c r="I75" s="180" t="str">
        <x:v>CxVisual.Designer.Application.Studio.TemplateResourceFactory</x:v>
      </x:c>
      <x:c r="J75" s="179" t="str">
        <x:v>类</x:v>
      </x:c>
      <x:c r="K75" s="180" t="str">
        <x:v>V1.19 C-0118；原实施方式：原有。迁移风险：根据Template资源工厂配置构造匹配的实例或实现对象</x:v>
      </x:c>
      <x:c r="L75" s="183" t="str">
        <x:v>源代码声明·待复核</x:v>
      </x:c>
      <x:c r="M75" s="183" t="str">
        <x:v>C-0118</x:v>
      </x:c>
      <x:c r="N75" s="184" t="str">
        <x:v>Host/Studio/Application/Studio/Resources/ResourcePlatform.cs</x:v>
      </x:c>
      <x:c r="O75"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75" s="136" t="str">
        <x:v>V1.19旧源码类型（真实成员/实现仍待核）</x:v>
      </x:c>
      <x:c r="Q75"/>
      <x:c r="R75"/>
      <x:c r="S75"/>
    </x:row>
    <x:row r="76" ht="72" customHeight="1">
      <x:c r="A76" s="179" t="str">
        <x:v>M01</x:v>
      </x:c>
      <x:c r="B76" s="180" t="str">
        <x:v>Definition与工程组织｜工程对象/资源组织
Engineering Model</x:v>
      </x:c>
      <x:c r="C76" s="180" t="str">
        <x:v>MEMTypedJsonResourceFactory&lt;T&gt;</x:v>
      </x:c>
      <x:c r="D76" s="179" t="str">
        <x:v>原有·待核</x:v>
      </x:c>
      <x:c r="E76" s="180" t="str">
        <x:v>表达或管理TypedJson资源工厂T相关的数据及协作职责，具体行为待源码复核〔待核〕</x:v>
      </x:c>
      <x:c r="F76" s="180" t="str">
        <x:v>ResourceTypeId</x:v>
      </x:c>
      <x:c r="G76" s="180" t="str">
        <x:v>TypedJsonResourceFactory(string typeId, string domainId, Func&lt;T&gt; create), Create(ResourceCreateContext context)</x:v>
      </x:c>
      <x:c r="H76" s="180" t="str">
        <x:v>—（待核）</x:v>
      </x:c>
      <x:c r="I76" s="180" t="str">
        <x:v>CxVisual.Designer.Application.Studio.TypedJsonResourceFactory&lt;T&gt;</x:v>
      </x:c>
      <x:c r="J76" s="179" t="str">
        <x:v>类</x:v>
      </x:c>
      <x:c r="K76" s="180" t="str">
        <x:v>V1.19 C-0119；原实施方式：原有。迁移风险：表达或管理TypedJson资源工厂T相关的数据及协作职责，具体行为待源码复核〔待核〕</x:v>
      </x:c>
      <x:c r="L76" s="183" t="str">
        <x:v>源代码声明·待复核</x:v>
      </x:c>
      <x:c r="M76" s="183" t="str">
        <x:v>C-0119</x:v>
      </x:c>
      <x:c r="N76" s="184" t="str">
        <x:v>D:\cyg\cx-visual-x2\Host\Studio\Application\Studio\Resources\ResourcePlatform.cs:569</x:v>
      </x:c>
      <x:c r="O76" s="183" t="str">
        <x:v>V1.19旧源码类型（真实成员/实现仍待核）
V2.01：来源ID对应；处置=保留源码·公开契约复核
V7.8：V7.8同名且源文件对应；Host/Studio/Application/Studio/Resources/ResourcePlatform.cs
归属优先核查：Studio应用层优先；抽象公共契约后可留Core；Studio应用类型疑似混入公共Core</x:v>
      </x:c>
      <x:c r="P76" s="136" t="str">
        <x:v>V1.19旧源码类型（真实成员/实现仍待核）</x:v>
      </x:c>
      <x:c r="Q76"/>
      <x:c r="R76"/>
      <x:c r="S76"/>
    </x:row>
    <x:row r="77" ht="72" customHeight="1">
      <x:c r="A77" s="179" t="str">
        <x:v>M01</x:v>
      </x:c>
      <x:c r="B77" s="180" t="str">
        <x:v>Definition与工程组织｜工程对象/资源组织
Engineering Model</x:v>
      </x:c>
      <x:c r="C77" s="180" t="str">
        <x:v>MEMVersionedAssetManifest</x:v>
      </x:c>
      <x:c r="D77" s="179" t="str">
        <x:v>原有·待核</x:v>
      </x:c>
      <x:c r="E77" s="180" t="str">
        <x:v>表达或管理VersionedAssetManifest相关的数据及协作职责，具体行为待源码复核〔待核〕</x:v>
      </x:c>
      <x:c r="F77" s="180" t="str">
        <x:v>AssetId, Kind, Version, ContentHash, CreatedUtc, Tags, Dependencies</x:v>
      </x:c>
      <x:c r="G77" s="180" t="str">
        <x:v>VersionedAssetManifest()</x:v>
      </x:c>
      <x:c r="H77" s="180" t="str">
        <x:v>—（待核）</x:v>
      </x:c>
      <x:c r="I77" s="180" t="str">
        <x:v>CxVisual.Persistence.Resources.VersionedAssetManifest</x:v>
      </x:c>
      <x:c r="J77" s="179" t="str">
        <x:v>类</x:v>
      </x:c>
      <x:c r="K77" s="180" t="str">
        <x:v>V1.19 C-0122；原实施方式：原有。迁移风险：表达或管理VersionedAssetManifest相关的数据及协作职责，具体行为待源码复核〔待核〕</x:v>
      </x:c>
      <x:c r="L77" s="183" t="str">
        <x:v>源代码声明·待复核</x:v>
      </x:c>
      <x:c r="M77" s="183" t="str">
        <x:v>C-0122</x:v>
      </x:c>
      <x:c r="N77" s="184" t="str">
        <x:v>Platform/Persistence/Resources/VersionedAssetRepository.cs</x:v>
      </x:c>
      <x:c r="O77" s="183" t="str">
        <x:v>V1.19旧源码类型（真实成员/实现仍待核）
V2.01：来源ID对应；处置=保留源码·公开契约复核
V7.8：V7.8同名且源文件对应；Platform/Persistence/Resources/VersionedAssetRepository.cs</x:v>
      </x:c>
      <x:c r="P77" s="136" t="str">
        <x:v>V1.19旧源码类型（真实成员/实现仍待核）</x:v>
      </x:c>
      <x:c r="Q77"/>
      <x:c r="R77"/>
      <x:c r="S77"/>
    </x:row>
    <x:row r="78" ht="72" customHeight="1">
      <x:c r="A78" s="179" t="str">
        <x:v>M01</x:v>
      </x:c>
      <x:c r="B78" s="180" t="str">
        <x:v>Definition与工程组织｜工程对象/资源组织
Engineering Model</x:v>
      </x:c>
      <x:c r="C78" s="180" t="str">
        <x:v>MEMVersionedAssetRepository</x:v>
      </x:c>
      <x:c r="D78" s="179" t="str">
        <x:v>原有·待核</x:v>
      </x:c>
      <x:c r="E78" s="180" t="str">
        <x:v>保存、查询和加载VersionedAssetRepository实体或记录</x:v>
      </x:c>
      <x:c r="F78" s="180" t="str">
        <x:v>—（无公开声明或待核对）</x:v>
      </x:c>
      <x:c r="G78" s="180" t="str">
        <x:v>VersionedAssetRepository(string root), Publish(string assetId, string kind, string version, bytecontent, IEnumerable&lt;string&gt; tags = null, IEnumerable&lt;Asse…); byteRead(string assetId, string version); List(string assetId); ComparePinned(IDictionary&lt;string, string&gt; pinned)</x:v>
      </x:c>
      <x:c r="H78" s="180" t="str">
        <x:v>—（待核）</x:v>
      </x:c>
      <x:c r="I78" s="180" t="str">
        <x:v>CxVisual.Persistence.Resources.VersionedAssetRepository</x:v>
      </x:c>
      <x:c r="J78" s="179" t="str">
        <x:v>类</x:v>
      </x:c>
      <x:c r="K78" s="180" t="str">
        <x:v>V1.19 C-0123；原实施方式：原有。迁移风险：保存、查询和加载VersionedAssetRepository实体或记录</x:v>
      </x:c>
      <x:c r="L78" s="183" t="str">
        <x:v>源代码声明·待复核</x:v>
      </x:c>
      <x:c r="M78" s="183" t="str">
        <x:v>C-0123</x:v>
      </x:c>
      <x:c r="N78" s="184" t="str">
        <x:v>Platform/Persistence/Resources/VersionedAssetRepository.cs</x:v>
      </x:c>
      <x:c r="O78" s="183" t="str">
        <x:v>V1.19旧源码类型（真实成员/实现仍待核）
V2.01：来源ID对应；处置=保留源码·公开契约复核
V7.8：V7.8同名且源文件对应；Platform/Persistence/Resources/VersionedAssetRepository.cs</x:v>
      </x:c>
      <x:c r="P78" s="136" t="str">
        <x:v>V1.19旧源码类型（真实成员/实现仍待核）</x:v>
      </x:c>
      <x:c r="Q78"/>
      <x:c r="R78"/>
      <x:c r="S78"/>
    </x:row>
    <x:row r="79" ht="72" customHeight="1">
      <x:c r="A79" s="179" t="str">
        <x:v>M01</x:v>
      </x:c>
      <x:c r="B79" s="180" t="str">
        <x:v>Definition与工程组织｜工程对象/资源组织
Engineering Model</x:v>
      </x:c>
      <x:c r="C79" s="180" t="str">
        <x:v>CxNode</x:v>
      </x:c>
      <x:c r="D79" s="179" t="str">
        <x:v>原有·待核</x:v>
      </x:c>
      <x:c r="E79" s="180" t="str">
        <x:v>统一树导航与结构事件</x:v>
      </x:c>
      <x:c r="F79" s="180" t="str">
        <x:v>Id；Name；Parent；Kind；public string Id { get; }；public string Name { get; set; }；public CxNode Parent { get; }；草案: public string Id { get; }；草案: public string Name { get; }；草案: public CxNodeType NodeType { get; }；草案: public CxNode ParentNode { get; }</x:v>
      </x:c>
      <x:c r="G79" s="180" t="str">
        <x:v>统一树导航与结构事件</x:v>
      </x:c>
      <x:c r="H79" s="180" t="str">
        <x:v>禁止隐含运行态或UI强依赖</x:v>
      </x:c>
      <x:c r="I79" s="180" t="str">
        <x:v>抽象基类（统一DOM根）</x:v>
      </x:c>
      <x:c r="J79" s="179" t="str">
        <x:v>abstract class</x:v>
      </x:c>
      <x:c r="K79" s="180" t="str">
        <x:v>V1.19 C-0074：原有；生命周期：Definition；约束：统一树导航与结构事件</x:v>
      </x:c>
      <x:c r="L79" s="183" t="str">
        <x:v>V7.8源码词法匹配，尚未验收</x:v>
      </x:c>
      <x:c r="M79" s="183" t="str">
        <x:v>M01.CxNode</x:v>
      </x:c>
      <x:c r="N79" s="184" t="str">
        <x:v>Platform/Core/CxNode.cs；Platform/Core/CxNodePorts.cs；Platform/Core/CxNodeQuery.cs；Platform/Core/CxConnections.cs</x:v>
      </x:c>
      <x:c r="O79" s="183" t="str">
        <x:v>R3A_Core裁决
V2.01：未匹配V2.01；处置=暂无可信对应
V7.8：V7.8未检出同名词法声明</x:v>
      </x:c>
      <x:c r="P79" s="136" t="str">
        <x:v>R3A_Core裁决</x:v>
      </x:c>
      <x:c r="Q79"/>
      <x:c r="R79"/>
      <x:c r="S79"/>
    </x:row>
    <x:row r="80" ht="72" customHeight="1">
      <x:c r="A80" s="179" t="str">
        <x:v>M01</x:v>
      </x:c>
      <x:c r="B80" s="180" t="str">
        <x:v>Definition与工程组织｜工程对象/资源组织
Engineering Model</x:v>
      </x:c>
      <x:c r="C80" s="180" t="str">
        <x:v>CxNodeType</x:v>
      </x:c>
      <x:c r="D80" s="179" t="str">
        <x:v>原有·待核</x:v>
      </x:c>
      <x:c r="E80" s="180" t="str">
        <x:v>闭合：原V7.8已有枚举，但内容需迁移核对</x:v>
      </x:c>
      <x:c r="F80" s="180" t="str">
        <x:v>Project,Page,Content,Symbol,Group,Element</x:v>
      </x:c>
      <x:c r="G80" s="180" t="str">
        <x:v>—</x:v>
      </x:c>
      <x:c r="H80" s="180" t="str">
        <x:v>待逐对象核实</x:v>
      </x:c>
      <x:c r="I80" s="180" t="str">
        <x:v>CxVisual.Core.CxNodeType</x:v>
      </x:c>
      <x:c r="J80" s="179" t="str">
        <x:v>enum</x:v>
      </x:c>
      <x:c r="K80" s="180" t="str">
        <x:v>V1.19 C-0080：原有；生命周期：需定案；审核：补充类型字典</x:v>
      </x:c>
      <x:c r="L80" s="183" t="str">
        <x:v>V7.8源码词法匹配，尚未验收</x:v>
      </x:c>
      <x:c r="M80" s="183" t="str">
        <x:v>R3A.M01.CxNodeType</x:v>
      </x:c>
      <x:c r="N80" s="184" t="str">
        <x:v>Platform/Core/CxNode.cs</x:v>
      </x:c>
      <x:c r="O80" s="183" t="str">
        <x:v>补充类型字典
V2.01：未匹配V2.01；处置=暂无可信对应
V7.8：V7.8同名且源文件对应；Platform/Core/CxNode.cs</x:v>
      </x:c>
      <x:c r="P80" s="136" t="str">
        <x:v>补充类型字典</x:v>
      </x:c>
      <x:c r="Q80"/>
      <x:c r="R80"/>
      <x:c r="S80"/>
    </x:row>
    <x:row r="81" ht="72" customHeight="1">
      <x:c r="A81" s="179" t="str">
        <x:v>M01</x:v>
      </x:c>
      <x:c r="B81" s="180" t="str">
        <x:v>Definition与工程组织｜工程对象/资源组织
Engineering Model</x:v>
      </x:c>
      <x:c r="C81" s="180" t="str">
        <x:v>CxResourceDefinition</x:v>
      </x:c>
      <x:c r="D81" s="179" t="str">
        <x:v>原有·待核</x:v>
      </x:c>
      <x:c r="E81" s="180" t="str">
        <x:v>设计：基础资源定义与CxNode关系待裁决</x:v>
      </x:c>
      <x:c r="F81" s="180" t="str">
        <x:v>ResourceTypeId,ResourceId,SchemaVersion</x:v>
      </x:c>
      <x:c r="G81" s="180" t="str">
        <x:v>—</x:v>
      </x:c>
      <x:c r="H81" s="180" t="str">
        <x:v>待逐对象核实</x:v>
      </x:c>
      <x:c r="I81" s="180" t="str">
        <x:v>CxVisual.Core.CxResourceDefinition</x:v>
      </x:c>
      <x:c r="J81" s="179" t="str">
        <x:v>abstract class</x:v>
      </x:c>
      <x:c r="K81" s="180" t="str">
        <x:v>V1.19 C-0081：原有；生命周期：需定案；审核：补充类型字典</x:v>
      </x:c>
      <x:c r="L81" s="183" t="str">
        <x:v>V7.8源码词法匹配，尚未验收</x:v>
      </x:c>
      <x:c r="M81" s="183" t="str">
        <x:v>R3A.M01.CxResourceDefinition</x:v>
      </x:c>
      <x:c r="N81" s="184" t="str">
        <x:v>Platform/Core/CxResources.cs</x:v>
      </x:c>
      <x:c r="O81" s="183" t="str">
        <x:v>补充类型字典
V2.01：未匹配V2.01；处置=暂无可信对应
V7.8：V7.8同名且源文件对应；Platform/Core/CxResources.cs</x:v>
      </x:c>
      <x:c r="P81" s="136" t="str">
        <x:v>补充类型字典</x:v>
      </x:c>
      <x:c r="Q81"/>
      <x:c r="R81"/>
      <x:c r="S81"/>
    </x:row>
    <x:row r="82" ht="72" customHeight="1">
      <x:c r="A82" s="179" t="str">
        <x:v>M01</x:v>
      </x:c>
      <x:c r="B82" s="180" t="str">
        <x:v>Definition与工程组织｜工程对象/资源组织
Engineering Model</x:v>
      </x:c>
      <x:c r="C82" s="180" t="str">
        <x:v>MEMOwnershipService</x:v>
      </x:c>
      <x:c r="D82" s="179" t="str">
        <x:v>增构候选·待查重</x:v>
      </x:c>
      <x:c r="E82" s="180" t="str">
        <x:v>Add/Remove/Move/Reparent并维护Parent/Index</x:v>
      </x:c>
      <x:c r="F82" s="180" t="str">
        <x:v>Mutation；Transaction</x:v>
      </x:c>
      <x:c r="G82" s="180" t="str">
        <x:v>Add/Remove/Move/Reparent并维护Parent/Index；public MutationResult AddChild(CxNode parent, CxNode child, MutationContext context)；public MutationResult MoveChild(CxNode child, CxNode targetParent, int targetIndex, MutationContext context)；草案: CxValidationReport CanAttach(CxNode parent, CxNode child, int index)</x:v>
      </x:c>
      <x:c r="H82" s="180" t="str">
        <x:v>禁止隐含运行态或UI强依赖</x:v>
      </x:c>
      <x:c r="I82" s="180" t="str">
        <x:v>OwnershipService</x:v>
      </x:c>
      <x:c r="J82" s="179" t="str">
        <x:v>sealed class</x:v>
      </x:c>
      <x:c r="K82" s="180" t="str">
        <x:v>生命周期：Definition；约束：Add/Remove/Move/Reparent并维护Parent/Index</x:v>
      </x:c>
      <x:c r="L82" s="183" t="str">
        <x:v>设计候选，尚待源码验证</x:v>
      </x:c>
      <x:c r="M82" s="183" t="str">
        <x:v>M01.OwnershipService</x:v>
      </x:c>
      <x:c r="N82" s="184" t="str">
        <x:v>03_能力对象!C7</x:v>
      </x:c>
      <x:c r="O82" s="183" t="str">
        <x:v>R3A_Core裁决
V2.01：名称/子方面线索；处置=规划独立契约候选·未批准新增
V7.8：V7.8未检出同名词法声明</x:v>
      </x:c>
      <x:c r="P82" s="136" t="str">
        <x:v>R3A_Core裁决</x:v>
      </x:c>
      <x:c r="Q82"/>
      <x:c r="R82"/>
      <x:c r="S82"/>
    </x:row>
    <x:row r="83" ht="72" customHeight="1">
      <x:c r="A83" s="179" t="str">
        <x:v>M01</x:v>
      </x:c>
      <x:c r="B83" s="180" t="str">
        <x:v>Definition与工程组织｜工程对象/资源组织
Engineering Model</x:v>
      </x:c>
      <x:c r="C83" s="180" t="str">
        <x:v>MEMPageModel</x:v>
      </x:c>
      <x:c r="D83" s="179" t="str">
        <x:v>原有·待核</x:v>
      </x:c>
      <x:c r="E83" s="180" t="str">
        <x:v>维护页面根与导航元数据</x:v>
      </x:c>
      <x:c r="F83" s="180" t="str">
        <x:v>Id；Name；Size；Background；RootContentRef；草案: public ContentDefinition RootContent { get; }</x:v>
      </x:c>
      <x:c r="G83" s="180" t="str">
        <x:v>维护页面根与导航元数据</x:v>
      </x:c>
      <x:c r="H83" s="180" t="str">
        <x:v>禁止隐含运行态或UI强依赖</x:v>
      </x:c>
      <x:c r="I83" s="180" t="str">
        <x:v>PageModel</x:v>
      </x:c>
      <x:c r="J83" s="179" t="str">
        <x:v>sealed class</x:v>
      </x:c>
      <x:c r="K83" s="180" t="str">
        <x:v>V1.19 C-0085：原有；生命周期：Definition；约束：维护页面根与导航元数据</x:v>
      </x:c>
      <x:c r="L83" s="183" t="str">
        <x:v>V7.8源码词法匹配，尚未验收</x:v>
      </x:c>
      <x:c r="M83" s="183" t="str">
        <x:v>M01.PageModel</x:v>
      </x:c>
      <x:c r="N83" s="184" t="str">
        <x:v>Platform/Core/Projects.cs；Platform/Core/CxNodeOwnership.cs；Platform/Core/CxDefinitionConfiguration.cs</x:v>
      </x:c>
      <x:c r="O83" s="183" t="str">
        <x:v>R3A_Core裁决
V2.01：同名多条·待消歧；处置=暂无可信对应
V7.8：V7.8同名且源文件对应；Platform/Core/Projects.cs</x:v>
      </x:c>
      <x:c r="P83" s="136" t="str">
        <x:v>R3A_Core裁决</x:v>
      </x:c>
      <x:c r="Q83"/>
      <x:c r="R83"/>
      <x:c r="S83"/>
    </x:row>
    <x:row r="84" ht="72" customHeight="1">
      <x:c r="A84" s="179" t="str">
        <x:v>M01</x:v>
      </x:c>
      <x:c r="B84" s="180" t="str">
        <x:v>Definition与工程组织｜工程对象/资源组织
Engineering Model</x:v>
      </x:c>
      <x:c r="C84" s="180" t="str">
        <x:v>MEMProjectModel</x:v>
      </x:c>
      <x:c r="D84" s="179" t="str">
        <x:v>迁移建议</x:v>
      </x:c>
      <x:c r="E84" s="180" t="str">
        <x:v>聚合工程定义</x:v>
      </x:c>
      <x:c r="F84" s="180" t="str">
        <x:v>Id；Name；Version；Settings；Resources；草案: public long Revision { get; }；草案: public IReadOnlyList&lt;PageModel&gt; Pages { get; }</x:v>
      </x:c>
      <x:c r="G84" s="180" t="str">
        <x:v>枚举资源；Save/Load；草案: CxNode FindNode(string nodeId)</x:v>
      </x:c>
      <x:c r="H84" s="180" t="str">
        <x:v>禁止隐含运行态或UI强依赖</x:v>
      </x:c>
      <x:c r="I84" s="180" t="str">
        <x:v>ProjectModel</x:v>
      </x:c>
      <x:c r="J84" s="179" t="str">
        <x:v>sealed class</x:v>
      </x:c>
      <x:c r="K84" s="180" t="str">
        <x:v>V1.19 C-0087：迁移建议；生命周期：Definition；约束：聚合工程定义</x:v>
      </x:c>
      <x:c r="L84" s="183" t="str">
        <x:v>V7.8源码词法匹配，尚未验收</x:v>
      </x:c>
      <x:c r="M84" s="183" t="str">
        <x:v>M01.ProjectModel</x:v>
      </x:c>
      <x:c r="N84" s="184" t="str">
        <x:v>Platform/Core/Projects.cs；Platform/Core/CxConnections.cs；Platform/Core/CxNodeOwnership.cs；Platform/Core/CxProjectDefinition.cs</x:v>
      </x:c>
      <x:c r="O84" s="183" t="str">
        <x:v>R3A_Core裁决
V2.01：名称/子方面线索；处置=保留源码→迁移归属待裁决
V7.8：V7.8同名且源文件对应；Platform/Core/Projects.cs</x:v>
      </x:c>
      <x:c r="P84" s="136" t="str">
        <x:v>R3A_Core裁决</x:v>
      </x:c>
      <x:c r="Q84"/>
      <x:c r="R84"/>
      <x:c r="S84"/>
    </x:row>
    <x:row r="85" ht="72" customHeight="1">
      <x:c r="A85" s="179" t="str">
        <x:v>M01</x:v>
      </x:c>
      <x:c r="B85" s="180" t="str">
        <x:v>Definition与工程组织｜工程对象/资源组织
Engineering Model</x:v>
      </x:c>
      <x:c r="C85" s="180" t="str">
        <x:v>MEMResourceDependency</x:v>
      </x:c>
      <x:c r="D85" s="179" t="str">
        <x:v>增构候选·待查重</x:v>
      </x:c>
      <x:c r="E85" s="180" t="str">
        <x:v>声明资源依赖</x:v>
      </x:c>
      <x:c r="F85" s="180" t="str">
        <x:v>SourceRef；TargetRef；Kind</x:v>
      </x:c>
      <x:c r="G85" s="180" t="str">
        <x:v>声明资源依赖</x:v>
      </x:c>
      <x:c r="H85" s="180" t="str">
        <x:v>禁止隐含运行态或UI强依赖</x:v>
      </x:c>
      <x:c r="I85" s="180" t="str">
        <x:v>ResourceDependency</x:v>
      </x:c>
      <x:c r="J85" s="179" t="str">
        <x:v>sealed class</x:v>
      </x:c>
      <x:c r="K85" s="180" t="str">
        <x:v>生命周期：Definition；约束：声明资源依赖</x:v>
      </x:c>
      <x:c r="L85" s="183" t="str">
        <x:v>设计候选，尚待源码验证</x:v>
      </x:c>
      <x:c r="M85" s="183" t="str">
        <x:v>M01.ResourceDependency</x:v>
      </x:c>
      <x:c r="N85" s="184" t="str">
        <x:v>03_能力对象!C10</x:v>
      </x:c>
      <x:c r="O85" s="183" t="str">
        <x:v>R3A_Core裁决
V2.01：名称/子方面线索；处置=规划独立契约候选·未批准新增
V7.8：V7.8未检出同名词法声明</x:v>
      </x:c>
      <x:c r="P85" s="136" t="str">
        <x:v>R3A_Core裁决</x:v>
      </x:c>
      <x:c r="Q85"/>
      <x:c r="R85"/>
      <x:c r="S85"/>
    </x:row>
    <x:row r="86" ht="72" customHeight="1">
      <x:c r="A86" s="179" t="str">
        <x:v>M01</x:v>
      </x:c>
      <x:c r="B86" s="180" t="str">
        <x:v>Definition与工程组织｜工程对象/资源组织
Engineering Model</x:v>
      </x:c>
      <x:c r="C86" s="180" t="str">
        <x:v>MEMResourceDescriptor</x:v>
      </x:c>
      <x:c r="D86" s="179" t="str">
        <x:v>原有·待核</x:v>
      </x:c>
      <x:c r="E86" s="180" t="str">
        <x:v>描述独立工程制品类型</x:v>
      </x:c>
      <x:c r="F86" s="180" t="str">
        <x:v>ResourceTypeId；Schema；Editor；Compiler；Runtime</x:v>
      </x:c>
      <x:c r="G86" s="180" t="str">
        <x:v>描述独立工程制品类型</x:v>
      </x:c>
      <x:c r="H86" s="180" t="str">
        <x:v>禁止隐含运行态或UI强依赖</x:v>
      </x:c>
      <x:c r="I86" s="180" t="str">
        <x:v>ResourceDescriptor</x:v>
      </x:c>
      <x:c r="J86" s="179" t="str">
        <x:v>sealed class</x:v>
      </x:c>
      <x:c r="K86" s="180" t="str">
        <x:v>V1.19 C-0105：原有；生命周期：Definition；约束：描述独立工程制品类型</x:v>
      </x:c>
      <x:c r="L86" s="183" t="str">
        <x:v>V7.8源码词法匹配，尚未验收</x:v>
      </x:c>
      <x:c r="M86" s="183" t="str">
        <x:v>M01.ResourceDescriptor</x:v>
      </x:c>
      <x:c r="N86" s="184" t="str">
        <x:v>Host/Studio/Application/Studio/Resources/ResourcePlatform.cs</x:v>
      </x:c>
      <x:c r="O86" s="183" t="str">
        <x:v>R3A_Core裁决
V2.01：同名多条·待消歧；处置=暂无可信对应
V7.8：V7.8同名且源文件对应；Host/Studio/Application/Studio/Resources/ResourcePlatform.cs
归属优先核查：Studio应用层优先；抽象公共契约后可留Core；Studio应用类型疑似混入公共Core</x:v>
      </x:c>
      <x:c r="P86" s="136" t="str">
        <x:v>R3A_Core裁决</x:v>
      </x:c>
      <x:c r="Q86"/>
      <x:c r="R86"/>
      <x:c r="S86"/>
    </x:row>
    <x:row r="87" ht="72" customHeight="1">
      <x:c r="A87" s="179" t="str">
        <x:v>M01</x:v>
      </x:c>
      <x:c r="B87" s="180" t="str">
        <x:v>Definition与工程组织｜工程对象/资源组织
Engineering Model</x:v>
      </x:c>
      <x:c r="C87" s="180" t="str">
        <x:v>MEMResourceRegistry</x:v>
      </x:c>
      <x:c r="D87" s="179" t="str">
        <x:v>增构候选·待查重</x:v>
      </x:c>
      <x:c r="E87" s="180" t="str">
        <x:v>工程资源类型登记；插件装载与扫描由M40上层供给</x:v>
      </x:c>
      <x:c r="F87" s="180" t="str">
        <x:v>Descriptors；Factories</x:v>
      </x:c>
      <x:c r="G87" s="180" t="str">
        <x:v>发现/创建/枚举资源类型；草案: ResourceDescriptor GetDescriptor(string resourceTypeId)</x:v>
      </x:c>
      <x:c r="H87" s="180" t="str">
        <x:v>工程作用域注册表不扫描DLL；不创建运行Driver</x:v>
      </x:c>
      <x:c r="I87" s="180" t="str">
        <x:v>ResourceRegistry</x:v>
      </x:c>
      <x:c r="J87" s="179" t="str">
        <x:v>sealed class</x:v>
      </x:c>
      <x:c r="K87" s="180" t="str">
        <x:v>生命周期：Resolved；约束：发现/创建/枚举资源类型</x:v>
      </x:c>
      <x:c r="L87" s="183" t="str">
        <x:v>设计候选，尚待源码验证</x:v>
      </x:c>
      <x:c r="M87" s="183" t="str">
        <x:v>M01.ResourceRegistry</x:v>
      </x:c>
      <x:c r="N87" s="184" t="str">
        <x:v>03_能力对象!C12</x:v>
      </x:c>
      <x:c r="O87" s="183" t="str">
        <x:v>R3A_Core裁决
V2.01：名称/子方面线索；处置=规划独立契约候选·未批准新增
V7.8：V7.8未检出同名词法声明</x:v>
      </x:c>
      <x:c r="P87" s="136" t="str">
        <x:v>R3A_Core裁决</x:v>
      </x:c>
      <x:c r="Q87"/>
      <x:c r="R87"/>
      <x:c r="S87"/>
    </x:row>
    <x:row r="88" ht="72" customHeight="1">
      <x:c r="A88" s="179" t="str">
        <x:v>M01</x:v>
      </x:c>
      <x:c r="B88" s="180" t="str">
        <x:v>Definition与工程组织｜工程对象/资源组织
Engineering Model</x:v>
      </x:c>
      <x:c r="C88" s="180" t="str">
        <x:v>IMEMProjectModel</x:v>
      </x:c>
      <x:c r="D88" s="179" t="str">
        <x:v>增构候选·待查重</x:v>
      </x:c>
      <x:c r="E88" s="180" t="str">
        <x:v>聚合工程定义</x:v>
      </x:c>
      <x:c r="F88" s="180" t="str">
        <x:v>Id, Name, Version, Settings, Resources</x:v>
      </x:c>
      <x:c r="G88" s="180" t="str">
        <x:v>枚举资源, Save/Load</x:v>
      </x:c>
      <x:c r="H88" s="180" t="str">
        <x:v>—（待核）</x:v>
      </x:c>
      <x:c r="I88" s="180" t="str">
        <x:v>ProjectModel</x:v>
      </x:c>
      <x:c r="J88" s="179" t="str">
        <x:v>类/接口/枚举（待裁决）</x:v>
      </x:c>
      <x:c r="K88" s="180" t="str">
        <x:v>V1.19 S-0234；原实施方式：复用待核。迁移风险：聚合工程定义</x:v>
      </x:c>
      <x:c r="L88" s="183" t="str">
        <x:v>V1.19设计候选·待核</x:v>
      </x:c>
      <x:c r="M88" s="183" t="str">
        <x:v>S-0234</x:v>
      </x:c>
      <x:c r="N88" s="184" t="str">
        <x:v>Platform/Core/Projects.cs; Platform/Core/CxConnections.cs; Platform/Core/CxNodeOwnership.cs; Platform/Core/CxProjectDefinition.cs</x:v>
      </x:c>
      <x:c r="O88" s="183" t="str">
        <x:v>V1.19旧规格候选
V2.01：来源ID对应；处置=规划复用待核：不独立新增
V7.8：V7.8同名且源文件对应；Platform/Core/Projects.cs</x:v>
      </x:c>
      <x:c r="P88" s="136" t="str">
        <x:v>V1.19旧规格候选</x:v>
      </x:c>
      <x:c r="Q88"/>
      <x:c r="R88"/>
      <x:c r="S88"/>
    </x:row>
    <x:row r="89" ht="72" customHeight="1">
      <x:c r="A89" s="179" t="str">
        <x:v>M02</x:v>
      </x:c>
      <x:c r="B89" s="180" t="str">
        <x:v>Definition与工程组织｜功能组织与复用
Reusable Components</x:v>
      </x:c>
      <x:c r="C89" s="180" t="str">
        <x:v>MRCBehaviorComposition</x:v>
      </x:c>
      <x:c r="D89" s="179" t="str">
        <x:v>原有·待核</x:v>
      </x:c>
      <x:c r="E89" s="180" t="str">
        <x:v>表达或管理BehaviorComposition相关的数据及协作职责，具体行为待源码复核〔待核〕</x:v>
      </x:c>
      <x:c r="F89" s="180" t="str">
        <x:v>Bindings, StateRules, Animations, Events, Scripts, HasAny</x:v>
      </x:c>
      <x:c r="G89" s="180" t="str">
        <x:v>EnsureBindings(), EnsureStateRules(), EnsureAnimations(), EnsureEvents(), EnsureScripts(), DeepClone(bool preserveId)</x:v>
      </x:c>
      <x:c r="H89" s="180" t="str">
        <x:v>—（待核）</x:v>
      </x:c>
      <x:c r="I89" s="180" t="str">
        <x:v>CxVisual.Core.BehaviorComposition</x:v>
      </x:c>
      <x:c r="J89" s="179" t="str">
        <x:v>类</x:v>
      </x:c>
      <x:c r="K89" s="180" t="str">
        <x:v>V1.19 C-0148；原实施方式：原有。迁移风险：表达或管理BehaviorComposition相关的数据及协作职责，具体行为待源码复核〔待核〕</x:v>
      </x:c>
      <x:c r="L89" s="183" t="str">
        <x:v>源代码声明·待复核</x:v>
      </x:c>
      <x:c r="M89" s="183" t="str">
        <x:v>C-0148</x:v>
      </x:c>
      <x:c r="N89" s="184" t="str">
        <x:v>Platform/Core/BehaviorComposition.cs</x:v>
      </x:c>
      <x:c r="O89" s="183" t="str">
        <x:v>V1.19旧源码类型（真实成员/实现仍待核）
V2.01：来源ID对应；处置=保留源码·公开契约复核
V7.8：V7.8同名且源文件对应；Platform/Core/BehaviorComposition.cs</x:v>
      </x:c>
      <x:c r="P89" s="136" t="str">
        <x:v>V1.19旧源码类型（真实成员/实现仍待核）</x:v>
      </x:c>
      <x:c r="Q89"/>
      <x:c r="R89"/>
      <x:c r="S89"/>
    </x:row>
    <x:row r="90" ht="72" customHeight="1">
      <x:c r="A90" s="179" t="str">
        <x:v>M02</x:v>
      </x:c>
      <x:c r="B90" s="180" t="str">
        <x:v>Definition与工程组织｜功能组织与复用
Reusable Components</x:v>
      </x:c>
      <x:c r="C90" s="180" t="str">
        <x:v>MRCConnectionComposition</x:v>
      </x:c>
      <x:c r="D90" s="179" t="str">
        <x:v>原有·待核</x:v>
      </x:c>
      <x:c r="E90" s="180" t="str">
        <x:v>表达或管理连接Composition相关的数据及协作职责，具体行为待源码复核〔待核〕</x:v>
      </x:c>
      <x:c r="F90" s="180" t="str">
        <x:v>Ports, HasAny</x:v>
      </x:c>
      <x:c r="G90" s="180" t="str">
        <x:v>EnsurePorts(), DeepClone(bool preserveId)</x:v>
      </x:c>
      <x:c r="H90" s="180" t="str">
        <x:v>—（待核）</x:v>
      </x:c>
      <x:c r="I90" s="180" t="str">
        <x:v>CxVisual.Core.ConnectionComposition</x:v>
      </x:c>
      <x:c r="J90" s="179" t="str">
        <x:v>类</x:v>
      </x:c>
      <x:c r="K90" s="180" t="str">
        <x:v>V1.19 C-0149；原实施方式：原有。迁移风险：表达或管理连接Composition相关的数据及协作职责，具体行为待源码复核〔待核〕</x:v>
      </x:c>
      <x:c r="L90" s="183" t="str">
        <x:v>源代码声明·待复核</x:v>
      </x:c>
      <x:c r="M90" s="183" t="str">
        <x:v>C-0149</x:v>
      </x:c>
      <x:c r="N90" s="184" t="str">
        <x:v>Platform/Core/BehaviorComposition.cs</x:v>
      </x:c>
      <x:c r="O90" s="183" t="str">
        <x:v>V1.19旧源码类型（真实成员/实现仍待核）
V2.01：来源ID对应；处置=保留源码·公开契约复核
V7.8：V7.8同名且源文件对应；Platform/Core/BehaviorComposition.cs</x:v>
      </x:c>
      <x:c r="P90" s="136" t="str">
        <x:v>V1.19旧源码类型（真实成员/实现仍待核）</x:v>
      </x:c>
      <x:c r="Q90"/>
      <x:c r="R90"/>
      <x:c r="S90"/>
    </x:row>
    <x:row r="91" ht="72" customHeight="1">
      <x:c r="A91" s="179" t="str">
        <x:v>M02</x:v>
      </x:c>
      <x:c r="B91" s="180" t="str">
        <x:v>Definition与工程组织｜功能组织与复用
Reusable Components</x:v>
      </x:c>
      <x:c r="C91" s="180" t="str">
        <x:v>MRCContentLayoutDefinition</x:v>
      </x:c>
      <x:c r="D91" s="179" t="str">
        <x:v>原有·待核</x:v>
      </x:c>
      <x:c r="E91" s="180" t="str">
        <x:v>声明内容布局定义可配置的工程定义、字段和校验约束</x:v>
      </x:c>
      <x:c r="F91" s="180" t="str">
        <x:v>Kind, Spacing, Columns</x:v>
      </x:c>
      <x:c r="G91" s="180" t="str">
        <x:v>DeepClone()</x:v>
      </x:c>
      <x:c r="H91" s="180" t="str">
        <x:v>—（待核）</x:v>
      </x:c>
      <x:c r="I91" s="180" t="str">
        <x:v>CxVisual.Core.ContentLayoutDefinition</x:v>
      </x:c>
      <x:c r="J91" s="179" t="str">
        <x:v>类</x:v>
      </x:c>
      <x:c r="K91" s="180" t="str">
        <x:v>V1.19 C-0151；原实施方式：原有。迁移风险：声明内容布局定义可配置的工程定义、字段和校验约束</x:v>
      </x:c>
      <x:c r="L91" s="183" t="str">
        <x:v>源代码声明·待复核</x:v>
      </x:c>
      <x:c r="M91" s="183" t="str">
        <x:v>C-0151</x:v>
      </x:c>
      <x:c r="N91" s="184" t="str">
        <x:v>Platform/Core/UnifiedObjectModel.cs</x:v>
      </x:c>
      <x:c r="O91" s="183" t="str">
        <x:v>V1.19旧源码类型（真实成员/实现仍待核）
V2.01：来源ID对应；处置=保留源码·公开契约复核
V7.8：V7.8同名且源文件对应；Platform/Core/UnifiedObjectModel.cs</x:v>
      </x:c>
      <x:c r="P91" s="136" t="str">
        <x:v>V1.19旧源码类型（真实成员/实现仍待核）</x:v>
      </x:c>
      <x:c r="Q91"/>
      <x:c r="R91"/>
      <x:c r="S91"/>
    </x:row>
    <x:row r="92" ht="72" customHeight="1">
      <x:c r="A92" s="179" t="str">
        <x:v>M02</x:v>
      </x:c>
      <x:c r="B92" s="180" t="str">
        <x:v>Definition与工程组织｜功能组织与复用
Reusable Components</x:v>
      </x:c>
      <x:c r="C92" s="180" t="str">
        <x:v>MRCContentLayoutKind</x:v>
      </x:c>
      <x:c r="D92" s="179" t="str">
        <x:v>原有·待核</x:v>
      </x:c>
      <x:c r="E92" s="180" t="str">
        <x:v>定义内容布局Kind的候选取值、状态或模式，供相关流程作分支判断</x:v>
      </x:c>
      <x:c r="F92" s="180" t="str">
        <x:v>枚举值：Absolute, HorizontalStack, VerticalStack, Grid</x:v>
      </x:c>
      <x:c r="G92" s="180" t="str">
        <x:v>—(无公开声明或待核对)</x:v>
      </x:c>
      <x:c r="H92" s="180" t="str">
        <x:v>—（待核）</x:v>
      </x:c>
      <x:c r="I92" s="180" t="str">
        <x:v>CxVisual.Core.ContentLayoutKind</x:v>
      </x:c>
      <x:c r="J92" s="179" t="str">
        <x:v>枚举</x:v>
      </x:c>
      <x:c r="K92" s="180" t="str">
        <x:v>V1.19 C-0152；原实施方式：原有。迁移风险：定义内容布局Kind的候选取值、状态或模式，供相关流程作分支判断</x:v>
      </x:c>
      <x:c r="L92" s="183" t="str">
        <x:v>源代码声明·待复核</x:v>
      </x:c>
      <x:c r="M92" s="183" t="str">
        <x:v>C-0152</x:v>
      </x:c>
      <x:c r="N92" s="184" t="str">
        <x:v>Platform/Core/UnifiedObjectModel.cs</x:v>
      </x:c>
      <x:c r="O92" s="183" t="str">
        <x:v>V1.19旧源码类型（真实成员/实现仍待核）
V2.01：来源ID对应；处置=保留源码·公开契约复核
V7.8：V7.8同名且源文件对应；Platform/Core/UnifiedObjectModel.cs</x:v>
      </x:c>
      <x:c r="P92" s="136" t="str">
        <x:v>V1.19旧源码类型（真实成员/实现仍待核）</x:v>
      </x:c>
      <x:c r="Q92"/>
      <x:c r="R92"/>
      <x:c r="S92"/>
    </x:row>
    <x:row r="93" ht="72" customHeight="1">
      <x:c r="A93" s="179" t="str">
        <x:v>M02</x:v>
      </x:c>
      <x:c r="B93" s="180" t="str">
        <x:v>Definition与工程组织｜功能组织与复用
Reusable Components</x:v>
      </x:c>
      <x:c r="C93" s="180" t="str">
        <x:v>MRCCxDefinitionMappingResolver</x:v>
      </x:c>
      <x:c r="D93" s="179" t="str">
        <x:v>原有·待核</x:v>
      </x:c>
      <x:c r="E93" s="180" t="str">
        <x:v>解析定义MappingResolver的目标对象、引用或实际实现</x:v>
      </x:c>
      <x:c r="F93" s="180" t="str">
        <x:v>—（无公开声明或待核对）</x:v>
      </x:c>
      <x:c r="G93" s="180" t="str">
        <x:v>ResolveNode(CxNode scope, string path), RelativePath(CxNode scope, CxNode target), Add(CxValidationResult result, string code, string message)</x:v>
      </x:c>
      <x:c r="H93" s="180" t="str">
        <x:v>—（待核）</x:v>
      </x:c>
      <x:c r="I93" s="180" t="str">
        <x:v>CxVisual.Core.CxDefinitionMappingResolver</x:v>
      </x:c>
      <x:c r="J93" s="179" t="str">
        <x:v>静态类</x:v>
      </x:c>
      <x:c r="K93" s="180" t="str">
        <x:v>V1.19 C-0154；原实施方式：原有。迁移风险：解析定义MappingResolver的目标对象、引用或实际实现</x:v>
      </x:c>
      <x:c r="L93" s="183" t="str">
        <x:v>源代码声明·待复核</x:v>
      </x:c>
      <x:c r="M93" s="183" t="str">
        <x:v>C-0154</x:v>
      </x:c>
      <x:c r="N93" s="184" t="str">
        <x:v>Platform/Core/CxDefinitionMappings.cs</x:v>
      </x:c>
      <x:c r="O93" s="183" t="str">
        <x:v>V1.19旧源码类型（真实成员/实现仍待核）
V2.01：来源ID对应；处置=保留源码·公开契约复核
V7.8：V7.8同名且源文件对应；Platform/Core/CxDefinitionMappings.cs</x:v>
      </x:c>
      <x:c r="P93" s="136" t="str">
        <x:v>V1.19旧源码类型（真实成员/实现仍待核）</x:v>
      </x:c>
      <x:c r="Q93"/>
      <x:c r="R93"/>
      <x:c r="S93"/>
    </x:row>
    <x:row r="94" ht="72" customHeight="1">
      <x:c r="A94" s="179" t="str">
        <x:v>M02</x:v>
      </x:c>
      <x:c r="B94" s="180" t="str">
        <x:v>Definition与工程组织｜功能组织与复用
Reusable Components</x:v>
      </x:c>
      <x:c r="C94" s="180" t="str">
        <x:v>MRCCxPortMapping</x:v>
      </x:c>
      <x:c r="D94" s="179" t="str">
        <x:v>原有·待核</x:v>
      </x:c>
      <x:c r="E94" s="180" t="str">
        <x:v>负责端口Mapping相关的Port映射与公共契约管理</x:v>
      </x:c>
      <x:c r="F94" s="180" t="str">
        <x:v>PublicPortId, InternalNodePath, InternalPortId, Direction</x:v>
      </x:c>
      <x:c r="G94" s="180" t="str">
        <x:v>Resolve(CxNode scope), Validate(CxNode scope), Clone()</x:v>
      </x:c>
      <x:c r="H94" s="180" t="str">
        <x:v>—（待核）</x:v>
      </x:c>
      <x:c r="I94" s="180" t="str">
        <x:v>CxVisual.Core.CxPortMapping</x:v>
      </x:c>
      <x:c r="J94" s="179" t="str">
        <x:v>类</x:v>
      </x:c>
      <x:c r="K94" s="180" t="str">
        <x:v>V1.19 C-0155；原实施方式：原有。迁移风险：负责端口Mapping相关的Port映射与公共契约管理</x:v>
      </x:c>
      <x:c r="L94" s="183" t="str">
        <x:v>源代码声明·待复核</x:v>
      </x:c>
      <x:c r="M94" s="183" t="str">
        <x:v>C-0155</x:v>
      </x:c>
      <x:c r="N94" s="184" t="str">
        <x:v>Platform/Core/CxDefinitionMappings.cs</x:v>
      </x:c>
      <x:c r="O94" s="183" t="str">
        <x:v>V1.19旧源码类型（真实成员/实现仍待核）
V2.01：来源ID对应；处置=保留源码·公开契约复核
V7.8：V7.8同名且源文件对应；Platform/Core/CxDefinitionMappings.cs</x:v>
      </x:c>
      <x:c r="P94" s="136" t="str">
        <x:v>V1.19旧源码类型（真实成员/实现仍待核）</x:v>
      </x:c>
      <x:c r="Q94"/>
      <x:c r="R94"/>
      <x:c r="S94"/>
    </x:row>
    <x:row r="95" ht="72" customHeight="1">
      <x:c r="A95" s="179" t="str">
        <x:v>M02</x:v>
      </x:c>
      <x:c r="B95" s="180" t="str">
        <x:v>Definition与工程组织｜功能组织与复用
Reusable Components</x:v>
      </x:c>
      <x:c r="C95" s="180" t="str">
        <x:v>MRCCxPropertyMapping</x:v>
      </x:c>
      <x:c r="D95" s="179" t="str">
        <x:v>原有·待核</x:v>
      </x:c>
      <x:c r="E95" s="180" t="str">
        <x:v>负责属性Mapping相关的属性映射与公共契约管理</x:v>
      </x:c>
      <x:c r="F95" s="180" t="str">
        <x:v>PublicProperty, InternalNodePath, InternalProperty, Converter</x:v>
      </x:c>
      <x:c r="G95" s="180" t="str">
        <x:v>Resolve(CxNode scope), Apply(CxNode scope, object value)</x:v>
      </x:c>
      <x:c r="H95" s="180" t="str">
        <x:v>—（待核）</x:v>
      </x:c>
      <x:c r="I95" s="180" t="str">
        <x:v>CxVisual.Core.CxPropertyMapping</x:v>
      </x:c>
      <x:c r="J95" s="179" t="str">
        <x:v>类</x:v>
      </x:c>
      <x:c r="K95" s="180" t="str">
        <x:v>V1.19 C-0156；原实施方式：原有。迁移风险：负责属性Mapping相关的属性映射与公共契约管理</x:v>
      </x:c>
      <x:c r="L95" s="183" t="str">
        <x:v>源代码声明·待复核</x:v>
      </x:c>
      <x:c r="M95" s="183" t="str">
        <x:v>C-0156</x:v>
      </x:c>
      <x:c r="N95" s="184" t="str">
        <x:v>Platform/Core/CxDefinitionMappings.cs</x:v>
      </x:c>
      <x:c r="O95" s="183" t="str">
        <x:v>V1.19旧源码类型（真实成员/实现仍待核）
V2.01：来源ID对应；处置=保留源码·公开契约复核
V7.8：V7.8同名且源文件对应；Platform/Core/CxDefinitionMappings.cs</x:v>
      </x:c>
      <x:c r="P95" s="136" t="str">
        <x:v>V1.19旧源码类型（真实成员/实现仍待核）</x:v>
      </x:c>
      <x:c r="Q95"/>
      <x:c r="R95"/>
      <x:c r="S95"/>
    </x:row>
    <x:row r="96" ht="72" customHeight="1">
      <x:c r="A96" s="179" t="str">
        <x:v>M02</x:v>
      </x:c>
      <x:c r="B96" s="180" t="str">
        <x:v>Definition与工程组织｜功能组织与复用
Reusable Components</x:v>
      </x:c>
      <x:c r="C96" s="180" t="str">
        <x:v>MRCCxPublicPropertyDefinition</x:v>
      </x:c>
      <x:c r="D96" s="179" t="str">
        <x:v>原有·待核</x:v>
      </x:c>
      <x:c r="E96" s="180" t="str">
        <x:v>负责Public属性定义相关的公开属性与公共契约管理</x:v>
      </x:c>
      <x:c r="F96" s="180" t="str">
        <x:v>Name</x:v>
      </x:c>
      <x:c r="G96" s="180" t="str">
        <x:v>—(无公开声明或待核对)</x:v>
      </x:c>
      <x:c r="H96" s="180" t="str">
        <x:v>—（待核）</x:v>
      </x:c>
      <x:c r="I96" s="180" t="str">
        <x:v>CxVisual.Core.CxPublicPropertyDefinition</x:v>
      </x:c>
      <x:c r="J96" s="179" t="str">
        <x:v>类</x:v>
      </x:c>
      <x:c r="K96" s="180" t="str">
        <x:v>V1.19 C-0157；原实施方式：原有。迁移风险：负责Public属性定义相关的公开属性与公共契约管理</x:v>
      </x:c>
      <x:c r="L96" s="183" t="str">
        <x:v>源代码声明·待复核</x:v>
      </x:c>
      <x:c r="M96" s="183" t="str">
        <x:v>C-0157</x:v>
      </x:c>
      <x:c r="N96" s="184" t="str">
        <x:v>Platform/Core/CxDefinitionMappings.cs</x:v>
      </x:c>
      <x:c r="O96" s="183" t="str">
        <x:v>V1.19旧源码类型（真实成员/实现仍待核）
V2.01：来源ID对应；处置=保留源码·公开契约复核
V7.8：V7.8同名且源文件对应；Platform/Core/CxDefinitionMappings.cs</x:v>
      </x:c>
      <x:c r="P96" s="136" t="str">
        <x:v>V1.19旧源码类型（真实成员/实现仍待核）</x:v>
      </x:c>
      <x:c r="Q96"/>
      <x:c r="R96"/>
      <x:c r="S96"/>
    </x:row>
    <x:row r="97" ht="72" customHeight="1">
      <x:c r="A97" s="179" t="str">
        <x:v>M02</x:v>
      </x:c>
      <x:c r="B97" s="180" t="str">
        <x:v>Definition与工程组织｜功能组织与复用
Reusable Components</x:v>
      </x:c>
      <x:c r="C97" s="180" t="str">
        <x:v>MRCCxSymbolInstanceSpec</x:v>
      </x:c>
      <x:c r="D97" s="179" t="str">
        <x:v>原有·待核</x:v>
      </x:c>
      <x:c r="E97" s="180" t="str">
        <x:v>Symbol 实例规格</x:v>
      </x:c>
      <x:c r="F97" s="180" t="str">
        <x:v>InstanceId, DefinitionId, VersionBinding, Overrides, Bindings, PublicPortBindings</x:v>
      </x:c>
      <x:c r="G97" s="180" t="str">
        <x:v>Validate(ProjectModel project = null), ValidateDefinition(SymbolDefinition definition, ProjectModel project = null), Clone()</x:v>
      </x:c>
      <x:c r="H97" s="180" t="str">
        <x:v>—（待核）</x:v>
      </x:c>
      <x:c r="I97" s="180" t="str">
        <x:v>CxVisual.Core.CxSymbolInstanceSpec</x:v>
      </x:c>
      <x:c r="J97" s="179" t="str">
        <x:v>类</x:v>
      </x:c>
      <x:c r="K97" s="180" t="str">
        <x:v>V1.19 C-0158；原实施方式：原有。迁移风险：Symbol 实例规格</x:v>
      </x:c>
      <x:c r="L97" s="183" t="str">
        <x:v>源代码声明·待复核</x:v>
      </x:c>
      <x:c r="M97" s="183" t="str">
        <x:v>C-0158</x:v>
      </x:c>
      <x:c r="N97" s="184" t="str">
        <x:v>Platform/Core/CxSymbolInstanceSpec.cs</x:v>
      </x:c>
      <x:c r="O97" s="183" t="str">
        <x:v>V1.19旧源码类型（真实成员/实现仍待核）
V2.01：来源ID对应；处置=保留源码·公开契约复核
V7.8：V7.8同名且源文件对应；Platform/Core/CxSymbolInstanceSpec.cs</x:v>
      </x:c>
      <x:c r="P97" s="136" t="str">
        <x:v>V1.19旧源码类型（真实成员/实现仍待核）</x:v>
      </x:c>
      <x:c r="Q97"/>
      <x:c r="R97"/>
      <x:c r="S97"/>
    </x:row>
    <x:row r="98" ht="135" customHeight="1">
      <x:c r="A98" s="179" t="str">
        <x:v>M02</x:v>
      </x:c>
      <x:c r="B98" s="180" t="str">
        <x:v>Definition与工程组织｜功能组织与复用
Reusable Components</x:v>
      </x:c>
      <x:c r="C98" s="180" t="str">
        <x:v>MRCElementCompositionService</x:v>
      </x:c>
      <x:c r="D98" s="179" t="str">
        <x:v>原有·待核</x:v>
      </x:c>
      <x:c r="E98" s="180" t="str">
        <x:v>封装元素Composition服务通用服务操作及其生命周期边界</x:v>
      </x:c>
      <x:c r="F98" s="180" t="str">
        <x:v>—（无公开声明或待核对）</x:v>
      </x:c>
      <x:c r="G98" s="180" t="str">
        <x:v>EnsureSemantics(ElementModel element), EnsureBehavior(ElementModel element), EnsureParameters(ElementModel element), EnsureConnections(ElementModel element), EnsureBindings(ElementModel element), EnsureStateRules(ElementModel element), EnsureAnimations(ElementModel element), EnsureEvents(ElementModel element), EnsureScripts(ElementModel element), EnsureParameterMappings(ElementModel element), EnsureConnectionPorts(ElementModel element), EnsureBehavior(SymbolDefinition definition), EnsureStateRules(SymbolDefinition definition), EnsureAnimations(SymbolDefinition definition), EnsureEvents(SymbolDefinition definition), EnsureScripts(SymbolDefinition definition), …(另2项)</x:v>
      </x:c>
      <x:c r="H98" s="180" t="str">
        <x:v>—（待核）</x:v>
      </x:c>
      <x:c r="I98" s="180" t="str">
        <x:v>CxVisual.Core.ElementCompositionService</x:v>
      </x:c>
      <x:c r="J98" s="179" t="str">
        <x:v>静态类</x:v>
      </x:c>
      <x:c r="K98" s="180" t="str">
        <x:v>V1.19 C-0159；原实施方式：原有。迁移风险：封装元素Composition服务通用服务操作及其生命周期边界</x:v>
      </x:c>
      <x:c r="L98" s="183" t="str">
        <x:v>源代码声明·待复核</x:v>
      </x:c>
      <x:c r="M98" s="183" t="str">
        <x:v>C-0159</x:v>
      </x:c>
      <x:c r="N98" s="184" t="str">
        <x:v>Platform/Core/BehaviorComposition.cs</x:v>
      </x:c>
      <x:c r="O98" s="183" t="str">
        <x:v>V1.19旧源码类型（真实成员/实现仍待核）
V2.01：来源ID对应；处置=保留源码·公开契约复核
V7.8：V7.8同名且源文件对应；Platform/Core/BehaviorComposition.cs</x:v>
      </x:c>
      <x:c r="P98" s="136" t="str">
        <x:v>V1.19旧源码类型（真实成员/实现仍待核）</x:v>
      </x:c>
      <x:c r="Q98"/>
      <x:c r="R98"/>
      <x:c r="S98"/>
    </x:row>
    <x:row r="99" ht="72" customHeight="1">
      <x:c r="A99" s="179" t="str">
        <x:v>M02</x:v>
      </x:c>
      <x:c r="B99" s="180" t="str">
        <x:v>Definition与工程组织｜功能组织与复用
Reusable Components</x:v>
      </x:c>
      <x:c r="C99" s="180" t="str">
        <x:v>MRCElementSemanticsComposition</x:v>
      </x:c>
      <x:c r="D99" s="179" t="str">
        <x:v>原有·待核</x:v>
      </x:c>
      <x:c r="E99" s="180" t="str">
        <x:v>表达或管理元素SemanticsComposition相关的数据及协作职责，具体行为待源码复核〔待核〕</x:v>
      </x:c>
      <x:c r="F99" s="180" t="str">
        <x:v>Alias, DesignRole, SemanticRoles, Tags, HasAny</x:v>
      </x:c>
      <x:c r="G99" s="180" t="str">
        <x:v>EnsureSemanticRoles(), EnsureTags(), Clone()</x:v>
      </x:c>
      <x:c r="H99" s="180" t="str">
        <x:v>—（待核）</x:v>
      </x:c>
      <x:c r="I99" s="180" t="str">
        <x:v>CxVisual.Core.ElementSemanticsComposition</x:v>
      </x:c>
      <x:c r="J99" s="179" t="str">
        <x:v>类</x:v>
      </x:c>
      <x:c r="K99" s="180" t="str">
        <x:v>V1.19 C-0160；原实施方式：原有。迁移风险：表达或管理元素SemanticsComposition相关的数据及协作职责，具体行为待源码复核〔待核〕</x:v>
      </x:c>
      <x:c r="L99" s="183" t="str">
        <x:v>源代码声明·待复核</x:v>
      </x:c>
      <x:c r="M99" s="183" t="str">
        <x:v>C-0160</x:v>
      </x:c>
      <x:c r="N99" s="184" t="str">
        <x:v>Platform/Core/BehaviorComposition.cs</x:v>
      </x:c>
      <x:c r="O99" s="183" t="str">
        <x:v>V1.19旧源码类型（真实成员/实现仍待核）
V2.01：来源ID对应；处置=保留源码·公开契约复核
V7.8：V7.8同名且源文件对应；Platform/Core/BehaviorComposition.cs</x:v>
      </x:c>
      <x:c r="P99" s="136" t="str">
        <x:v>V1.19旧源码类型（真实成员/实现仍待核）</x:v>
      </x:c>
      <x:c r="Q99"/>
      <x:c r="R99"/>
      <x:c r="S99"/>
    </x:row>
    <x:row r="100" ht="72" customHeight="1">
      <x:c r="A100" s="179" t="str">
        <x:v>M02</x:v>
      </x:c>
      <x:c r="B100" s="180" t="str">
        <x:v>Definition与工程组织｜功能组织与复用
Reusable Components</x:v>
      </x:c>
      <x:c r="C100" s="180" t="str">
        <x:v>MRCParameterComposition</x:v>
      </x:c>
      <x:c r="D100" s="179" t="str">
        <x:v>原有·待核</x:v>
      </x:c>
      <x:c r="E100" s="180" t="str">
        <x:v>表达或管理参数Composition相关的数据及协作职责，具体行为待源码复核〔待核〕</x:v>
      </x:c>
      <x:c r="F100" s="180" t="str">
        <x:v>Mappings, HasAny</x:v>
      </x:c>
      <x:c r="G100" s="180" t="str">
        <x:v>EnsureMappings(), Clone()</x:v>
      </x:c>
      <x:c r="H100" s="180" t="str">
        <x:v>—（待核）</x:v>
      </x:c>
      <x:c r="I100" s="180" t="str">
        <x:v>CxVisual.Core.ParameterComposition</x:v>
      </x:c>
      <x:c r="J100" s="179" t="str">
        <x:v>类</x:v>
      </x:c>
      <x:c r="K100" s="180" t="str">
        <x:v>V1.19 C-0163；原实施方式：原有。迁移风险：表达或管理参数Composition相关的数据及协作职责，具体行为待源码复核〔待核〕</x:v>
      </x:c>
      <x:c r="L100" s="183" t="str">
        <x:v>源代码声明·待复核</x:v>
      </x:c>
      <x:c r="M100" s="183" t="str">
        <x:v>C-0163</x:v>
      </x:c>
      <x:c r="N100" s="184" t="str">
        <x:v>Platform/Core/BehaviorComposition.cs</x:v>
      </x:c>
      <x:c r="O100" s="183" t="str">
        <x:v>V1.19旧源码类型（真实成员/实现仍待核）
V2.01：来源ID对应；处置=保留源码·公开契约复核
V7.8：V7.8同名且源文件对应；Platform/Core/BehaviorComposition.cs</x:v>
      </x:c>
      <x:c r="P100" s="136" t="str">
        <x:v>V1.19旧源码类型（真实成员/实现仍待核）</x:v>
      </x:c>
      <x:c r="Q100"/>
      <x:c r="R100"/>
      <x:c r="S100"/>
    </x:row>
    <x:row r="101" ht="72" customHeight="1">
      <x:c r="A101" s="179" t="str">
        <x:v>M02</x:v>
      </x:c>
      <x:c r="B101" s="180" t="str">
        <x:v>Definition与工程组织｜功能组织与复用
Reusable Components</x:v>
      </x:c>
      <x:c r="C101" s="180" t="str">
        <x:v>MRCRuntimeElementAddress</x:v>
      </x:c>
      <x:c r="D101" s="179" t="str">
        <x:v>原有·待核</x:v>
      </x:c>
      <x:c r="E101" s="180" t="str">
        <x:v>提供运行时元素Address相关基础操作或类型辅助处理</x:v>
      </x:c>
      <x:c r="F101" s="180" t="str">
        <x:v>—（无公开声明或待核对）</x:v>
      </x:c>
      <x:c r="G101" s="180" t="str">
        <x:v>ForTopLevel(string elementId), ForPageElement(string pageId, string elementId), ForSymbolChild(string instanceId, string localElementId), ForChild(string parentRuntimeAddress, string childLocalElementId), TrySplitSymbolChild(string runtimeAddress, out string instanceId, out string localElementId)</x:v>
      </x:c>
      <x:c r="H101" s="180" t="str">
        <x:v>—（待核）</x:v>
      </x:c>
      <x:c r="I101" s="180" t="str">
        <x:v>CxVisual.Core.RuntimeElementAddress</x:v>
      </x:c>
      <x:c r="J101" s="179" t="str">
        <x:v>静态类</x:v>
      </x:c>
      <x:c r="K101" s="180" t="str">
        <x:v>V1.19 C-0164；原实施方式：原有。迁移风险：提供运行时元素Address相关基础操作或类型辅助处理</x:v>
      </x:c>
      <x:c r="L101" s="183" t="str">
        <x:v>源代码声明·待复核</x:v>
      </x:c>
      <x:c r="M101" s="183" t="str">
        <x:v>C-0164</x:v>
      </x:c>
      <x:c r="N101" s="184" t="str">
        <x:v>Platform/Core/Symbols.cs</x:v>
      </x:c>
      <x:c r="O101" s="183" t="str">
        <x:v>V1.19旧源码类型（真实成员/实现仍待核）
V2.01：来源ID对应；处置=保留源码·公开契约复核
V7.8：V7.8同名且源文件对应；Platform/Core/Symbols.cs</x:v>
      </x:c>
      <x:c r="P101" s="136" t="str">
        <x:v>V1.19旧源码类型（真实成员/实现仍待核）</x:v>
      </x:c>
      <x:c r="Q101"/>
      <x:c r="R101"/>
      <x:c r="S101"/>
    </x:row>
    <x:row r="102" ht="72" customHeight="1">
      <x:c r="A102" s="179" t="str">
        <x:v>M02</x:v>
      </x:c>
      <x:c r="B102" s="180" t="str">
        <x:v>Definition与工程组织｜功能组织与复用
Reusable Components</x:v>
      </x:c>
      <x:c r="C102" s="180" t="str">
        <x:v>MRCState</x:v>
      </x:c>
      <x:c r="D102" s="179" t="str">
        <x:v>原有·待核</x:v>
      </x:c>
      <x:c r="E102" s="180" t="str">
        <x:v>表示状态当前运行状态和必要的状态转换数据</x:v>
      </x:c>
      <x:c r="F102" s="180" t="str">
        <x:v>—（无公开声明或待核对）</x:v>
      </x:c>
      <x:c r="G102" s="180" t="str">
        <x:v>State(ElementModel element, int index), Restore()</x:v>
      </x:c>
      <x:c r="H102" s="180" t="str">
        <x:v>—（待核）</x:v>
      </x:c>
      <x:c r="I102" s="180" t="str">
        <x:v>CxVisual.Core.GroupElementModel.State</x:v>
      </x:c>
      <x:c r="J102" s="179" t="str">
        <x:v>类</x:v>
      </x:c>
      <x:c r="K102" s="180" t="str">
        <x:v>V1.19 C-0162；原实施方式：原有。迁移风险：表示状态当前运行状态和必要的状态转换数据</x:v>
      </x:c>
      <x:c r="L102" s="183" t="str">
        <x:v>源代码声明·待复核</x:v>
      </x:c>
      <x:c r="M102" s="183" t="str">
        <x:v>C-0162</x:v>
      </x:c>
      <x:c r="N102" s="184" t="str">
        <x:v>Platform/Runtime/CxHmiRuntime.cs; Platform/Core/CxGroupOperations.cs; Platform/Protocols/MFLModule/MFLProtocol.cs</x:v>
      </x:c>
      <x:c r="O102" s="183" t="str">
        <x:v>V1.19旧源码类型（真实成员/实现仍待核）
V2.01：来源ID对应；处置=保留源码·公开契约复核
V7.8：V7.8同名且源文件对应；Platform/Runtime/CxHmiRuntime.cs</x:v>
      </x:c>
      <x:c r="P102" s="136" t="str">
        <x:v>V1.19旧源码类型（真实成员/实现仍待核）</x:v>
      </x:c>
      <x:c r="Q102"/>
      <x:c r="R102"/>
      <x:c r="S102"/>
    </x:row>
    <x:row r="103" ht="72" customHeight="1">
      <x:c r="A103" s="179" t="str">
        <x:v>M02</x:v>
      </x:c>
      <x:c r="B103" s="180" t="str">
        <x:v>Definition与工程组织｜功能组织与复用
Reusable Components</x:v>
      </x:c>
      <x:c r="C103" s="180" t="str">
        <x:v>MRCSymbolAuthoringPolicy</x:v>
      </x:c>
      <x:c r="D103" s="179" t="str">
        <x:v>原有·待核</x:v>
      </x:c>
      <x:c r="E103" s="180" t="str">
        <x:v>提供符号Authoring策略相关基础操作或类型辅助处理</x:v>
      </x:c>
      <x:c r="F103" s="180" t="str">
        <x:v>—（无公开声明或待核对）</x:v>
      </x:c>
      <x:c r="G103" s="180" t="str">
        <x:v>Validate(PageModel page, IEnumerable&lt;ElementModel&gt; selectedElements), EnsureCanCreate(PageModel page, IEnumerable&lt;ElementModel&gt; selectedElements), ValidateDefinition(SymbolDefinition definition)</x:v>
      </x:c>
      <x:c r="H103" s="180" t="str">
        <x:v>—（待核）</x:v>
      </x:c>
      <x:c r="I103" s="180" t="str">
        <x:v>CxVisual.Core.SymbolAuthoringPolicy</x:v>
      </x:c>
      <x:c r="J103" s="179" t="str">
        <x:v>静态类</x:v>
      </x:c>
      <x:c r="K103" s="180" t="str">
        <x:v>V1.19 C-0165；原实施方式：原有。迁移风险：提供符号Authoring策略相关基础操作或类型辅助处理</x:v>
      </x:c>
      <x:c r="L103" s="183" t="str">
        <x:v>源代码声明·待复核</x:v>
      </x:c>
      <x:c r="M103" s="183" t="str">
        <x:v>C-0165</x:v>
      </x:c>
      <x:c r="N103" s="184" t="str">
        <x:v>Platform/Core/SymbolAuthoringPolicy.cs</x:v>
      </x:c>
      <x:c r="O103" s="183" t="str">
        <x:v>V1.19旧源码类型（真实成员/实现仍待核）
V2.01：来源ID对应；处置=保留源码·公开契约复核
V7.8：V7.8同名且源文件对应；Platform/Core/SymbolAuthoringPolicy.cs</x:v>
      </x:c>
      <x:c r="P103" s="136" t="str">
        <x:v>V1.19旧源码类型（真实成员/实现仍待核）</x:v>
      </x:c>
      <x:c r="Q103"/>
      <x:c r="R103"/>
      <x:c r="S103"/>
    </x:row>
    <x:row r="104" ht="135" customHeight="1">
      <x:c r="A104" s="179" t="str">
        <x:v>M02</x:v>
      </x:c>
      <x:c r="B104" s="180" t="str">
        <x:v>Definition与工程组织｜功能组织与复用
Reusable Components</x:v>
      </x:c>
      <x:c r="C104" s="180" t="str">
        <x:v>MRCSymbolAuthoringService</x:v>
      </x:c>
      <x:c r="D104" s="179" t="str">
        <x:v>原有·待核</x:v>
      </x:c>
      <x:c r="E104" s="180" t="str">
        <x:v>封装符号Authoring服务通用服务操作及其生命周期边界</x:v>
      </x:c>
      <x:c r="F104" s="180" t="str">
        <x:v>—（无公开声明或待核对）</x:v>
      </x:c>
      <x:c r="G104" s="180" t="str">
        <x:v>CreateWorkingCopy(DesignerDocument document, string definitionId), Commit(DesignerDocument document, string definitionId, SymbolDefinition workingCopy), AddPublicProperty(SymbolDefinition definition, string key, string displayName, string valueType, object defaultValue), AddPropertyMapping(SymbolDefinition definition, string sourcePropertyKey, string targetElementId, string targetPropertyKey), AddPropertyMappingBySelector(SymbolDefinition definition, string sourcePropertyKey, string targetSelector, string targetPropertyKey), Validate(SymbolDefinition definition)</x:v>
      </x:c>
      <x:c r="H104" s="180" t="str">
        <x:v>—（待核）</x:v>
      </x:c>
      <x:c r="I104" s="180" t="str">
        <x:v>CxVisual.Designer.Application.SymbolAuthoringService</x:v>
      </x:c>
      <x:c r="J104" s="179" t="str">
        <x:v>类</x:v>
      </x:c>
      <x:c r="K104" s="180" t="str">
        <x:v>V1.19 C-0178；原实施方式：原有。迁移风险：封装符号Authoring服务通用服务操作及其生命周期边界</x:v>
      </x:c>
      <x:c r="L104" s="183" t="str">
        <x:v>源代码声明·待复核</x:v>
      </x:c>
      <x:c r="M104" s="183" t="str">
        <x:v>C-0178</x:v>
      </x:c>
      <x:c r="N104" s="184" t="str">
        <x:v>Host/Studio/Application/SymbolAuthoringService.cs</x:v>
      </x:c>
      <x:c r="O104" s="183" t="str">
        <x:v>V1.19旧源码类型（真实成员/实现仍待核）
V2.01：来源ID对应；处置=保留源码·公开契约复核
V7.8：V7.8同名且源文件对应；Host/Studio/Application/SymbolAuthoringService.cs
归属优先核查：Studio应用层优先；抽象公共契约后可留Core；Studio应用类型疑似混入公共Core</x:v>
      </x:c>
      <x:c r="P104" s="136" t="str">
        <x:v>V1.19旧源码类型（真实成员/实现仍待核）</x:v>
      </x:c>
      <x:c r="Q104"/>
      <x:c r="R104"/>
      <x:c r="S104"/>
    </x:row>
    <x:row r="105" ht="72" customHeight="1">
      <x:c r="A105" s="179" t="str">
        <x:v>M02</x:v>
      </x:c>
      <x:c r="B105" s="180" t="str">
        <x:v>Definition与工程组织｜功能组织与复用
Reusable Components</x:v>
      </x:c>
      <x:c r="C105" s="180" t="str">
        <x:v>MRCSymbolAuthoringWorkflow</x:v>
      </x:c>
      <x:c r="D105" s="179" t="str">
        <x:v>原有·待核</x:v>
      </x:c>
      <x:c r="E105" s="180" t="str">
        <x:v>表达或管理符号Authoring工作流相关的数据及协作职责，具体行为待源码复核〔待核〕</x:v>
      </x:c>
      <x:c r="F105" s="180" t="str">
        <x:v>LastResult</x:v>
      </x:c>
      <x:c r="G105" s="180" t="str">
        <x:v>Execute(DesignerDocument document, GroupElementModel group, string symbolName)</x:v>
      </x:c>
      <x:c r="H105" s="180" t="str">
        <x:v>—（待核）</x:v>
      </x:c>
      <x:c r="I105" s="180" t="str">
        <x:v>CxVisual.Designer.Application.SymbolAuthoringWorkflow</x:v>
      </x:c>
      <x:c r="J105" s="179" t="str">
        <x:v>类</x:v>
      </x:c>
      <x:c r="K105" s="180" t="str">
        <x:v>V1.19 C-0179；原实施方式：原有。迁移风险：表达或管理符号Authoring工作流相关的数据及协作职责，具体行为待源码复核〔待核〕</x:v>
      </x:c>
      <x:c r="L105" s="183" t="str">
        <x:v>源代码声明·待复核</x:v>
      </x:c>
      <x:c r="M105" s="183" t="str">
        <x:v>C-0179</x:v>
      </x:c>
      <x:c r="N105" s="184" t="str">
        <x:v>Host/Studio/Application/SymbolAuthoringWorkflow.cs</x:v>
      </x:c>
      <x:c r="O105" s="183" t="str">
        <x:v>V1.19旧源码类型（真实成员/实现仍待核）
V2.01：来源ID对应；处置=保留源码·公开契约复核
V7.8：V7.8同名且源文件对应；Host/Studio/Application/SymbolAuthoringWorkflow.cs
归属优先核查：Studio应用层优先；抽象公共契约后可留Core；Studio应用类型疑似混入公共Core</x:v>
      </x:c>
      <x:c r="P105" s="136" t="str">
        <x:v>V1.19旧源码类型（真实成员/实现仍待核）</x:v>
      </x:c>
      <x:c r="Q105"/>
      <x:c r="R105"/>
      <x:c r="S105"/>
    </x:row>
    <x:row r="106" ht="72" customHeight="1">
      <x:c r="A106" s="179" t="str">
        <x:v>M02</x:v>
      </x:c>
      <x:c r="B106" s="180" t="str">
        <x:v>Definition与工程组织｜功能组织与复用
Reusable Components</x:v>
      </x:c>
      <x:c r="C106" s="180" t="str">
        <x:v>MRCSymbolBehaviorComposition</x:v>
      </x:c>
      <x:c r="D106" s="179" t="str">
        <x:v>原有·待核</x:v>
      </x:c>
      <x:c r="E106" s="180" t="str">
        <x:v>表达或管理符号BehaviorComposition相关的数据及协作职责，具体行为待源码复核〔待核〕</x:v>
      </x:c>
      <x:c r="F106" s="180" t="str">
        <x:v>StateRules, Animations, Events, Scripts, HasAny</x:v>
      </x:c>
      <x:c r="G106" s="180" t="str">
        <x:v>EnsureStateRules(), EnsureAnimations(), EnsureEvents(), EnsureScripts(), DeepClone(bool preserveId)</x:v>
      </x:c>
      <x:c r="H106" s="180" t="str">
        <x:v>—（待核）</x:v>
      </x:c>
      <x:c r="I106" s="180" t="str">
        <x:v>CxVisual.Core.SymbolBehaviorComposition</x:v>
      </x:c>
      <x:c r="J106" s="179" t="str">
        <x:v>类</x:v>
      </x:c>
      <x:c r="K106" s="180" t="str">
        <x:v>V1.19 C-0166；原实施方式：原有。迁移风险：表达或管理符号BehaviorComposition相关的数据及协作职责，具体行为待源码复核〔待核〕</x:v>
      </x:c>
      <x:c r="L106" s="183" t="str">
        <x:v>源代码声明·待复核</x:v>
      </x:c>
      <x:c r="M106" s="183" t="str">
        <x:v>C-0166</x:v>
      </x:c>
      <x:c r="N106" s="184" t="str">
        <x:v>Platform/Core/BehaviorComposition.cs</x:v>
      </x:c>
      <x:c r="O106" s="183" t="str">
        <x:v>V1.19旧源码类型（真实成员/实现仍待核）
V2.01：来源ID对应；处置=保留源码·公开契约复核
V7.8：V7.8同名且源文件对应；Platform/Core/BehaviorComposition.cs</x:v>
      </x:c>
      <x:c r="P106" s="136" t="str">
        <x:v>V1.19旧源码类型（真实成员/实现仍待核）</x:v>
      </x:c>
      <x:c r="Q106"/>
      <x:c r="R106"/>
      <x:c r="S106"/>
    </x:row>
    <x:row r="107" ht="72" customHeight="1">
      <x:c r="A107" s="179" t="str">
        <x:v>M02</x:v>
      </x:c>
      <x:c r="B107" s="180" t="str">
        <x:v>Definition与工程组织｜功能组织与复用
Reusable Components</x:v>
      </x:c>
      <x:c r="C107" s="180" t="str">
        <x:v>MRCSymbolBuilder</x:v>
      </x:c>
      <x:c r="D107" s="179" t="str">
        <x:v>原有·待核</x:v>
      </x:c>
      <x:c r="E107" s="180" t="str">
        <x:v>汇聚输入信息并构建符号构建器结果对象</x:v>
      </x:c>
      <x:c r="F107" s="180" t="str">
        <x:v>—（无公开声明或待核对）</x:v>
      </x:c>
      <x:c r="G107" s="180" t="str">
        <x:v>CreateFromGroup(string name, GroupElementModel sourceGroup)</x:v>
      </x:c>
      <x:c r="H107" s="180" t="str">
        <x:v>—（待核）</x:v>
      </x:c>
      <x:c r="I107" s="180" t="str">
        <x:v>CxVisual.Core.SymbolBuilder</x:v>
      </x:c>
      <x:c r="J107" s="179" t="str">
        <x:v>静态类</x:v>
      </x:c>
      <x:c r="K107" s="180" t="str">
        <x:v>V1.19 C-0168；原实施方式：原有。迁移风险：汇聚输入信息并构建符号构建器结果对象</x:v>
      </x:c>
      <x:c r="L107" s="183" t="str">
        <x:v>源代码声明·待复核</x:v>
      </x:c>
      <x:c r="M107" s="183" t="str">
        <x:v>C-0168</x:v>
      </x:c>
      <x:c r="N107" s="184" t="str">
        <x:v>Platform/Core/Symbols.cs</x:v>
      </x:c>
      <x:c r="O107" s="183" t="str">
        <x:v>V1.19旧源码类型（真实成员/实现仍待核）
V2.01：来源ID对应；处置=保留源码·公开契约复核
V7.8：V7.8同名且源文件对应；Platform/Core/Symbols.cs</x:v>
      </x:c>
      <x:c r="P107" s="136" t="str">
        <x:v>V1.19旧源码类型（真实成员/实现仍待核）</x:v>
      </x:c>
      <x:c r="Q107"/>
      <x:c r="R107"/>
      <x:c r="S107"/>
    </x:row>
    <x:row r="108" ht="72" customHeight="1">
      <x:c r="A108" s="179" t="str">
        <x:v>M02</x:v>
      </x:c>
      <x:c r="B108" s="180" t="str">
        <x:v>Definition与工程组织｜功能组织与复用
Reusable Components</x:v>
      </x:c>
      <x:c r="C108" s="180" t="str">
        <x:v>MRCSymbolBuildResult</x:v>
      </x:c>
      <x:c r="D108" s="179" t="str">
        <x:v>原有·待核</x:v>
      </x:c>
      <x:c r="E108" s="180" t="str">
        <x:v>承载符号Build结果操作结果、返回值、状态及错误说明</x:v>
      </x:c>
      <x:c r="F108" s="180" t="str">
        <x:v>Definition, Instance, SourceBounds</x:v>
      </x:c>
      <x:c r="G108" s="180" t="str">
        <x:v>—(无公开声明或待核对)</x:v>
      </x:c>
      <x:c r="H108" s="180" t="str">
        <x:v>—（待核）</x:v>
      </x:c>
      <x:c r="I108" s="180" t="str">
        <x:v>CxVisual.Core.SymbolBuildResult</x:v>
      </x:c>
      <x:c r="J108" s="179" t="str">
        <x:v>类</x:v>
      </x:c>
      <x:c r="K108" s="180" t="str">
        <x:v>V1.19 C-0167；原实施方式：原有。迁移风险：承载符号Build结果操作结果、返回值、状态及错误说明</x:v>
      </x:c>
      <x:c r="L108" s="183" t="str">
        <x:v>源代码声明·待复核</x:v>
      </x:c>
      <x:c r="M108" s="183" t="str">
        <x:v>C-0167</x:v>
      </x:c>
      <x:c r="N108" s="184" t="str">
        <x:v>Platform/Core/Symbols.cs</x:v>
      </x:c>
      <x:c r="O108" s="183" t="str">
        <x:v>V1.19旧源码类型（真实成员/实现仍待核）
V2.01：来源ID对应；处置=保留源码·公开契约复核
V7.8：V7.8同名且源文件对应；Platform/Core/Symbols.cs</x:v>
      </x:c>
      <x:c r="P108" s="136" t="str">
        <x:v>V1.19旧源码类型（真实成员/实现仍待核）</x:v>
      </x:c>
      <x:c r="Q108"/>
      <x:c r="R108"/>
      <x:c r="S108"/>
    </x:row>
    <x:row r="109" ht="72" customHeight="1">
      <x:c r="A109" s="179" t="str">
        <x:v>M02</x:v>
      </x:c>
      <x:c r="B109" s="180" t="str">
        <x:v>Definition与工程组织｜功能组织与复用
Reusable Components</x:v>
      </x:c>
      <x:c r="C109" s="180" t="str">
        <x:v>MRCSymbolChildEditorWindow</x:v>
      </x:c>
      <x:c r="D109" s="179" t="str">
        <x:v>原有·待核</x:v>
      </x:c>
      <x:c r="E109" s="180" t="str">
        <x:v>表达或管理符号Child编辑器窗口相关的数据及协作职责，具体行为待源码复核〔待核〕</x:v>
      </x:c>
      <x:c r="F109" s="180" t="str">
        <x:v>—（无公开声明或待核对）</x:v>
      </x:c>
      <x:c r="G109" s="180" t="str">
        <x:v>SymbolChildEditorWindow(ElementModel target)</x:v>
      </x:c>
      <x:c r="H109" s="180" t="str">
        <x:v>—（待核）</x:v>
      </x:c>
      <x:c r="I109" s="180" t="str">
        <x:v>CxVisual.Designer.Wpf.SymbolChildEditorWindow</x:v>
      </x:c>
      <x:c r="J109" s="179" t="str">
        <x:v>类</x:v>
      </x:c>
      <x:c r="K109" s="180" t="str">
        <x:v>V1.19 C-0183；原实施方式：原有。迁移风险：表达或管理符号Child编辑器窗口相关的数据及协作职责，具体行为待源码复核〔待核〕</x:v>
      </x:c>
      <x:c r="L109" s="183" t="str">
        <x:v>源代码声明·待复核</x:v>
      </x:c>
      <x:c r="M109" s="183" t="str">
        <x:v>C-0183</x:v>
      </x:c>
      <x:c r="N109" s="184" t="str">
        <x:v>Host/Studio/Wpf/M5ClosureEditors.cs</x:v>
      </x:c>
      <x:c r="O109" s="183" t="str">
        <x:v>V1.19旧源码类型（真实成员/实现仍待核）
V2.01：来源ID对应；处置=保留源码·公开契约复核
V7.8：V7.8同名且源文件对应；Host/Studio/Wpf/M5ClosureEditors.cs
归属优先核查：WPF通用呈现迁入M_PresentationWpf；仅Studio专用窗口留Studio；Studio应用类型疑似混入公共Core；具体UI类型不应归Core/无UI Visual</x:v>
      </x:c>
      <x:c r="P109" s="136" t="str">
        <x:v>V1.19旧源码类型（真实成员/实现仍待核）</x:v>
      </x:c>
      <x:c r="Q109"/>
      <x:c r="R109"/>
      <x:c r="S109"/>
    </x:row>
    <x:row r="110" ht="72" customHeight="1">
      <x:c r="A110" s="179" t="str">
        <x:v>M02</x:v>
      </x:c>
      <x:c r="B110" s="180" t="str">
        <x:v>Definition与工程组织｜功能组织与复用
Reusable Components</x:v>
      </x:c>
      <x:c r="C110" s="180" t="str">
        <x:v>MRCSymbolCreationIssue</x:v>
      </x:c>
      <x:c r="D110" s="179" t="str">
        <x:v>原有·待核</x:v>
      </x:c>
      <x:c r="E110" s="180" t="str">
        <x:v>表达或管理符号CreationIssue相关的数据及协作职责，具体行为待源码复核〔待核〕</x:v>
      </x:c>
      <x:c r="F110" s="180" t="str">
        <x:v>Code, Message, ElementId</x:v>
      </x:c>
      <x:c r="G110" s="180" t="str">
        <x:v>—(无公开声明或待核对)</x:v>
      </x:c>
      <x:c r="H110" s="180" t="str">
        <x:v>—（待核）</x:v>
      </x:c>
      <x:c r="I110" s="180" t="str">
        <x:v>CxVisual.Core.SymbolCreationIssue</x:v>
      </x:c>
      <x:c r="J110" s="179" t="str">
        <x:v>类</x:v>
      </x:c>
      <x:c r="K110" s="180" t="str">
        <x:v>V1.19 C-0169；原实施方式：原有。迁移风险：表达或管理符号CreationIssue相关的数据及协作职责，具体行为待源码复核〔待核〕</x:v>
      </x:c>
      <x:c r="L110" s="183" t="str">
        <x:v>源代码声明·待复核</x:v>
      </x:c>
      <x:c r="M110" s="183" t="str">
        <x:v>C-0169</x:v>
      </x:c>
      <x:c r="N110" s="184" t="str">
        <x:v>Platform/Core/SymbolAuthoringPolicy.cs</x:v>
      </x:c>
      <x:c r="O110" s="183" t="str">
        <x:v>V1.19旧源码类型（真实成员/实现仍待核）
V2.01：来源ID对应；处置=保留源码·公开契约复核
V7.8：V7.8同名且源文件对应；Platform/Core/SymbolAuthoringPolicy.cs</x:v>
      </x:c>
      <x:c r="P110" s="136" t="str">
        <x:v>V1.19旧源码类型（真实成员/实现仍待核）</x:v>
      </x:c>
      <x:c r="Q110"/>
      <x:c r="R110"/>
      <x:c r="S110"/>
    </x:row>
    <x:row r="111" ht="72" customHeight="1">
      <x:c r="A111" s="179" t="str">
        <x:v>M02</x:v>
      </x:c>
      <x:c r="B111" s="180" t="str">
        <x:v>Definition与工程组织｜功能组织与复用
Reusable Components</x:v>
      </x:c>
      <x:c r="C111" s="180" t="str">
        <x:v>MRCSymbolCreationWorkflowResult</x:v>
      </x:c>
      <x:c r="D111" s="179" t="str">
        <x:v>原有·待核</x:v>
      </x:c>
      <x:c r="E111" s="180" t="str">
        <x:v>承载符号Creation工作流结果操作结果、返回值、状态及错误说明</x:v>
      </x:c>
      <x:c r="F111" s="180" t="str">
        <x:v>Instance, Definition, Steps, Succeeded</x:v>
      </x:c>
      <x:c r="G111" s="180" t="str">
        <x:v>—(无公开声明或待核对)</x:v>
      </x:c>
      <x:c r="H111" s="180" t="str">
        <x:v>—（待核）</x:v>
      </x:c>
      <x:c r="I111" s="180" t="str">
        <x:v>CxVisual.Designer.Application.SymbolCreationWorkflowResult</x:v>
      </x:c>
      <x:c r="J111" s="179" t="str">
        <x:v>类</x:v>
      </x:c>
      <x:c r="K111" s="180" t="str">
        <x:v>V1.19 C-0180；原实施方式：原有。迁移风险：承载符号Creation工作流结果操作结果、返回值、状态及错误说明</x:v>
      </x:c>
      <x:c r="L111" s="183" t="str">
        <x:v>源代码声明·待复核</x:v>
      </x:c>
      <x:c r="M111" s="183" t="str">
        <x:v>C-0180</x:v>
      </x:c>
      <x:c r="N111" s="184" t="str">
        <x:v>Host/Studio/Application/SymbolAuthoringWorkflow.cs</x:v>
      </x:c>
      <x:c r="O111" s="183" t="str">
        <x:v>V1.19旧源码类型（真实成员/实现仍待核）
V2.01：来源ID对应；处置=保留源码·公开契约复核
V7.8：V7.8同名且源文件对应；Host/Studio/Application/SymbolAuthoringWorkflow.cs
归属优先核查：Studio应用层优先；抽象公共契约后可留Core；Studio应用类型疑似混入公共Core</x:v>
      </x:c>
      <x:c r="P111" s="136" t="str">
        <x:v>V1.19旧源码类型（真实成员/实现仍待核）</x:v>
      </x:c>
      <x:c r="Q111"/>
      <x:c r="R111"/>
      <x:c r="S111"/>
    </x:row>
    <x:row r="112" ht="72" customHeight="1">
      <x:c r="A112" s="179" t="str">
        <x:v>M02</x:v>
      </x:c>
      <x:c r="B112" s="180" t="str">
        <x:v>Definition与工程组织｜功能组织与复用
Reusable Components</x:v>
      </x:c>
      <x:c r="C112" s="180" t="str">
        <x:v>MRCSymbolDefinitionEditorWindow</x:v>
      </x:c>
      <x:c r="D112" s="179" t="str">
        <x:v>原有·待核</x:v>
      </x:c>
      <x:c r="E112" s="180" t="str">
        <x:v>表达或管理符号定义编辑器窗口相关的数据及协作职责，具体行为待源码复核〔待核〕</x:v>
      </x:c>
      <x:c r="F112" s="180" t="str">
        <x:v>WorkingCopy</x:v>
      </x:c>
      <x:c r="G112" s="180" t="str">
        <x:v>SymbolDefinitionEditorWindow(SymbolDefinition source, IEnumerable&lt;VariableReference&gt; variables)</x:v>
      </x:c>
      <x:c r="H112" s="180" t="str">
        <x:v>—（待核）</x:v>
      </x:c>
      <x:c r="I112" s="180" t="str">
        <x:v>CxVisual.Designer.Wpf.SymbolDefinitionEditorWindow</x:v>
      </x:c>
      <x:c r="J112" s="179" t="str">
        <x:v>类</x:v>
      </x:c>
      <x:c r="K112" s="180" t="str">
        <x:v>V1.19 C-0184；原实施方式：原有。迁移风险：表达或管理符号定义编辑器窗口相关的数据及协作职责，具体行为待源码复核〔待核〕</x:v>
      </x:c>
      <x:c r="L112" s="183" t="str">
        <x:v>源代码声明·待复核</x:v>
      </x:c>
      <x:c r="M112" s="183" t="str">
        <x:v>C-0184</x:v>
      </x:c>
      <x:c r="N112" s="184" t="str">
        <x:v>Host/Studio/Wpf/M5ClosureEditors.cs</x:v>
      </x:c>
      <x:c r="O112" s="183" t="str">
        <x:v>V1.19旧源码类型（真实成员/实现仍待核）
V2.01：来源ID对应；处置=保留源码·公开契约复核
V7.8：V7.8同名且源文件对应；Host/Studio/Wpf/M5ClosureEditors.cs
归属优先核查：WPF通用呈现迁入M_PresentationWpf；仅Studio专用窗口留Studio；Studio应用类型疑似混入公共Core；具体UI类型不应归Core/无UI Visual</x:v>
      </x:c>
      <x:c r="P112" s="136" t="str">
        <x:v>V1.19旧源码类型（真实成员/实现仍待核）</x:v>
      </x:c>
      <x:c r="Q112"/>
      <x:c r="R112"/>
      <x:c r="S112"/>
    </x:row>
    <x:row r="113" ht="72" customHeight="1">
      <x:c r="A113" s="179" t="str">
        <x:v>M02</x:v>
      </x:c>
      <x:c r="B113" s="180" t="str">
        <x:v>Definition与工程组织｜功能组织与复用
Reusable Components</x:v>
      </x:c>
      <x:c r="C113" s="180" t="str">
        <x:v>MRCSymbolInstanceElementModel</x:v>
      </x:c>
      <x:c r="D113" s="179" t="str">
        <x:v>原有·待核</x:v>
      </x:c>
      <x:c r="E113" s="180" t="str">
        <x:v>表达符号实例元素模型相关的数据结构、配置及状态视图</x:v>
      </x:c>
      <x:c r="F113" s="180" t="str">
        <x:v>TypeId, DefinitionId, DefinitionVersion, PropertyOverrides, Bindings, PublicPortBindings</x:v>
      </x:c>
      <x:c r="G113" s="180" t="str">
        <x:v>SymbolInstanceElementModel(), ShouldSerializeBindings(), ShouldSerializePublicPortBindings(), DeepClone(bool preserveId)</x:v>
      </x:c>
      <x:c r="H113" s="180" t="str">
        <x:v>—（待核）</x:v>
      </x:c>
      <x:c r="I113" s="180" t="str">
        <x:v>CxVisual.Core.SymbolInstanceElementModel</x:v>
      </x:c>
      <x:c r="J113" s="179" t="str">
        <x:v>类</x:v>
      </x:c>
      <x:c r="K113" s="180" t="str">
        <x:v>V1.19 C-0171；原实施方式：原有。迁移风险：表达符号实例元素模型相关的数据结构、配置及状态视图</x:v>
      </x:c>
      <x:c r="L113" s="183" t="str">
        <x:v>源代码声明·待复核</x:v>
      </x:c>
      <x:c r="M113" s="183" t="str">
        <x:v>C-0171</x:v>
      </x:c>
      <x:c r="N113" s="184" t="str">
        <x:v>Platform/Core/Symbols.cs</x:v>
      </x:c>
      <x:c r="O113" s="183" t="str">
        <x:v>V1.19旧源码类型（真实成员/实现仍待核）
V2.01：来源ID对应；处置=保留源码·公开契约复核
V7.8：V7.8同名且源文件对应；Platform/Core/Symbols.cs</x:v>
      </x:c>
      <x:c r="P113" s="136" t="str">
        <x:v>V1.19旧源码类型（真实成员/实现仍待核）</x:v>
      </x:c>
      <x:c r="Q113"/>
      <x:c r="R113"/>
      <x:c r="S113"/>
    </x:row>
    <x:row r="114" ht="72" customHeight="1">
      <x:c r="A114" s="179" t="str">
        <x:v>M02</x:v>
      </x:c>
      <x:c r="B114" s="180" t="str">
        <x:v>Definition与工程组织｜功能组织与复用
Reusable Components</x:v>
      </x:c>
      <x:c r="C114" s="180" t="str">
        <x:v>MRCSymbolPropertyDefinition</x:v>
      </x:c>
      <x:c r="D114" s="179" t="str">
        <x:v>原有·待核</x:v>
      </x:c>
      <x:c r="E114" s="180" t="str">
        <x:v>声明符号属性定义可配置的工程定义、字段和校验约束</x:v>
      </x:c>
      <x:c r="F114" s="180" t="str">
        <x:v>Key, DisplayName, ValueType, DefaultValue, Unit, Description, IsBindable, ReadOnly, Metadata</x:v>
      </x:c>
      <x:c r="G114" s="180" t="str">
        <x:v>ShouldSerializeReadOnly(), ShouldSerializeMetadata(), Validate(), Clone()</x:v>
      </x:c>
      <x:c r="H114" s="180" t="str">
        <x:v>—（待核）</x:v>
      </x:c>
      <x:c r="I114" s="180" t="str">
        <x:v>CxVisual.Core.SymbolPropertyDefinition</x:v>
      </x:c>
      <x:c r="J114" s="179" t="str">
        <x:v>类</x:v>
      </x:c>
      <x:c r="K114" s="180" t="str">
        <x:v>V1.19 C-0172；原实施方式：原有。迁移风险：声明符号属性定义可配置的工程定义、字段和校验约束</x:v>
      </x:c>
      <x:c r="L114" s="183" t="str">
        <x:v>源代码声明·待复核</x:v>
      </x:c>
      <x:c r="M114" s="183" t="str">
        <x:v>C-0172</x:v>
      </x:c>
      <x:c r="N114" s="184" t="str">
        <x:v>Platform/Core/Symbols.cs</x:v>
      </x:c>
      <x:c r="O114" s="183" t="str">
        <x:v>V1.19旧源码类型（真实成员/实现仍待核）
V2.01：来源ID对应；处置=保留源码·公开契约复核
V7.8：V7.8同名且源文件对应；Platform/Core/Symbols.cs</x:v>
      </x:c>
      <x:c r="P114" s="136" t="str">
        <x:v>V1.19旧源码类型（真实成员/实现仍待核）</x:v>
      </x:c>
      <x:c r="Q114"/>
      <x:c r="R114"/>
      <x:c r="S114"/>
    </x:row>
    <x:row r="115" ht="72" customHeight="1">
      <x:c r="A115" s="179" t="str">
        <x:v>M02</x:v>
      </x:c>
      <x:c r="B115" s="180" t="str">
        <x:v>Definition与工程组织｜功能组织与复用
Reusable Components</x:v>
      </x:c>
      <x:c r="C115" s="180" t="str">
        <x:v>MRCSymbolPropertyMapping</x:v>
      </x:c>
      <x:c r="D115" s="179" t="str">
        <x:v>原有·待核</x:v>
      </x:c>
      <x:c r="E115" s="180" t="str">
        <x:v>表达或管理符号属性Mapping相关的数据及协作职责，具体行为待源码复核〔待核〕</x:v>
      </x:c>
      <x:c r="F115" s="180" t="str">
        <x:v>SourcePropertyKey, TargetElementId, TargetAlias, TargetRole, TargetPropertyKey</x:v>
      </x:c>
      <x:c r="G115" s="180" t="str">
        <x:v>Clone()</x:v>
      </x:c>
      <x:c r="H115" s="180" t="str">
        <x:v>—（待核）</x:v>
      </x:c>
      <x:c r="I115" s="180" t="str">
        <x:v>CxVisual.Core.SymbolPropertyMapping</x:v>
      </x:c>
      <x:c r="J115" s="179" t="str">
        <x:v>类</x:v>
      </x:c>
      <x:c r="K115" s="180" t="str">
        <x:v>V1.19 C-0173；原实施方式：原有。迁移风险：表达或管理符号属性Mapping相关的数据及协作职责，具体行为待源码复核〔待核〕</x:v>
      </x:c>
      <x:c r="L115" s="183" t="str">
        <x:v>源代码声明·待复核</x:v>
      </x:c>
      <x:c r="M115" s="183" t="str">
        <x:v>C-0173</x:v>
      </x:c>
      <x:c r="N115" s="184" t="str">
        <x:v>Platform/Core/Symbols.cs</x:v>
      </x:c>
      <x:c r="O115" s="183" t="str">
        <x:v>V1.19旧源码类型（真实成员/实现仍待核）
V2.01：来源ID对应；处置=保留源码·公开契约复核
V7.8：V7.8同名且源文件对应；Platform/Core/Symbols.cs</x:v>
      </x:c>
      <x:c r="P115" s="136" t="str">
        <x:v>V1.19旧源码类型（真实成员/实现仍待核）</x:v>
      </x:c>
      <x:c r="Q115"/>
      <x:c r="R115"/>
      <x:c r="S115"/>
    </x:row>
    <x:row r="116" ht="72" customHeight="1">
      <x:c r="A116" s="179" t="str">
        <x:v>M02</x:v>
      </x:c>
      <x:c r="B116" s="180" t="str">
        <x:v>Definition与工程组织｜功能组织与复用
Reusable Components</x:v>
      </x:c>
      <x:c r="C116" s="180" t="str">
        <x:v>MRCSymbolPropertyResolver</x:v>
      </x:c>
      <x:c r="D116" s="179" t="str">
        <x:v>原有·待核</x:v>
      </x:c>
      <x:c r="E116" s="180" t="str">
        <x:v>解析符号属性Resolver的目标对象、引用或实际实现</x:v>
      </x:c>
      <x:c r="F116" s="180" t="str">
        <x:v>—（无公开声明或待核对）</x:v>
      </x:c>
      <x:c r="G116" s="180" t="str">
        <x:v>FindDefinition(ProjectModel project, SymbolInstanceElementModel instance, string propertyKey), IsBindable(ProjectModel project, SymbolInstanceElementModel instance, string propertyKey), TryGetDesignValue(ProjectModel project, SymbolInstanceElementModel instance, string propertyKey, out object value)</x:v>
      </x:c>
      <x:c r="H116" s="180" t="str">
        <x:v>—（待核）</x:v>
      </x:c>
      <x:c r="I116" s="180" t="str">
        <x:v>CxVisual.Core.SymbolPropertyResolver</x:v>
      </x:c>
      <x:c r="J116" s="179" t="str">
        <x:v>静态类</x:v>
      </x:c>
      <x:c r="K116" s="180" t="str">
        <x:v>V1.19 C-0174；原实施方式：原有。迁移风险：解析符号属性Resolver的目标对象、引用或实际实现</x:v>
      </x:c>
      <x:c r="L116" s="183" t="str">
        <x:v>源代码声明·待复核</x:v>
      </x:c>
      <x:c r="M116" s="183" t="str">
        <x:v>C-0174</x:v>
      </x:c>
      <x:c r="N116" s="184" t="str">
        <x:v>Platform/Core/Symbols.cs</x:v>
      </x:c>
      <x:c r="O116" s="183" t="str">
        <x:v>V1.19旧源码类型（真实成员/实现仍待核）
V2.01：来源ID对应；处置=保留源码·公开契约复核
V7.8：V7.8同名且源文件对应；Platform/Core/Symbols.cs</x:v>
      </x:c>
      <x:c r="P116" s="136" t="str">
        <x:v>V1.19旧源码类型（真实成员/实现仍待核）</x:v>
      </x:c>
      <x:c r="Q116"/>
      <x:c r="R116"/>
      <x:c r="S116"/>
    </x:row>
    <x:row r="117" ht="72" customHeight="1">
      <x:c r="A117" s="179" t="str">
        <x:v>M02</x:v>
      </x:c>
      <x:c r="B117" s="180" t="str">
        <x:v>Definition与工程组织｜功能组织与复用
Reusable Components</x:v>
      </x:c>
      <x:c r="C117" s="180" t="str">
        <x:v>MRCSymbolReferenceProjection</x:v>
      </x:c>
      <x:c r="D117" s="179" t="str">
        <x:v>原有·待核</x:v>
      </x:c>
      <x:c r="E117" s="180" t="str">
        <x:v>提供符号引用投影相关基础操作或类型辅助处理</x:v>
      </x:c>
      <x:c r="F117" s="180" t="str">
        <x:v>—（无公开声明或待核对）</x:v>
      </x:c>
      <x:c r="G117" s="180" t="str">
        <x:v>PageElements(PageModel page, ProjectModel project), PageElements(PageModel page, Func&lt;string, SymbolDefinition&gt; resolveDefinition), ToElement(SymbolReference reference, SymbolDefinition definition = null)</x:v>
      </x:c>
      <x:c r="H117" s="180" t="str">
        <x:v>—（待核）</x:v>
      </x:c>
      <x:c r="I117" s="180" t="str">
        <x:v>CxVisual.Core.SymbolReferenceProjection</x:v>
      </x:c>
      <x:c r="J117" s="179" t="str">
        <x:v>静态类</x:v>
      </x:c>
      <x:c r="K117" s="180" t="str">
        <x:v>V1.19 C-0176；原实施方式：原有。迁移风险：提供符号引用投影相关基础操作或类型辅助处理</x:v>
      </x:c>
      <x:c r="L117" s="183" t="str">
        <x:v>源代码声明·待复核</x:v>
      </x:c>
      <x:c r="M117" s="183" t="str">
        <x:v>C-0176</x:v>
      </x:c>
      <x:c r="N117" s="184" t="str">
        <x:v>Platform/Core/Symbols.cs</x:v>
      </x:c>
      <x:c r="O117" s="183" t="str">
        <x:v>V1.19旧源码类型（真实成员/实现仍待核）
V2.01：来源ID对应；处置=保留源码·公开契约复核
V7.8：V7.8同名且源文件对应；Platform/Core/Symbols.cs</x:v>
      </x:c>
      <x:c r="P117" s="136" t="str">
        <x:v>V1.19旧源码类型（真实成员/实现仍待核）</x:v>
      </x:c>
      <x:c r="Q117"/>
      <x:c r="R117"/>
      <x:c r="S117"/>
    </x:row>
    <x:row r="118" ht="72" customHeight="1">
      <x:c r="A118" s="179" t="str">
        <x:v>M02</x:v>
      </x:c>
      <x:c r="B118" s="180" t="str">
        <x:v>Definition与工程组织｜功能组织与复用
Reusable Components</x:v>
      </x:c>
      <x:c r="C118" s="180" t="str">
        <x:v>MRCSymbolRuntimeEngine</x:v>
      </x:c>
      <x:c r="D118" s="179" t="str">
        <x:v>原有·待核</x:v>
      </x:c>
      <x:c r="E118" s="180" t="str">
        <x:v>表达或管理符号运行时Engine相关的数据及协作职责，具体行为待源码复核〔待核〕</x:v>
      </x:c>
      <x:c r="F118" s="180" t="str">
        <x:v>—（无公开声明或待核对）</x:v>
      </x:c>
      <x:c r="G118" s="180" t="str">
        <x:v>SymbolRuntimeEngine(RuntimePropertyStore store, RuntimePropertyResolver resolver), Start(ProjectModel project), Stop(), Dispose()</x:v>
      </x:c>
      <x:c r="H118" s="180" t="str">
        <x:v>—（待核）</x:v>
      </x:c>
      <x:c r="I118" s="180" t="str">
        <x:v>CxVisual.Runtime.Core.SymbolRuntimeEngine</x:v>
      </x:c>
      <x:c r="J118" s="179" t="str">
        <x:v>类</x:v>
      </x:c>
      <x:c r="K118" s="180" t="str">
        <x:v>V1.19 C-0185；原实施方式：原有。迁移风险：表达或管理符号运行时Engine相关的数据及协作职责，具体行为待源码复核〔待核〕</x:v>
      </x:c>
      <x:c r="L118" s="183" t="str">
        <x:v>源代码声明·待复核</x:v>
      </x:c>
      <x:c r="M118" s="183" t="str">
        <x:v>C-0185</x:v>
      </x:c>
      <x:c r="N118" s="184" t="str">
        <x:v>Platform/Runtime/SymbolRuntime.cs</x:v>
      </x:c>
      <x:c r="O118" s="183" t="str">
        <x:v>V1.19旧源码类型（真实成员/实现仍待核）
V2.01：来源ID对应；处置=保留源码·公开契约复核
V7.8：V7.8同名且源文件对应；Platform/Runtime/SymbolRuntime.cs</x:v>
      </x:c>
      <x:c r="P118" s="136" t="str">
        <x:v>V1.19旧源码类型（真实成员/实现仍待核）</x:v>
      </x:c>
      <x:c r="Q118"/>
      <x:c r="R118"/>
      <x:c r="S118"/>
    </x:row>
    <x:row r="119" ht="72" customHeight="1">
      <x:c r="A119" s="179" t="str">
        <x:v>M02</x:v>
      </x:c>
      <x:c r="B119" s="180" t="str">
        <x:v>Definition与工程组织｜功能组织与复用
Reusable Components</x:v>
      </x:c>
      <x:c r="C119" s="180" t="str">
        <x:v>MRCSymbolWorkflowStatusIds</x:v>
      </x:c>
      <x:c r="D119" s="179" t="str">
        <x:v>原有·待核</x:v>
      </x:c>
      <x:c r="E119" s="180" t="str">
        <x:v>提供符号工作流状态Ids相关基础操作或类型辅助处理</x:v>
      </x:c>
      <x:c r="F119" s="180" t="str">
        <x:v>Pending, Running, Completed, Failed</x:v>
      </x:c>
      <x:c r="G119" s="180" t="str">
        <x:v>—(无公开声明或待核对)</x:v>
      </x:c>
      <x:c r="H119" s="180" t="str">
        <x:v>—（待核）</x:v>
      </x:c>
      <x:c r="I119" s="180" t="str">
        <x:v>CxVisual.Designer.Application.SymbolWorkflowStatusIds</x:v>
      </x:c>
      <x:c r="J119" s="179" t="str">
        <x:v>静态类</x:v>
      </x:c>
      <x:c r="K119" s="180" t="str">
        <x:v>V1.19 C-0181；原实施方式：原有。迁移风险：提供符号工作流状态Ids相关基础操作或类型辅助处理</x:v>
      </x:c>
      <x:c r="L119" s="183" t="str">
        <x:v>源代码声明·待复核</x:v>
      </x:c>
      <x:c r="M119" s="183" t="str">
        <x:v>C-0181</x:v>
      </x:c>
      <x:c r="N119" s="184" t="str">
        <x:v>Host/Studio/Application/SymbolAuthoringWorkflow.cs</x:v>
      </x:c>
      <x:c r="O119" s="183" t="str">
        <x:v>V1.19旧源码类型（真实成员/实现仍待核）
V2.01：来源ID对应；处置=保留源码·公开契约复核
V7.8：V7.8同名且源文件对应；Host/Studio/Application/SymbolAuthoringWorkflow.cs
归属优先核查：Studio应用层优先；抽象公共契约后可留Core；Studio应用类型疑似混入公共Core</x:v>
      </x:c>
      <x:c r="P119" s="136" t="str">
        <x:v>V1.19旧源码类型（真实成员/实现仍待核）</x:v>
      </x:c>
      <x:c r="Q119"/>
      <x:c r="R119"/>
      <x:c r="S119"/>
    </x:row>
    <x:row r="120" ht="72" customHeight="1">
      <x:c r="A120" s="179" t="str">
        <x:v>M02</x:v>
      </x:c>
      <x:c r="B120" s="180" t="str">
        <x:v>Definition与工程组织｜功能组织与复用
Reusable Components</x:v>
      </x:c>
      <x:c r="C120" s="180" t="str">
        <x:v>MRCSymbolWorkflowStep</x:v>
      </x:c>
      <x:c r="D120" s="179" t="str">
        <x:v>原有·待核</x:v>
      </x:c>
      <x:c r="E120" s="180" t="str">
        <x:v>表达或管理符号工作流Step相关的数据及协作职责，具体行为待源码复核〔待核〕</x:v>
      </x:c>
      <x:c r="F120" s="180" t="str">
        <x:v>Order, Name, Status, Detail</x:v>
      </x:c>
      <x:c r="G120" s="180" t="str">
        <x:v>—(无公开声明或待核对)</x:v>
      </x:c>
      <x:c r="H120" s="180" t="str">
        <x:v>—（待核）</x:v>
      </x:c>
      <x:c r="I120" s="180" t="str">
        <x:v>CxVisual.Designer.Application.SymbolWorkflowStep</x:v>
      </x:c>
      <x:c r="J120" s="179" t="str">
        <x:v>类</x:v>
      </x:c>
      <x:c r="K120" s="180" t="str">
        <x:v>V1.19 C-0182；原实施方式：原有。迁移风险：表达或管理符号工作流Step相关的数据及协作职责，具体行为待源码复核〔待核〕</x:v>
      </x:c>
      <x:c r="L120" s="183" t="str">
        <x:v>源代码声明·待复核</x:v>
      </x:c>
      <x:c r="M120" s="183" t="str">
        <x:v>C-0182</x:v>
      </x:c>
      <x:c r="N120" s="184" t="str">
        <x:v>Host/Studio/Application/SymbolAuthoringWorkflow.cs</x:v>
      </x:c>
      <x:c r="O120" s="183" t="str">
        <x:v>V1.19旧源码类型（真实成员/实现仍待核）
V2.01：来源ID对应；处置=保留源码·公开契约复核
V7.8：V7.8同名且源文件对应；Host/Studio/Application/SymbolAuthoringWorkflow.cs
归属优先核查：Studio应用层优先；抽象公共契约后可留Core；Studio应用类型疑似混入公共Core</x:v>
      </x:c>
      <x:c r="P120" s="136" t="str">
        <x:v>V1.19旧源码类型（真实成员/实现仍待核）</x:v>
      </x:c>
      <x:c r="Q120"/>
      <x:c r="R120"/>
      <x:c r="S120"/>
    </x:row>
    <x:row r="121" ht="72" customHeight="1">
      <x:c r="A121" s="179" t="str">
        <x:v>M02</x:v>
      </x:c>
      <x:c r="B121" s="180" t="str">
        <x:v>Definition与工程组织｜功能组织与复用
Reusable Components</x:v>
      </x:c>
      <x:c r="C121" s="180" t="str">
        <x:v>MRCUnifiedObjectValidator</x:v>
      </x:c>
      <x:c r="D121" s="179" t="str">
        <x:v>原有·待核</x:v>
      </x:c>
      <x:c r="E121" s="180" t="str">
        <x:v>验证UnifiedObject校验的结构、参数和业务约束并返回诊断信息</x:v>
      </x:c>
      <x:c r="F121" s="180" t="str">
        <x:v>—（无公开声明或待核对）</x:v>
      </x:c>
      <x:c r="G121" s="180" t="str">
        <x:v>Validate(ContentDefinition root, IEnumerable&lt;ContentDefinition&gt; sharedContents = null, IEnumerable&lt;SymbolDefinition&gt;…), ValidateAll(IEnumerable&lt;ContentDefinition&gt; roots, IEnumerable&lt;ContentDefinition&gt; sharedContents = null, IEnumerable&lt;Sym…)</x:v>
      </x:c>
      <x:c r="H121" s="180" t="str">
        <x:v>—（待核）</x:v>
      </x:c>
      <x:c r="I121" s="180" t="str">
        <x:v>CxVisual.Core.UnifiedObjectValidator</x:v>
      </x:c>
      <x:c r="J121" s="179" t="str">
        <x:v>静态类</x:v>
      </x:c>
      <x:c r="K121" s="180" t="str">
        <x:v>V1.19 C-0177；原实施方式：原有。迁移风险：验证UnifiedObject校验的结构、参数和业务约束并返回诊断信息</x:v>
      </x:c>
      <x:c r="L121" s="183" t="str">
        <x:v>源代码声明·待复核</x:v>
      </x:c>
      <x:c r="M121" s="183" t="str">
        <x:v>C-0177</x:v>
      </x:c>
      <x:c r="N121" s="184" t="str">
        <x:v>Platform/Core/UnifiedObjectModel.cs</x:v>
      </x:c>
      <x:c r="O121" s="183" t="str">
        <x:v>V1.19旧源码类型（真实成员/实现仍待核）
V2.01：来源ID对应；处置=保留源码·公开契约复核
V7.8：V7.8同名且源文件对应；Platform/Core/UnifiedObjectModel.cs</x:v>
      </x:c>
      <x:c r="P121" s="136" t="str">
        <x:v>V1.19旧源码类型（真实成员/实现仍待核）</x:v>
      </x:c>
      <x:c r="Q121"/>
      <x:c r="R121"/>
      <x:c r="S121"/>
    </x:row>
    <x:row r="122" ht="72" customHeight="1">
      <x:c r="A122" s="179" t="str">
        <x:v>M02</x:v>
      </x:c>
      <x:c r="B122" s="180" t="str">
        <x:v>Definition与工程组织｜功能组织与复用
Reusable Components</x:v>
      </x:c>
      <x:c r="C122" s="180" t="str">
        <x:v>CxGeometryReference</x:v>
      </x:c>
      <x:c r="D122" s="179" t="str">
        <x:v>增构候选·待查重</x:v>
      </x:c>
      <x:c r="E122" s="180" t="str">
        <x:v>设计：Foundation几何值引用；可能直接复用F05类型</x:v>
      </x:c>
      <x:c r="F122" s="180" t="str">
        <x:v>GeometryKind,GeometryValueId</x:v>
      </x:c>
      <x:c r="G122" s="180" t="str">
        <x:v>—</x:v>
      </x:c>
      <x:c r="H122" s="180" t="str">
        <x:v>待逐对象核实</x:v>
      </x:c>
      <x:c r="I122" s="180" t="str">
        <x:v>CxGeometryReference</x:v>
      </x:c>
      <x:c r="J122" s="179" t="str">
        <x:v>readonly struct</x:v>
      </x:c>
      <x:c r="K122" s="180" t="str">
        <x:v>生命周期：需定案；审核：补充类型字典</x:v>
      </x:c>
      <x:c r="L122" s="183" t="str">
        <x:v>设计候选，尚待源码验证</x:v>
      </x:c>
      <x:c r="M122" s="183" t="str">
        <x:v>R3A.M02.CxGeometryReference</x:v>
      </x:c>
      <x:c r="N122" s="184"/>
      <x:c r="O122" s="183" t="str">
        <x:v>补充类型字典
V2.01：未匹配V2.01；处置=暂无可信对应
V7.8：V7.8未检出同名词法声明</x:v>
      </x:c>
      <x:c r="P122" s="136" t="str">
        <x:v>补充类型字典</x:v>
      </x:c>
      <x:c r="Q122"/>
      <x:c r="R122"/>
      <x:c r="S122"/>
    </x:row>
    <x:row r="123" ht="72" customHeight="1">
      <x:c r="A123" s="179" t="str">
        <x:v>M02</x:v>
      </x:c>
      <x:c r="B123" s="180" t="str">
        <x:v>Definition与工程组织｜功能组织与复用
Reusable Components</x:v>
      </x:c>
      <x:c r="C123" s="180" t="str">
        <x:v>CxPropertyOverride</x:v>
      </x:c>
      <x:c r="D123" s="179" t="str">
        <x:v>增构候选·待查重</x:v>
      </x:c>
      <x:c r="E123" s="180" t="str">
        <x:v>设计：实例专有Override</x:v>
      </x:c>
      <x:c r="F123" s="180" t="str">
        <x:v>PropertyId,Value,OverridePolicy</x:v>
      </x:c>
      <x:c r="G123" s="180" t="str">
        <x:v>—</x:v>
      </x:c>
      <x:c r="H123" s="180" t="str">
        <x:v>待逐对象核实</x:v>
      </x:c>
      <x:c r="I123" s="180" t="str">
        <x:v>CxPropertyOverride</x:v>
      </x:c>
      <x:c r="J123" s="179" t="str">
        <x:v>sealed class</x:v>
      </x:c>
      <x:c r="K123" s="180" t="str">
        <x:v>生命周期：需定案；审核：补充类型字典</x:v>
      </x:c>
      <x:c r="L123" s="183" t="str">
        <x:v>设计候选，尚待源码验证</x:v>
      </x:c>
      <x:c r="M123" s="183" t="str">
        <x:v>R3A.M02.CxPropertyOverride</x:v>
      </x:c>
      <x:c r="N123" s="184"/>
      <x:c r="O123" s="183" t="str">
        <x:v>补充类型字典
V2.01：未匹配V2.01；处置=暂无可信对应
V7.8：V7.8未检出同名词法声明</x:v>
      </x:c>
      <x:c r="P123" s="136" t="str">
        <x:v>补充类型字典</x:v>
      </x:c>
      <x:c r="Q123"/>
      <x:c r="R123"/>
      <x:c r="S123"/>
    </x:row>
    <x:row r="124" ht="72" customHeight="1">
      <x:c r="A124" s="179" t="str">
        <x:v>M02</x:v>
      </x:c>
      <x:c r="B124" s="180" t="str">
        <x:v>Definition与工程组织｜功能组织与复用
Reusable Components</x:v>
      </x:c>
      <x:c r="C124" s="180" t="str">
        <x:v>CxSymbolInstanceView</x:v>
      </x:c>
      <x:c r="D124" s="179" t="str">
        <x:v>增构候选·待查重</x:v>
      </x:c>
      <x:c r="E124" s="180" t="str">
        <x:v>设计：非持久投影</x:v>
      </x:c>
      <x:c r="F124" s="180" t="str">
        <x:v>InstanceId,DefinitionId,EffectiveProperties,EffectiveTransform</x:v>
      </x:c>
      <x:c r="G124" s="180" t="str">
        <x:v>—</x:v>
      </x:c>
      <x:c r="H124" s="180" t="str">
        <x:v>待逐对象核实</x:v>
      </x:c>
      <x:c r="I124" s="180" t="str">
        <x:v>CxSymbolInstanceView</x:v>
      </x:c>
      <x:c r="J124" s="179" t="str">
        <x:v>sealed class</x:v>
      </x:c>
      <x:c r="K124" s="180" t="str">
        <x:v>生命周期：需定案；审核：补充类型字典</x:v>
      </x:c>
      <x:c r="L124" s="183" t="str">
        <x:v>设计候选，尚待源码验证</x:v>
      </x:c>
      <x:c r="M124" s="183" t="str">
        <x:v>R3A.M02.CxSymbolInstanceView</x:v>
      </x:c>
      <x:c r="N124" s="184"/>
      <x:c r="O124" s="183" t="str">
        <x:v>补充类型字典
V2.01：未匹配V2.01；处置=暂无可信对应
V7.8：V7.8未检出同名词法声明</x:v>
      </x:c>
      <x:c r="P124" s="136" t="str">
        <x:v>补充类型字典</x:v>
      </x:c>
      <x:c r="Q124"/>
      <x:c r="R124"/>
      <x:c r="S124"/>
    </x:row>
    <x:row r="125" ht="72" customHeight="1">
      <x:c r="A125" s="179" t="str">
        <x:v>M02</x:v>
      </x:c>
      <x:c r="B125" s="180" t="str">
        <x:v>Definition与工程组织｜功能组织与复用
Reusable Components</x:v>
      </x:c>
      <x:c r="C125" s="180" t="str">
        <x:v>MRCContentDefinition</x:v>
      </x:c>
      <x:c r="D125" s="179" t="str">
        <x:v>原有·待核</x:v>
      </x:c>
      <x:c r="E125" s="180" t="str">
        <x:v>跨Visual/Logic/Data/Collaboration的组合定义</x:v>
      </x:c>
      <x:c r="F125" s="180" t="str">
        <x:v>OwnedContents；Refs；Groups；Elements；PublicPorts；PublicProperties；public IReadOnlyList&lt;ContentReference&gt; ContentReferences { get; }；草案: public IReadOnlyList&lt;ContentDefinition&gt; OwnedContents { get; }；草案: public IReadOnlyList&lt;ContentReference&gt; ContentReferences { get; }；草案: public IReadOnlyList&lt;SymbolReference&gt; SymbolReferences { get; }</x:v>
      </x:c>
      <x:c r="G125" s="180" t="str">
        <x:v>业务组合/Scope/复用边界；草案: IReadOnlyList&lt;CxNode&gt; EnumerateOwnedChildren()</x:v>
      </x:c>
      <x:c r="H125" s="180" t="str">
        <x:v>VisualChildren旧字段与严格Content结构的迁移需单独裁决</x:v>
      </x:c>
      <x:c r="I125" s="180" t="str">
        <x:v>ContentDefinition</x:v>
      </x:c>
      <x:c r="J125" s="179" t="str">
        <x:v>sealed class</x:v>
      </x:c>
      <x:c r="K125" s="180" t="str">
        <x:v>V1.19 C-0150：原有；生命周期：Definition；约束：业务组合/Scope/复用边界</x:v>
      </x:c>
      <x:c r="L125" s="183" t="str">
        <x:v>V7.8源码词法匹配，尚未验收</x:v>
      </x:c>
      <x:c r="M125" s="183" t="str">
        <x:v>M02.ContentDefinition</x:v>
      </x:c>
      <x:c r="N125" s="184" t="str">
        <x:v>Platform/Core/CxConnections.cs；Platform/Core/CxNodeOwnership.cs；Platform/Core/CxPublicContracts.cs；Platform/Core/UnifiedObjectModel.cs</x:v>
      </x:c>
      <x:c r="O125" s="183" t="str">
        <x:v>R3A_Core裁决
V2.01：同名多条·待消歧；处置=暂无可信对应
V7.8：V7.8同名且源文件对应；Platform/Core/CxConnections.cs
归属优先核查：旧类型先做兼容适配；最终Symbol由Group承载，不再重复建立独立权威定义树；历史对象与最新Node/Ref模型存在迁移差异</x:v>
      </x:c>
      <x:c r="P125" s="136" t="str">
        <x:v>R3A_Core裁决</x:v>
      </x:c>
      <x:c r="Q125"/>
      <x:c r="R125"/>
      <x:c r="S125"/>
    </x:row>
    <x:row r="126" ht="72" customHeight="1">
      <x:c r="A126" s="179" t="str">
        <x:v>M02</x:v>
      </x:c>
      <x:c r="B126" s="180" t="str">
        <x:v>Definition与工程组织｜功能组织与复用
Reusable Components</x:v>
      </x:c>
      <x:c r="C126" s="180" t="str">
        <x:v>MRCContentReference</x:v>
      </x:c>
      <x:c r="D126" s="179" t="str">
        <x:v>原有·待核</x:v>
      </x:c>
      <x:c r="E126" s="180" t="str">
        <x:v>引用共享Content</x:v>
      </x:c>
      <x:c r="F126" s="180" t="str">
        <x:v>TargetRef；Overrides</x:v>
      </x:c>
      <x:c r="G126" s="180" t="str">
        <x:v>引用共享Content</x:v>
      </x:c>
      <x:c r="H126" s="180" t="str">
        <x:v>禁止隐含运行态或UI强依赖</x:v>
      </x:c>
      <x:c r="I126" s="180" t="str">
        <x:v>ContentReference</x:v>
      </x:c>
      <x:c r="J126" s="179" t="str">
        <x:v>sealed class</x:v>
      </x:c>
      <x:c r="K126" s="180" t="str">
        <x:v>V1.19 C-0153：原有；生命周期：Definition；约束：引用共享Content</x:v>
      </x:c>
      <x:c r="L126" s="183" t="str">
        <x:v>V7.8源码词法匹配，尚未验收</x:v>
      </x:c>
      <x:c r="M126" s="183" t="str">
        <x:v>M02.ContentReference</x:v>
      </x:c>
      <x:c r="N126" s="184" t="str">
        <x:v>Platform/Core/UnifiedObjectModel.cs</x:v>
      </x:c>
      <x:c r="O126" s="183" t="str">
        <x:v>R3A_Core裁决
V2.01：同名多条·待消歧；处置=暂无可信对应
V7.8：V7.8同名且源文件对应；Platform/Core/UnifiedObjectModel.cs</x:v>
      </x:c>
      <x:c r="P126" s="136" t="str">
        <x:v>R3A_Core裁决</x:v>
      </x:c>
      <x:c r="Q126"/>
      <x:c r="R126"/>
      <x:c r="S126"/>
    </x:row>
    <x:row r="127" ht="72" customHeight="1">
      <x:c r="A127" s="179" t="str">
        <x:v>M02</x:v>
      </x:c>
      <x:c r="B127" s="180" t="str">
        <x:v>Definition与工程组织｜功能组织与复用
Reusable Components</x:v>
      </x:c>
      <x:c r="C127" s="180" t="str">
        <x:v>MRCElementModel</x:v>
      </x:c>
      <x:c r="D127" s="179" t="str">
        <x:v>复用待核</x:v>
      </x:c>
      <x:c r="E127" s="180" t="str">
        <x:v>唯一工程Element定义</x:v>
      </x:c>
      <x:c r="F127" s="180" t="str">
        <x:v>Properties；Aspects；Ports；草案: public CxGeometryReference Geometry { get; }；草案: public FCTAffine2D Transform { get; }</x:v>
      </x:c>
      <x:c r="G127" s="180" t="str">
        <x:v>最小原子Definition</x:v>
      </x:c>
      <x:c r="H127" s="180" t="str">
        <x:v>Element不是WPF的FrameworkElement；几何值可引用Foundation</x:v>
      </x:c>
      <x:c r="I127" s="180" t="str">
        <x:v>ElementModel</x:v>
      </x:c>
      <x:c r="J127" s="179" t="str">
        <x:v>abstract class</x:v>
      </x:c>
      <x:c r="K127" s="180" t="str">
        <x:v>生命周期：Definition；约束：最小原子Definition</x:v>
      </x:c>
      <x:c r="L127" s="183" t="str">
        <x:v>V7.8源码词法匹配，尚未验收</x:v>
      </x:c>
      <x:c r="M127" s="183" t="str">
        <x:v>M02.ElementModel</x:v>
      </x:c>
      <x:c r="N127" s="184" t="str">
        <x:v>Platform/Core/Elements.cs；Platform/Core/CxGeometry.cs；Platform/Core/CxNodeOwnership.cs；Platform/Core/CxDefinitionConfiguration.cs</x:v>
      </x:c>
      <x:c r="O127" s="183" t="str">
        <x:v>R3A_Core裁决
V2.01：名称/子方面线索；处置=规划复用待核：不独立新增
V7.8：V7.8同名且源文件对应；Platform/Core/Elements.cs</x:v>
      </x:c>
      <x:c r="P127" s="136" t="str">
        <x:v>R3A_Core裁决</x:v>
      </x:c>
      <x:c r="Q127"/>
      <x:c r="R127"/>
      <x:c r="S127"/>
    </x:row>
    <x:row r="128" ht="72" customHeight="1">
      <x:c r="A128" s="179" t="str">
        <x:v>M02</x:v>
      </x:c>
      <x:c r="B128" s="180" t="str">
        <x:v>Definition与工程组织｜功能组织与复用
Reusable Components</x:v>
      </x:c>
      <x:c r="C128" s="180" t="str">
        <x:v>MRCGroupElementModel</x:v>
      </x:c>
      <x:c r="D128" s="179" t="str">
        <x:v>原有·待核</x:v>
      </x:c>
      <x:c r="E128" s="180" t="str">
        <x:v>Group是Element的具体组合类型</x:v>
      </x:c>
      <x:c r="F128" s="180" t="str">
        <x:v>Children；Transform；Style</x:v>
      </x:c>
      <x:c r="G128" s="180" t="str">
        <x:v>轻量视觉组合</x:v>
      </x:c>
      <x:c r="H128" s="180" t="str">
        <x:v>不为Group再维护一棵独立Owner树</x:v>
      </x:c>
      <x:c r="I128" s="180" t="str">
        <x:v>GroupElementModel</x:v>
      </x:c>
      <x:c r="J128" s="179" t="str">
        <x:v>sealed class</x:v>
      </x:c>
      <x:c r="K128" s="180" t="str">
        <x:v>V1.19 C-0161：原有；生命周期：Definition；约束：轻量视觉组合</x:v>
      </x:c>
      <x:c r="L128" s="183" t="str">
        <x:v>V7.8源码词法匹配，尚未验收</x:v>
      </x:c>
      <x:c r="M128" s="183" t="str">
        <x:v>M02.GroupElementModel</x:v>
      </x:c>
      <x:c r="N128" s="184" t="str">
        <x:v>Platform/Core/Elements.cs；Platform/Core/CxNodeOwnership.cs；Platform/Core/CxGroupOperations.cs</x:v>
      </x:c>
      <x:c r="O128" s="183" t="str">
        <x:v>R3A_Core裁决
V2.01：同名多条·待消歧；处置=暂无可信对应
V7.8：V7.8同名且源文件对应；Platform/Core/Elements.cs</x:v>
      </x:c>
      <x:c r="P128" s="136" t="str">
        <x:v>R3A_Core裁决</x:v>
      </x:c>
      <x:c r="Q128"/>
      <x:c r="R128"/>
      <x:c r="S128"/>
    </x:row>
    <x:row r="129" ht="72" customHeight="1">
      <x:c r="A129" s="179" t="str">
        <x:v>M02</x:v>
      </x:c>
      <x:c r="B129" s="180" t="str">
        <x:v>Definition与工程组织｜功能组织与复用
Reusable Components</x:v>
      </x:c>
      <x:c r="C129" s="180" t="str">
        <x:v>MRCIScopeResolver</x:v>
      </x:c>
      <x:c r="D129" s="179" t="str">
        <x:v>增构候选·待查重</x:v>
      </x:c>
      <x:c r="E129" s="180" t="str">
        <x:v>设计：作用域与公开契约</x:v>
      </x:c>
      <x:c r="F129" s="180" t="str">
        <x:v>FindPublicProperty</x:v>
      </x:c>
      <x:c r="G129" s="180" t="str">
        <x:v>草案: PropertyDescriptor FindPublicProperty(ContentDefinition content, string pro</x:v>
      </x:c>
      <x:c r="H129" s="180" t="str">
        <x:v>待逐对象核实</x:v>
      </x:c>
      <x:c r="I129" s="180" t="str">
        <x:v>IScopeResolver</x:v>
      </x:c>
      <x:c r="J129" s="179" t="str">
        <x:v>interface</x:v>
      </x:c>
      <x:c r="K129" s="180" t="str">
        <x:v>生命周期：需定案；审核：补充类型字典</x:v>
      </x:c>
      <x:c r="L129" s="183" t="str">
        <x:v>设计候选，尚待源码验证</x:v>
      </x:c>
      <x:c r="M129" s="183" t="str">
        <x:v>R3A.M02.IScopeResolver</x:v>
      </x:c>
      <x:c r="N129" s="184"/>
      <x:c r="O129" s="183" t="str">
        <x:v>补充类型字典
V2.01：未匹配V2.01；处置=暂无可信对应
V7.8：V7.8未检出同名词法声明</x:v>
      </x:c>
      <x:c r="P129" s="136" t="str">
        <x:v>补充类型字典</x:v>
      </x:c>
      <x:c r="Q129"/>
      <x:c r="R129"/>
      <x:c r="S129"/>
    </x:row>
    <x:row r="130" ht="72" customHeight="1">
      <x:c r="A130" s="179" t="str">
        <x:v>M02</x:v>
      </x:c>
      <x:c r="B130" s="180" t="str">
        <x:v>Definition与工程组织｜功能组织与复用
Reusable Components</x:v>
      </x:c>
      <x:c r="C130" s="180" t="str">
        <x:v>MRCISymbolInstanceResolver</x:v>
      </x:c>
      <x:c r="D130" s="179" t="str">
        <x:v>增构候选·待查重</x:v>
      </x:c>
      <x:c r="E130" s="180" t="str">
        <x:v>设计：Symbol定义与实例分离</x:v>
      </x:c>
      <x:c r="F130" s="180" t="str">
        <x:v>Resolve(reference,context)</x:v>
      </x:c>
      <x:c r="G130" s="180" t="str">
        <x:v>草案: CxSymbolInstanceView Resolve(SymbolReference reference, CxResolveContext co</x:v>
      </x:c>
      <x:c r="H130" s="180" t="str">
        <x:v>待逐对象核实</x:v>
      </x:c>
      <x:c r="I130" s="180" t="str">
        <x:v>ISymbolInstanceResolver</x:v>
      </x:c>
      <x:c r="J130" s="179" t="str">
        <x:v>interface</x:v>
      </x:c>
      <x:c r="K130" s="180" t="str">
        <x:v>生命周期：需定案；审核：补充类型字典</x:v>
      </x:c>
      <x:c r="L130" s="183" t="str">
        <x:v>设计候选，尚待源码验证</x:v>
      </x:c>
      <x:c r="M130" s="183" t="str">
        <x:v>R3A.M02.ISymbolInstanceResolver</x:v>
      </x:c>
      <x:c r="N130" s="184"/>
      <x:c r="O130" s="183" t="str">
        <x:v>补充类型字典
V2.01：未匹配V2.01；处置=暂无可信对应
V7.8：V7.8未检出同名词法声明</x:v>
      </x:c>
      <x:c r="P130" s="136" t="str">
        <x:v>补充类型字典</x:v>
      </x:c>
      <x:c r="Q130"/>
      <x:c r="R130"/>
      <x:c r="S130"/>
    </x:row>
    <x:row r="131" ht="72" customHeight="1">
      <x:c r="A131" s="179" t="str">
        <x:v>M02</x:v>
      </x:c>
      <x:c r="B131" s="180" t="str">
        <x:v>Definition与工程组织｜功能组织与复用
Reusable Components</x:v>
      </x:c>
      <x:c r="C131" s="180" t="str">
        <x:v>MRCPortMappingDefinition</x:v>
      </x:c>
      <x:c r="D131" s="179" t="str">
        <x:v>增构候选·待查重</x:v>
      </x:c>
      <x:c r="E131" s="180" t="str">
        <x:v>公开Port映射内部Endpoint</x:v>
      </x:c>
      <x:c r="F131" s="180" t="str">
        <x:v>PublicPortId；TargetObjectId；TargetKind；TargetKey；AdapterId</x:v>
      </x:c>
      <x:c r="G131" s="180" t="str">
        <x:v>公开Port映射内部Endpoint</x:v>
      </x:c>
      <x:c r="H131" s="180" t="str">
        <x:v>禁止隐含运行态或UI强依赖</x:v>
      </x:c>
      <x:c r="I131" s="180" t="str">
        <x:v>PortMappingDefinition</x:v>
      </x:c>
      <x:c r="J131" s="179" t="str">
        <x:v>sealed class</x:v>
      </x:c>
      <x:c r="K131" s="180" t="str">
        <x:v>生命周期：Definition；约束：公开Port映射内部Endpoint</x:v>
      </x:c>
      <x:c r="L131" s="183" t="str">
        <x:v>设计候选，尚待源码验证</x:v>
      </x:c>
      <x:c r="M131" s="183" t="str">
        <x:v>M02.PortMappingDefinition</x:v>
      </x:c>
      <x:c r="N131" s="184"/>
      <x:c r="O131" s="183" t="str">
        <x:v>R3A_Core裁决
V2.01：未匹配V2.01；处置=暂无可信对应
V7.8：V7.8未检出同名词法声明</x:v>
      </x:c>
      <x:c r="P131" s="136" t="str">
        <x:v>R3A_Core裁决</x:v>
      </x:c>
      <x:c r="Q131"/>
      <x:c r="R131"/>
      <x:c r="S131"/>
    </x:row>
    <x:row r="132" ht="72" customHeight="1">
      <x:c r="A132" s="179" t="str">
        <x:v>M02</x:v>
      </x:c>
      <x:c r="B132" s="180" t="str">
        <x:v>Definition与工程组织｜功能组织与复用
Reusable Components</x:v>
      </x:c>
      <x:c r="C132" s="180" t="str">
        <x:v>MRCPublicPropertyDefinition</x:v>
      </x:c>
      <x:c r="D132" s="179" t="str">
        <x:v>增构候选·待查重</x:v>
      </x:c>
      <x:c r="E132" s="180" t="str">
        <x:v>稳定公开属性</x:v>
      </x:c>
      <x:c r="F132" s="180" t="str">
        <x:v>Key；Type；Default；Mapping</x:v>
      </x:c>
      <x:c r="G132" s="180" t="str">
        <x:v>稳定公开属性</x:v>
      </x:c>
      <x:c r="H132" s="180" t="str">
        <x:v>禁止隐含运行态或UI强依赖</x:v>
      </x:c>
      <x:c r="I132" s="180" t="str">
        <x:v>PublicPropertyDefinition</x:v>
      </x:c>
      <x:c r="J132" s="179" t="str">
        <x:v>sealed class</x:v>
      </x:c>
      <x:c r="K132" s="180" t="str">
        <x:v>生命周期：Definition；约束：稳定公开属性</x:v>
      </x:c>
      <x:c r="L132" s="183" t="str">
        <x:v>设计候选，尚待源码验证</x:v>
      </x:c>
      <x:c r="M132" s="183" t="str">
        <x:v>M02.PublicPropertyDefinition</x:v>
      </x:c>
      <x:c r="N132" s="184"/>
      <x:c r="O132" s="183" t="str">
        <x:v>R3A_Core裁决
V2.01：未匹配V2.01；处置=暂无可信对应
V7.8：V7.8未检出同名词法声明</x:v>
      </x:c>
      <x:c r="P132" s="136" t="str">
        <x:v>R3A_Core裁决</x:v>
      </x:c>
      <x:c r="Q132"/>
      <x:c r="R132"/>
      <x:c r="S132"/>
    </x:row>
    <x:row r="133" ht="72" customHeight="1">
      <x:c r="A133" s="179" t="str">
        <x:v>M02</x:v>
      </x:c>
      <x:c r="B133" s="180" t="str">
        <x:v>Definition与工程组织｜功能组织与复用
Reusable Components</x:v>
      </x:c>
      <x:c r="C133" s="180" t="str">
        <x:v>MRCSymbolDefinition</x:v>
      </x:c>
      <x:c r="D133" s="179" t="str">
        <x:v>原有·待核</x:v>
      </x:c>
      <x:c r="E133" s="180" t="str">
        <x:v>Symbol定义及单个RootGroup</x:v>
      </x:c>
      <x:c r="F133" s="180" t="str">
        <x:v>RootGroup；PublicPorts；PublicProperties；States；public GroupElementModel RootGroup { get; }；草案: public GroupElementModel RootGroup { get; }</x:v>
      </x:c>
      <x:c r="G133" s="180" t="str">
        <x:v>复合视觉/语义模板</x:v>
      </x:c>
      <x:c r="H133" s="180" t="str">
        <x:v>实例位置/Override保存在SymbolReference，不回写定义</x:v>
      </x:c>
      <x:c r="I133" s="180" t="str">
        <x:v>SymbolDefinition</x:v>
      </x:c>
      <x:c r="J133" s="179" t="str">
        <x:v>sealed class</x:v>
      </x:c>
      <x:c r="K133" s="180" t="str">
        <x:v>V1.19 C-0170：原有；生命周期：Definition；约束：复合视觉/语义模板</x:v>
      </x:c>
      <x:c r="L133" s="183" t="str">
        <x:v>V7.8源码词法匹配，尚未验收</x:v>
      </x:c>
      <x:c r="M133" s="183" t="str">
        <x:v>M02.SymbolDefinition</x:v>
      </x:c>
      <x:c r="N133" s="184" t="str">
        <x:v>Platform/Core/Symbols.cs；Platform/Core/CxNodeOwnership.cs；Platform/Core/CxPublicContracts.cs；Platform/Core/CxDefinitionMappings.cs</x:v>
      </x:c>
      <x:c r="O133" s="183" t="str">
        <x:v>R3A_Core裁决
V2.01：同名多条·待消歧；处置=暂无可信对应
V7.8：V7.8同名且源文件对应；Platform/Core/Symbols.cs
归属优先核查：旧类型先做兼容适配；最终Symbol由Group承载，不再重复建立独立权威定义树；历史对象与最新Node/Ref模型存在迁移差异</x:v>
      </x:c>
      <x:c r="P133" s="136" t="str">
        <x:v>R3A_Core裁决</x:v>
      </x:c>
      <x:c r="Q133"/>
      <x:c r="R133"/>
      <x:c r="S133"/>
    </x:row>
    <x:row r="134" ht="72" customHeight="1">
      <x:c r="A134" s="179" t="str">
        <x:v>M02</x:v>
      </x:c>
      <x:c r="B134" s="180" t="str">
        <x:v>Definition与工程组织｜功能组织与复用
Reusable Components</x:v>
      </x:c>
      <x:c r="C134" s="180" t="str">
        <x:v>MRCSymbolReference</x:v>
      </x:c>
      <x:c r="D134" s="179" t="str">
        <x:v>原有·待核</x:v>
      </x:c>
      <x:c r="E134" s="180" t="str">
        <x:v>实例化Symbol</x:v>
      </x:c>
      <x:c r="F134" s="180" t="str">
        <x:v>TargetRef；Overrides；InstanceId；草案: public string TargetSymbolId { get; }；草案: public IReadOnlyList&lt;CxPropertyOverride&gt; Overrides { get; }</x:v>
      </x:c>
      <x:c r="G134" s="180" t="str">
        <x:v>实例化Symbol</x:v>
      </x:c>
      <x:c r="H134" s="180" t="str">
        <x:v>禁止隐含运行态或UI强依赖</x:v>
      </x:c>
      <x:c r="I134" s="180" t="str">
        <x:v>SymbolReference</x:v>
      </x:c>
      <x:c r="J134" s="179" t="str">
        <x:v>sealed class</x:v>
      </x:c>
      <x:c r="K134" s="180" t="str">
        <x:v>V1.19 C-0175：原有；生命周期：Definition；约束：实例化Symbol</x:v>
      </x:c>
      <x:c r="L134" s="183" t="str">
        <x:v>V7.8源码词法匹配，尚未验收</x:v>
      </x:c>
      <x:c r="M134" s="183" t="str">
        <x:v>M02.SymbolReference</x:v>
      </x:c>
      <x:c r="N134" s="184" t="str">
        <x:v>Platform/Core/UnifiedObjectModel.cs</x:v>
      </x:c>
      <x:c r="O134" s="183" t="str">
        <x:v>R3A_Core裁决
V2.01：同名多条·待消歧；处置=暂无可信对应
V7.8：V7.8同名且源文件对应；Platform/Core/UnifiedObjectModel.cs</x:v>
      </x:c>
      <x:c r="P134" s="136" t="str">
        <x:v>R3A_Core裁决</x:v>
      </x:c>
      <x:c r="Q134"/>
      <x:c r="R134"/>
      <x:c r="S134"/>
    </x:row>
    <x:row r="135" ht="72" customHeight="1">
      <x:c r="A135" s="179" t="str">
        <x:v>M02</x:v>
      </x:c>
      <x:c r="B135" s="180" t="str">
        <x:v>Definition与工程组织｜功能组织与复用
Reusable Components</x:v>
      </x:c>
      <x:c r="C135" s="180" t="str">
        <x:v>IMRCPortMappingDefinition</x:v>
      </x:c>
      <x:c r="D135" s="179" t="str">
        <x:v>增构候选·待查重</x:v>
      </x:c>
      <x:c r="E135" s="180" t="str">
        <x:v>公开Port映射内部Endpoint</x:v>
      </x:c>
      <x:c r="F135" s="180" t="str">
        <x:v>PublicPortId, TargetObjectId, TargetKind, TargetKey, AdapterId</x:v>
      </x:c>
      <x:c r="G135" s="180" t="str">
        <x:v>公开Port映射内部Endpoint</x:v>
      </x:c>
      <x:c r="H135" s="180" t="str">
        <x:v>—（待核）</x:v>
      </x:c>
      <x:c r="I135" s="180" t="str">
        <x:v>PortMappingDefinition</x:v>
      </x:c>
      <x:c r="J135" s="179" t="str">
        <x:v>接口（候选）</x:v>
      </x:c>
      <x:c r="K135" s="180" t="str">
        <x:v>V1.19 S-0242；原实施方式：增构候选。迁移风险：公开Port映射内部Endpoint</x:v>
      </x:c>
      <x:c r="L135" s="183" t="str">
        <x:v>V1.19设计候选·待核</x:v>
      </x:c>
      <x:c r="M135" s="183" t="str">
        <x:v>S-0242</x:v>
      </x:c>
      <x:c r="N135" s="184" t="str">
        <x:v>03_能力对象!C17</x:v>
      </x:c>
      <x:c r="O135" s="183" t="str">
        <x:v>V1.19旧规格候选
V2.01：来源ID对应；处置=规划独立契约候选·未批准新增
V7.8：V7.8未检出同名词法声明</x:v>
      </x:c>
      <x:c r="P135" s="136" t="str">
        <x:v>V1.19旧规格候选</x:v>
      </x:c>
      <x:c r="Q135"/>
      <x:c r="R135"/>
      <x:c r="S135"/>
    </x:row>
    <x:row r="136" ht="72" customHeight="1">
      <x:c r="A136" s="179" t="str">
        <x:v>M02</x:v>
      </x:c>
      <x:c r="B136" s="180" t="str">
        <x:v>Definition与工程组织｜功能组织与复用
Reusable Components</x:v>
      </x:c>
      <x:c r="C136" s="180" t="str">
        <x:v>IMRCPublicPropertyDefinition</x:v>
      </x:c>
      <x:c r="D136" s="179" t="str">
        <x:v>增构候选·待查重</x:v>
      </x:c>
      <x:c r="E136" s="180" t="str">
        <x:v>稳定公开属性</x:v>
      </x:c>
      <x:c r="F136" s="180" t="str">
        <x:v>Key, Type, Default, Mapping</x:v>
      </x:c>
      <x:c r="G136" s="180" t="str">
        <x:v>稳定公开属性</x:v>
      </x:c>
      <x:c r="H136" s="180" t="str">
        <x:v>—（待核）</x:v>
      </x:c>
      <x:c r="I136" s="180" t="str">
        <x:v>PublicPropertyDefinition</x:v>
      </x:c>
      <x:c r="J136" s="179" t="str">
        <x:v>接口（候选）</x:v>
      </x:c>
      <x:c r="K136" s="180" t="str">
        <x:v>V1.19 S-0243；原实施方式：增构候选。迁移风险：稳定公开属性</x:v>
      </x:c>
      <x:c r="L136" s="183" t="str">
        <x:v>V1.19设计候选·待核</x:v>
      </x:c>
      <x:c r="M136" s="183" t="str">
        <x:v>S-0243</x:v>
      </x:c>
      <x:c r="N136" s="184" t="str">
        <x:v>03_能力对象!C18</x:v>
      </x:c>
      <x:c r="O136" s="183" t="str">
        <x:v>V1.19旧规格候选
V2.01：来源ID对应；处置=规划独立契约候选·未批准新增
V7.8：V7.8未检出同名词法声明</x:v>
      </x:c>
      <x:c r="P136" s="136" t="str">
        <x:v>V1.19旧规格候选</x:v>
      </x:c>
      <x:c r="Q136"/>
      <x:c r="R136"/>
      <x:c r="S136"/>
    </x:row>
    <x:row r="137" ht="72" customHeight="1">
      <x:c r="A137" s="179" t="str">
        <x:v>M03</x:v>
      </x:c>
      <x:c r="B137" s="180" t="str">
        <x:v>Definition与工程组织｜Reference / Address / Index
Reference Index</x:v>
      </x:c>
      <x:c r="C137" s="180" t="str">
        <x:v>IMRIObjectLocator</x:v>
      </x:c>
      <x:c r="D137" s="179" t="str">
        <x:v>原有·待核</x:v>
      </x:c>
      <x:c r="E137" s="180" t="str">
        <x:v>约定ObjectLocator的操作入口、交互能力及调用方/实现方边界</x:v>
      </x:c>
      <x:c r="F137" s="180" t="str">
        <x:v>—（无公开声明或待核对）</x:v>
      </x:c>
      <x:c r="G137" s="180" t="str">
        <x:v>FindById(string elementId), FindByAlias(string alias), FindByRole(string role), FindByTag(string tag)</x:v>
      </x:c>
      <x:c r="H137" s="180" t="str">
        <x:v>—（待核）</x:v>
      </x:c>
      <x:c r="I137" s="180" t="str">
        <x:v>CxVisual.Core.IObjectLocator</x:v>
      </x:c>
      <x:c r="J137" s="179" t="str">
        <x:v>接口</x:v>
      </x:c>
      <x:c r="K137" s="180" t="str">
        <x:v>V1.19 C-0208；原实施方式：原有。迁移风险：约定ObjectLocator的操作入口、交互能力及调用方/实现方边界</x:v>
      </x:c>
      <x:c r="L137" s="183" t="str">
        <x:v>源代码声明·待复核</x:v>
      </x:c>
      <x:c r="M137" s="183" t="str">
        <x:v>C-0208</x:v>
      </x:c>
      <x:c r="N137" s="184" t="str">
        <x:v>Platform/Core/ProjectObjectIndex.cs</x:v>
      </x:c>
      <x:c r="O137" s="183" t="str">
        <x:v>V1.19旧源码类型（真实成员/实现仍待核）
V2.01：未匹配V2.01；处置=暂无可信对应
V7.8：V7.8同名且源文件对应；Platform/Core/ProjectObjectIndex.cs</x:v>
      </x:c>
      <x:c r="P137" s="136" t="str">
        <x:v>V1.19旧源码类型（真实成员/实现仍待核）</x:v>
      </x:c>
      <x:c r="Q137"/>
      <x:c r="R137"/>
      <x:c r="S137"/>
    </x:row>
    <x:row r="138" ht="72" customHeight="1">
      <x:c r="A138" s="179" t="str">
        <x:v>M03</x:v>
      </x:c>
      <x:c r="B138" s="180" t="str">
        <x:v>Definition与工程组织｜Reference / Address / Index
Reference Index</x:v>
      </x:c>
      <x:c r="C138" s="180" t="str">
        <x:v>MRICxNodeAddress</x:v>
      </x:c>
      <x:c r="D138" s="179" t="str">
        <x:v>原有·待核</x:v>
      </x:c>
      <x:c r="E138" s="180" t="str">
        <x:v>负责节点Address相关的稳定地址与公共契约管理</x:v>
      </x:c>
      <x:c r="F138" s="180" t="str">
        <x:v>NodeId, ProjectId, PageId, NodeIds, InstanceScope, Path</x:v>
      </x:c>
      <x:c r="G138" s="180" t="str">
        <x:v>CxNodeAddress(CxNode node), Parse(string path), FromSerialized(string path, string pageId, string instanceScope), TryParse(string path, out CxNodeAddress result), Combine(string nodeId), Parent(), Resolve(ProjectModel project), ToString()</x:v>
      </x:c>
      <x:c r="H138" s="180" t="str">
        <x:v>—（待核）</x:v>
      </x:c>
      <x:c r="I138" s="180" t="str">
        <x:v>CxVisual.Core.CxNodeAddress</x:v>
      </x:c>
      <x:c r="J138" s="179" t="str">
        <x:v>类</x:v>
      </x:c>
      <x:c r="K138" s="180" t="str">
        <x:v>V1.19 C-0187；原实施方式：原有。迁移风险：负责节点Address相关的稳定地址与公共契约管理</x:v>
      </x:c>
      <x:c r="L138" s="183" t="str">
        <x:v>源代码声明·待复核</x:v>
      </x:c>
      <x:c r="M138" s="183" t="str">
        <x:v>C-0187</x:v>
      </x:c>
      <x:c r="N138" s="184" t="str">
        <x:v>Platform/Core/CxNodeAddress.cs</x:v>
      </x:c>
      <x:c r="O138" s="183" t="str">
        <x:v>V1.19旧源码类型（真实成员/实现仍待核）
V2.01：未匹配V2.01；处置=暂无可信对应
V7.8：V7.8同名且源文件对应；Platform/Core/CxNodeAddress.cs</x:v>
      </x:c>
      <x:c r="P138" s="136" t="str">
        <x:v>V1.19旧源码类型（真实成员/实现仍待核）</x:v>
      </x:c>
      <x:c r="Q138"/>
      <x:c r="R138"/>
      <x:c r="S138"/>
    </x:row>
    <x:row r="139" ht="72" customHeight="1">
      <x:c r="A139" s="179" t="str">
        <x:v>M03</x:v>
      </x:c>
      <x:c r="B139" s="180" t="str">
        <x:v>Definition与工程组织｜Reference / Address / Index
Reference Index</x:v>
      </x:c>
      <x:c r="C139" s="180" t="str">
        <x:v>MRICxNodeAddressJsonConverter</x:v>
      </x:c>
      <x:c r="D139" s="179" t="str">
        <x:v>原有·待核</x:v>
      </x:c>
      <x:c r="E139" s="180" t="str">
        <x:v>实现节点AddressJsonConverter表示之间的转换，处理格式兼容性</x:v>
      </x:c>
      <x:c r="F139" s="180" t="str">
        <x:v>—（无公开声明或待核对）</x:v>
      </x:c>
      <x:c r="G139" s="180" t="str">
        <x:v>CanConvert(Type type), WriteJson(JsonWriter writer, object value, JsonSerializer serializer), ReadJson(JsonReader reader, Type type, object existingValue, JsonSerializer serializer)</x:v>
      </x:c>
      <x:c r="H139" s="180" t="str">
        <x:v>—（待核）</x:v>
      </x:c>
      <x:c r="I139" s="180" t="str">
        <x:v>CxVisual.Core.CxNodeAddressJsonConverter</x:v>
      </x:c>
      <x:c r="J139" s="179" t="str">
        <x:v>类</x:v>
      </x:c>
      <x:c r="K139" s="180" t="str">
        <x:v>V1.19 C-0188；原实施方式：原有。迁移风险：实现节点AddressJsonConverter表示之间的转换，处理格式兼容性</x:v>
      </x:c>
      <x:c r="L139" s="183" t="str">
        <x:v>源代码声明·待复核</x:v>
      </x:c>
      <x:c r="M139" s="183" t="str">
        <x:v>C-0188</x:v>
      </x:c>
      <x:c r="N139" s="184" t="str">
        <x:v>Platform/Core/CxNodeAddressJsonConverter.cs</x:v>
      </x:c>
      <x:c r="O139" s="183" t="str">
        <x:v>V1.19旧源码类型（真实成员/实现仍待核）
V2.01：未匹配V2.01；处置=暂无可信对应
V7.8：V7.8同名且源文件对应；Platform/Core/CxNodeAddressJsonConverter.cs</x:v>
      </x:c>
      <x:c r="P139" s="136" t="str">
        <x:v>V1.19旧源码类型（真实成员/实现仍待核）</x:v>
      </x:c>
      <x:c r="Q139"/>
      <x:c r="R139"/>
      <x:c r="S139"/>
    </x:row>
    <x:row r="140" ht="72" customHeight="1">
      <x:c r="A140" s="179" t="str">
        <x:v>M03</x:v>
      </x:c>
      <x:c r="B140" s="180" t="str">
        <x:v>Definition与工程组织｜Reference / Address / Index
Reference Index</x:v>
      </x:c>
      <x:c r="C140" s="180" t="str">
        <x:v>MRICxNodeIterator</x:v>
      </x:c>
      <x:c r="D140" s="179" t="str">
        <x:v>原有·待核</x:v>
      </x:c>
      <x:c r="E140" s="180" t="str">
        <x:v>负责节点Iterator相关的顺序遍历与公共契约管理</x:v>
      </x:c>
      <x:c r="F140" s="180" t="str">
        <x:v>Root, Filter, CurrentNode, Current</x:v>
      </x:c>
      <x:c r="G140" s="180" t="str">
        <x:v>CxNodeIterator(CxNode root, Func&lt;CxNode, bool&gt; filter = null), NextNode(), PreviousNode(), Rewind(), Reset()</x:v>
      </x:c>
      <x:c r="H140" s="180" t="str">
        <x:v>—（待核）</x:v>
      </x:c>
      <x:c r="I140" s="180" t="str">
        <x:v>CxVisual.Core.CxNodeIterator</x:v>
      </x:c>
      <x:c r="J140" s="179" t="str">
        <x:v>类</x:v>
      </x:c>
      <x:c r="K140" s="180" t="str">
        <x:v>V1.19 C-0189；原实施方式：原有。迁移风险：负责节点Iterator相关的顺序遍历与公共契约管理</x:v>
      </x:c>
      <x:c r="L140" s="183" t="str">
        <x:v>源代码声明·待复核</x:v>
      </x:c>
      <x:c r="M140" s="183" t="str">
        <x:v>C-0189</x:v>
      </x:c>
      <x:c r="N140" s="184" t="str">
        <x:v>Platform/Core/CxNodeIterator.cs</x:v>
      </x:c>
      <x:c r="O140" s="183" t="str">
        <x:v>V1.19旧源码类型（真实成员/实现仍待核）
V2.01：未匹配V2.01；处置=暂无可信对应
V7.8：V7.8同名且源文件对应；Platform/Core/CxNodeIterator.cs</x:v>
      </x:c>
      <x:c r="P140" s="136" t="str">
        <x:v>V1.19旧源码类型（真实成员/实现仍待核）</x:v>
      </x:c>
      <x:c r="Q140"/>
      <x:c r="R140"/>
      <x:c r="S140"/>
    </x:row>
    <x:row r="141" ht="72" customHeight="1">
      <x:c r="A141" s="179" t="str">
        <x:v>M03</x:v>
      </x:c>
      <x:c r="B141" s="180" t="str">
        <x:v>Definition与工程组织｜Reference / Address / Index
Reference Index</x:v>
      </x:c>
      <x:c r="C141" s="180" t="str">
        <x:v>MRICxNodePath</x:v>
      </x:c>
      <x:c r="D141" s="179" t="str">
        <x:v>原有·待核</x:v>
      </x:c>
      <x:c r="E141" s="180" t="str">
        <x:v>负责节点路径相关的人类可读 Path与公共契约管理</x:v>
      </x:c>
      <x:c r="F141" s="180" t="str">
        <x:v>Segments</x:v>
      </x:c>
      <x:c r="G141" s="180" t="str">
        <x:v>FromSegments(IEnumerable&lt;string&gt; segments), Parse(string path), TryParse(string path, out CxNodePath result), Combine(string nodeId), Parent(), Normalize(), ToString()</x:v>
      </x:c>
      <x:c r="H141" s="180" t="str">
        <x:v>—（待核）</x:v>
      </x:c>
      <x:c r="I141" s="180" t="str">
        <x:v>CxVisual.Core.CxNodePath</x:v>
      </x:c>
      <x:c r="J141" s="179" t="str">
        <x:v>类</x:v>
      </x:c>
      <x:c r="K141" s="180" t="str">
        <x:v>V1.19 C-0190；原实施方式：原有。迁移风险：负责节点路径相关的人类可读 Path与公共契约管理</x:v>
      </x:c>
      <x:c r="L141" s="183" t="str">
        <x:v>源代码声明·待复核</x:v>
      </x:c>
      <x:c r="M141" s="183" t="str">
        <x:v>C-0190</x:v>
      </x:c>
      <x:c r="N141" s="184" t="str">
        <x:v>Platform/Core/CxNodePath.cs</x:v>
      </x:c>
      <x:c r="O141" s="183" t="str">
        <x:v>V1.19旧源码类型（真实成员/实现仍待核）
V2.01：未匹配V2.01；处置=暂无可信对应
V7.8：V7.8同名且源文件对应；Platform/Core/CxNodePath.cs</x:v>
      </x:c>
      <x:c r="P141" s="136" t="str">
        <x:v>V1.19旧源码类型（真实成员/实现仍待核）</x:v>
      </x:c>
      <x:c r="Q141"/>
      <x:c r="R141"/>
      <x:c r="S141"/>
    </x:row>
    <x:row r="142" ht="72" customHeight="1">
      <x:c r="A142" s="179" t="str">
        <x:v>M03</x:v>
      </x:c>
      <x:c r="B142" s="180" t="str">
        <x:v>Definition与工程组织｜Reference / Address / Index
Reference Index</x:v>
      </x:c>
      <x:c r="C142" s="180" t="str">
        <x:v>MRICxNodeQuery</x:v>
      </x:c>
      <x:c r="D142" s="179" t="str">
        <x:v>原有·待核</x:v>
      </x:c>
      <x:c r="E142" s="180" t="str">
        <x:v>负责节点Query相关的强类型查询与公共契约管理</x:v>
      </x:c>
      <x:c r="F142" s="180" t="str">
        <x:v>NodeType, Name, Role, Tag, Predicate</x:v>
      </x:c>
      <x:c r="G142" s="180" t="str">
        <x:v>Match(CxNode node)</x:v>
      </x:c>
      <x:c r="H142" s="180" t="str">
        <x:v>—（待核）</x:v>
      </x:c>
      <x:c r="I142" s="180" t="str">
        <x:v>CxVisual.Core.CxNodeQuery</x:v>
      </x:c>
      <x:c r="J142" s="179" t="str">
        <x:v>类</x:v>
      </x:c>
      <x:c r="K142" s="180" t="str">
        <x:v>V1.19 C-0191；原实施方式：原有。迁移风险：负责节点Query相关的强类型查询与公共契约管理</x:v>
      </x:c>
      <x:c r="L142" s="183" t="str">
        <x:v>源代码声明·待复核</x:v>
      </x:c>
      <x:c r="M142" s="183" t="str">
        <x:v>C-0191</x:v>
      </x:c>
      <x:c r="N142" s="184" t="str">
        <x:v>Platform/Core/CxNodeQuery.cs</x:v>
      </x:c>
      <x:c r="O142" s="183" t="str">
        <x:v>V1.19旧源码类型（真实成员/实现仍待核）
V2.01：未匹配V2.01；处置=暂无可信对应
V7.8：V7.8同名且源文件对应；Platform/Core/CxNodeQuery.cs</x:v>
      </x:c>
      <x:c r="P142" s="136" t="str">
        <x:v>V1.19旧源码类型（真实成员/实现仍待核）</x:v>
      </x:c>
      <x:c r="Q142"/>
      <x:c r="R142"/>
      <x:c r="S142"/>
    </x:row>
    <x:row r="143" ht="72" customHeight="1">
      <x:c r="A143" s="179" t="str">
        <x:v>M03</x:v>
      </x:c>
      <x:c r="B143" s="180" t="str">
        <x:v>Definition与工程组织｜Reference / Address / Index
Reference Index</x:v>
      </x:c>
      <x:c r="C143" s="180" t="str">
        <x:v>MRICxObjectIndex</x:v>
      </x:c>
      <x:c r="D143" s="179" t="str">
        <x:v>原有·待核</x:v>
      </x:c>
      <x:c r="E143" s="180" t="str">
        <x:v>负责Object索引相关的索引基类与公共契约管理</x:v>
      </x:c>
      <x:c r="F143" s="180" t="str">
        <x:v>Root, ById, ByName, ByType, ByRole, ByTag</x:v>
      </x:c>
      <x:c r="G143" s="180" t="str">
        <x:v>Build(CxNode root), Add(CxNode node), Remove(CxNode node), Move(CxNode node), Refresh(CxNode node), FindById(string id), FindAllById(string id), FindByName(string name), FindByType(CxNodeType type), FindByRole(string role), FindByTag(string tag)</x:v>
      </x:c>
      <x:c r="H143" s="180" t="str">
        <x:v>—（待核）</x:v>
      </x:c>
      <x:c r="I143" s="180" t="str">
        <x:v>CxVisual.Core.CxObjectIndex</x:v>
      </x:c>
      <x:c r="J143" s="179" t="str">
        <x:v>类</x:v>
      </x:c>
      <x:c r="K143" s="180" t="str">
        <x:v>V1.19 C-0192；原实施方式：原有。迁移风险：负责Object索引相关的索引基类与公共契约管理</x:v>
      </x:c>
      <x:c r="L143" s="183" t="str">
        <x:v>源代码声明·待复核</x:v>
      </x:c>
      <x:c r="M143" s="183" t="str">
        <x:v>C-0192</x:v>
      </x:c>
      <x:c r="N143" s="184" t="str">
        <x:v>Platform/Core/CxObjectIndex.cs</x:v>
      </x:c>
      <x:c r="O143" s="183" t="str">
        <x:v>V1.19旧源码类型（真实成员/实现仍待核）
V2.01：未匹配V2.01；处置=暂无可信对应
V7.8：V7.8同名且源文件对应；Platform/Core/CxObjectIndex.cs</x:v>
      </x:c>
      <x:c r="P143" s="136" t="str">
        <x:v>V1.19旧源码类型（真实成员/实现仍待核）</x:v>
      </x:c>
      <x:c r="Q143"/>
      <x:c r="R143"/>
      <x:c r="S143"/>
    </x:row>
    <x:row r="144" ht="72" customHeight="1">
      <x:c r="A144" s="179" t="str">
        <x:v>M03</x:v>
      </x:c>
      <x:c r="B144" s="180" t="str">
        <x:v>Definition与工程组织｜Reference / Address / Index
Reference Index</x:v>
      </x:c>
      <x:c r="C144" s="180" t="str">
        <x:v>MRICxPageReferenceInspector</x:v>
      </x:c>
      <x:c r="D144" s="179" t="str">
        <x:v>原有·待核</x:v>
      </x:c>
      <x:c r="E144" s="180" t="str">
        <x:v>提供页面引用Inspector相关基础操作或类型辅助处理</x:v>
      </x:c>
      <x:c r="F144" s="180" t="str">
        <x:v>—（无公开声明或待核对）</x:v>
      </x:c>
      <x:c r="G144" s="180" t="str">
        <x:v>FindReferences(ProjectModel project, string pageId)</x:v>
      </x:c>
      <x:c r="H144" s="180" t="str">
        <x:v>—（待核）</x:v>
      </x:c>
      <x:c r="I144" s="180" t="str">
        <x:v>CxVisual.Core.CxPageReferenceInspector</x:v>
      </x:c>
      <x:c r="J144" s="179" t="str">
        <x:v>静态类</x:v>
      </x:c>
      <x:c r="K144" s="180" t="str">
        <x:v>V1.19 C-0193；原实施方式：原有。迁移风险：提供页面引用Inspector相关基础操作或类型辅助处理</x:v>
      </x:c>
      <x:c r="L144" s="183" t="str">
        <x:v>源代码声明·待复核</x:v>
      </x:c>
      <x:c r="M144" s="183" t="str">
        <x:v>C-0193</x:v>
      </x:c>
      <x:c r="N144" s="184" t="str">
        <x:v>Platform/Core/CxPageReferenceInspector.cs</x:v>
      </x:c>
      <x:c r="O144" s="183" t="str">
        <x:v>V1.19旧源码类型（真实成员/实现仍待核）
V2.01：来源ID对应；处置=保留源码·公开契约复核
V7.8：V7.8同名且源文件对应；Platform/Core/CxPageReferenceInspector.cs</x:v>
      </x:c>
      <x:c r="P144" s="136" t="str">
        <x:v>V1.19旧源码类型（真实成员/实现仍待核）</x:v>
      </x:c>
      <x:c r="Q144"/>
      <x:c r="R144"/>
      <x:c r="S144"/>
    </x:row>
    <x:row r="145" ht="72" customHeight="1">
      <x:c r="A145" s="179" t="str">
        <x:v>M03</x:v>
      </x:c>
      <x:c r="B145" s="180" t="str">
        <x:v>Definition与工程组织｜Reference / Address / Index
Reference Index</x:v>
      </x:c>
      <x:c r="C145" s="180" t="str">
        <x:v>MRICxReference</x:v>
      </x:c>
      <x:c r="D145" s="179" t="str">
        <x:v>原有·待核</x:v>
      </x:c>
      <x:c r="E145" s="180" t="str">
        <x:v>表达对其他工程对象的稳定身份引用，不转移所有权</x:v>
      </x:c>
      <x:c r="F145" s="180" t="str">
        <x:v>Id, Name, TargetId, ReferenceKind, Kind, TargetPath, TargetType, Required, VersionBinding</x:v>
      </x:c>
      <x:c r="G145" s="180" t="str">
        <x:v>Validate(ProjectModel project = null)</x:v>
      </x:c>
      <x:c r="H145" s="180" t="str">
        <x:v>—（待核）</x:v>
      </x:c>
      <x:c r="I145" s="180" t="str">
        <x:v>CxVisual.Core.CxReference</x:v>
      </x:c>
      <x:c r="J145" s="179" t="str">
        <x:v>类</x:v>
      </x:c>
      <x:c r="K145" s="180" t="str">
        <x:v>V1.19 C-0194；原实施方式：原有。迁移风险：表达对其他工程对象的稳定身份引用，不转移所有权</x:v>
      </x:c>
      <x:c r="L145" s="183" t="str">
        <x:v>源代码声明·待复核</x:v>
      </x:c>
      <x:c r="M145" s="183" t="str">
        <x:v>C-0194</x:v>
      </x:c>
      <x:c r="N145" s="184" t="str">
        <x:v>Platform/Core/CxNodeReferences.cs</x:v>
      </x:c>
      <x:c r="O145" s="183" t="str">
        <x:v>V1.19旧源码类型（真实成员/实现仍待核）
V2.01：未匹配V2.01；处置=暂无可信对应
V7.8：V7.8同名且源文件对应；Platform/Core/CxNodeReferences.cs</x:v>
      </x:c>
      <x:c r="P145" s="136" t="str">
        <x:v>V1.19旧源码类型（真实成员/实现仍待核）</x:v>
      </x:c>
      <x:c r="Q145"/>
      <x:c r="R145"/>
      <x:c r="S145"/>
    </x:row>
    <x:row r="146" ht="72" customHeight="1">
      <x:c r="A146" s="179" t="str">
        <x:v>M03</x:v>
      </x:c>
      <x:c r="B146" s="180" t="str">
        <x:v>Definition与工程组织｜Reference / Address / Index
Reference Index</x:v>
      </x:c>
      <x:c r="C146" s="180" t="str">
        <x:v>MRICxReferenceCollection</x:v>
      </x:c>
      <x:c r="D146" s="179" t="str">
        <x:v>原有·待核</x:v>
      </x:c>
      <x:c r="E146" s="180" t="str">
        <x:v>负责引用Collection相关的引用集合与公共契约管理</x:v>
      </x:c>
      <x:c r="F146" s="180" t="str">
        <x:v>Count, this</x:v>
      </x:c>
      <x:c r="G146" s="180" t="str">
        <x:v>CxReferenceCollection(CxNode owner), Find(string id), Add(CxReference reference), Remove(string id), Remove(CxReference reference), ResolveAll(ProjectModel project), GetEnumerator()</x:v>
      </x:c>
      <x:c r="H146" s="180" t="str">
        <x:v>—（待核）</x:v>
      </x:c>
      <x:c r="I146" s="180" t="str">
        <x:v>CxVisual.Core.CxReferenceCollection</x:v>
      </x:c>
      <x:c r="J146" s="179" t="str">
        <x:v>类</x:v>
      </x:c>
      <x:c r="K146" s="180" t="str">
        <x:v>V1.19 C-0195；原实施方式：原有。迁移风险：负责引用Collection相关的引用集合与公共契约管理</x:v>
      </x:c>
      <x:c r="L146" s="183" t="str">
        <x:v>源代码声明·待复核</x:v>
      </x:c>
      <x:c r="M146" s="183" t="str">
        <x:v>C-0195</x:v>
      </x:c>
      <x:c r="N146" s="184" t="str">
        <x:v>Platform/Core/CxNodeReferences.cs</x:v>
      </x:c>
      <x:c r="O146" s="183" t="str">
        <x:v>V1.19旧源码类型（真实成员/实现仍待核）
V2.01：未匹配V2.01；处置=暂无可信对应
V7.8：V7.8同名且源文件对应；Platform/Core/CxNodeReferences.cs</x:v>
      </x:c>
      <x:c r="P146" s="136" t="str">
        <x:v>V1.19旧源码类型（真实成员/实现仍待核）</x:v>
      </x:c>
      <x:c r="Q146"/>
      <x:c r="R146"/>
      <x:c r="S146"/>
    </x:row>
    <x:row r="147" ht="72" customHeight="1">
      <x:c r="A147" s="179" t="str">
        <x:v>M03</x:v>
      </x:c>
      <x:c r="B147" s="180" t="str">
        <x:v>Definition与工程组织｜Reference / Address / Index
Reference Index</x:v>
      </x:c>
      <x:c r="C147" s="180" t="str">
        <x:v>MRICxReferenceIssue</x:v>
      </x:c>
      <x:c r="D147" s="179" t="str">
        <x:v>原有·待核</x:v>
      </x:c>
      <x:c r="E147" s="180" t="str">
        <x:v>负责引用Issue相关的引用错误与公共契约管理</x:v>
      </x:c>
      <x:c r="F147" s="180" t="str">
        <x:v>Reference, Severity, Code, Message, SourceId, TargetId</x:v>
      </x:c>
      <x:c r="G147" s="180" t="str">
        <x:v>—(无公开声明或待核对)</x:v>
      </x:c>
      <x:c r="H147" s="180" t="str">
        <x:v>—（待核）</x:v>
      </x:c>
      <x:c r="I147" s="180" t="str">
        <x:v>CxVisual.Core.CxReferenceIssue</x:v>
      </x:c>
      <x:c r="J147" s="179" t="str">
        <x:v>类</x:v>
      </x:c>
      <x:c r="K147" s="180" t="str">
        <x:v>V1.19 C-0196；原实施方式：原有。迁移风险：负责引用Issue相关的引用错误与公共契约管理</x:v>
      </x:c>
      <x:c r="L147" s="183" t="str">
        <x:v>源代码声明·待复核</x:v>
      </x:c>
      <x:c r="M147" s="183" t="str">
        <x:v>C-0196</x:v>
      </x:c>
      <x:c r="N147" s="184" t="str">
        <x:v>Platform/Core/CxNodeReferences.cs</x:v>
      </x:c>
      <x:c r="O147" s="183" t="str">
        <x:v>V1.19旧源码类型（真实成员/实现仍待核）
V2.01：未匹配V2.01；处置=暂无可信对应
V7.8：V7.8同名且源文件对应；Platform/Core/CxNodeReferences.cs</x:v>
      </x:c>
      <x:c r="P147" s="136" t="str">
        <x:v>V1.19旧源码类型（真实成员/实现仍待核）</x:v>
      </x:c>
    </x:row>
    <x:row r="148" ht="72" customHeight="1">
      <x:c r="A148" s="179" t="str">
        <x:v>M03</x:v>
      </x:c>
      <x:c r="B148" s="180" t="str">
        <x:v>Definition与工程组织｜Reference / Address / Index
Reference Index</x:v>
      </x:c>
      <x:c r="C148" s="180" t="str">
        <x:v>MRICxReferenceKind</x:v>
      </x:c>
      <x:c r="D148" s="179" t="str">
        <x:v>原有·待核</x:v>
      </x:c>
      <x:c r="E148" s="180" t="str">
        <x:v>定义引用Kind的候选取值、状态或模式，供相关流程作分支判断</x:v>
      </x:c>
      <x:c r="F148" s="180" t="str">
        <x:v>枚举值：Content, Symbol, Variable, Resource</x:v>
      </x:c>
      <x:c r="G148" s="180" t="str">
        <x:v>—(无公开声明或待核对)</x:v>
      </x:c>
      <x:c r="H148" s="180" t="str">
        <x:v>—（待核）</x:v>
      </x:c>
      <x:c r="I148" s="180" t="str">
        <x:v>CxVisual.Core.CxReferenceKind</x:v>
      </x:c>
      <x:c r="J148" s="179" t="str">
        <x:v>枚举</x:v>
      </x:c>
      <x:c r="K148" s="180" t="str">
        <x:v>V1.19 C-0197；原实施方式：原有。迁移风险：定义引用Kind的候选取值、状态或模式，供相关流程作分支判断</x:v>
      </x:c>
      <x:c r="L148" s="183" t="str">
        <x:v>源代码声明·待复核</x:v>
      </x:c>
      <x:c r="M148" s="183" t="str">
        <x:v>C-0197</x:v>
      </x:c>
      <x:c r="N148" s="184" t="str">
        <x:v>Platform/Core/CxNodeReferences.cs</x:v>
      </x:c>
      <x:c r="O148" s="183" t="str">
        <x:v>V1.19旧源码类型（真实成员/实现仍待核）
V2.01：未匹配V2.01；处置=暂无可信对应
V7.8：V7.8同名且源文件对应；Platform/Core/CxNodeReferences.cs</x:v>
      </x:c>
      <x:c r="P148" s="136" t="str">
        <x:v>V1.19旧源码类型（真实成员/实现仍待核）</x:v>
      </x:c>
    </x:row>
    <x:row r="149" ht="72" customHeight="1">
      <x:c r="A149" s="179" t="str">
        <x:v>M03</x:v>
      </x:c>
      <x:c r="B149" s="180" t="str">
        <x:v>Definition与工程组织｜Reference / Address / Index
Reference Index</x:v>
      </x:c>
      <x:c r="C149" s="180" t="str">
        <x:v>MRICxReferenceResolver</x:v>
      </x:c>
      <x:c r="D149" s="179" t="str">
        <x:v>原有·待核</x:v>
      </x:c>
      <x:c r="E149" s="180" t="str">
        <x:v>负责引用Resolver相关的引用解析与公共契约管理</x:v>
      </x:c>
      <x:c r="F149" s="180" t="str">
        <x:v>Project, Index</x:v>
      </x:c>
      <x:c r="G149" s="180" t="str">
        <x:v>CxReferenceResolver(ProjectModel project = null), Resolve(CxReference reference), Resolve(ProjectModel project, CxReference reference), ValidateTarget(ProjectModel project, CxReference reference), ResolveAll(ProjectModel project), DetectCycles(ProjectModel project), DetectCycles(), ExplainFailure(CxReferenceIssue issue)</x:v>
      </x:c>
      <x:c r="H149" s="180" t="str">
        <x:v>—（待核）</x:v>
      </x:c>
      <x:c r="I149" s="180" t="str">
        <x:v>CxVisual.Core.CxReferenceResolver</x:v>
      </x:c>
      <x:c r="J149" s="179" t="str">
        <x:v>类</x:v>
      </x:c>
      <x:c r="K149" s="180" t="str">
        <x:v>V1.19 C-0198；原实施方式：原有。迁移风险：负责引用Resolver相关的引用解析与公共契约管理</x:v>
      </x:c>
      <x:c r="L149" s="183" t="str">
        <x:v>源代码声明·待复核</x:v>
      </x:c>
      <x:c r="M149" s="183" t="str">
        <x:v>C-0198</x:v>
      </x:c>
      <x:c r="N149" s="184" t="str">
        <x:v>Platform/Core/CxNodeReferences.cs</x:v>
      </x:c>
      <x:c r="O149" s="183" t="str">
        <x:v>V1.19旧源码类型（真实成员/实现仍待核）
V2.01：未匹配V2.01；处置=暂无可信对应
V7.8：V7.8同名且源文件对应；Platform/Core/CxNodeReferences.cs</x:v>
      </x:c>
      <x:c r="P149" s="136" t="str">
        <x:v>V1.19旧源码类型（真实成员/实现仍待核）</x:v>
      </x:c>
    </x:row>
    <x:row r="150" ht="72" customHeight="1">
      <x:c r="A150" s="179" t="str">
        <x:v>M03</x:v>
      </x:c>
      <x:c r="B150" s="180" t="str">
        <x:v>Definition与工程组织｜Reference / Address / Index
Reference Index</x:v>
      </x:c>
      <x:c r="C150" s="180" t="str">
        <x:v>MRICxResourceRef</x:v>
      </x:c>
      <x:c r="D150" s="179" t="str">
        <x:v>原有·待核</x:v>
      </x:c>
      <x:c r="E150" s="180" t="str">
        <x:v>ResourceRef</x:v>
      </x:c>
      <x:c r="F150" s="180" t="str">
        <x:v>Id, Name, TargetId, ReferenceKind, ResourceType, RequiredCapability, PlacementConstraint</x:v>
      </x:c>
      <x:c r="G150" s="180" t="str">
        <x:v>CxResourceRef(), ResolveResource(CxResourceRegistry registry), ResolveResource(ProjectModel project), Validate(ProjectModel project = null), ValidateResource(CxResourceRegistry registry)</x:v>
      </x:c>
      <x:c r="H150" s="180" t="str">
        <x:v>—（待核）</x:v>
      </x:c>
      <x:c r="I150" s="180" t="str">
        <x:v>CxVisual.Core.CxResourceRef</x:v>
      </x:c>
      <x:c r="J150" s="179" t="str">
        <x:v>类</x:v>
      </x:c>
      <x:c r="K150" s="180" t="str">
        <x:v>V1.19 C-0199；原实施方式：原有。迁移风险：ResourceRef</x:v>
      </x:c>
      <x:c r="L150" s="183" t="str">
        <x:v>源代码声明·待复核</x:v>
      </x:c>
      <x:c r="M150" s="183" t="str">
        <x:v>C-0199</x:v>
      </x:c>
      <x:c r="N150" s="184" t="str">
        <x:v>Platform/Core/CxNodeReferences.cs</x:v>
      </x:c>
      <x:c r="O150" s="183" t="str">
        <x:v>V1.19旧源码类型（真实成员/实现仍待核）
V2.01：未匹配V2.01；处置=暂无可信对应
V7.8：V7.8同名且源文件对应；Platform/Core/CxNodeReferences.cs</x:v>
      </x:c>
      <x:c r="P150" s="136" t="str">
        <x:v>V1.19旧源码类型（真实成员/实现仍待核）</x:v>
      </x:c>
    </x:row>
    <x:row r="151" ht="72" customHeight="1">
      <x:c r="A151" s="179" t="str">
        <x:v>M03</x:v>
      </x:c>
      <x:c r="B151" s="180" t="str">
        <x:v>Definition与工程组织｜Reference / Address / Index
Reference Index</x:v>
      </x:c>
      <x:c r="C151" s="180" t="str">
        <x:v>MRICxSelector</x:v>
      </x:c>
      <x:c r="D151" s="179" t="str">
        <x:v>原有·待核</x:v>
      </x:c>
      <x:c r="E151" s="180" t="str">
        <x:v>CSS-like Selector</x:v>
      </x:c>
      <x:c r="F151" s="180" t="str">
        <x:v>Expression, Ast</x:v>
      </x:c>
      <x:c r="G151" s="180" t="str">
        <x:v>Parse(string expression), Match(CxNode node), Select(CxNode root), SelectFirst(CxNode root)</x:v>
      </x:c>
      <x:c r="H151" s="180" t="str">
        <x:v>—（待核）</x:v>
      </x:c>
      <x:c r="I151" s="180" t="str">
        <x:v>CxVisual.Core.CxSelector</x:v>
      </x:c>
      <x:c r="J151" s="179" t="str">
        <x:v>类</x:v>
      </x:c>
      <x:c r="K151" s="180" t="str">
        <x:v>V1.19 C-0200；原实施方式：原有。迁移风险：CSS-like Selector</x:v>
      </x:c>
      <x:c r="L151" s="183" t="str">
        <x:v>源代码声明·待复核</x:v>
      </x:c>
      <x:c r="M151" s="183" t="str">
        <x:v>C-0200</x:v>
      </x:c>
      <x:c r="N151" s="184" t="str">
        <x:v>Platform/Core/CxNodeQuery.cs</x:v>
      </x:c>
      <x:c r="O151" s="183" t="str">
        <x:v>V1.19旧源码类型（真实成员/实现仍待核）
V2.01：未匹配V2.01；处置=暂无可信对应
V7.8：V7.8同名且源文件对应；Platform/Core/CxNodeQuery.cs</x:v>
      </x:c>
      <x:c r="P151" s="136" t="str">
        <x:v>V1.19旧源码类型（真实成员/实现仍待核）</x:v>
      </x:c>
    </x:row>
    <x:row r="152" ht="72" customHeight="1">
      <x:c r="A152" s="179" t="str">
        <x:v>M03</x:v>
      </x:c>
      <x:c r="B152" s="180" t="str">
        <x:v>Definition与工程组织｜Reference / Address / Index
Reference Index</x:v>
      </x:c>
      <x:c r="C152" s="180" t="str">
        <x:v>MRICxSymbolElementReference</x:v>
      </x:c>
      <x:c r="D152" s="179" t="str">
        <x:v>原有·待核</x:v>
      </x:c>
      <x:c r="E152" s="180" t="str">
        <x:v>表达或管理符号元素引用相关的数据及协作职责，具体行为待源码复核〔待核〕</x:v>
      </x:c>
      <x:c r="F152" s="180" t="str">
        <x:v>Id, Name, TargetId, ReferenceKind, VersionBinding</x:v>
      </x:c>
      <x:c r="G152" s="180" t="str">
        <x:v>CxSymbolElementReference(SymbolInstanceElementModel source), Validate(ProjectModel project = null)</x:v>
      </x:c>
      <x:c r="H152" s="180" t="str">
        <x:v>—（待核）</x:v>
      </x:c>
      <x:c r="I152" s="180" t="str">
        <x:v>CxVisual.Core.CxSymbolElementReference</x:v>
      </x:c>
      <x:c r="J152" s="179" t="str">
        <x:v>类</x:v>
      </x:c>
      <x:c r="K152" s="180" t="str">
        <x:v>V1.19 C-0201；原实施方式：原有。迁移风险：表达或管理符号元素引用相关的数据及协作职责，具体行为待源码复核〔待核〕</x:v>
      </x:c>
      <x:c r="L152" s="183" t="str">
        <x:v>源代码声明·待复核</x:v>
      </x:c>
      <x:c r="M152" s="183" t="str">
        <x:v>C-0201</x:v>
      </x:c>
      <x:c r="N152" s="184" t="str">
        <x:v>Platform/Core/CxNodeReferences.cs</x:v>
      </x:c>
      <x:c r="O152" s="183" t="str">
        <x:v>V1.19旧源码类型（真实成员/实现仍待核）
V2.01：未匹配V2.01；处置=暂无可信对应
V7.8：V7.8同名且源文件对应；Platform/Core/CxNodeReferences.cs</x:v>
      </x:c>
      <x:c r="P152" s="136" t="str">
        <x:v>V1.19旧源码类型（真实成员/实现仍待核）</x:v>
      </x:c>
    </x:row>
    <x:row r="153" ht="72" customHeight="1">
      <x:c r="A153" s="179" t="str">
        <x:v>M03</x:v>
      </x:c>
      <x:c r="B153" s="180" t="str">
        <x:v>Definition与工程组织｜Reference / Address / Index
Reference Index</x:v>
      </x:c>
      <x:c r="C153" s="180" t="str">
        <x:v>MRICxTreeWalker</x:v>
      </x:c>
      <x:c r="D153" s="179" t="str">
        <x:v>原有·待核</x:v>
      </x:c>
      <x:c r="E153" s="180" t="str">
        <x:v>负责TreeWalker相关的树游走与公共契约管理</x:v>
      </x:c>
      <x:c r="F153" s="180" t="str">
        <x:v>Root, Filter, CurrentNode</x:v>
      </x:c>
      <x:c r="G153" s="180" t="str">
        <x:v>CxTreeWalker(CxNode root, Func&lt;CxNode, bool&gt; filter = null), ParentNode(), FirstChild(), LastChild(), PreviousSibling(), NextSibling(), NextNode(), PreviousNode()</x:v>
      </x:c>
      <x:c r="H153" s="180" t="str">
        <x:v>—（待核）</x:v>
      </x:c>
      <x:c r="I153" s="180" t="str">
        <x:v>CxVisual.Core.CxTreeWalker</x:v>
      </x:c>
      <x:c r="J153" s="179" t="str">
        <x:v>类</x:v>
      </x:c>
      <x:c r="K153" s="180" t="str">
        <x:v>V1.19 C-0202；原实施方式：原有。迁移风险：负责TreeWalker相关的树游走与公共契约管理</x:v>
      </x:c>
      <x:c r="L153" s="183" t="str">
        <x:v>源代码声明·待复核</x:v>
      </x:c>
      <x:c r="M153" s="183" t="str">
        <x:v>C-0202</x:v>
      </x:c>
      <x:c r="N153" s="184" t="str">
        <x:v>Platform/Core/CxNodeWalker.cs</x:v>
      </x:c>
      <x:c r="O153" s="183" t="str">
        <x:v>V1.19旧源码类型（真实成员/实现仍待核）
V2.01：未匹配V2.01；处置=暂无可信对应
V7.8：V7.8同名且源文件对应；Platform/Core/CxNodeWalker.cs</x:v>
      </x:c>
      <x:c r="P153" s="136" t="str">
        <x:v>V1.19旧源码类型（真实成员/实现仍待核）</x:v>
      </x:c>
    </x:row>
    <x:row r="154" ht="72" customHeight="1">
      <x:c r="A154" s="179" t="str">
        <x:v>M03</x:v>
      </x:c>
      <x:c r="B154" s="180" t="str">
        <x:v>Definition与工程组织｜Reference / Address / Index
Reference Index</x:v>
      </x:c>
      <x:c r="C154" s="180" t="str">
        <x:v>MRICxVariableReference</x:v>
      </x:c>
      <x:c r="D154" s="179" t="str">
        <x:v>原有·待核</x:v>
      </x:c>
      <x:c r="E154" s="180" t="str">
        <x:v>VariableRef</x:v>
      </x:c>
      <x:c r="F154" s="180" t="str">
        <x:v>Id, Name, TargetId, ReferenceKind, ExpectedType</x:v>
      </x:c>
      <x:c r="G154" s="180" t="str">
        <x:v>CxVariableReference(), ResolveVariable(ProjectModel project), Validate(ProjectModel project = null)</x:v>
      </x:c>
      <x:c r="H154" s="180" t="str">
        <x:v>—（待核）</x:v>
      </x:c>
      <x:c r="I154" s="180" t="str">
        <x:v>CxVisual.Core.CxVariableReference</x:v>
      </x:c>
      <x:c r="J154" s="179" t="str">
        <x:v>类</x:v>
      </x:c>
      <x:c r="K154" s="180" t="str">
        <x:v>V1.19 C-0203；原实施方式：原有。迁移风险：VariableRef</x:v>
      </x:c>
      <x:c r="L154" s="183" t="str">
        <x:v>源代码声明·待复核</x:v>
      </x:c>
      <x:c r="M154" s="183" t="str">
        <x:v>C-0203</x:v>
      </x:c>
      <x:c r="N154" s="184" t="str">
        <x:v>Platform/Core/CxNodeReferences.cs</x:v>
      </x:c>
      <x:c r="O154" s="183" t="str">
        <x:v>V1.19旧源码类型（真实成员/实现仍待核）
V2.01：未匹配V2.01；处置=暂无可信对应
V7.8：V7.8同名且源文件对应；Platform/Core/CxNodeReferences.cs</x:v>
      </x:c>
      <x:c r="P154" s="136" t="str">
        <x:v>V1.19旧源码类型（真实成员/实现仍待核）</x:v>
      </x:c>
    </x:row>
    <x:row r="155" ht="72" customHeight="1">
      <x:c r="A155" s="179" t="str">
        <x:v>M03</x:v>
      </x:c>
      <x:c r="B155" s="180" t="str">
        <x:v>Definition与工程组织｜Reference / Address / Index
Reference Index</x:v>
      </x:c>
      <x:c r="C155" s="180" t="str">
        <x:v>MRIDataBindingReferenceValidator</x:v>
      </x:c>
      <x:c r="D155" s="179" t="str">
        <x:v>原有·待核</x:v>
      </x:c>
      <x:c r="E155" s="180" t="str">
        <x:v>验证Data绑定引用校验的结构、参数和业务约束并返回诊断信息</x:v>
      </x:c>
      <x:c r="F155" s="180" t="str">
        <x:v>—（无公开声明或待核对）</x:v>
      </x:c>
      <x:c r="G155" s="180" t="str">
        <x:v>NodeData(CxNode node), ResolveSourceNode(ProjectModel project, string source), Validate(ProjectModel project)</x:v>
      </x:c>
      <x:c r="H155" s="180" t="str">
        <x:v>—（待核）</x:v>
      </x:c>
      <x:c r="I155" s="180" t="str">
        <x:v>CxVisual.Core.DataBindingReferenceValidator</x:v>
      </x:c>
      <x:c r="J155" s="179" t="str">
        <x:v>静态类</x:v>
      </x:c>
      <x:c r="K155" s="180" t="str">
        <x:v>V1.19 C-0204；原实施方式：原有。迁移风险：验证Data绑定引用校验的结构、参数和业务约束并返回诊断信息</x:v>
      </x:c>
      <x:c r="L155" s="183" t="str">
        <x:v>源代码声明·待复核</x:v>
      </x:c>
      <x:c r="M155" s="183" t="str">
        <x:v>C-0204</x:v>
      </x:c>
      <x:c r="N155" s="184" t="str">
        <x:v>Platform/Core/DataBindingReferenceValidator.cs</x:v>
      </x:c>
      <x:c r="O155" s="183" t="str">
        <x:v>V1.19旧源码类型（真实成员/实现仍待核）
V2.01：来源ID对应；处置=保留源码·公开契约复核
V7.8：V7.8同名且源文件对应；Platform/Core/DataBindingReferenceValidator.cs</x:v>
      </x:c>
      <x:c r="P155" s="136" t="str">
        <x:v>V1.19旧源码类型（真实成员/实现仍待核）</x:v>
      </x:c>
    </x:row>
    <x:row r="156" ht="72" customHeight="1">
      <x:c r="A156" s="179" t="str">
        <x:v>M03</x:v>
      </x:c>
      <x:c r="B156" s="180" t="str">
        <x:v>Definition与工程组织｜Reference / Address / Index
Reference Index</x:v>
      </x:c>
      <x:c r="C156" s="180" t="str">
        <x:v>MRIElementAddress</x:v>
      </x:c>
      <x:c r="D156" s="179" t="str">
        <x:v>原有·待核</x:v>
      </x:c>
      <x:c r="E156" s="180" t="str">
        <x:v>表达或管理元素Address相关的数据及协作职责，具体行为待源码复核〔待核〕</x:v>
      </x:c>
      <x:c r="F156" s="180" t="str">
        <x:v>PageId, ContentId, ElementId, ParentGroupId, IsTopLevel</x:v>
      </x:c>
      <x:c r="G156" s="180" t="str">
        <x:v>ToString()</x:v>
      </x:c>
      <x:c r="H156" s="180" t="str">
        <x:v>—（待核）</x:v>
      </x:c>
      <x:c r="I156" s="180" t="str">
        <x:v>CxVisual.Core.ElementAddress</x:v>
      </x:c>
      <x:c r="J156" s="179" t="str">
        <x:v>类</x:v>
      </x:c>
      <x:c r="K156" s="180" t="str">
        <x:v>V1.19 C-0206；原实施方式：原有。迁移风险：表达或管理元素Address相关的数据及协作职责，具体行为待源码复核〔待核〕</x:v>
      </x:c>
      <x:c r="L156" s="183" t="str">
        <x:v>源代码声明·待复核</x:v>
      </x:c>
      <x:c r="M156" s="183" t="str">
        <x:v>C-0206</x:v>
      </x:c>
      <x:c r="N156" s="184" t="str">
        <x:v>Platform/Core/ProjectObjectIndex.cs</x:v>
      </x:c>
      <x:c r="O156" s="183" t="str">
        <x:v>V1.19旧源码类型（真实成员/实现仍待核）
V2.01：未匹配V2.01；处置=暂无可信对应
V7.8：V7.8同名且源文件对应；Platform/Core/ProjectObjectIndex.cs</x:v>
      </x:c>
      <x:c r="P156" s="136" t="str">
        <x:v>V1.19旧源码类型（真实成员/实现仍待核）</x:v>
      </x:c>
    </x:row>
    <x:row r="157" ht="72" customHeight="1">
      <x:c r="A157" s="179" t="str">
        <x:v>M03</x:v>
      </x:c>
      <x:c r="B157" s="180" t="str">
        <x:v>Definition与工程组织｜Reference / Address / Index
Reference Index</x:v>
      </x:c>
      <x:c r="C157" s="180" t="str">
        <x:v>MRIElementLocatorService</x:v>
      </x:c>
      <x:c r="D157" s="179" t="str">
        <x:v>原有·待核</x:v>
      </x:c>
      <x:c r="E157" s="180" t="str">
        <x:v>封装元素Locator服务通用服务操作及其生命周期边界</x:v>
      </x:c>
      <x:c r="F157" s="180" t="str">
        <x:v>—（无公开声明或待核对）</x:v>
      </x:c>
      <x:c r="G157" s="180" t="str">
        <x:v>ElementLocatorService(ProjectObjectIndex projectIndex, PageObjectIndex pageIndex = null, SymbolObjectIndex symbolIndex = null), FindById(string elementId), FindByAlias(string alias), FindByRole(string role), FindByTag(string tag)</x:v>
      </x:c>
      <x:c r="H157" s="180" t="str">
        <x:v>—（待核）</x:v>
      </x:c>
      <x:c r="I157" s="180" t="str">
        <x:v>CxVisual.Core.ElementLocatorService</x:v>
      </x:c>
      <x:c r="J157" s="179" t="str">
        <x:v>类</x:v>
      </x:c>
      <x:c r="K157" s="180" t="str">
        <x:v>V1.19 C-0207；原实施方式：原有。迁移风险：封装元素Locator服务通用服务操作及其生命周期边界</x:v>
      </x:c>
      <x:c r="L157" s="183" t="str">
        <x:v>源代码声明·待复核</x:v>
      </x:c>
      <x:c r="M157" s="183" t="str">
        <x:v>C-0207</x:v>
      </x:c>
      <x:c r="N157" s="184" t="str">
        <x:v>Platform/Core/ProjectObjectIndex.cs</x:v>
      </x:c>
      <x:c r="O157" s="183" t="str">
        <x:v>V1.19旧源码类型（真实成员/实现仍待核）
V2.01：未匹配V2.01；处置=暂无可信对应
V7.8：V7.8同名且源文件对应；Platform/Core/ProjectObjectIndex.cs</x:v>
      </x:c>
      <x:c r="P157" s="136" t="str">
        <x:v>V1.19旧源码类型（真实成员/实现仍待核）</x:v>
      </x:c>
    </x:row>
    <x:row r="158" ht="72" customHeight="1">
      <x:c r="A158" s="179" t="str">
        <x:v>M03</x:v>
      </x:c>
      <x:c r="B158" s="180" t="str">
        <x:v>Definition与工程组织｜Reference / Address / Index
Reference Index</x:v>
      </x:c>
      <x:c r="C158" s="180" t="str">
        <x:v>MRIScope</x:v>
      </x:c>
      <x:c r="D158" s="179" t="str">
        <x:v>原有·待核</x:v>
      </x:c>
      <x:c r="E158" s="180" t="str">
        <x:v>表达或管理Scope相关的数据及协作职责，具体行为待源码复核〔待核〕</x:v>
      </x:c>
      <x:c r="F158" s="180" t="str">
        <x:v>—（无公开声明或待核对）</x:v>
      </x:c>
      <x:c r="G158" s="180" t="str">
        <x:v>—(无公开声明或待核对)</x:v>
      </x:c>
      <x:c r="H158" s="180" t="str">
        <x:v>—（待核）</x:v>
      </x:c>
      <x:c r="I158" s="180" t="str">
        <x:v>CxVisual.Core.DataBindingReferenceValidator.Scope</x:v>
      </x:c>
      <x:c r="J158" s="179" t="str">
        <x:v>类</x:v>
      </x:c>
      <x:c r="K158" s="180" t="str">
        <x:v>V1.19 C-0205；原实施方式：原有。迁移风险：表达或管理Scope相关的数据及协作职责，具体行为待源码复核〔待核〕</x:v>
      </x:c>
      <x:c r="L158" s="183" t="str">
        <x:v>源代码声明·待复核</x:v>
      </x:c>
      <x:c r="M158" s="183" t="str">
        <x:v>C-0205</x:v>
      </x:c>
      <x:c r="N158" s="184" t="str">
        <x:v>Platform/Core/DataBindingReferenceValidator.cs; Workbenches/Automation/Motion/MotionM4SafetyGateway.cs</x:v>
      </x:c>
      <x:c r="O158" s="183" t="str">
        <x:v>V1.19旧源码类型（真实成员/实现仍待核）
V2.01：未匹配V2.01；处置=暂无可信对应
V7.8：V7.8同名且源文件对应；Platform/Core/DataBindingReferenceValidator.cs</x:v>
      </x:c>
      <x:c r="P158" s="136" t="str">
        <x:v>V1.19旧源码类型（真实成员/实现仍待核）</x:v>
      </x:c>
    </x:row>
    <x:row r="159" ht="72" customHeight="1">
      <x:c r="A159" s="179" t="str">
        <x:v>M03</x:v>
      </x:c>
      <x:c r="B159" s="180" t="str">
        <x:v>Definition与工程组织｜Reference / Address / Index
Reference Index</x:v>
      </x:c>
      <x:c r="C159" s="180" t="str">
        <x:v>MRIStableReference</x:v>
      </x:c>
      <x:c r="D159" s="179" t="str">
        <x:v>原有·待核</x:v>
      </x:c>
      <x:c r="E159" s="180" t="str">
        <x:v>表达或管理Stable引用相关的数据及协作职责，具体行为待源码复核〔待核〕</x:v>
      </x:c>
      <x:c r="F159" s="180" t="str">
        <x:v>DomainId, AssetId, Revision</x:v>
      </x:c>
      <x:c r="G159" s="180" t="str">
        <x:v>StableReference(string domainId, string assetId, string revision = null), Equals(StableReference other), Equals(object obj), GetHashCode(), ToString()</x:v>
      </x:c>
      <x:c r="H159" s="180" t="str">
        <x:v>—（待核）</x:v>
      </x:c>
      <x:c r="I159" s="180" t="str">
        <x:v>CxVisual.Abstractions.StableReference</x:v>
      </x:c>
      <x:c r="J159" s="179" t="str">
        <x:v>类</x:v>
      </x:c>
      <x:c r="K159" s="180" t="str">
        <x:v>V1.19 C-0186；原实施方式：原有。迁移风险：表达或管理Stable引用相关的数据及协作职责，具体行为待源码复核〔待核〕</x:v>
      </x:c>
      <x:c r="L159" s="183" t="str">
        <x:v>源代码声明·待复核</x:v>
      </x:c>
      <x:c r="M159" s="183" t="str">
        <x:v>C-0186</x:v>
      </x:c>
      <x:c r="N159" s="184" t="str">
        <x:v>Platform/References/StableReference.cs</x:v>
      </x:c>
      <x:c r="O159" s="183" t="str">
        <x:v>V1.19旧源码类型（真实成员/实现仍待核）
V2.01：未匹配V2.01；处置=暂无可信对应
V7.8：V7.8同名且源文件对应；Platform/References/StableReference.cs</x:v>
      </x:c>
      <x:c r="P159" s="136" t="str">
        <x:v>V1.19旧源码类型（真实成员/实现仍待核）</x:v>
      </x:c>
    </x:row>
    <x:row r="160" ht="72" customHeight="1">
      <x:c r="A160" s="179" t="str">
        <x:v>M03</x:v>
      </x:c>
      <x:c r="B160" s="180" t="str">
        <x:v>Definition与工程组织｜Reference / Address / Index
Reference Index</x:v>
      </x:c>
      <x:c r="C160" s="180" t="str">
        <x:v>CxObjectAddress</x:v>
      </x:c>
      <x:c r="D160" s="179" t="str">
        <x:v>增构候选·待查重</x:v>
      </x:c>
      <x:c r="E160" s="180" t="str">
        <x:v>稳定寻址</x:v>
      </x:c>
      <x:c r="F160" s="180" t="str">
        <x:v>Project；Resource；ObjectPath；DefinitionVersion；草案: public string ProjectId { get; }；草案: public string ObjectId { get; }</x:v>
      </x:c>
      <x:c r="G160" s="180" t="str">
        <x:v>稳定寻址</x:v>
      </x:c>
      <x:c r="H160" s="180" t="str">
        <x:v>禁止隐含运行态或UI强依赖</x:v>
      </x:c>
      <x:c r="I160" s="180" t="str">
        <x:v>CxObjectAddress</x:v>
      </x:c>
      <x:c r="J160" s="179" t="str">
        <x:v>readonly struct</x:v>
      </x:c>
      <x:c r="K160" s="180" t="str">
        <x:v>生命周期：Definition；约束：稳定寻址</x:v>
      </x:c>
      <x:c r="L160" s="183" t="str">
        <x:v>设计候选，尚待源码验证</x:v>
      </x:c>
      <x:c r="M160" s="183" t="str">
        <x:v>M03.CxObjectAddress</x:v>
      </x:c>
      <x:c r="N160" s="184" t="str">
        <x:v>03_能力对象!C21</x:v>
      </x:c>
      <x:c r="O160" s="183" t="str">
        <x:v>R3A_Core裁决
V2.01：未匹配V2.01；处置=暂无可信对应
V7.8：V7.8未检出同名词法声明</x:v>
      </x:c>
      <x:c r="P160" s="136" t="str">
        <x:v>R3A_Core裁决</x:v>
      </x:c>
    </x:row>
    <x:row r="161" ht="72" customHeight="1">
      <x:c r="A161" s="179" t="str">
        <x:v>M03</x:v>
      </x:c>
      <x:c r="B161" s="180" t="str">
        <x:v>Definition与工程组织｜Reference / Address / Index
Reference Index</x:v>
      </x:c>
      <x:c r="C161" s="180" t="str">
        <x:v>CxReferenceStatus</x:v>
      </x:c>
      <x:c r="D161" s="179" t="str">
        <x:v>增构候选·待查重</x:v>
      </x:c>
      <x:c r="E161" s="180" t="str">
        <x:v>设计：不丢失坏引用</x:v>
      </x:c>
      <x:c r="F161" s="180" t="str">
        <x:v>Resolved,Missing,Stale,WrongType,ForbiddenCycle</x:v>
      </x:c>
      <x:c r="G161" s="180" t="str">
        <x:v>—</x:v>
      </x:c>
      <x:c r="H161" s="180" t="str">
        <x:v>待逐对象核实</x:v>
      </x:c>
      <x:c r="I161" s="180" t="str">
        <x:v>CxReferenceStatus</x:v>
      </x:c>
      <x:c r="J161" s="179" t="str">
        <x:v>enum</x:v>
      </x:c>
      <x:c r="K161" s="180" t="str">
        <x:v>生命周期：需定案；审核：补充类型字典</x:v>
      </x:c>
      <x:c r="L161" s="183" t="str">
        <x:v>设计候选，尚待源码验证</x:v>
      </x:c>
      <x:c r="M161" s="183" t="str">
        <x:v>R3A.M03.CxReferenceStatus</x:v>
      </x:c>
      <x:c r="N161" s="184"/>
      <x:c r="O161" s="183" t="str">
        <x:v>补充类型字典
V2.01：未匹配V2.01；处置=暂无可信对应
V7.8：V7.8未检出同名词法声明</x:v>
      </x:c>
      <x:c r="P161" s="136" t="str">
        <x:v>补充类型字典</x:v>
      </x:c>
    </x:row>
    <x:row r="162" ht="72" customHeight="1">
      <x:c r="A162" s="179" t="str">
        <x:v>M03</x:v>
      </x:c>
      <x:c r="B162" s="180" t="str">
        <x:v>Definition与工程组织｜Reference / Address / Index
Reference Index</x:v>
      </x:c>
      <x:c r="C162" s="180" t="str">
        <x:v>CxResolveContext</x:v>
      </x:c>
      <x:c r="D162" s="179" t="str">
        <x:v>增构候选·待查重</x:v>
      </x:c>
      <x:c r="E162" s="180" t="str">
        <x:v>设计：引用解析环境</x:v>
      </x:c>
      <x:c r="F162" s="180" t="str">
        <x:v>Project,CallerScope,MaxDepth</x:v>
      </x:c>
      <x:c r="G162" s="180" t="str">
        <x:v>—</x:v>
      </x:c>
      <x:c r="H162" s="180" t="str">
        <x:v>待逐对象核实</x:v>
      </x:c>
      <x:c r="I162" s="180" t="str">
        <x:v>CxResolveContext</x:v>
      </x:c>
      <x:c r="J162" s="179" t="str">
        <x:v>sealed class</x:v>
      </x:c>
      <x:c r="K162" s="180" t="str">
        <x:v>生命周期：需定案；审核：补充类型字典</x:v>
      </x:c>
      <x:c r="L162" s="183" t="str">
        <x:v>设计候选，尚待源码验证</x:v>
      </x:c>
      <x:c r="M162" s="183" t="str">
        <x:v>R3A.M03.CxResolveContext</x:v>
      </x:c>
      <x:c r="N162" s="184"/>
      <x:c r="O162" s="183" t="str">
        <x:v>补充类型字典
V2.01：未匹配V2.01；处置=暂无可信对应
V7.8：V7.8未检出同名词法声明</x:v>
      </x:c>
      <x:c r="P162" s="136" t="str">
        <x:v>补充类型字典</x:v>
      </x:c>
    </x:row>
    <x:row r="163" ht="72" customHeight="1">
      <x:c r="A163" s="179" t="str">
        <x:v>M03</x:v>
      </x:c>
      <x:c r="B163" s="180" t="str">
        <x:v>Definition与工程组织｜Reference / Address / Index
Reference Index</x:v>
      </x:c>
      <x:c r="C163" s="180" t="str">
        <x:v>CxResolveOptions</x:v>
      </x:c>
      <x:c r="D163" s="179" t="str">
        <x:v>增构候选·待查重</x:v>
      </x:c>
      <x:c r="E163" s="180" t="str">
        <x:v>设计：策略显式化</x:v>
      </x:c>
      <x:c r="F163" s="180" t="str">
        <x:v>AllowMissing,MaxDepth,AllowCrossProject</x:v>
      </x:c>
      <x:c r="G163" s="180" t="str">
        <x:v>—</x:v>
      </x:c>
      <x:c r="H163" s="180" t="str">
        <x:v>待逐对象核实</x:v>
      </x:c>
      <x:c r="I163" s="180" t="str">
        <x:v>CxResolveOptions</x:v>
      </x:c>
      <x:c r="J163" s="179" t="str">
        <x:v>sealed class</x:v>
      </x:c>
      <x:c r="K163" s="180" t="str">
        <x:v>生命周期：需定案；审核：补充类型字典</x:v>
      </x:c>
      <x:c r="L163" s="183" t="str">
        <x:v>设计候选，尚待源码验证</x:v>
      </x:c>
      <x:c r="M163" s="183" t="str">
        <x:v>R3A.M03.CxResolveOptions</x:v>
      </x:c>
      <x:c r="N163" s="184"/>
      <x:c r="O163" s="183" t="str">
        <x:v>补充类型字典
V2.01：未匹配V2.01；处置=暂无可信对应
V7.8：V7.8未检出同名词法声明</x:v>
      </x:c>
      <x:c r="P163" s="136" t="str">
        <x:v>补充类型字典</x:v>
      </x:c>
    </x:row>
    <x:row r="164" ht="72" customHeight="1">
      <x:c r="A164" s="179" t="str">
        <x:v>M03</x:v>
      </x:c>
      <x:c r="B164" s="180" t="str">
        <x:v>Definition与工程组织｜Reference / Address / Index
Reference Index</x:v>
      </x:c>
      <x:c r="C164" s="180" t="str">
        <x:v>CxResolveResult</x:v>
      </x:c>
      <x:c r="D164" s="179" t="str">
        <x:v>增构候选·待查重</x:v>
      </x:c>
      <x:c r="E164" s="180" t="str">
        <x:v>设计：失败也留证据</x:v>
      </x:c>
      <x:c r="F164" s="180" t="str">
        <x:v>Status,Target,ReferenceToken,Diagnostics</x:v>
      </x:c>
      <x:c r="G164" s="180" t="str">
        <x:v>—</x:v>
      </x:c>
      <x:c r="H164" s="180" t="str">
        <x:v>待逐对象核实</x:v>
      </x:c>
      <x:c r="I164" s="180" t="str">
        <x:v>CxResolveResult</x:v>
      </x:c>
      <x:c r="J164" s="179" t="str">
        <x:v>sealed class</x:v>
      </x:c>
      <x:c r="K164" s="180" t="str">
        <x:v>生命周期：需定案；审核：补充类型字典</x:v>
      </x:c>
      <x:c r="L164" s="183" t="str">
        <x:v>设计候选，尚待源码验证</x:v>
      </x:c>
      <x:c r="M164" s="183" t="str">
        <x:v>R3A.M03.CxResolveResult</x:v>
      </x:c>
      <x:c r="N164" s="184"/>
      <x:c r="O164" s="183" t="str">
        <x:v>补充类型字典
V2.01：未匹配V2.01；处置=暂无可信对应
V7.8：V7.8未检出同名词法声明</x:v>
      </x:c>
      <x:c r="P164" s="136" t="str">
        <x:v>补充类型字典</x:v>
      </x:c>
    </x:row>
    <x:row r="165" ht="72" customHeight="1">
      <x:c r="A165" s="179" t="str">
        <x:v>M03</x:v>
      </x:c>
      <x:c r="B165" s="180" t="str">
        <x:v>Definition与工程组织｜Reference / Address / Index
Reference Index</x:v>
      </x:c>
      <x:c r="C165" s="180" t="str">
        <x:v>MRIDependencyGraph</x:v>
      </x:c>
      <x:c r="D165" s="179" t="str">
        <x:v>增构候选·待查重</x:v>
      </x:c>
      <x:c r="E165" s="180" t="str">
        <x:v>资源引用依赖分析视图，建议ResourceDependencyIndex</x:v>
      </x:c>
      <x:c r="F165" s="180" t="str">
        <x:v>Nodes；Edges；Cycles</x:v>
      </x:c>
      <x:c r="G165" s="180" t="str">
        <x:v>依赖排序/循环/影响分析</x:v>
      </x:c>
      <x:c r="H165" s="180" t="str">
        <x:v>图拓扑纯算法复用F02；不建立第二份持久Graph</x:v>
      </x:c>
      <x:c r="I165" s="180" t="str">
        <x:v>运行对象/模型</x:v>
      </x:c>
      <x:c r="J165" s="179" t="str">
        <x:v>原候选待裁决</x:v>
      </x:c>
      <x:c r="K165" s="180" t="str">
        <x:v>生命周期：Resolved；约束：依赖排序/循环/影响分析</x:v>
      </x:c>
      <x:c r="L165" s="183" t="str">
        <x:v>设计候选，尚待源码验证</x:v>
      </x:c>
      <x:c r="M165" s="183" t="str">
        <x:v>M03.DependencyGraph</x:v>
      </x:c>
      <x:c r="N165" s="184"/>
      <x:c r="O165" s="183" t="str">
        <x:v>R3A_Core裁决
V2.01：未匹配V2.01；处置=暂无可信对应
V7.8：V7.8未检出同名词法声明</x:v>
      </x:c>
      <x:c r="P165" s="136" t="str">
        <x:v>R3A_Core裁决</x:v>
      </x:c>
    </x:row>
    <x:row r="166" ht="72" customHeight="1">
      <x:c r="A166" s="179" t="str">
        <x:v>M03</x:v>
      </x:c>
      <x:c r="B166" s="180" t="str">
        <x:v>Definition与工程组织｜Reference / Address / Index
Reference Index</x:v>
      </x:c>
      <x:c r="C166" s="180" t="str">
        <x:v>MRIIReferenceResolver</x:v>
      </x:c>
      <x:c r="D166" s="179" t="str">
        <x:v>增构候选·待查重</x:v>
      </x:c>
      <x:c r="E166" s="180" t="str">
        <x:v>设计：唯一解析入口</x:v>
      </x:c>
      <x:c r="F166" s="180" t="str">
        <x:v>Resolve</x:v>
      </x:c>
      <x:c r="G166" s="180" t="str">
        <x:v>草案: CxResolveResult Resolve(ProjectModel project, CxObjectAddress address, CxRe</x:v>
      </x:c>
      <x:c r="H166" s="180" t="str">
        <x:v>待逐对象核实</x:v>
      </x:c>
      <x:c r="I166" s="180" t="str">
        <x:v>IReferenceResolver</x:v>
      </x:c>
      <x:c r="J166" s="179" t="str">
        <x:v>interface</x:v>
      </x:c>
      <x:c r="K166" s="180" t="str">
        <x:v>生命周期：需定案；审核：补充类型字典</x:v>
      </x:c>
      <x:c r="L166" s="183" t="str">
        <x:v>设计候选，尚待源码验证</x:v>
      </x:c>
      <x:c r="M166" s="183" t="str">
        <x:v>R3A.M03.IReferenceResolver</x:v>
      </x:c>
      <x:c r="N166" s="184"/>
      <x:c r="O166" s="183" t="str">
        <x:v>补充类型字典
V2.01：未匹配V2.01；处置=暂无可信对应
V7.8：V7.8未检出同名词法声明</x:v>
      </x:c>
      <x:c r="P166" s="136" t="str">
        <x:v>补充类型字典</x:v>
      </x:c>
    </x:row>
    <x:row r="167" ht="72" customHeight="1">
      <x:c r="A167" s="179" t="str">
        <x:v>M03</x:v>
      </x:c>
      <x:c r="B167" s="180" t="str">
        <x:v>Definition与工程组织｜Reference / Address / Index
Reference Index</x:v>
      </x:c>
      <x:c r="C167" s="180" t="str">
        <x:v>MRIIResourceDependencyIndex</x:v>
      </x:c>
      <x:c r="D167" s="179" t="str">
        <x:v>增构候选·待查重</x:v>
      </x:c>
      <x:c r="E167" s="180" t="str">
        <x:v>设计：派生图非持久Owner</x:v>
      </x:c>
      <x:c r="F167" s="180" t="str">
        <x:v>GetDependents</x:v>
      </x:c>
      <x:c r="G167" s="180" t="str">
        <x:v>草案: IReadOnlyList&lt;CxObjectAddress&gt; GetDependents(CxObjectAddress target)</x:v>
      </x:c>
      <x:c r="H167" s="180" t="str">
        <x:v>待逐对象核实</x:v>
      </x:c>
      <x:c r="I167" s="180" t="str">
        <x:v>IResourceDependencyIndex</x:v>
      </x:c>
      <x:c r="J167" s="179" t="str">
        <x:v>interface</x:v>
      </x:c>
      <x:c r="K167" s="180" t="str">
        <x:v>生命周期：需定案；审核：补充类型字典</x:v>
      </x:c>
      <x:c r="L167" s="183" t="str">
        <x:v>设计候选，尚待源码验证</x:v>
      </x:c>
      <x:c r="M167" s="183" t="str">
        <x:v>R3A.M03.IResourceDependencyIndex</x:v>
      </x:c>
      <x:c r="N167" s="184"/>
      <x:c r="O167" s="183" t="str">
        <x:v>补充类型字典
V2.01：未匹配V2.01；处置=暂无可信对应
V7.8：V7.8未检出同名词法声明</x:v>
      </x:c>
      <x:c r="P167" s="136" t="str">
        <x:v>补充类型字典</x:v>
      </x:c>
    </x:row>
    <x:row r="168" ht="72" customHeight="1">
      <x:c r="A168" s="179" t="str">
        <x:v>M03</x:v>
      </x:c>
      <x:c r="B168" s="180" t="str">
        <x:v>Definition与工程组织｜Reference / Address / Index
Reference Index</x:v>
      </x:c>
      <x:c r="C168" s="180" t="str">
        <x:v>MRIMissingReferencePlaceholder</x:v>
      </x:c>
      <x:c r="D168" s="179" t="str">
        <x:v>增构候选·待查重</x:v>
      </x:c>
      <x:c r="E168" s="180" t="str">
        <x:v>原引用不丢失的缺失目标占位信息</x:v>
      </x:c>
      <x:c r="F168" s="180" t="str">
        <x:v>OriginalRef；ExpectedType；RawMetadata</x:v>
      </x:c>
      <x:c r="G168" s="180" t="str">
        <x:v>缺目标仍保留工程可打开</x:v>
      </x:c>
      <x:c r="H168" s="180" t="str">
        <x:v>不能凭空创造目标工程对象</x:v>
      </x:c>
      <x:c r="I168" s="180" t="str">
        <x:v>MissingReferencePlaceholder</x:v>
      </x:c>
      <x:c r="J168" s="179" t="str">
        <x:v>原候选待裁决</x:v>
      </x:c>
      <x:c r="K168" s="180" t="str">
        <x:v>生命周期：Definition；约束：缺目标仍保留工程可打开</x:v>
      </x:c>
      <x:c r="L168" s="183" t="str">
        <x:v>设计候选，尚待源码验证</x:v>
      </x:c>
      <x:c r="M168" s="183" t="str">
        <x:v>M03.MissingReferencePlaceholder</x:v>
      </x:c>
      <x:c r="N168" s="184"/>
      <x:c r="O168" s="183" t="str">
        <x:v>R3A_Core裁决
V2.01：未匹配V2.01；处置=暂无可信对应
V7.8：V7.8未检出同名词法声明</x:v>
      </x:c>
      <x:c r="P168" s="136" t="str">
        <x:v>R3A_Core裁决</x:v>
      </x:c>
    </x:row>
    <x:row r="169" ht="72" customHeight="1">
      <x:c r="A169" s="179" t="str">
        <x:v>M03</x:v>
      </x:c>
      <x:c r="B169" s="180" t="str">
        <x:v>Definition与工程组织｜Reference / Address / Index
Reference Index</x:v>
      </x:c>
      <x:c r="C169" s="180" t="str">
        <x:v>MRIProjectObjectIndex</x:v>
      </x:c>
      <x:c r="D169" s="179" t="str">
        <x:v>复用待核</x:v>
      </x:c>
      <x:c r="E169" s="180" t="str">
        <x:v>全工程索引</x:v>
      </x:c>
      <x:c r="F169" s="180" t="str">
        <x:v>Id；Kind；Name maps</x:v>
      </x:c>
      <x:c r="G169" s="180" t="str">
        <x:v>全工程索引；草案: bool TryGet(string nodeId, out CxNode node)</x:v>
      </x:c>
      <x:c r="H169" s="180" t="str">
        <x:v>禁止隐含运行态或UI强依赖</x:v>
      </x:c>
      <x:c r="I169" s="180" t="str">
        <x:v>ProjectObjectIndex</x:v>
      </x:c>
      <x:c r="J169" s="179" t="str">
        <x:v>sealed class</x:v>
      </x:c>
      <x:c r="K169" s="180" t="str">
        <x:v>生命周期：Resolved；约束：全工程索引</x:v>
      </x:c>
      <x:c r="L169" s="183" t="str">
        <x:v>V7.8源码词法匹配，尚未验收</x:v>
      </x:c>
      <x:c r="M169" s="183" t="str">
        <x:v>M03.ProjectObjectIndex</x:v>
      </x:c>
      <x:c r="N169" s="184" t="str">
        <x:v>Platform/Core/ProjectObjectIndex.cs</x:v>
      </x:c>
      <x:c r="O169" s="183" t="str">
        <x:v>R3A_Core裁决
V2.01：未匹配V2.01；处置=暂无可信对应
V7.8：V7.8同名且源文件对应；Platform/Core/ProjectObjectIndex.cs</x:v>
      </x:c>
      <x:c r="P169" s="136" t="str">
        <x:v>R3A_Core裁决</x:v>
      </x:c>
    </x:row>
    <x:row r="170" ht="72" customHeight="1">
      <x:c r="A170" s="179" t="str">
        <x:v>M03</x:v>
      </x:c>
      <x:c r="B170" s="180" t="str">
        <x:v>Definition与工程组织｜Reference / Address / Index
Reference Index</x:v>
      </x:c>
      <x:c r="C170" s="180" t="str">
        <x:v>MRIReferenceResolver</x:v>
      </x:c>
      <x:c r="D170" s="179" t="str">
        <x:v>增构候选·待查重</x:v>
      </x:c>
      <x:c r="E170" s="180" t="str">
        <x:v>统一解析各种Ref</x:v>
      </x:c>
      <x:c r="F170" s="180" t="str">
        <x:v>Resolvers；Diagnostics</x:v>
      </x:c>
      <x:c r="G170" s="180" t="str">
        <x:v>统一解析各种Ref</x:v>
      </x:c>
      <x:c r="H170" s="180" t="str">
        <x:v>禁止隐含运行态或UI强依赖</x:v>
      </x:c>
      <x:c r="I170" s="180" t="str">
        <x:v>ReferenceResolver</x:v>
      </x:c>
      <x:c r="J170" s="179" t="str">
        <x:v>原候选待裁决</x:v>
      </x:c>
      <x:c r="K170" s="180" t="str">
        <x:v>生命周期：Resolved；约束：统一解析各种Ref</x:v>
      </x:c>
      <x:c r="L170" s="183" t="str">
        <x:v>设计候选，尚待源码验证</x:v>
      </x:c>
      <x:c r="M170" s="183" t="str">
        <x:v>M03.ReferenceResolver</x:v>
      </x:c>
      <x:c r="N170" s="184"/>
      <x:c r="O170" s="183" t="str">
        <x:v>R3A_Core裁决
V2.01：未匹配V2.01；处置=暂无可信对应
V7.8：V7.8未检出同名词法声明</x:v>
      </x:c>
      <x:c r="P170" s="136" t="str">
        <x:v>R3A_Core裁决</x:v>
      </x:c>
    </x:row>
    <x:row r="171" ht="72" customHeight="1">
      <x:c r="A171" s="179" t="str">
        <x:v>M03</x:v>
      </x:c>
      <x:c r="B171" s="180" t="str">
        <x:v>Definition与工程组织｜Reference / Address / Index
Reference Index</x:v>
      </x:c>
      <x:c r="C171" s="180" t="str">
        <x:v>MRIResolvedReference</x:v>
      </x:c>
      <x:c r="D171" s="179" t="str">
        <x:v>增构候选·待查重</x:v>
      </x:c>
      <x:c r="E171" s="180" t="str">
        <x:v>保存已解析引用</x:v>
      </x:c>
      <x:c r="F171" s="180" t="str">
        <x:v>SourceAddress；TargetAddress；Kind；Version；草案: public CxReferenceStatus Status { get; }</x:v>
      </x:c>
      <x:c r="G171" s="180" t="str">
        <x:v>保存已解析引用</x:v>
      </x:c>
      <x:c r="H171" s="180" t="str">
        <x:v>禁止隐含运行态或UI强依赖</x:v>
      </x:c>
      <x:c r="I171" s="180" t="str">
        <x:v>运行对象/模型</x:v>
      </x:c>
      <x:c r="J171" s="179" t="str">
        <x:v>sealed class</x:v>
      </x:c>
      <x:c r="K171" s="180" t="str">
        <x:v>生命周期：Resolved；约束：保存已解析引用</x:v>
      </x:c>
      <x:c r="L171" s="183" t="str">
        <x:v>设计候选，尚待源码验证</x:v>
      </x:c>
      <x:c r="M171" s="183" t="str">
        <x:v>M03.ResolvedReference</x:v>
      </x:c>
      <x:c r="N171" s="184"/>
      <x:c r="O171" s="183" t="str">
        <x:v>R3A_Core裁决
V2.01：未匹配V2.01；处置=暂无可信对应
V7.8：V7.8未检出同名词法声明</x:v>
      </x:c>
      <x:c r="P171" s="136" t="str">
        <x:v>R3A_Core裁决</x:v>
      </x:c>
    </x:row>
    <x:row r="172" ht="72" customHeight="1">
      <x:c r="A172" s="179" t="str">
        <x:v>M04</x:v>
      </x:c>
      <x:c r="B172" s="180" t="str">
        <x:v>Definition与契约｜Property / Metadata / Type
Property Metadata</x:v>
      </x:c>
      <x:c r="C172" s="180" t="str">
        <x:v>CxRuleDescriptor</x:v>
      </x:c>
      <x:c r="D172" s="179" t="str">
        <x:v>增构候选·待查重</x:v>
      </x:c>
      <x:c r="E172" s="180" t="str">
        <x:v>设计：校验规则声明</x:v>
      </x:c>
      <x:c r="F172" s="180" t="str">
        <x:v>RuleId,Severity,Parameters</x:v>
      </x:c>
      <x:c r="G172" s="180" t="str">
        <x:v>—</x:v>
      </x:c>
      <x:c r="H172" s="180" t="str">
        <x:v>待逐对象核实</x:v>
      </x:c>
      <x:c r="I172" s="180" t="str">
        <x:v>CxRuleDescriptor</x:v>
      </x:c>
      <x:c r="J172" s="179" t="str">
        <x:v>sealed class</x:v>
      </x:c>
      <x:c r="K172" s="180" t="str">
        <x:v>生命周期：需定案；审核：补充类型字典</x:v>
      </x:c>
      <x:c r="L172" s="183" t="str">
        <x:v>设计候选，尚待源码验证</x:v>
      </x:c>
      <x:c r="M172" s="183" t="str">
        <x:v>R3A.M04.CxRuleDescriptor</x:v>
      </x:c>
      <x:c r="N172" s="184"/>
      <x:c r="O172" s="183" t="str">
        <x:v>补充类型字典
V2.01：未匹配V2.01；处置=暂无可信对应
V7.8：V7.8未检出同名词法声明</x:v>
      </x:c>
      <x:c r="P172" s="136" t="str">
        <x:v>补充类型字典</x:v>
      </x:c>
    </x:row>
    <x:row r="173" ht="72" customHeight="1">
      <x:c r="A173" s="179" t="str">
        <x:v>M04</x:v>
      </x:c>
      <x:c r="B173" s="180" t="str">
        <x:v>Definition与契约｜Property / Metadata / Type
Property Metadata</x:v>
      </x:c>
      <x:c r="C173" s="180" t="str">
        <x:v>CxTypeReference</x:v>
      </x:c>
      <x:c r="D173" s="179" t="str">
        <x:v>增构候选·待查重</x:v>
      </x:c>
      <x:c r="E173" s="180" t="str">
        <x:v>设计：类型标识</x:v>
      </x:c>
      <x:c r="F173" s="180" t="str">
        <x:v>TypeId,Version,Nullable</x:v>
      </x:c>
      <x:c r="G173" s="180" t="str">
        <x:v>—</x:v>
      </x:c>
      <x:c r="H173" s="180" t="str">
        <x:v>待逐对象核实</x:v>
      </x:c>
      <x:c r="I173" s="180" t="str">
        <x:v>CxTypeReference</x:v>
      </x:c>
      <x:c r="J173" s="179" t="str">
        <x:v>readonly struct</x:v>
      </x:c>
      <x:c r="K173" s="180" t="str">
        <x:v>生命周期：需定案；审核：补充类型字典</x:v>
      </x:c>
      <x:c r="L173" s="183" t="str">
        <x:v>设计候选，尚待源码验证</x:v>
      </x:c>
      <x:c r="M173" s="183" t="str">
        <x:v>R3A.M04.CxTypeReference</x:v>
      </x:c>
      <x:c r="N173" s="184"/>
      <x:c r="O173" s="183" t="str">
        <x:v>补充类型字典
V2.01：未匹配V2.01；处置=暂无可信对应
V7.8：V7.8未检出同名词法声明</x:v>
      </x:c>
      <x:c r="P173" s="136" t="str">
        <x:v>补充类型字典</x:v>
      </x:c>
    </x:row>
    <x:row r="174" ht="72" customHeight="1">
      <x:c r="A174" s="179" t="str">
        <x:v>M04</x:v>
      </x:c>
      <x:c r="B174" s="180" t="str">
        <x:v>Definition与契约｜Property / Metadata / Type
Property Metadata</x:v>
      </x:c>
      <x:c r="C174" s="180" t="str">
        <x:v>MPMConfigurationChangeEvent</x:v>
      </x:c>
      <x:c r="D174" s="179" t="str">
        <x:v>增构候选·待查重</x:v>
      </x:c>
      <x:c r="E174" s="180" t="str">
        <x:v>配置源变化消息</x:v>
      </x:c>
      <x:c r="F174" s="180" t="str">
        <x:v>Version；ChangedKeys；Source</x:v>
      </x:c>
      <x:c r="G174" s="180" t="str">
        <x:v>Publish；Observe</x:v>
      </x:c>
      <x:c r="H174" s="180" t="str">
        <x:v>Core的工程变更事件单独由M07定义</x:v>
      </x:c>
      <x:c r="I174" s="180" t="str">
        <x:v>契约数据/接口</x:v>
      </x:c>
      <x:c r="J174" s="179" t="str">
        <x:v>原候选待裁决</x:v>
      </x:c>
      <x:c r="K174" s="180" t="str">
        <x:v>生命周期：Runtime；约束：配置变更通知：Publish、Observe</x:v>
      </x:c>
      <x:c r="L174" s="183" t="str">
        <x:v>设计候选，尚待源码验证</x:v>
      </x:c>
      <x:c r="M174" s="183" t="str">
        <x:v>M04.ConfigurationChangeEvent</x:v>
      </x:c>
      <x:c r="N174" s="184"/>
      <x:c r="O174" s="183" t="str">
        <x:v>R3A_Core裁决
V2.01：未匹配V2.01；处置=暂无可信对应
V7.8：V7.8未检出同名词法声明</x:v>
      </x:c>
      <x:c r="P174" s="136" t="str">
        <x:v>R3A_Core裁决</x:v>
      </x:c>
    </x:row>
    <x:row r="175" ht="72" customHeight="1">
      <x:c r="A175" s="179" t="str">
        <x:v>M04</x:v>
      </x:c>
      <x:c r="B175" s="180" t="str">
        <x:v>Definition与契约｜Property / Metadata / Type
Property Metadata</x:v>
      </x:c>
      <x:c r="C175" s="180" t="str">
        <x:v>MPMConfigurationProvider</x:v>
      </x:c>
      <x:c r="D175" s="179" t="str">
        <x:v>增构候选·待查重</x:v>
      </x:c>
      <x:c r="E175" s="180" t="str">
        <x:v>通用配置来源接口/读取实现</x:v>
      </x:c>
      <x:c r="F175" s="180" t="str">
        <x:v>Source；Precedence</x:v>
      </x:c>
      <x:c r="G175" s="180" t="str">
        <x:v>Read；Watch</x:v>
      </x:c>
      <x:c r="H175" s="180" t="str">
        <x:v>Core只处理工程元数据与属性投影，避免第二套配置系统</x:v>
      </x:c>
      <x:c r="I175" s="180" t="str">
        <x:v>ConfigurationProvider</x:v>
      </x:c>
      <x:c r="J175" s="179" t="str">
        <x:v>原候选待裁决</x:v>
      </x:c>
      <x:c r="K175" s="180" t="str">
        <x:v>生命周期：Contract；约束：配置来源接口：Read、Watch</x:v>
      </x:c>
      <x:c r="L175" s="183" t="str">
        <x:v>设计候选，尚待源码验证</x:v>
      </x:c>
      <x:c r="M175" s="183" t="str">
        <x:v>M04.ConfigurationProvider</x:v>
      </x:c>
      <x:c r="N175" s="184"/>
      <x:c r="O175" s="183" t="str">
        <x:v>R3A_Core裁决
V2.01：未匹配V2.01；处置=暂无可信对应
V7.8：V7.8未检出同名词法声明</x:v>
      </x:c>
      <x:c r="P175" s="136" t="str">
        <x:v>R3A_Core裁决</x:v>
      </x:c>
    </x:row>
    <x:row r="176" ht="72" customHeight="1">
      <x:c r="A176" s="179" t="str">
        <x:v>M04</x:v>
      </x:c>
      <x:c r="B176" s="180" t="str">
        <x:v>Definition与契约｜Property / Metadata / Type
Property Metadata</x:v>
      </x:c>
      <x:c r="C176" s="180" t="str">
        <x:v>MPMConfigurationService</x:v>
      </x:c>
      <x:c r="D176" s="179" t="str">
        <x:v>增构候选·待查重</x:v>
      </x:c>
      <x:c r="E176" s="180" t="str">
        <x:v>通用配置读取、层级合并与重载</x:v>
      </x:c>
      <x:c r="F176" s="180" t="str">
        <x:v>Sources；Overrides；Environment</x:v>
      </x:c>
      <x:c r="G176" s="180" t="str">
        <x:v>Load；Resolve；Reload</x:v>
      </x:c>
      <x:c r="H176" s="180" t="str">
        <x:v>工程参数适配通过Core的PropertyDescriptor完成</x:v>
      </x:c>
      <x:c r="I176" s="180" t="str">
        <x:v>ConfigurationService</x:v>
      </x:c>
      <x:c r="J176" s="179" t="str">
        <x:v>原候选待裁决</x:v>
      </x:c>
      <x:c r="K176" s="180" t="str">
        <x:v>生命周期：Runtime；约束：统一配置服务：Load、Resolve、Reload</x:v>
      </x:c>
      <x:c r="L176" s="183" t="str">
        <x:v>设计候选，尚待源码验证</x:v>
      </x:c>
      <x:c r="M176" s="183" t="str">
        <x:v>M04.ConfigurationService</x:v>
      </x:c>
      <x:c r="N176" s="184"/>
      <x:c r="O176" s="183" t="str">
        <x:v>R3A_Core裁决
V2.01：未匹配V2.01；处置=暂无可信对应
V7.8：V7.8未检出同名词法声明</x:v>
      </x:c>
      <x:c r="P176" s="136" t="str">
        <x:v>R3A_Core裁决</x:v>
      </x:c>
    </x:row>
    <x:row r="177" ht="72" customHeight="1">
      <x:c r="A177" s="179" t="str">
        <x:v>M04</x:v>
      </x:c>
      <x:c r="B177" s="180" t="str">
        <x:v>Definition与契约｜Property / Metadata / Type
Property Metadata</x:v>
      </x:c>
      <x:c r="C177" s="180" t="str">
        <x:v>MPMConfigurationValidationService</x:v>
      </x:c>
      <x:c r="D177" s="179" t="str">
        <x:v>增构候选·待查重</x:v>
      </x:c>
      <x:c r="E177" s="180" t="str">
        <x:v>基础配置格式及Schema校验</x:v>
      </x:c>
      <x:c r="F177" s="180" t="str">
        <x:v>Schema；Policies</x:v>
      </x:c>
      <x:c r="G177" s="180" t="str">
        <x:v>Validate；Diagnose</x:v>
      </x:c>
      <x:c r="H177" s="180" t="str">
        <x:v>涉及工程对象约束才由Core的Validator处理</x:v>
      </x:c>
      <x:c r="I177" s="180" t="str">
        <x:v>ConfigurationValidationService</x:v>
      </x:c>
      <x:c r="J177" s="179" t="str">
        <x:v>原候选待裁决</x:v>
      </x:c>
      <x:c r="K177" s="180" t="str">
        <x:v>生命周期：Studio；约束：配置校验服务：Validate、Diagnose</x:v>
      </x:c>
      <x:c r="L177" s="183" t="str">
        <x:v>设计候选，尚待源码验证</x:v>
      </x:c>
      <x:c r="M177" s="183" t="str">
        <x:v>M04.ConfigurationValidationService</x:v>
      </x:c>
      <x:c r="N177" s="184"/>
      <x:c r="O177" s="183" t="str">
        <x:v>R3A_Core裁决
V2.01：未匹配V2.01；处置=暂无可信对应
V7.8：V7.8未检出同名词法声明</x:v>
      </x:c>
      <x:c r="P177" s="136" t="str">
        <x:v>R3A_Core裁决</x:v>
      </x:c>
    </x:row>
    <x:row r="178" ht="72" customHeight="1">
      <x:c r="A178" s="179" t="str">
        <x:v>M04</x:v>
      </x:c>
      <x:c r="B178" s="180" t="str">
        <x:v>Definition与契约｜Property / Metadata / Type
Property Metadata</x:v>
      </x:c>
      <x:c r="C178" s="180" t="str">
        <x:v>MPMIPropertyCatalog</x:v>
      </x:c>
      <x:c r="D178" s="179" t="str">
        <x:v>增构候选·待查重</x:v>
      </x:c>
      <x:c r="E178" s="180" t="str">
        <x:v>设计：对象属性元数据</x:v>
      </x:c>
      <x:c r="F178" s="180" t="str">
        <x:v>GetProperties</x:v>
      </x:c>
      <x:c r="G178" s="180" t="str">
        <x:v>草案: IReadOnlyList&lt;PropertyDescriptor&gt; GetProperties(CxTypeReference type)</x:v>
      </x:c>
      <x:c r="H178" s="180" t="str">
        <x:v>待逐对象核实</x:v>
      </x:c>
      <x:c r="I178" s="180" t="str">
        <x:v>IPropertyCatalog</x:v>
      </x:c>
      <x:c r="J178" s="179" t="str">
        <x:v>interface</x:v>
      </x:c>
      <x:c r="K178" s="180" t="str">
        <x:v>生命周期：需定案；审核：补充类型字典</x:v>
      </x:c>
      <x:c r="L178" s="183" t="str">
        <x:v>设计候选，尚待源码验证</x:v>
      </x:c>
      <x:c r="M178" s="183" t="str">
        <x:v>R3A.M04.IPropertyCatalog</x:v>
      </x:c>
      <x:c r="N178" s="184"/>
      <x:c r="O178" s="183" t="str">
        <x:v>补充类型字典
V2.01：未匹配V2.01；处置=暂无可信对应
V7.8：V7.8未检出同名词法声明</x:v>
      </x:c>
      <x:c r="P178" s="136" t="str">
        <x:v>补充类型字典</x:v>
      </x:c>
    </x:row>
    <x:row r="179" ht="72" customHeight="1">
      <x:c r="A179" s="179" t="str">
        <x:v>M04</x:v>
      </x:c>
      <x:c r="B179" s="180" t="str">
        <x:v>Definition与契约｜Property / Metadata / Type
Property Metadata</x:v>
      </x:c>
      <x:c r="C179" s="180" t="str">
        <x:v>MPMIPropertyReader</x:v>
      </x:c>
      <x:c r="D179" s="179" t="str">
        <x:v>增构候选·待查重</x:v>
      </x:c>
      <x:c r="E179" s="180" t="str">
        <x:v>设计：只读访问</x:v>
      </x:c>
      <x:c r="F179" s="180" t="str">
        <x:v>TryRead</x:v>
      </x:c>
      <x:c r="G179" s="180" t="str">
        <x:v>草案: bool TryRead(CxNode node, string propertyId, out object value)</x:v>
      </x:c>
      <x:c r="H179" s="180" t="str">
        <x:v>待逐对象核实</x:v>
      </x:c>
      <x:c r="I179" s="180" t="str">
        <x:v>IPropertyReader</x:v>
      </x:c>
      <x:c r="J179" s="179" t="str">
        <x:v>interface</x:v>
      </x:c>
      <x:c r="K179" s="180" t="str">
        <x:v>生命周期：需定案；审核：补充类型字典</x:v>
      </x:c>
      <x:c r="L179" s="183" t="str">
        <x:v>设计候选，尚待源码验证</x:v>
      </x:c>
      <x:c r="M179" s="183" t="str">
        <x:v>R3A.M04.IPropertyReader</x:v>
      </x:c>
      <x:c r="N179" s="184"/>
      <x:c r="O179" s="183" t="str">
        <x:v>补充类型字典
V2.01：未匹配V2.01；处置=暂无可信对应
V7.8：V7.8未检出同名词法声明</x:v>
      </x:c>
      <x:c r="P179" s="136" t="str">
        <x:v>补充类型字典</x:v>
      </x:c>
    </x:row>
    <x:row r="180" ht="72" customHeight="1">
      <x:c r="A180" s="179" t="str">
        <x:v>M04</x:v>
      </x:c>
      <x:c r="B180" s="180" t="str">
        <x:v>Definition与契约｜Property / Metadata / Type
Property Metadata</x:v>
      </x:c>
      <x:c r="C180" s="180" t="str">
        <x:v>MPMIPropertyValidator</x:v>
      </x:c>
      <x:c r="D180" s="179" t="str">
        <x:v>增构候选·待查重</x:v>
      </x:c>
      <x:c r="E180" s="180" t="str">
        <x:v>设计：只读属性验证</x:v>
      </x:c>
      <x:c r="F180" s="180" t="str">
        <x:v>Validate</x:v>
      </x:c>
      <x:c r="G180" s="180" t="str">
        <x:v>草案: CxValidationReport Validate(CxNode node, string propertyId, object candidat</x:v>
      </x:c>
      <x:c r="H180" s="180" t="str">
        <x:v>待逐对象核实</x:v>
      </x:c>
      <x:c r="I180" s="180" t="str">
        <x:v>IPropertyValidator</x:v>
      </x:c>
      <x:c r="J180" s="179" t="str">
        <x:v>interface</x:v>
      </x:c>
      <x:c r="K180" s="180" t="str">
        <x:v>生命周期：需定案；审核：补充类型字典</x:v>
      </x:c>
      <x:c r="L180" s="183" t="str">
        <x:v>设计候选，尚待源码验证</x:v>
      </x:c>
      <x:c r="M180" s="183" t="str">
        <x:v>R3A.M04.IPropertyValidator</x:v>
      </x:c>
      <x:c r="N180" s="184"/>
      <x:c r="O180" s="183" t="str">
        <x:v>补充类型字典
V2.01：未匹配V2.01；处置=暂无可信对应
V7.8：V7.8未检出同名词法声明</x:v>
      </x:c>
      <x:c r="P180" s="136" t="str">
        <x:v>补充类型字典</x:v>
      </x:c>
    </x:row>
    <x:row r="181" ht="72" customHeight="1">
      <x:c r="A181" s="179" t="str">
        <x:v>M04</x:v>
      </x:c>
      <x:c r="B181" s="180" t="str">
        <x:v>Definition与契约｜Property / Metadata / Type
Property Metadata</x:v>
      </x:c>
      <x:c r="C181" s="180" t="str">
        <x:v>MPMMetadataProvider</x:v>
      </x:c>
      <x:c r="D181" s="179" t="str">
        <x:v>增构候选·待查重</x:v>
      </x:c>
      <x:c r="E181" s="180" t="str">
        <x:v>按对象/上下文贡献Metadata</x:v>
      </x:c>
      <x:c r="F181" s="180" t="str">
        <x:v>Descriptors；Rules</x:v>
      </x:c>
      <x:c r="G181" s="180" t="str">
        <x:v>按对象/上下文贡献Metadata</x:v>
      </x:c>
      <x:c r="H181" s="180" t="str">
        <x:v>禁止隐含运行态或UI强依赖</x:v>
      </x:c>
      <x:c r="I181" s="180" t="str">
        <x:v>运行对象/模型</x:v>
      </x:c>
      <x:c r="J181" s="179" t="str">
        <x:v>原候选待裁决</x:v>
      </x:c>
      <x:c r="K181" s="180" t="str">
        <x:v>生命周期：Resolved；约束：按对象/上下文贡献Metadata</x:v>
      </x:c>
      <x:c r="L181" s="183" t="str">
        <x:v>设计候选，尚待源码验证</x:v>
      </x:c>
      <x:c r="M181" s="183" t="str">
        <x:v>M04.MetadataProvider</x:v>
      </x:c>
      <x:c r="N181" s="184"/>
      <x:c r="O181" s="183" t="str">
        <x:v>R3A_Core裁决
V2.01：未匹配V2.01；处置=暂无可信对应
V7.8：V7.8未检出同名词法声明</x:v>
      </x:c>
      <x:c r="P181" s="136" t="str">
        <x:v>R3A_Core裁决</x:v>
      </x:c>
    </x:row>
    <x:row r="182" ht="72" customHeight="1">
      <x:c r="A182" s="179" t="str">
        <x:v>M04</x:v>
      </x:c>
      <x:c r="B182" s="180" t="str">
        <x:v>Definition与契约｜Property / Metadata / Type
Property Metadata</x:v>
      </x:c>
      <x:c r="C182" s="180" t="str">
        <x:v>MPMPropertyDescriptor</x:v>
      </x:c>
      <x:c r="D182" s="179" t="str">
        <x:v>增构候选·待查重</x:v>
      </x:c>
      <x:c r="E182" s="180" t="str">
        <x:v>统一属性描述</x:v>
      </x:c>
      <x:c r="F182" s="180" t="str">
        <x:v>Key；Type；Category；Default；Rules；Editor；草案: public string PropertyId { get; }；草案: public CxTypeReference PropertyType { get; }；草案: public bool ReadOnly { get; }；草案: public IReadOnlyList&lt;CxRuleDescriptor&gt; ValidationRules { get; }</x:v>
      </x:c>
      <x:c r="G182" s="180" t="str">
        <x:v>统一属性描述</x:v>
      </x:c>
      <x:c r="H182" s="180" t="str">
        <x:v>禁止隐含运行态或UI强依赖</x:v>
      </x:c>
      <x:c r="I182" s="180" t="str">
        <x:v>运行对象/模型</x:v>
      </x:c>
      <x:c r="J182" s="179" t="str">
        <x:v>sealed class</x:v>
      </x:c>
      <x:c r="K182" s="180" t="str">
        <x:v>生命周期：Definition；约束：统一属性描述</x:v>
      </x:c>
      <x:c r="L182" s="183" t="str">
        <x:v>设计候选，尚待源码验证</x:v>
      </x:c>
      <x:c r="M182" s="183" t="str">
        <x:v>M04.PropertyDescriptor</x:v>
      </x:c>
      <x:c r="N182" s="184"/>
      <x:c r="O182" s="183" t="str">
        <x:v>R3A_Core裁决
V2.01：未匹配V2.01；处置=暂无可信对应
V7.8：V7.8未检出同名词法声明</x:v>
      </x:c>
      <x:c r="P182" s="136" t="str">
        <x:v>R3A_Core裁决</x:v>
      </x:c>
    </x:row>
    <x:row r="183" ht="72" customHeight="1">
      <x:c r="A183" s="179" t="str">
        <x:v>M04</x:v>
      </x:c>
      <x:c r="B183" s="180" t="str">
        <x:v>Definition与契约｜Property / Metadata / Type
Property Metadata</x:v>
      </x:c>
      <x:c r="C183" s="180" t="str">
        <x:v>MPMSchemaDescriptor</x:v>
      </x:c>
      <x:c r="D183" s="179" t="str">
        <x:v>增构候选·待查重</x:v>
      </x:c>
      <x:c r="E183" s="180" t="str">
        <x:v>Schema版本与兼容</x:v>
      </x:c>
      <x:c r="F183" s="180" t="str">
        <x:v>SchemaId；Version；Fields；草案: public string SchemaVersion { get; }</x:v>
      </x:c>
      <x:c r="G183" s="180" t="str">
        <x:v>Schema版本与兼容</x:v>
      </x:c>
      <x:c r="H183" s="180" t="str">
        <x:v>禁止隐含运行态或UI强依赖</x:v>
      </x:c>
      <x:c r="I183" s="180" t="str">
        <x:v>运行对象/模型</x:v>
      </x:c>
      <x:c r="J183" s="179" t="str">
        <x:v>sealed class</x:v>
      </x:c>
      <x:c r="K183" s="180" t="str">
        <x:v>生命周期：Definition；约束：Schema版本与兼容</x:v>
      </x:c>
      <x:c r="L183" s="183" t="str">
        <x:v>设计候选，尚待源码验证</x:v>
      </x:c>
      <x:c r="M183" s="183" t="str">
        <x:v>M04.SchemaDescriptor</x:v>
      </x:c>
      <x:c r="N183" s="184"/>
      <x:c r="O183" s="183" t="str">
        <x:v>R3A_Core裁决
V2.01：未匹配V2.01；处置=暂无可信对应
V7.8：V7.8未检出同名词法声明</x:v>
      </x:c>
      <x:c r="P183" s="136" t="str">
        <x:v>R3A_Core裁决</x:v>
      </x:c>
    </x:row>
    <x:row r="184" ht="72" customHeight="1">
      <x:c r="A184" s="179" t="str">
        <x:v>M04</x:v>
      </x:c>
      <x:c r="B184" s="180" t="str">
        <x:v>Definition与契约｜Property / Metadata / Type
Property Metadata</x:v>
      </x:c>
      <x:c r="C184" s="180" t="str">
        <x:v>MPMTypeDescriptor</x:v>
      </x:c>
      <x:c r="D184" s="179" t="str">
        <x:v>增构候选·待查重</x:v>
      </x:c>
      <x:c r="E184" s="180" t="str">
        <x:v>稳定类型契约</x:v>
      </x:c>
      <x:c r="F184" s="180" t="str">
        <x:v>TypeId；Schema；Serializer；Comparer</x:v>
      </x:c>
      <x:c r="G184" s="180" t="str">
        <x:v>稳定类型契约</x:v>
      </x:c>
      <x:c r="H184" s="180" t="str">
        <x:v>禁止隐含运行态或UI强依赖</x:v>
      </x:c>
      <x:c r="I184" s="180" t="str">
        <x:v>TypeDescriptor</x:v>
      </x:c>
      <x:c r="J184" s="179" t="str">
        <x:v>sealed class</x:v>
      </x:c>
      <x:c r="K184" s="180" t="str">
        <x:v>生命周期：Definition；约束：稳定类型契约</x:v>
      </x:c>
      <x:c r="L184" s="183" t="str">
        <x:v>设计候选，尚待源码验证</x:v>
      </x:c>
      <x:c r="M184" s="183" t="str">
        <x:v>M04.TypeDescriptor</x:v>
      </x:c>
      <x:c r="N184" s="184"/>
      <x:c r="O184" s="183" t="str">
        <x:v>R3A_Core裁决
V2.01：未匹配V2.01；处置=暂无可信对应
V7.8：V7.8未检出同名词法声明</x:v>
      </x:c>
      <x:c r="P184" s="136" t="str">
        <x:v>R3A_Core裁决</x:v>
      </x:c>
    </x:row>
    <x:row r="185" ht="72" customHeight="1">
      <x:c r="A185" s="179" t="str">
        <x:v>M04</x:v>
      </x:c>
      <x:c r="B185" s="180" t="str">
        <x:v>Definition与契约｜Property / Metadata / Type
Property Metadata</x:v>
      </x:c>
      <x:c r="C185" s="180" t="str">
        <x:v>MPMUnitDescriptor</x:v>
      </x:c>
      <x:c r="D185" s="179" t="str">
        <x:v>增构候选·待查重</x:v>
      </x:c>
      <x:c r="E185" s="180" t="str">
        <x:v>基础单位与量纲描述</x:v>
      </x:c>
      <x:c r="F185" s="180" t="str">
        <x:v>Dimension；Unit；Scale；Format</x:v>
      </x:c>
      <x:c r="G185" s="180" t="str">
        <x:v>量纲/单位</x:v>
      </x:c>
      <x:c r="H185" s="180" t="str">
        <x:v>Core只存属性对单位的约束引用</x:v>
      </x:c>
      <x:c r="I185" s="180" t="str">
        <x:v>UnitDescriptor</x:v>
      </x:c>
      <x:c r="J185" s="179" t="str">
        <x:v>原候选待裁决</x:v>
      </x:c>
      <x:c r="K185" s="180" t="str">
        <x:v>生命周期：Definition；约束：量纲/单位</x:v>
      </x:c>
      <x:c r="L185" s="183" t="str">
        <x:v>设计候选，尚待源码验证</x:v>
      </x:c>
      <x:c r="M185" s="183" t="str">
        <x:v>M04.UnitDescriptor</x:v>
      </x:c>
      <x:c r="N185" s="184"/>
      <x:c r="O185" s="183" t="str">
        <x:v>R3A_Core裁决
V2.01：未匹配V2.01；处置=暂无可信对应
V7.8：V7.8未检出同名词法声明</x:v>
      </x:c>
      <x:c r="P185" s="136" t="str">
        <x:v>R3A_Core裁决</x:v>
      </x:c>
    </x:row>
    <x:row r="186" ht="72" customHeight="1">
      <x:c r="A186" s="179" t="str">
        <x:v>M04</x:v>
      </x:c>
      <x:c r="B186" s="180" t="str">
        <x:v>Definition与契约｜Property / Metadata / Type
Property Metadata</x:v>
      </x:c>
      <x:c r="C186" s="180" t="str">
        <x:v>MPMValidationRule</x:v>
      </x:c>
      <x:c r="D186" s="179" t="str">
        <x:v>增构候选·待查重</x:v>
      </x:c>
      <x:c r="E186" s="180" t="str">
        <x:v>结构化校验</x:v>
      </x:c>
      <x:c r="F186" s="180" t="str">
        <x:v>Severity；Condition；FixHint</x:v>
      </x:c>
      <x:c r="G186" s="180" t="str">
        <x:v>结构化校验</x:v>
      </x:c>
      <x:c r="H186" s="180" t="str">
        <x:v>禁止隐含运行态或UI强依赖</x:v>
      </x:c>
      <x:c r="I186" s="180" t="str">
        <x:v>ValidationRule</x:v>
      </x:c>
      <x:c r="J186" s="179" t="str">
        <x:v>sealed class</x:v>
      </x:c>
      <x:c r="K186" s="180" t="str">
        <x:v>生命周期：Definition；约束：结构化校验</x:v>
      </x:c>
      <x:c r="L186" s="183" t="str">
        <x:v>设计候选，尚待源码验证</x:v>
      </x:c>
      <x:c r="M186" s="183" t="str">
        <x:v>M04.ValidationRule</x:v>
      </x:c>
      <x:c r="N186" s="184"/>
      <x:c r="O186" s="183" t="str">
        <x:v>R3A_Core裁决
V2.01：未匹配V2.01；处置=暂无可信对应
V7.8：V7.8未检出同名词法声明</x:v>
      </x:c>
      <x:c r="P186" s="136" t="str">
        <x:v>R3A_Core裁决</x:v>
      </x:c>
    </x:row>
    <x:row r="187" ht="72" customHeight="1">
      <x:c r="A187" s="179" t="str">
        <x:v>M05</x:v>
      </x:c>
      <x:c r="B187" s="180" t="str">
        <x:v>Definition与契约｜Port / Connection / Contract
Port Connection</x:v>
      </x:c>
      <x:c r="C187" s="180" t="str">
        <x:v>CxConnectionDefinition</x:v>
      </x:c>
      <x:c r="D187" s="179" t="str">
        <x:v>复用待核</x:v>
      </x:c>
      <x:c r="E187" s="180" t="str">
        <x:v>稳定连接</x:v>
      </x:c>
      <x:c r="F187" s="180" t="str">
        <x:v>SourceEndpoint；TargetEndpoint；Adapter；Metadata</x:v>
      </x:c>
      <x:c r="G187" s="180" t="str">
        <x:v>稳定连接</x:v>
      </x:c>
      <x:c r="H187" s="180" t="str">
        <x:v>禁止隐含运行态或UI强依赖</x:v>
      </x:c>
      <x:c r="I187" s="180" t="str">
        <x:v>CxConnectionDefinition</x:v>
      </x:c>
      <x:c r="J187" s="179" t="str">
        <x:v>sealed class</x:v>
      </x:c>
      <x:c r="K187" s="180" t="str">
        <x:v>生命周期：Definition；约束：稳定连接</x:v>
      </x:c>
      <x:c r="L187" s="183" t="str">
        <x:v>V7.8源码词法匹配，尚未验收</x:v>
      </x:c>
      <x:c r="M187" s="183" t="str">
        <x:v>M05.CxConnectionDefinition</x:v>
      </x:c>
      <x:c r="N187" s="184" t="str">
        <x:v>Platform/Core/CxConnections.cs</x:v>
      </x:c>
      <x:c r="O187" s="183" t="str">
        <x:v>R3A_Core裁决
V2.01：未匹配V2.01；处置=暂无可信对应
V7.8：V7.8同名且源文件对应；Platform/Core/CxConnections.cs</x:v>
      </x:c>
      <x:c r="P187" s="136" t="str">
        <x:v>R3A_Core裁决</x:v>
      </x:c>
    </x:row>
    <x:row r="188" ht="72" customHeight="1">
      <x:c r="A188" s="179" t="str">
        <x:v>M05</x:v>
      </x:c>
      <x:c r="B188" s="180" t="str">
        <x:v>Definition与契约｜Port / Connection / Contract
Port Connection</x:v>
      </x:c>
      <x:c r="C188" s="180" t="str">
        <x:v>CxPortDefinition</x:v>
      </x:c>
      <x:c r="D188" s="179" t="str">
        <x:v>复用待核</x:v>
      </x:c>
      <x:c r="E188" s="180" t="str">
        <x:v>统一对象Port</x:v>
      </x:c>
      <x:c r="F188" s="180" t="str">
        <x:v>Id；Key；Kind；Direction；Cardinality；TypeId；ContractId；Optional；Visual；草案: public string PortId { get; }；草案: public CxPortDirection Direction { get; }；草案: public CxTypeReference DataType { get; }</x:v>
      </x:c>
      <x:c r="G188" s="180" t="str">
        <x:v>统一对象Port</x:v>
      </x:c>
      <x:c r="H188" s="180" t="str">
        <x:v>禁止隐含运行态或UI强依赖</x:v>
      </x:c>
      <x:c r="I188" s="180" t="str">
        <x:v>CxPortDefinition</x:v>
      </x:c>
      <x:c r="J188" s="179" t="str">
        <x:v>sealed class</x:v>
      </x:c>
      <x:c r="K188" s="180" t="str">
        <x:v>生命周期：Definition；约束：统一对象Port</x:v>
      </x:c>
      <x:c r="L188" s="183" t="str">
        <x:v>V7.8源码词法匹配，尚未验收</x:v>
      </x:c>
      <x:c r="M188" s="183" t="str">
        <x:v>M05.CxPortDefinition</x:v>
      </x:c>
      <x:c r="N188" s="184" t="str">
        <x:v>Platform/Core/CxPublicContracts.cs</x:v>
      </x:c>
      <x:c r="O188" s="183" t="str">
        <x:v>R3A_Core裁决
V2.01：未匹配V2.01；处置=暂无可信对应
V7.8：V7.8同名且源文件对应；Platform/Core/CxPublicContracts.cs</x:v>
      </x:c>
      <x:c r="P188" s="136" t="str">
        <x:v>R3A_Core裁决</x:v>
      </x:c>
    </x:row>
    <x:row r="189" ht="72" customHeight="1">
      <x:c r="A189" s="179" t="str">
        <x:v>M05</x:v>
      </x:c>
      <x:c r="B189" s="180" t="str">
        <x:v>Definition与契约｜Port / Connection / Contract
Port Connection</x:v>
      </x:c>
      <x:c r="C189" s="180" t="str">
        <x:v>CxPortDirection</x:v>
      </x:c>
      <x:c r="D189" s="179" t="str">
        <x:v>复用待核</x:v>
      </x:c>
      <x:c r="E189" s="180" t="str">
        <x:v>设计：控制流和数据流在更上层补语义</x:v>
      </x:c>
      <x:c r="F189" s="180" t="str">
        <x:v>Input,Output,InOut(需审核)</x:v>
      </x:c>
      <x:c r="G189" s="180" t="str">
        <x:v>—</x:v>
      </x:c>
      <x:c r="H189" s="180" t="str">
        <x:v>待逐对象核实</x:v>
      </x:c>
      <x:c r="I189" s="180" t="str">
        <x:v>CxPortDirection</x:v>
      </x:c>
      <x:c r="J189" s="179" t="str">
        <x:v>enum</x:v>
      </x:c>
      <x:c r="K189" s="180" t="str">
        <x:v>生命周期：需定案；审核：补充类型字典</x:v>
      </x:c>
      <x:c r="L189" s="183" t="str">
        <x:v>V7.8源码词法匹配，尚未验收</x:v>
      </x:c>
      <x:c r="M189" s="183" t="str">
        <x:v>R3A.M05.CxPortDirection</x:v>
      </x:c>
      <x:c r="N189" s="184" t="str">
        <x:v>Platform/Core/CxNodePorts.cs</x:v>
      </x:c>
      <x:c r="O189" s="183" t="str">
        <x:v>补充类型字典
V2.01：未匹配V2.01；处置=暂无可信对应
V7.8：V7.8同名且源文件对应；Platform/Core/CxNodePorts.cs</x:v>
      </x:c>
      <x:c r="P189" s="136" t="str">
        <x:v>补充类型字典</x:v>
      </x:c>
    </x:row>
    <x:row r="190" ht="72" customHeight="1">
      <x:c r="A190" s="179" t="str">
        <x:v>M05</x:v>
      </x:c>
      <x:c r="B190" s="180" t="str">
        <x:v>Definition与契约｜Port / Connection / Contract
Port Connection</x:v>
      </x:c>
      <x:c r="C190" s="180" t="str">
        <x:v>CxPortEndpoint</x:v>
      </x:c>
      <x:c r="D190" s="179" t="str">
        <x:v>增构候选·待查重</x:v>
      </x:c>
      <x:c r="E190" s="180" t="str">
        <x:v>稳定端点</x:v>
      </x:c>
      <x:c r="F190" s="180" t="str">
        <x:v>OwnerAddress；PortId；草案: public string OwnerId { get; }；草案: public string PortId { get; }</x:v>
      </x:c>
      <x:c r="G190" s="180" t="str">
        <x:v>稳定端点</x:v>
      </x:c>
      <x:c r="H190" s="180" t="str">
        <x:v>禁止隐含运行态或UI强依赖</x:v>
      </x:c>
      <x:c r="I190" s="180" t="str">
        <x:v>CxPortEndpoint</x:v>
      </x:c>
      <x:c r="J190" s="179" t="str">
        <x:v>readonly struct</x:v>
      </x:c>
      <x:c r="K190" s="180" t="str">
        <x:v>生命周期：Definition；约束：稳定端点</x:v>
      </x:c>
      <x:c r="L190" s="183" t="str">
        <x:v>设计候选，尚待源码验证</x:v>
      </x:c>
      <x:c r="M190" s="183" t="str">
        <x:v>M05.CxPortEndpoint</x:v>
      </x:c>
      <x:c r="N190" s="184"/>
      <x:c r="O190" s="183" t="str">
        <x:v>R3A_Core裁决
V2.01：未匹配V2.01；处置=暂无可信对应
V7.8：V7.8未检出同名词法声明</x:v>
      </x:c>
      <x:c r="P190" s="136" t="str">
        <x:v>R3A_Core裁决</x:v>
      </x:c>
    </x:row>
    <x:row r="191" ht="72" customHeight="1">
      <x:c r="A191" s="179" t="str">
        <x:v>M05</x:v>
      </x:c>
      <x:c r="B191" s="180" t="str">
        <x:v>Definition与契约｜Port / Connection / Contract
Port Connection</x:v>
      </x:c>
      <x:c r="C191" s="180" t="str">
        <x:v>MPCConnectionService</x:v>
      </x:c>
      <x:c r="D191" s="179" t="str">
        <x:v>复用待核</x:v>
      </x:c>
      <x:c r="E191" s="180" t="str">
        <x:v>统一连接操作</x:v>
      </x:c>
      <x:c r="F191" s="180" t="str">
        <x:v>CanConnect；Connect；Disconnect；Reconnect；Resolve；Validate</x:v>
      </x:c>
      <x:c r="G191" s="180" t="str">
        <x:v>统一连接操作</x:v>
      </x:c>
      <x:c r="H191" s="180" t="str">
        <x:v>禁止隐含运行态或UI强依赖</x:v>
      </x:c>
      <x:c r="I191" s="180" t="str">
        <x:v>ConnectionService</x:v>
      </x:c>
      <x:c r="J191" s="179" t="str">
        <x:v>原候选待裁决</x:v>
      </x:c>
      <x:c r="K191" s="180" t="str">
        <x:v>生命周期：Resolved；约束：统一连接操作</x:v>
      </x:c>
      <x:c r="L191" s="183" t="str">
        <x:v>V7.8源码词法匹配，尚未验收</x:v>
      </x:c>
      <x:c r="M191" s="183" t="str">
        <x:v>M05.ConnectionService</x:v>
      </x:c>
      <x:c r="N191" s="184" t="str">
        <x:v>Platform/Core/Connections.cs</x:v>
      </x:c>
      <x:c r="O191" s="183" t="str">
        <x:v>R3A_Core裁决
V2.01：未匹配V2.01；处置=暂无可信对应
V7.8：V7.8同名且源文件对应；Platform/Core/Connections.cs</x:v>
      </x:c>
      <x:c r="P191" s="136" t="str">
        <x:v>R3A_Core裁决</x:v>
      </x:c>
    </x:row>
    <x:row r="192" ht="72" customHeight="1">
      <x:c r="A192" s="179" t="str">
        <x:v>M05</x:v>
      </x:c>
      <x:c r="B192" s="180" t="str">
        <x:v>Definition与契约｜Port / Connection / Contract
Port Connection</x:v>
      </x:c>
      <x:c r="C192" s="180" t="str">
        <x:v>MPCIConnectionMutation</x:v>
      </x:c>
      <x:c r="D192" s="179" t="str">
        <x:v>增构候选·待查重</x:v>
      </x:c>
      <x:c r="E192" s="180" t="str">
        <x:v>设计：通用连接，逻辑连线由Orchestration批准</x:v>
      </x:c>
      <x:c r="F192" s="180" t="str">
        <x:v>TryConnect</x:v>
      </x:c>
      <x:c r="G192" s="180" t="str">
        <x:v>草案: bool TryConnect(ProjectModel project, CxPortEndpoint source, CxPortEndpoint</x:v>
      </x:c>
      <x:c r="H192" s="180" t="str">
        <x:v>待逐对象核实</x:v>
      </x:c>
      <x:c r="I192" s="180" t="str">
        <x:v>IConnectionMutation</x:v>
      </x:c>
      <x:c r="J192" s="179" t="str">
        <x:v>interface</x:v>
      </x:c>
      <x:c r="K192" s="180" t="str">
        <x:v>生命周期：需定案；审核：补充类型字典</x:v>
      </x:c>
      <x:c r="L192" s="183" t="str">
        <x:v>设计候选，尚待源码验证</x:v>
      </x:c>
      <x:c r="M192" s="183" t="str">
        <x:v>R3A.M05.IConnectionMutation</x:v>
      </x:c>
      <x:c r="N192" s="184"/>
      <x:c r="O192" s="183" t="str">
        <x:v>补充类型字典
V2.01：未匹配V2.01；处置=暂无可信对应
V7.8：V7.8未检出同名词法声明</x:v>
      </x:c>
      <x:c r="P192" s="136" t="str">
        <x:v>补充类型字典</x:v>
      </x:c>
    </x:row>
    <x:row r="193" ht="72" customHeight="1">
      <x:c r="A193" s="179" t="str">
        <x:v>M05</x:v>
      </x:c>
      <x:c r="B193" s="180" t="str">
        <x:v>Definition与契约｜Port / Connection / Contract
Port Connection</x:v>
      </x:c>
      <x:c r="C193" s="180" t="str">
        <x:v>MPCIPortCompatibility</x:v>
      </x:c>
      <x:c r="D193" s="179" t="str">
        <x:v>增构候选·待查重</x:v>
      </x:c>
      <x:c r="E193" s="180" t="str">
        <x:v>设计：通用连接前提</x:v>
      </x:c>
      <x:c r="F193" s="180" t="str">
        <x:v>Check</x:v>
      </x:c>
      <x:c r="G193" s="180" t="str">
        <x:v>草案: CxValidationReport Check(CxPortDefinition output, CxPortDefinition input, C</x:v>
      </x:c>
      <x:c r="H193" s="180" t="str">
        <x:v>待逐对象核实</x:v>
      </x:c>
      <x:c r="I193" s="180" t="str">
        <x:v>IPortCompatibility</x:v>
      </x:c>
      <x:c r="J193" s="179" t="str">
        <x:v>interface</x:v>
      </x:c>
      <x:c r="K193" s="180" t="str">
        <x:v>生命周期：需定案；审核：补充类型字典</x:v>
      </x:c>
      <x:c r="L193" s="183" t="str">
        <x:v>设计候选，尚待源码验证</x:v>
      </x:c>
      <x:c r="M193" s="183" t="str">
        <x:v>R3A.M05.IPortCompatibility</x:v>
      </x:c>
      <x:c r="N193" s="184"/>
      <x:c r="O193" s="183" t="str">
        <x:v>补充类型字典
V2.01：未匹配V2.01；处置=暂无可信对应
V7.8：V7.8未检出同名词法声明</x:v>
      </x:c>
      <x:c r="P193" s="136" t="str">
        <x:v>补充类型字典</x:v>
      </x:c>
    </x:row>
    <x:row r="194" ht="72" customHeight="1">
      <x:c r="A194" s="179" t="str">
        <x:v>M05</x:v>
      </x:c>
      <x:c r="B194" s="180" t="str">
        <x:v>Definition与契约｜Port / Connection / Contract
Port Connection</x:v>
      </x:c>
      <x:c r="C194" s="180" t="str">
        <x:v>MPCPortComposition</x:v>
      </x:c>
      <x:c r="D194" s="179" t="str">
        <x:v>增构候选·待查重</x:v>
      </x:c>
      <x:c r="E194" s="180" t="str">
        <x:v>管理Port集合</x:v>
      </x:c>
      <x:c r="F194" s="180" t="str">
        <x:v>Items</x:v>
      </x:c>
      <x:c r="G194" s="180" t="str">
        <x:v>管理Port集合</x:v>
      </x:c>
      <x:c r="H194" s="180" t="str">
        <x:v>禁止隐含运行态或UI强依赖</x:v>
      </x:c>
      <x:c r="I194" s="180" t="str">
        <x:v>PortComposition</x:v>
      </x:c>
      <x:c r="J194" s="179" t="str">
        <x:v>原候选待裁决</x:v>
      </x:c>
      <x:c r="K194" s="180" t="str">
        <x:v>生命周期：Definition；约束：管理Port集合</x:v>
      </x:c>
      <x:c r="L194" s="183" t="str">
        <x:v>设计候选，尚待源码验证</x:v>
      </x:c>
      <x:c r="M194" s="183" t="str">
        <x:v>M05.PortComposition</x:v>
      </x:c>
      <x:c r="N194" s="184"/>
      <x:c r="O194" s="183" t="str">
        <x:v>R3A_Core裁决
V2.01：未匹配V2.01；处置=暂无可信对应
V7.8：V7.8未检出同名词法声明</x:v>
      </x:c>
      <x:c r="P194" s="136" t="str">
        <x:v>R3A_Core裁决</x:v>
      </x:c>
    </x:row>
    <x:row r="195" ht="72" customHeight="1">
      <x:c r="A195" s="179" t="str">
        <x:v>M05</x:v>
      </x:c>
      <x:c r="B195" s="180" t="str">
        <x:v>Definition与契约｜Port / Connection / Contract
Port Connection</x:v>
      </x:c>
      <x:c r="C195" s="180" t="str">
        <x:v>MPCTypeConverterDescriptor</x:v>
      </x:c>
      <x:c r="D195" s="179" t="str">
        <x:v>增构候选·待查重</x:v>
      </x:c>
      <x:c r="E195" s="180" t="str">
        <x:v>受控转换的描述与兼容判定</x:v>
      </x:c>
      <x:c r="F195" s="180" t="str">
        <x:v>SourceType；TargetType；ConverterId</x:v>
      </x:c>
      <x:c r="G195" s="180" t="str">
        <x:v>显式类型转换</x:v>
      </x:c>
      <x:c r="H195" s="180" t="str">
        <x:v>执行转换Provider可位于专业；禁止UI自行猜测类型</x:v>
      </x:c>
      <x:c r="I195" s="180" t="str">
        <x:v>运行对象/模型</x:v>
      </x:c>
      <x:c r="J195" s="179" t="str">
        <x:v>原候选待裁决</x:v>
      </x:c>
      <x:c r="K195" s="180" t="str">
        <x:v>生命周期：Resolved；约束：显式类型转换</x:v>
      </x:c>
      <x:c r="L195" s="183" t="str">
        <x:v>设计候选，尚待源码验证</x:v>
      </x:c>
      <x:c r="M195" s="183" t="str">
        <x:v>M05.TypeConverterDescriptor</x:v>
      </x:c>
      <x:c r="N195" s="184"/>
      <x:c r="O195" s="183" t="str">
        <x:v>R3A_Core裁决
V2.01：未匹配V2.01；处置=暂无可信对应
V7.8：V7.8未检出同名词法声明</x:v>
      </x:c>
      <x:c r="P195" s="136" t="str">
        <x:v>R3A_Core裁决</x:v>
      </x:c>
    </x:row>
    <x:row r="196" ht="72" customHeight="1">
      <x:c r="A196" s="179" t="str">
        <x:v>M06</x:v>
      </x:c>
      <x:c r="B196" s="180" t="str">
        <x:v>跨专业基础契约｜统一时间、空间坐标与量纲契约
Time Space Units</x:v>
      </x:c>
      <x:c r="C196" s="180" t="str">
        <x:v>CxContractContext</x:v>
      </x:c>
      <x:c r="D196" s="179" t="str">
        <x:v>增构候选·待查重</x:v>
      </x:c>
      <x:c r="E196" s="180" t="str">
        <x:v>设计：对时空契约只读</x:v>
      </x:c>
      <x:c r="F196" s="180" t="str">
        <x:v>UnitRegistry,FrameRegistry,TypeCatalog</x:v>
      </x:c>
      <x:c r="G196" s="180" t="str">
        <x:v>—</x:v>
      </x:c>
      <x:c r="H196" s="180" t="str">
        <x:v>待逐对象核实</x:v>
      </x:c>
      <x:c r="I196" s="180" t="str">
        <x:v>CxContractContext</x:v>
      </x:c>
      <x:c r="J196" s="179" t="str">
        <x:v>sealed class</x:v>
      </x:c>
      <x:c r="K196" s="180" t="str">
        <x:v>生命周期：需定案；审核：补充类型字典</x:v>
      </x:c>
      <x:c r="L196" s="183" t="str">
        <x:v>设计候选，尚待源码验证</x:v>
      </x:c>
      <x:c r="M196" s="183" t="str">
        <x:v>R3A.M06.CxContractContext</x:v>
      </x:c>
      <x:c r="N196" s="184"/>
      <x:c r="O196" s="183" t="str">
        <x:v>补充类型字典
V2.01：未匹配V2.01；处置=暂无可信对应
V7.8：V7.8未检出同名词法声明</x:v>
      </x:c>
      <x:c r="P196" s="136" t="str">
        <x:v>补充类型字典</x:v>
      </x:c>
    </x:row>
    <x:row r="197" ht="72" customHeight="1">
      <x:c r="A197" s="179" t="str">
        <x:v>M06</x:v>
      </x:c>
      <x:c r="B197" s="180" t="str">
        <x:v>跨专业基础契约｜统一时间、空间坐标与量纲契约
Time Space Units</x:v>
      </x:c>
      <x:c r="C197" s="180" t="str">
        <x:v>MTUCalibrationReference</x:v>
      </x:c>
      <x:c r="D197" s="179" t="str">
        <x:v>增构候选·待查重</x:v>
      </x:c>
      <x:c r="E197" s="180" t="str">
        <x:v>统一标定引用：Resolve、Validate</x:v>
      </x:c>
      <x:c r="F197" s="180" t="str">
        <x:v>CalibrationId；Frame；Version</x:v>
      </x:c>
      <x:c r="G197" s="180" t="str">
        <x:v>Resolve；Validate</x:v>
      </x:c>
      <x:c r="H197" s="180" t="str">
        <x:v>禁止隐含运行态或UI强依赖</x:v>
      </x:c>
      <x:c r="I197" s="180" t="str">
        <x:v>CalibrationReference</x:v>
      </x:c>
      <x:c r="J197" s="179" t="str">
        <x:v>原候选待裁决</x:v>
      </x:c>
      <x:c r="K197" s="180" t="str">
        <x:v>生命周期：Definition；约束：统一标定引用：Resolve、Validate</x:v>
      </x:c>
      <x:c r="L197" s="183" t="str">
        <x:v>设计候选，尚待源码验证</x:v>
      </x:c>
      <x:c r="M197" s="183" t="str">
        <x:v>M06.CalibrationReference</x:v>
      </x:c>
      <x:c r="N197" s="184"/>
      <x:c r="O197" s="183" t="str">
        <x:v>R3A_Core裁决
V2.01：未匹配V2.01；处置=暂无可信对应
V7.8：V7.8未检出同名词法声明</x:v>
      </x:c>
      <x:c r="P197" s="136" t="str">
        <x:v>R3A_Core裁决</x:v>
      </x:c>
    </x:row>
    <x:row r="198" ht="72" customHeight="1">
      <x:c r="A198" s="179" t="str">
        <x:v>M06</x:v>
      </x:c>
      <x:c r="B198" s="180" t="str">
        <x:v>跨专业基础契约｜统一时间、空间坐标与量纲契约
Time Space Units</x:v>
      </x:c>
      <x:c r="C198" s="180" t="str">
        <x:v>MTUClockSynchronizationPolicy</x:v>
      </x:c>
      <x:c r="D198" s="179" t="str">
        <x:v>增构候选·待查重</x:v>
      </x:c>
      <x:c r="E198" s="180" t="str">
        <x:v>时钟同步约束描述</x:v>
      </x:c>
      <x:c r="F198" s="180" t="str">
        <x:v>MasterClock；Tolerance；Fallback</x:v>
      </x:c>
      <x:c r="G198" s="180" t="str">
        <x:v>Validate；Apply</x:v>
      </x:c>
      <x:c r="H198" s="180" t="str">
        <x:v>具体网络时钟/设备控制不进入Core</x:v>
      </x:c>
      <x:c r="I198" s="180" t="str">
        <x:v>策略定义类</x:v>
      </x:c>
      <x:c r="J198" s="179" t="str">
        <x:v>原候选待裁决</x:v>
      </x:c>
      <x:c r="K198" s="180" t="str">
        <x:v>生命周期：Definition；约束：时钟同步策略：Validate、Apply</x:v>
      </x:c>
      <x:c r="L198" s="183" t="str">
        <x:v>设计候选，尚待源码验证</x:v>
      </x:c>
      <x:c r="M198" s="183" t="str">
        <x:v>M06.ClockSynchronizationPolicy</x:v>
      </x:c>
      <x:c r="N198" s="184" t="str">
        <x:v>03_能力对象!C44</x:v>
      </x:c>
      <x:c r="O198" s="183" t="str">
        <x:v>R3A_Core裁决
V2.01：名称/子方面线索；处置=规划独立契约候选·未批准新增
V7.8：V7.8未检出同名词法声明</x:v>
      </x:c>
      <x:c r="P198" s="136" t="str">
        <x:v>R3A_Core裁决</x:v>
      </x:c>
    </x:row>
    <x:row r="199" ht="72" customHeight="1">
      <x:c r="A199" s="179" t="str">
        <x:v>M06</x:v>
      </x:c>
      <x:c r="B199" s="180" t="str">
        <x:v>跨专业基础契约｜统一时间、空间坐标与量纲契约
Time Space Units</x:v>
      </x:c>
      <x:c r="C199" s="180" t="str">
        <x:v>MTUCoordinateFrameRegistry</x:v>
      </x:c>
      <x:c r="D199" s="179" t="str">
        <x:v>增构候选·待查重</x:v>
      </x:c>
      <x:c r="E199" s="180" t="str">
        <x:v>工程层坐标框架注册/寻址</x:v>
      </x:c>
      <x:c r="F199" s="180" t="str">
        <x:v>Frames；ParentLinks；Versions</x:v>
      </x:c>
      <x:c r="G199" s="180" t="str">
        <x:v>Register；Resolve</x:v>
      </x:c>
      <x:c r="H199" s="180" t="str">
        <x:v>基础矩阵在F07；专业标定在Professional</x:v>
      </x:c>
      <x:c r="I199" s="180" t="str">
        <x:v>CoordinateFrameRegistry</x:v>
      </x:c>
      <x:c r="J199" s="179" t="str">
        <x:v>原候选待裁决</x:v>
      </x:c>
      <x:c r="K199" s="180" t="str">
        <x:v>生命周期：Runtime；约束：空间坐标注册表：Register、Resolve</x:v>
      </x:c>
      <x:c r="L199" s="183" t="str">
        <x:v>设计候选，尚待源码验证</x:v>
      </x:c>
      <x:c r="M199" s="183" t="str">
        <x:v>M06.CoordinateFrameRegistry</x:v>
      </x:c>
      <x:c r="N199" s="184" t="str">
        <x:v>03_能力对象!C45</x:v>
      </x:c>
      <x:c r="O199" s="183" t="str">
        <x:v>R3A_Core裁决
V2.01：名称/子方面线索；处置=规划独立契约候选·未批准新增
V7.8：V7.8未检出同名词法声明</x:v>
      </x:c>
      <x:c r="P199" s="136" t="str">
        <x:v>R3A_Core裁决</x:v>
      </x:c>
    </x:row>
    <x:row r="200" ht="72" customHeight="1">
      <x:c r="A200" s="179" t="str">
        <x:v>M06</x:v>
      </x:c>
      <x:c r="B200" s="180" t="str">
        <x:v>跨专业基础契约｜统一时间、空间坐标与量纲契约
Time Space Units</x:v>
      </x:c>
      <x:c r="C200" s="180" t="str">
        <x:v>MTUFrameTransformResolver</x:v>
      </x:c>
      <x:c r="D200" s="179" t="str">
        <x:v>增构候选·待查重</x:v>
      </x:c>
      <x:c r="E200" s="180" t="str">
        <x:v>坐标变换解析契约</x:v>
      </x:c>
      <x:c r="F200" s="180" t="str">
        <x:v>Source；Target；Chain</x:v>
      </x:c>
      <x:c r="G200" s="180" t="str">
        <x:v>Resolve；Compose</x:v>
      </x:c>
      <x:c r="H200" s="180" t="str">
        <x:v>计算复用F07；设备/CT校准实际实现不进入Core</x:v>
      </x:c>
      <x:c r="I200" s="180" t="str">
        <x:v>FrameTransformResolver</x:v>
      </x:c>
      <x:c r="J200" s="179" t="str">
        <x:v>原候选待裁决</x:v>
      </x:c>
      <x:c r="K200" s="180" t="str">
        <x:v>生命周期：Resolved；约束：坐标变换解析器：Resolve、Compose</x:v>
      </x:c>
      <x:c r="L200" s="183" t="str">
        <x:v>设计候选，尚待源码验证</x:v>
      </x:c>
      <x:c r="M200" s="183" t="str">
        <x:v>M06.FrameTransformResolver</x:v>
      </x:c>
      <x:c r="N200" s="184" t="str">
        <x:v>03_能力对象!C46</x:v>
      </x:c>
      <x:c r="O200" s="183" t="str">
        <x:v>R3A_Core裁决
V2.01：名称/子方面线索；处置=规划独立契约候选·未批准新增
V7.8：V7.8未检出同名词法声明</x:v>
      </x:c>
      <x:c r="P200" s="136" t="str">
        <x:v>R3A_Core裁决</x:v>
      </x:c>
    </x:row>
    <x:row r="201" ht="72" customHeight="1">
      <x:c r="A201" s="179" t="str">
        <x:v>M06</x:v>
      </x:c>
      <x:c r="B201" s="180" t="str">
        <x:v>跨专业基础契约｜统一时间、空间坐标与量纲契约
Time Space Units</x:v>
      </x:c>
      <x:c r="C201" s="180" t="str">
        <x:v>MTUIFrameTransformResolver</x:v>
      </x:c>
      <x:c r="D201" s="179" t="str">
        <x:v>增构候选·待查重</x:v>
      </x:c>
      <x:c r="E201" s="180" t="str">
        <x:v>设计：具体计算F07</x:v>
      </x:c>
      <x:c r="F201" s="180" t="str">
        <x:v>TryResolve</x:v>
      </x:c>
      <x:c r="G201" s="180" t="str">
        <x:v>草案: bool TryResolve(string sourceFrameId, string targetFrameId, out CxTransform</x:v>
      </x:c>
      <x:c r="H201" s="180" t="str">
        <x:v>待逐对象核实</x:v>
      </x:c>
      <x:c r="I201" s="180" t="str">
        <x:v>IFrameTransformResolver</x:v>
      </x:c>
      <x:c r="J201" s="179" t="str">
        <x:v>interface</x:v>
      </x:c>
      <x:c r="K201" s="180" t="str">
        <x:v>生命周期：需定案；审核：补充类型字典</x:v>
      </x:c>
      <x:c r="L201" s="183" t="str">
        <x:v>设计候选，尚待源码验证</x:v>
      </x:c>
      <x:c r="M201" s="183" t="str">
        <x:v>R3A.M06.IFrameTransformResolver</x:v>
      </x:c>
      <x:c r="N201" s="184"/>
      <x:c r="O201" s="183" t="str">
        <x:v>补充类型字典
V2.01：未匹配V2.01；处置=暂无可信对应
V7.8：V7.8未检出同名词法声明</x:v>
      </x:c>
      <x:c r="P201" s="136" t="str">
        <x:v>补充类型字典</x:v>
      </x:c>
    </x:row>
    <x:row r="202" ht="72" customHeight="1">
      <x:c r="A202" s="179" t="str">
        <x:v>M06</x:v>
      </x:c>
      <x:c r="B202" s="180" t="str">
        <x:v>跨专业基础契约｜统一时间、空间坐标与量纲契约
Time Space Units</x:v>
      </x:c>
      <x:c r="C202" s="180" t="str">
        <x:v>MTUITimeSpaceValidator</x:v>
      </x:c>
      <x:c r="D202" s="179" t="str">
        <x:v>增构候选·待查重</x:v>
      </x:c>
      <x:c r="E202" s="180" t="str">
        <x:v>设计：时空/量纲校验</x:v>
      </x:c>
      <x:c r="F202" s="180" t="str">
        <x:v>Validate</x:v>
      </x:c>
      <x:c r="G202" s="180" t="str">
        <x:v>草案: CxValidationReport Validate(TimeSpaceContract source, TimeSpaceContract tar</x:v>
      </x:c>
      <x:c r="H202" s="180" t="str">
        <x:v>待逐对象核实</x:v>
      </x:c>
      <x:c r="I202" s="180" t="str">
        <x:v>ITimeSpaceValidator</x:v>
      </x:c>
      <x:c r="J202" s="179" t="str">
        <x:v>interface</x:v>
      </x:c>
      <x:c r="K202" s="180" t="str">
        <x:v>生命周期：需定案；审核：补充类型字典</x:v>
      </x:c>
      <x:c r="L202" s="183" t="str">
        <x:v>设计候选，尚待源码验证</x:v>
      </x:c>
      <x:c r="M202" s="183" t="str">
        <x:v>R3A.M06.ITimeSpaceValidator</x:v>
      </x:c>
      <x:c r="N202" s="184"/>
      <x:c r="O202" s="183" t="str">
        <x:v>补充类型字典
V2.01：未匹配V2.01；处置=暂无可信对应
V7.8：V7.8未检出同名词法声明</x:v>
      </x:c>
      <x:c r="P202" s="136" t="str">
        <x:v>补充类型字典</x:v>
      </x:c>
    </x:row>
    <x:row r="203" ht="72" customHeight="1">
      <x:c r="A203" s="179" t="str">
        <x:v>M06</x:v>
      </x:c>
      <x:c r="B203" s="180" t="str">
        <x:v>跨专业基础契约｜统一时间、空间坐标与量纲契约
Time Space Units</x:v>
      </x:c>
      <x:c r="C203" s="180" t="str">
        <x:v>MTUQuantityContractValidator</x:v>
      </x:c>
      <x:c r="D203" s="179" t="str">
        <x:v>增构候选·待查重</x:v>
      </x:c>
      <x:c r="E203" s="180" t="str">
        <x:v>物理量契约验证器：Validate、Diagnose</x:v>
      </x:c>
      <x:c r="F203" s="180" t="str">
        <x:v>SourceType；TargetType</x:v>
      </x:c>
      <x:c r="G203" s="180" t="str">
        <x:v>Validate；Diagnose</x:v>
      </x:c>
      <x:c r="H203" s="180" t="str">
        <x:v>禁止隐含运行态或UI强依赖</x:v>
      </x:c>
      <x:c r="I203" s="180" t="str">
        <x:v>校验服务</x:v>
      </x:c>
      <x:c r="J203" s="179" t="str">
        <x:v>原候选待裁决</x:v>
      </x:c>
      <x:c r="K203" s="180" t="str">
        <x:v>生命周期：Resolved；约束：物理量契约验证器：Validate、Diagnose</x:v>
      </x:c>
      <x:c r="L203" s="183" t="str">
        <x:v>设计候选，尚待源码验证</x:v>
      </x:c>
      <x:c r="M203" s="183" t="str">
        <x:v>M06.QuantityContractValidator</x:v>
      </x:c>
      <x:c r="N203" s="184" t="str">
        <x:v>03_能力对象!C47</x:v>
      </x:c>
      <x:c r="O203" s="183" t="str">
        <x:v>R3A_Core裁决
V2.01：名称/子方面线索；处置=规划独立契约候选·未批准新增
V7.8：V7.8未检出同名词法声明</x:v>
      </x:c>
      <x:c r="P203" s="136" t="str">
        <x:v>R3A_Core裁决</x:v>
      </x:c>
    </x:row>
    <x:row r="204" ht="72" customHeight="1">
      <x:c r="A204" s="179" t="str">
        <x:v>M06</x:v>
      </x:c>
      <x:c r="B204" s="180" t="str">
        <x:v>跨专业基础契约｜统一时间、空间坐标与量纲契约
Time Space Units</x:v>
      </x:c>
      <x:c r="C204" s="180" t="str">
        <x:v>MTUSpatialAccuracyReport</x:v>
      </x:c>
      <x:c r="D204" s="179" t="str">
        <x:v>增构候选·待查重</x:v>
      </x:c>
      <x:c r="E204" s="180" t="str">
        <x:v>空间精度验证报告：Evaluate、Publish</x:v>
      </x:c>
      <x:c r="F204" s="180" t="str">
        <x:v>Residuals；Frames；Versions</x:v>
      </x:c>
      <x:c r="G204" s="180" t="str">
        <x:v>Evaluate；Publish</x:v>
      </x:c>
      <x:c r="H204" s="180" t="str">
        <x:v>禁止隐含运行态或UI强依赖</x:v>
      </x:c>
      <x:c r="I204" s="180" t="str">
        <x:v>证据制品/记录</x:v>
      </x:c>
      <x:c r="J204" s="179" t="str">
        <x:v>原候选待裁决</x:v>
      </x:c>
      <x:c r="K204" s="180" t="str">
        <x:v>生命周期：Runtime；约束：空间精度验证报告：Evaluate、Publish</x:v>
      </x:c>
      <x:c r="L204" s="183" t="str">
        <x:v>设计候选，尚待源码验证</x:v>
      </x:c>
      <x:c r="M204" s="183" t="str">
        <x:v>M06.SpatialAccuracyReport</x:v>
      </x:c>
      <x:c r="N204" s="184"/>
      <x:c r="O204" s="183" t="str">
        <x:v>R3A_Core裁决
V2.01：未匹配V2.01；处置=暂无可信对应
V7.8：V7.8未检出同名词法声明</x:v>
      </x:c>
      <x:c r="P204" s="136" t="str">
        <x:v>R3A_Core裁决</x:v>
      </x:c>
    </x:row>
    <x:row r="205" ht="72" customHeight="1">
      <x:c r="A205" s="179" t="str">
        <x:v>M06</x:v>
      </x:c>
      <x:c r="B205" s="180" t="str">
        <x:v>跨专业基础契约｜统一时间、空间坐标与量纲契约
Time Space Units</x:v>
      </x:c>
      <x:c r="C205" s="180" t="str">
        <x:v>MTUSpatialUnitBinding</x:v>
      </x:c>
      <x:c r="D205" s="179" t="str">
        <x:v>增构候选·待查重</x:v>
      </x:c>
      <x:c r="E205" s="180" t="str">
        <x:v>空间量纲绑定：Validate、Convert</x:v>
      </x:c>
      <x:c r="F205" s="180" t="str">
        <x:v>Dimension；Unit；FrameRef</x:v>
      </x:c>
      <x:c r="G205" s="180" t="str">
        <x:v>Validate；Convert</x:v>
      </x:c>
      <x:c r="H205" s="180" t="str">
        <x:v>禁止隐含运行态或UI强依赖</x:v>
      </x:c>
      <x:c r="I205" s="180" t="str">
        <x:v>定义类</x:v>
      </x:c>
      <x:c r="J205" s="179" t="str">
        <x:v>sealed class</x:v>
      </x:c>
      <x:c r="K205" s="180" t="str">
        <x:v>生命周期：Contract；约束：空间量纲绑定：Validate、Convert</x:v>
      </x:c>
      <x:c r="L205" s="183" t="str">
        <x:v>设计候选，尚待源码验证</x:v>
      </x:c>
      <x:c r="M205" s="183" t="str">
        <x:v>M06.SpatialUnitBinding</x:v>
      </x:c>
      <x:c r="N205" s="184" t="str">
        <x:v>03_能力对象!C49</x:v>
      </x:c>
      <x:c r="O205" s="183" t="str">
        <x:v>R3A_Core裁决
V2.01：名称/子方面线索；处置=规划独立契约候选·未批准新增
V7.8：V7.8未检出同名词法声明</x:v>
      </x:c>
      <x:c r="P205" s="136" t="str">
        <x:v>R3A_Core裁决</x:v>
      </x:c>
    </x:row>
    <x:row r="206" ht="72" customHeight="1">
      <x:c r="A206" s="179" t="str">
        <x:v>M06</x:v>
      </x:c>
      <x:c r="B206" s="180" t="str">
        <x:v>跨专业基础契约｜统一时间、空间坐标与量纲契约
Time Space Units</x:v>
      </x:c>
      <x:c r="C206" s="180" t="str">
        <x:v>MTUTimeBaseRegistry</x:v>
      </x:c>
      <x:c r="D206" s="179" t="str">
        <x:v>增构候选·待查重</x:v>
      </x:c>
      <x:c r="E206" s="180" t="str">
        <x:v>时间基准注册表：Register、Resolve</x:v>
      </x:c>
      <x:c r="F206" s="180" t="str">
        <x:v>ClockIds；Epochs；Offsets</x:v>
      </x:c>
      <x:c r="G206" s="180" t="str">
        <x:v>Register；Resolve</x:v>
      </x:c>
      <x:c r="H206" s="180" t="str">
        <x:v>禁止隐含运行态或UI强依赖</x:v>
      </x:c>
      <x:c r="I206" s="180" t="str">
        <x:v>TimeBaseRegistry</x:v>
      </x:c>
      <x:c r="J206" s="179" t="str">
        <x:v>原候选待裁决</x:v>
      </x:c>
      <x:c r="K206" s="180" t="str">
        <x:v>生命周期：Runtime；约束：时间基准注册表：Register、Resolve</x:v>
      </x:c>
      <x:c r="L206" s="183" t="str">
        <x:v>设计候选，尚待源码验证</x:v>
      </x:c>
      <x:c r="M206" s="183" t="str">
        <x:v>M06.TimeBaseRegistry</x:v>
      </x:c>
      <x:c r="N206" s="184" t="str">
        <x:v>03_能力对象!C50</x:v>
      </x:c>
      <x:c r="O206" s="183" t="str">
        <x:v>R3A_Core裁决
V2.01：名称/子方面线索；处置=规划独立契约候选·未批准新增
V7.8：V7.8未检出同名词法声明</x:v>
      </x:c>
      <x:c r="P206" s="136" t="str">
        <x:v>R3A_Core裁决</x:v>
      </x:c>
    </x:row>
    <x:row r="207" ht="72" customHeight="1">
      <x:c r="A207" s="179" t="str">
        <x:v>M06</x:v>
      </x:c>
      <x:c r="B207" s="180" t="str">
        <x:v>跨专业基础契约｜统一时间、空间坐标与量纲契约
Time Space Units</x:v>
      </x:c>
      <x:c r="C207" s="180" t="str">
        <x:v>MTUTimeSpaceContract</x:v>
      </x:c>
      <x:c r="D207" s="179" t="str">
        <x:v>增构候选·待查重</x:v>
      </x:c>
      <x:c r="E207" s="180" t="str">
        <x:v>统一时空契约：Validate、Resolve</x:v>
      </x:c>
      <x:c r="F207" s="180" t="str">
        <x:v>ClockRef；FrameRef；UnitSchema；草案: public string TimeBaseId { get; }；草案: public string CoordinateFrameId { get; }；草案: public string UnitId { get; }</x:v>
      </x:c>
      <x:c r="G207" s="180" t="str">
        <x:v>Validate；Resolve</x:v>
      </x:c>
      <x:c r="H207" s="180" t="str">
        <x:v>禁止隐含运行态或UI强依赖</x:v>
      </x:c>
      <x:c r="I207" s="180" t="str">
        <x:v>契约数据/接口</x:v>
      </x:c>
      <x:c r="J207" s="179" t="str">
        <x:v>sealed class</x:v>
      </x:c>
      <x:c r="K207" s="180" t="str">
        <x:v>生命周期：Definition；约束：统一时空契约：Validate、Resolve</x:v>
      </x:c>
      <x:c r="L207" s="183" t="str">
        <x:v>设计候选，尚待源码验证</x:v>
      </x:c>
      <x:c r="M207" s="183" t="str">
        <x:v>M06.TimeSpaceContract</x:v>
      </x:c>
      <x:c r="N207" s="184"/>
      <x:c r="O207" s="183" t="str">
        <x:v>R3A_Core裁决
V2.01：未匹配V2.01；处置=暂无可信对应
V7.8：V7.8未检出同名词法声明</x:v>
      </x:c>
      <x:c r="P207" s="136" t="str">
        <x:v>R3A_Core裁决</x:v>
      </x:c>
    </x:row>
    <x:row r="208" ht="72" customHeight="1">
      <x:c r="A208" s="179" t="str">
        <x:v>M06</x:v>
      </x:c>
      <x:c r="B208" s="180" t="str">
        <x:v>跨专业基础契约｜统一时间、空间坐标与量纲契约
Time Space Units</x:v>
      </x:c>
      <x:c r="C208" s="180" t="str">
        <x:v>MTUTimestampAlignmentService</x:v>
      </x:c>
      <x:c r="D208" s="179" t="str">
        <x:v>增构候选·待查重</x:v>
      </x:c>
      <x:c r="E208" s="180" t="str">
        <x:v>数据流时间对齐服务</x:v>
      </x:c>
      <x:c r="F208" s="180" t="str">
        <x:v>Streams；ClockMappings</x:v>
      </x:c>
      <x:c r="G208" s="180" t="str">
        <x:v>Align；Resample</x:v>
      </x:c>
      <x:c r="H208" s="180" t="str">
        <x:v>M06持有时间基准契约；F08提供计算，M10承担数据流实施</x:v>
      </x:c>
      <x:c r="I208" s="180" t="str">
        <x:v>TimestampAlignmentService</x:v>
      </x:c>
      <x:c r="J208" s="179" t="str">
        <x:v>原候选待裁决</x:v>
      </x:c>
      <x:c r="K208" s="180" t="str">
        <x:v>生命周期：Runtime；约束：跨设备时间戳对齐：Align、Resample</x:v>
      </x:c>
      <x:c r="L208" s="183" t="str">
        <x:v>设计候选，尚待源码验证</x:v>
      </x:c>
      <x:c r="M208" s="183" t="str">
        <x:v>M06.TimestampAlignmentService</x:v>
      </x:c>
      <x:c r="N208" s="184" t="str">
        <x:v>03_能力对象!C53</x:v>
      </x:c>
      <x:c r="O208" s="183" t="str">
        <x:v>R3A_Core裁决
V2.01：名称/子方面线索；处置=规划独立契约候选·未批准新增
V7.8：V7.8未检出同名词法声明</x:v>
      </x:c>
      <x:c r="P208" s="136" t="str">
        <x:v>R3A_Core裁决</x:v>
      </x:c>
    </x:row>
    <x:row r="209" ht="72" customHeight="1">
      <x:c r="A209" s="179" t="str">
        <x:v>M06</x:v>
      </x:c>
      <x:c r="B209" s="180" t="str">
        <x:v>跨专业基础契约｜统一时间、空间坐标与量纲契约
Time Space Units</x:v>
      </x:c>
      <x:c r="C209" s="180" t="str">
        <x:v>MTUTimeSynchronizationReport</x:v>
      </x:c>
      <x:c r="D209" s="179" t="str">
        <x:v>增构候选·待查重</x:v>
      </x:c>
      <x:c r="E209" s="180" t="str">
        <x:v>同步质量报告：Check、Export</x:v>
      </x:c>
      <x:c r="F209" s="180" t="str">
        <x:v>Drift；Jitter；Offset</x:v>
      </x:c>
      <x:c r="G209" s="180" t="str">
        <x:v>Check；Export</x:v>
      </x:c>
      <x:c r="H209" s="180" t="str">
        <x:v>禁止隐含运行态或UI强依赖</x:v>
      </x:c>
      <x:c r="I209" s="180" t="str">
        <x:v>证据制品/记录</x:v>
      </x:c>
      <x:c r="J209" s="179" t="str">
        <x:v>原候选待裁决</x:v>
      </x:c>
      <x:c r="K209" s="180" t="str">
        <x:v>生命周期：Runtime；约束：同步质量报告：Check、Export</x:v>
      </x:c>
      <x:c r="L209" s="183" t="str">
        <x:v>设计候选，尚待源码验证</x:v>
      </x:c>
      <x:c r="M209" s="183" t="str">
        <x:v>M06.TimeSynchronizationReport</x:v>
      </x:c>
      <x:c r="N209" s="184"/>
      <x:c r="O209" s="183" t="str">
        <x:v>R3A_Core裁决
V2.01：未匹配V2.01；处置=暂无可信对应
V7.8：V7.8未检出同名词法声明</x:v>
      </x:c>
      <x:c r="P209" s="136" t="str">
        <x:v>R3A_Core裁决</x:v>
      </x:c>
    </x:row>
    <x:row r="210" ht="72" customHeight="1">
      <x:c r="A210" s="179" t="str">
        <x:v>M06</x:v>
      </x:c>
      <x:c r="B210" s="180" t="str">
        <x:v>跨专业基础契约｜统一时间、空间坐标与量纲契约
Time Space Units</x:v>
      </x:c>
      <x:c r="C210" s="180" t="str">
        <x:v>MTUUncertaintyBudget</x:v>
      </x:c>
      <x:c r="D210" s="179" t="str">
        <x:v>增构候选·待查重</x:v>
      </x:c>
      <x:c r="E210" s="180" t="str">
        <x:v>误差预算：Combine、Check</x:v>
      </x:c>
      <x:c r="F210" s="180" t="str">
        <x:v>Contributors；Units；Bounds</x:v>
      </x:c>
      <x:c r="G210" s="180" t="str">
        <x:v>Combine；Check</x:v>
      </x:c>
      <x:c r="H210" s="180" t="str">
        <x:v>禁止隐含运行态或UI强依赖</x:v>
      </x:c>
      <x:c r="I210" s="180" t="str">
        <x:v>定义类</x:v>
      </x:c>
      <x:c r="J210" s="179" t="str">
        <x:v>原候选待裁决</x:v>
      </x:c>
      <x:c r="K210" s="180" t="str">
        <x:v>生命周期：Plan；约束：误差预算：Combine、Check</x:v>
      </x:c>
      <x:c r="L210" s="183" t="str">
        <x:v>设计候选，尚待源码验证</x:v>
      </x:c>
      <x:c r="M210" s="183" t="str">
        <x:v>M06.UncertaintyBudget</x:v>
      </x:c>
      <x:c r="N210" s="184" t="str">
        <x:v>03_能力对象!C54</x:v>
      </x:c>
      <x:c r="O210" s="183" t="str">
        <x:v>R3A_Core裁决
V2.01：名称/子方面线索；处置=规划独立契约候选·未批准新增
V7.8：V7.8未检出同名词法声明</x:v>
      </x:c>
      <x:c r="P210" s="136" t="str">
        <x:v>R3A_Core裁决</x:v>
      </x:c>
    </x:row>
    <x:row r="211" ht="72" customHeight="1">
      <x:c r="A211" s="179" t="str">
        <x:v>M06</x:v>
      </x:c>
      <x:c r="B211" s="180" t="str">
        <x:v>跨专业基础契约｜统一时间、空间坐标与量纲契约
Time Space Units</x:v>
      </x:c>
      <x:c r="C211" s="180" t="str">
        <x:v>IMTUCalibrationReference</x:v>
      </x:c>
      <x:c r="D211" s="179" t="str">
        <x:v>增构候选·待查重</x:v>
      </x:c>
      <x:c r="E211" s="180" t="str">
        <x:v>统一标定引用：Resolve、Validate</x:v>
      </x:c>
      <x:c r="F211" s="180" t="str">
        <x:v>CalibrationId, Frame, Version</x:v>
      </x:c>
      <x:c r="G211" s="180" t="str">
        <x:v>Resolve(), Validate()</x:v>
      </x:c>
      <x:c r="H211" s="180" t="str">
        <x:v>—（待核）</x:v>
      </x:c>
      <x:c r="I211" s="180" t="str">
        <x:v>CalibrationReference</x:v>
      </x:c>
      <x:c r="J211" s="179" t="str">
        <x:v>类/接口/枚举（待裁决）</x:v>
      </x:c>
      <x:c r="K211" s="180" t="str">
        <x:v>V1.19 S-0268；原实施方式：增构候选。迁移风险：统一标定引用：Resolve、Validate</x:v>
      </x:c>
      <x:c r="L211" s="183" t="str">
        <x:v>V1.19设计候选·待核</x:v>
      </x:c>
      <x:c r="M211" s="183" t="str">
        <x:v>S-0268</x:v>
      </x:c>
      <x:c r="N211" s="184" t="str">
        <x:v>03_能力对象!C43</x:v>
      </x:c>
      <x:c r="O211" s="183" t="str">
        <x:v>V1.19旧规格候选
V2.01：来源ID对应；处置=规划独立契约候选·未批准新增
V7.8：V7.8未检出同名词法声明</x:v>
      </x:c>
      <x:c r="P211" s="136" t="str">
        <x:v>V1.19旧规格候选</x:v>
      </x:c>
    </x:row>
    <x:row r="212" ht="72" customHeight="1">
      <x:c r="A212" s="179" t="str">
        <x:v>M06</x:v>
      </x:c>
      <x:c r="B212" s="180" t="str">
        <x:v>跨专业基础契约｜统一时间、空间坐标与量纲契约
Time Space Units</x:v>
      </x:c>
      <x:c r="C212" s="180" t="str">
        <x:v>IMTUSpatialAccuracyReport</x:v>
      </x:c>
      <x:c r="D212" s="179" t="str">
        <x:v>增构候选·待查重</x:v>
      </x:c>
      <x:c r="E212" s="180" t="str">
        <x:v>空间精度验证报告：Evaluate、Publish</x:v>
      </x:c>
      <x:c r="F212" s="180" t="str">
        <x:v>Residuals, Frames, Versions</x:v>
      </x:c>
      <x:c r="G212" s="180" t="str">
        <x:v>Evaluate(), Publish()</x:v>
      </x:c>
      <x:c r="H212" s="180" t="str">
        <x:v>—（待核）</x:v>
      </x:c>
      <x:c r="I212" s="180" t="str">
        <x:v>SpatialAccuracyReport</x:v>
      </x:c>
      <x:c r="J212" s="179" t="str">
        <x:v>类/接口/枚举（待裁决）</x:v>
      </x:c>
      <x:c r="K212" s="180" t="str">
        <x:v>V1.19 S-0273；原实施方式：增构候选。迁移风险：空间精度验证报告：Evaluate、Publish</x:v>
      </x:c>
      <x:c r="L212" s="183" t="str">
        <x:v>V1.19设计候选·待核</x:v>
      </x:c>
      <x:c r="M212" s="183" t="str">
        <x:v>S-0273</x:v>
      </x:c>
      <x:c r="N212" s="184" t="str">
        <x:v>03_能力对象!C48</x:v>
      </x:c>
      <x:c r="O212" s="183" t="str">
        <x:v>V1.19旧规格候选
V2.01：来源ID对应；处置=规划独立契约候选·未批准新增
V7.8：V7.8未检出同名词法声明</x:v>
      </x:c>
      <x:c r="P212" s="136" t="str">
        <x:v>V1.19旧规格候选</x:v>
      </x:c>
    </x:row>
    <x:row r="213" ht="72" customHeight="1">
      <x:c r="A213" s="179" t="str">
        <x:v>M06</x:v>
      </x:c>
      <x:c r="B213" s="180" t="str">
        <x:v>跨专业基础契约｜统一时间、空间坐标与量纲契约
Time Space Units</x:v>
      </x:c>
      <x:c r="C213" s="180" t="str">
        <x:v>IMTUTimeSpaceContract</x:v>
      </x:c>
      <x:c r="D213" s="179" t="str">
        <x:v>增构候选·待查重</x:v>
      </x:c>
      <x:c r="E213" s="180" t="str">
        <x:v>统一时空契约：Validate、Resolve</x:v>
      </x:c>
      <x:c r="F213" s="180" t="str">
        <x:v>ClockRef, FrameRef, UnitSchema</x:v>
      </x:c>
      <x:c r="G213" s="180" t="str">
        <x:v>Validate(), Resolve()</x:v>
      </x:c>
      <x:c r="H213" s="180" t="str">
        <x:v>—（待核）</x:v>
      </x:c>
      <x:c r="I213" s="180" t="str">
        <x:v>TimeSpaceContract</x:v>
      </x:c>
      <x:c r="J213" s="179" t="str">
        <x:v>接口（候选）</x:v>
      </x:c>
      <x:c r="K213" s="180" t="str">
        <x:v>V1.19 S-0276；原实施方式：增构候选。迁移风险：统一时空契约：Validate、Resolve</x:v>
      </x:c>
      <x:c r="L213" s="183" t="str">
        <x:v>V1.19设计候选·待核</x:v>
      </x:c>
      <x:c r="M213" s="183" t="str">
        <x:v>S-0276</x:v>
      </x:c>
      <x:c r="N213" s="184" t="str">
        <x:v>03_能力对象!C51</x:v>
      </x:c>
      <x:c r="O213" s="183" t="str">
        <x:v>V1.19旧规格候选
V2.01：来源ID对应；处置=规划独立契约候选·未批准新增
V7.8：V7.8未检出同名词法声明</x:v>
      </x:c>
      <x:c r="P213" s="136" t="str">
        <x:v>V1.19旧规格候选</x:v>
      </x:c>
    </x:row>
    <x:row r="214" ht="72" customHeight="1">
      <x:c r="A214" s="179" t="str">
        <x:v>M06</x:v>
      </x:c>
      <x:c r="B214" s="180" t="str">
        <x:v>跨专业基础契约｜统一时间、空间坐标与量纲契约
Time Space Units</x:v>
      </x:c>
      <x:c r="C214" s="180" t="str">
        <x:v>IMTUTimeSynchronizationReport</x:v>
      </x:c>
      <x:c r="D214" s="179" t="str">
        <x:v>增构候选·待查重</x:v>
      </x:c>
      <x:c r="E214" s="180" t="str">
        <x:v>同步质量报告：Check、Export</x:v>
      </x:c>
      <x:c r="F214" s="180" t="str">
        <x:v>Drift, Jitter, Offset</x:v>
      </x:c>
      <x:c r="G214" s="180" t="str">
        <x:v>Check(), Export()</x:v>
      </x:c>
      <x:c r="H214" s="180" t="str">
        <x:v>—（待核）</x:v>
      </x:c>
      <x:c r="I214" s="180" t="str">
        <x:v>TimeSynchronizationReport</x:v>
      </x:c>
      <x:c r="J214" s="179" t="str">
        <x:v>类/接口/枚举（待裁决）</x:v>
      </x:c>
      <x:c r="K214" s="180" t="str">
        <x:v>V1.19 S-0277；原实施方式：增构候选。迁移风险：同步质量报告：Check、Export</x:v>
      </x:c>
      <x:c r="L214" s="183" t="str">
        <x:v>V1.19设计候选·待核</x:v>
      </x:c>
      <x:c r="M214" s="183" t="str">
        <x:v>S-0277</x:v>
      </x:c>
      <x:c r="N214" s="184" t="str">
        <x:v>03_能力对象!C52</x:v>
      </x:c>
      <x:c r="O214" s="183" t="str">
        <x:v>V1.19旧规格候选
V2.01：来源ID对应；处置=规划独立契约候选·未批准新增
V7.8：V7.8未检出同名词法声明</x:v>
      </x:c>
      <x:c r="P214" s="136" t="str">
        <x:v>V1.19旧规格候选</x:v>
      </x:c>
    </x:row>
    <x:row r="215" ht="72" customHeight="1">
      <x:c r="A215" s="179" t="str">
        <x:v>M07</x:v>
      </x:c>
      <x:c r="B215" s="180" t="str">
        <x:v>跨专业基础契约｜事务、一致性与可靠交付契约
Transaction Consistency</x:v>
      </x:c>
      <x:c r="C215" s="180" t="str">
        <x:v>CxChangeSet</x:v>
      </x:c>
      <x:c r="D215" s="179" t="str">
        <x:v>增构候选·待查重</x:v>
      </x:c>
      <x:c r="E215" s="180" t="str">
        <x:v>设计：应用数据差异而非编辑意图</x:v>
      </x:c>
      <x:c r="F215" s="180" t="str">
        <x:v>Changes,ProjectId,SourceRevision,TargetRevision</x:v>
      </x:c>
      <x:c r="G215" s="180" t="str">
        <x:v>—</x:v>
      </x:c>
      <x:c r="H215" s="180" t="str">
        <x:v>待逐对象核实</x:v>
      </x:c>
      <x:c r="I215" s="180" t="str">
        <x:v>CxChangeSet</x:v>
      </x:c>
      <x:c r="J215" s="179" t="str">
        <x:v>sealed class</x:v>
      </x:c>
      <x:c r="K215" s="180" t="str">
        <x:v>生命周期：需定案；审核：补充类型字典</x:v>
      </x:c>
      <x:c r="L215" s="183" t="str">
        <x:v>设计候选，尚待源码验证</x:v>
      </x:c>
      <x:c r="M215" s="183" t="str">
        <x:v>R3A.M07.CxChangeSet</x:v>
      </x:c>
      <x:c r="N215" s="184"/>
      <x:c r="O215" s="183" t="str">
        <x:v>补充类型字典
V2.01：未匹配V2.01；处置=暂无可信对应
V7.8：V7.8未检出同名词法声明</x:v>
      </x:c>
      <x:c r="P215" s="136" t="str">
        <x:v>补充类型字典</x:v>
      </x:c>
    </x:row>
    <x:row r="216" ht="72" customHeight="1">
      <x:c r="A216" s="179" t="str">
        <x:v>M07</x:v>
      </x:c>
      <x:c r="B216" s="180" t="str">
        <x:v>跨专业基础契约｜事务、一致性与可靠交付契约
Transaction Consistency</x:v>
      </x:c>
      <x:c r="C216" s="180" t="str">
        <x:v>CxMutationBatch</x:v>
      </x:c>
      <x:c r="D216" s="179" t="str">
        <x:v>增构候选·待查重</x:v>
      </x:c>
      <x:c r="E216" s="180" t="str">
        <x:v>设计：无UI命令名称</x:v>
      </x:c>
      <x:c r="F216" s="180" t="str">
        <x:v>草案: public IReadOnlyList&lt;ICxMutationOperation&gt; Operations { get; }</x:v>
      </x:c>
      <x:c r="G216" s="180" t="str">
        <x:v>—</x:v>
      </x:c>
      <x:c r="H216" s="180" t="str">
        <x:v>待逐对象核实</x:v>
      </x:c>
      <x:c r="I216" s="180" t="str">
        <x:v>CxMutationBatch</x:v>
      </x:c>
      <x:c r="J216" s="179" t="str">
        <x:v>sealed class</x:v>
      </x:c>
      <x:c r="K216" s="180" t="str">
        <x:v>生命周期：需定案；审核：补充类型字典</x:v>
      </x:c>
      <x:c r="L216" s="183" t="str">
        <x:v>设计候选，尚待源码验证</x:v>
      </x:c>
      <x:c r="M216" s="183" t="str">
        <x:v>R3A.M07.CxMutationBatch</x:v>
      </x:c>
      <x:c r="N216" s="184"/>
      <x:c r="O216" s="183" t="str">
        <x:v>补充类型字典
V2.01：未匹配V2.01；处置=暂无可信对应
V7.8：V7.8未检出同名词法声明</x:v>
      </x:c>
      <x:c r="P216" s="136" t="str">
        <x:v>补充类型字典</x:v>
      </x:c>
    </x:row>
    <x:row r="217" ht="72" customHeight="1">
      <x:c r="A217" s="179" t="str">
        <x:v>M07</x:v>
      </x:c>
      <x:c r="B217" s="180" t="str">
        <x:v>跨专业基础契约｜事务、一致性与可靠交付契约
Transaction Consistency</x:v>
      </x:c>
      <x:c r="C217" s="180" t="str">
        <x:v>CxMutationContext</x:v>
      </x:c>
      <x:c r="D217" s="179" t="str">
        <x:v>增构候选·待查重</x:v>
      </x:c>
      <x:c r="E217" s="180" t="str">
        <x:v>设计：只读校验环境</x:v>
      </x:c>
      <x:c r="F217" s="180" t="str">
        <x:v>Project,Revision,Policy,Indexes</x:v>
      </x:c>
      <x:c r="G217" s="180" t="str">
        <x:v>—</x:v>
      </x:c>
      <x:c r="H217" s="180" t="str">
        <x:v>待逐对象核实</x:v>
      </x:c>
      <x:c r="I217" s="180" t="str">
        <x:v>CxMutationContext</x:v>
      </x:c>
      <x:c r="J217" s="179" t="str">
        <x:v>sealed class</x:v>
      </x:c>
      <x:c r="K217" s="180" t="str">
        <x:v>生命周期：需定案；审核：补充类型字典</x:v>
      </x:c>
      <x:c r="L217" s="183" t="str">
        <x:v>设计候选，尚待源码验证</x:v>
      </x:c>
      <x:c r="M217" s="183" t="str">
        <x:v>R3A.M07.CxMutationContext</x:v>
      </x:c>
      <x:c r="N217" s="184"/>
      <x:c r="O217" s="183" t="str">
        <x:v>补充类型字典
V2.01：未匹配V2.01；处置=暂无可信对应
V7.8：V7.8未检出同名词法声明</x:v>
      </x:c>
      <x:c r="P217" s="136" t="str">
        <x:v>补充类型字典</x:v>
      </x:c>
    </x:row>
    <x:row r="218" ht="72" customHeight="1">
      <x:c r="A218" s="179" t="str">
        <x:v>M07</x:v>
      </x:c>
      <x:c r="B218" s="180" t="str">
        <x:v>跨专业基础契约｜事务、一致性与可靠交付契约
Transaction Consistency</x:v>
      </x:c>
      <x:c r="C218" s="180" t="str">
        <x:v>CxMutationError</x:v>
      </x:c>
      <x:c r="D218" s="179" t="str">
        <x:v>增构候选·待查重</x:v>
      </x:c>
      <x:c r="E218" s="180" t="str">
        <x:v>设计：错误码枚举</x:v>
      </x:c>
      <x:c r="F218" s="180" t="str">
        <x:v>None,RevisionConflict,DuplicateId,InvalidOwner,Cycle,MissingRef,PolicyDenied,ValidationFailed</x:v>
      </x:c>
      <x:c r="G218" s="180" t="str">
        <x:v>—</x:v>
      </x:c>
      <x:c r="H218" s="180" t="str">
        <x:v>待逐对象核实</x:v>
      </x:c>
      <x:c r="I218" s="180" t="str">
        <x:v>CxMutationError</x:v>
      </x:c>
      <x:c r="J218" s="179" t="str">
        <x:v>enum</x:v>
      </x:c>
      <x:c r="K218" s="180" t="str">
        <x:v>生命周期：需定案；审核：补充类型字典</x:v>
      </x:c>
      <x:c r="L218" s="183" t="str">
        <x:v>设计候选，尚待源码验证</x:v>
      </x:c>
      <x:c r="M218" s="183" t="str">
        <x:v>R3A.M07.CxMutationError</x:v>
      </x:c>
      <x:c r="N218" s="184"/>
      <x:c r="O218" s="183" t="str">
        <x:v>补充类型字典
V2.01：未匹配V2.01；处置=暂无可信对应
V7.8：V7.8未检出同名词法声明</x:v>
      </x:c>
      <x:c r="P218" s="136" t="str">
        <x:v>补充类型字典</x:v>
      </x:c>
    </x:row>
    <x:row r="219" ht="72" customHeight="1">
      <x:c r="A219" s="179" t="str">
        <x:v>M07</x:v>
      </x:c>
      <x:c r="B219" s="180" t="str">
        <x:v>跨专业基础契约｜事务、一致性与可靠交付契约
Transaction Consistency</x:v>
      </x:c>
      <x:c r="C219" s="180" t="str">
        <x:v>CxMutationKind</x:v>
      </x:c>
      <x:c r="D219" s="179" t="str">
        <x:v>增构候选·待查重</x:v>
      </x:c>
      <x:c r="E219" s="180" t="str">
        <x:v>设计：按结构约束分组</x:v>
      </x:c>
      <x:c r="F219" s="180" t="str">
        <x:v>Attach/Detach/Reparent/SetProperty/SetLayout/AddReference/RemoveReference</x:v>
      </x:c>
      <x:c r="G219" s="180" t="str">
        <x:v>—</x:v>
      </x:c>
      <x:c r="H219" s="180" t="str">
        <x:v>待逐对象核实</x:v>
      </x:c>
      <x:c r="I219" s="180" t="str">
        <x:v>CxMutationKind</x:v>
      </x:c>
      <x:c r="J219" s="179" t="str">
        <x:v>enum</x:v>
      </x:c>
      <x:c r="K219" s="180" t="str">
        <x:v>生命周期：需定案；审核：补充类型字典</x:v>
      </x:c>
      <x:c r="L219" s="183" t="str">
        <x:v>设计候选，尚待源码验证</x:v>
      </x:c>
      <x:c r="M219" s="183" t="str">
        <x:v>R3A.M07.CxMutationKind</x:v>
      </x:c>
      <x:c r="N219" s="184"/>
      <x:c r="O219" s="183" t="str">
        <x:v>补充类型字典
V2.01：未匹配V2.01；处置=暂无可信对应
V7.8：V7.8未检出同名词法声明</x:v>
      </x:c>
      <x:c r="P219" s="136" t="str">
        <x:v>补充类型字典</x:v>
      </x:c>
    </x:row>
    <x:row r="220" ht="72" customHeight="1">
      <x:c r="A220" s="179" t="str">
        <x:v>M07</x:v>
      </x:c>
      <x:c r="B220" s="180" t="str">
        <x:v>跨专业基础契约｜事务、一致性与可靠交付契约
Transaction Consistency</x:v>
      </x:c>
      <x:c r="C220" s="180" t="str">
        <x:v>CxMutationReceipt</x:v>
      </x:c>
      <x:c r="D220" s="179" t="str">
        <x:v>增构候选·待查重</x:v>
      </x:c>
      <x:c r="E220" s="180" t="str">
        <x:v>设计：提交返回事实</x:v>
      </x:c>
      <x:c r="F220" s="180" t="str">
        <x:v>草案: public long OldRevision { get; }；草案: public long NewRevision { get; }；草案: public CxChangeSet ChangeSet { get; }；草案: public CxMutationError Error { get; }</x:v>
      </x:c>
      <x:c r="G220" s="180" t="str">
        <x:v>—</x:v>
      </x:c>
      <x:c r="H220" s="180" t="str">
        <x:v>待逐对象核实</x:v>
      </x:c>
      <x:c r="I220" s="180" t="str">
        <x:v>CxMutationReceipt</x:v>
      </x:c>
      <x:c r="J220" s="179" t="str">
        <x:v>sealed class</x:v>
      </x:c>
      <x:c r="K220" s="180" t="str">
        <x:v>生命周期：需定案；审核：补充类型字典</x:v>
      </x:c>
      <x:c r="L220" s="183" t="str">
        <x:v>设计候选，尚待源码验证</x:v>
      </x:c>
      <x:c r="M220" s="183" t="str">
        <x:v>R3A.M07.CxMutationReceipt</x:v>
      </x:c>
      <x:c r="N220" s="184"/>
      <x:c r="O220" s="183" t="str">
        <x:v>补充类型字典
V2.01：未匹配V2.01；处置=暂无可信对应
V7.8：V7.8未检出同名词法声明</x:v>
      </x:c>
      <x:c r="P220" s="136" t="str">
        <x:v>补充类型字典</x:v>
      </x:c>
    </x:row>
    <x:row r="221" ht="72" customHeight="1">
      <x:c r="A221" s="179" t="str">
        <x:v>M07</x:v>
      </x:c>
      <x:c r="B221" s="180" t="str">
        <x:v>跨专业基础契约｜事务、一致性与可靠交付契约
Transaction Consistency</x:v>
      </x:c>
      <x:c r="C221" s="180" t="str">
        <x:v>CxMutationSnapshot</x:v>
      </x:c>
      <x:c r="D221" s="179" t="str">
        <x:v>增构候选·待查重</x:v>
      </x:c>
      <x:c r="E221" s="180" t="str">
        <x:v>设计：避免全工程深拷贝</x:v>
      </x:c>
      <x:c r="F221" s="180" t="str">
        <x:v>Revision,ScopedNodes,ScopedRefs</x:v>
      </x:c>
      <x:c r="G221" s="180" t="str">
        <x:v>—</x:v>
      </x:c>
      <x:c r="H221" s="180" t="str">
        <x:v>待逐对象核实</x:v>
      </x:c>
      <x:c r="I221" s="180" t="str">
        <x:v>CxMutationSnapshot</x:v>
      </x:c>
      <x:c r="J221" s="179" t="str">
        <x:v>sealed class</x:v>
      </x:c>
      <x:c r="K221" s="180" t="str">
        <x:v>生命周期：需定案；审核：补充类型字典</x:v>
      </x:c>
      <x:c r="L221" s="183" t="str">
        <x:v>设计候选，尚待源码验证</x:v>
      </x:c>
      <x:c r="M221" s="183" t="str">
        <x:v>R3A.M07.CxMutationSnapshot</x:v>
      </x:c>
      <x:c r="N221" s="184"/>
      <x:c r="O221" s="183" t="str">
        <x:v>补充类型字典
V2.01：未匹配V2.01；处置=暂无可信对应
V7.8：V7.8未检出同名词法声明</x:v>
      </x:c>
      <x:c r="P221" s="136" t="str">
        <x:v>补充类型字典</x:v>
      </x:c>
    </x:row>
    <x:row r="222" ht="72" customHeight="1">
      <x:c r="A222" s="179" t="str">
        <x:v>M07</x:v>
      </x:c>
      <x:c r="B222" s="180" t="str">
        <x:v>跨专业基础契约｜事务、一致性与可靠交付契约
Transaction Consistency</x:v>
      </x:c>
      <x:c r="C222" s="180" t="str">
        <x:v>IProjectMutation</x:v>
      </x:c>
      <x:c r="D222" s="179" t="str">
        <x:v>增构候选·待查重</x:v>
      </x:c>
      <x:c r="E222" s="180" t="str">
        <x:v>设计：单写事务门面</x:v>
      </x:c>
      <x:c r="F222" s="180" t="str">
        <x:v>TryApply/TryApplyInverse/TryApplyForward统一提交</x:v>
      </x:c>
      <x:c r="G222" s="180" t="str">
        <x:v>草案: bool TryApply(ProjectModel project, CxMutationBatch batch, long expectedRev；草案: bool TryApplyInverse(ProjectModel project, CxChangeSet changeSet, long expe；草案: bool TryApplyForward(ProjectModel project, CxChangeSet changeSet, long expe</x:v>
      </x:c>
      <x:c r="H222" s="180" t="str">
        <x:v>待逐对象核实</x:v>
      </x:c>
      <x:c r="I222" s="180" t="str">
        <x:v>IProjectMutation</x:v>
      </x:c>
      <x:c r="J222" s="179" t="str">
        <x:v>interface</x:v>
      </x:c>
      <x:c r="K222" s="180" t="str">
        <x:v>生命周期：需定案；审核：补充类型字典</x:v>
      </x:c>
      <x:c r="L222" s="183" t="str">
        <x:v>设计候选，尚待源码验证</x:v>
      </x:c>
      <x:c r="M222" s="183" t="str">
        <x:v>R3A.M07.IProjectMutation</x:v>
      </x:c>
      <x:c r="N222" s="184"/>
      <x:c r="O222" s="183" t="str">
        <x:v>补充类型字典
V2.01：未匹配V2.01；处置=暂无可信对应
V7.8：V7.8未检出同名词法声明</x:v>
      </x:c>
      <x:c r="P222" s="136" t="str">
        <x:v>补充类型字典</x:v>
      </x:c>
    </x:row>
    <x:row r="223" ht="72" customHeight="1">
      <x:c r="A223" s="179" t="str">
        <x:v>M07</x:v>
      </x:c>
      <x:c r="B223" s="180" t="str">
        <x:v>跨专业基础契约｜事务、一致性与可靠交付契约
Transaction Consistency</x:v>
      </x:c>
      <x:c r="C223" s="180" t="str">
        <x:v>MTCCompensationStep</x:v>
      </x:c>
      <x:c r="D223" s="179" t="str">
        <x:v>增构候选·待查重</x:v>
      </x:c>
      <x:c r="E223" s="180" t="str">
        <x:v>补偿步骤定义：ExecuteCompensation</x:v>
      </x:c>
      <x:c r="F223" s="180" t="str">
        <x:v>Forward；Compensate；Precondition</x:v>
      </x:c>
      <x:c r="G223" s="180" t="str">
        <x:v>ExecuteCompensation</x:v>
      </x:c>
      <x:c r="H223" s="180" t="str">
        <x:v>运行/分布式事务能力暂以契约描述，不应默认由Core实现</x:v>
      </x:c>
      <x:c r="I223" s="180" t="str">
        <x:v>定义类</x:v>
      </x:c>
      <x:c r="J223" s="179" t="str">
        <x:v>原候选待裁决</x:v>
      </x:c>
      <x:c r="K223" s="180" t="str">
        <x:v>生命周期：Plan；约束：补偿步骤定义：ExecuteCompensation</x:v>
      </x:c>
      <x:c r="L223" s="183" t="str">
        <x:v>设计候选，尚待源码验证</x:v>
      </x:c>
      <x:c r="M223" s="183" t="str">
        <x:v>M07.CompensationStep</x:v>
      </x:c>
      <x:c r="N223" s="184"/>
      <x:c r="O223" s="183" t="str">
        <x:v>R3A_Core裁决
V2.01：未匹配V2.01；处置=暂无可信对应
V7.8：V7.8未检出同名词法声明</x:v>
      </x:c>
      <x:c r="P223" s="136" t="str">
        <x:v>R3A_Core裁决</x:v>
      </x:c>
    </x:row>
    <x:row r="224" ht="72" customHeight="1">
      <x:c r="A224" s="179" t="str">
        <x:v>M07</x:v>
      </x:c>
      <x:c r="B224" s="180" t="str">
        <x:v>跨专业基础契约｜事务、一致性与可靠交付契约
Transaction Consistency</x:v>
      </x:c>
      <x:c r="C224" s="180" t="str">
        <x:v>MTCConsistencyPolicy</x:v>
      </x:c>
      <x:c r="D224" s="179" t="str">
        <x:v>增构候选·待查重</x:v>
      </x:c>
      <x:c r="E224" s="180" t="str">
        <x:v>一致性策略：Validate、Apply</x:v>
      </x:c>
      <x:c r="F224" s="180" t="str">
        <x:v>Mode；Conflict；Compensation</x:v>
      </x:c>
      <x:c r="G224" s="180" t="str">
        <x:v>Validate；Apply</x:v>
      </x:c>
      <x:c r="H224" s="180" t="str">
        <x:v>运行/分布式事务能力暂以契约描述，不应默认由Core实现</x:v>
      </x:c>
      <x:c r="I224" s="180" t="str">
        <x:v>策略定义类</x:v>
      </x:c>
      <x:c r="J224" s="179" t="str">
        <x:v>原候选待裁决</x:v>
      </x:c>
      <x:c r="K224" s="180" t="str">
        <x:v>生命周期：Definition；约束：一致性策略：Validate、Apply</x:v>
      </x:c>
      <x:c r="L224" s="183" t="str">
        <x:v>设计候选，尚待源码验证</x:v>
      </x:c>
      <x:c r="M224" s="183" t="str">
        <x:v>M07.ConsistencyPolicy</x:v>
      </x:c>
      <x:c r="N224" s="184"/>
      <x:c r="O224" s="183" t="str">
        <x:v>R3A_Core裁决
V2.01：未匹配V2.01；处置=暂无可信对应
V7.8：V7.8未检出同名词法声明</x:v>
      </x:c>
      <x:c r="P224" s="136" t="str">
        <x:v>R3A_Core裁决</x:v>
      </x:c>
    </x:row>
    <x:row r="225" ht="72" customHeight="1">
      <x:c r="A225" s="179" t="str">
        <x:v>M07</x:v>
      </x:c>
      <x:c r="B225" s="180" t="str">
        <x:v>跨专业基础契约｜事务、一致性与可靠交付契约
Transaction Consistency</x:v>
      </x:c>
      <x:c r="C225" s="180" t="str">
        <x:v>MTCDeliveryReceipt</x:v>
      </x:c>
      <x:c r="D225" s="179" t="str">
        <x:v>增构候选·待查重</x:v>
      </x:c>
      <x:c r="E225" s="180" t="str">
        <x:v>交付确认记录：Correlate、Verify</x:v>
      </x:c>
      <x:c r="F225" s="180" t="str">
        <x:v>RequestId；AcknowledgedAt；Status</x:v>
      </x:c>
      <x:c r="G225" s="180" t="str">
        <x:v>Correlate；Verify</x:v>
      </x:c>
      <x:c r="H225" s="180" t="str">
        <x:v>禁止隐含运行态或UI强依赖</x:v>
      </x:c>
      <x:c r="I225" s="180" t="str">
        <x:v>契约数据/接口</x:v>
      </x:c>
      <x:c r="J225" s="179" t="str">
        <x:v>sealed class</x:v>
      </x:c>
      <x:c r="K225" s="180" t="str">
        <x:v>生命周期：Runtime；约束：交付确认记录：Correlate、Verify</x:v>
      </x:c>
      <x:c r="L225" s="183" t="str">
        <x:v>设计候选，尚待源码验证</x:v>
      </x:c>
      <x:c r="M225" s="183" t="str">
        <x:v>M07.DeliveryReceipt</x:v>
      </x:c>
      <x:c r="N225" s="184"/>
      <x:c r="O225" s="183" t="str">
        <x:v>R3A_Core裁决
V2.01：未匹配V2.01；处置=暂无可信对应
V7.8：V7.8未检出同名词法声明</x:v>
      </x:c>
      <x:c r="P225" s="136" t="str">
        <x:v>R3A_Core裁决</x:v>
      </x:c>
    </x:row>
    <x:row r="226" ht="72" customHeight="1">
      <x:c r="A226" s="179" t="str">
        <x:v>M07</x:v>
      </x:c>
      <x:c r="B226" s="180" t="str">
        <x:v>跨专业基础契约｜事务、一致性与可靠交付契约
Transaction Consistency</x:v>
      </x:c>
      <x:c r="C226" s="180" t="str">
        <x:v>MTCIChangeSetRecorder</x:v>
      </x:c>
      <x:c r="D226" s="179" t="str">
        <x:v>增构候选·待查重</x:v>
      </x:c>
      <x:c r="E226" s="180" t="str">
        <x:v>设计：数据差异记录</x:v>
      </x:c>
      <x:c r="F226" s="180" t="str">
        <x:v>BuildChangeSet</x:v>
      </x:c>
      <x:c r="G226" s="180" t="str">
        <x:v>草案: CxChangeSet BuildChangeSet(CxMutationBatch batch, CxMutationSnapshot before</x:v>
      </x:c>
      <x:c r="H226" s="180" t="str">
        <x:v>待逐对象核实</x:v>
      </x:c>
      <x:c r="I226" s="180" t="str">
        <x:v>IChangeSetRecorder</x:v>
      </x:c>
      <x:c r="J226" s="179" t="str">
        <x:v>interface</x:v>
      </x:c>
      <x:c r="K226" s="180" t="str">
        <x:v>生命周期：需定案；审核：补充类型字典</x:v>
      </x:c>
      <x:c r="L226" s="183" t="str">
        <x:v>设计候选，尚待源码验证</x:v>
      </x:c>
      <x:c r="M226" s="183" t="str">
        <x:v>R3A.M07.IChangeSetRecorder</x:v>
      </x:c>
      <x:c r="N226" s="184"/>
      <x:c r="O226" s="183" t="str">
        <x:v>补充类型字典
V2.01：未匹配V2.01；处置=暂无可信对应
V7.8：V7.8未检出同名词法声明</x:v>
      </x:c>
      <x:c r="P226" s="136" t="str">
        <x:v>补充类型字典</x:v>
      </x:c>
    </x:row>
    <x:row r="227" ht="72" customHeight="1">
      <x:c r="A227" s="179" t="str">
        <x:v>M07</x:v>
      </x:c>
      <x:c r="B227" s="180" t="str">
        <x:v>跨专业基础契约｜事务、一致性与可靠交付契约
Transaction Consistency</x:v>
      </x:c>
      <x:c r="C227" s="180" t="str">
        <x:v>MTCICxMutationOperation</x:v>
      </x:c>
      <x:c r="D227" s="179" t="str">
        <x:v>增构候选·待查重</x:v>
      </x:c>
      <x:c r="E227" s="180" t="str">
        <x:v>设计：不得公开任意object数据写入</x:v>
      </x:c>
      <x:c r="F227" s="180" t="str">
        <x:v>Kind,TargetId,Validate;变更操作分型</x:v>
      </x:c>
      <x:c r="G227" s="180" t="str">
        <x:v>草案: CxValidationReport Validate(CxMutationContext context)</x:v>
      </x:c>
      <x:c r="H227" s="180" t="str">
        <x:v>待逐对象核实</x:v>
      </x:c>
      <x:c r="I227" s="180" t="str">
        <x:v>ICxMutationOperation</x:v>
      </x:c>
      <x:c r="J227" s="179" t="str">
        <x:v>interface</x:v>
      </x:c>
      <x:c r="K227" s="180" t="str">
        <x:v>生命周期：需定案；审核：补充类型字典</x:v>
      </x:c>
      <x:c r="L227" s="183" t="str">
        <x:v>设计候选，尚待源码验证</x:v>
      </x:c>
      <x:c r="M227" s="183" t="str">
        <x:v>R3A.M07.ICxMutationOperation</x:v>
      </x:c>
      <x:c r="N227" s="184"/>
      <x:c r="O227" s="183" t="str">
        <x:v>补充类型字典
V2.01：未匹配V2.01；处置=暂无可信对应
V7.8：V7.8未检出同名词法声明</x:v>
      </x:c>
      <x:c r="P227" s="136" t="str">
        <x:v>补充类型字典</x:v>
      </x:c>
    </x:row>
    <x:row r="228" ht="72" customHeight="1">
      <x:c r="A228" s="179" t="str">
        <x:v>M07</x:v>
      </x:c>
      <x:c r="B228" s="180" t="str">
        <x:v>跨专业基础契约｜事务、一致性与可靠交付契约
Transaction Consistency</x:v>
      </x:c>
      <x:c r="C228" s="180" t="str">
        <x:v>MTCIdempotencyKeyResolver</x:v>
      </x:c>
      <x:c r="D228" s="179" t="str">
        <x:v>增构候选·待查重</x:v>
      </x:c>
      <x:c r="E228" s="180" t="str">
        <x:v>幂等键解析器：Resolve、Validate</x:v>
      </x:c>
      <x:c r="F228" s="180" t="str">
        <x:v>Scope；Expression；Context</x:v>
      </x:c>
      <x:c r="G228" s="180" t="str">
        <x:v>Resolve；Validate</x:v>
      </x:c>
      <x:c r="H228" s="180" t="str">
        <x:v>运行/分布式事务能力暂以契约描述，不应默认由Core实现</x:v>
      </x:c>
      <x:c r="I228" s="180" t="str">
        <x:v>IdempotencyKeyResolver</x:v>
      </x:c>
      <x:c r="J228" s="179" t="str">
        <x:v>原候选待裁决</x:v>
      </x:c>
      <x:c r="K228" s="180" t="str">
        <x:v>生命周期：Runtime；约束：幂等键解析器：Resolve、Validate</x:v>
      </x:c>
      <x:c r="L228" s="183" t="str">
        <x:v>设计候选，尚待源码验证</x:v>
      </x:c>
      <x:c r="M228" s="183" t="str">
        <x:v>M07.IdempotencyKeyResolver</x:v>
      </x:c>
      <x:c r="N228" s="184"/>
      <x:c r="O228" s="183" t="str">
        <x:v>R3A_Core裁决
V2.01：未匹配V2.01；处置=暂无可信对应
V7.8：V7.8未检出同名词法声明</x:v>
      </x:c>
      <x:c r="P228" s="136" t="str">
        <x:v>R3A_Core裁决</x:v>
      </x:c>
    </x:row>
    <x:row r="229" ht="72" customHeight="1">
      <x:c r="A229" s="179" t="str">
        <x:v>M07</x:v>
      </x:c>
      <x:c r="B229" s="180" t="str">
        <x:v>跨专业基础契约｜事务、一致性与可靠交付契约
Transaction Consistency</x:v>
      </x:c>
      <x:c r="C229" s="180" t="str">
        <x:v>MTCInboxDeduplicationStore</x:v>
      </x:c>
      <x:c r="D229" s="179" t="str">
        <x:v>增构候选·待查重</x:v>
      </x:c>
      <x:c r="E229" s="180" t="str">
        <x:v>持久Inbox存储接口与实现</x:v>
      </x:c>
      <x:c r="F229" s="180" t="str">
        <x:v>MessageKey；Result；Expiry</x:v>
      </x:c>
      <x:c r="G229" s="180" t="str">
        <x:v>TryAccept；StoreResult</x:v>
      </x:c>
      <x:c r="H229" s="180" t="str">
        <x:v>M07保留幂等契约；存储Provider由M35实现</x:v>
      </x:c>
      <x:c r="I229" s="180" t="str">
        <x:v>InboxDeduplicationStore</x:v>
      </x:c>
      <x:c r="J229" s="179" t="str">
        <x:v>原候选待裁决</x:v>
      </x:c>
      <x:c r="K229" s="180" t="str">
        <x:v>生命周期：Runtime；约束：输入去重存储：TryAccept、StoreResult</x:v>
      </x:c>
      <x:c r="L229" s="183" t="str">
        <x:v>设计候选，尚待源码验证</x:v>
      </x:c>
      <x:c r="M229" s="183" t="str">
        <x:v>M07.InboxDeduplicationStore</x:v>
      </x:c>
      <x:c r="N229" s="184"/>
      <x:c r="O229" s="183" t="str">
        <x:v>R3A_Core裁决
V2.01：未匹配V2.01；处置=暂无可信对应
V7.8：V7.8未检出同名词法声明</x:v>
      </x:c>
      <x:c r="P229" s="136" t="str">
        <x:v>R3A_Core裁决</x:v>
      </x:c>
    </x:row>
    <x:row r="230" ht="72" customHeight="1">
      <x:c r="A230" s="179" t="str">
        <x:v>M07</x:v>
      </x:c>
      <x:c r="B230" s="180" t="str">
        <x:v>跨专业基础契约｜事务、一致性与可靠交付契约
Transaction Consistency</x:v>
      </x:c>
      <x:c r="C230" s="180" t="str">
        <x:v>MTCOutboxDispatcher</x:v>
      </x:c>
      <x:c r="D230" s="179" t="str">
        <x:v>增构候选·待查重</x:v>
      </x:c>
      <x:c r="E230" s="180" t="str">
        <x:v>可靠消息发送/重试执行器</x:v>
      </x:c>
      <x:c r="F230" s="180" t="str">
        <x:v>Queue；Retry；Ack</x:v>
      </x:c>
      <x:c r="G230" s="180" t="str">
        <x:v>Dispatch；Retry</x:v>
      </x:c>
      <x:c r="H230" s="180" t="str">
        <x:v>M07保留消息契约；Core不能持有网络连接</x:v>
      </x:c>
      <x:c r="I230" s="180" t="str">
        <x:v>OutboxDispatcher</x:v>
      </x:c>
      <x:c r="J230" s="179" t="str">
        <x:v>原候选待裁决</x:v>
      </x:c>
      <x:c r="K230" s="180" t="str">
        <x:v>生命周期：Runtime；约束：Outbox派发器：Dispatch、Retry</x:v>
      </x:c>
      <x:c r="L230" s="183" t="str">
        <x:v>设计候选，尚待源码验证</x:v>
      </x:c>
      <x:c r="M230" s="183" t="str">
        <x:v>M07.OutboxDispatcher</x:v>
      </x:c>
      <x:c r="N230" s="184"/>
      <x:c r="O230" s="183" t="str">
        <x:v>R3A_Core裁决
V2.01：未匹配V2.01；处置=暂无可信对应
V7.8：V7.8未检出同名词法声明</x:v>
      </x:c>
      <x:c r="P230" s="136" t="str">
        <x:v>R3A_Core裁决</x:v>
      </x:c>
    </x:row>
    <x:row r="231" ht="72" customHeight="1">
      <x:c r="A231" s="179" t="str">
        <x:v>M07</x:v>
      </x:c>
      <x:c r="B231" s="180" t="str">
        <x:v>跨专业基础契约｜事务、一致性与可靠交付契约
Transaction Consistency</x:v>
      </x:c>
      <x:c r="C231" s="180" t="str">
        <x:v>MTCOutboxMessage</x:v>
      </x:c>
      <x:c r="D231" s="179" t="str">
        <x:v>增构候选·待查重</x:v>
      </x:c>
      <x:c r="E231" s="180" t="str">
        <x:v>不可变可靠消息事实描述</x:v>
      </x:c>
      <x:c r="F231" s="180" t="str">
        <x:v>Payload；Correlation；IdempotencyKey</x:v>
      </x:c>
      <x:c r="G231" s="180" t="str">
        <x:v>Persist；Dispatch</x:v>
      </x:c>
      <x:c r="H231" s="180" t="str">
        <x:v>具体发送在Runtime</x:v>
      </x:c>
      <x:c r="I231" s="180" t="str">
        <x:v>OutboxMessage</x:v>
      </x:c>
      <x:c r="J231" s="179" t="str">
        <x:v>sealed class</x:v>
      </x:c>
      <x:c r="K231" s="180" t="str">
        <x:v>生命周期：Persistent；约束：可靠待发送消息：Persist、Dispatch</x:v>
      </x:c>
      <x:c r="L231" s="183" t="str">
        <x:v>设计候选，尚待源码验证</x:v>
      </x:c>
      <x:c r="M231" s="183" t="str">
        <x:v>M07.OutboxMessage</x:v>
      </x:c>
      <x:c r="N231" s="184"/>
      <x:c r="O231" s="183" t="str">
        <x:v>R3A_Core裁决
V2.01：未匹配V2.01；处置=暂无可信对应
V7.8：V7.8未检出同名词法声明</x:v>
      </x:c>
      <x:c r="P231" s="136" t="str">
        <x:v>R3A_Core裁决</x:v>
      </x:c>
    </x:row>
    <x:row r="232" ht="72" customHeight="1">
      <x:c r="A232" s="179" t="str">
        <x:v>M07</x:v>
      </x:c>
      <x:c r="B232" s="180" t="str">
        <x:v>跨专业基础契约｜事务、一致性与可靠交付契约
Transaction Consistency</x:v>
      </x:c>
      <x:c r="C232" s="180" t="str">
        <x:v>MTCSagaOrchestrator</x:v>
      </x:c>
      <x:c r="D232" s="179" t="str">
        <x:v>增构候选·待查重</x:v>
      </x:c>
      <x:c r="E232" s="180" t="str">
        <x:v>长流程补偿运行协调器</x:v>
      </x:c>
      <x:c r="F232" s="180" t="str">
        <x:v>Steps；Journal；Checkpoints</x:v>
      </x:c>
      <x:c r="G232" s="180" t="str">
        <x:v>Execute；Compensate；Resume</x:v>
      </x:c>
      <x:c r="H232" s="180" t="str">
        <x:v>补偿计划在M07定义；长流程调度交Runtime/Orchestration</x:v>
      </x:c>
      <x:c r="I232" s="180" t="str">
        <x:v>SagaOrchestrator</x:v>
      </x:c>
      <x:c r="J232" s="179" t="str">
        <x:v>原候选待裁决</x:v>
      </x:c>
      <x:c r="K232" s="180" t="str">
        <x:v>生命周期：Runtime；约束：长流程补偿协调器：Execute、Compensate、Resume</x:v>
      </x:c>
      <x:c r="L232" s="183" t="str">
        <x:v>设计候选，尚待源码验证</x:v>
      </x:c>
      <x:c r="M232" s="183" t="str">
        <x:v>M07.SagaOrchestrator</x:v>
      </x:c>
      <x:c r="N232" s="184"/>
      <x:c r="O232" s="183" t="str">
        <x:v>R3A_Core裁决
V2.01：未匹配V2.01；处置=暂无可信对应
V7.8：V7.8未检出同名词法声明</x:v>
      </x:c>
      <x:c r="P232" s="136" t="str">
        <x:v>R3A_Core裁决</x:v>
      </x:c>
    </x:row>
    <x:row r="233" ht="72" customHeight="1">
      <x:c r="A233" s="179" t="str">
        <x:v>M07</x:v>
      </x:c>
      <x:c r="B233" s="180" t="str">
        <x:v>跨专业基础契约｜事务、一致性与可靠交付契约
Transaction Consistency</x:v>
      </x:c>
      <x:c r="C233" s="180" t="str">
        <x:v>MTCTransactionalMutation</x:v>
      </x:c>
      <x:c r="D233" s="179" t="str">
        <x:v>增构候选·待查重</x:v>
      </x:c>
      <x:c r="E233" s="180" t="str">
        <x:v>Core变更提交与逆向变化集</x:v>
      </x:c>
      <x:c r="F233" s="180" t="str">
        <x:v>Operations；UndoToken</x:v>
      </x:c>
      <x:c r="G233" s="180" t="str">
        <x:v>Commit；Undo</x:v>
      </x:c>
      <x:c r="H233" s="180" t="str">
        <x:v>Visual拥有撤销意图及可视历史；Core只校验执行逆变更</x:v>
      </x:c>
      <x:c r="I233" s="180" t="str">
        <x:v>TransactionalMutation</x:v>
      </x:c>
      <x:c r="J233" s="179" t="str">
        <x:v>sealed class</x:v>
      </x:c>
      <x:c r="K233" s="180" t="str">
        <x:v>生命周期：Studio；约束：工程变更事务：Commit、Undo</x:v>
      </x:c>
      <x:c r="L233" s="183" t="str">
        <x:v>设计候选，尚待源码验证</x:v>
      </x:c>
      <x:c r="M233" s="183" t="str">
        <x:v>M07.TransactionalMutation</x:v>
      </x:c>
      <x:c r="N233" s="184"/>
      <x:c r="O233" s="183" t="str">
        <x:v>R3A_Core裁决
V2.01：未匹配V2.01；处置=暂无可信对应
V7.8：V7.8未检出同名词法声明</x:v>
      </x:c>
      <x:c r="P233" s="136" t="str">
        <x:v>R3A_Core裁决</x:v>
      </x:c>
    </x:row>
    <x:row r="234" ht="72" customHeight="1">
      <x:c r="A234" s="179" t="str">
        <x:v>M07</x:v>
      </x:c>
      <x:c r="B234" s="180" t="str">
        <x:v>跨专业基础契约｜事务、一致性与可靠交付契约
Transaction Consistency</x:v>
      </x:c>
      <x:c r="C234" s="180" t="str">
        <x:v>MTCTransactionCoordinator</x:v>
      </x:c>
      <x:c r="D234" s="179" t="str">
        <x:v>增构候选·待查重</x:v>
      </x:c>
      <x:c r="E234" s="180" t="str">
        <x:v>单工程变更批事务协调器</x:v>
      </x:c>
      <x:c r="F234" s="180" t="str">
        <x:v>Participants；State；Journal</x:v>
      </x:c>
      <x:c r="G234" s="180" t="str">
        <x:v>Begin；Commit；Rollback</x:v>
      </x:c>
      <x:c r="H234" s="180" t="str">
        <x:v>不负责DB分布式事务、Saga或外部设备回滚</x:v>
      </x:c>
      <x:c r="I234" s="180" t="str">
        <x:v>TransactionCoordinator</x:v>
      </x:c>
      <x:c r="J234" s="179" t="str">
        <x:v>原候选待裁决</x:v>
      </x:c>
      <x:c r="K234" s="180" t="str">
        <x:v>生命周期：Runtime；约束：事务协调器：Begin、Commit、Rollback</x:v>
      </x:c>
      <x:c r="L234" s="183" t="str">
        <x:v>设计候选，尚待源码验证</x:v>
      </x:c>
      <x:c r="M234" s="183" t="str">
        <x:v>M07.TransactionCoordinator</x:v>
      </x:c>
      <x:c r="N234" s="184"/>
      <x:c r="O234" s="183" t="str">
        <x:v>R3A_Core裁决
V2.01：未匹配V2.01；处置=暂无可信对应
V7.8：V7.8未检出同名词法声明</x:v>
      </x:c>
      <x:c r="P234" s="136" t="str">
        <x:v>R3A_Core裁决</x:v>
      </x:c>
    </x:row>
    <x:row r="235" ht="72" customHeight="1">
      <x:c r="A235" s="179" t="str">
        <x:v>M07</x:v>
      </x:c>
      <x:c r="B235" s="180" t="str">
        <x:v>跨专业基础契约｜事务、一致性与可靠交付契约
Transaction Consistency</x:v>
      </x:c>
      <x:c r="C235" s="180" t="str">
        <x:v>MTCTransactionScopeDefinition</x:v>
      </x:c>
      <x:c r="D235" s="179" t="str">
        <x:v>增构候选·待查重</x:v>
      </x:c>
      <x:c r="E235" s="180" t="str">
        <x:v>事务作用域定义：Validate、Compile</x:v>
      </x:c>
      <x:c r="F235" s="180" t="str">
        <x:v>Boundary；Participants；Timeout</x:v>
      </x:c>
      <x:c r="G235" s="180" t="str">
        <x:v>Validate；Compile</x:v>
      </x:c>
      <x:c r="H235" s="180" t="str">
        <x:v>运行/分布式事务能力暂以契约描述，不应默认由Core实现</x:v>
      </x:c>
      <x:c r="I235" s="180" t="str">
        <x:v>定义类</x:v>
      </x:c>
      <x:c r="J235" s="179" t="str">
        <x:v>原候选待裁决</x:v>
      </x:c>
      <x:c r="K235" s="180" t="str">
        <x:v>生命周期：Contract；约束：事务作用域定义：Validate、Compile</x:v>
      </x:c>
      <x:c r="L235" s="183" t="str">
        <x:v>设计候选，尚待源码验证</x:v>
      </x:c>
      <x:c r="M235" s="183" t="str">
        <x:v>M07.TransactionScopeDefinition</x:v>
      </x:c>
      <x:c r="N235" s="184"/>
      <x:c r="O235" s="183" t="str">
        <x:v>R3A_Core裁决
V2.01：未匹配V2.01；处置=暂无可信对应
V7.8：V7.8未检出同名词法声明</x:v>
      </x:c>
      <x:c r="P235" s="136" t="str">
        <x:v>R3A_Core裁决</x:v>
      </x:c>
    </x:row>
    <x:row r="236" ht="72" customHeight="1">
      <x:c r="A236" s="179" t="str">
        <x:v>M07</x:v>
      </x:c>
      <x:c r="B236" s="180" t="str">
        <x:v>跨专业基础契约｜事务、一致性与可靠交付契约
Transaction Consistency</x:v>
      </x:c>
      <x:c r="C236" s="180" t="str">
        <x:v>MTCUnitOfWork</x:v>
      </x:c>
      <x:c r="D236" s="179" t="str">
        <x:v>增构候选·待查重</x:v>
      </x:c>
      <x:c r="E236" s="180" t="str">
        <x:v>工作单元：Commit、Abort</x:v>
      </x:c>
      <x:c r="F236" s="180" t="str">
        <x:v>Changes；Resources；State</x:v>
      </x:c>
      <x:c r="G236" s="180" t="str">
        <x:v>Commit；Abort</x:v>
      </x:c>
      <x:c r="H236" s="180" t="str">
        <x:v>运行/分布式事务能力暂以契约描述，不应默认由Core实现</x:v>
      </x:c>
      <x:c r="I236" s="180" t="str">
        <x:v>运行对象</x:v>
      </x:c>
      <x:c r="J236" s="179" t="str">
        <x:v>原候选待裁决</x:v>
      </x:c>
      <x:c r="K236" s="180" t="str">
        <x:v>生命周期：Runtime；约束：工作单元：Commit、Abort</x:v>
      </x:c>
      <x:c r="L236" s="183" t="str">
        <x:v>设计候选，尚待源码验证</x:v>
      </x:c>
      <x:c r="M236" s="183" t="str">
        <x:v>M07.UnitOfWork</x:v>
      </x:c>
      <x:c r="N236" s="184"/>
      <x:c r="O236" s="183" t="str">
        <x:v>R3A_Core裁决
V2.01：未匹配V2.01；处置=暂无可信对应
V7.8：V7.8未检出同名词法声明</x:v>
      </x:c>
      <x:c r="P236" s="136" t="str">
        <x:v>R3A_Core裁决</x:v>
      </x:c>
    </x:row>
    <x:row r="237" ht="72" customHeight="1">
      <x:c r="A237" s="179" t="str">
        <x:v>M08</x:v>
      </x:c>
      <x:c r="B237" s="180" t="str">
        <x:v>跨专业基础契约｜通用验证、验收与证据契约
Validation Evidence</x:v>
      </x:c>
      <x:c r="C237" s="180" t="str">
        <x:v>CxCoverageGap</x:v>
      </x:c>
      <x:c r="D237" s="179" t="str">
        <x:v>增构候选·待查重</x:v>
      </x:c>
      <x:c r="E237" s="180" t="str">
        <x:v>设计：缺口</x:v>
      </x:c>
      <x:c r="F237" s="180" t="str">
        <x:v>RequirementId,MissingTestIds,Reason</x:v>
      </x:c>
      <x:c r="G237" s="180" t="str">
        <x:v>—</x:v>
      </x:c>
      <x:c r="H237" s="180" t="str">
        <x:v>待逐对象核实</x:v>
      </x:c>
      <x:c r="I237" s="180" t="str">
        <x:v>CxCoverageGap</x:v>
      </x:c>
      <x:c r="J237" s="179" t="str">
        <x:v>sealed class</x:v>
      </x:c>
      <x:c r="K237" s="180" t="str">
        <x:v>生命周期：需定案；审核：补充类型字典</x:v>
      </x:c>
      <x:c r="L237" s="183" t="str">
        <x:v>设计候选，尚待源码验证</x:v>
      </x:c>
      <x:c r="M237" s="183" t="str">
        <x:v>R3A.M08.CxCoverageGap</x:v>
      </x:c>
      <x:c r="N237" s="184"/>
      <x:c r="O237" s="183" t="str">
        <x:v>补充类型字典
V2.01：未匹配V2.01；处置=暂无可信对应
V7.8：V7.8未检出同名词法声明</x:v>
      </x:c>
      <x:c r="P237" s="136" t="str">
        <x:v>补充类型字典</x:v>
      </x:c>
    </x:row>
    <x:row r="238" ht="72" customHeight="1">
      <x:c r="A238" s="179" t="str">
        <x:v>M08</x:v>
      </x:c>
      <x:c r="B238" s="180" t="str">
        <x:v>跨专业基础契约｜通用验证、验收与证据契约
Validation Evidence</x:v>
      </x:c>
      <x:c r="C238" s="180" t="str">
        <x:v>CxEvidencePolicy</x:v>
      </x:c>
      <x:c r="D238" s="179" t="str">
        <x:v>增构候选·待查重</x:v>
      </x:c>
      <x:c r="E238" s="180" t="str">
        <x:v>设计：证据策略</x:v>
      </x:c>
      <x:c r="F238" s="180" t="str">
        <x:v>RequireHash,MaxAge,TrustedSources</x:v>
      </x:c>
      <x:c r="G238" s="180" t="str">
        <x:v>—</x:v>
      </x:c>
      <x:c r="H238" s="180" t="str">
        <x:v>待逐对象核实</x:v>
      </x:c>
      <x:c r="I238" s="180" t="str">
        <x:v>CxEvidencePolicy</x:v>
      </x:c>
      <x:c r="J238" s="179" t="str">
        <x:v>sealed class</x:v>
      </x:c>
      <x:c r="K238" s="180" t="str">
        <x:v>生命周期：需定案；审核：补充类型字典</x:v>
      </x:c>
      <x:c r="L238" s="183" t="str">
        <x:v>设计候选，尚待源码验证</x:v>
      </x:c>
      <x:c r="M238" s="183" t="str">
        <x:v>R3A.M08.CxEvidencePolicy</x:v>
      </x:c>
      <x:c r="N238" s="184"/>
      <x:c r="O238" s="183" t="str">
        <x:v>补充类型字典
V2.01：未匹配V2.01；处置=暂无可信对应
V7.8：V7.8未检出同名词法声明</x:v>
      </x:c>
      <x:c r="P238" s="136" t="str">
        <x:v>补充类型字典</x:v>
      </x:c>
    </x:row>
    <x:row r="239" ht="72" customHeight="1">
      <x:c r="A239" s="179" t="str">
        <x:v>M08</x:v>
      </x:c>
      <x:c r="B239" s="180" t="str">
        <x:v>跨专业基础契约｜通用验证、验收与证据契约
Validation Evidence</x:v>
      </x:c>
      <x:c r="C239" s="180" t="str">
        <x:v>CxValidationReport</x:v>
      </x:c>
      <x:c r="D239" s="179" t="str">
        <x:v>增构候选·待查重</x:v>
      </x:c>
      <x:c r="E239" s="180" t="str">
        <x:v>设计：统一只读验证报告</x:v>
      </x:c>
      <x:c r="F239" s="180" t="str">
        <x:v>Issues,IsValid,ErrorCodes</x:v>
      </x:c>
      <x:c r="G239" s="180" t="str">
        <x:v>—</x:v>
      </x:c>
      <x:c r="H239" s="180" t="str">
        <x:v>待逐对象核实</x:v>
      </x:c>
      <x:c r="I239" s="180" t="str">
        <x:v>CxValidationReport</x:v>
      </x:c>
      <x:c r="J239" s="179" t="str">
        <x:v>sealed class</x:v>
      </x:c>
      <x:c r="K239" s="180" t="str">
        <x:v>生命周期：需定案；审核：补充类型字典</x:v>
      </x:c>
      <x:c r="L239" s="183" t="str">
        <x:v>设计候选，尚待源码验证</x:v>
      </x:c>
      <x:c r="M239" s="183" t="str">
        <x:v>R3A.M08.CxValidationReport</x:v>
      </x:c>
      <x:c r="N239" s="184"/>
      <x:c r="O239" s="183" t="str">
        <x:v>补充类型字典
V2.01：未匹配V2.01；处置=暂无可信对应
V7.8：V7.8未检出同名词法声明</x:v>
      </x:c>
      <x:c r="P239" s="136" t="str">
        <x:v>补充类型字典</x:v>
      </x:c>
    </x:row>
    <x:row r="240" ht="72" customHeight="1">
      <x:c r="A240" s="179" t="str">
        <x:v>M08</x:v>
      </x:c>
      <x:c r="B240" s="180" t="str">
        <x:v>跨专业基础契约｜通用验证、验收与证据契约
Validation Evidence</x:v>
      </x:c>
      <x:c r="C240" s="180" t="str">
        <x:v>CxVerificationRequest</x:v>
      </x:c>
      <x:c r="D240" s="179" t="str">
        <x:v>增构候选·待查重</x:v>
      </x:c>
      <x:c r="E240" s="180" t="str">
        <x:v>设计：纯证据评估</x:v>
      </x:c>
      <x:c r="F240" s="180" t="str">
        <x:v>Requirements,Evidence,Context</x:v>
      </x:c>
      <x:c r="G240" s="180" t="str">
        <x:v>—</x:v>
      </x:c>
      <x:c r="H240" s="180" t="str">
        <x:v>待逐对象核实</x:v>
      </x:c>
      <x:c r="I240" s="180" t="str">
        <x:v>CxVerificationRequest</x:v>
      </x:c>
      <x:c r="J240" s="179" t="str">
        <x:v>sealed class</x:v>
      </x:c>
      <x:c r="K240" s="180" t="str">
        <x:v>生命周期：需定案；审核：补充类型字典</x:v>
      </x:c>
      <x:c r="L240" s="183" t="str">
        <x:v>设计候选，尚待源码验证</x:v>
      </x:c>
      <x:c r="M240" s="183" t="str">
        <x:v>R3A.M08.CxVerificationRequest</x:v>
      </x:c>
      <x:c r="N240" s="184"/>
      <x:c r="O240" s="183" t="str">
        <x:v>补充类型字典
V2.01：未匹配V2.01；处置=暂无可信对应
V7.8：V7.8未检出同名词法声明</x:v>
      </x:c>
      <x:c r="P240" s="136" t="str">
        <x:v>补充类型字典</x:v>
      </x:c>
    </x:row>
    <x:row r="241" ht="72" customHeight="1">
      <x:c r="A241" s="179" t="str">
        <x:v>M08</x:v>
      </x:c>
      <x:c r="B241" s="180" t="str">
        <x:v>跨专业基础契约｜通用验证、验收与证据契约
Validation Evidence</x:v>
      </x:c>
      <x:c r="C241" s="180" t="str">
        <x:v>CxVerificationStatus</x:v>
      </x:c>
      <x:c r="D241" s="179" t="str">
        <x:v>增构候选·待查重</x:v>
      </x:c>
      <x:c r="E241" s="180" t="str">
        <x:v>设计：不得将未知标通过</x:v>
      </x:c>
      <x:c r="F241" s="180" t="str">
        <x:v>Unknown,NotRun,Pass,Fail,Inconclusive</x:v>
      </x:c>
      <x:c r="G241" s="180" t="str">
        <x:v>—</x:v>
      </x:c>
      <x:c r="H241" s="180" t="str">
        <x:v>待逐对象核实</x:v>
      </x:c>
      <x:c r="I241" s="180" t="str">
        <x:v>CxVerificationStatus</x:v>
      </x:c>
      <x:c r="J241" s="179" t="str">
        <x:v>enum</x:v>
      </x:c>
      <x:c r="K241" s="180" t="str">
        <x:v>生命周期：需定案；审核：补充类型字典</x:v>
      </x:c>
      <x:c r="L241" s="183" t="str">
        <x:v>设计候选，尚待源码验证</x:v>
      </x:c>
      <x:c r="M241" s="183" t="str">
        <x:v>R3A.M08.CxVerificationStatus</x:v>
      </x:c>
      <x:c r="N241" s="184"/>
      <x:c r="O241" s="183" t="str">
        <x:v>补充类型字典
V2.01：未匹配V2.01；处置=暂无可信对应
V7.8：V7.8未检出同名词法声明</x:v>
      </x:c>
      <x:c r="P241" s="136" t="str">
        <x:v>补充类型字典</x:v>
      </x:c>
    </x:row>
    <x:row r="242" ht="72" customHeight="1">
      <x:c r="A242" s="179" t="str">
        <x:v>M08</x:v>
      </x:c>
      <x:c r="B242" s="180" t="str">
        <x:v>跨专业基础契约｜通用验证、验收与证据契约
Validation Evidence</x:v>
      </x:c>
      <x:c r="C242" s="180" t="str">
        <x:v>MVEAcceptanceCriterion</x:v>
      </x:c>
      <x:c r="D242" s="179" t="str">
        <x:v>增构候选·待查重</x:v>
      </x:c>
      <x:c r="E242" s="180" t="str">
        <x:v>验收判据：Evaluate</x:v>
      </x:c>
      <x:c r="F242" s="180" t="str">
        <x:v>Metric；Threshold；Condition</x:v>
      </x:c>
      <x:c r="G242" s="180" t="str">
        <x:v>Evaluate</x:v>
      </x:c>
      <x:c r="H242" s="180" t="str">
        <x:v>禁止隐含运行态或UI强依赖</x:v>
      </x:c>
      <x:c r="I242" s="180" t="str">
        <x:v>运行对象</x:v>
      </x:c>
      <x:c r="J242" s="179" t="str">
        <x:v>sealed class</x:v>
      </x:c>
      <x:c r="K242" s="180" t="str">
        <x:v>生命周期：Definition；约束：验收判据：Evaluate</x:v>
      </x:c>
      <x:c r="L242" s="183" t="str">
        <x:v>设计候选，尚待源码验证</x:v>
      </x:c>
      <x:c r="M242" s="183" t="str">
        <x:v>M08.AcceptanceCriterion</x:v>
      </x:c>
      <x:c r="N242" s="184"/>
      <x:c r="O242" s="183" t="str">
        <x:v>R3A_Core裁决
V2.01：未匹配V2.01；处置=暂无可信对应
V7.8：V7.8未检出同名词法声明</x:v>
      </x:c>
      <x:c r="P242" s="136" t="str">
        <x:v>R3A_Core裁决</x:v>
      </x:c>
    </x:row>
    <x:row r="243" ht="72" customHeight="1">
      <x:c r="A243" s="179" t="str">
        <x:v>M08</x:v>
      </x:c>
      <x:c r="B243" s="180" t="str">
        <x:v>跨专业基础契约｜通用验证、验收与证据契约
Validation Evidence</x:v>
      </x:c>
      <x:c r="C243" s="180" t="str">
        <x:v>MVEAcceptanceGate</x:v>
      </x:c>
      <x:c r="D243" s="179" t="str">
        <x:v>增构候选·待查重</x:v>
      </x:c>
      <x:c r="E243" s="180" t="str">
        <x:v>验收门禁：Evaluate、Approve</x:v>
      </x:c>
      <x:c r="F243" s="180" t="str">
        <x:v>Criteria；MinimumCoverage</x:v>
      </x:c>
      <x:c r="G243" s="180" t="str">
        <x:v>Evaluate；Approve</x:v>
      </x:c>
      <x:c r="H243" s="180" t="str">
        <x:v>判据/报告可归Core；具体测试执行器必须独立于Core</x:v>
      </x:c>
      <x:c r="I243" s="180" t="str">
        <x:v>策略定义类</x:v>
      </x:c>
      <x:c r="J243" s="179" t="str">
        <x:v>原候选待裁决</x:v>
      </x:c>
      <x:c r="K243" s="180" t="str">
        <x:v>生命周期：Definition；约束：验收门禁：Evaluate、Approve</x:v>
      </x:c>
      <x:c r="L243" s="183" t="str">
        <x:v>设计候选，尚待源码验证</x:v>
      </x:c>
      <x:c r="M243" s="183" t="str">
        <x:v>M08.AcceptanceGate</x:v>
      </x:c>
      <x:c r="N243" s="184"/>
      <x:c r="O243" s="183" t="str">
        <x:v>R3A_Core裁决
V2.01：未匹配V2.01；处置=暂无可信对应
V7.8：V7.8未检出同名词法声明</x:v>
      </x:c>
      <x:c r="P243" s="136" t="str">
        <x:v>R3A_Core裁决</x:v>
      </x:c>
    </x:row>
    <x:row r="244" ht="72" customHeight="1">
      <x:c r="A244" s="179" t="str">
        <x:v>M08</x:v>
      </x:c>
      <x:c r="B244" s="180" t="str">
        <x:v>跨专业基础契约｜通用验证、验收与证据契约
Validation Evidence</x:v>
      </x:c>
      <x:c r="C244" s="180" t="str">
        <x:v>MVECoverageAnalyzer</x:v>
      </x:c>
      <x:c r="D244" s="179" t="str">
        <x:v>增构候选·待查重</x:v>
      </x:c>
      <x:c r="E244" s="180" t="str">
        <x:v>已声明需求与验收项的覆盖计算</x:v>
      </x:c>
      <x:c r="F244" s="180" t="str">
        <x:v>CapabilityMap；CaseMap</x:v>
      </x:c>
      <x:c r="G244" s="180" t="str">
        <x:v>FindMissing；Score</x:v>
      </x:c>
      <x:c r="H244" s="180" t="str">
        <x:v>覆盖≠实机验证</x:v>
      </x:c>
      <x:c r="I244" s="180" t="str">
        <x:v>CoverageAnalyzer</x:v>
      </x:c>
      <x:c r="J244" s="179" t="str">
        <x:v>原候选待裁决</x:v>
      </x:c>
      <x:c r="K244" s="180" t="str">
        <x:v>生命周期：Studio；约束：Mechanism覆盖分析器：FindMissing、Score</x:v>
      </x:c>
      <x:c r="L244" s="183" t="str">
        <x:v>设计候选，尚待源码验证</x:v>
      </x:c>
      <x:c r="M244" s="183" t="str">
        <x:v>M08.CoverageAnalyzer</x:v>
      </x:c>
      <x:c r="N244" s="184"/>
      <x:c r="O244" s="183" t="str">
        <x:v>R3A_Core裁决
V2.01：未匹配V2.01；处置=暂无可信对应
V7.8：V7.8未检出同名词法声明</x:v>
      </x:c>
      <x:c r="P244" s="136" t="str">
        <x:v>R3A_Core裁决</x:v>
      </x:c>
    </x:row>
    <x:row r="245" ht="72" customHeight="1">
      <x:c r="A245" s="179" t="str">
        <x:v>M08</x:v>
      </x:c>
      <x:c r="B245" s="180" t="str">
        <x:v>跨专业基础契约｜通用验证、验收与证据契约
Validation Evidence</x:v>
      </x:c>
      <x:c r="C245" s="180" t="str">
        <x:v>MVEEvidenceArtifact</x:v>
      </x:c>
      <x:c r="D245" s="179" t="str">
        <x:v>增构候选·待查重</x:v>
      </x:c>
      <x:c r="E245" s="180" t="str">
        <x:v>验收证据制品：Verify、Attach</x:v>
      </x:c>
      <x:c r="F245" s="180" t="str">
        <x:v>Uri；Hash；Time；Environment；草案: public string ContentDigest { get; }</x:v>
      </x:c>
      <x:c r="G245" s="180" t="str">
        <x:v>Verify；Attach</x:v>
      </x:c>
      <x:c r="H245" s="180" t="str">
        <x:v>禁止隐含运行态或UI强依赖</x:v>
      </x:c>
      <x:c r="I245" s="180" t="str">
        <x:v>契约数据/接口</x:v>
      </x:c>
      <x:c r="J245" s="179" t="str">
        <x:v>sealed class</x:v>
      </x:c>
      <x:c r="K245" s="180" t="str">
        <x:v>生命周期：Persistent；约束：验收证据制品：Verify、Attach</x:v>
      </x:c>
      <x:c r="L245" s="183" t="str">
        <x:v>设计候选，尚待源码验证</x:v>
      </x:c>
      <x:c r="M245" s="183" t="str">
        <x:v>M08.EvidenceArtifact</x:v>
      </x:c>
      <x:c r="N245" s="184"/>
      <x:c r="O245" s="183" t="str">
        <x:v>R3A_Core裁决
V2.01：未匹配V2.01；处置=暂无可信对应
V7.8：V7.8未检出同名词法声明</x:v>
      </x:c>
      <x:c r="P245" s="136" t="str">
        <x:v>R3A_Core裁决</x:v>
      </x:c>
    </x:row>
    <x:row r="246" ht="72" customHeight="1">
      <x:c r="A246" s="179" t="str">
        <x:v>M08</x:v>
      </x:c>
      <x:c r="B246" s="180" t="str">
        <x:v>跨专业基础契约｜通用验证、验收与证据契约
Validation Evidence</x:v>
      </x:c>
      <x:c r="C246" s="180" t="str">
        <x:v>MVEHardwareTestEvidence</x:v>
      </x:c>
      <x:c r="D246" s="179" t="str">
        <x:v>增构候选·待查重</x:v>
      </x:c>
      <x:c r="E246" s="180" t="str">
        <x:v>硬件验收事实/设备版本/采集来源字段</x:v>
      </x:c>
      <x:c r="F246" s="180" t="str">
        <x:v>DeviceIds；Calibration；RawLogs</x:v>
      </x:c>
      <x:c r="G246" s="180" t="str">
        <x:v>Verify；Archive</x:v>
      </x:c>
      <x:c r="H246" s="180" t="str">
        <x:v>硬件测试动作位于专业或Tests</x:v>
      </x:c>
      <x:c r="I246" s="180" t="str">
        <x:v>证据制品/记录</x:v>
      </x:c>
      <x:c r="J246" s="179" t="str">
        <x:v>原候选待裁决</x:v>
      </x:c>
      <x:c r="K246" s="180" t="str">
        <x:v>生命周期：Persistent；约束：真实硬件测试证据：Verify、Archive</x:v>
      </x:c>
      <x:c r="L246" s="183" t="str">
        <x:v>设计候选，尚待源码验证</x:v>
      </x:c>
      <x:c r="M246" s="183" t="str">
        <x:v>M08.HardwareTestEvidence</x:v>
      </x:c>
      <x:c r="N246" s="184"/>
      <x:c r="O246" s="183" t="str">
        <x:v>R3A_Core裁决
V2.01：未匹配V2.01；处置=暂无可信对应
V7.8：V7.8未检出同名词法声明</x:v>
      </x:c>
      <x:c r="P246" s="136" t="str">
        <x:v>R3A_Core裁决</x:v>
      </x:c>
    </x:row>
    <x:row r="247" ht="72" customHeight="1">
      <x:c r="A247" s="179" t="str">
        <x:v>M08</x:v>
      </x:c>
      <x:c r="B247" s="180" t="str">
        <x:v>跨专业基础契约｜通用验证、验收与证据契约
Validation Evidence</x:v>
      </x:c>
      <x:c r="C247" s="180" t="str">
        <x:v>MVEICoverageAnalyzer</x:v>
      </x:c>
      <x:c r="D247" s="179" t="str">
        <x:v>增构候选·待查重</x:v>
      </x:c>
      <x:c r="E247" s="180" t="str">
        <x:v>设计：覆盖度不等于实测通过</x:v>
      </x:c>
      <x:c r="F247" s="180" t="str">
        <x:v>FindGaps</x:v>
      </x:c>
      <x:c r="G247" s="180" t="str">
        <x:v>草案: IReadOnlyList&lt;CxCoverageGap&gt; FindGaps(IReadOnlyList&lt;RequirementContract&gt; re</x:v>
      </x:c>
      <x:c r="H247" s="180" t="str">
        <x:v>待逐对象核实</x:v>
      </x:c>
      <x:c r="I247" s="180" t="str">
        <x:v>ICoverageAnalyzer</x:v>
      </x:c>
      <x:c r="J247" s="179" t="str">
        <x:v>interface</x:v>
      </x:c>
      <x:c r="K247" s="180" t="str">
        <x:v>生命周期：需定案；审核：补充类型字典</x:v>
      </x:c>
      <x:c r="L247" s="183" t="str">
        <x:v>设计候选，尚待源码验证</x:v>
      </x:c>
      <x:c r="M247" s="183" t="str">
        <x:v>R3A.M08.ICoverageAnalyzer</x:v>
      </x:c>
      <x:c r="N247" s="184"/>
      <x:c r="O247" s="183" t="str">
        <x:v>补充类型字典
V2.01：未匹配V2.01；处置=暂无可信对应
V7.8：V7.8未检出同名词法声明</x:v>
      </x:c>
      <x:c r="P247" s="136" t="str">
        <x:v>补充类型字典</x:v>
      </x:c>
    </x:row>
    <x:row r="248" ht="72" customHeight="1">
      <x:c r="A248" s="179" t="str">
        <x:v>M08</x:v>
      </x:c>
      <x:c r="B248" s="180" t="str">
        <x:v>跨专业基础契约｜通用验证、验收与证据契约
Validation Evidence</x:v>
      </x:c>
      <x:c r="C248" s="180" t="str">
        <x:v>MVEIEvidenceVerifier</x:v>
      </x:c>
      <x:c r="D248" s="179" t="str">
        <x:v>增构候选·待查重</x:v>
      </x:c>
      <x:c r="E248" s="180" t="str">
        <x:v>设计：完整性校验</x:v>
      </x:c>
      <x:c r="F248" s="180" t="str">
        <x:v>Verify</x:v>
      </x:c>
      <x:c r="G248" s="180" t="str">
        <x:v>草案: CxValidationReport Verify(EvidenceArtifact artifact, CxEvidencePolicy polic</x:v>
      </x:c>
      <x:c r="H248" s="180" t="str">
        <x:v>待逐对象核实</x:v>
      </x:c>
      <x:c r="I248" s="180" t="str">
        <x:v>IEvidenceVerifier</x:v>
      </x:c>
      <x:c r="J248" s="179" t="str">
        <x:v>interface</x:v>
      </x:c>
      <x:c r="K248" s="180" t="str">
        <x:v>生命周期：需定案；审核：补充类型字典</x:v>
      </x:c>
      <x:c r="L248" s="183" t="str">
        <x:v>设计候选，尚待源码验证</x:v>
      </x:c>
      <x:c r="M248" s="183" t="str">
        <x:v>R3A.M08.IEvidenceVerifier</x:v>
      </x:c>
      <x:c r="N248" s="184"/>
      <x:c r="O248" s="183" t="str">
        <x:v>补充类型字典
V2.01：未匹配V2.01；处置=暂无可信对应
V7.8：V7.8未检出同名词法声明</x:v>
      </x:c>
      <x:c r="P248" s="136" t="str">
        <x:v>补充类型字典</x:v>
      </x:c>
    </x:row>
    <x:row r="249" ht="72" customHeight="1">
      <x:c r="A249" s="179" t="str">
        <x:v>M08</x:v>
      </x:c>
      <x:c r="B249" s="180" t="str">
        <x:v>跨专业基础契约｜通用验证、验收与证据契约
Validation Evidence</x:v>
      </x:c>
      <x:c r="C249" s="180" t="str">
        <x:v>MVEIVerificationEngine</x:v>
      </x:c>
      <x:c r="D249" s="179" t="str">
        <x:v>增构候选·待查重</x:v>
      </x:c>
      <x:c r="E249" s="180" t="str">
        <x:v>设计：不启动硬件</x:v>
      </x:c>
      <x:c r="F249" s="180" t="str">
        <x:v>Evaluate</x:v>
      </x:c>
      <x:c r="G249" s="180" t="str">
        <x:v>草案: VerificationReport Evaluate(CxVerificationRequest request)</x:v>
      </x:c>
      <x:c r="H249" s="180" t="str">
        <x:v>待逐对象核实</x:v>
      </x:c>
      <x:c r="I249" s="180" t="str">
        <x:v>IVerificationEngine</x:v>
      </x:c>
      <x:c r="J249" s="179" t="str">
        <x:v>interface</x:v>
      </x:c>
      <x:c r="K249" s="180" t="str">
        <x:v>生命周期：需定案；审核：补充类型字典</x:v>
      </x:c>
      <x:c r="L249" s="183" t="str">
        <x:v>设计候选，尚待源码验证</x:v>
      </x:c>
      <x:c r="M249" s="183" t="str">
        <x:v>R3A.M08.IVerificationEngine</x:v>
      </x:c>
      <x:c r="N249" s="184"/>
      <x:c r="O249" s="183" t="str">
        <x:v>补充类型字典
V2.01：未匹配V2.01；处置=暂无可信对应
V7.8：V7.8未检出同名词法声明</x:v>
      </x:c>
      <x:c r="P249" s="136" t="str">
        <x:v>补充类型字典</x:v>
      </x:c>
    </x:row>
    <x:row r="250" ht="72" customHeight="1">
      <x:c r="A250" s="179" t="str">
        <x:v>M08</x:v>
      </x:c>
      <x:c r="B250" s="180" t="str">
        <x:v>跨专业基础契约｜通用验证、验收与证据契约
Validation Evidence</x:v>
      </x:c>
      <x:c r="C250" s="180" t="str">
        <x:v>MVERequirementContract</x:v>
      </x:c>
      <x:c r="D250" s="179" t="str">
        <x:v>增构候选·待查重</x:v>
      </x:c>
      <x:c r="E250" s="180" t="str">
        <x:v>验收需求契约：Trace、Validate</x:v>
      </x:c>
      <x:c r="F250" s="180" t="str">
        <x:v>RequirementId；Source；Scope；草案: public string RequirementId { get; }</x:v>
      </x:c>
      <x:c r="G250" s="180" t="str">
        <x:v>Trace；Validate</x:v>
      </x:c>
      <x:c r="H250" s="180" t="str">
        <x:v>判据/报告可归Core；具体测试执行器必须独立于Core</x:v>
      </x:c>
      <x:c r="I250" s="180" t="str">
        <x:v>运行对象</x:v>
      </x:c>
      <x:c r="J250" s="179" t="str">
        <x:v>原候选待裁决</x:v>
      </x:c>
      <x:c r="K250" s="180" t="str">
        <x:v>生命周期：Definition；约束：验收需求契约：Trace、Validate</x:v>
      </x:c>
      <x:c r="L250" s="183" t="str">
        <x:v>设计候选，尚待源码验证</x:v>
      </x:c>
      <x:c r="M250" s="183" t="str">
        <x:v>M08.RequirementContract</x:v>
      </x:c>
      <x:c r="N250" s="184"/>
      <x:c r="O250" s="183" t="str">
        <x:v>R3A_Core裁决
V2.01：未匹配V2.01；处置=暂无可信对应
V7.8：V7.8未检出同名词法声明</x:v>
      </x:c>
      <x:c r="P250" s="136" t="str">
        <x:v>R3A_Core裁决</x:v>
      </x:c>
    </x:row>
    <x:row r="251" ht="72" customHeight="1">
      <x:c r="A251" s="179" t="str">
        <x:v>M08</x:v>
      </x:c>
      <x:c r="B251" s="180" t="str">
        <x:v>跨专业基础契约｜通用验证、验收与证据契约
Validation Evidence</x:v>
      </x:c>
      <x:c r="C251" s="180" t="str">
        <x:v>MVERequirementTraceLink</x:v>
      </x:c>
      <x:c r="D251" s="179" t="str">
        <x:v>增构候选·待查重</x:v>
      </x:c>
      <x:c r="E251" s="180" t="str">
        <x:v>需求追踪边：Validate、Traverse</x:v>
      </x:c>
      <x:c r="F251" s="180" t="str">
        <x:v>Source；Target；Relation</x:v>
      </x:c>
      <x:c r="G251" s="180" t="str">
        <x:v>Validate；Traverse</x:v>
      </x:c>
      <x:c r="H251" s="180" t="str">
        <x:v>判据/报告可归Core；具体测试执行器必须独立于Core</x:v>
      </x:c>
      <x:c r="I251" s="180" t="str">
        <x:v>契约数据/接口</x:v>
      </x:c>
      <x:c r="J251" s="179" t="str">
        <x:v>原候选待裁决</x:v>
      </x:c>
      <x:c r="K251" s="180" t="str">
        <x:v>生命周期：Definition；约束：需求追踪边：Validate、Traverse</x:v>
      </x:c>
      <x:c r="L251" s="183" t="str">
        <x:v>设计候选，尚待源码验证</x:v>
      </x:c>
      <x:c r="M251" s="183" t="str">
        <x:v>M08.RequirementTraceLink</x:v>
      </x:c>
      <x:c r="N251" s="184"/>
      <x:c r="O251" s="183" t="str">
        <x:v>R3A_Core裁决
V2.01：未匹配V2.01；处置=暂无可信对应
V7.8：V7.8未检出同名词法声明</x:v>
      </x:c>
      <x:c r="P251" s="136" t="str">
        <x:v>R3A_Core裁决</x:v>
      </x:c>
    </x:row>
    <x:row r="252" ht="72" customHeight="1">
      <x:c r="A252" s="179" t="str">
        <x:v>M08</x:v>
      </x:c>
      <x:c r="B252" s="180" t="str">
        <x:v>跨专业基础契约｜通用验证、验收与证据契约
Validation Evidence</x:v>
      </x:c>
      <x:c r="C252" s="180" t="str">
        <x:v>MVETestEnvironmentSnapshot</x:v>
      </x:c>
      <x:c r="D252" s="179" t="str">
        <x:v>增构候选·待查重</x:v>
      </x:c>
      <x:c r="E252" s="180" t="str">
        <x:v>测试环境快照：Capture、Compare</x:v>
      </x:c>
      <x:c r="F252" s="180" t="str">
        <x:v>Hardware；Software；Config；Versions</x:v>
      </x:c>
      <x:c r="G252" s="180" t="str">
        <x:v>Capture；Compare</x:v>
      </x:c>
      <x:c r="H252" s="180" t="str">
        <x:v>判据/报告可归Core；具体测试执行器必须独立于Core</x:v>
      </x:c>
      <x:c r="I252" s="180" t="str">
        <x:v>证据制品/记录</x:v>
      </x:c>
      <x:c r="J252" s="179" t="str">
        <x:v>原候选待裁决</x:v>
      </x:c>
      <x:c r="K252" s="180" t="str">
        <x:v>生命周期：Persistent；约束：测试环境快照：Capture、Compare</x:v>
      </x:c>
      <x:c r="L252" s="183" t="str">
        <x:v>设计候选，尚待源码验证</x:v>
      </x:c>
      <x:c r="M252" s="183" t="str">
        <x:v>M08.TestEnvironmentSnapshot</x:v>
      </x:c>
      <x:c r="N252" s="184"/>
      <x:c r="O252" s="183" t="str">
        <x:v>R3A_Core裁决
V2.01：未匹配V2.01；处置=暂无可信对应
V7.8：V7.8未检出同名词法声明</x:v>
      </x:c>
      <x:c r="P252" s="136" t="str">
        <x:v>R3A_Core裁决</x:v>
      </x:c>
    </x:row>
    <x:row r="253" ht="72" customHeight="1">
      <x:c r="A253" s="179" t="str">
        <x:v>M08</x:v>
      </x:c>
      <x:c r="B253" s="180" t="str">
        <x:v>跨专业基础契约｜通用验证、验收与证据契约
Validation Evidence</x:v>
      </x:c>
      <x:c r="C253" s="180" t="str">
        <x:v>MVEVerificationCase</x:v>
      </x:c>
      <x:c r="D253" s="179" t="str">
        <x:v>增构候选·待查重</x:v>
      </x:c>
      <x:c r="E253" s="180" t="str">
        <x:v>验证用例定义：Run、Compare</x:v>
      </x:c>
      <x:c r="F253" s="180" t="str">
        <x:v>Inputs；Expected；Environment</x:v>
      </x:c>
      <x:c r="G253" s="180" t="str">
        <x:v>Run；Compare</x:v>
      </x:c>
      <x:c r="H253" s="180" t="str">
        <x:v>判据/报告可归Core；具体测试执行器必须独立于Core</x:v>
      </x:c>
      <x:c r="I253" s="180" t="str">
        <x:v>运行对象</x:v>
      </x:c>
      <x:c r="J253" s="179" t="str">
        <x:v>原候选待裁决</x:v>
      </x:c>
      <x:c r="K253" s="180" t="str">
        <x:v>生命周期：Definition；约束：验证用例定义：Run、Compare</x:v>
      </x:c>
      <x:c r="L253" s="183" t="str">
        <x:v>设计候选，尚待源码验证</x:v>
      </x:c>
      <x:c r="M253" s="183" t="str">
        <x:v>M08.VerificationCase</x:v>
      </x:c>
      <x:c r="N253" s="184"/>
      <x:c r="O253" s="183" t="str">
        <x:v>R3A_Core裁决
V2.01：未匹配V2.01；处置=暂无可信对应
V7.8：V7.8未检出同名词法声明</x:v>
      </x:c>
      <x:c r="P253" s="136" t="str">
        <x:v>R3A_Core裁决</x:v>
      </x:c>
    </x:row>
    <x:row r="254" ht="72" customHeight="1">
      <x:c r="A254" s="179" t="str">
        <x:v>M08</x:v>
      </x:c>
      <x:c r="B254" s="180" t="str">
        <x:v>跨专业基础契约｜通用验证、验收与证据契约
Validation Evidence</x:v>
      </x:c>
      <x:c r="C254" s="180" t="str">
        <x:v>MVEVerificationMatrix</x:v>
      </x:c>
      <x:c r="D254" s="179" t="str">
        <x:v>增构候选·待查重</x:v>
      </x:c>
      <x:c r="E254" s="180" t="str">
        <x:v>能力验收矩阵：Coverage、Query</x:v>
      </x:c>
      <x:c r="F254" s="180" t="str">
        <x:v>Capabilities；Cases；Status</x:v>
      </x:c>
      <x:c r="G254" s="180" t="str">
        <x:v>Coverage；Query</x:v>
      </x:c>
      <x:c r="H254" s="180" t="str">
        <x:v>禁止隐含运行态或UI强依赖</x:v>
      </x:c>
      <x:c r="I254" s="180" t="str">
        <x:v>运行对象</x:v>
      </x:c>
      <x:c r="J254" s="179" t="str">
        <x:v>原候选待裁决</x:v>
      </x:c>
      <x:c r="K254" s="180" t="str">
        <x:v>生命周期：Definition；约束：能力验收矩阵：Coverage、Query</x:v>
      </x:c>
      <x:c r="L254" s="183" t="str">
        <x:v>设计候选，尚待源码验证</x:v>
      </x:c>
      <x:c r="M254" s="183" t="str">
        <x:v>M08.VerificationMatrix</x:v>
      </x:c>
      <x:c r="N254" s="184"/>
      <x:c r="O254" s="183" t="str">
        <x:v>R3A_Core裁决
V2.01：未匹配V2.01；处置=暂无可信对应
V7.8：V7.8未检出同名词法声明</x:v>
      </x:c>
      <x:c r="P254" s="136" t="str">
        <x:v>R3A_Core裁决</x:v>
      </x:c>
    </x:row>
    <x:row r="255" ht="72" customHeight="1">
      <x:c r="A255" s="179" t="str">
        <x:v>M08</x:v>
      </x:c>
      <x:c r="B255" s="180" t="str">
        <x:v>跨专业基础契约｜通用验证、验收与证据契约
Validation Evidence</x:v>
      </x:c>
      <x:c r="C255" s="180" t="str">
        <x:v>MVEVerificationReport</x:v>
      </x:c>
      <x:c r="D255" s="179" t="str">
        <x:v>增构候选·待查重</x:v>
      </x:c>
      <x:c r="E255" s="180" t="str">
        <x:v>验证报告：Generate、Export</x:v>
      </x:c>
      <x:c r="F255" s="180" t="str">
        <x:v>Results；Failures；Coverage；草案: public CxVerificationStatus Result { get; }</x:v>
      </x:c>
      <x:c r="G255" s="180" t="str">
        <x:v>Generate；Export</x:v>
      </x:c>
      <x:c r="H255" s="180" t="str">
        <x:v>禁止隐含运行态或UI强依赖</x:v>
      </x:c>
      <x:c r="I255" s="180" t="str">
        <x:v>证据制品/记录</x:v>
      </x:c>
      <x:c r="J255" s="179" t="str">
        <x:v>原候选待裁决</x:v>
      </x:c>
      <x:c r="K255" s="180" t="str">
        <x:v>生命周期：Persistent；约束：验证报告：Generate、Export</x:v>
      </x:c>
      <x:c r="L255" s="183" t="str">
        <x:v>设计候选，尚待源码验证</x:v>
      </x:c>
      <x:c r="M255" s="183" t="str">
        <x:v>M08.VerificationReport</x:v>
      </x:c>
      <x:c r="N255" s="184"/>
      <x:c r="O255" s="183" t="str">
        <x:v>R3A_Core裁决
V2.01：未匹配V2.01；处置=暂无可信对应
V7.8：V7.8未检出同名词法声明</x:v>
      </x:c>
      <x:c r="P255" s="136" t="str">
        <x:v>R3A_Core裁决</x:v>
      </x:c>
    </x:row>
    <x:row r="256" ht="72" customHeight="1">
      <x:c r="A256" s="179" t="str">
        <x:v>M08</x:v>
      </x:c>
      <x:c r="B256" s="180" t="str">
        <x:v>跨专业基础契约｜通用验证、验收与证据契约
Validation Evidence</x:v>
      </x:c>
      <x:c r="C256" s="180" t="str">
        <x:v>MVEVerificationRun</x:v>
      </x:c>
      <x:c r="D256" s="179" t="str">
        <x:v>增构候选·待查重</x:v>
      </x:c>
      <x:c r="E256" s="180" t="str">
        <x:v>独立测试执行和结果采集</x:v>
      </x:c>
      <x:c r="F256" s="180" t="str">
        <x:v>Case；Environment；Observed</x:v>
      </x:c>
      <x:c r="G256" s="180" t="str">
        <x:v>Execute；Collect</x:v>
      </x:c>
      <x:c r="H256" s="180" t="str">
        <x:v>M08保留执行记录契约，不能让Core驱动真实硬件</x:v>
      </x:c>
      <x:c r="I256" s="180" t="str">
        <x:v>运行对象</x:v>
      </x:c>
      <x:c r="J256" s="179" t="str">
        <x:v>原候选待裁决</x:v>
      </x:c>
      <x:c r="K256" s="180" t="str">
        <x:v>生命周期：Runtime；约束：验收执行实例：Execute、Collect</x:v>
      </x:c>
      <x:c r="L256" s="183" t="str">
        <x:v>设计候选，尚待源码验证</x:v>
      </x:c>
      <x:c r="M256" s="183" t="str">
        <x:v>M08.VerificationRun</x:v>
      </x:c>
      <x:c r="N256" s="184"/>
      <x:c r="O256" s="183" t="str">
        <x:v>R3A_Core裁决
V2.01：未匹配V2.01；处置=暂无可信对应
V7.8：V7.8未检出同名词法声明</x:v>
      </x:c>
      <x:c r="P256" s="136" t="str">
        <x:v>R3A_Core裁决</x:v>
      </x:c>
    </x:row>
    <x:row r="257" ht="72" customHeight="1">
      <x:c r="A257" s="179" t="str">
        <x:v>M38</x:v>
      </x:c>
      <x:c r="B257" s="180" t="str">
        <x:v>工程与Studio｜Template / ImportExport / Baseline
Templates Import</x:v>
      </x:c>
      <x:c r="C257" s="180" t="str">
        <x:v>CxDeserializeResult</x:v>
      </x:c>
      <x:c r="D257" s="179" t="str">
        <x:v>增构候选·待查重</x:v>
      </x:c>
      <x:c r="E257" s="180" t="str">
        <x:v>设计：草稿隔离</x:v>
      </x:c>
      <x:c r="F257" s="180" t="str">
        <x:v>Draft,Diagnostics,SchemaVersion</x:v>
      </x:c>
      <x:c r="G257" s="180" t="str">
        <x:v>—</x:v>
      </x:c>
      <x:c r="H257" s="180" t="str">
        <x:v>待逐对象核实</x:v>
      </x:c>
      <x:c r="I257" s="180" t="str">
        <x:v>CxDeserializeResult</x:v>
      </x:c>
      <x:c r="J257" s="179" t="str">
        <x:v>sealed class</x:v>
      </x:c>
      <x:c r="K257" s="180" t="str">
        <x:v>生命周期：需定案；审核：补充类型字典</x:v>
      </x:c>
      <x:c r="L257" s="183" t="str">
        <x:v>设计候选，尚待源码验证</x:v>
      </x:c>
      <x:c r="M257" s="183" t="str">
        <x:v>R3A.M38.CxDeserializeResult</x:v>
      </x:c>
      <x:c r="N257" s="184"/>
      <x:c r="O257" s="183" t="str">
        <x:v>补充类型字典
V2.01：未匹配V2.01；处置=暂无可信对应
V7.8：V7.8未检出同名词法声明</x:v>
      </x:c>
      <x:c r="P257" s="136" t="str">
        <x:v>补充类型字典</x:v>
      </x:c>
    </x:row>
    <x:row r="258" ht="72" customHeight="1">
      <x:c r="A258" s="179" t="str">
        <x:v>M38</x:v>
      </x:c>
      <x:c r="B258" s="180" t="str">
        <x:v>工程与Studio｜Template / ImportExport / Baseline
Templates Import</x:v>
      </x:c>
      <x:c r="C258" s="180" t="str">
        <x:v>CxExportOptions</x:v>
      </x:c>
      <x:c r="D258" s="179" t="str">
        <x:v>增构候选·待查重</x:v>
      </x:c>
      <x:c r="E258" s="180" t="str">
        <x:v>设计：导出</x:v>
      </x:c>
      <x:c r="F258" s="180" t="str">
        <x:v>FormatId,TargetVersion</x:v>
      </x:c>
      <x:c r="G258" s="180" t="str">
        <x:v>—</x:v>
      </x:c>
      <x:c r="H258" s="180" t="str">
        <x:v>待逐对象核实</x:v>
      </x:c>
      <x:c r="I258" s="180" t="str">
        <x:v>CxExportOptions</x:v>
      </x:c>
      <x:c r="J258" s="179" t="str">
        <x:v>sealed class</x:v>
      </x:c>
      <x:c r="K258" s="180" t="str">
        <x:v>生命周期：需定案；审核：补充类型字典</x:v>
      </x:c>
      <x:c r="L258" s="183" t="str">
        <x:v>设计候选，尚待源码验证</x:v>
      </x:c>
      <x:c r="M258" s="183" t="str">
        <x:v>R3A.M38.CxExportOptions</x:v>
      </x:c>
      <x:c r="N258" s="184"/>
      <x:c r="O258" s="183" t="str">
        <x:v>补充类型字典
V2.01：未匹配V2.01；处置=暂无可信对应
V7.8：V7.8未检出同名词法声明</x:v>
      </x:c>
      <x:c r="P258" s="136" t="str">
        <x:v>补充类型字典</x:v>
      </x:c>
    </x:row>
    <x:row r="259" ht="72" customHeight="1">
      <x:c r="A259" s="179" t="str">
        <x:v>M38</x:v>
      </x:c>
      <x:c r="B259" s="180" t="str">
        <x:v>工程与Studio｜Template / ImportExport / Baseline
Templates Import</x:v>
      </x:c>
      <x:c r="C259" s="180" t="str">
        <x:v>CxIdRemap</x:v>
      </x:c>
      <x:c r="D259" s="179" t="str">
        <x:v>增构候选·待查重</x:v>
      </x:c>
      <x:c r="E259" s="180" t="str">
        <x:v>设计：导入映射</x:v>
      </x:c>
      <x:c r="F259" s="180" t="str">
        <x:v>草案: public IReadOnlyDictionary&lt;string,string&gt; Mappings { get; }</x:v>
      </x:c>
      <x:c r="G259" s="180" t="str">
        <x:v>—</x:v>
      </x:c>
      <x:c r="H259" s="180" t="str">
        <x:v>待逐对象核实</x:v>
      </x:c>
      <x:c r="I259" s="180" t="str">
        <x:v>CxIdRemap</x:v>
      </x:c>
      <x:c r="J259" s="179" t="str">
        <x:v>sealed class</x:v>
      </x:c>
      <x:c r="K259" s="180" t="str">
        <x:v>生命周期：需定案；审核：补充类型字典</x:v>
      </x:c>
      <x:c r="L259" s="183" t="str">
        <x:v>设计候选，尚待源码验证</x:v>
      </x:c>
      <x:c r="M259" s="183" t="str">
        <x:v>R3A.M38.CxIdRemap</x:v>
      </x:c>
      <x:c r="N259" s="184"/>
      <x:c r="O259" s="183" t="str">
        <x:v>补充类型字典
V2.01：未匹配V2.01；处置=暂无可信对应
V7.8：V7.8未检出同名词法声明</x:v>
      </x:c>
      <x:c r="P259" s="136" t="str">
        <x:v>补充类型字典</x:v>
      </x:c>
    </x:row>
    <x:row r="260" ht="72" customHeight="1">
      <x:c r="A260" s="179" t="str">
        <x:v>M38</x:v>
      </x:c>
      <x:c r="B260" s="180" t="str">
        <x:v>工程与Studio｜Template / ImportExport / Baseline
Templates Import</x:v>
      </x:c>
      <x:c r="C260" s="180" t="str">
        <x:v>CxImportDraft</x:v>
      </x:c>
      <x:c r="D260" s="179" t="str">
        <x:v>增构候选·待查重</x:v>
      </x:c>
      <x:c r="E260" s="180" t="str">
        <x:v>设计：草稿隔离</x:v>
      </x:c>
      <x:c r="F260" s="180" t="str">
        <x:v>Resources,Remap,Validation</x:v>
      </x:c>
      <x:c r="G260" s="180" t="str">
        <x:v>—</x:v>
      </x:c>
      <x:c r="H260" s="180" t="str">
        <x:v>待逐对象核实</x:v>
      </x:c>
      <x:c r="I260" s="180" t="str">
        <x:v>CxImportDraft</x:v>
      </x:c>
      <x:c r="J260" s="179" t="str">
        <x:v>sealed class</x:v>
      </x:c>
      <x:c r="K260" s="180" t="str">
        <x:v>生命周期：需定案；审核：补充类型字典</x:v>
      </x:c>
      <x:c r="L260" s="183" t="str">
        <x:v>设计候选，尚待源码验证</x:v>
      </x:c>
      <x:c r="M260" s="183" t="str">
        <x:v>R3A.M38.CxImportDraft</x:v>
      </x:c>
      <x:c r="N260" s="184"/>
      <x:c r="O260" s="183" t="str">
        <x:v>补充类型字典
V2.01：未匹配V2.01；处置=暂无可信对应
V7.8：V7.8未检出同名词法声明</x:v>
      </x:c>
      <x:c r="P260" s="136" t="str">
        <x:v>补充类型字典</x:v>
      </x:c>
    </x:row>
    <x:row r="261" ht="72" customHeight="1">
      <x:c r="A261" s="179" t="str">
        <x:v>M38</x:v>
      </x:c>
      <x:c r="B261" s="180" t="str">
        <x:v>工程与Studio｜Template / ImportExport / Baseline
Templates Import</x:v>
      </x:c>
      <x:c r="C261" s="180" t="str">
        <x:v>CxImportOptions</x:v>
      </x:c>
      <x:c r="D261" s="179" t="str">
        <x:v>增构候选·待查重</x:v>
      </x:c>
      <x:c r="E261" s="180" t="str">
        <x:v>设计：安全导入</x:v>
      </x:c>
      <x:c r="F261" s="180" t="str">
        <x:v>FormatId,MaxSizeBytes,UnknownTypePolicy</x:v>
      </x:c>
      <x:c r="G261" s="180" t="str">
        <x:v>—</x:v>
      </x:c>
      <x:c r="H261" s="180" t="str">
        <x:v>待逐对象核实</x:v>
      </x:c>
      <x:c r="I261" s="180" t="str">
        <x:v>CxImportOptions</x:v>
      </x:c>
      <x:c r="J261" s="179" t="str">
        <x:v>sealed class</x:v>
      </x:c>
      <x:c r="K261" s="180" t="str">
        <x:v>生命周期：需定案；审核：补充类型字典</x:v>
      </x:c>
      <x:c r="L261" s="183" t="str">
        <x:v>设计候选，尚待源码验证</x:v>
      </x:c>
      <x:c r="M261" s="183" t="str">
        <x:v>R3A.M38.CxImportOptions</x:v>
      </x:c>
      <x:c r="N261" s="184"/>
      <x:c r="O261" s="183" t="str">
        <x:v>补充类型字典
V2.01：未匹配V2.01；处置=暂无可信对应
V7.8：V7.8未检出同名词法声明</x:v>
      </x:c>
      <x:c r="P261" s="136" t="str">
        <x:v>补充类型字典</x:v>
      </x:c>
    </x:row>
    <x:row r="262" ht="72" customHeight="1">
      <x:c r="A262" s="179" t="str">
        <x:v>M38</x:v>
      </x:c>
      <x:c r="B262" s="180" t="str">
        <x:v>工程与Studio｜Template / ImportExport / Baseline
Templates Import</x:v>
      </x:c>
      <x:c r="C262" s="180" t="str">
        <x:v>CxResourceSnapshot</x:v>
      </x:c>
      <x:c r="D262" s="179" t="str">
        <x:v>增构候选·待查重</x:v>
      </x:c>
      <x:c r="E262" s="180" t="str">
        <x:v>设计：纯资源快照</x:v>
      </x:c>
      <x:c r="F262" s="180" t="str">
        <x:v>ResourceId,ProjectRevision,ImmutablePayload</x:v>
      </x:c>
      <x:c r="G262" s="180" t="str">
        <x:v>—</x:v>
      </x:c>
      <x:c r="H262" s="180" t="str">
        <x:v>待逐对象核实</x:v>
      </x:c>
      <x:c r="I262" s="180" t="str">
        <x:v>CxResourceSnapshot</x:v>
      </x:c>
      <x:c r="J262" s="179" t="str">
        <x:v>sealed class</x:v>
      </x:c>
      <x:c r="K262" s="180" t="str">
        <x:v>生命周期：需定案；审核：补充类型字典</x:v>
      </x:c>
      <x:c r="L262" s="183" t="str">
        <x:v>设计候选，尚待源码验证</x:v>
      </x:c>
      <x:c r="M262" s="183" t="str">
        <x:v>R3A.M38.CxResourceSnapshot</x:v>
      </x:c>
      <x:c r="N262" s="184"/>
      <x:c r="O262" s="183" t="str">
        <x:v>补充类型字典
V2.01：未匹配V2.01；处置=暂无可信对应
V7.8：V7.8未检出同名词法声明</x:v>
      </x:c>
      <x:c r="P262" s="136" t="str">
        <x:v>补充类型字典</x:v>
      </x:c>
    </x:row>
    <x:row r="263" ht="72" customHeight="1">
      <x:c r="A263" s="179" t="str">
        <x:v>M38</x:v>
      </x:c>
      <x:c r="B263" s="180" t="str">
        <x:v>工程与Studio｜Template / ImportExport / Baseline
Templates Import</x:v>
      </x:c>
      <x:c r="C263" s="180" t="str">
        <x:v>CxSerializationOptions</x:v>
      </x:c>
      <x:c r="D263" s="179" t="str">
        <x:v>增构候选·待查重</x:v>
      </x:c>
      <x:c r="E263" s="180" t="str">
        <x:v>设计：大小限制</x:v>
      </x:c>
      <x:c r="F263" s="180" t="str">
        <x:v>TargetSchemaVersion,PreserveUnknown,MaxSizeBytes</x:v>
      </x:c>
      <x:c r="G263" s="180" t="str">
        <x:v>—</x:v>
      </x:c>
      <x:c r="H263" s="180" t="str">
        <x:v>待逐对象核实</x:v>
      </x:c>
      <x:c r="I263" s="180" t="str">
        <x:v>CxSerializationOptions</x:v>
      </x:c>
      <x:c r="J263" s="179" t="str">
        <x:v>sealed class</x:v>
      </x:c>
      <x:c r="K263" s="180" t="str">
        <x:v>生命周期：需定案；审核：补充类型字典</x:v>
      </x:c>
      <x:c r="L263" s="183" t="str">
        <x:v>设计候选，尚待源码验证</x:v>
      </x:c>
      <x:c r="M263" s="183" t="str">
        <x:v>R3A.M38.CxSerializationOptions</x:v>
      </x:c>
      <x:c r="N263" s="184"/>
      <x:c r="O263" s="183" t="str">
        <x:v>补充类型字典
V2.01：未匹配V2.01；处置=暂无可信对应
V7.8：V7.8未检出同名词法声明</x:v>
      </x:c>
      <x:c r="P263" s="136" t="str">
        <x:v>补充类型字典</x:v>
      </x:c>
    </x:row>
    <x:row r="264" ht="72" customHeight="1">
      <x:c r="A264" s="179" t="str">
        <x:v>M38</x:v>
      </x:c>
      <x:c r="B264" s="180" t="str">
        <x:v>工程与Studio｜Template / ImportExport / Baseline
Templates Import</x:v>
      </x:c>
      <x:c r="C264" s="180" t="str">
        <x:v>CxTemplateArguments</x:v>
      </x:c>
      <x:c r="D264" s="179" t="str">
        <x:v>增构候选·待查重</x:v>
      </x:c>
      <x:c r="E264" s="180" t="str">
        <x:v>设计：参数输入</x:v>
      </x:c>
      <x:c r="F264" s="180" t="str">
        <x:v>Parameters,ReferenceOverrides</x:v>
      </x:c>
      <x:c r="G264" s="180" t="str">
        <x:v>—</x:v>
      </x:c>
      <x:c r="H264" s="180" t="str">
        <x:v>待逐对象核实</x:v>
      </x:c>
      <x:c r="I264" s="180" t="str">
        <x:v>CxTemplateArguments</x:v>
      </x:c>
      <x:c r="J264" s="179" t="str">
        <x:v>sealed class</x:v>
      </x:c>
      <x:c r="K264" s="180" t="str">
        <x:v>生命周期：需定案；审核：补充类型字典</x:v>
      </x:c>
      <x:c r="L264" s="183" t="str">
        <x:v>设计候选，尚待源码验证</x:v>
      </x:c>
      <x:c r="M264" s="183" t="str">
        <x:v>R3A.M38.CxTemplateArguments</x:v>
      </x:c>
      <x:c r="N264" s="184"/>
      <x:c r="O264" s="183" t="str">
        <x:v>补充类型字典
V2.01：未匹配V2.01；处置=暂无可信对应
V7.8：V7.8未检出同名词法声明</x:v>
      </x:c>
      <x:c r="P264" s="136" t="str">
        <x:v>补充类型字典</x:v>
      </x:c>
    </x:row>
    <x:row r="265" ht="72" customHeight="1">
      <x:c r="A265" s="179" t="str">
        <x:v>M38</x:v>
      </x:c>
      <x:c r="B265" s="180" t="str">
        <x:v>工程与Studio｜Template / ImportExport / Baseline
Templates Import</x:v>
      </x:c>
      <x:c r="C265" s="180" t="str">
        <x:v>MTIBaselineProfile</x:v>
      </x:c>
      <x:c r="D265" s="179" t="str">
        <x:v>增构候选·待查重</x:v>
      </x:c>
      <x:c r="E265" s="180" t="str">
        <x:v>基准</x:v>
      </x:c>
      <x:c r="F265" s="180" t="str">
        <x:v>Target；Golden；Thresholds；ComparePolicy</x:v>
      </x:c>
      <x:c r="G265" s="180" t="str">
        <x:v>基准</x:v>
      </x:c>
      <x:c r="H265" s="180" t="str">
        <x:v>禁止隐含运行态或UI强依赖</x:v>
      </x:c>
      <x:c r="I265" s="180" t="str">
        <x:v>BaselineProfile</x:v>
      </x:c>
      <x:c r="J265" s="179" t="str">
        <x:v>原候选待裁决</x:v>
      </x:c>
      <x:c r="K265" s="180" t="str">
        <x:v>生命周期：Definition；约束：基准</x:v>
      </x:c>
      <x:c r="L265" s="183" t="str">
        <x:v>设计候选，尚待源码验证</x:v>
      </x:c>
      <x:c r="M265" s="183" t="str">
        <x:v>M38.BaselineProfile</x:v>
      </x:c>
      <x:c r="N265" s="184"/>
      <x:c r="O265" s="183" t="str">
        <x:v>R3A_Core裁决
V2.01：未匹配V2.01；处置=暂无可信对应
V7.8：V7.8未检出同名词法声明</x:v>
      </x:c>
      <x:c r="P265" s="136" t="str">
        <x:v>R3A_Core裁决</x:v>
      </x:c>
    </x:row>
    <x:row r="266" ht="72" customHeight="1">
      <x:c r="A266" s="179" t="str">
        <x:v>M38</x:v>
      </x:c>
      <x:c r="B266" s="180" t="str">
        <x:v>工程与Studio｜Template / ImportExport / Baseline
Templates Import</x:v>
      </x:c>
      <x:c r="C266" s="180" t="str">
        <x:v>MTIDiffResult</x:v>
      </x:c>
      <x:c r="D266" s="179" t="str">
        <x:v>增构候选·待查重</x:v>
      </x:c>
      <x:c r="E266" s="180" t="str">
        <x:v>差异结果</x:v>
      </x:c>
      <x:c r="F266" s="180" t="str">
        <x:v>Differences；Metrics；Pass</x:v>
      </x:c>
      <x:c r="G266" s="180" t="str">
        <x:v>差异结果</x:v>
      </x:c>
      <x:c r="H266" s="180" t="str">
        <x:v>禁止隐含运行态或UI强依赖</x:v>
      </x:c>
      <x:c r="I266" s="180" t="str">
        <x:v>运行对象/模型</x:v>
      </x:c>
      <x:c r="J266" s="179" t="str">
        <x:v>sealed class</x:v>
      </x:c>
      <x:c r="K266" s="180" t="str">
        <x:v>生命周期：Runtime；约束：差异结果</x:v>
      </x:c>
      <x:c r="L266" s="183" t="str">
        <x:v>设计候选，尚待源码验证</x:v>
      </x:c>
      <x:c r="M266" s="183" t="str">
        <x:v>M38.DiffResult</x:v>
      </x:c>
      <x:c r="N266" s="184"/>
      <x:c r="O266" s="183" t="str">
        <x:v>R3A_Core裁决
V2.01：未匹配V2.01；处置=暂无可信对应
V7.8：V7.8未检出同名词法声明</x:v>
      </x:c>
      <x:c r="P266" s="136" t="str">
        <x:v>R3A_Core裁决</x:v>
      </x:c>
    </x:row>
    <x:row r="267" ht="72" customHeight="1">
      <x:c r="A267" s="179" t="str">
        <x:v>M38</x:v>
      </x:c>
      <x:c r="B267" s="180" t="str">
        <x:v>工程与Studio｜Template / ImportExport / Baseline
Templates Import</x:v>
      </x:c>
      <x:c r="C267" s="180" t="str">
        <x:v>MTIExporter</x:v>
      </x:c>
      <x:c r="D267" s="179" t="str">
        <x:v>增构候选·待查重</x:v>
      </x:c>
      <x:c r="E267" s="180" t="str">
        <x:v>IResourceExporter定义导出契约</x:v>
      </x:c>
      <x:c r="F267" s="180" t="str">
        <x:v>Formats；Export</x:v>
      </x:c>
      <x:c r="G267" s="180" t="str">
        <x:v>导出</x:v>
      </x:c>
      <x:c r="H267" s="180" t="str">
        <x:v>Core不引用WPF或专业SDK</x:v>
      </x:c>
      <x:c r="I267" s="180" t="str">
        <x:v>运行对象/模型</x:v>
      </x:c>
      <x:c r="J267" s="179" t="str">
        <x:v>interface</x:v>
      </x:c>
      <x:c r="K267" s="180" t="str">
        <x:v>生命周期：Studio；约束：导出</x:v>
      </x:c>
      <x:c r="L267" s="183" t="str">
        <x:v>设计候选，尚待源码验证</x:v>
      </x:c>
      <x:c r="M267" s="183" t="str">
        <x:v>M38.Exporter</x:v>
      </x:c>
      <x:c r="N267" s="184"/>
      <x:c r="O267" s="183" t="str">
        <x:v>R3A_Core裁决
V2.01：未匹配V2.01；处置=暂无可信对应
V7.8：V7.8未检出同名词法声明</x:v>
      </x:c>
      <x:c r="P267" s="136" t="str">
        <x:v>R3A_Core裁决</x:v>
      </x:c>
    </x:row>
    <x:row r="268" ht="72" customHeight="1">
      <x:c r="A268" s="179" t="str">
        <x:v>M38</x:v>
      </x:c>
      <x:c r="B268" s="180" t="str">
        <x:v>工程与Studio｜Template / ImportExport / Baseline
Templates Import</x:v>
      </x:c>
      <x:c r="C268" s="180" t="str">
        <x:v>MTIImporter</x:v>
      </x:c>
      <x:c r="D268" s="179" t="str">
        <x:v>增构候选·待查重</x:v>
      </x:c>
      <x:c r="E268" s="180" t="str">
        <x:v>IResourceImporter定义导入契约</x:v>
      </x:c>
      <x:c r="F268" s="180" t="str">
        <x:v>Formats；Import</x:v>
      </x:c>
      <x:c r="G268" s="180" t="str">
        <x:v>导入</x:v>
      </x:c>
      <x:c r="H268" s="180" t="str">
        <x:v>SVG/HALCON/设备特定实现位于Visual/Professional</x:v>
      </x:c>
      <x:c r="I268" s="180" t="str">
        <x:v>运行对象/模型</x:v>
      </x:c>
      <x:c r="J268" s="179" t="str">
        <x:v>interface</x:v>
      </x:c>
      <x:c r="K268" s="180" t="str">
        <x:v>生命周期：Studio；约束：导入</x:v>
      </x:c>
      <x:c r="L268" s="183" t="str">
        <x:v>设计候选，尚待源码验证</x:v>
      </x:c>
      <x:c r="M268" s="183" t="str">
        <x:v>M38.Importer</x:v>
      </x:c>
      <x:c r="N268" s="184"/>
      <x:c r="O268" s="183" t="str">
        <x:v>R3A_Core裁决
V2.01：未匹配V2.01；处置=暂无可信对应
V7.8：V7.8未检出同名词法声明</x:v>
      </x:c>
      <x:c r="P268" s="136" t="str">
        <x:v>R3A_Core裁决</x:v>
      </x:c>
    </x:row>
    <x:row r="269" ht="72" customHeight="1">
      <x:c r="A269" s="179" t="str">
        <x:v>M38</x:v>
      </x:c>
      <x:c r="B269" s="180" t="str">
        <x:v>工程与Studio｜Template / ImportExport / Baseline
Templates Import</x:v>
      </x:c>
      <x:c r="C269" s="180" t="str">
        <x:v>MTIIResourceExporter</x:v>
      </x:c>
      <x:c r="D269" s="179" t="str">
        <x:v>增构候选·待查重</x:v>
      </x:c>
      <x:c r="E269" s="180" t="str">
        <x:v>设计：原Exporter候选裁成接口</x:v>
      </x:c>
      <x:c r="F269" s="180" t="str">
        <x:v>Export</x:v>
      </x:c>
      <x:c r="G269" s="180" t="str">
        <x:v>草案: void Export(CxResourceSnapshot resource, Stream destination, CxExportOption</x:v>
      </x:c>
      <x:c r="H269" s="180" t="str">
        <x:v>待逐对象核实</x:v>
      </x:c>
      <x:c r="I269" s="180" t="str">
        <x:v>IResourceExporter</x:v>
      </x:c>
      <x:c r="J269" s="179" t="str">
        <x:v>interface</x:v>
      </x:c>
      <x:c r="K269" s="180" t="str">
        <x:v>生命周期：需定案；审核：补充类型字典</x:v>
      </x:c>
      <x:c r="L269" s="183" t="str">
        <x:v>设计候选，尚待源码验证</x:v>
      </x:c>
      <x:c r="M269" s="183" t="str">
        <x:v>R3A.M38.IResourceExporter</x:v>
      </x:c>
      <x:c r="N269" s="184"/>
      <x:c r="O269" s="183" t="str">
        <x:v>补充类型字典
V2.01：未匹配V2.01；处置=暂无可信对应
V7.8：V7.8未检出同名词法声明</x:v>
      </x:c>
      <x:c r="P269" s="136" t="str">
        <x:v>补充类型字典</x:v>
      </x:c>
    </x:row>
    <x:row r="270" ht="72" customHeight="1">
      <x:c r="A270" s="179" t="str">
        <x:v>M38</x:v>
      </x:c>
      <x:c r="B270" s="180" t="str">
        <x:v>工程与Studio｜Template / ImportExport / Baseline
Templates Import</x:v>
      </x:c>
      <x:c r="C270" s="180" t="str">
        <x:v>MTIIResourceImportCommit</x:v>
      </x:c>
      <x:c r="D270" s="179" t="str">
        <x:v>增构候选·待查重</x:v>
      </x:c>
      <x:c r="E270" s="180" t="str">
        <x:v>设计：提交前核心验证</x:v>
      </x:c>
      <x:c r="F270" s="180" t="str">
        <x:v>TryCommit</x:v>
      </x:c>
      <x:c r="G270" s="180" t="str">
        <x:v>草案: bool TryCommit(ProjectModel project, CxImportDraft draft, long expectedRevi</x:v>
      </x:c>
      <x:c r="H270" s="180" t="str">
        <x:v>待逐对象核实</x:v>
      </x:c>
      <x:c r="I270" s="180" t="str">
        <x:v>IResourceImportCommit</x:v>
      </x:c>
      <x:c r="J270" s="179" t="str">
        <x:v>interface</x:v>
      </x:c>
      <x:c r="K270" s="180" t="str">
        <x:v>生命周期：需定案；审核：补充类型字典</x:v>
      </x:c>
      <x:c r="L270" s="183" t="str">
        <x:v>设计候选，尚待源码验证</x:v>
      </x:c>
      <x:c r="M270" s="183" t="str">
        <x:v>R3A.M38.IResourceImportCommit</x:v>
      </x:c>
      <x:c r="N270" s="184"/>
      <x:c r="O270" s="183" t="str">
        <x:v>补充类型字典
V2.01：未匹配V2.01；处置=暂无可信对应
V7.8：V7.8未检出同名词法声明</x:v>
      </x:c>
      <x:c r="P270" s="136" t="str">
        <x:v>补充类型字典</x:v>
      </x:c>
    </x:row>
    <x:row r="271" ht="72" customHeight="1">
      <x:c r="A271" s="179" t="str">
        <x:v>M38</x:v>
      </x:c>
      <x:c r="B271" s="180" t="str">
        <x:v>工程与Studio｜Template / ImportExport / Baseline
Templates Import</x:v>
      </x:c>
      <x:c r="C271" s="180" t="str">
        <x:v>MTIIResourceImporter</x:v>
      </x:c>
      <x:c r="D271" s="179" t="str">
        <x:v>增构候选·待查重</x:v>
      </x:c>
      <x:c r="E271" s="180" t="str">
        <x:v>设计：原Importer候选裁成接口</x:v>
      </x:c>
      <x:c r="F271" s="180" t="str">
        <x:v>Import</x:v>
      </x:c>
      <x:c r="G271" s="180" t="str">
        <x:v>草案: CxImportDraft Import(Stream source, CxImportOptions options)</x:v>
      </x:c>
      <x:c r="H271" s="180" t="str">
        <x:v>待逐对象核实</x:v>
      </x:c>
      <x:c r="I271" s="180" t="str">
        <x:v>IResourceImporter</x:v>
      </x:c>
      <x:c r="J271" s="179" t="str">
        <x:v>interface</x:v>
      </x:c>
      <x:c r="K271" s="180" t="str">
        <x:v>生命周期：需定案；审核：补充类型字典</x:v>
      </x:c>
      <x:c r="L271" s="183" t="str">
        <x:v>设计候选，尚待源码验证</x:v>
      </x:c>
      <x:c r="M271" s="183" t="str">
        <x:v>R3A.M38.IResourceImporter</x:v>
      </x:c>
      <x:c r="N271" s="184"/>
      <x:c r="O271" s="183" t="str">
        <x:v>补充类型字典
V2.01：未匹配V2.01；处置=暂无可信对应
V7.8：V7.8未检出同名词法声明</x:v>
      </x:c>
      <x:c r="P271" s="136" t="str">
        <x:v>补充类型字典</x:v>
      </x:c>
    </x:row>
    <x:row r="272" ht="72" customHeight="1">
      <x:c r="A272" s="179" t="str">
        <x:v>M38</x:v>
      </x:c>
      <x:c r="B272" s="180" t="str">
        <x:v>工程与Studio｜Template / ImportExport / Baseline
Templates Import</x:v>
      </x:c>
      <x:c r="C272" s="180" t="str">
        <x:v>MTIIResourceSerializer</x:v>
      </x:c>
      <x:c r="D272" s="179" t="str">
        <x:v>增构候选·待查重</x:v>
      </x:c>
      <x:c r="E272" s="180" t="str">
        <x:v>设计：一致性序列化</x:v>
      </x:c>
      <x:c r="F272" s="180" t="str">
        <x:v>Serialize/Deserialize</x:v>
      </x:c>
      <x:c r="G272" s="180" t="str">
        <x:v>草案: byte[] Serialize(CxResourceSnapshot resource, CxSerializationOptions option；草案: CxDeserializeResult Deserialize(byte[] data, CxSerializationOptions options</x:v>
      </x:c>
      <x:c r="H272" s="180" t="str">
        <x:v>待逐对象核实</x:v>
      </x:c>
      <x:c r="I272" s="180" t="str">
        <x:v>IResourceSerializer</x:v>
      </x:c>
      <x:c r="J272" s="179" t="str">
        <x:v>interface</x:v>
      </x:c>
      <x:c r="K272" s="180" t="str">
        <x:v>生命周期：需定案；审核：补充类型字典</x:v>
      </x:c>
      <x:c r="L272" s="183" t="str">
        <x:v>设计候选，尚待源码验证</x:v>
      </x:c>
      <x:c r="M272" s="183" t="str">
        <x:v>R3A.M38.IResourceSerializer</x:v>
      </x:c>
      <x:c r="N272" s="184"/>
      <x:c r="O272" s="183" t="str">
        <x:v>补充类型字典
V2.01：未匹配V2.01；处置=暂无可信对应
V7.8：V7.8未检出同名词法声明</x:v>
      </x:c>
      <x:c r="P272" s="136" t="str">
        <x:v>补充类型字典</x:v>
      </x:c>
    </x:row>
    <x:row r="273" ht="72" customHeight="1">
      <x:c r="A273" s="179" t="str">
        <x:v>M38</x:v>
      </x:c>
      <x:c r="B273" s="180" t="str">
        <x:v>工程与Studio｜Template / ImportExport / Baseline
Templates Import</x:v>
      </x:c>
      <x:c r="C273" s="180" t="str">
        <x:v>MTIITemplateInstantiator</x:v>
      </x:c>
      <x:c r="D273" s="179" t="str">
        <x:v>增构候选·待查重</x:v>
      </x:c>
      <x:c r="E273" s="180" t="str">
        <x:v>设计：实例化</x:v>
      </x:c>
      <x:c r="F273" s="180" t="str">
        <x:v>TryInstantiate</x:v>
      </x:c>
      <x:c r="G273" s="180" t="str">
        <x:v>草案: bool TryInstantiate(ProjectModel project, TemplateDescriptor template, CxTe</x:v>
      </x:c>
      <x:c r="H273" s="180" t="str">
        <x:v>待逐对象核实</x:v>
      </x:c>
      <x:c r="I273" s="180" t="str">
        <x:v>ITemplateInstantiator</x:v>
      </x:c>
      <x:c r="J273" s="179" t="str">
        <x:v>interface</x:v>
      </x:c>
      <x:c r="K273" s="180" t="str">
        <x:v>生命周期：需定案；审核：补充类型字典</x:v>
      </x:c>
      <x:c r="L273" s="183" t="str">
        <x:v>设计候选，尚待源码验证</x:v>
      </x:c>
      <x:c r="M273" s="183" t="str">
        <x:v>R3A.M38.ITemplateInstantiator</x:v>
      </x:c>
      <x:c r="N273" s="184"/>
      <x:c r="O273" s="183" t="str">
        <x:v>补充类型字典
V2.01：未匹配V2.01；处置=暂无可信对应
V7.8：V7.8未检出同名词法声明</x:v>
      </x:c>
      <x:c r="P273" s="136" t="str">
        <x:v>补充类型字典</x:v>
      </x:c>
    </x:row>
    <x:row r="274" ht="72" customHeight="1">
      <x:c r="A274" s="179" t="str">
        <x:v>M38</x:v>
      </x:c>
      <x:c r="B274" s="180" t="str">
        <x:v>工程与Studio｜Template / ImportExport / Baseline
Templates Import</x:v>
      </x:c>
      <x:c r="C274" s="180" t="str">
        <x:v>MTIPreset</x:v>
      </x:c>
      <x:c r="D274" s="179" t="str">
        <x:v>增构候选·待查重</x:v>
      </x:c>
      <x:c r="E274" s="180" t="str">
        <x:v>参数预设</x:v>
      </x:c>
      <x:c r="F274" s="180" t="str">
        <x:v>TargetType；Values；Version</x:v>
      </x:c>
      <x:c r="G274" s="180" t="str">
        <x:v>参数预设</x:v>
      </x:c>
      <x:c r="H274" s="180" t="str">
        <x:v>禁止隐含运行态或UI强依赖</x:v>
      </x:c>
      <x:c r="I274" s="180" t="str">
        <x:v>Preset</x:v>
      </x:c>
      <x:c r="J274" s="179" t="str">
        <x:v>sealed class</x:v>
      </x:c>
      <x:c r="K274" s="180" t="str">
        <x:v>生命周期：Definition；约束：参数预设</x:v>
      </x:c>
      <x:c r="L274" s="183" t="str">
        <x:v>设计候选，尚待源码验证</x:v>
      </x:c>
      <x:c r="M274" s="183" t="str">
        <x:v>M38.Preset</x:v>
      </x:c>
      <x:c r="N274" s="184"/>
      <x:c r="O274" s="183" t="str">
        <x:v>R3A_Core裁决
V2.01：未匹配V2.01；处置=暂无可信对应
V7.8：V7.8未检出同名词法声明</x:v>
      </x:c>
      <x:c r="P274" s="136" t="str">
        <x:v>R3A_Core裁决</x:v>
      </x:c>
    </x:row>
    <x:row r="275" ht="72" customHeight="1">
      <x:c r="A275" s="179" t="str">
        <x:v>M38</x:v>
      </x:c>
      <x:c r="B275" s="180" t="str">
        <x:v>工程与Studio｜Template / ImportExport / Baseline
Templates Import</x:v>
      </x:c>
      <x:c r="C275" s="180" t="str">
        <x:v>MTIResourceSerializationService</x:v>
      </x:c>
      <x:c r="D275" s="179" t="str">
        <x:v>增构候选·待查重</x:v>
      </x:c>
      <x:c r="E275" s="180" t="str">
        <x:v>工程资源保存加载与ID/引用完整性</x:v>
      </x:c>
      <x:c r="F275" s="180" t="str">
        <x:v>Serializers；SchemaVersion</x:v>
      </x:c>
      <x:c r="G275" s="180" t="str">
        <x:v>Serialize；Deserialize</x:v>
      </x:c>
      <x:c r="H275" s="180" t="str">
        <x:v>文件Codec具体实现用F14/F18；未知字段保留策略需验收</x:v>
      </x:c>
      <x:c r="I275" s="180" t="str">
        <x:v>ResourceSerializationService</x:v>
      </x:c>
      <x:c r="J275" s="179" t="str">
        <x:v>原候选待裁决</x:v>
      </x:c>
      <x:c r="K275" s="180" t="str">
        <x:v>生命周期：Studio；约束：工程资源序列化服务：Serialize、Deserialize</x:v>
      </x:c>
      <x:c r="L275" s="183" t="str">
        <x:v>设计候选，尚待源码验证</x:v>
      </x:c>
      <x:c r="M275" s="183" t="str">
        <x:v>M38.ResourceSerializationService</x:v>
      </x:c>
      <x:c r="N275" s="184"/>
      <x:c r="O275" s="183" t="str">
        <x:v>R3A_Core裁决
V2.01：未匹配V2.01；处置=暂无可信对应
V7.8：V7.8未检出同名词法声明</x:v>
      </x:c>
      <x:c r="P275" s="136" t="str">
        <x:v>R3A_Core裁决</x:v>
      </x:c>
    </x:row>
    <x:row r="276" ht="72" customHeight="1">
      <x:c r="A276" s="179" t="str">
        <x:v>M38</x:v>
      </x:c>
      <x:c r="B276" s="180" t="str">
        <x:v>工程与Studio｜Template / ImportExport / Baseline
Templates Import</x:v>
      </x:c>
      <x:c r="C276" s="180" t="str">
        <x:v>MTISchemaMigrationRegistry</x:v>
      </x:c>
      <x:c r="D276" s="179" t="str">
        <x:v>增构候选·待查重</x:v>
      </x:c>
      <x:c r="E276" s="180" t="str">
        <x:v>M39版本迁移路径注册及执行</x:v>
      </x:c>
      <x:c r="F276" s="180" t="str">
        <x:v>FromVersion；ToVersion；Handlers</x:v>
      </x:c>
      <x:c r="G276" s="180" t="str">
        <x:v>FindPath；Migrate</x:v>
      </x:c>
      <x:c r="H276" s="180" t="str">
        <x:v>M38定义序列化版本约束，生命周期实施版本迁移</x:v>
      </x:c>
      <x:c r="I276" s="180" t="str">
        <x:v>SchemaMigrationRegistry</x:v>
      </x:c>
      <x:c r="J276" s="179" t="str">
        <x:v>原候选待裁决</x:v>
      </x:c>
      <x:c r="K276" s="180" t="str">
        <x:v>生命周期：Studio；约束：Schema迁移注册表：FindPath、Migrate</x:v>
      </x:c>
      <x:c r="L276" s="183" t="str">
        <x:v>设计候选，尚待源码验证</x:v>
      </x:c>
      <x:c r="M276" s="183" t="str">
        <x:v>M38.SchemaMigrationRegistry</x:v>
      </x:c>
      <x:c r="N276" s="184"/>
      <x:c r="O276" s="183" t="str">
        <x:v>R3A_Core裁决
V2.01：未匹配V2.01；处置=暂无可信对应
V7.8：V7.8未检出同名词法声明</x:v>
      </x:c>
      <x:c r="P276" s="136" t="str">
        <x:v>R3A_Core裁决</x:v>
      </x:c>
    </x:row>
    <x:row r="277" ht="72" customHeight="1">
      <x:c r="A277" s="179" t="str">
        <x:v>M38</x:v>
      </x:c>
      <x:c r="B277" s="180" t="str">
        <x:v>工程与Studio｜Template / ImportExport / Baseline
Templates Import</x:v>
      </x:c>
      <x:c r="C277" s="180" t="str">
        <x:v>MTITemplateDescriptor</x:v>
      </x:c>
      <x:c r="D277" s="179" t="str">
        <x:v>增构候选·待查重</x:v>
      </x:c>
      <x:c r="E277" s="180" t="str">
        <x:v>标准模板描述及参数Schema</x:v>
      </x:c>
      <x:c r="F277" s="180" t="str">
        <x:v>TemplateId；TargetType；Parameters；Dependencies；草案: public string TemplateId { get; }；草案: public string SchemaVersion { get; }</x:v>
      </x:c>
      <x:c r="G277" s="180" t="str">
        <x:v>资源模板</x:v>
      </x:c>
      <x:c r="H277" s="180" t="str">
        <x:v>不包含WPF Template/ControlTemplate</x:v>
      </x:c>
      <x:c r="I277" s="180" t="str">
        <x:v>运行对象/模型</x:v>
      </x:c>
      <x:c r="J277" s="179" t="str">
        <x:v>sealed class</x:v>
      </x:c>
      <x:c r="K277" s="180" t="str">
        <x:v>生命周期：Definition；约束：资源模板</x:v>
      </x:c>
      <x:c r="L277" s="183" t="str">
        <x:v>设计候选，尚待源码验证</x:v>
      </x:c>
      <x:c r="M277" s="183" t="str">
        <x:v>M38.TemplateDescriptor</x:v>
      </x:c>
      <x:c r="N277" s="184"/>
      <x:c r="O277" s="183" t="str">
        <x:v>R3A_Core裁决
V2.01：未匹配V2.01；处置=暂无可信对应
V7.8：V7.8未检出同名词法声明</x:v>
      </x:c>
      <x:c r="P277" s="136" t="str">
        <x:v>R3A_Core裁决</x:v>
      </x:c>
    </x:row>
    <x:row r="278" ht="72" customHeight="1">
      <x:c r="A278" s="179" t="str">
        <x:v>M38</x:v>
      </x:c>
      <x:c r="B278" s="180" t="str">
        <x:v>工程与Studio｜Template / ImportExport / Baseline
Templates Import</x:v>
      </x:c>
      <x:c r="C278" s="180" t="str">
        <x:v>MTIWizardDescriptor</x:v>
      </x:c>
      <x:c r="D278" s="179" t="str">
        <x:v>增构候选·待查重</x:v>
      </x:c>
      <x:c r="E278" s="180" t="str">
        <x:v>创建向导步骤声明和约束</x:v>
      </x:c>
      <x:c r="F278" s="180" t="str">
        <x:v>Steps；Inputs；CreateAction</x:v>
      </x:c>
      <x:c r="G278" s="180" t="str">
        <x:v>创建向导</x:v>
      </x:c>
      <x:c r="H278" s="180" t="str">
        <x:v>WPF负责向导界面，不被Core引用</x:v>
      </x:c>
      <x:c r="I278" s="180" t="str">
        <x:v>运行对象/模型</x:v>
      </x:c>
      <x:c r="J278" s="179" t="str">
        <x:v>原候选待裁决</x:v>
      </x:c>
      <x:c r="K278" s="180" t="str">
        <x:v>生命周期：Studio；约束：创建向导</x:v>
      </x:c>
      <x:c r="L278" s="183" t="str">
        <x:v>设计候选，尚待源码验证</x:v>
      </x:c>
      <x:c r="M278" s="183" t="str">
        <x:v>M38.WizardDescriptor</x:v>
      </x:c>
      <x:c r="N278" s="184"/>
      <x:c r="O278" s="183" t="str">
        <x:v>R3A_Core裁决
V2.01：未匹配V2.01；处置=暂无可信对应
V7.8：V7.8未检出同名词法声明</x:v>
      </x:c>
      <x:c r="P278" s="136" t="str">
        <x:v>R3A_Core裁决</x:v>
      </x:c>
    </x:row>
  </x:sheetData>
  <x:mergeCells>
    <x:mergeCell ref="A6:A88"/>
    <x:mergeCell ref="A89:A136"/>
    <x:mergeCell ref="A137:A171"/>
    <x:mergeCell ref="A172:A186"/>
    <x:mergeCell ref="A187:A195"/>
    <x:mergeCell ref="A196:A214"/>
    <x:mergeCell ref="A215:A236"/>
    <x:mergeCell ref="A237:A256"/>
    <x:mergeCell ref="A257:A278"/>
    <x:mergeCell ref="A1:P1"/>
    <x:mergeCell ref="A2:P2"/>
    <x:mergeCell ref="A3:P3"/>
    <x:mergeCell ref="A4:P4"/>
    <x:mergeCell ref="B6:B88"/>
    <x:mergeCell ref="B89:B136"/>
    <x:mergeCell ref="B137:B171"/>
    <x:mergeCell ref="B172:B186"/>
    <x:mergeCell ref="B187:B195"/>
    <x:mergeCell ref="B196:B214"/>
    <x:mergeCell ref="B215:B236"/>
    <x:mergeCell ref="B237:B256"/>
    <x:mergeCell ref="B257:B278"/>
  </x:mergeCells>
  <x:pageMargins left="0.7" right="0.7" top="0.75" bottom="0.75" header="0.3" footer="0.3"/>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CxVisual.Mechanism.Data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子方面：M09、M10、M35、M36｜来源：V1.19旧类型 + V4.9对象 + V7.8源码 + V5.0/R3架构裁决｜本项目 228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M09</x:v>
      </x:c>
      <x:c r="B6" s="180" t="str">
        <x:v>数据与状态｜Variable / Binding
Variable Binding</x:v>
      </x:c>
      <x:c r="C6" s="180" t="str">
        <x:v>IMVBBindingResolver</x:v>
      </x:c>
      <x:c r="D6" s="179" t="str">
        <x:v>原有·待核</x:v>
      </x:c>
      <x:c r="E6" s="180" t="str">
        <x:v>约定绑定Resolver的操作入口、交互能力及调用方/实现方边界</x:v>
      </x:c>
      <x:c r="F6" s="180" t="str">
        <x:v>BindingTypeId</x:v>
      </x:c>
      <x:c r="G6" s="180" t="str">
        <x:v>Compile(BindingModel model, BindingCompileContext context), Evaluate(BindingPlan plan, RuntimeEvaluationContext context)</x:v>
      </x:c>
      <x:c r="H6" s="180" t="str">
        <x:v>—（待核）</x:v>
      </x:c>
      <x:c r="I6" s="180" t="str">
        <x:v>CxVisual.Runtime.Core.IBindingResolver</x:v>
      </x:c>
      <x:c r="J6" s="179" t="str">
        <x:v>接口</x:v>
      </x:c>
      <x:c r="K6" s="180" t="str">
        <x:v>V1.19 C-0386；原实施方式：原有。迁移风险：约定绑定Resolver的操作入口、交互能力及调用方/实现方边界</x:v>
      </x:c>
      <x:c r="L6" s="183" t="str">
        <x:v>源代码声明·待复核</x:v>
      </x:c>
      <x:c r="M6" s="183" t="str">
        <x:v>C-0386</x:v>
      </x:c>
      <x:c r="N6" s="184" t="str">
        <x:v>Platform/Runtime/BindingRuntime.cs</x:v>
      </x:c>
      <x:c r="O6" s="183" t="str">
        <x:v>V1.19旧源码类型（真实成员/实现仍待核）
V2.01：来源ID对应；处置=保留源码·公开契约复核
V7.8：V7.8同名且源文件对应；Platform/Runtime/BindingRuntime.cs</x:v>
      </x:c>
      <x:c r="P6" s="136" t="str">
        <x:v>V1.19旧源码类型（真实成员/实现仍待核）</x:v>
      </x:c>
      <x:c r="Q6"/>
      <x:c r="R6"/>
      <x:c r="S6"/>
    </x:row>
    <x:row r="7" ht="72" customHeight="1">
      <x:c r="A7" s="179" t="str">
        <x:v>M09</x:v>
      </x:c>
      <x:c r="B7" s="180" t="str">
        <x:v>数据与状态｜Variable / Binding
Variable Binding</x:v>
      </x:c>
      <x:c r="C7" s="180" t="str">
        <x:v>IMVBCxVariableMutableState</x:v>
      </x:c>
      <x:c r="D7" s="179" t="str">
        <x:v>原有·待核</x:v>
      </x:c>
      <x:c r="E7" s="180" t="str">
        <x:v>约定变量Mutable状态的操作入口、交互能力及调用方/实现方边界</x:v>
      </x:c>
      <x:c r="F7" s="180" t="str">
        <x:v>ValueType</x:v>
      </x:c>
      <x:c r="G7" s="180" t="str">
        <x:v>Read(), Initialize(CxVariableDefinition definition, ICxClock clock), RefreshObject(object value, VariableQuality quality, string source, string reason, DateTime? timestamp), Capture(), Restore(CxVariableStateSnapshot snapshot)</x:v>
      </x:c>
      <x:c r="H7" s="180" t="str">
        <x:v>—（待核）</x:v>
      </x:c>
      <x:c r="I7" s="180" t="str">
        <x:v>CxVisual.Platform.Variables.ICxVariableMutableState</x:v>
      </x:c>
      <x:c r="J7" s="179" t="str">
        <x:v>接口</x:v>
      </x:c>
      <x:c r="K7" s="180" t="str">
        <x:v>V1.19 C-0367；原实施方式：原有。迁移风险：约定变量Mutable状态的操作入口、交互能力及调用方/实现方边界</x:v>
      </x:c>
      <x:c r="L7" s="183" t="str">
        <x:v>源代码声明·待复核</x:v>
      </x:c>
      <x:c r="M7" s="183" t="str">
        <x:v>C-0367</x:v>
      </x:c>
      <x:c r="N7" s="184" t="str">
        <x:v>Platform/Variables/CxVariableRuntimeState.cs</x:v>
      </x:c>
      <x:c r="O7" s="183" t="str">
        <x:v>V1.19旧源码类型（真实成员/实现仍待核）
V2.01：来源ID对应；处置=保留源码·公开契约复核
V7.8：V7.8同名且源文件对应；Platform/Variables/CxVariableRuntimeState.cs</x:v>
      </x:c>
      <x:c r="P7" s="136" t="str">
        <x:v>V1.19旧源码类型（真实成员/实现仍待核）</x:v>
      </x:c>
      <x:c r="Q7"/>
      <x:c r="R7"/>
      <x:c r="S7"/>
    </x:row>
    <x:row r="8" ht="72" customHeight="1">
      <x:c r="A8" s="179" t="str">
        <x:v>M09</x:v>
      </x:c>
      <x:c r="B8" s="180" t="str">
        <x:v>数据与状态｜Variable / Binding
Variable Binding</x:v>
      </x:c>
      <x:c r="C8" s="180" t="str">
        <x:v>IMVBPlatformVariable</x:v>
      </x:c>
      <x:c r="D8" s="179" t="str">
        <x:v>原有·待核</x:v>
      </x:c>
      <x:c r="E8" s="180" t="str">
        <x:v>约定Mechanism变量的操作入口、交互能力及调用方/实现方边界</x:v>
      </x:c>
      <x:c r="F8" s="180" t="str">
        <x:v>VariableId, VariablePath, ValueType, UntypedValue, UntypedOldValue, LastUpdated, Version</x:v>
      </x:c>
      <x:c r="G8" s="180" t="str">
        <x:v>—(无公开声明或待核对)</x:v>
      </x:c>
      <x:c r="H8" s="180" t="str">
        <x:v>—（待核）</x:v>
      </x:c>
      <x:c r="I8" s="180" t="str">
        <x:v>CxVisual.Platform.Variables.IPlatformVariable</x:v>
      </x:c>
      <x:c r="J8" s="179" t="str">
        <x:v>接口</x:v>
      </x:c>
      <x:c r="K8" s="180" t="str">
        <x:v>V1.19 C-0368；原实施方式：原有。迁移风险：约定Mechanism变量的操作入口、交互能力及调用方/实现方边界</x:v>
      </x:c>
      <x:c r="L8" s="183" t="str">
        <x:v>源代码声明·待复核</x:v>
      </x:c>
      <x:c r="M8" s="183" t="str">
        <x:v>C-0368</x:v>
      </x:c>
      <x:c r="N8" s="184" t="str">
        <x:v>Platform/Variables/VariableValue.cs</x:v>
      </x:c>
      <x:c r="O8" s="183" t="str">
        <x:v>V1.19旧源码类型（真实成员/实现仍待核）
V2.01：来源ID对应；处置=保留源码·公开契约复核
V7.8：V7.8同名且源文件对应；Platform/Variables/VariableValue.cs</x:v>
      </x:c>
      <x:c r="P8" s="136" t="str">
        <x:v>V1.19旧源码类型（真实成员/实现仍待核）</x:v>
      </x:c>
      <x:c r="Q8"/>
      <x:c r="R8"/>
      <x:c r="S8"/>
    </x:row>
    <x:row r="9" ht="72" customHeight="1">
      <x:c r="A9" s="179" t="str">
        <x:v>M09</x:v>
      </x:c>
      <x:c r="B9" s="180" t="str">
        <x:v>数据与状态｜Variable / Binding
Variable Binding</x:v>
      </x:c>
      <x:c r="C9" s="180" t="str">
        <x:v>IMVBValueConverterEx</x:v>
      </x:c>
      <x:c r="D9" s="179" t="str">
        <x:v>原有·待核</x:v>
      </x:c>
      <x:c r="E9" s="180" t="str">
        <x:v>约定值ConverterEx的操作入口、交互能力及调用方/实现方边界</x:v>
      </x:c>
      <x:c r="F9" s="180" t="str">
        <x:v>ConverterTypeId</x:v>
      </x:c>
      <x:c r="G9" s="180" t="str">
        <x:v>Convert(object value, ValueConverterModel model)</x:v>
      </x:c>
      <x:c r="H9" s="180" t="str">
        <x:v>—（待核）</x:v>
      </x:c>
      <x:c r="I9" s="180" t="str">
        <x:v>CxVisual.Runtime.Core.IValueConverterEx</x:v>
      </x:c>
      <x:c r="J9" s="179" t="str">
        <x:v>接口</x:v>
      </x:c>
      <x:c r="K9" s="180" t="str">
        <x:v>V1.19 C-0387；原实施方式：原有。迁移风险：约定值ConverterEx的操作入口、交互能力及调用方/实现方边界</x:v>
      </x:c>
      <x:c r="L9" s="183" t="str">
        <x:v>源代码声明·待复核</x:v>
      </x:c>
      <x:c r="M9" s="183" t="str">
        <x:v>C-0387</x:v>
      </x:c>
      <x:c r="N9" s="184" t="str">
        <x:v>Platform/Runtime/BindingRuntime.cs</x:v>
      </x:c>
      <x:c r="O9" s="183" t="str">
        <x:v>V1.19旧源码类型（真实成员/实现仍待核）
V2.01：来源ID对应；处置=保留源码·公开契约复核
V7.8：V7.8同名且源文件对应；Platform/Runtime/BindingRuntime.cs</x:v>
      </x:c>
      <x:c r="P9" s="136" t="str">
        <x:v>V1.19旧源码类型（真实成员/实现仍待核）</x:v>
      </x:c>
      <x:c r="Q9"/>
      <x:c r="R9"/>
      <x:c r="S9"/>
    </x:row>
    <x:row r="10" ht="72" customHeight="1">
      <x:c r="A10" s="179" t="str">
        <x:v>M09</x:v>
      </x:c>
      <x:c r="B10" s="180" t="str">
        <x:v>数据与状态｜Variable / Binding
Variable Binding</x:v>
      </x:c>
      <x:c r="C10" s="180" t="str">
        <x:v>IMVBValueResolver</x:v>
      </x:c>
      <x:c r="D10" s="179" t="str">
        <x:v>原有·待核</x:v>
      </x:c>
      <x:c r="E10" s="180" t="str">
        <x:v>约定值Resolver的操作入口、交互能力及调用方/实现方边界</x:v>
      </x:c>
      <x:c r="F10" s="180" t="str">
        <x:v>—（无公开声明或待核对）</x:v>
      </x:c>
      <x:c r="G10" s="180" t="str">
        <x:v>TryResolve(string name, RuntimeContext context, out DataValue value)</x:v>
      </x:c>
      <x:c r="H10" s="180" t="str">
        <x:v>—（待核）</x:v>
      </x:c>
      <x:c r="I10" s="180" t="str">
        <x:v>CxVisual.Abstractions.IValueResolver</x:v>
      </x:c>
      <x:c r="J10" s="179" t="str">
        <x:v>接口</x:v>
      </x:c>
      <x:c r="K10" s="180" t="str">
        <x:v>V1.19 C-0303；原实施方式：原有。迁移风险：约定值Resolver的操作入口、交互能力及调用方/实现方边界</x:v>
      </x:c>
      <x:c r="L10" s="183" t="str">
        <x:v>源代码声明·待复核</x:v>
      </x:c>
      <x:c r="M10" s="183" t="str">
        <x:v>C-0303</x:v>
      </x:c>
      <x:c r="N10" s="184" t="str">
        <x:v>Platform/Core/Abstractions/PlatformContracts.cs</x:v>
      </x:c>
      <x:c r="O10" s="183" t="str">
        <x:v>V1.19旧源码类型（真实成员/实现仍待核）
V2.01：来源ID对应；处置=保留源码·公开契约复核
V7.8：V7.8同名且源文件对应；Platform/Core/Abstractions/PlatformContracts.cs</x:v>
      </x:c>
      <x:c r="P10" s="136" t="str">
        <x:v>V1.19旧源码类型（真实成员/实现仍待核）</x:v>
      </x:c>
      <x:c r="Q10"/>
      <x:c r="R10"/>
      <x:c r="S10"/>
    </x:row>
    <x:row r="11" ht="72" customHeight="1">
      <x:c r="A11" s="179" t="str">
        <x:v>M09</x:v>
      </x:c>
      <x:c r="B11" s="180" t="str">
        <x:v>数据与状态｜Variable / Binding
Variable Binding</x:v>
      </x:c>
      <x:c r="C11" s="180" t="str">
        <x:v>IMVBVariableEvaluator&lt;T&gt;</x:v>
      </x:c>
      <x:c r="D11" s="179" t="str">
        <x:v>原有·待核</x:v>
      </x:c>
      <x:c r="E11" s="180" t="str">
        <x:v>约定变量EvaluatorT的操作入口、交互能力及调用方/实现方边界</x:v>
      </x:c>
      <x:c r="F11" s="180" t="str">
        <x:v>—（无公开声明或待核对）</x:v>
      </x:c>
      <x:c r="G11" s="180" t="str">
        <x:v>Evaluate(T value)</x:v>
      </x:c>
      <x:c r="H11" s="180" t="str">
        <x:v>—（待核）</x:v>
      </x:c>
      <x:c r="I11" s="180" t="str">
        <x:v>VariableInterfaces.IVariableEvaluator&lt;T&gt;</x:v>
      </x:c>
      <x:c r="J11" s="179" t="str">
        <x:v>接口</x:v>
      </x:c>
      <x:c r="K11" s="180" t="str">
        <x:v>V1.19 C-0402；原实施方式：原有。迁移风险：约定变量EvaluatorT的操作入口、交互能力及调用方/实现方边界</x:v>
      </x:c>
      <x:c r="L11" s="183" t="str">
        <x:v>源代码声明·待复核</x:v>
      </x:c>
      <x:c r="M11" s="183" t="str">
        <x:v>C-0402</x:v>
      </x:c>
      <x:c r="N11" s="184" t="str">
        <x:v>D:\cyg\cx-visual-x2\Platform\Variables\Legacy\VariableEvaluator.cs:84</x:v>
      </x:c>
      <x:c r="O11" s="183" t="str">
        <x:v>V1.19旧源码类型（真实成员/实现仍待核）
V2.01：来源ID对应；处置=保留源码·公开契约复核
V7.8：V7.8同名同文件多声明</x:v>
      </x:c>
      <x:c r="P11" s="136" t="str">
        <x:v>V1.19旧源码类型（真实成员/实现仍待核）</x:v>
      </x:c>
      <x:c r="Q11"/>
      <x:c r="R11"/>
      <x:c r="S11"/>
    </x:row>
    <x:row r="12" ht="72" customHeight="1">
      <x:c r="A12" s="179" t="str">
        <x:v>M09</x:v>
      </x:c>
      <x:c r="B12" s="180" t="str">
        <x:v>数据与状态｜Variable / Binding
Variable Binding</x:v>
      </x:c>
      <x:c r="C12" s="180" t="str">
        <x:v>IMVBVariableInfo</x:v>
      </x:c>
      <x:c r="D12" s="179" t="str">
        <x:v>原有·待核</x:v>
      </x:c>
      <x:c r="E12" s="180" t="str">
        <x:v>约定变量Info的操作入口、交互能力及调用方/实现方边界</x:v>
      </x:c>
      <x:c r="F12" s="180" t="str">
        <x:v>HasInitialValue, LastUpdated</x:v>
      </x:c>
      <x:c r="G12" s="180" t="str">
        <x:v>—(无公开声明或待核对)</x:v>
      </x:c>
      <x:c r="H12" s="180" t="str">
        <x:v>—（待核）</x:v>
      </x:c>
      <x:c r="I12" s="180" t="str">
        <x:v>VariableInterfaces.IVariableInfo</x:v>
      </x:c>
      <x:c r="J12" s="179" t="str">
        <x:v>接口</x:v>
      </x:c>
      <x:c r="K12" s="180" t="str">
        <x:v>V1.19 C-0403；原实施方式：原有。迁移风险：约定变量Info的操作入口、交互能力及调用方/实现方边界</x:v>
      </x:c>
      <x:c r="L12" s="183" t="str">
        <x:v>源代码声明·待复核</x:v>
      </x:c>
      <x:c r="M12" s="183" t="str">
        <x:v>C-0403</x:v>
      </x:c>
      <x:c r="N12" s="184" t="str">
        <x:v>Platform/Variables/Legacy/VariableInfo.cs; Platform/Compatibility/DeviceVariable/VariableInterfaces/VariableInfo.cs</x:v>
      </x:c>
      <x:c r="O12" s="183" t="str">
        <x:v>V1.19旧源码类型（真实成员/实现仍待核）
V2.01：来源ID对应；处置=保留源码·公开契约复核
V7.8：V7.8同名同文件多声明</x:v>
      </x:c>
      <x:c r="P12" s="136" t="str">
        <x:v>V1.19旧源码类型（真实成员/实现仍待核）</x:v>
      </x:c>
      <x:c r="Q12"/>
      <x:c r="R12"/>
      <x:c r="S12"/>
    </x:row>
    <x:row r="13" ht="72" customHeight="1">
      <x:c r="A13" s="179" t="str">
        <x:v>M09</x:v>
      </x:c>
      <x:c r="B13" s="180" t="str">
        <x:v>数据与状态｜Variable / Binding
Variable Binding</x:v>
      </x:c>
      <x:c r="C13" s="180" t="str">
        <x:v>IMVBVariableProvider</x:v>
      </x:c>
      <x:c r="D13" s="179" t="str">
        <x:v>原有·待核</x:v>
      </x:c>
      <x:c r="E13" s="180" t="str">
        <x:v>外部变量Provider</x:v>
      </x:c>
      <x:c r="F13" s="180" t="str">
        <x:v>ProviderId</x:v>
      </x:c>
      <x:c r="G13" s="180" t="str">
        <x:v>GetMetadata(), Read(string variableId), ReadAsync(string variableId, CancellationToken cancellationToken), GetState(), GetHealthAsync(CancellationToken cancellationToken), WriteAsync(string variableId, object value, CancellationToken cancellationToken), Subscribe(IEnumerable&lt;string&gt; variableIds, Action&lt;IReadOnlyList&lt;VariableChange&gt;&gt; callback), GetDiagnostics()</x:v>
      </x:c>
      <x:c r="H13" s="180" t="str">
        <x:v>—（待核）</x:v>
      </x:c>
      <x:c r="I13" s="180" t="str">
        <x:v>CxVisual.Abstractions.IVariableProvider</x:v>
      </x:c>
      <x:c r="J13" s="179" t="str">
        <x:v>接口</x:v>
      </x:c>
      <x:c r="K13" s="180" t="str">
        <x:v>V1.19 C-0304；原实施方式：原有。迁移风险：外部变量Provider</x:v>
      </x:c>
      <x:c r="L13" s="183" t="str">
        <x:v>源代码声明·待复核</x:v>
      </x:c>
      <x:c r="M13" s="183" t="str">
        <x:v>C-0304</x:v>
      </x:c>
      <x:c r="N13" s="184" t="str">
        <x:v>Platform/Core/Abstractions/Variables.cs</x:v>
      </x:c>
      <x:c r="O13" s="183" t="str">
        <x:v>V1.19旧源码类型（真实成员/实现仍待核）
V2.01：来源ID对应；处置=保留源码·公开契约复核
V7.8：V7.8同名且源文件对应；Platform/Core/Abstractions/Variables.cs</x:v>
      </x:c>
      <x:c r="P13" s="136" t="str">
        <x:v>V1.19旧源码类型（真实成员/实现仍待核）</x:v>
      </x:c>
      <x:c r="Q13"/>
      <x:c r="R13"/>
      <x:c r="S13"/>
    </x:row>
    <x:row r="14" ht="72" customHeight="1">
      <x:c r="A14" s="179" t="str">
        <x:v>M09</x:v>
      </x:c>
      <x:c r="B14" s="180" t="str">
        <x:v>数据与状态｜Variable / Binding
Variable Binding</x:v>
      </x:c>
      <x:c r="C14" s="180" t="str">
        <x:v>IMVBVariableProviderCapabilities</x:v>
      </x:c>
      <x:c r="D14" s="179" t="str">
        <x:v>原有·待核</x:v>
      </x:c>
      <x:c r="E14" s="180" t="str">
        <x:v>约定变量提供器Capabilities的操作入口、交互能力及调用方/实现方边界</x:v>
      </x:c>
      <x:c r="F14" s="180" t="str">
        <x:v>—（无公开声明或待核对）</x:v>
      </x:c>
      <x:c r="G14" s="180" t="str">
        <x:v>—(无公开声明或待核对)</x:v>
      </x:c>
      <x:c r="H14" s="180" t="str">
        <x:v>—（待核）</x:v>
      </x:c>
      <x:c r="I14" s="180" t="str">
        <x:v>CxVisual.Abstractions.IVariableProviderCapabilities</x:v>
      </x:c>
      <x:c r="J14" s="179" t="str">
        <x:v>接口</x:v>
      </x:c>
      <x:c r="K14" s="180" t="str">
        <x:v>V1.19 C-0305；原实施方式：原有。迁移风险：约定变量提供器Capabilities的操作入口、交互能力及调用方/实现方边界</x:v>
      </x:c>
      <x:c r="L14" s="183" t="str">
        <x:v>源代码声明·待复核</x:v>
      </x:c>
      <x:c r="M14" s="183" t="str">
        <x:v>C-0305</x:v>
      </x:c>
      <x:c r="N14" s="184" t="str">
        <x:v>Platform/Core/Abstractions/Variables.cs</x:v>
      </x:c>
      <x:c r="O14" s="183" t="str">
        <x:v>V1.19旧源码类型（真实成员/实现仍待核）
V2.01：来源ID对应；处置=保留源码·公开契约复核
V7.8：V7.8同名且源文件对应；Platform/Core/Abstractions/Variables.cs</x:v>
      </x:c>
      <x:c r="P14" s="136" t="str">
        <x:v>V1.19旧源码类型（真实成员/实现仍待核）</x:v>
      </x:c>
      <x:c r="Q14"/>
      <x:c r="R14"/>
      <x:c r="S14"/>
    </x:row>
    <x:row r="15" ht="72" customHeight="1">
      <x:c r="A15" s="179" t="str">
        <x:v>M09</x:v>
      </x:c>
      <x:c r="B15" s="180" t="str">
        <x:v>数据与状态｜Variable / Binding
Variable Binding</x:v>
      </x:c>
      <x:c r="C15" s="180" t="str">
        <x:v>IMVBVariableSubscription</x:v>
      </x:c>
      <x:c r="D15" s="179" t="str">
        <x:v>原有·待核</x:v>
      </x:c>
      <x:c r="E15" s="180" t="str">
        <x:v>约定变量Subscription的操作入口、交互能力及调用方/实现方边界</x:v>
      </x:c>
      <x:c r="F15" s="180" t="str">
        <x:v>VariableIds</x:v>
      </x:c>
      <x:c r="G15" s="180" t="str">
        <x:v>—(无公开声明或待核对)</x:v>
      </x:c>
      <x:c r="H15" s="180" t="str">
        <x:v>—（待核）</x:v>
      </x:c>
      <x:c r="I15" s="180" t="str">
        <x:v>CxVisual.Abstractions.IVariableSubscription</x:v>
      </x:c>
      <x:c r="J15" s="179" t="str">
        <x:v>接口</x:v>
      </x:c>
      <x:c r="K15" s="180" t="str">
        <x:v>V1.19 C-0306；原实施方式：原有。迁移风险：约定变量Subscription的操作入口、交互能力及调用方/实现方边界</x:v>
      </x:c>
      <x:c r="L15" s="183" t="str">
        <x:v>源代码声明·待复核</x:v>
      </x:c>
      <x:c r="M15" s="183" t="str">
        <x:v>C-0306</x:v>
      </x:c>
      <x:c r="N15" s="184" t="str">
        <x:v>Platform/Core/Abstractions/Variables.cs</x:v>
      </x:c>
      <x:c r="O15" s="183" t="str">
        <x:v>V1.19旧源码类型（真实成员/实现仍待核）
V2.01：来源ID对应；处置=保留源码·公开契约复核
V7.8：V7.8同名且源文件对应；Platform/Core/Abstractions/Variables.cs</x:v>
      </x:c>
      <x:c r="P15" s="136" t="str">
        <x:v>V1.19旧源码类型（真实成员/实现仍待核）</x:v>
      </x:c>
      <x:c r="Q15"/>
      <x:c r="R15"/>
      <x:c r="S15"/>
    </x:row>
    <x:row r="16" ht="72" customHeight="1">
      <x:c r="A16" s="179" t="str">
        <x:v>M09</x:v>
      </x:c>
      <x:c r="B16" s="180" t="str">
        <x:v>数据与状态｜Variable / Binding
Variable Binding</x:v>
      </x:c>
      <x:c r="C16" s="180" t="str">
        <x:v>MVBAddElementBindingCommand</x:v>
      </x:c>
      <x:c r="D16" s="179" t="str">
        <x:v>原有·待核</x:v>
      </x:c>
      <x:c r="E16" s="180" t="str">
        <x:v>封装Add元素绑定命令操作请求、参数与执行入口</x:v>
      </x:c>
      <x:c r="F16" s="180" t="str">
        <x:v>Description</x:v>
      </x:c>
      <x:c r="G16" s="180" t="str">
        <x:v>AddElementBindingCommand(ElementModel element, BindingModel binding), Execute(), Undo(), TryMerge(IEditorCommand next)</x:v>
      </x:c>
      <x:c r="H16" s="180" t="str">
        <x:v>—（待核）</x:v>
      </x:c>
      <x:c r="I16" s="180" t="str">
        <x:v>CxVisual.Commands.AddElementBindingCommand</x:v>
      </x:c>
      <x:c r="J16" s="179" t="str">
        <x:v>类</x:v>
      </x:c>
      <x:c r="K16" s="180" t="str">
        <x:v>V1.19 C-0313；原实施方式：原有。迁移风险：封装Add元素绑定命令操作请求、参数与执行入口</x:v>
      </x:c>
      <x:c r="L16" s="183" t="str">
        <x:v>源代码声明·待复核</x:v>
      </x:c>
      <x:c r="M16" s="183" t="str">
        <x:v>C-0313</x:v>
      </x:c>
      <x:c r="N16" s="184" t="str">
        <x:v>Host/Studio/Application/Commands/EditorCommands.cs</x:v>
      </x:c>
      <x:c r="O16" s="183" t="str">
        <x:v>V1.19旧源码类型（真实成员/实现仍待核）
V2.01：来源ID对应；处置=保留源码·公开契约复核
V7.8：V7.8同名且源文件对应；Host/Studio/Application/Commands/EditorCommands.cs</x:v>
      </x:c>
      <x:c r="P16" s="136" t="str">
        <x:v>V1.19旧源码类型（真实成员/实现仍待核）</x:v>
      </x:c>
      <x:c r="Q16"/>
      <x:c r="R16"/>
      <x:c r="S16"/>
    </x:row>
    <x:row r="17" ht="72" customHeight="1">
      <x:c r="A17" s="179" t="str">
        <x:v>M09</x:v>
      </x:c>
      <x:c r="B17" s="180" t="str">
        <x:v>数据与状态｜Variable / Binding
Variable Binding</x:v>
      </x:c>
      <x:c r="C17" s="180" t="str">
        <x:v>MVBAddEventBindingCommand</x:v>
      </x:c>
      <x:c r="D17" s="179" t="str">
        <x:v>原有·待核</x:v>
      </x:c>
      <x:c r="E17" s="180" t="str">
        <x:v>封装Add事件绑定命令操作请求、参数与执行入口</x:v>
      </x:c>
      <x:c r="F17" s="180" t="str">
        <x:v>Description</x:v>
      </x:c>
      <x:c r="G17" s="180" t="str">
        <x:v>AddEventBindingCommand(ElementModel element, EventBindingModel eventBinding), Execute(), Undo(), TryMerge(IEditorCommand next)</x:v>
      </x:c>
      <x:c r="H17" s="180" t="str">
        <x:v>—（待核）</x:v>
      </x:c>
      <x:c r="I17" s="180" t="str">
        <x:v>CxVisual.Commands.AddEventBindingCommand</x:v>
      </x:c>
      <x:c r="J17" s="179" t="str">
        <x:v>类</x:v>
      </x:c>
      <x:c r="K17" s="180" t="str">
        <x:v>V1.19 C-0314；原实施方式：原有。迁移风险：封装Add事件绑定命令操作请求、参数与执行入口</x:v>
      </x:c>
      <x:c r="L17" s="183" t="str">
        <x:v>源代码声明·待复核</x:v>
      </x:c>
      <x:c r="M17" s="183" t="str">
        <x:v>C-0314</x:v>
      </x:c>
      <x:c r="N17" s="184" t="str">
        <x:v>Host/Studio/Application/Commands/LayoutCommands.cs</x:v>
      </x:c>
      <x:c r="O17" s="183" t="str">
        <x:v>V1.19旧源码类型（真实成员/实现仍待核）
V2.01：来源ID对应；处置=保留源码·公开契约复核
V7.8：V7.8同名且源文件对应；Host/Studio/Application/Commands/LayoutCommands.cs</x:v>
      </x:c>
      <x:c r="P17" s="136" t="str">
        <x:v>V1.19旧源码类型（真实成员/实现仍待核）</x:v>
      </x:c>
      <x:c r="Q17"/>
      <x:c r="R17"/>
      <x:c r="S17"/>
    </x:row>
    <x:row r="18" ht="72" customHeight="1">
      <x:c r="A18" s="179" t="str">
        <x:v>M09</x:v>
      </x:c>
      <x:c r="B18" s="180" t="str">
        <x:v>数据与状态｜Variable / Binding
Variable Binding</x:v>
      </x:c>
      <x:c r="C18" s="180" t="str">
        <x:v>MVBAttachment</x:v>
      </x:c>
      <x:c r="D18" s="179" t="str">
        <x:v>原有·待核</x:v>
      </x:c>
      <x:c r="E18" s="180" t="str">
        <x:v>表达或管理Attachment相关的数据及协作职责，具体行为待源码复核〔待核〕</x:v>
      </x:c>
      <x:c r="F18" s="180" t="str">
        <x:v>—（无公开声明或待核对）</x:v>
      </x:c>
      <x:c r="G18" s="180" t="str">
        <x:v>List(), NewGuid()</x:v>
      </x:c>
      <x:c r="H18" s="180" t="str">
        <x:v>—（待核）</x:v>
      </x:c>
      <x:c r="I18" s="180" t="str">
        <x:v>CxVisual.Platform.Data.CxBindingEngine.Attachment</x:v>
      </x:c>
      <x:c r="J18" s="179" t="str">
        <x:v>类</x:v>
      </x:c>
      <x:c r="K18" s="180" t="str">
        <x:v>V1.19 C-0352；原实施方式：原有。迁移风险：表达或管理Attachment相关的数据及协作职责，具体行为待源码复核〔待核〕</x:v>
      </x:c>
      <x:c r="L18" s="183" t="str">
        <x:v>源代码声明·待复核</x:v>
      </x:c>
      <x:c r="M18" s="183" t="str">
        <x:v>C-0352</x:v>
      </x:c>
      <x:c r="N18" s="184" t="str">
        <x:v>Platform/Data/CxBindingEngine.cs; Platform/Persistence/Package/CxPackageBuilder.cs</x:v>
      </x:c>
      <x:c r="O18" s="183" t="str">
        <x:v>V1.19旧源码类型（真实成员/实现仍待核）
V2.01：来源ID对应；处置=保留源码·公开契约复核
V7.8：V7.8同名且源文件对应；Platform/Data/CxBindingEngine.cs</x:v>
      </x:c>
      <x:c r="P18" s="136" t="str">
        <x:v>V1.19旧源码类型（真实成员/实现仍待核）</x:v>
      </x:c>
      <x:c r="Q18"/>
      <x:c r="R18"/>
      <x:c r="S18"/>
    </x:row>
    <x:row r="19" ht="72" customHeight="1">
      <x:c r="A19" s="179" t="str">
        <x:v>M09</x:v>
      </x:c>
      <x:c r="B19" s="180" t="str">
        <x:v>数据与状态｜Variable / Binding
Variable Binding</x:v>
      </x:c>
      <x:c r="C19" s="180" t="str">
        <x:v>MVBBinding</x:v>
      </x:c>
      <x:c r="D19" s="179" t="str">
        <x:v>原有·待核</x:v>
      </x:c>
      <x:c r="E19" s="180" t="str">
        <x:v>表达或管理绑定相关的数据及协作职责，具体行为待源码复核〔待核〕</x:v>
      </x:c>
      <x:c r="F19" s="180" t="str">
        <x:v>—（无公开声明或待核对）</x:v>
      </x:c>
      <x:c r="G19" s="180" t="str">
        <x:v>—(无公开声明或待核对)</x:v>
      </x:c>
      <x:c r="H19" s="180" t="str">
        <x:v>—（待核）</x:v>
      </x:c>
      <x:c r="I19" s="180" t="str">
        <x:v>CxVisual.Core.CxProjectNodeAddressBindings.Binding</x:v>
      </x:c>
      <x:c r="J19" s="179" t="str">
        <x:v>类</x:v>
      </x:c>
      <x:c r="K19" s="180" t="str">
        <x:v>V1.19 C-0320；原实施方式：原有。迁移风险：表达或管理绑定相关的数据及协作职责，具体行为待源码复核〔待核〕</x:v>
      </x:c>
      <x:c r="L19" s="183" t="str">
        <x:v>源代码声明·待复核</x:v>
      </x:c>
      <x:c r="M19" s="183" t="str">
        <x:v>C-0320</x:v>
      </x:c>
      <x:c r="N19" s="184" t="str">
        <x:v>Platform/Core/CxProjectNodeAddressBindings.cs; Platform/Orchestration/Runtime/CxCommandBus.cs; Platform/Workbench/Editing/CxStudioModelTarget.cs</x:v>
      </x:c>
      <x:c r="O19" s="183" t="str">
        <x:v>V1.19旧源码类型（真实成员/实现仍待核）
V2.01：来源ID对应；处置=保留源码·公开契约复核
V7.8：V7.8同名且源文件对应；Platform/Core/CxProjectNodeAddressBindings.cs</x:v>
      </x:c>
      <x:c r="P19" s="136" t="str">
        <x:v>V1.19旧源码类型（真实成员/实现仍待核）</x:v>
      </x:c>
      <x:c r="Q19"/>
      <x:c r="R19"/>
      <x:c r="S19"/>
    </x:row>
    <x:row r="20" ht="72" customHeight="1">
      <x:c r="A20" s="179" t="str">
        <x:v>M09</x:v>
      </x:c>
      <x:c r="B20" s="180" t="str">
        <x:v>数据与状态｜Variable / Binding
Variable Binding</x:v>
      </x:c>
      <x:c r="C20" s="180" t="str">
        <x:v>MVBBindingAuthoringOptions</x:v>
      </x:c>
      <x:c r="D20" s="179" t="str">
        <x:v>原有·待核</x:v>
      </x:c>
      <x:c r="E20" s="180" t="str">
        <x:v>承载绑定AuthoringOptions操作时可选的执行参数与策略</x:v>
      </x:c>
      <x:c r="F20" s="180" t="str">
        <x:v>FallbackValue, QualityPolicy, Converters</x:v>
      </x:c>
      <x:c r="G20" s="180" t="str">
        <x:v>—(无公开声明或待核对)</x:v>
      </x:c>
      <x:c r="H20" s="180" t="str">
        <x:v>—（待核）</x:v>
      </x:c>
      <x:c r="I20" s="180" t="str">
        <x:v>CxVisual.Designer.Application.BindingAuthoringOptions</x:v>
      </x:c>
      <x:c r="J20" s="179" t="str">
        <x:v>类</x:v>
      </x:c>
      <x:c r="K20" s="180" t="str">
        <x:v>V1.19 C-0332；原实施方式：原有。迁移风险：承载绑定AuthoringOptions操作时可选的执行参数与策略</x:v>
      </x:c>
      <x:c r="L20" s="183" t="str">
        <x:v>源代码声明·待复核</x:v>
      </x:c>
      <x:c r="M20" s="183" t="str">
        <x:v>C-0332</x:v>
      </x:c>
      <x:c r="N20" s="184" t="str">
        <x:v>Host/Studio/Application/VariableServices.cs</x:v>
      </x:c>
      <x:c r="O20" s="183" t="str">
        <x:v>V1.19旧源码类型（真实成员/实现仍待核）
V2.01：来源ID对应；处置=保留源码·公开契约复核
V7.8：V7.8同名且源文件对应；Host/Studio/Application/VariableServices.cs</x:v>
      </x:c>
      <x:c r="P20" s="136" t="str">
        <x:v>V1.19旧源码类型（真实成员/实现仍待核）</x:v>
      </x:c>
      <x:c r="Q20"/>
      <x:c r="R20"/>
      <x:c r="S20"/>
    </x:row>
    <x:row r="21" ht="135" customHeight="1">
      <x:c r="A21" s="179" t="str">
        <x:v>M09</x:v>
      </x:c>
      <x:c r="B21" s="180" t="str">
        <x:v>数据与状态｜Variable / Binding
Variable Binding</x:v>
      </x:c>
      <x:c r="C21" s="180" t="str">
        <x:v>MVBBindingAuthoringService</x:v>
      </x:c>
      <x:c r="D21" s="179" t="str">
        <x:v>原有·待核</x:v>
      </x:c>
      <x:c r="E21" s="180" t="str">
        <x:v>封装绑定Authoring服务通用服务操作及其生命周期边界</x:v>
      </x:c>
      <x:c r="F21" s="180" t="str">
        <x:v>—（无公开声明或待核对）</x:v>
      </x:c>
      <x:c r="G21" s="180" t="str">
        <x:v>BindingAuthoringService(VariableCatalogService catalog = null), Bind(DesignerDocument document, ElementModel target, BindingEditorRequest request), BindTag(DesignerDocument document, ElementModel element, string propertyKey, VariableReference variable, BindingAut…), BindProperty(DesignerDocument document, ElementModel target, string targetProperty, ElementModel source, string sourcePr…), BindExpression(DesignerDocument document, ElementModel target, string targetProperty, string expression, IEnumerable&lt;strin…); DropTagToCanvas(DesignerDocument document, VariableReference variable, Point2D location); BatchBind(DesignerDocument document, IEnumerable&lt;ElementModel&gt; elements, IEnumerable&lt;VariableReference&gt; variables); RepairBrokenBindings(DesignerDocument document); CreateBindingReport(ProjectModel project); MapTemplateParameters(DesignerDocument document, ElementModel componentInstance, VariableReference structuredVariable, IEnumerabl…)</x:v>
      </x:c>
      <x:c r="H21" s="180" t="str">
        <x:v>—（待核）</x:v>
      </x:c>
      <x:c r="I21" s="180" t="str">
        <x:v>CxVisual.Designer.Application.BindingAuthoringService</x:v>
      </x:c>
      <x:c r="J21" s="179" t="str">
        <x:v>类</x:v>
      </x:c>
      <x:c r="K21" s="180" t="str">
        <x:v>V1.19 C-0333；原实施方式：原有。迁移风险：封装绑定Authoring服务通用服务操作及其生命周期边界</x:v>
      </x:c>
      <x:c r="L21" s="183" t="str">
        <x:v>源代码声明·待复核</x:v>
      </x:c>
      <x:c r="M21" s="183" t="str">
        <x:v>C-0333</x:v>
      </x:c>
      <x:c r="N21" s="184" t="str">
        <x:v>Host/Studio/Application/VariableServices.cs</x:v>
      </x:c>
      <x:c r="O21" s="183" t="str">
        <x:v>V1.19旧源码类型（真实成员/实现仍待核）
V2.01：来源ID对应；处置=保留源码·公开契约复核
V7.8：V7.8同名且源文件对应；Host/Studio/Application/VariableServices.cs</x:v>
      </x:c>
      <x:c r="P21" s="136" t="str">
        <x:v>V1.19旧源码类型（真实成员/实现仍待核）</x:v>
      </x:c>
      <x:c r="Q21"/>
      <x:c r="R21"/>
      <x:c r="S21"/>
    </x:row>
    <x:row r="22" ht="72" customHeight="1">
      <x:c r="A22" s="179" t="str">
        <x:v>M09</x:v>
      </x:c>
      <x:c r="B22" s="180" t="str">
        <x:v>数据与状态｜Variable / Binding
Variable Binding</x:v>
      </x:c>
      <x:c r="C22" s="180" t="str">
        <x:v>MVBBindingCompileContext</x:v>
      </x:c>
      <x:c r="D22" s="179" t="str">
        <x:v>原有·待核</x:v>
      </x:c>
      <x:c r="E22" s="180" t="str">
        <x:v>传递绑定Compile上下文执行或编辑过程中共享的上下文数据</x:v>
      </x:c>
      <x:c r="F22" s="180" t="str">
        <x:v>Project, TargetElement, TargetRuntimeElementId, SymbolInstanceId, SymbolDefinition, PropertyMetadata, Objects</x:v>
      </x:c>
      <x:c r="G22" s="180" t="str">
        <x:v>—(无公开声明或待核对)</x:v>
      </x:c>
      <x:c r="H22" s="180" t="str">
        <x:v>—（待核）</x:v>
      </x:c>
      <x:c r="I22" s="180" t="str">
        <x:v>CxVisual.Runtime.Core.BindingCompileContext</x:v>
      </x:c>
      <x:c r="J22" s="179" t="str">
        <x:v>类</x:v>
      </x:c>
      <x:c r="K22" s="180" t="str">
        <x:v>V1.19 C-0375；原实施方式：原有。迁移风险：传递绑定Compile上下文执行或编辑过程中共享的上下文数据</x:v>
      </x:c>
      <x:c r="L22" s="183" t="str">
        <x:v>源代码声明·待复核</x:v>
      </x:c>
      <x:c r="M22" s="183" t="str">
        <x:v>C-0375</x:v>
      </x:c>
      <x:c r="N22" s="184" t="str">
        <x:v>Platform/Runtime/BindingRuntime.cs</x:v>
      </x:c>
      <x:c r="O22" s="183" t="str">
        <x:v>V1.19旧源码类型（真实成员/实现仍待核）
V2.01：来源ID对应；处置=保留源码·公开契约复核
V7.8：V7.8同名且源文件对应；Platform/Runtime/BindingRuntime.cs</x:v>
      </x:c>
      <x:c r="P22" s="136" t="str">
        <x:v>V1.19旧源码类型（真实成员/实现仍待核）</x:v>
      </x:c>
      <x:c r="Q22"/>
      <x:c r="R22"/>
      <x:c r="S22"/>
    </x:row>
    <x:row r="23" ht="72" customHeight="1">
      <x:c r="A23" s="179" t="str">
        <x:v>M09</x:v>
      </x:c>
      <x:c r="B23" s="180" t="str">
        <x:v>数据与状态｜Variable / Binding
Variable Binding</x:v>
      </x:c>
      <x:c r="C23" s="180" t="str">
        <x:v>MVBBindingCompiler</x:v>
      </x:c>
      <x:c r="D23" s="179" t="str">
        <x:v>原有·待核</x:v>
      </x:c>
      <x:c r="E23" s="180" t="str">
        <x:v>校验绑定编译定义并生成可供执行或展示的派生结果</x:v>
      </x:c>
      <x:c r="F23" s="180" t="str">
        <x:v>—（无公开声明或待核对）</x:v>
      </x:c>
      <x:c r="G23" s="180" t="str">
        <x:v>BindingCompiler(BindingResolverRegistry resolvers = null, PropertyMetadataRegistry properties = null, IExpressionEngine exp…), Compile(ProjectModel project, RuntimeObjectRegistry objects = null)</x:v>
      </x:c>
      <x:c r="H23" s="180" t="str">
        <x:v>—（待核）</x:v>
      </x:c>
      <x:c r="I23" s="180" t="str">
        <x:v>CxVisual.Runtime.Core.BindingCompiler</x:v>
      </x:c>
      <x:c r="J23" s="179" t="str">
        <x:v>类</x:v>
      </x:c>
      <x:c r="K23" s="180" t="str">
        <x:v>V1.19 C-0376；原实施方式：原有。迁移风险：校验绑定编译定义并生成可供执行或展示的派生结果</x:v>
      </x:c>
      <x:c r="L23" s="183" t="str">
        <x:v>源代码声明·待复核</x:v>
      </x:c>
      <x:c r="M23" s="183" t="str">
        <x:v>C-0376</x:v>
      </x:c>
      <x:c r="N23" s="184" t="str">
        <x:v>Platform/Runtime/BindingRuntime.cs</x:v>
      </x:c>
      <x:c r="O23" s="183" t="str">
        <x:v>V1.19旧源码类型（真实成员/实现仍待核）
V2.01：来源ID对应；处置=保留源码·公开契约复核
V7.8：V7.8同名且源文件对应；Platform/Runtime/BindingRuntime.cs</x:v>
      </x:c>
      <x:c r="P23" s="136" t="str">
        <x:v>V1.19旧源码类型（真实成员/实现仍待核）</x:v>
      </x:c>
      <x:c r="Q23"/>
      <x:c r="R23"/>
      <x:c r="S23"/>
    </x:row>
    <x:row r="24" ht="72" customHeight="1">
      <x:c r="A24" s="179" t="str">
        <x:v>M09</x:v>
      </x:c>
      <x:c r="B24" s="180" t="str">
        <x:v>数据与状态｜Variable / Binding
Variable Binding</x:v>
      </x:c>
      <x:c r="C24" s="180" t="str">
        <x:v>MVBBindingCycleDetector</x:v>
      </x:c>
      <x:c r="D24" s="179" t="str">
        <x:v>原有·待核</x:v>
      </x:c>
      <x:c r="E24" s="180" t="str">
        <x:v>识别变量/属性绑定形成的循环依赖并标记异常</x:v>
      </x:c>
      <x:c r="F24" s="180" t="str">
        <x:v>—（无公开声明或待核对）</x:v>
      </x:c>
      <x:c r="G24" s="180" t="str">
        <x:v>MarkPropertyCycles(IEnumerable&lt;BindingPlan&gt; source)</x:v>
      </x:c>
      <x:c r="H24" s="180" t="str">
        <x:v>—（待核）</x:v>
      </x:c>
      <x:c r="I24" s="180" t="str">
        <x:v>CxVisual.Runtime.Core.BindingCycleDetector</x:v>
      </x:c>
      <x:c r="J24" s="179" t="str">
        <x:v>静态类</x:v>
      </x:c>
      <x:c r="K24" s="180" t="str">
        <x:v>V1.19 C-0377；原实施方式：原有。迁移风险：识别变量/属性绑定形成的循环依赖并标记异常</x:v>
      </x:c>
      <x:c r="L24" s="183" t="str">
        <x:v>源代码声明·待复核</x:v>
      </x:c>
      <x:c r="M24" s="183" t="str">
        <x:v>C-0377</x:v>
      </x:c>
      <x:c r="N24" s="184" t="str">
        <x:v>Platform/Runtime/BindingRuntime.cs</x:v>
      </x:c>
      <x:c r="O24" s="183" t="str">
        <x:v>V1.19旧源码类型（真实成员/实现仍待核）
V2.01：来源ID对应；处置=保留源码·公开契约复核
V7.8：V7.8同名且源文件对应；Platform/Runtime/BindingRuntime.cs</x:v>
      </x:c>
      <x:c r="P24" s="136" t="str">
        <x:v>V1.19旧源码类型（真实成员/实现仍待核）</x:v>
      </x:c>
      <x:c r="Q24"/>
      <x:c r="R24"/>
      <x:c r="S24"/>
    </x:row>
    <x:row r="25" ht="72" customHeight="1">
      <x:c r="A25" s="179" t="str">
        <x:v>M09</x:v>
      </x:c>
      <x:c r="B25" s="180" t="str">
        <x:v>数据与状态｜Variable / Binding
Variable Binding</x:v>
      </x:c>
      <x:c r="C25" s="180" t="str">
        <x:v>MVBBindingDiagnosticEntry</x:v>
      </x:c>
      <x:c r="D25" s="179" t="str">
        <x:v>原有·待核</x:v>
      </x:c>
      <x:c r="E25" s="180" t="str">
        <x:v>表达或管理绑定诊断Entry相关的数据及协作职责，具体行为待源码复核〔待核〕</x:v>
      </x:c>
      <x:c r="F25" s="180" t="str">
        <x:v>TimestampUtc, PlanId, Target, RawValue, FinalValue, Quality, Source, ElapsedMilliseconds, Error</x:v>
      </x:c>
      <x:c r="G25" s="180" t="str">
        <x:v>—(无公开声明或待核对)</x:v>
      </x:c>
      <x:c r="H25" s="180" t="str">
        <x:v>—（待核）</x:v>
      </x:c>
      <x:c r="I25" s="180" t="str">
        <x:v>CxVisual.Runtime.Core.BindingDiagnosticEntry</x:v>
      </x:c>
      <x:c r="J25" s="179" t="str">
        <x:v>类</x:v>
      </x:c>
      <x:c r="K25" s="180" t="str">
        <x:v>V1.19 C-0378；原实施方式：原有。迁移风险：表达或管理绑定诊断Entry相关的数据及协作职责，具体行为待源码复核〔待核〕</x:v>
      </x:c>
      <x:c r="L25" s="183" t="str">
        <x:v>源代码声明·待复核</x:v>
      </x:c>
      <x:c r="M25" s="183" t="str">
        <x:v>C-0378</x:v>
      </x:c>
      <x:c r="N25" s="184" t="str">
        <x:v>Platform/Runtime/BindingRuntime.cs</x:v>
      </x:c>
      <x:c r="O25" s="183" t="str">
        <x:v>V1.19旧源码类型（真实成员/实现仍待核）
V2.01：来源ID对应；处置=保留源码·公开契约复核
V7.8：V7.8同名且源文件对应；Platform/Runtime/BindingRuntime.cs</x:v>
      </x:c>
      <x:c r="P25" s="136" t="str">
        <x:v>V1.19旧源码类型（真实成员/实现仍待核）</x:v>
      </x:c>
      <x:c r="Q25"/>
      <x:c r="R25"/>
      <x:c r="S25"/>
    </x:row>
    <x:row r="26" ht="72" customHeight="1">
      <x:c r="A26" s="179" t="str">
        <x:v>M09</x:v>
      </x:c>
      <x:c r="B26" s="180" t="str">
        <x:v>数据与状态｜Variable / Binding
Variable Binding</x:v>
      </x:c>
      <x:c r="C26" s="180" t="str">
        <x:v>MVBBindingDiagnostics</x:v>
      </x:c>
      <x:c r="D26" s="179" t="str">
        <x:v>原有·待核</x:v>
      </x:c>
      <x:c r="E26" s="180" t="str">
        <x:v>表达或管理绑定Diagnostics相关的数据及协作职责，具体行为待源码复核〔待核〕</x:v>
      </x:c>
      <x:c r="F26" s="180" t="str">
        <x:v>Capacity</x:v>
      </x:c>
      <x:c r="G26" s="180" t="str">
        <x:v>Add(BindingDiagnosticEntry entry), Snapshot(), Clear()</x:v>
      </x:c>
      <x:c r="H26" s="180" t="str">
        <x:v>—（待核）</x:v>
      </x:c>
      <x:c r="I26" s="180" t="str">
        <x:v>CxVisual.Runtime.Core.BindingDiagnostics</x:v>
      </x:c>
      <x:c r="J26" s="179" t="str">
        <x:v>类</x:v>
      </x:c>
      <x:c r="K26" s="180" t="str">
        <x:v>V1.19 C-0379；原实施方式：原有。迁移风险：表达或管理绑定Diagnostics相关的数据及协作职责，具体行为待源码复核〔待核〕</x:v>
      </x:c>
      <x:c r="L26" s="183" t="str">
        <x:v>源代码声明·待复核</x:v>
      </x:c>
      <x:c r="M26" s="183" t="str">
        <x:v>C-0379</x:v>
      </x:c>
      <x:c r="N26" s="184" t="str">
        <x:v>Platform/Runtime/BindingRuntime.cs</x:v>
      </x:c>
      <x:c r="O26" s="183" t="str">
        <x:v>V1.19旧源码类型（真实成员/实现仍待核）
V2.01：来源ID对应；处置=保留源码·公开契约复核
V7.8：V7.8同名且源文件对应；Platform/Runtime/BindingRuntime.cs</x:v>
      </x:c>
      <x:c r="P26" s="136" t="str">
        <x:v>V1.19旧源码类型（真实成员/实现仍待核）</x:v>
      </x:c>
      <x:c r="Q26"/>
      <x:c r="R26"/>
      <x:c r="S26"/>
    </x:row>
    <x:row r="27" ht="72" customHeight="1">
      <x:c r="A27" s="179" t="str">
        <x:v>M09</x:v>
      </x:c>
      <x:c r="B27" s="180" t="str">
        <x:v>数据与状态｜Variable / Binding
Variable Binding</x:v>
      </x:c>
      <x:c r="C27" s="180" t="str">
        <x:v>MVBBindingEditorRequest</x:v>
      </x:c>
      <x:c r="D27" s="179" t="str">
        <x:v>原有·待核</x:v>
      </x:c>
      <x:c r="E27" s="180" t="str">
        <x:v>定义绑定编辑器请求操作所需的请求参数、标识与约束</x:v>
      </x:c>
      <x:c r="F27" s="180" t="str">
        <x:v>BindingTypeId, TargetProperty, VariableId, SourceElementId, SourceProperty, Expression, stringVariableIds, Options</x:v>
      </x:c>
      <x:c r="G27" s="180" t="str">
        <x:v>—(无公开声明或待核对)</x:v>
      </x:c>
      <x:c r="H27" s="180" t="str">
        <x:v>—（待核）</x:v>
      </x:c>
      <x:c r="I27" s="180" t="str">
        <x:v>CxVisual.Designer.Application.BindingEditorRequest</x:v>
      </x:c>
      <x:c r="J27" s="179" t="str">
        <x:v>类</x:v>
      </x:c>
      <x:c r="K27" s="180" t="str">
        <x:v>V1.19 C-0334；原实施方式：原有。迁移风险：定义绑定编辑器请求操作所需的请求参数、标识与约束</x:v>
      </x:c>
      <x:c r="L27" s="183" t="str">
        <x:v>源代码声明·待复核</x:v>
      </x:c>
      <x:c r="M27" s="183" t="str">
        <x:v>C-0334</x:v>
      </x:c>
      <x:c r="N27" s="184" t="str">
        <x:v>Host/Studio/Application/VariableServices.cs</x:v>
      </x:c>
      <x:c r="O27" s="183" t="str">
        <x:v>V1.19旧源码类型（真实成员/实现仍待核）
V2.01：来源ID对应；处置=保留源码·公开契约复核
V7.8：V7.8同名且源文件对应；Host/Studio/Application/VariableServices.cs</x:v>
      </x:c>
      <x:c r="P27" s="136" t="str">
        <x:v>V1.19旧源码类型（真实成员/实现仍待核）</x:v>
      </x:c>
      <x:c r="Q27"/>
      <x:c r="R27"/>
      <x:c r="S27"/>
    </x:row>
    <x:row r="28" ht="72" customHeight="1">
      <x:c r="A28" s="179" t="str">
        <x:v>M09</x:v>
      </x:c>
      <x:c r="B28" s="180" t="str">
        <x:v>数据与状态｜Variable / Binding
Variable Binding</x:v>
      </x:c>
      <x:c r="C28" s="180" t="str">
        <x:v>MVBBindingEditorWindow</x:v>
      </x:c>
      <x:c r="D28" s="179" t="str">
        <x:v>原有·待核</x:v>
      </x:c>
      <x:c r="E28" s="180" t="str">
        <x:v>表达或管理绑定编辑器窗口相关的数据及协作职责，具体行为待源码复核〔待核〕</x:v>
      </x:c>
      <x:c r="F28" s="180" t="str">
        <x:v>Request</x:v>
      </x:c>
      <x:c r="G28" s="180" t="str">
        <x:v>BindingEditorWindow(DesignerDocument document, ElementModel target, string propertyKey)</x:v>
      </x:c>
      <x:c r="H28" s="180" t="str">
        <x:v>—（待核）</x:v>
      </x:c>
      <x:c r="I28" s="180" t="str">
        <x:v>CxVisual.Designer.Wpf.BindingEditorWindow</x:v>
      </x:c>
      <x:c r="J28" s="179" t="str">
        <x:v>类</x:v>
      </x:c>
      <x:c r="K28" s="180" t="str">
        <x:v>V1.19 C-0344；原实施方式：原有。迁移风险：表达或管理绑定编辑器窗口相关的数据及协作职责，具体行为待源码复核〔待核〕</x:v>
      </x:c>
      <x:c r="L28" s="183" t="str">
        <x:v>源代码声明·待复核</x:v>
      </x:c>
      <x:c r="M28" s="183" t="str">
        <x:v>C-0344</x:v>
      </x:c>
      <x:c r="N28" s="184" t="str">
        <x:v>Host/Studio/Wpf/M3Editors.cs</x:v>
      </x:c>
      <x:c r="O28" s="183" t="str">
        <x:v>V1.19旧源码类型（真实成员/实现仍待核）
V2.01：来源ID对应；处置=保留源码·公开契约复核
V7.8：V7.8同名且源文件对应；Host/Studio/Wpf/M3Editors.cs</x:v>
      </x:c>
      <x:c r="P28" s="136" t="str">
        <x:v>V1.19旧源码类型（真实成员/实现仍待核）</x:v>
      </x:c>
      <x:c r="Q28"/>
      <x:c r="R28"/>
      <x:c r="S28"/>
    </x:row>
    <x:row r="29" ht="72" customHeight="1">
      <x:c r="A29" s="179" t="str">
        <x:v>M09</x:v>
      </x:c>
      <x:c r="B29" s="180" t="str">
        <x:v>数据与状态｜Variable / Binding
Variable Binding</x:v>
      </x:c>
      <x:c r="C29" s="180" t="str">
        <x:v>MVBBindingModel</x:v>
      </x:c>
      <x:c r="D29" s="179" t="str">
        <x:v>原有·待核</x:v>
      </x:c>
      <x:c r="E29" s="180" t="str">
        <x:v>表达绑定模型相关的数据结构、配置及状态视图</x:v>
      </x:c>
      <x:c r="F29" s="180" t="str">
        <x:v>BindingId, TypeId, TargetProperty, FallbackValue, QualityPolicy, Converters</x:v>
      </x:c>
      <x:c r="G29" s="180" t="str">
        <x:v>BindingModel(), DeepClone(bool preserveId), CopyCommonTo(BindingModel target, bool preserveId)</x:v>
      </x:c>
      <x:c r="H29" s="180" t="str">
        <x:v>—（待核）</x:v>
      </x:c>
      <x:c r="I29" s="180" t="str">
        <x:v>CxVisual.Core.BindingModel</x:v>
      </x:c>
      <x:c r="J29" s="179" t="str">
        <x:v>类</x:v>
      </x:c>
      <x:c r="K29" s="180" t="str">
        <x:v>V1.19 C-0317；原实施方式：原有。迁移风险：表达绑定模型相关的数据结构、配置及状态视图</x:v>
      </x:c>
      <x:c r="L29" s="183" t="str">
        <x:v>源代码声明·待复核</x:v>
      </x:c>
      <x:c r="M29" s="183" t="str">
        <x:v>C-0317</x:v>
      </x:c>
      <x:c r="N29" s="184" t="str">
        <x:v>Platform/Core/Bindings.cs</x:v>
      </x:c>
      <x:c r="O29" s="183" t="str">
        <x:v>V1.19旧源码类型（真实成员/实现仍待核）
V2.01：来源ID对应；处置=保留源码·公开契约复核
V7.8：V7.8同名且源文件对应；Platform/Core/Bindings.cs</x:v>
      </x:c>
      <x:c r="P29" s="136" t="str">
        <x:v>V1.19旧源码类型（真实成员/实现仍待核）</x:v>
      </x:c>
      <x:c r="Q29"/>
      <x:c r="R29"/>
      <x:c r="S29"/>
    </x:row>
    <x:row r="30" ht="72" customHeight="1">
      <x:c r="A30" s="179" t="str">
        <x:v>M09</x:v>
      </x:c>
      <x:c r="B30" s="180" t="str">
        <x:v>数据与状态｜Variable / Binding
Variable Binding</x:v>
      </x:c>
      <x:c r="C30" s="180" t="str">
        <x:v>MVBBindingPlan</x:v>
      </x:c>
      <x:c r="D30" s="179" t="str">
        <x:v>原有·待核</x:v>
      </x:c>
      <x:c r="E30" s="180" t="str">
        <x:v>承载绑定计划解析或编译后的任务、顺序与资源安排</x:v>
      </x:c>
      <x:c r="F30" s="180" t="str">
        <x:v>PlanId, TargetElementId, TargetProperty, SourceRuntimeElementId, Model, Resolver, VariableDependencies, ExpressionEvaluator, IsValid, Diagnostic</x:v>
      </x:c>
      <x:c r="G30" s="180" t="str">
        <x:v>—(无公开声明或待核对)</x:v>
      </x:c>
      <x:c r="H30" s="180" t="str">
        <x:v>—（待核）</x:v>
      </x:c>
      <x:c r="I30" s="180" t="str">
        <x:v>CxVisual.Runtime.Core.BindingPlan</x:v>
      </x:c>
      <x:c r="J30" s="179" t="str">
        <x:v>类</x:v>
      </x:c>
      <x:c r="K30" s="180" t="str">
        <x:v>V1.19 C-0380；原实施方式：原有。迁移风险：承载绑定计划解析或编译后的任务、顺序与资源安排</x:v>
      </x:c>
      <x:c r="L30" s="183" t="str">
        <x:v>源代码声明·待复核</x:v>
      </x:c>
      <x:c r="M30" s="183" t="str">
        <x:v>C-0380</x:v>
      </x:c>
      <x:c r="N30" s="184" t="str">
        <x:v>Platform/Runtime/BindingRuntime.cs</x:v>
      </x:c>
      <x:c r="O30" s="183" t="str">
        <x:v>V1.19旧源码类型（真实成员/实现仍待核）
V2.01：来源ID对应；处置=保留源码·公开契约复核
V7.8：V7.8同名且源文件对应；Platform/Runtime/BindingRuntime.cs</x:v>
      </x:c>
      <x:c r="P30" s="136" t="str">
        <x:v>V1.19旧源码类型（真实成员/实现仍待核）</x:v>
      </x:c>
      <x:c r="Q30"/>
      <x:c r="R30"/>
      <x:c r="S30"/>
    </x:row>
    <x:row r="31" ht="72" customHeight="1">
      <x:c r="A31" s="179" t="str">
        <x:v>M09</x:v>
      </x:c>
      <x:c r="B31" s="180" t="str">
        <x:v>数据与状态｜Variable / Binding
Variable Binding</x:v>
      </x:c>
      <x:c r="C31" s="180" t="str">
        <x:v>MVBBindingQualityPolicy</x:v>
      </x:c>
      <x:c r="D31" s="179" t="str">
        <x:v>原有·待核</x:v>
      </x:c>
      <x:c r="E31" s="180" t="str">
        <x:v>定义绑定质量策略的候选取值、状态或模式，供相关流程作分支判断</x:v>
      </x:c>
      <x:c r="F31" s="180" t="str">
        <x:v>枚举值：UseFallback, KeepLastGood, PropagateBad</x:v>
      </x:c>
      <x:c r="G31" s="180" t="str">
        <x:v>—(无公开声明或待核对)</x:v>
      </x:c>
      <x:c r="H31" s="180" t="str">
        <x:v>—（待核）</x:v>
      </x:c>
      <x:c r="I31" s="180" t="str">
        <x:v>CxVisual.Core.BindingQualityPolicy</x:v>
      </x:c>
      <x:c r="J31" s="179" t="str">
        <x:v>枚举</x:v>
      </x:c>
      <x:c r="K31" s="180" t="str">
        <x:v>V1.19 C-0318；原实施方式：原有。迁移风险：定义绑定质量策略的候选取值、状态或模式，供相关流程作分支判断</x:v>
      </x:c>
      <x:c r="L31" s="183" t="str">
        <x:v>源代码声明·待复核</x:v>
      </x:c>
      <x:c r="M31" s="183" t="str">
        <x:v>C-0318</x:v>
      </x:c>
      <x:c r="N31" s="184" t="str">
        <x:v>Platform/Core/Bindings.cs</x:v>
      </x:c>
      <x:c r="O31" s="183" t="str">
        <x:v>V1.19旧源码类型（真实成员/实现仍待核）
V2.01：来源ID对应；处置=保留源码·公开契约复核
V7.8：V7.8同名且源文件对应；Platform/Core/Bindings.cs</x:v>
      </x:c>
      <x:c r="P31" s="136" t="str">
        <x:v>V1.19旧源码类型（真实成员/实现仍待核）</x:v>
      </x:c>
      <x:c r="Q31"/>
      <x:c r="R31"/>
      <x:c r="S31"/>
    </x:row>
    <x:row r="32" ht="72" customHeight="1">
      <x:c r="A32" s="179" t="str">
        <x:v>M09</x:v>
      </x:c>
      <x:c r="B32" s="180" t="str">
        <x:v>数据与状态｜Variable / Binding
Variable Binding</x:v>
      </x:c>
      <x:c r="C32" s="180" t="str">
        <x:v>MVBBindingReportItem</x:v>
      </x:c>
      <x:c r="D32" s="179" t="str">
        <x:v>原有·待核</x:v>
      </x:c>
      <x:c r="E32" s="180" t="str">
        <x:v>表达或管理绑定报表Item相关的数据及协作职责，具体行为待源码复核〔待核〕</x:v>
      </x:c>
      <x:c r="F32" s="180" t="str">
        <x:v>Severity, Code, ElementId, VariableId, Message</x:v>
      </x:c>
      <x:c r="G32" s="180" t="str">
        <x:v>—(无公开声明或待核对)</x:v>
      </x:c>
      <x:c r="H32" s="180" t="str">
        <x:v>—（待核）</x:v>
      </x:c>
      <x:c r="I32" s="180" t="str">
        <x:v>CxVisual.Designer.Application.BindingReportItem</x:v>
      </x:c>
      <x:c r="J32" s="179" t="str">
        <x:v>类</x:v>
      </x:c>
      <x:c r="K32" s="180" t="str">
        <x:v>V1.19 C-0335；原实施方式：原有。迁移风险：表达或管理绑定报表Item相关的数据及协作职责，具体行为待源码复核〔待核〕</x:v>
      </x:c>
      <x:c r="L32" s="183" t="str">
        <x:v>源代码声明·待复核</x:v>
      </x:c>
      <x:c r="M32" s="183" t="str">
        <x:v>C-0335</x:v>
      </x:c>
      <x:c r="N32" s="184" t="str">
        <x:v>Host/Studio/Application/VariableServices.cs</x:v>
      </x:c>
      <x:c r="O32" s="183" t="str">
        <x:v>V1.19旧源码类型（真实成员/实现仍待核）
V2.01：来源ID对应；处置=保留源码·公开契约复核
V7.8：V7.8同名且源文件对应；Host/Studio/Application/VariableServices.cs</x:v>
      </x:c>
      <x:c r="P32" s="136" t="str">
        <x:v>V1.19旧源码类型（真实成员/实现仍待核）</x:v>
      </x:c>
      <x:c r="Q32"/>
      <x:c r="R32"/>
      <x:c r="S32"/>
    </x:row>
    <x:row r="33" ht="72" customHeight="1">
      <x:c r="A33" s="179" t="str">
        <x:v>M09</x:v>
      </x:c>
      <x:c r="B33" s="180" t="str">
        <x:v>数据与状态｜Variable / Binding
Variable Binding</x:v>
      </x:c>
      <x:c r="C33" s="180" t="str">
        <x:v>MVBBindingResolverRegistry</x:v>
      </x:c>
      <x:c r="D33" s="179" t="str">
        <x:v>原有·待核</x:v>
      </x:c>
      <x:c r="E33" s="180" t="str">
        <x:v>注册、索引与查询绑定Resolver注册表条目，并控制注册身份唯一性</x:v>
      </x:c>
      <x:c r="F33" s="180" t="str">
        <x:v>—（无公开声明或待核对）</x:v>
      </x:c>
      <x:c r="G33" s="180" t="str">
        <x:v>Register(IBindingResolver resolver), Get(string typeId), CreateBuiltIns(IExpressionEngine expressionEngine = null)</x:v>
      </x:c>
      <x:c r="H33" s="180" t="str">
        <x:v>—（待核）</x:v>
      </x:c>
      <x:c r="I33" s="180" t="str">
        <x:v>CxVisual.Runtime.Core.BindingResolverRegistry</x:v>
      </x:c>
      <x:c r="J33" s="179" t="str">
        <x:v>类</x:v>
      </x:c>
      <x:c r="K33" s="180" t="str">
        <x:v>V1.19 C-0381；原实施方式：原有。迁移风险：注册、索引与查询绑定Resolver注册表条目，并控制注册身份唯一性</x:v>
      </x:c>
      <x:c r="L33" s="183" t="str">
        <x:v>源代码声明·待复核</x:v>
      </x:c>
      <x:c r="M33" s="183" t="str">
        <x:v>C-0381</x:v>
      </x:c>
      <x:c r="N33" s="184" t="str">
        <x:v>Platform/Runtime/BindingRuntime.cs</x:v>
      </x:c>
      <x:c r="O33" s="183" t="str">
        <x:v>V1.19旧源码类型（真实成员/实现仍待核）
V2.01：来源ID对应；处置=保留源码·公开契约复核
V7.8：V7.8同名且源文件对应；Platform/Runtime/BindingRuntime.cs</x:v>
      </x:c>
      <x:c r="P33" s="136" t="str">
        <x:v>V1.19旧源码类型（真实成员/实现仍待核）</x:v>
      </x:c>
      <x:c r="Q33"/>
      <x:c r="R33"/>
      <x:c r="S33"/>
    </x:row>
    <x:row r="34" ht="72" customHeight="1">
      <x:c r="A34" s="179" t="str">
        <x:v>M09</x:v>
      </x:c>
      <x:c r="B34" s="180" t="str">
        <x:v>数据与状态｜Variable / Binding
Variable Binding</x:v>
      </x:c>
      <x:c r="C34" s="180" t="str">
        <x:v>MVBBindingValueCoercion</x:v>
      </x:c>
      <x:c r="D34" s="179" t="str">
        <x:v>原有·待核</x:v>
      </x:c>
      <x:c r="E34" s="180" t="str">
        <x:v>提供绑定值到布尔及数值类型的安全转换</x:v>
      </x:c>
      <x:c r="F34" s="180" t="str">
        <x:v>—（无公开声明或待核对）</x:v>
      </x:c>
      <x:c r="G34" s="180" t="str">
        <x:v>ToBoolean(object value), ToDouble(object value)</x:v>
      </x:c>
      <x:c r="H34" s="180" t="str">
        <x:v>—（待核）</x:v>
      </x:c>
      <x:c r="I34" s="180" t="str">
        <x:v>CxVisual.Runtime.Core.BindingValueCoercion</x:v>
      </x:c>
      <x:c r="J34" s="179" t="str">
        <x:v>静态类</x:v>
      </x:c>
      <x:c r="K34" s="180" t="str">
        <x:v>V1.19 C-0382；原实施方式：原有。迁移风险：提供绑定值到布尔及数值类型的安全转换</x:v>
      </x:c>
      <x:c r="L34" s="183" t="str">
        <x:v>源代码声明·待复核</x:v>
      </x:c>
      <x:c r="M34" s="183" t="str">
        <x:v>C-0382</x:v>
      </x:c>
      <x:c r="N34" s="184" t="str">
        <x:v>Platform/Runtime/BindingRuntime.cs</x:v>
      </x:c>
      <x:c r="O34" s="183" t="str">
        <x:v>V1.19旧源码类型（真实成员/实现仍待核）
V2.01：来源ID对应；处置=保留源码·公开契约复核
V7.8：V7.8同名且源文件对应；Platform/Runtime/BindingRuntime.cs</x:v>
      </x:c>
      <x:c r="P34" s="136" t="str">
        <x:v>V1.19旧源码类型（真实成员/实现仍待核）</x:v>
      </x:c>
      <x:c r="Q34"/>
      <x:c r="R34"/>
      <x:c r="S34"/>
    </x:row>
    <x:row r="35" ht="72" customHeight="1">
      <x:c r="A35" s="179" t="str">
        <x:v>M09</x:v>
      </x:c>
      <x:c r="B35" s="180" t="str">
        <x:v>数据与状态｜Variable / Binding
Variable Binding</x:v>
      </x:c>
      <x:c r="C35" s="180" t="str">
        <x:v>MVBBoolToValueConverter</x:v>
      </x:c>
      <x:c r="D35" s="179" t="str">
        <x:v>原有·待核</x:v>
      </x:c>
      <x:c r="E35" s="180" t="str">
        <x:v>实现BoolTo值Converter表示之间的转换，处理格式兼容性</x:v>
      </x:c>
      <x:c r="F35" s="180" t="str">
        <x:v>ConverterTypeId</x:v>
      </x:c>
      <x:c r="G35" s="180" t="str">
        <x:v>Convert(object value, ValueConverterModel model)</x:v>
      </x:c>
      <x:c r="H35" s="180" t="str">
        <x:v>—（待核）</x:v>
      </x:c>
      <x:c r="I35" s="180" t="str">
        <x:v>CxVisual.Runtime.Core.BoolToValueConverter</x:v>
      </x:c>
      <x:c r="J35" s="179" t="str">
        <x:v>类</x:v>
      </x:c>
      <x:c r="K35" s="180" t="str">
        <x:v>V1.19 C-0383；原实施方式：原有。迁移风险：实现BoolTo值Converter表示之间的转换，处理格式兼容性</x:v>
      </x:c>
      <x:c r="L35" s="183" t="str">
        <x:v>源代码声明·待复核</x:v>
      </x:c>
      <x:c r="M35" s="183" t="str">
        <x:v>C-0383</x:v>
      </x:c>
      <x:c r="N35" s="184" t="str">
        <x:v>Platform/Runtime/BindingRuntime.cs</x:v>
      </x:c>
      <x:c r="O35" s="183" t="str">
        <x:v>V1.19旧源码类型（真实成员/实现仍待核）
V2.01：来源ID对应；处置=保留源码·公开契约复核
V7.8：V7.8同名且源文件对应；Platform/Runtime/BindingRuntime.cs</x:v>
      </x:c>
      <x:c r="P35" s="136" t="str">
        <x:v>V1.19旧源码类型（真实成员/实现仍待核）</x:v>
      </x:c>
      <x:c r="Q35"/>
      <x:c r="R35"/>
      <x:c r="S35"/>
    </x:row>
    <x:row r="36" ht="72" customHeight="1">
      <x:c r="A36" s="179" t="str">
        <x:v>M09</x:v>
      </x:c>
      <x:c r="B36" s="180" t="str">
        <x:v>数据与状态｜Variable / Binding
Variable Binding</x:v>
      </x:c>
      <x:c r="C36" s="180" t="str">
        <x:v>MVBClosedRangeEvaluator&lt;T&gt;</x:v>
      </x:c>
      <x:c r="D36" s="179" t="str">
        <x:v>原有·待核</x:v>
      </x:c>
      <x:c r="E36" s="180" t="str">
        <x:v>表达或管理ClosedRangeEvaluatorT相关的数据及协作职责，具体行为待源码复核〔待核〕</x:v>
      </x:c>
      <x:c r="F36" s="180" t="str">
        <x:v>—（无公开声明或待核对）</x:v>
      </x:c>
      <x:c r="G36" s="180" t="str">
        <x:v>ClosedRangeEvaluator(T lowerBound, T upperBound), Evaluate(T value)</x:v>
      </x:c>
      <x:c r="H36" s="180" t="str">
        <x:v>—（待核）</x:v>
      </x:c>
      <x:c r="I36" s="180" t="str">
        <x:v>VariableInterfaces.ClosedRangeEvaluator&lt;T&gt;</x:v>
      </x:c>
      <x:c r="J36" s="179" t="str">
        <x:v>类</x:v>
      </x:c>
      <x:c r="K36" s="180" t="str">
        <x:v>V1.19 C-0396；原实施方式：原有。迁移风险：表达或管理ClosedRangeEvaluatorT相关的数据及协作职责，具体行为待源码复核〔待核〕</x:v>
      </x:c>
      <x:c r="L36" s="183" t="str">
        <x:v>源代码声明·待复核</x:v>
      </x:c>
      <x:c r="M36" s="183" t="str">
        <x:v>C-0396</x:v>
      </x:c>
      <x:c r="N36" s="184" t="str">
        <x:v>D:\cyg\cx-visual-x2\Platform\Variables\Legacy\VariableEvaluator.cs:157</x:v>
      </x:c>
      <x:c r="O36" s="183" t="str">
        <x:v>V1.19旧源码类型（真实成员/实现仍待核）
V2.01：来源ID对应；处置=保留源码·公开契约复核
V7.8：V7.8同名同文件多声明</x:v>
      </x:c>
      <x:c r="P36" s="136" t="str">
        <x:v>V1.19旧源码类型（真实成员/实现仍待核）</x:v>
      </x:c>
      <x:c r="Q36"/>
      <x:c r="R36"/>
      <x:c r="S36"/>
    </x:row>
    <x:row r="37" ht="72" customHeight="1">
      <x:c r="A37" s="179" t="str">
        <x:v>M09</x:v>
      </x:c>
      <x:c r="B37" s="180" t="str">
        <x:v>数据与状态｜Variable / Binding
Variable Binding</x:v>
      </x:c>
      <x:c r="C37" s="180" t="str">
        <x:v>MVBContainsEvaluator</x:v>
      </x:c>
      <x:c r="D37" s="179" t="str">
        <x:v>原有·待核</x:v>
      </x:c>
      <x:c r="E37" s="180" t="str">
        <x:v>表达或管理ContainsEvaluator相关的数据及协作职责，具体行为待源码复核〔待核〕</x:v>
      </x:c>
      <x:c r="F37" s="180" t="str">
        <x:v>—（无公开声明或待核对）</x:v>
      </x:c>
      <x:c r="G37" s="180" t="str">
        <x:v>ContainsEvaluator(string substring, bool ignoreCase), Evaluate(string value)</x:v>
      </x:c>
      <x:c r="H37" s="180" t="str">
        <x:v>—（待核）</x:v>
      </x:c>
      <x:c r="I37" s="180" t="str">
        <x:v>VariableInterfaces.ContainsEvaluator</x:v>
      </x:c>
      <x:c r="J37" s="179" t="str">
        <x:v>类</x:v>
      </x:c>
      <x:c r="K37" s="180" t="str">
        <x:v>V1.19 C-0397；原实施方式：原有。迁移风险：表达或管理ContainsEvaluator相关的数据及协作职责，具体行为待源码复核〔待核〕</x:v>
      </x:c>
      <x:c r="L37" s="183" t="str">
        <x:v>源代码声明·待复核</x:v>
      </x:c>
      <x:c r="M37" s="183" t="str">
        <x:v>C-0397</x:v>
      </x:c>
      <x:c r="N37" s="184" t="str">
        <x:v>Platform/Variables/Legacy/VariableEvaluator.cs; Platform/Compatibility/DeviceVariable/VariableInterfaces/VariableEvaluator.cs</x:v>
      </x:c>
      <x:c r="O37" s="183" t="str">
        <x:v>V1.19旧源码类型（真实成员/实现仍待核）
V2.01：来源ID对应；处置=保留源码·公开契约复核
V7.8：V7.8同名同文件多声明</x:v>
      </x:c>
      <x:c r="P37" s="136" t="str">
        <x:v>V1.19旧源码类型（真实成员/实现仍待核）</x:v>
      </x:c>
      <x:c r="Q37"/>
      <x:c r="R37"/>
      <x:c r="S37"/>
    </x:row>
    <x:row r="38" ht="72" customHeight="1">
      <x:c r="A38" s="179" t="str">
        <x:v>M09</x:v>
      </x:c>
      <x:c r="B38" s="180" t="str">
        <x:v>数据与状态｜Variable / Binding
Variable Binding</x:v>
      </x:c>
      <x:c r="C38" s="180" t="str">
        <x:v>MVBCxBindingConverter</x:v>
      </x:c>
      <x:c r="D38" s="179" t="str">
        <x:v>原有·待核</x:v>
      </x:c>
      <x:c r="E38" s="180" t="str">
        <x:v>实现绑定Converter表示之间的转换，处理格式兼容性</x:v>
      </x:c>
      <x:c r="F38" s="180" t="str">
        <x:v>Id, SourceType, TargetType, Forward, Reverse</x:v>
      </x:c>
      <x:c r="G38" s="180" t="str">
        <x:v>CxBindingConverter(string id, string sourceType, string targetType, Func&lt;object, object&gt; forward, Func&lt;object, object&gt; reverse…)</x:v>
      </x:c>
      <x:c r="H38" s="180" t="str">
        <x:v>—（待核）</x:v>
      </x:c>
      <x:c r="I38" s="180" t="str">
        <x:v>CxVisual.Platform.Data.CxBindingConverter</x:v>
      </x:c>
      <x:c r="J38" s="179" t="str">
        <x:v>类</x:v>
      </x:c>
      <x:c r="K38" s="180" t="str">
        <x:v>V1.19 C-0349；原实施方式：原有。迁移风险：实现绑定Converter表示之间的转换，处理格式兼容性</x:v>
      </x:c>
      <x:c r="L38" s="183" t="str">
        <x:v>源代码声明·待复核</x:v>
      </x:c>
      <x:c r="M38" s="183" t="str">
        <x:v>C-0349</x:v>
      </x:c>
      <x:c r="N38" s="184" t="str">
        <x:v>Platform/Data/CxBindingRegistry.cs</x:v>
      </x:c>
      <x:c r="O38" s="183" t="str">
        <x:v>V1.19旧源码类型（真实成员/实现仍待核）
V2.01：来源ID对应；处置=保留源码·公开契约复核
V7.8：V7.8同名且源文件对应；Platform/Data/CxBindingRegistry.cs</x:v>
      </x:c>
      <x:c r="P38" s="136" t="str">
        <x:v>V1.19旧源码类型（真实成员/实现仍待核）</x:v>
      </x:c>
      <x:c r="Q38"/>
      <x:c r="R38"/>
      <x:c r="S38"/>
    </x:row>
    <x:row r="39" ht="72" customHeight="1">
      <x:c r="A39" s="179" t="str">
        <x:v>M09</x:v>
      </x:c>
      <x:c r="B39" s="180" t="str">
        <x:v>数据与状态｜Variable / Binding
Variable Binding</x:v>
      </x:c>
      <x:c r="C39" s="180" t="str">
        <x:v>MVBCxBindingEndpoint</x:v>
      </x:c>
      <x:c r="D39" s="179" t="str">
        <x:v>原有·待核</x:v>
      </x:c>
      <x:c r="E39" s="180" t="str">
        <x:v>表达或管理绑定Endpoint相关的数据及协作职责，具体行为待源码复核〔待核〕</x:v>
      </x:c>
      <x:c r="F39" s="180" t="str">
        <x:v>CanRead, CanWrite, CanSubscribe</x:v>
      </x:c>
      <x:c r="G39" s="180" t="str">
        <x:v>CxBindingEndpoint(CxBindingRef reference, CxDataContract contract, Func&lt;CxBindingValue&gt; read = null, Action&lt;object, string&gt; w…), Clone(), InvalidOperationException(), Normalize(object value)</x:v>
      </x:c>
      <x:c r="H39" s="180" t="str">
        <x:v>—（待核）</x:v>
      </x:c>
      <x:c r="I39" s="180" t="str">
        <x:v>CxVisual.Platform.Data.CxBindingEndpoint</x:v>
      </x:c>
      <x:c r="J39" s="179" t="str">
        <x:v>类</x:v>
      </x:c>
      <x:c r="K39" s="180" t="str">
        <x:v>V1.19 C-0350；原实施方式：原有。迁移风险：表达或管理绑定Endpoint相关的数据及协作职责，具体行为待源码复核〔待核〕</x:v>
      </x:c>
      <x:c r="L39" s="183" t="str">
        <x:v>源代码声明·待复核</x:v>
      </x:c>
      <x:c r="M39" s="183" t="str">
        <x:v>C-0350</x:v>
      </x:c>
      <x:c r="N39" s="184" t="str">
        <x:v>Platform/Data/CxBindingRegistry.cs</x:v>
      </x:c>
      <x:c r="O39" s="183" t="str">
        <x:v>V1.19旧源码类型（真实成员/实现仍待核）
V2.01：来源ID对应；处置=保留源码·公开契约复核
V7.8：V7.8同名且源文件对应；Platform/Data/CxBindingRegistry.cs</x:v>
      </x:c>
      <x:c r="P39" s="136" t="str">
        <x:v>V1.19旧源码类型（真实成员/实现仍待核）</x:v>
      </x:c>
      <x:c r="Q39"/>
      <x:c r="R39"/>
      <x:c r="S39"/>
    </x:row>
    <x:row r="40" ht="72" customHeight="1">
      <x:c r="A40" s="179" t="str">
        <x:v>M09</x:v>
      </x:c>
      <x:c r="B40" s="180" t="str">
        <x:v>数据与状态｜Variable / Binding
Variable Binding</x:v>
      </x:c>
      <x:c r="C40" s="180" t="str">
        <x:v>MVBCxBindingEngine</x:v>
      </x:c>
      <x:c r="D40" s="179" t="str">
        <x:v>原有·待核</x:v>
      </x:c>
      <x:c r="E40" s="180" t="str">
        <x:v>负责绑定Engine相关的绑定引擎与公共契约管理</x:v>
      </x:c>
      <x:c r="F40" s="180" t="str">
        <x:v>Bindings, LastError</x:v>
      </x:c>
      <x:c r="G40" s="180" t="str">
        <x:v>CxBindingEngine(CxBindingRegistry registry, ICxClock clock = null, CxFaultManager faults = null, int capacity = 4096), Attach(CxDataBinding definition), Detach(string bindingId), Refresh(string bindingId = null), PushSource(string bindingId), PushTarget(string bindingId), DrainAsync(CancellationToken cancellationToken = default(CancellationToken); Dispose(); DisposeAsync(CancellationToken cancellationToken = default(CancellationToken)</x:v>
      </x:c>
      <x:c r="H40" s="180" t="str">
        <x:v>—（待核）</x:v>
      </x:c>
      <x:c r="I40" s="180" t="str">
        <x:v>CxVisual.Platform.Data.CxBindingEngine</x:v>
      </x:c>
      <x:c r="J40" s="179" t="str">
        <x:v>类</x:v>
      </x:c>
      <x:c r="K40" s="180" t="str">
        <x:v>V1.19 C-0351；原实施方式：原有。迁移风险：负责绑定Engine相关的绑定引擎与公共契约管理</x:v>
      </x:c>
      <x:c r="L40" s="183" t="str">
        <x:v>源代码声明·待复核</x:v>
      </x:c>
      <x:c r="M40" s="183" t="str">
        <x:v>C-0351</x:v>
      </x:c>
      <x:c r="N40" s="184" t="str">
        <x:v>Platform/Data/CxBindingEngine.cs</x:v>
      </x:c>
      <x:c r="O40" s="183" t="str">
        <x:v>V1.19旧源码类型（真实成员/实现仍待核）
V2.01：来源ID对应；处置=保留源码·公开契约复核
V7.8：V7.8同名且源文件对应；Platform/Data/CxBindingEngine.cs</x:v>
      </x:c>
      <x:c r="P40" s="136" t="str">
        <x:v>V1.19旧源码类型（真实成员/实现仍待核）</x:v>
      </x:c>
      <x:c r="Q40"/>
      <x:c r="R40"/>
      <x:c r="S40"/>
    </x:row>
    <x:row r="41" ht="72" customHeight="1">
      <x:c r="A41" s="179" t="str">
        <x:v>M09</x:v>
      </x:c>
      <x:c r="B41" s="180" t="str">
        <x:v>数据与状态｜Variable / Binding
Variable Binding</x:v>
      </x:c>
      <x:c r="C41" s="180" t="str">
        <x:v>MVBCxBindingRef</x:v>
      </x:c>
      <x:c r="D41" s="179" t="str">
        <x:v>原有·待核</x:v>
      </x:c>
      <x:c r="E41" s="180" t="str">
        <x:v>表达或管理绑定Ref相关的数据及协作职责，具体行为待源码复核〔待核〕</x:v>
      </x:c>
      <x:c r="F41" s="180" t="str">
        <x:v>Kind, ScopeId, Key</x:v>
      </x:c>
      <x:c r="G41" s="180" t="str">
        <x:v>EscapeDataString(ScopeId ??), Clone(), IsNullOrWhiteSpace(Kind)</x:v>
      </x:c>
      <x:c r="H41" s="180" t="str">
        <x:v>—（待核）</x:v>
      </x:c>
      <x:c r="I41" s="180" t="str">
        <x:v>CxVisual.Platform.Data.CxBindingRef</x:v>
      </x:c>
      <x:c r="J41" s="179" t="str">
        <x:v>类</x:v>
      </x:c>
      <x:c r="K41" s="180" t="str">
        <x:v>V1.19 C-0354；原实施方式：原有。迁移风险：表达或管理绑定Ref相关的数据及协作职责，具体行为待源码复核〔待核〕</x:v>
      </x:c>
      <x:c r="L41" s="183" t="str">
        <x:v>源代码声明·待复核</x:v>
      </x:c>
      <x:c r="M41" s="183" t="str">
        <x:v>C-0354</x:v>
      </x:c>
      <x:c r="N41" s="184" t="str">
        <x:v>Platform/Data/CxDataBinding.cs</x:v>
      </x:c>
      <x:c r="O41" s="183" t="str">
        <x:v>V1.19旧源码类型（真实成员/实现仍待核）
V2.01：来源ID对应；处置=保留源码·公开契约复核
V7.8：V7.8同名且源文件对应；Platform/Data/CxDataBinding.cs</x:v>
      </x:c>
      <x:c r="P41" s="136" t="str">
        <x:v>V1.19旧源码类型（真实成员/实现仍待核）</x:v>
      </x:c>
      <x:c r="Q41"/>
      <x:c r="R41"/>
      <x:c r="S41"/>
    </x:row>
    <x:row r="42" ht="135" customHeight="1">
      <x:c r="A42" s="179" t="str">
        <x:v>M09</x:v>
      </x:c>
      <x:c r="B42" s="180" t="str">
        <x:v>数据与状态｜Variable / Binding
Variable Binding</x:v>
      </x:c>
      <x:c r="C42" s="180" t="str">
        <x:v>MVBCxBindingRegistry</x:v>
      </x:c>
      <x:c r="D42" s="179" t="str">
        <x:v>原有·待核</x:v>
      </x:c>
      <x:c r="E42" s="180" t="str">
        <x:v>注册、索引与查询绑定注册表条目，并控制注册身份唯一性</x:v>
      </x:c>
      <x:c r="F42" s="180" t="str">
        <x:v>Types, Security</x:v>
      </x:c>
      <x:c r="G42" s="180" t="str">
        <x:v>CxBindingRegistry(CxTypeResolver types = null, CxSecurityContext security = null), Register(CxBindingEndpoint endpoint), Register(CxBindingConverter converter), RegisterDataScope(string logicalScopeId, CxRuntimeDataScope scope, DataAspectDefinition definition, IDictionary&lt;string, CxDat…); RegisterVariables(CxRuntimeVariableStore store, IEnumerable&lt;CxVariableDefinition&gt; definitions); Resolve(CxDataBinding binding); Apply(CxDataBinding definition, bool reverse); Dispose()</x:v>
      </x:c>
      <x:c r="H42" s="180" t="str">
        <x:v>—（待核）</x:v>
      </x:c>
      <x:c r="I42" s="180" t="str">
        <x:v>Codex原分组：Variable / Binding；Codex子方面名称精确映射；库存命中:1；类型存在不代表方法完成</x:v>
      </x:c>
      <x:c r="J42" s="179" t="str">
        <x:v>类</x:v>
      </x:c>
      <x:c r="K42" s="180" t="str">
        <x:v>V1.19 C-0355；原实施方式：原有。迁移风险：已声明（非行为验收）</x:v>
      </x:c>
      <x:c r="L42" s="183" t="str">
        <x:v>源代码声明·待复核</x:v>
      </x:c>
      <x:c r="M42" s="183" t="str">
        <x:v>C-0355</x:v>
      </x:c>
      <x:c r="N42" s="184" t="str">
        <x:v>Security"</x:v>
      </x:c>
      <x:c r="O42" s="183" t="str">
        <x:v>V1.19旧源码类型（真实成员/实现仍待核）
V2.01：来源ID对应；处置=保留源码·公开契约复核
V7.8：V7.8未检出同名词法声明</x:v>
      </x:c>
      <x:c r="P42" s="136" t="str">
        <x:v>V1.19旧源码类型（真实成员/实现仍待核）</x:v>
      </x:c>
      <x:c r="Q42"/>
      <x:c r="R42"/>
      <x:c r="S42"/>
    </x:row>
    <x:row r="43" ht="72" customHeight="1">
      <x:c r="A43" s="179" t="str">
        <x:v>M09</x:v>
      </x:c>
      <x:c r="B43" s="180" t="str">
        <x:v>数据与状态｜Variable / Binding
Variable Binding</x:v>
      </x:c>
      <x:c r="C43" s="180" t="str">
        <x:v>MVBCxBindingValue</x:v>
      </x:c>
      <x:c r="D43" s="179" t="str">
        <x:v>原有·待核</x:v>
      </x:c>
      <x:c r="E43" s="180" t="str">
        <x:v>表达或管理绑定值相关的数据及协作职责，具体行为待源码复核〔待核〕</x:v>
      </x:c>
      <x:c r="F43" s="180" t="str">
        <x:v>Value, HasValue, Quality</x:v>
      </x:c>
      <x:c r="G43" s="180" t="str">
        <x:v>CxBindingValue(object value, bool hasValue = true, VariableQuality quality = VariableQuality.Good), Dispose()</x:v>
      </x:c>
      <x:c r="H43" s="180" t="str">
        <x:v>—（待核）</x:v>
      </x:c>
      <x:c r="I43" s="180" t="str">
        <x:v>CxVisual.Platform.Data.CxBindingValue</x:v>
      </x:c>
      <x:c r="J43" s="179" t="str">
        <x:v>类</x:v>
      </x:c>
      <x:c r="K43" s="180" t="str">
        <x:v>V1.19 C-0356；原实施方式：原有。迁移风险：表达或管理绑定值相关的数据及协作职责，具体行为待源码复核〔待核〕</x:v>
      </x:c>
      <x:c r="L43" s="183" t="str">
        <x:v>源代码声明·待复核</x:v>
      </x:c>
      <x:c r="M43" s="183" t="str">
        <x:v>C-0356</x:v>
      </x:c>
      <x:c r="N43" s="184" t="str">
        <x:v>Platform/Data/CxBindingRegistry.cs</x:v>
      </x:c>
      <x:c r="O43" s="183" t="str">
        <x:v>V1.19旧源码类型（真实成员/实现仍待核）
V2.01：来源ID对应；处置=保留源码·公开契约复核
V7.8：V7.8同名且源文件对应；Platform/Data/CxBindingRegistry.cs</x:v>
      </x:c>
      <x:c r="P43" s="136" t="str">
        <x:v>V1.19旧源码类型（真实成员/实现仍待核）</x:v>
      </x:c>
      <x:c r="Q43"/>
      <x:c r="R43"/>
      <x:c r="S43"/>
    </x:row>
    <x:row r="44" ht="72" customHeight="1">
      <x:c r="A44" s="179" t="str">
        <x:v>M09</x:v>
      </x:c>
      <x:c r="B44" s="180" t="str">
        <x:v>数据与状态｜Variable / Binding
Variable Binding</x:v>
      </x:c>
      <x:c r="C44" s="180" t="str">
        <x:v>MVBCxDataBinding</x:v>
      </x:c>
      <x:c r="D44" s="179" t="str">
        <x:v>原有·待核</x:v>
      </x:c>
      <x:c r="E44" s="180" t="str">
        <x:v>负责Data绑定相关的Binding与公共契约管理</x:v>
      </x:c>
      <x:c r="F44" s="180" t="str">
        <x:v>Id, SourceRef, TargetRef, Mode, Converter, FallbackValue, HasFallback, UpdateTrigger</x:v>
      </x:c>
      <x:c r="G44" s="180" t="str">
        <x:v>CxDataBinding(), Validate(CxBindingRegistry registry = null), Resolve(CxBindingRegistry registry), Apply(CxBindingRegistry registry, bool reverse = false), Clone(), FromDefinition(DataBindingDefinition definition, string ownerScopeId)</x:v>
      </x:c>
      <x:c r="H44" s="180" t="str">
        <x:v>—（待核）</x:v>
      </x:c>
      <x:c r="I44" s="180" t="str">
        <x:v>CxVisual.Platform.Data.CxDataBinding</x:v>
      </x:c>
      <x:c r="J44" s="179" t="str">
        <x:v>类</x:v>
      </x:c>
      <x:c r="K44" s="180" t="str">
        <x:v>V1.19 C-0357；原实施方式：原有。迁移风险：负责Data绑定相关的Binding与公共契约管理</x:v>
      </x:c>
      <x:c r="L44" s="183" t="str">
        <x:v>源代码声明·待复核</x:v>
      </x:c>
      <x:c r="M44" s="183" t="str">
        <x:v>C-0357</x:v>
      </x:c>
      <x:c r="N44" s="184" t="str">
        <x:v>Platform/Data/CxDataBinding.cs</x:v>
      </x:c>
      <x:c r="O44" s="183" t="str">
        <x:v>V1.19旧源码类型（真实成员/实现仍待核）
V2.01：来源ID对应；处置=保留源码·公开契约复核
V7.8：V7.8同名且源文件对应；Platform/Data/CxDataBinding.cs</x:v>
      </x:c>
      <x:c r="P44" s="136" t="str">
        <x:v>V1.19旧源码类型（真实成员/实现仍待核）</x:v>
      </x:c>
      <x:c r="Q44"/>
      <x:c r="R44"/>
      <x:c r="S44"/>
    </x:row>
    <x:row r="45" ht="72" customHeight="1">
      <x:c r="A45" s="179" t="str">
        <x:v>M09</x:v>
      </x:c>
      <x:c r="B45" s="180" t="str">
        <x:v>数据与状态｜Variable / Binding
Variable Binding</x:v>
      </x:c>
      <x:c r="C45" s="180" t="str">
        <x:v>MVBCxProjectNodeAddressBindings</x:v>
      </x:c>
      <x:c r="D45" s="179" t="str">
        <x:v>原有·待核</x:v>
      </x:c>
      <x:c r="E45" s="180" t="str">
        <x:v>维护工程节点引用地址绑定，并在克隆工程时重映射身份引用</x:v>
      </x:c>
      <x:c r="F45" s="180" t="str">
        <x:v>—（无公开声明或待核对）</x:v>
      </x:c>
      <x:c r="G45" s="180" t="str">
        <x:v>RemapClone(ProjectModel source, ProjectModel clone, Func&lt;CxNode, CxNode&gt; findClone), CheckRemove(CxNode subtree), CheckRemove(IEnumerable&lt;CxNode&gt; forest), TrackDetachedForest(ProjectModel project, CxNoderoots, out Action restore), PrepareMove(CxNode subtree, CxNode destination, out Action restore), PrepareMove(IEnumerable&lt;CxNode&gt; forest, CxNode destination, out Action restore)</x:v>
      </x:c>
      <x:c r="H45" s="180" t="str">
        <x:v>—（待核）</x:v>
      </x:c>
      <x:c r="I45" s="180" t="str">
        <x:v>CxVisual.Core.CxProjectNodeAddressBindings</x:v>
      </x:c>
      <x:c r="J45" s="179" t="str">
        <x:v>静态类</x:v>
      </x:c>
      <x:c r="K45" s="180" t="str">
        <x:v>V1.19 C-0319；原实施方式：原有。迁移风险：维护工程节点引用地址绑定，并在克隆工程时重映射身份引用</x:v>
      </x:c>
      <x:c r="L45" s="183" t="str">
        <x:v>源代码声明·待复核</x:v>
      </x:c>
      <x:c r="M45" s="183" t="str">
        <x:v>C-0319</x:v>
      </x:c>
      <x:c r="N45" s="184" t="str">
        <x:v>Platform/Core/CxAspectNodeAddressBindings.cs; Platform/Core/CxProjectNodeAddressBindings.cs</x:v>
      </x:c>
      <x:c r="O45" s="183" t="str">
        <x:v>V1.19旧源码类型（真实成员/实现仍待核）
V2.01：来源ID对应；处置=保留源码·公开契约复核
V7.8：V7.8同名且源文件对应；Platform/Core/CxAspectNodeAddressBindings.cs</x:v>
      </x:c>
      <x:c r="P45" s="136" t="str">
        <x:v>V1.19旧源码类型（真实成员/实现仍待核）</x:v>
      </x:c>
      <x:c r="Q45"/>
      <x:c r="R45"/>
      <x:c r="S45"/>
    </x:row>
    <x:row r="46" ht="72" customHeight="1">
      <x:c r="A46" s="179" t="str">
        <x:v>M09</x:v>
      </x:c>
      <x:c r="B46" s="180" t="str">
        <x:v>数据与状态｜Variable / Binding
Variable Binding</x:v>
      </x:c>
      <x:c r="C46" s="180" t="str">
        <x:v>MVBCxResolvedDataBinding</x:v>
      </x:c>
      <x:c r="D46" s="179" t="str">
        <x:v>原有·待核</x:v>
      </x:c>
      <x:c r="E46" s="180" t="str">
        <x:v>表达或管理ResolvedData绑定相关的数据及协作职责，具体行为待源码复核〔待核〕</x:v>
      </x:c>
      <x:c r="F46" s="180" t="str">
        <x:v>Source, Target</x:v>
      </x:c>
      <x:c r="G46" s="180" t="str">
        <x:v>CxResolvedDataBinding(CxDataBinding definition, CxBindingEndpoint source, CxBindingEndpoint target, CxBindingConverter converter,…), Apply(bool reverse = false, string origin = null), Dispose()</x:v>
      </x:c>
      <x:c r="H46" s="180" t="str">
        <x:v>—（待核）</x:v>
      </x:c>
      <x:c r="I46" s="180" t="str">
        <x:v>CxVisual.Platform.Data.CxResolvedDataBinding</x:v>
      </x:c>
      <x:c r="J46" s="179" t="str">
        <x:v>类</x:v>
      </x:c>
      <x:c r="K46" s="180" t="str">
        <x:v>V1.19 C-0358；原实施方式：原有。迁移风险：表达或管理ResolvedData绑定相关的数据及协作职责，具体行为待源码复核〔待核〕</x:v>
      </x:c>
      <x:c r="L46" s="183" t="str">
        <x:v>源代码声明·待复核</x:v>
      </x:c>
      <x:c r="M46" s="183" t="str">
        <x:v>C-0358</x:v>
      </x:c>
      <x:c r="N46" s="184" t="str">
        <x:v>Platform/Data/CxBindingRegistry.cs</x:v>
      </x:c>
      <x:c r="O46" s="183" t="str">
        <x:v>V1.19旧源码类型（真实成员/实现仍待核）
V2.01：来源ID对应；处置=保留源码·公开契约复核
V7.8：V7.8同名且源文件对应；Platform/Data/CxBindingRegistry.cs</x:v>
      </x:c>
      <x:c r="P46" s="136" t="str">
        <x:v>V1.19旧源码类型（真实成员/实现仍待核）</x:v>
      </x:c>
      <x:c r="Q46"/>
      <x:c r="R46"/>
      <x:c r="S46"/>
    </x:row>
    <x:row r="47" ht="135" customHeight="1">
      <x:c r="A47" s="179" t="str">
        <x:v>M09</x:v>
      </x:c>
      <x:c r="B47" s="180" t="str">
        <x:v>数据与状态｜Variable / Binding
Variable Binding</x:v>
      </x:c>
      <x:c r="C47" s="180" t="str">
        <x:v>MVBCxRuntimeVariableStore</x:v>
      </x:c>
      <x:c r="D47" s="179" t="str">
        <x:v>原有·待核</x:v>
      </x:c>
      <x:c r="E47" s="180" t="str">
        <x:v>负责运行时变量Store相关的运行变量仓与公共契约管理</x:v>
      </x:c>
      <x:c r="F47" s="180" t="str">
        <x:v>Clock, LastSubscriberError, States</x:v>
      </x:c>
      <x:c r="G47" s="180" t="str">
        <x:v>CxRuntimeVariableStore(IEnumerable&lt;CxVariableDefinition&gt; definitions, CxTypeResolver types = null, ICxClock clock = null, int noti…), GetDefinition(string variableId), GetState(string variableId), Get(string variableId), Set(string variableId, T value, string source = null, string reason = null, VariableQuality quality = VariableQ…), Refresh(string variableId, object value, VariableQuality quality, string source = null, string reason = null, DateT…), Subscribe(IEnumerable&lt;string&gt; variableIds, Action&lt;IReadOnlyList&lt;CxVariableStateSnapshot&gt;&gt; callback), Unsubscribe(string subscriptionId), Snapshot(bool persistentOnly = false), Restore(CxVariableStoreSnapshot snapshot), ExportValues(), DrainAsync(CancellationToken cancellationToken = default(CancellationToken); Dispose()</x:v>
      </x:c>
      <x:c r="H47" s="180" t="str">
        <x:v>—（待核）</x:v>
      </x:c>
      <x:c r="I47" s="180" t="str">
        <x:v>CxVisual.Platform.Variables.CxRuntimeVariableStore</x:v>
      </x:c>
      <x:c r="J47" s="179" t="str">
        <x:v>类</x:v>
      </x:c>
      <x:c r="K47" s="180" t="str">
        <x:v>V1.19 C-0359；原实施方式：原有。迁移风险：负责运行时变量Store相关的运行变量仓与公共契约管理</x:v>
      </x:c>
      <x:c r="L47" s="183" t="str">
        <x:v>源代码声明·待复核</x:v>
      </x:c>
      <x:c r="M47" s="183" t="str">
        <x:v>C-0359</x:v>
      </x:c>
      <x:c r="N47" s="184" t="str">
        <x:v>Platform/Variables/CxVariableStore.cs</x:v>
      </x:c>
      <x:c r="O47" s="183" t="str">
        <x:v>V1.19旧源码类型（真实成员/实现仍待核）
V2.01：来源ID对应；处置=保留源码·公开契约复核
V7.8：V7.8同名且源文件对应；Platform/Variables/CxVariableStore.cs</x:v>
      </x:c>
      <x:c r="P47" s="136" t="str">
        <x:v>V1.19旧源码类型（真实成员/实现仍待核）</x:v>
      </x:c>
      <x:c r="Q47"/>
      <x:c r="R47"/>
      <x:c r="S47"/>
    </x:row>
    <x:row r="48" ht="72" customHeight="1">
      <x:c r="A48" s="179" t="str">
        <x:v>M09</x:v>
      </x:c>
      <x:c r="B48" s="180" t="str">
        <x:v>数据与状态｜Variable / Binding
Variable Binding</x:v>
      </x:c>
      <x:c r="C48" s="180" t="str">
        <x:v>MVBCxRuntimeVariableSubscription</x:v>
      </x:c>
      <x:c r="D48" s="179" t="str">
        <x:v>原有·待核</x:v>
      </x:c>
      <x:c r="E48" s="180" t="str">
        <x:v>表达或管理运行时变量Subscription相关的数据及协作职责，具体行为待源码复核〔待核〕</x:v>
      </x:c>
      <x:c r="F48" s="180" t="str">
        <x:v>Ids, Callback, Active, Id</x:v>
      </x:c>
      <x:c r="G48" s="180" t="str">
        <x:v>CxRuntimeVariableSubscription(CxRuntimeVariableStore store, IEnumerable&lt;string&gt; ids, Action&lt;IReadOnlyList&lt;CxVariableStateSnapshot&gt;&gt; callback), AsReadOnly(Ids.OrderBy(x =&gt; x, StringComparer.Ordinal); Dispose()</x:v>
      </x:c>
      <x:c r="H48" s="180" t="str">
        <x:v>—（待核）</x:v>
      </x:c>
      <x:c r="I48" s="180" t="str">
        <x:v>CxVisual.Platform.Variables.CxRuntimeVariableSubscription</x:v>
      </x:c>
      <x:c r="J48" s="179" t="str">
        <x:v>类</x:v>
      </x:c>
      <x:c r="K48" s="180" t="str">
        <x:v>V1.19 C-0361；原实施方式：原有。迁移风险：表达或管理运行时变量Subscription相关的数据及协作职责，具体行为待源码复核〔待核〕</x:v>
      </x:c>
      <x:c r="L48" s="183" t="str">
        <x:v>源代码声明·待复核</x:v>
      </x:c>
      <x:c r="M48" s="183" t="str">
        <x:v>C-0361</x:v>
      </x:c>
      <x:c r="N48" s="184" t="str">
        <x:v>Platform/Variables/CxVariableStore.cs</x:v>
      </x:c>
      <x:c r="O48" s="183" t="str">
        <x:v>V1.19旧源码类型（真实成员/实现仍待核）
V2.01：来源ID对应；处置=保留源码·公开契约复核
V7.8：V7.8同名且源文件对应；Platform/Variables/CxVariableStore.cs</x:v>
      </x:c>
      <x:c r="P48" s="136" t="str">
        <x:v>V1.19旧源码类型（真实成员/实现仍待核）</x:v>
      </x:c>
      <x:c r="Q48"/>
      <x:c r="R48"/>
      <x:c r="S48"/>
    </x:row>
    <x:row r="49" ht="72" customHeight="1">
      <x:c r="A49" s="179" t="str">
        <x:v>M09</x:v>
      </x:c>
      <x:c r="B49" s="180" t="str">
        <x:v>数据与状态｜Variable / Binding
Variable Binding</x:v>
      </x:c>
      <x:c r="C49" s="180" t="str">
        <x:v>MVBCxVariableOnlineState</x:v>
      </x:c>
      <x:c r="D49" s="179" t="str">
        <x:v>原有·待核</x:v>
      </x:c>
      <x:c r="E49" s="180" t="str">
        <x:v>定义变量Online状态的候选取值、状态或模式，供相关流程作分支判断</x:v>
      </x:c>
      <x:c r="F49" s="180" t="str">
        <x:v>枚举值：Unknown, Online, Offline</x:v>
      </x:c>
      <x:c r="G49" s="180" t="str">
        <x:v>—(无公开声明或待核对)</x:v>
      </x:c>
      <x:c r="H49" s="180" t="str">
        <x:v>—（待核）</x:v>
      </x:c>
      <x:c r="I49" s="180" t="str">
        <x:v>CxVisual.Platform.Variables.CxVariableOnlineState</x:v>
      </x:c>
      <x:c r="J49" s="179" t="str">
        <x:v>枚举</x:v>
      </x:c>
      <x:c r="K49" s="180" t="str">
        <x:v>V1.19 C-0362；原实施方式：原有。迁移风险：定义变量Online状态的候选取值、状态或模式，供相关流程作分支判断</x:v>
      </x:c>
      <x:c r="L49" s="183" t="str">
        <x:v>源代码声明·待复核</x:v>
      </x:c>
      <x:c r="M49" s="183" t="str">
        <x:v>C-0362</x:v>
      </x:c>
      <x:c r="N49" s="184" t="str">
        <x:v>Platform/Variables/CxVariableRuntimeState.cs</x:v>
      </x:c>
      <x:c r="O49" s="183" t="str">
        <x:v>V1.19旧源码类型（真实成员/实现仍待核）
V2.01：来源ID对应；处置=保留源码·公开契约复核
V7.8：V7.8同名且源文件对应；Platform/Variables/CxVariableRuntimeState.cs</x:v>
      </x:c>
      <x:c r="P49" s="136" t="str">
        <x:v>V1.19旧源码类型（真实成员/实现仍待核）</x:v>
      </x:c>
      <x:c r="Q49"/>
      <x:c r="R49"/>
      <x:c r="S49"/>
    </x:row>
    <x:row r="50" ht="72" customHeight="1">
      <x:c r="A50" s="179" t="str">
        <x:v>M09</x:v>
      </x:c>
      <x:c r="B50" s="180" t="str">
        <x:v>数据与状态｜Variable / Binding
Variable Binding</x:v>
      </x:c>
      <x:c r="C50" s="180" t="str">
        <x:v>MVBCxVariablePersistence</x:v>
      </x:c>
      <x:c r="D50" s="179" t="str">
        <x:v>原有·待核</x:v>
      </x:c>
      <x:c r="E50" s="180" t="str">
        <x:v>定义变量持久化的候选取值、状态或模式，供相关流程作分支判断</x:v>
      </x:c>
      <x:c r="F50" s="180" t="str">
        <x:v>枚举值：None, Snapshot, Project</x:v>
      </x:c>
      <x:c r="G50" s="180" t="str">
        <x:v>—(无公开声明或待核对)</x:v>
      </x:c>
      <x:c r="H50" s="180" t="str">
        <x:v>—（待核）</x:v>
      </x:c>
      <x:c r="I50" s="180" t="str">
        <x:v>CxVisual.Core.CxVariablePersistence</x:v>
      </x:c>
      <x:c r="J50" s="179" t="str">
        <x:v>枚举</x:v>
      </x:c>
      <x:c r="K50" s="180" t="str">
        <x:v>V1.19 C-0323；原实施方式：原有。迁移风险：定义变量持久化的候选取值、状态或模式，供相关流程作分支判断</x:v>
      </x:c>
      <x:c r="L50" s="183" t="str">
        <x:v>源代码声明·待复核</x:v>
      </x:c>
      <x:c r="M50" s="183" t="str">
        <x:v>C-0323</x:v>
      </x:c>
      <x:c r="N50" s="184" t="str">
        <x:v>Platform/Core/CxVariableDefinition.cs</x:v>
      </x:c>
      <x:c r="O50" s="183" t="str">
        <x:v>V1.19旧源码类型（真实成员/实现仍待核）
V2.01：来源ID对应；处置=保留源码·公开契约复核
V7.8：V7.8同名且源文件对应；Platform/Core/CxVariableDefinition.cs</x:v>
      </x:c>
      <x:c r="P50" s="136" t="str">
        <x:v>V1.19旧源码类型（真实成员/实现仍待核）</x:v>
      </x:c>
      <x:c r="Q50"/>
      <x:c r="R50"/>
      <x:c r="S50"/>
    </x:row>
    <x:row r="51" ht="72" customHeight="1">
      <x:c r="A51" s="179" t="str">
        <x:v>M09</x:v>
      </x:c>
      <x:c r="B51" s="180" t="str">
        <x:v>数据与状态｜Variable / Binding
Variable Binding</x:v>
      </x:c>
      <x:c r="C51" s="180" t="str">
        <x:v>MVBCxVariableProviderState</x:v>
      </x:c>
      <x:c r="D51" s="179" t="str">
        <x:v>原有·待核</x:v>
      </x:c>
      <x:c r="E51" s="180" t="str">
        <x:v>定义变量提供器状态的候选取值、状态或模式，供相关流程作分支判断</x:v>
      </x:c>
      <x:c r="F51" s="180" t="str">
        <x:v>枚举值：Unknown, Stopped, Stopping, Connecting, Connected, Disconnected, Faulted</x:v>
      </x:c>
      <x:c r="G51" s="180" t="str">
        <x:v>—(无公开声明或待核对)</x:v>
      </x:c>
      <x:c r="H51" s="180" t="str">
        <x:v>—（待核）</x:v>
      </x:c>
      <x:c r="I51" s="180" t="str">
        <x:v>CxVisual.Abstractions.CxVariableProviderState</x:v>
      </x:c>
      <x:c r="J51" s="179" t="str">
        <x:v>枚举</x:v>
      </x:c>
      <x:c r="K51" s="180" t="str">
        <x:v>V1.19 C-0302；原实施方式：原有。迁移风险：定义变量提供器状态的候选取值、状态或模式，供相关流程作分支判断</x:v>
      </x:c>
      <x:c r="L51" s="183" t="str">
        <x:v>源代码声明·待复核</x:v>
      </x:c>
      <x:c r="M51" s="183" t="str">
        <x:v>C-0302</x:v>
      </x:c>
      <x:c r="N51" s="184" t="str">
        <x:v>Platform/Core/Abstractions/Variables.cs</x:v>
      </x:c>
      <x:c r="O51" s="183" t="str">
        <x:v>V1.19旧源码类型（真实成员/实现仍待核）
V2.01：来源ID对应；处置=保留源码·公开契约复核
V7.8：V7.8同名且源文件对应；Platform/Core/Abstractions/Variables.cs</x:v>
      </x:c>
      <x:c r="P51" s="136" t="str">
        <x:v>V1.19旧源码类型（真实成员/实现仍待核）</x:v>
      </x:c>
      <x:c r="Q51"/>
      <x:c r="R51"/>
      <x:c r="S51"/>
    </x:row>
    <x:row r="52" ht="72" customHeight="1">
      <x:c r="A52" s="179" t="str">
        <x:v>M09</x:v>
      </x:c>
      <x:c r="B52" s="180" t="str">
        <x:v>数据与状态｜Variable / Binding
Variable Binding</x:v>
      </x:c>
      <x:c r="C52" s="180" t="str">
        <x:v>MVBCxVariableRuntimeState&lt;T&gt;</x:v>
      </x:c>
      <x:c r="D52" s="179" t="str">
        <x:v>原有·待核</x:v>
      </x:c>
      <x:c r="E52" s="180" t="str">
        <x:v>负责变量运行时状态T相关的运行变量与公共契约管理</x:v>
      </x:c>
      <x:c r="F52" s="180" t="str">
        <x:v>Value, PreviousValue, Quality, RefreshTimestamp, ChangeTimestamp, Source, Reason, Sequence, OnlineState, HasValue</x:v>
      </x:c>
      <x:c r="G52" s="180" t="str">
        <x:v>CxVariableRuntimeState(), CxVariableRuntimeState(T initialValue, ICxClock clock = null), Refresh(T value, VariableQuality quality = VariableQuality.Good, string source = null, string reason = null, DateTi…), SetValue(T value, string source = null, string reason = null), SetQuality(VariableQuality quality, string reason = null, string source = null), MarkOffline(string reason = null), MarkOnline(string reason = null), Snapshot()</x:v>
      </x:c>
      <x:c r="H52" s="180" t="str">
        <x:v>—（待核）</x:v>
      </x:c>
      <x:c r="I52" s="180" t="str">
        <x:v>CxVisual.Platform.Variables.CxVariableRuntimeState&lt;T&gt;</x:v>
      </x:c>
      <x:c r="J52" s="179" t="str">
        <x:v>类</x:v>
      </x:c>
      <x:c r="K52" s="180" t="str">
        <x:v>V1.19 C-0363；原实施方式：原有。迁移风险：负责变量运行时状态T相关的运行变量与公共契约管理</x:v>
      </x:c>
      <x:c r="L52" s="183" t="str">
        <x:v>源代码声明·待复核</x:v>
      </x:c>
      <x:c r="M52" s="183" t="str">
        <x:v>C-0363</x:v>
      </x:c>
      <x:c r="N52" s="184" t="str">
        <x:v>D:\cyg\cx-visual-x2\Platform\Variables\CxVariableRuntimeState.cs:51</x:v>
      </x:c>
      <x:c r="O52" s="183" t="str">
        <x:v>V1.19旧源码类型（真实成员/实现仍待核）
V2.01：来源ID对应；处置=保留源码·公开契约复核
V7.8：V7.8同名且源文件对应；Platform/Variables/CxVariableRuntimeState.cs</x:v>
      </x:c>
      <x:c r="P52" s="136" t="str">
        <x:v>V1.19旧源码类型（真实成员/实现仍待核）</x:v>
      </x:c>
      <x:c r="Q52"/>
      <x:c r="R52"/>
      <x:c r="S52"/>
    </x:row>
    <x:row r="53" ht="72" customHeight="1">
      <x:c r="A53" s="179" t="str">
        <x:v>M09</x:v>
      </x:c>
      <x:c r="B53" s="180" t="str">
        <x:v>数据与状态｜Variable / Binding
Variable Binding</x:v>
      </x:c>
      <x:c r="C53" s="180" t="str">
        <x:v>MVBCxVariableStateSnapshot</x:v>
      </x:c>
      <x:c r="D53" s="179" t="str">
        <x:v>原有·待核</x:v>
      </x:c>
      <x:c r="E53" s="180" t="str">
        <x:v>保存变量状态快照在特定时间点的不可变状态快照</x:v>
      </x:c>
      <x:c r="F53" s="180" t="str">
        <x:v>VariableId, DataType, HasValue, PreviousHasValue, Quality, RefreshTimestamp, ChangeTimestamp, Source, Reason, Sequence, OnlineState</x:v>
      </x:c>
      <x:c r="G53" s="180" t="str">
        <x:v>CxVariableStateSnapshot(string variableId, string dataType, JToken value, JToken previousValue, bool hasValue, bool previousHasValu…), DeepClone()</x:v>
      </x:c>
      <x:c r="H53" s="180" t="str">
        <x:v>—（待核）</x:v>
      </x:c>
      <x:c r="I53" s="180" t="str">
        <x:v>CxVisual.Platform.Variables.CxVariableStateSnapshot</x:v>
      </x:c>
      <x:c r="J53" s="179" t="str">
        <x:v>类</x:v>
      </x:c>
      <x:c r="K53" s="180" t="str">
        <x:v>V1.19 C-0364；原实施方式：原有。迁移风险：保存变量状态快照在特定时间点的不可变状态快照</x:v>
      </x:c>
      <x:c r="L53" s="183" t="str">
        <x:v>源代码声明·待复核</x:v>
      </x:c>
      <x:c r="M53" s="183" t="str">
        <x:v>C-0364</x:v>
      </x:c>
      <x:c r="N53" s="184" t="str">
        <x:v>Platform/Variables/CxVariableRuntimeState.cs</x:v>
      </x:c>
      <x:c r="O53" s="183" t="str">
        <x:v>V1.19旧源码类型（真实成员/实现仍待核）
V2.01：来源ID对应；处置=保留源码·公开契约复核
V7.8：V7.8同名且源文件对应；Platform/Variables/CxVariableRuntimeState.cs</x:v>
      </x:c>
      <x:c r="P53" s="136" t="str">
        <x:v>V1.19旧源码类型（真实成员/实现仍待核）</x:v>
      </x:c>
      <x:c r="Q53"/>
      <x:c r="R53"/>
      <x:c r="S53"/>
    </x:row>
    <x:row r="54" ht="72" customHeight="1">
      <x:c r="A54" s="179" t="str">
        <x:v>M09</x:v>
      </x:c>
      <x:c r="B54" s="180" t="str">
        <x:v>数据与状态｜Variable / Binding
Variable Binding</x:v>
      </x:c>
      <x:c r="C54" s="180" t="str">
        <x:v>MVBCxVariableStore</x:v>
      </x:c>
      <x:c r="D54" s="179" t="str">
        <x:v>原有·待核</x:v>
      </x:c>
      <x:c r="E54" s="180" t="str">
        <x:v>负责变量Store相关的变量定义仓与公共契约管理</x:v>
      </x:c>
      <x:c r="F54" s="180" t="str">
        <x:v>Definitions</x:v>
      </x:c>
      <x:c r="G54" s="180" t="str">
        <x:v>CxVariableStore(CxTypeResolver types = null), Register(CxVariableDefinition definition), Register(VariableReference reference), Remove(string id), Find(string id), CxRuntimeVariableStore(Definitions, _types, clock, notificationCapacity), FromPlan(CxDataPlan plan, CxTypeResolver types = null)</x:v>
      </x:c>
      <x:c r="H54" s="180" t="str">
        <x:v>—（待核）</x:v>
      </x:c>
      <x:c r="I54" s="180" t="str">
        <x:v>CxVisual.Platform.Variables.CxVariableStore</x:v>
      </x:c>
      <x:c r="J54" s="179" t="str">
        <x:v>类</x:v>
      </x:c>
      <x:c r="K54" s="180" t="str">
        <x:v>V1.19 C-0365；原实施方式：原有。迁移风险：负责变量Store相关的变量定义仓与公共契约管理</x:v>
      </x:c>
      <x:c r="L54" s="183" t="str">
        <x:v>源代码声明·待复核</x:v>
      </x:c>
      <x:c r="M54" s="183" t="str">
        <x:v>C-0365</x:v>
      </x:c>
      <x:c r="N54" s="184" t="str">
        <x:v>Platform/Variables/CxVariableStore.cs</x:v>
      </x:c>
      <x:c r="O54" s="183" t="str">
        <x:v>V1.19旧源码类型（真实成员/实现仍待核）
V2.01：来源ID对应；处置=专项需裁决：核心重构
V7.8：V7.8同名且源文件对应；Platform/Variables/CxVariableStore.cs</x:v>
      </x:c>
      <x:c r="P54" s="136" t="str">
        <x:v>V1.19旧源码类型（真实成员/实现仍待核）</x:v>
      </x:c>
      <x:c r="Q54"/>
      <x:c r="R54"/>
      <x:c r="S54"/>
    </x:row>
    <x:row r="55" ht="72" customHeight="1">
      <x:c r="A55" s="179" t="str">
        <x:v>M09</x:v>
      </x:c>
      <x:c r="B55" s="180" t="str">
        <x:v>数据与状态｜Variable / Binding
Variable Binding</x:v>
      </x:c>
      <x:c r="C55" s="180" t="str">
        <x:v>MVBCxVariableStoreSnapshot</x:v>
      </x:c>
      <x:c r="D55" s="179" t="str">
        <x:v>原有·待核</x:v>
      </x:c>
      <x:c r="E55" s="180" t="str">
        <x:v>保存变量Store快照在特定时间点的不可变状态快照</x:v>
      </x:c>
      <x:c r="F55" s="180" t="str">
        <x:v>SchemaVersion, DefinitionHash, IsPartial, States</x:v>
      </x:c>
      <x:c r="G55" s="180" t="str">
        <x:v>CxVariableStoreSnapshot(int schemaVersion, string definitionHash, bool isPartial, IDictionary&lt;string, CxVariableStateSnapshot&gt; states), Serialize(), Deserialize(string json)</x:v>
      </x:c>
      <x:c r="H55" s="180" t="str">
        <x:v>—（待核）</x:v>
      </x:c>
      <x:c r="I55" s="180" t="str">
        <x:v>CxVisual.Platform.Variables.CxVariableStoreSnapshot</x:v>
      </x:c>
      <x:c r="J55" s="179" t="str">
        <x:v>类</x:v>
      </x:c>
      <x:c r="K55" s="180" t="str">
        <x:v>V1.19 C-0366；原实施方式：原有。迁移风险：保存变量Store快照在特定时间点的不可变状态快照</x:v>
      </x:c>
      <x:c r="L55" s="183" t="str">
        <x:v>源代码声明·待复核</x:v>
      </x:c>
      <x:c r="M55" s="183" t="str">
        <x:v>C-0366</x:v>
      </x:c>
      <x:c r="N55" s="184" t="str">
        <x:v>Platform/Variables/CxVariableStore.cs</x:v>
      </x:c>
      <x:c r="O55" s="183" t="str">
        <x:v>V1.19旧源码类型（真实成员/实现仍待核）
V2.01：来源ID对应；处置=保留源码·公开契约复核
V7.8：V7.8同名且源文件对应；Platform/Variables/CxVariableStore.cs</x:v>
      </x:c>
      <x:c r="P55" s="136" t="str">
        <x:v>V1.19旧源码类型（真实成员/实现仍待核）</x:v>
      </x:c>
      <x:c r="Q55"/>
      <x:c r="R55"/>
      <x:c r="S55"/>
    </x:row>
    <x:row r="56" ht="72" customHeight="1">
      <x:c r="A56" s="179" t="str">
        <x:v>M09</x:v>
      </x:c>
      <x:c r="B56" s="180" t="str">
        <x:v>数据与状态｜Variable / Binding
Variable Binding</x:v>
      </x:c>
      <x:c r="C56" s="180" t="str">
        <x:v>MVBCxVariableValueRules</x:v>
      </x:c>
      <x:c r="D56" s="179" t="str">
        <x:v>原有·待核</x:v>
      </x:c>
      <x:c r="E56" s="180" t="str">
        <x:v>处理变量取值转换、复制与数值类型规则</x:v>
      </x:c>
      <x:c r="F56" s="180" t="str">
        <x:v>—（无公开声明或待核对）</x:v>
      </x:c>
      <x:c r="G56" s="180" t="str">
        <x:v>Serializer(), IsNumeric(Type type), Copy(object value, Type type), FromDefinition(object value, Type type), Validate(CxVariableDefinition definition, object value, Type type), Equal(object left, object right, Type type), Token(object value), CheckJson(JToken token)</x:v>
      </x:c>
      <x:c r="H56" s="180" t="str">
        <x:v>—（待核）</x:v>
      </x:c>
      <x:c r="I56" s="180" t="str">
        <x:v>CxVisual.Core.CxVariableValueRules</x:v>
      </x:c>
      <x:c r="J56" s="179" t="str">
        <x:v>静态类</x:v>
      </x:c>
      <x:c r="K56" s="180" t="str">
        <x:v>V1.19 C-0324；原实施方式：原有。迁移风险：处理变量取值转换、复制与数值类型规则</x:v>
      </x:c>
      <x:c r="L56" s="183" t="str">
        <x:v>源代码声明·待复核</x:v>
      </x:c>
      <x:c r="M56" s="183" t="str">
        <x:v>C-0324</x:v>
      </x:c>
      <x:c r="N56" s="184" t="str">
        <x:v>Platform/Core/CxVariableDefinition.cs</x:v>
      </x:c>
      <x:c r="O56" s="183" t="str">
        <x:v>V1.19旧源码类型（真实成员/实现仍待核）
V2.01：来源ID对应；处置=保留源码·公开契约复核
V7.8：V7.8同名且源文件对应；Platform/Core/CxVariableDefinition.cs</x:v>
      </x:c>
      <x:c r="P56" s="136" t="str">
        <x:v>V1.19旧源码类型（真实成员/实现仍待核）</x:v>
      </x:c>
    </x:row>
    <x:row r="57" ht="72" customHeight="1">
      <x:c r="A57" s="179" t="str">
        <x:v>M09</x:v>
      </x:c>
      <x:c r="B57" s="180" t="str">
        <x:v>数据与状态｜Variable / Binding
Variable Binding</x:v>
      </x:c>
      <x:c r="C57" s="180" t="str">
        <x:v>MVBDeleteEventBindingCommand</x:v>
      </x:c>
      <x:c r="D57" s="179" t="str">
        <x:v>原有·待核</x:v>
      </x:c>
      <x:c r="E57" s="180" t="str">
        <x:v>封装Delete事件绑定命令操作请求、参数与执行入口</x:v>
      </x:c>
      <x:c r="F57" s="180" t="str">
        <x:v>Description</x:v>
      </x:c>
      <x:c r="G57" s="180" t="str">
        <x:v>DeleteEventBindingCommand(ElementModel element, EventBindingModel eventBinding), Execute(), Undo(), TryMerge(IEditorCommand next)</x:v>
      </x:c>
      <x:c r="H57" s="180" t="str">
        <x:v>—（待核）</x:v>
      </x:c>
      <x:c r="I57" s="180" t="str">
        <x:v>CxVisual.Commands.DeleteEventBindingCommand</x:v>
      </x:c>
      <x:c r="J57" s="179" t="str">
        <x:v>类</x:v>
      </x:c>
      <x:c r="K57" s="180" t="str">
        <x:v>V1.19 C-0315；原实施方式：原有。迁移风险：封装Delete事件绑定命令操作请求、参数与执行入口</x:v>
      </x:c>
      <x:c r="L57" s="183" t="str">
        <x:v>源代码声明·待复核</x:v>
      </x:c>
      <x:c r="M57" s="183" t="str">
        <x:v>C-0315</x:v>
      </x:c>
      <x:c r="N57" s="184" t="str">
        <x:v>Host/Studio/Application/Commands/LayoutCommands.cs</x:v>
      </x:c>
      <x:c r="O57" s="183" t="str">
        <x:v>V1.19旧源码类型（真实成员/实现仍待核）
V2.01：来源ID对应；处置=保留源码·公开契约复核
V7.8：V7.8同名且源文件对应；Host/Studio/Application/Commands/LayoutCommands.cs</x:v>
      </x:c>
      <x:c r="P57" s="136" t="str">
        <x:v>V1.19旧源码类型（真实成员/实现仍待核）</x:v>
      </x:c>
    </x:row>
    <x:row r="58" ht="72" customHeight="1">
      <x:c r="A58" s="179" t="str">
        <x:v>M09</x:v>
      </x:c>
      <x:c r="B58" s="180" t="str">
        <x:v>数据与状态｜Variable / Binding
Variable Binding</x:v>
      </x:c>
      <x:c r="C58" s="180" t="str">
        <x:v>MVBEditEventBindingCommand</x:v>
      </x:c>
      <x:c r="D58" s="179" t="str">
        <x:v>原有·待核</x:v>
      </x:c>
      <x:c r="E58" s="180" t="str">
        <x:v>封装Edit事件绑定命令操作请求、参数与执行入口</x:v>
      </x:c>
      <x:c r="F58" s="180" t="str">
        <x:v>Description</x:v>
      </x:c>
      <x:c r="G58" s="180" t="str">
        <x:v>EditEventBindingCommand(EventBindingModel target, EventBindingModel before, EventBindingModel after), Execute(), Undo(), TryMerge(IEditorCommand next)</x:v>
      </x:c>
      <x:c r="H58" s="180" t="str">
        <x:v>—（待核）</x:v>
      </x:c>
      <x:c r="I58" s="180" t="str">
        <x:v>CxVisual.Commands.EditEventBindingCommand</x:v>
      </x:c>
      <x:c r="J58" s="179" t="str">
        <x:v>类</x:v>
      </x:c>
      <x:c r="K58" s="180" t="str">
        <x:v>V1.19 C-0316；原实施方式：原有。迁移风险：封装Edit事件绑定命令操作请求、参数与执行入口</x:v>
      </x:c>
      <x:c r="L58" s="183" t="str">
        <x:v>源代码声明·待复核</x:v>
      </x:c>
      <x:c r="M58" s="183" t="str">
        <x:v>C-0316</x:v>
      </x:c>
      <x:c r="N58" s="184" t="str">
        <x:v>Host/Studio/Application/Commands/M5ClosureCommands.cs</x:v>
      </x:c>
      <x:c r="O58" s="183" t="str">
        <x:v>V1.19旧源码类型（真实成员/实现仍待核）
V2.01：来源ID对应；处置=保留源码·公开契约复核
V7.8：V7.8同名且源文件对应；Host/Studio/Application/Commands/M5ClosureCommands.cs</x:v>
      </x:c>
      <x:c r="P58" s="136" t="str">
        <x:v>V1.19旧源码类型（真实成员/实现仍待核）</x:v>
      </x:c>
    </x:row>
    <x:row r="59" ht="72" customHeight="1">
      <x:c r="A59" s="179" t="str">
        <x:v>M09</x:v>
      </x:c>
      <x:c r="B59" s="180" t="str">
        <x:v>数据与状态｜Variable / Binding
Variable Binding</x:v>
      </x:c>
      <x:c r="C59" s="180" t="str">
        <x:v>MVBEndsWithEvaluator</x:v>
      </x:c>
      <x:c r="D59" s="179" t="str">
        <x:v>原有·待核</x:v>
      </x:c>
      <x:c r="E59" s="180" t="str">
        <x:v>表达或管理EndsWithEvaluator相关的数据及协作职责，具体行为待源码复核〔待核〕</x:v>
      </x:c>
      <x:c r="F59" s="180" t="str">
        <x:v>—（无公开声明或待核对）</x:v>
      </x:c>
      <x:c r="G59" s="180" t="str">
        <x:v>EndsWithEvaluator(string substring, bool ignoreCase), Evaluate(string value)</x:v>
      </x:c>
      <x:c r="H59" s="180" t="str">
        <x:v>—（待核）</x:v>
      </x:c>
      <x:c r="I59" s="180" t="str">
        <x:v>VariableInterfaces.EndsWithEvaluator</x:v>
      </x:c>
      <x:c r="J59" s="179" t="str">
        <x:v>类</x:v>
      </x:c>
      <x:c r="K59" s="180" t="str">
        <x:v>V1.19 C-0398；原实施方式：原有。迁移风险：表达或管理EndsWithEvaluator相关的数据及协作职责，具体行为待源码复核〔待核〕</x:v>
      </x:c>
      <x:c r="L59" s="183" t="str">
        <x:v>源代码声明·待复核</x:v>
      </x:c>
      <x:c r="M59" s="183" t="str">
        <x:v>C-0398</x:v>
      </x:c>
      <x:c r="N59" s="184" t="str">
        <x:v>Platform/Variables/Legacy/VariableEvaluator.cs; Platform/Compatibility/DeviceVariable/VariableInterfaces/VariableEvaluator.cs</x:v>
      </x:c>
      <x:c r="O59" s="183" t="str">
        <x:v>V1.19旧源码类型（真实成员/实现仍待核）
V2.01：来源ID对应；处置=保留源码·公开契约复核
V7.8：V7.8同名同文件多声明</x:v>
      </x:c>
      <x:c r="P59" s="136" t="str">
        <x:v>V1.19旧源码类型（真实成员/实现仍待核）</x:v>
      </x:c>
    </x:row>
    <x:row r="60" ht="72" customHeight="1">
      <x:c r="A60" s="179" t="str">
        <x:v>M09</x:v>
      </x:c>
      <x:c r="B60" s="180" t="str">
        <x:v>数据与状态｜Variable / Binding
Variable Binding</x:v>
      </x:c>
      <x:c r="C60" s="180" t="str">
        <x:v>MVBEqualEvaluator&lt;T&gt;</x:v>
      </x:c>
      <x:c r="D60" s="179" t="str">
        <x:v>原有·待核</x:v>
      </x:c>
      <x:c r="E60" s="180" t="str">
        <x:v>表达或管理EqualEvaluatorT相关的数据及协作职责，具体行为待源码复核〔待核〕</x:v>
      </x:c>
      <x:c r="F60" s="180" t="str">
        <x:v>—（无公开声明或待核对）</x:v>
      </x:c>
      <x:c r="G60" s="180" t="str">
        <x:v>EqualEvaluator(T expectedValue), Evaluate(T value)</x:v>
      </x:c>
      <x:c r="H60" s="180" t="str">
        <x:v>—（待核）</x:v>
      </x:c>
      <x:c r="I60" s="180" t="str">
        <x:v>VariableInterfaces.EqualEvaluator&lt;T&gt;</x:v>
      </x:c>
      <x:c r="J60" s="179" t="str">
        <x:v>类</x:v>
      </x:c>
      <x:c r="K60" s="180" t="str">
        <x:v>V1.19 C-0399；原实施方式：原有。迁移风险：表达或管理EqualEvaluatorT相关的数据及协作职责，具体行为待源码复核〔待核〕</x:v>
      </x:c>
      <x:c r="L60" s="183" t="str">
        <x:v>源代码声明·待复核</x:v>
      </x:c>
      <x:c r="M60" s="183" t="str">
        <x:v>C-0399</x:v>
      </x:c>
      <x:c r="N60" s="184" t="str">
        <x:v>D:\cyg\cx-visual-x2\Platform\Variables\Legacy\VariableEvaluator.cs:91</x:v>
      </x:c>
      <x:c r="O60" s="183" t="str">
        <x:v>V1.19旧源码类型（真实成员/实现仍待核）
V2.01：来源ID对应；处置=保留源码·公开契约复核
V7.8：V7.8同名同文件多声明</x:v>
      </x:c>
      <x:c r="P60" s="136" t="str">
        <x:v>V1.19旧源码类型（真实成员/实现仍待核）</x:v>
      </x:c>
    </x:row>
    <x:row r="61" ht="72" customHeight="1">
      <x:c r="A61" s="179" t="str">
        <x:v>M09</x:v>
      </x:c>
      <x:c r="B61" s="180" t="str">
        <x:v>数据与状态｜Variable / Binding
Variable Binding</x:v>
      </x:c>
      <x:c r="C61" s="180" t="str">
        <x:v>MVBEqualsEvaluator</x:v>
      </x:c>
      <x:c r="D61" s="179" t="str">
        <x:v>原有·待核</x:v>
      </x:c>
      <x:c r="E61" s="180" t="str">
        <x:v>表达或管理EqualsEvaluator相关的数据及协作职责，具体行为待源码复核〔待核〕</x:v>
      </x:c>
      <x:c r="F61" s="180" t="str">
        <x:v>—（无公开声明或待核对）</x:v>
      </x:c>
      <x:c r="G61" s="180" t="str">
        <x:v>EqualsEvaluator(string comparisonString, bool ignoreCase), Evaluate(string value)</x:v>
      </x:c>
      <x:c r="H61" s="180" t="str">
        <x:v>—（待核）</x:v>
      </x:c>
      <x:c r="I61" s="180" t="str">
        <x:v>VariableInterfaces.EqualsEvaluator</x:v>
      </x:c>
      <x:c r="J61" s="179" t="str">
        <x:v>类</x:v>
      </x:c>
      <x:c r="K61" s="180" t="str">
        <x:v>V1.19 C-0400；原实施方式：原有。迁移风险：表达或管理EqualsEvaluator相关的数据及协作职责，具体行为待源码复核〔待核〕</x:v>
      </x:c>
      <x:c r="L61" s="183" t="str">
        <x:v>源代码声明·待复核</x:v>
      </x:c>
      <x:c r="M61" s="183" t="str">
        <x:v>C-0400</x:v>
      </x:c>
      <x:c r="N61" s="184" t="str">
        <x:v>Platform/Variables/Legacy/VariableEvaluator.cs; Platform/Compatibility/DeviceVariable/VariableInterfaces/VariableEvaluator.cs</x:v>
      </x:c>
      <x:c r="O61" s="183" t="str">
        <x:v>V1.19旧源码类型（真实成员/实现仍待核）
V2.01：来源ID对应；处置=保留源码·公开契约复核
V7.8：V7.8同名同文件多声明</x:v>
      </x:c>
      <x:c r="P61" s="136" t="str">
        <x:v>V1.19旧源码类型（真实成员/实现仍待核）</x:v>
      </x:c>
    </x:row>
    <x:row r="62" ht="72" customHeight="1">
      <x:c r="A62" s="179" t="str">
        <x:v>M09</x:v>
      </x:c>
      <x:c r="B62" s="180" t="str">
        <x:v>数据与状态｜Variable / Binding
Variable Binding</x:v>
      </x:c>
      <x:c r="C62" s="180" t="str">
        <x:v>MVBExpressionBindingModel</x:v>
      </x:c>
      <x:c r="D62" s="179" t="str">
        <x:v>原有·待核</x:v>
      </x:c>
      <x:c r="E62" s="180" t="str">
        <x:v>表达表达式绑定模型相关的数据结构、配置及状态视图</x:v>
      </x:c>
      <x:c r="F62" s="180" t="str">
        <x:v>TypeId, Expression, stringVariableIds</x:v>
      </x:c>
      <x:c r="G62" s="180" t="str">
        <x:v>DeepClone(bool preserveId)</x:v>
      </x:c>
      <x:c r="H62" s="180" t="str">
        <x:v>—（待核）</x:v>
      </x:c>
      <x:c r="I62" s="180" t="str">
        <x:v>CxVisual.Core.ExpressionBindingModel</x:v>
      </x:c>
      <x:c r="J62" s="179" t="str">
        <x:v>类</x:v>
      </x:c>
      <x:c r="K62" s="180" t="str">
        <x:v>V1.19 C-0326；原实施方式：原有。迁移风险：表达表达式绑定模型相关的数据结构、配置及状态视图</x:v>
      </x:c>
      <x:c r="L62" s="183" t="str">
        <x:v>源代码声明·待复核</x:v>
      </x:c>
      <x:c r="M62" s="183" t="str">
        <x:v>C-0326</x:v>
      </x:c>
      <x:c r="N62" s="184" t="str">
        <x:v>Platform/Core/Bindings.cs</x:v>
      </x:c>
      <x:c r="O62" s="183" t="str">
        <x:v>V1.19旧源码类型（真实成员/实现仍待核）
V2.01：来源ID对应；处置=保留源码·公开契约复核
V7.8：V7.8同名且源文件对应；Platform/Core/Bindings.cs</x:v>
      </x:c>
      <x:c r="P62" s="136" t="str">
        <x:v>V1.19旧源码类型（真实成员/实现仍待核）</x:v>
      </x:c>
    </x:row>
    <x:row r="63" ht="72" customHeight="1">
      <x:c r="A63" s="179" t="str">
        <x:v>M09</x:v>
      </x:c>
      <x:c r="B63" s="180" t="str">
        <x:v>数据与状态｜Variable / Binding
Variable Binding</x:v>
      </x:c>
      <x:c r="C63" s="180" t="str">
        <x:v>MVBExpressionBindingResolver</x:v>
      </x:c>
      <x:c r="D63" s="179" t="str">
        <x:v>原有·待核</x:v>
      </x:c>
      <x:c r="E63" s="180" t="str">
        <x:v>解析表达式绑定Resolver的目标对象、引用或实际实现</x:v>
      </x:c>
      <x:c r="F63" s="180" t="str">
        <x:v>BindingTypeId</x:v>
      </x:c>
      <x:c r="G63" s="180" t="str">
        <x:v>ExpressionBindingResolver(IExpressionEngine expressionEngine = null), Compile(BindingModel model, BindingCompileContext context), Evaluate(BindingPlan plan, RuntimeEvaluationContext context)</x:v>
      </x:c>
      <x:c r="H63" s="180" t="str">
        <x:v>—（待核）</x:v>
      </x:c>
      <x:c r="I63" s="180" t="str">
        <x:v>CxVisual.Runtime.Core.ExpressionBindingResolver</x:v>
      </x:c>
      <x:c r="J63" s="179" t="str">
        <x:v>类</x:v>
      </x:c>
      <x:c r="K63" s="180" t="str">
        <x:v>V1.19 C-0384；原实施方式：原有。迁移风险：解析表达式绑定Resolver的目标对象、引用或实际实现</x:v>
      </x:c>
      <x:c r="L63" s="183" t="str">
        <x:v>源代码声明·待复核</x:v>
      </x:c>
      <x:c r="M63" s="183" t="str">
        <x:v>C-0384</x:v>
      </x:c>
      <x:c r="N63" s="184" t="str">
        <x:v>Platform/Runtime/BindingRuntime.cs</x:v>
      </x:c>
      <x:c r="O63" s="183" t="str">
        <x:v>V1.19旧源码类型（真实成员/实现仍待核）
V2.01：来源ID对应；处置=保留源码·公开契约复核
V7.8：V7.8同名且源文件对应；Platform/Runtime/BindingRuntime.cs</x:v>
      </x:c>
      <x:c r="P63" s="136" t="str">
        <x:v>V1.19旧源码类型（真实成员/实现仍待核）</x:v>
      </x:c>
    </x:row>
    <x:row r="64" ht="72" customHeight="1">
      <x:c r="A64" s="179" t="str">
        <x:v>M09</x:v>
      </x:c>
      <x:c r="B64" s="180" t="str">
        <x:v>数据与状态｜Variable / Binding
Variable Binding</x:v>
      </x:c>
      <x:c r="C64" s="180" t="str">
        <x:v>MVBFormatValueConverter</x:v>
      </x:c>
      <x:c r="D64" s="179" t="str">
        <x:v>原有·待核</x:v>
      </x:c>
      <x:c r="E64" s="180" t="str">
        <x:v>实现Format值Converter表示之间的转换，处理格式兼容性</x:v>
      </x:c>
      <x:c r="F64" s="180" t="str">
        <x:v>ConverterTypeId</x:v>
      </x:c>
      <x:c r="G64" s="180" t="str">
        <x:v>Convert(object value, ValueConverterModel model)</x:v>
      </x:c>
      <x:c r="H64" s="180" t="str">
        <x:v>—（待核）</x:v>
      </x:c>
      <x:c r="I64" s="180" t="str">
        <x:v>CxVisual.Runtime.Core.FormatValueConverter</x:v>
      </x:c>
      <x:c r="J64" s="179" t="str">
        <x:v>类</x:v>
      </x:c>
      <x:c r="K64" s="180" t="str">
        <x:v>V1.19 C-0385；原实施方式：原有。迁移风险：实现Format值Converter表示之间的转换，处理格式兼容性</x:v>
      </x:c>
      <x:c r="L64" s="183" t="str">
        <x:v>源代码声明·待复核</x:v>
      </x:c>
      <x:c r="M64" s="183" t="str">
        <x:v>C-0385</x:v>
      </x:c>
      <x:c r="N64" s="184" t="str">
        <x:v>Platform/Runtime/BindingRuntime.cs</x:v>
      </x:c>
      <x:c r="O64" s="183" t="str">
        <x:v>V1.19旧源码类型（真实成员/实现仍待核）
V2.01：来源ID对应；处置=保留源码·公开契约复核
V7.8：V7.8同名且源文件对应；Platform/Runtime/BindingRuntime.cs</x:v>
      </x:c>
      <x:c r="P64" s="136" t="str">
        <x:v>V1.19旧源码类型（真实成员/实现仍待核）</x:v>
      </x:c>
    </x:row>
    <x:row r="65" ht="72" customHeight="1">
      <x:c r="A65" s="179" t="str">
        <x:v>M09</x:v>
      </x:c>
      <x:c r="B65" s="180" t="str">
        <x:v>数据与状态｜Variable / Binding
Variable Binding</x:v>
      </x:c>
      <x:c r="C65" s="180" t="str">
        <x:v>MVBGreaterThanEvaluator&lt;T&gt;</x:v>
      </x:c>
      <x:c r="D65" s="179" t="str">
        <x:v>原有·待核</x:v>
      </x:c>
      <x:c r="E65" s="180" t="str">
        <x:v>表达或管理GreaterThanEvaluatorT相关的数据及协作职责，具体行为待源码复核〔待核〕</x:v>
      </x:c>
      <x:c r="F65" s="180" t="str">
        <x:v>—（无公开声明或待核对）</x:v>
      </x:c>
      <x:c r="G65" s="180" t="str">
        <x:v>GreaterThanEvaluator(T threshold), Evaluate(T value)</x:v>
      </x:c>
      <x:c r="H65" s="180" t="str">
        <x:v>—（待核）</x:v>
      </x:c>
      <x:c r="I65" s="180" t="str">
        <x:v>VariableInterfaces.GreaterThanEvaluator&lt;T&gt;</x:v>
      </x:c>
      <x:c r="J65" s="179" t="str">
        <x:v>类</x:v>
      </x:c>
      <x:c r="K65" s="180" t="str">
        <x:v>V1.19 C-0401；原实施方式：原有。迁移风险：表达或管理GreaterThanEvaluatorT相关的数据及协作职责，具体行为待源码复核〔待核〕</x:v>
      </x:c>
      <x:c r="L65" s="183" t="str">
        <x:v>源代码声明·待复核</x:v>
      </x:c>
      <x:c r="M65" s="183" t="str">
        <x:v>C-0401</x:v>
      </x:c>
      <x:c r="N65" s="184" t="str">
        <x:v>D:\cyg\cx-visual-x2\Platform\Variables\Legacy\VariableEvaluator.cs:107</x:v>
      </x:c>
      <x:c r="O65" s="183" t="str">
        <x:v>V1.19旧源码类型（真实成员/实现仍待核）
V2.01：来源ID对应；处置=保留源码·公开契约复核
V7.8：V7.8同名同文件多声明</x:v>
      </x:c>
      <x:c r="P65" s="136" t="str">
        <x:v>V1.19旧源码类型（真实成员/实现仍待核）</x:v>
      </x:c>
    </x:row>
    <x:row r="66" ht="72" customHeight="1">
      <x:c r="A66" s="179" t="str">
        <x:v>M09</x:v>
      </x:c>
      <x:c r="B66" s="180" t="str">
        <x:v>数据与状态｜Variable / Binding
Variable Binding</x:v>
      </x:c>
      <x:c r="C66" s="180" t="str">
        <x:v>MVBLeftOpenRightClosedEvaluator&lt;T&gt;</x:v>
      </x:c>
      <x:c r="D66" s="179" t="str">
        <x:v>原有·待核</x:v>
      </x:c>
      <x:c r="E66" s="180" t="str">
        <x:v>表达或管理LeftOpenRightClosedEvaluatorT相关的数据及协作职责，具体行为待源码复核〔待核〕</x:v>
      </x:c>
      <x:c r="F66" s="180" t="str">
        <x:v>—（无公开声明或待核对）</x:v>
      </x:c>
      <x:c r="G66" s="180" t="str">
        <x:v>LeftOpenRightClosedEvaluator(T lowerBound, T upperBound), Evaluate(T value)</x:v>
      </x:c>
      <x:c r="H66" s="180" t="str">
        <x:v>—（待核）</x:v>
      </x:c>
      <x:c r="I66" s="180" t="str">
        <x:v>VariableInterfaces.LeftOpenRightClosedEvaluator&lt;T&gt;</x:v>
      </x:c>
      <x:c r="J66" s="179" t="str">
        <x:v>类</x:v>
      </x:c>
      <x:c r="K66" s="180" t="str">
        <x:v>V1.19 C-0404；原实施方式：原有。迁移风险：表达或管理LeftOpenRightClosedEvaluatorT相关的数据及协作职责，具体行为待源码复核〔待核〕</x:v>
      </x:c>
      <x:c r="L66" s="183" t="str">
        <x:v>源代码声明·待复核</x:v>
      </x:c>
      <x:c r="M66" s="183" t="str">
        <x:v>C-0404</x:v>
      </x:c>
      <x:c r="N66" s="184" t="str">
        <x:v>D:\cyg\cx-visual-x2\Platform\Variables\Legacy\VariableEvaluator.cs:175</x:v>
      </x:c>
      <x:c r="O66" s="183" t="str">
        <x:v>V1.19旧源码类型（真实成员/实现仍待核）
V2.01：来源ID对应；处置=保留源码·公开契约复核
V7.8：V7.8同名同文件多声明</x:v>
      </x:c>
      <x:c r="P66" s="136" t="str">
        <x:v>V1.19旧源码类型（真实成员/实现仍待核）</x:v>
      </x:c>
    </x:row>
    <x:row r="67" ht="72" customHeight="1">
      <x:c r="A67" s="179" t="str">
        <x:v>M09</x:v>
      </x:c>
      <x:c r="B67" s="180" t="str">
        <x:v>数据与状态｜Variable / Binding
Variable Binding</x:v>
      </x:c>
      <x:c r="C67" s="180" t="str">
        <x:v>MVBLessThanEvaluator&lt;T&gt;</x:v>
      </x:c>
      <x:c r="D67" s="179" t="str">
        <x:v>原有·待核</x:v>
      </x:c>
      <x:c r="E67" s="180" t="str">
        <x:v>表达或管理LessThanEvaluatorT相关的数据及协作职责，具体行为待源码复核〔待核〕</x:v>
      </x:c>
      <x:c r="F67" s="180" t="str">
        <x:v>—（无公开声明或待核对）</x:v>
      </x:c>
      <x:c r="G67" s="180" t="str">
        <x:v>LessThanEvaluator(T threshold), Evaluate(T value)</x:v>
      </x:c>
      <x:c r="H67" s="180" t="str">
        <x:v>—（待核）</x:v>
      </x:c>
      <x:c r="I67" s="180" t="str">
        <x:v>VariableInterfaces.LessThanEvaluator&lt;T&gt;</x:v>
      </x:c>
      <x:c r="J67" s="179" t="str">
        <x:v>类</x:v>
      </x:c>
      <x:c r="K67" s="180" t="str">
        <x:v>V1.19 C-0405；原实施方式：原有。迁移风险：表达或管理LessThanEvaluatorT相关的数据及协作职责，具体行为待源码复核〔待核〕</x:v>
      </x:c>
      <x:c r="L67" s="183" t="str">
        <x:v>源代码声明·待复核</x:v>
      </x:c>
      <x:c r="M67" s="183" t="str">
        <x:v>C-0405</x:v>
      </x:c>
      <x:c r="N67" s="184" t="str">
        <x:v>D:\cyg\cx-visual-x2\Platform\Variables\Legacy\VariableEvaluator.cs:123</x:v>
      </x:c>
      <x:c r="O67" s="183" t="str">
        <x:v>V1.19旧源码类型（真实成员/实现仍待核）
V2.01：来源ID对应；处置=保留源码·公开契约复核
V7.8：V7.8同名同文件多声明</x:v>
      </x:c>
      <x:c r="P67" s="136" t="str">
        <x:v>V1.19旧源码类型（真实成员/实现仍待核）</x:v>
      </x:c>
    </x:row>
    <x:row r="68" ht="72" customHeight="1">
      <x:c r="A68" s="179" t="str">
        <x:v>M09</x:v>
      </x:c>
      <x:c r="B68" s="180" t="str">
        <x:v>数据与状态｜Variable / Binding
Variable Binding</x:v>
      </x:c>
      <x:c r="C68" s="180" t="str">
        <x:v>MVBNotice</x:v>
      </x:c>
      <x:c r="D68" s="179" t="str">
        <x:v>原有·待核</x:v>
      </x:c>
      <x:c r="E68" s="180" t="str">
        <x:v>表达或管理Notice相关的数据及协作职责，具体行为待源码复核〔待核〕</x:v>
      </x:c>
      <x:c r="F68" s="180" t="str">
        <x:v>—（无公开声明或待核对）</x:v>
      </x:c>
      <x:c r="G68" s="180" t="str">
        <x:v>—(无公开声明或待核对)</x:v>
      </x:c>
      <x:c r="H68" s="180" t="str">
        <x:v>—（待核）</x:v>
      </x:c>
      <x:c r="I68" s="180" t="str">
        <x:v>CxVisual.Platform.Variables.CxRuntimeVariableStore.Notice</x:v>
      </x:c>
      <x:c r="J68" s="179" t="str">
        <x:v>类</x:v>
      </x:c>
      <x:c r="K68" s="180" t="str">
        <x:v>V1.19 C-0360；原实施方式：原有。迁移风险：表达或管理Notice相关的数据及协作职责，具体行为待源码复核〔待核〕</x:v>
      </x:c>
      <x:c r="L68" s="183" t="str">
        <x:v>源代码声明·待复核</x:v>
      </x:c>
      <x:c r="M68" s="183" t="str">
        <x:v>C-0360</x:v>
      </x:c>
      <x:c r="N68" s="184" t="str">
        <x:v>Platform/Variables/CxVariableStore.cs</x:v>
      </x:c>
      <x:c r="O68" s="183" t="str">
        <x:v>V1.19旧源码类型（真实成员/实现仍待核）
V2.01：来源ID对应；处置=保留源码·公开契约复核
V7.8：V7.8同名且源文件对应；Platform/Variables/CxVariableStore.cs</x:v>
      </x:c>
      <x:c r="P68" s="136" t="str">
        <x:v>V1.19旧源码类型（真实成员/实现仍待核）</x:v>
      </x:c>
    </x:row>
    <x:row r="69" ht="72" customHeight="1">
      <x:c r="A69" s="179" t="str">
        <x:v>M09</x:v>
      </x:c>
      <x:c r="B69" s="180" t="str">
        <x:v>数据与状态｜Variable / Binding
Variable Binding</x:v>
      </x:c>
      <x:c r="C69" s="180" t="str">
        <x:v>MVBOpenRangeEvaluator&lt;T&gt;</x:v>
      </x:c>
      <x:c r="D69" s="179" t="str">
        <x:v>原有·待核</x:v>
      </x:c>
      <x:c r="E69" s="180" t="str">
        <x:v>表达或管理OpenRangeEvaluatorT相关的数据及协作职责，具体行为待源码复核〔待核〕</x:v>
      </x:c>
      <x:c r="F69" s="180" t="str">
        <x:v>—（无公开声明或待核对）</x:v>
      </x:c>
      <x:c r="G69" s="180" t="str">
        <x:v>OpenRangeEvaluator(T lowerBound, T upperBound), Evaluate(T value)</x:v>
      </x:c>
      <x:c r="H69" s="180" t="str">
        <x:v>—（待核）</x:v>
      </x:c>
      <x:c r="I69" s="180" t="str">
        <x:v>VariableInterfaces.OpenRangeEvaluator&lt;T&gt;</x:v>
      </x:c>
      <x:c r="J69" s="179" t="str">
        <x:v>类</x:v>
      </x:c>
      <x:c r="K69" s="180" t="str">
        <x:v>V1.19 C-0406；原实施方式：原有。迁移风险：表达或管理OpenRangeEvaluatorT相关的数据及协作职责，具体行为待源码复核〔待核〕</x:v>
      </x:c>
      <x:c r="L69" s="183" t="str">
        <x:v>源代码声明·待复核</x:v>
      </x:c>
      <x:c r="M69" s="183" t="str">
        <x:v>C-0406</x:v>
      </x:c>
      <x:c r="N69" s="184" t="str">
        <x:v>D:\cyg\cx-visual-x2\Platform\Variables\Legacy\VariableEvaluator.cs:139</x:v>
      </x:c>
      <x:c r="O69" s="183" t="str">
        <x:v>V1.19旧源码类型（真实成员/实现仍待核）
V2.01：来源ID对应；处置=保留源码·公开契约复核
V7.8：V7.8同名同文件多声明</x:v>
      </x:c>
      <x:c r="P69" s="136" t="str">
        <x:v>V1.19旧源码类型（真实成员/实现仍待核）</x:v>
      </x:c>
    </x:row>
    <x:row r="70" ht="72" customHeight="1">
      <x:c r="A70" s="179" t="str">
        <x:v>M09</x:v>
      </x:c>
      <x:c r="B70" s="180" t="str">
        <x:v>数据与状态｜Variable / Binding
Variable Binding</x:v>
      </x:c>
      <x:c r="C70" s="180" t="str">
        <x:v>MVBPropertyBindingModel</x:v>
      </x:c>
      <x:c r="D70" s="179" t="str">
        <x:v>原有·待核</x:v>
      </x:c>
      <x:c r="E70" s="180" t="str">
        <x:v>表达属性绑定模型相关的数据结构、配置及状态视图</x:v>
      </x:c>
      <x:c r="F70" s="180" t="str">
        <x:v>TypeId, SourceElementId, SourceProperty</x:v>
      </x:c>
      <x:c r="G70" s="180" t="str">
        <x:v>DeepClone(bool preserveId)</x:v>
      </x:c>
      <x:c r="H70" s="180" t="str">
        <x:v>—（待核）</x:v>
      </x:c>
      <x:c r="I70" s="180" t="str">
        <x:v>CxVisual.Core.PropertyBindingModel</x:v>
      </x:c>
      <x:c r="J70" s="179" t="str">
        <x:v>类</x:v>
      </x:c>
      <x:c r="K70" s="180" t="str">
        <x:v>V1.19 C-0327；原实施方式：原有。迁移风险：表达属性绑定模型相关的数据结构、配置及状态视图</x:v>
      </x:c>
      <x:c r="L70" s="183" t="str">
        <x:v>源代码声明·待复核</x:v>
      </x:c>
      <x:c r="M70" s="183" t="str">
        <x:v>C-0327</x:v>
      </x:c>
      <x:c r="N70" s="184" t="str">
        <x:v>Platform/Core/Bindings.cs</x:v>
      </x:c>
      <x:c r="O70" s="183" t="str">
        <x:v>V1.19旧源码类型（真实成员/实现仍待核）
V2.01：来源ID对应；处置=保留源码·公开契约复核
V7.8：V7.8同名且源文件对应；Platform/Core/Bindings.cs</x:v>
      </x:c>
      <x:c r="P70" s="136" t="str">
        <x:v>V1.19旧源码类型（真实成员/实现仍待核）</x:v>
      </x:c>
    </x:row>
    <x:row r="71" ht="72" customHeight="1">
      <x:c r="A71" s="179" t="str">
        <x:v>M09</x:v>
      </x:c>
      <x:c r="B71" s="180" t="str">
        <x:v>数据与状态｜Variable / Binding
Variable Binding</x:v>
      </x:c>
      <x:c r="C71" s="180" t="str">
        <x:v>MVBPropertyBindingResolver</x:v>
      </x:c>
      <x:c r="D71" s="179" t="str">
        <x:v>原有·待核</x:v>
      </x:c>
      <x:c r="E71" s="180" t="str">
        <x:v>解析属性绑定Resolver的目标对象、引用或实际实现</x:v>
      </x:c>
      <x:c r="F71" s="180" t="str">
        <x:v>BindingTypeId</x:v>
      </x:c>
      <x:c r="G71" s="180" t="str">
        <x:v>Compile(BindingModel model, BindingCompileContext context), Evaluate(BindingPlan plan, RuntimeEvaluationContext context), FindElement(ProjectModel project, string id)</x:v>
      </x:c>
      <x:c r="H71" s="180" t="str">
        <x:v>—（待核）</x:v>
      </x:c>
      <x:c r="I71" s="180" t="str">
        <x:v>CxVisual.Runtime.Core.PropertyBindingResolver</x:v>
      </x:c>
      <x:c r="J71" s="179" t="str">
        <x:v>类</x:v>
      </x:c>
      <x:c r="K71" s="180" t="str">
        <x:v>V1.19 C-0388；原实施方式：原有。迁移风险：解析属性绑定Resolver的目标对象、引用或实际实现</x:v>
      </x:c>
      <x:c r="L71" s="183" t="str">
        <x:v>源代码声明·待复核</x:v>
      </x:c>
      <x:c r="M71" s="183" t="str">
        <x:v>C-0388</x:v>
      </x:c>
      <x:c r="N71" s="184" t="str">
        <x:v>Platform/Runtime/BindingRuntime.cs</x:v>
      </x:c>
      <x:c r="O71" s="183" t="str">
        <x:v>V1.19旧源码类型（真实成员/实现仍待核）
V2.01：来源ID对应；处置=保留源码·公开契约复核
V7.8：V7.8同名且源文件对应；Platform/Runtime/BindingRuntime.cs</x:v>
      </x:c>
      <x:c r="P71" s="136" t="str">
        <x:v>V1.19旧源码类型（真实成员/实现仍待核）</x:v>
      </x:c>
    </x:row>
    <x:row r="72" ht="72" customHeight="1">
      <x:c r="A72" s="179" t="str">
        <x:v>M09</x:v>
      </x:c>
      <x:c r="B72" s="180" t="str">
        <x:v>数据与状态｜Variable / Binding
Variable Binding</x:v>
      </x:c>
      <x:c r="C72" s="180" t="str">
        <x:v>MVBPropertyChoice</x:v>
      </x:c>
      <x:c r="D72" s="179" t="str">
        <x:v>原有·待核</x:v>
      </x:c>
      <x:c r="E72" s="180" t="str">
        <x:v>表达或管理属性Choice相关的数据及协作职责，具体行为待源码复核〔待核〕</x:v>
      </x:c>
      <x:c r="F72" s="180" t="str">
        <x:v>Key, Display</x:v>
      </x:c>
      <x:c r="G72" s="180" t="str">
        <x:v>PropertyChoice(string key, string name)</x:v>
      </x:c>
      <x:c r="H72" s="180" t="str">
        <x:v>—（待核）</x:v>
      </x:c>
      <x:c r="I72" s="180" t="str">
        <x:v>CxVisual.Designer.Wpf.BindingEditorWindow.PropertyChoice</x:v>
      </x:c>
      <x:c r="J72" s="179" t="str">
        <x:v>类</x:v>
      </x:c>
      <x:c r="K72" s="180" t="str">
        <x:v>V1.19 C-0345；原实施方式：原有。迁移风险：表达或管理属性Choice相关的数据及协作职责，具体行为待源码复核〔待核〕</x:v>
      </x:c>
      <x:c r="L72" s="183" t="str">
        <x:v>源代码声明·待复核</x:v>
      </x:c>
      <x:c r="M72" s="183" t="str">
        <x:v>C-0345</x:v>
      </x:c>
      <x:c r="N72" s="184" t="str">
        <x:v>Host/Studio/Wpf/M3Editors.cs</x:v>
      </x:c>
      <x:c r="O72" s="183" t="str">
        <x:v>V1.19旧源码类型（真实成员/实现仍待核）
V2.01：来源ID对应；处置=保留源码·公开契约复核
V7.8：V7.8同名且源文件对应；Host/Studio/Wpf/M3Editors.cs</x:v>
      </x:c>
      <x:c r="P72" s="136" t="str">
        <x:v>V1.19旧源码类型（真实成员/实现仍待核）</x:v>
      </x:c>
    </x:row>
    <x:row r="73" ht="72" customHeight="1">
      <x:c r="A73" s="179" t="str">
        <x:v>M09</x:v>
      </x:c>
      <x:c r="B73" s="180" t="str">
        <x:v>数据与状态｜Variable / Binding
Variable Binding</x:v>
      </x:c>
      <x:c r="C73" s="180" t="str">
        <x:v>MVBProviderDiagnostics</x:v>
      </x:c>
      <x:c r="D73" s="179" t="str">
        <x:v>原有·待核</x:v>
      </x:c>
      <x:c r="E73" s="180" t="str">
        <x:v>表达或管理提供器Diagnostics相关的数据及协作职责，具体行为待源码复核〔待核〕</x:v>
      </x:c>
      <x:c r="F73" s="180" t="str">
        <x:v>State, ProviderId, IsConnected, VariableCount, SubscriptionCount, LastUpdateUtc, LastError</x:v>
      </x:c>
      <x:c r="G73" s="180" t="str">
        <x:v>—(无公开声明或待核对)</x:v>
      </x:c>
      <x:c r="H73" s="180" t="str">
        <x:v>—（待核）</x:v>
      </x:c>
      <x:c r="I73" s="180" t="str">
        <x:v>CxVisual.Abstractions.ProviderDiagnostics</x:v>
      </x:c>
      <x:c r="J73" s="179" t="str">
        <x:v>类</x:v>
      </x:c>
      <x:c r="K73" s="180" t="str">
        <x:v>V1.19 C-0307；原实施方式：原有。迁移风险：表达或管理提供器Diagnostics相关的数据及协作职责，具体行为待源码复核〔待核〕</x:v>
      </x:c>
      <x:c r="L73" s="183" t="str">
        <x:v>源代码声明·待复核</x:v>
      </x:c>
      <x:c r="M73" s="183" t="str">
        <x:v>C-0307</x:v>
      </x:c>
      <x:c r="N73" s="184" t="str">
        <x:v>Platform/Core/Abstractions/Variables.cs</x:v>
      </x:c>
      <x:c r="O73" s="183" t="str">
        <x:v>V1.19旧源码类型（真实成员/实现仍待核）
V2.01：来源ID对应；处置=保留源码·公开契约复核
V7.8：V7.8同名且源文件对应；Platform/Core/Abstractions/Variables.cs</x:v>
      </x:c>
      <x:c r="P73" s="136" t="str">
        <x:v>V1.19旧源码类型（真实成员/实现仍待核）</x:v>
      </x:c>
    </x:row>
    <x:row r="74" ht="72" customHeight="1">
      <x:c r="A74" s="179" t="str">
        <x:v>M09</x:v>
      </x:c>
      <x:c r="B74" s="180" t="str">
        <x:v>数据与状态｜Variable / Binding
Variable Binding</x:v>
      </x:c>
      <x:c r="C74" s="180" t="str">
        <x:v>MVBQualityRules</x:v>
      </x:c>
      <x:c r="D74" s="179" t="str">
        <x:v>原有·待核</x:v>
      </x:c>
      <x:c r="E74" s="180" t="str">
        <x:v>判断数据质量状态是否可用并合成更差质量等级</x:v>
      </x:c>
      <x:c r="F74" s="180" t="str">
        <x:v>—（无公开声明或待核对）</x:v>
      </x:c>
      <x:c r="G74" s="180" t="str">
        <x:v>IsUsable(VariableQuality quality), Worst(VariableQuality left, VariableQuality right)</x:v>
      </x:c>
      <x:c r="H74" s="180" t="str">
        <x:v>—（待核）</x:v>
      </x:c>
      <x:c r="I74" s="180" t="str">
        <x:v>CxVisual.Runtime.Core.QualityRules</x:v>
      </x:c>
      <x:c r="J74" s="179" t="str">
        <x:v>静态类</x:v>
      </x:c>
      <x:c r="K74" s="180" t="str">
        <x:v>V1.19 C-0389；原实施方式：原有。迁移风险：判断数据质量状态是否可用并合成更差质量等级</x:v>
      </x:c>
      <x:c r="L74" s="183" t="str">
        <x:v>源代码声明·待复核</x:v>
      </x:c>
      <x:c r="M74" s="183" t="str">
        <x:v>C-0389</x:v>
      </x:c>
      <x:c r="N74" s="184" t="str">
        <x:v>Platform/Runtime/BindingRuntime.cs</x:v>
      </x:c>
      <x:c r="O74" s="183" t="str">
        <x:v>V1.19旧源码类型（真实成员/实现仍待核）
V2.01：来源ID对应；处置=保留源码·公开契约复核
V7.8：V7.8同名且源文件对应；Platform/Runtime/BindingRuntime.cs</x:v>
      </x:c>
      <x:c r="P74" s="136" t="str">
        <x:v>V1.19旧源码类型（真实成员/实现仍待核）</x:v>
      </x:c>
    </x:row>
    <x:row r="75" ht="72" customHeight="1">
      <x:c r="A75" s="179" t="str">
        <x:v>M09</x:v>
      </x:c>
      <x:c r="B75" s="180" t="str">
        <x:v>数据与状态｜Variable / Binding
Variable Binding</x:v>
      </x:c>
      <x:c r="C75" s="180" t="str">
        <x:v>MVBRangeMapConverter</x:v>
      </x:c>
      <x:c r="D75" s="179" t="str">
        <x:v>原有·待核</x:v>
      </x:c>
      <x:c r="E75" s="180" t="str">
        <x:v>实现RangeMapConverter表示之间的转换，处理格式兼容性</x:v>
      </x:c>
      <x:c r="F75" s="180" t="str">
        <x:v>ConverterTypeId</x:v>
      </x:c>
      <x:c r="G75" s="180" t="str">
        <x:v>Convert(object value, ValueConverterModel model)</x:v>
      </x:c>
      <x:c r="H75" s="180" t="str">
        <x:v>—（待核）</x:v>
      </x:c>
      <x:c r="I75" s="180" t="str">
        <x:v>CxVisual.Runtime.Core.RangeMapConverter</x:v>
      </x:c>
      <x:c r="J75" s="179" t="str">
        <x:v>类</x:v>
      </x:c>
      <x:c r="K75" s="180" t="str">
        <x:v>V1.19 C-0390；原实施方式：原有。迁移风险：实现RangeMapConverter表示之间的转换，处理格式兼容性</x:v>
      </x:c>
      <x:c r="L75" s="183" t="str">
        <x:v>源代码声明·待复核</x:v>
      </x:c>
      <x:c r="M75" s="183" t="str">
        <x:v>C-0390</x:v>
      </x:c>
      <x:c r="N75" s="184" t="str">
        <x:v>Platform/Runtime/BindingRuntime.cs</x:v>
      </x:c>
      <x:c r="O75" s="183" t="str">
        <x:v>V1.19旧源码类型（真实成员/实现仍待核）
V2.01：来源ID对应；处置=保留源码·公开契约复核
V7.8：V7.8同名且源文件对应；Platform/Runtime/BindingRuntime.cs</x:v>
      </x:c>
      <x:c r="P75" s="136" t="str">
        <x:v>V1.19旧源码类型（真实成员/实现仍待核）</x:v>
      </x:c>
    </x:row>
    <x:row r="76" ht="72" customHeight="1">
      <x:c r="A76" s="179" t="str">
        <x:v>M09</x:v>
      </x:c>
      <x:c r="B76" s="180" t="str">
        <x:v>数据与状态｜Variable / Binding
Variable Binding</x:v>
      </x:c>
      <x:c r="C76" s="180" t="str">
        <x:v>MVBRejectRuntimeValueConverter</x:v>
      </x:c>
      <x:c r="D76" s="179" t="str">
        <x:v>原有·待核</x:v>
      </x:c>
      <x:c r="E76" s="180" t="str">
        <x:v>实现Reject运行时值Converter表示之间的转换，处理格式兼容性</x:v>
      </x:c>
      <x:c r="F76" s="180" t="str">
        <x:v>—（无公开声明或待核对）</x:v>
      </x:c>
      <x:c r="G76" s="180" t="str">
        <x:v>CanConvert(Type type), WriteJson(JsonWriter writer, object value, JsonSerializer serializer), ReadJson(JsonReader reader, Type type, object value, JsonSerializer serializer)</x:v>
      </x:c>
      <x:c r="H76" s="180" t="str">
        <x:v>—（待核）</x:v>
      </x:c>
      <x:c r="I76" s="180" t="str">
        <x:v>CxVisual.Core.CxVariableValueRules.RejectRuntimeValueConverter</x:v>
      </x:c>
      <x:c r="J76" s="179" t="str">
        <x:v>类</x:v>
      </x:c>
      <x:c r="K76" s="180" t="str">
        <x:v>V1.19 C-0325；原实施方式：原有。迁移风险：实现Reject运行时值Converter表示之间的转换，处理格式兼容性</x:v>
      </x:c>
      <x:c r="L76" s="183" t="str">
        <x:v>源代码声明·待复核</x:v>
      </x:c>
      <x:c r="M76" s="183" t="str">
        <x:v>C-0325</x:v>
      </x:c>
      <x:c r="N76" s="184" t="str">
        <x:v>Platform/Core/CxVariableDefinition.cs</x:v>
      </x:c>
      <x:c r="O76" s="183" t="str">
        <x:v>V1.19旧源码类型（真实成员/实现仍待核）
V2.01：来源ID对应；处置=保留源码·公开契约复核
V7.8：V7.8同名且源文件对应；Platform/Core/CxVariableDefinition.cs</x:v>
      </x:c>
      <x:c r="P76" s="136" t="str">
        <x:v>V1.19旧源码类型（真实成员/实现仍待核）</x:v>
      </x:c>
    </x:row>
    <x:row r="77" ht="72" customHeight="1">
      <x:c r="A77" s="179" t="str">
        <x:v>M09</x:v>
      </x:c>
      <x:c r="B77" s="180" t="str">
        <x:v>数据与状态｜Variable / Binding
Variable Binding</x:v>
      </x:c>
      <x:c r="C77" s="180" t="str">
        <x:v>MVBResolvedBinding</x:v>
      </x:c>
      <x:c r="D77" s="179" t="str">
        <x:v>原有·待核</x:v>
      </x:c>
      <x:c r="E77" s="180" t="str">
        <x:v>表达或管理Resolved绑定相关的数据及协作职责，具体行为待源码复核〔待核〕</x:v>
      </x:c>
      <x:c r="F77" s="180" t="str">
        <x:v>—（无公开声明或待核对）</x:v>
      </x:c>
      <x:c r="G77" s="180" t="str">
        <x:v>—(无公开声明或待核对)</x:v>
      </x:c>
      <x:c r="H77" s="180" t="str">
        <x:v>—（待核）</x:v>
      </x:c>
      <x:c r="I77" s="180" t="str">
        <x:v>CxVisual.Core.CxProjectNodeAddressBindings.ResolvedBinding</x:v>
      </x:c>
      <x:c r="J77" s="179" t="str">
        <x:v>类</x:v>
      </x:c>
      <x:c r="K77" s="180" t="str">
        <x:v>V1.19 C-0321；原实施方式：原有。迁移风险：表达或管理Resolved绑定相关的数据及协作职责，具体行为待源码复核〔待核〕</x:v>
      </x:c>
      <x:c r="L77" s="183" t="str">
        <x:v>源代码声明·待复核</x:v>
      </x:c>
      <x:c r="M77" s="183" t="str">
        <x:v>C-0321</x:v>
      </x:c>
      <x:c r="N77" s="184" t="str">
        <x:v>Platform/Core/CxProjectNodeAddressBindings.cs</x:v>
      </x:c>
      <x:c r="O77" s="183" t="str">
        <x:v>V1.19旧源码类型（真实成员/实现仍待核）
V2.01：来源ID对应；处置=保留源码·公开契约复核
V7.8：V7.8同名且源文件对应；Platform/Core/CxProjectNodeAddressBindings.cs</x:v>
      </x:c>
      <x:c r="P77" s="136" t="str">
        <x:v>V1.19旧源码类型（真实成员/实现仍待核）</x:v>
      </x:c>
    </x:row>
    <x:row r="78" ht="72" customHeight="1">
      <x:c r="A78" s="179" t="str">
        <x:v>M09</x:v>
      </x:c>
      <x:c r="B78" s="180" t="str">
        <x:v>数据与状态｜Variable / Binding
Variable Binding</x:v>
      </x:c>
      <x:c r="C78" s="180" t="str">
        <x:v>MVBRightOpenLeftClosedEvaluator&lt;T&gt;</x:v>
      </x:c>
      <x:c r="D78" s="179" t="str">
        <x:v>原有·待核</x:v>
      </x:c>
      <x:c r="E78" s="180" t="str">
        <x:v>表达或管理RightOpenLeftClosedEvaluatorT相关的数据及协作职责，具体行为待源码复核〔待核〕</x:v>
      </x:c>
      <x:c r="F78" s="180" t="str">
        <x:v>—（无公开声明或待核对）</x:v>
      </x:c>
      <x:c r="G78" s="180" t="str">
        <x:v>RightOpenLeftClosedEvaluator(T lowerBound, T upperBound), Evaluate(T value)</x:v>
      </x:c>
      <x:c r="H78" s="180" t="str">
        <x:v>—（待核）</x:v>
      </x:c>
      <x:c r="I78" s="180" t="str">
        <x:v>VariableInterfaces.RightOpenLeftClosedEvaluator&lt;T&gt;</x:v>
      </x:c>
      <x:c r="J78" s="179" t="str">
        <x:v>类</x:v>
      </x:c>
      <x:c r="K78" s="180" t="str">
        <x:v>V1.19 C-0407；原实施方式：原有。迁移风险：表达或管理RightOpenLeftClosedEvaluatorT相关的数据及协作职责，具体行为待源码复核〔待核〕</x:v>
      </x:c>
      <x:c r="L78" s="183" t="str">
        <x:v>源代码声明·待复核</x:v>
      </x:c>
      <x:c r="M78" s="183" t="str">
        <x:v>C-0407</x:v>
      </x:c>
      <x:c r="N78" s="184" t="str">
        <x:v>D:\cyg\cx-visual-x2\Platform\Variables\Legacy\VariableEvaluator.cs:193</x:v>
      </x:c>
      <x:c r="O78" s="183" t="str">
        <x:v>V1.19旧源码类型（真实成员/实现仍待核）
V2.01：来源ID对应；处置=保留源码·公开契约复核
V7.8：V7.8同名同文件多声明</x:v>
      </x:c>
      <x:c r="P78" s="136" t="str">
        <x:v>V1.19旧源码类型（真实成员/实现仍待核）</x:v>
      </x:c>
    </x:row>
    <x:row r="79" ht="72" customHeight="1">
      <x:c r="A79" s="179" t="str">
        <x:v>M09</x:v>
      </x:c>
      <x:c r="B79" s="180" t="str">
        <x:v>数据与状态｜Variable / Binding
Variable Binding</x:v>
      </x:c>
      <x:c r="C79" s="180" t="str">
        <x:v>MVBRuntimeEvaluationContext</x:v>
      </x:c>
      <x:c r="D79" s="179" t="str">
        <x:v>原有·待核</x:v>
      </x:c>
      <x:c r="E79" s="180" t="str">
        <x:v>传递运行时Evaluation上下文执行或编辑过程中共享的上下文数据</x:v>
      </x:c>
      <x:c r="F79" s="180" t="str">
        <x:v>Project, Provider, PropertyStore, PropertyMetadata, Objects</x:v>
      </x:c>
      <x:c r="G79" s="180" t="str">
        <x:v>—(无公开声明或待核对)</x:v>
      </x:c>
      <x:c r="H79" s="180" t="str">
        <x:v>—（待核）</x:v>
      </x:c>
      <x:c r="I79" s="180" t="str">
        <x:v>CxVisual.Runtime.Core.RuntimeEvaluationContext</x:v>
      </x:c>
      <x:c r="J79" s="179" t="str">
        <x:v>类</x:v>
      </x:c>
      <x:c r="K79" s="180" t="str">
        <x:v>V1.19 C-0391；原实施方式：原有。迁移风险：传递运行时Evaluation上下文执行或编辑过程中共享的上下文数据</x:v>
      </x:c>
      <x:c r="L79" s="183" t="str">
        <x:v>源代码声明·待复核</x:v>
      </x:c>
      <x:c r="M79" s="183" t="str">
        <x:v>C-0391</x:v>
      </x:c>
      <x:c r="N79" s="184" t="str">
        <x:v>Platform/Runtime/BindingRuntime.cs</x:v>
      </x:c>
      <x:c r="O79" s="183" t="str">
        <x:v>V1.19旧源码类型（真实成员/实现仍待核）
V2.01：来源ID对应；处置=保留源码·公开契约复核
V7.8：V7.8同名且源文件对应；Platform/Runtime/BindingRuntime.cs</x:v>
      </x:c>
      <x:c r="P79" s="136" t="str">
        <x:v>V1.19旧源码类型（真实成员/实现仍待核）</x:v>
      </x:c>
    </x:row>
    <x:row r="80" ht="72" customHeight="1">
      <x:c r="A80" s="179" t="str">
        <x:v>M09</x:v>
      </x:c>
      <x:c r="B80" s="180" t="str">
        <x:v>数据与状态｜Variable / Binding
Variable Binding</x:v>
      </x:c>
      <x:c r="C80" s="180" t="str">
        <x:v>MVBStartsWithEvaluator</x:v>
      </x:c>
      <x:c r="D80" s="179" t="str">
        <x:v>原有·待核</x:v>
      </x:c>
      <x:c r="E80" s="180" t="str">
        <x:v>表达或管理StartsWithEvaluator相关的数据及协作职责，具体行为待源码复核〔待核〕</x:v>
      </x:c>
      <x:c r="F80" s="180" t="str">
        <x:v>—（无公开声明或待核对）</x:v>
      </x:c>
      <x:c r="G80" s="180" t="str">
        <x:v>StartsWithEvaluator(string substring, bool ignoreCase), Evaluate(string value)</x:v>
      </x:c>
      <x:c r="H80" s="180" t="str">
        <x:v>—（待核）</x:v>
      </x:c>
      <x:c r="I80" s="180" t="str">
        <x:v>VariableInterfaces.StartsWithEvaluator</x:v>
      </x:c>
      <x:c r="J80" s="179" t="str">
        <x:v>类</x:v>
      </x:c>
      <x:c r="K80" s="180" t="str">
        <x:v>V1.19 C-0408；原实施方式：原有。迁移风险：表达或管理StartsWithEvaluator相关的数据及协作职责，具体行为待源码复核〔待核〕</x:v>
      </x:c>
      <x:c r="L80" s="183" t="str">
        <x:v>源代码声明·待复核</x:v>
      </x:c>
      <x:c r="M80" s="183" t="str">
        <x:v>C-0408</x:v>
      </x:c>
      <x:c r="N80" s="184" t="str">
        <x:v>Platform/Variables/Legacy/VariableEvaluator.cs; Platform/Compatibility/DeviceVariable/VariableInterfaces/VariableEvaluator.cs</x:v>
      </x:c>
      <x:c r="O80" s="183" t="str">
        <x:v>V1.19旧源码类型（真实成员/实现仍待核）
V2.01：来源ID对应；处置=保留源码·公开契约复核
V7.8：V7.8同名同文件多声明</x:v>
      </x:c>
      <x:c r="P80" s="136" t="str">
        <x:v>V1.19旧源码类型（真实成员/实现仍待核）</x:v>
      </x:c>
    </x:row>
    <x:row r="81" ht="72" customHeight="1">
      <x:c r="A81" s="179" t="str">
        <x:v>M09</x:v>
      </x:c>
      <x:c r="B81" s="180" t="str">
        <x:v>数据与状态｜Variable / Binding
Variable Binding</x:v>
      </x:c>
      <x:c r="C81" s="180" t="str">
        <x:v>MVBTagBindingModel</x:v>
      </x:c>
      <x:c r="D81" s="179" t="str">
        <x:v>原有·待核</x:v>
      </x:c>
      <x:c r="E81" s="180" t="str">
        <x:v>表达Tag绑定模型相关的数据结构、配置及状态视图</x:v>
      </x:c>
      <x:c r="F81" s="180" t="str">
        <x:v>TypeId, VariableId, VariablePathFallback, VariableNameFallback, VariableTypeFallback, Mode, UpdateRateMilliseconds</x:v>
      </x:c>
      <x:c r="G81" s="180" t="str">
        <x:v>DeepClone(bool preserveId)</x:v>
      </x:c>
      <x:c r="H81" s="180" t="str">
        <x:v>—（待核）</x:v>
      </x:c>
      <x:c r="I81" s="180" t="str">
        <x:v>CxVisual.Core.TagBindingModel</x:v>
      </x:c>
      <x:c r="J81" s="179" t="str">
        <x:v>类</x:v>
      </x:c>
      <x:c r="K81" s="180" t="str">
        <x:v>V1.19 C-0328；原实施方式：原有。迁移风险：表达Tag绑定模型相关的数据结构、配置及状态视图</x:v>
      </x:c>
      <x:c r="L81" s="183" t="str">
        <x:v>源代码声明·待复核</x:v>
      </x:c>
      <x:c r="M81" s="183" t="str">
        <x:v>C-0328</x:v>
      </x:c>
      <x:c r="N81" s="184" t="str">
        <x:v>Platform/Core/Bindings.cs</x:v>
      </x:c>
      <x:c r="O81" s="183" t="str">
        <x:v>V1.19旧源码类型（真实成员/实现仍待核）
V2.01：来源ID对应；处置=保留源码·公开契约复核
V7.8：V7.8同名且源文件对应；Platform/Core/Bindings.cs</x:v>
      </x:c>
      <x:c r="P81" s="136" t="str">
        <x:v>V1.19旧源码类型（真实成员/实现仍待核）</x:v>
      </x:c>
    </x:row>
    <x:row r="82" ht="135" customHeight="1">
      <x:c r="A82" s="179" t="str">
        <x:v>M09</x:v>
      </x:c>
      <x:c r="B82" s="180" t="str">
        <x:v>数据与状态｜Variable / Binding
Variable Binding</x:v>
      </x:c>
      <x:c r="C82" s="180" t="str">
        <x:v>MVBTagBindingResolver</x:v>
      </x:c>
      <x:c r="D82" s="179" t="str">
        <x:v>原有·待核</x:v>
      </x:c>
      <x:c r="E82" s="180" t="str">
        <x:v>解析Tag绑定Resolver的目标对象、引用或实际实现</x:v>
      </x:c>
      <x:c r="F82" s="180" t="str">
        <x:v>BindingTypeId</x:v>
      </x:c>
      <x:c r="G82" s="180" t="str">
        <x:v>TagBindingResolver(IExpressionEngine expressionEngine = null), Compile(BindingModel model, BindingCompileContext context), Evaluate(BindingPlan plan, RuntimeEvaluationContext context), ResolveCalculatedDependencies(VariableReference variable, ProjectModel project, ISet&lt;string&gt; visiting, IExpressionEngine expressionEngine), EvaluateVariable(VariableReference variable, RuntimeEvaluationContext context, IExpressionEngine expressionEngine), ResolveVariable(ProjectModel project, string name), Leaf(string path), FromVariable(VariableValue value, string source)</x:v>
      </x:c>
      <x:c r="H82" s="180" t="str">
        <x:v>—（待核）</x:v>
      </x:c>
      <x:c r="I82" s="180" t="str">
        <x:v>CxVisual.Runtime.Core.TagBindingResolver</x:v>
      </x:c>
      <x:c r="J82" s="179" t="str">
        <x:v>类</x:v>
      </x:c>
      <x:c r="K82" s="180" t="str">
        <x:v>V1.19 C-0392；原实施方式：原有。迁移风险：解析Tag绑定Resolver的目标对象、引用或实际实现</x:v>
      </x:c>
      <x:c r="L82" s="183" t="str">
        <x:v>源代码声明·待复核</x:v>
      </x:c>
      <x:c r="M82" s="183" t="str">
        <x:v>C-0392</x:v>
      </x:c>
      <x:c r="N82" s="184" t="str">
        <x:v>Platform/Runtime/BindingRuntime.cs</x:v>
      </x:c>
      <x:c r="O82" s="183" t="str">
        <x:v>V1.19旧源码类型（真实成员/实现仍待核）
V2.01：来源ID对应；处置=保留源码·公开契约复核
V7.8：V7.8同名且源文件对应；Platform/Runtime/BindingRuntime.cs</x:v>
      </x:c>
      <x:c r="P82" s="136" t="str">
        <x:v>V1.19旧源码类型（真实成员/实现仍待核）</x:v>
      </x:c>
    </x:row>
    <x:row r="83" ht="72" customHeight="1">
      <x:c r="A83" s="179" t="str">
        <x:v>M09</x:v>
      </x:c>
      <x:c r="B83" s="180" t="str">
        <x:v>数据与状态｜Variable / Binding
Variable Binding</x:v>
      </x:c>
      <x:c r="C83" s="180" t="str">
        <x:v>MVBTemplateParameterMapping</x:v>
      </x:c>
      <x:c r="D83" s="179" t="str">
        <x:v>原有·待核</x:v>
      </x:c>
      <x:c r="E83" s="180" t="str">
        <x:v>表达或管理Template参数Mapping相关的数据及协作职责，具体行为待源码复核〔待核〕</x:v>
      </x:c>
      <x:c r="F83" s="180" t="str">
        <x:v>ParameterName, VariableId, VariablePathFallback</x:v>
      </x:c>
      <x:c r="G83" s="180" t="str">
        <x:v>Clone()</x:v>
      </x:c>
      <x:c r="H83" s="180" t="str">
        <x:v>—（待核）</x:v>
      </x:c>
      <x:c r="I83" s="180" t="str">
        <x:v>CxVisual.Core.TemplateParameterMapping</x:v>
      </x:c>
      <x:c r="J83" s="179" t="str">
        <x:v>类</x:v>
      </x:c>
      <x:c r="K83" s="180" t="str">
        <x:v>V1.19 C-0329；原实施方式：原有。迁移风险：表达或管理Template参数Mapping相关的数据及协作职责，具体行为待源码复核〔待核〕</x:v>
      </x:c>
      <x:c r="L83" s="183" t="str">
        <x:v>源代码声明·待复核</x:v>
      </x:c>
      <x:c r="M83" s="183" t="str">
        <x:v>C-0329</x:v>
      </x:c>
      <x:c r="N83" s="184" t="str">
        <x:v>Platform/Core/Bindings.cs</x:v>
      </x:c>
      <x:c r="O83" s="183" t="str">
        <x:v>V1.19旧源码类型（真实成员/实现仍待核）
V2.01：来源ID对应；处置=保留源码·公开契约复核
V7.8：V7.8同名且源文件对应；Platform/Core/Bindings.cs</x:v>
      </x:c>
      <x:c r="P83" s="136" t="str">
        <x:v>V1.19旧源码类型（真实成员/实现仍待核）</x:v>
      </x:c>
    </x:row>
    <x:row r="84" ht="72" customHeight="1">
      <x:c r="A84" s="179" t="str">
        <x:v>M09</x:v>
      </x:c>
      <x:c r="B84" s="180" t="str">
        <x:v>数据与状态｜Variable / Binding
Variable Binding</x:v>
      </x:c>
      <x:c r="C84" s="180" t="str">
        <x:v>MVBValueConverterModel</x:v>
      </x:c>
      <x:c r="D84" s="179" t="str">
        <x:v>原有·待核</x:v>
      </x:c>
      <x:c r="E84" s="180" t="str">
        <x:v>表达值Converter模型相关的数据结构、配置及状态视图</x:v>
      </x:c>
      <x:c r="F84" s="180" t="str">
        <x:v>TypeId, TrueValue, FalseValue, InputMinimum, InputMaximum, OutputMinimum, OutputMaximum, Format</x:v>
      </x:c>
      <x:c r="G84" s="180" t="str">
        <x:v>Clone()</x:v>
      </x:c>
      <x:c r="H84" s="180" t="str">
        <x:v>—（待核）</x:v>
      </x:c>
      <x:c r="I84" s="180" t="str">
        <x:v>CxVisual.Core.ValueConverterModel</x:v>
      </x:c>
      <x:c r="J84" s="179" t="str">
        <x:v>类</x:v>
      </x:c>
      <x:c r="K84" s="180" t="str">
        <x:v>V1.19 C-0330；原实施方式：原有。迁移风险：表达值Converter模型相关的数据结构、配置及状态视图</x:v>
      </x:c>
      <x:c r="L84" s="183" t="str">
        <x:v>源代码声明·待复核</x:v>
      </x:c>
      <x:c r="M84" s="183" t="str">
        <x:v>C-0330</x:v>
      </x:c>
      <x:c r="N84" s="184" t="str">
        <x:v>Platform/Core/Bindings.cs</x:v>
      </x:c>
      <x:c r="O84" s="183" t="str">
        <x:v>V1.19旧源码类型（真实成员/实现仍待核）
V2.01：来源ID对应；处置=保留源码·公开契约复核
V7.8：V7.8同名且源文件对应；Platform/Core/Bindings.cs</x:v>
      </x:c>
      <x:c r="P84" s="136" t="str">
        <x:v>V1.19旧源码类型（真实成员/实现仍待核）</x:v>
      </x:c>
    </x:row>
    <x:row r="85" ht="72" customHeight="1">
      <x:c r="A85" s="179" t="str">
        <x:v>M09</x:v>
      </x:c>
      <x:c r="B85" s="180" t="str">
        <x:v>数据与状态｜Variable / Binding
Variable Binding</x:v>
      </x:c>
      <x:c r="C85" s="180" t="str">
        <x:v>MVBValueConverterRegistry</x:v>
      </x:c>
      <x:c r="D85" s="179" t="str">
        <x:v>原有·待核</x:v>
      </x:c>
      <x:c r="E85" s="180" t="str">
        <x:v>注册、索引与查询值Converter注册表条目，并控制注册身份唯一性</x:v>
      </x:c>
      <x:c r="F85" s="180" t="str">
        <x:v>—（无公开声明或待核对）</x:v>
      </x:c>
      <x:c r="G85" s="180" t="str">
        <x:v>ValueConverterRegistry(), Register(IValueConverterEx converter), Apply(IEnumerable&lt;ValueConverterModel&gt; models, object value)</x:v>
      </x:c>
      <x:c r="H85" s="180" t="str">
        <x:v>—（待核）</x:v>
      </x:c>
      <x:c r="I85" s="180" t="str">
        <x:v>CxVisual.Runtime.Core.ValueConverterRegistry</x:v>
      </x:c>
      <x:c r="J85" s="179" t="str">
        <x:v>类</x:v>
      </x:c>
      <x:c r="K85" s="180" t="str">
        <x:v>V1.19 C-0393；原实施方式：原有。迁移风险：注册、索引与查询值Converter注册表条目，并控制注册身份唯一性</x:v>
      </x:c>
      <x:c r="L85" s="183" t="str">
        <x:v>源代码声明·待复核</x:v>
      </x:c>
      <x:c r="M85" s="183" t="str">
        <x:v>C-0393</x:v>
      </x:c>
      <x:c r="N85" s="184" t="str">
        <x:v>Platform/Runtime/BindingRuntime.cs</x:v>
      </x:c>
      <x:c r="O85" s="183" t="str">
        <x:v>V1.19旧源码类型（真实成员/实现仍待核）
V2.01：来源ID对应；处置=保留源码·公开契约复核
V7.8：V7.8同名且源文件对应；Platform/Runtime/BindingRuntime.cs</x:v>
      </x:c>
      <x:c r="P85" s="136" t="str">
        <x:v>V1.19旧源码类型（真实成员/实现仍待核）</x:v>
      </x:c>
    </x:row>
    <x:row r="86" ht="72" customHeight="1">
      <x:c r="A86" s="179" t="str">
        <x:v>M09</x:v>
      </x:c>
      <x:c r="B86" s="180" t="str">
        <x:v>数据与状态｜Variable / Binding
Variable Binding</x:v>
      </x:c>
      <x:c r="C86" s="180" t="str">
        <x:v>MVBVariable&lt;TValue&gt;</x:v>
      </x:c>
      <x:c r="D86" s="179" t="str">
        <x:v>原有·待核</x:v>
      </x:c>
      <x:c r="E86" s="180" t="str">
        <x:v>表达或管理变量T值相关的数据及协作职责，具体行为待源码复核〔待核〕</x:v>
      </x:c>
      <x:c r="F86" s="180" t="str">
        <x:v>ValueType, Value, OldValue, LastUpdated, Version, HasInitialValue</x:v>
      </x:c>
      <x:c r="G86" s="180" t="str">
        <x:v>Variable(string name, TValue value, long lastUpdated = 0, bool hasInitialValue = true, string variableId = null), SetValue(TValue newValue, long updatedAt = 0), GetSnapshot()</x:v>
      </x:c>
      <x:c r="H86" s="180" t="str">
        <x:v>—（待核）</x:v>
      </x:c>
      <x:c r="I86" s="180" t="str">
        <x:v>CxVisual.Platform.Variables.Variable&lt;TValue&gt;</x:v>
      </x:c>
      <x:c r="J86" s="179" t="str">
        <x:v>类</x:v>
      </x:c>
      <x:c r="K86" s="180" t="str">
        <x:v>V1.19 C-0369；原实施方式：原有。迁移风险：表达或管理变量T值相关的数据及协作职责，具体行为待源码复核〔待核〕</x:v>
      </x:c>
      <x:c r="L86" s="183" t="str">
        <x:v>源代码声明·待复核</x:v>
      </x:c>
      <x:c r="M86" s="183" t="str">
        <x:v>C-0369</x:v>
      </x:c>
      <x:c r="N86" s="184" t="str">
        <x:v>D:\cyg\cx-visual-x2\Platform\Variables\VariableValue.cs:27</x:v>
      </x:c>
      <x:c r="O86" s="183" t="str">
        <x:v>V1.19旧源码类型（真实成员/实现仍待核）
V2.01：来源ID对应；处置=保留源码·公开契约复核
V7.8：V7.8未检出同名词法声明</x:v>
      </x:c>
      <x:c r="P86" s="136" t="str">
        <x:v>V1.19旧源码类型（真实成员/实现仍待核）</x:v>
      </x:c>
    </x:row>
    <x:row r="87" ht="72" customHeight="1">
      <x:c r="A87" s="179" t="str">
        <x:v>M09</x:v>
      </x:c>
      <x:c r="B87" s="180" t="str">
        <x:v>数据与状态｜Variable / Binding
Variable Binding</x:v>
      </x:c>
      <x:c r="C87" s="180" t="str">
        <x:v>MVBVariableAccess</x:v>
      </x:c>
      <x:c r="D87" s="179" t="str">
        <x:v>原有·待核</x:v>
      </x:c>
      <x:c r="E87" s="180" t="str">
        <x:v>定义变量Access的候选取值、状态或模式，供相关流程作分支判断</x:v>
      </x:c>
      <x:c r="F87" s="180" t="str">
        <x:v>枚举值：ReadOnly, ReadWrite</x:v>
      </x:c>
      <x:c r="G87" s="180" t="str">
        <x:v>—(无公开声明或待核对)</x:v>
      </x:c>
      <x:c r="H87" s="180" t="str">
        <x:v>—（待核）</x:v>
      </x:c>
      <x:c r="I87" s="180" t="str">
        <x:v>CxVisual.Abstractions.VariableAccess</x:v>
      </x:c>
      <x:c r="J87" s="179" t="str">
        <x:v>枚举</x:v>
      </x:c>
      <x:c r="K87" s="180" t="str">
        <x:v>V1.19 C-0308；原实施方式：原有。迁移风险：定义变量Access的候选取值、状态或模式，供相关流程作分支判断</x:v>
      </x:c>
      <x:c r="L87" s="183" t="str">
        <x:v>源代码声明·待复核</x:v>
      </x:c>
      <x:c r="M87" s="183" t="str">
        <x:v>C-0308</x:v>
      </x:c>
      <x:c r="N87" s="184" t="str">
        <x:v>Platform/Core/Abstractions/Variables.cs</x:v>
      </x:c>
      <x:c r="O87" s="183" t="str">
        <x:v>V1.19旧源码类型（真实成员/实现仍待核）
V2.01：来源ID对应；处置=保留源码·公开契约复核
V7.8：V7.8同名且源文件对应；Platform/Core/Abstractions/Variables.cs</x:v>
      </x:c>
      <x:c r="P87" s="136" t="str">
        <x:v>V1.19旧源码类型（真实成员/实现仍待核）</x:v>
      </x:c>
    </x:row>
    <x:row r="88" ht="72" customHeight="1">
      <x:c r="A88" s="179" t="str">
        <x:v>M09</x:v>
      </x:c>
      <x:c r="B88" s="180" t="str">
        <x:v>数据与状态｜Variable / Binding
Variable Binding</x:v>
      </x:c>
      <x:c r="C88" s="180" t="str">
        <x:v>MVBVariableAttributeHelper</x:v>
      </x:c>
      <x:c r="D88" s="179" t="str">
        <x:v>原有·待核</x:v>
      </x:c>
      <x:c r="E88" s="180" t="str">
        <x:v>提供变量属性标记辅助可复用辅助操作，避免业务状态耦合</x:v>
      </x:c>
      <x:c r="F88" s="180" t="str">
        <x:v>—（无公开声明或待核对）</x:v>
      </x:c>
      <x:c r="G88" s="180" t="str">
        <x:v>IEnumerable(), DisplayVariableInfo(), CreateVariableDescriptions(Type propertyType)</x:v>
      </x:c>
      <x:c r="H88" s="180" t="str">
        <x:v>—（待核）</x:v>
      </x:c>
      <x:c r="I88" s="180" t="str">
        <x:v>VariableInterfaces.VariableAttributeHelper</x:v>
      </x:c>
      <x:c r="J88" s="179" t="str">
        <x:v>静态类</x:v>
      </x:c>
      <x:c r="K88" s="180" t="str">
        <x:v>V1.19 C-0409；原实施方式：原有。迁移风险：提供变量属性标记辅助可复用辅助操作，避免业务状态耦合</x:v>
      </x:c>
      <x:c r="L88" s="183" t="str">
        <x:v>源代码声明·待复核</x:v>
      </x:c>
      <x:c r="M88" s="183" t="str">
        <x:v>C-0409</x:v>
      </x:c>
      <x:c r="N88" s="184" t="str">
        <x:v>Platform/Variables/Legacy/VariableAttributeHelper.cs; Platform/Compatibility/DeviceVariable/VariableInterfaces/VariableAttributeHelper.cs</x:v>
      </x:c>
      <x:c r="O88" s="183" t="str">
        <x:v>V1.19旧源码类型（真实成员/实现仍待核）
V2.01：来源ID对应；处置=保留源码·公开契约复核
V7.8：V7.8同名同文件多声明</x:v>
      </x:c>
      <x:c r="P88" s="136" t="str">
        <x:v>V1.19旧源码类型（真实成员/实现仍待核）</x:v>
      </x:c>
    </x:row>
    <x:row r="89" ht="72" customHeight="1">
      <x:c r="A89" s="179" t="str">
        <x:v>M09</x:v>
      </x:c>
      <x:c r="B89" s="180" t="str">
        <x:v>数据与状态｜Variable / Binding
Variable Binding</x:v>
      </x:c>
      <x:c r="C89" s="180" t="str">
        <x:v>MVBVariableBindingEngine</x:v>
      </x:c>
      <x:c r="D89" s="179" t="str">
        <x:v>原有·待核</x:v>
      </x:c>
      <x:c r="E89" s="180" t="str">
        <x:v>表达或管理变量绑定Engine相关的数据及协作职责，具体行为待源码复核〔待核〕</x:v>
      </x:c>
      <x:c r="F89" s="180" t="str">
        <x:v>Diagnostics, Plans</x:v>
      </x:c>
      <x:c r="G89" s="180" t="str">
        <x:v>VariableBindingEngine(IVariableProvider provider, RuntimePropertyStore store, IExpressionEngine expressionEngine = null), AttachObjectRegistry(RuntimeObjectRegistry objects), Start(ProjectModel project), Stop(), Dispose()</x:v>
      </x:c>
      <x:c r="H89" s="180" t="str">
        <x:v>—（待核）</x:v>
      </x:c>
      <x:c r="I89" s="180" t="str">
        <x:v>CxVisual.Runtime.Core.VariableBindingEngine</x:v>
      </x:c>
      <x:c r="J89" s="179" t="str">
        <x:v>类</x:v>
      </x:c>
      <x:c r="K89" s="180" t="str">
        <x:v>V1.19 C-0394；原实施方式：原有。迁移风险：表达或管理变量绑定Engine相关的数据及协作职责，具体行为待源码复核〔待核〕</x:v>
      </x:c>
      <x:c r="L89" s="183" t="str">
        <x:v>源代码声明·待复核</x:v>
      </x:c>
      <x:c r="M89" s="183" t="str">
        <x:v>C-0394</x:v>
      </x:c>
      <x:c r="N89" s="184" t="str">
        <x:v>Platform/Runtime/VariableBindingEngine.cs</x:v>
      </x:c>
      <x:c r="O89" s="183" t="str">
        <x:v>V1.19旧源码类型（真实成员/实现仍待核）
V2.01：来源ID对应；处置=保留源码·公开契约复核
V7.8：V7.8同名且源文件对应；Platform/Runtime/VariableBindingEngine.cs</x:v>
      </x:c>
      <x:c r="P89" s="136" t="str">
        <x:v>V1.19旧源码类型（真实成员/实现仍待核）</x:v>
      </x:c>
    </x:row>
    <x:row r="90" ht="72" customHeight="1">
      <x:c r="A90" s="179" t="str">
        <x:v>M09</x:v>
      </x:c>
      <x:c r="B90" s="180" t="str">
        <x:v>数据与状态｜Variable / Binding
Variable Binding</x:v>
      </x:c>
      <x:c r="C90" s="180" t="str">
        <x:v>MVBVariableCatalogNode</x:v>
      </x:c>
      <x:c r="D90" s="179" t="str">
        <x:v>原有·待核</x:v>
      </x:c>
      <x:c r="E90" s="180" t="str">
        <x:v>表达或管理变量目录节点相关的数据及协作职责，具体行为待源码复核〔待核〕</x:v>
      </x:c>
      <x:c r="F90" s="180" t="str">
        <x:v>Name, Kind, Variable, Children</x:v>
      </x:c>
      <x:c r="G90" s="180" t="str">
        <x:v>—(无公开声明或待核对)</x:v>
      </x:c>
      <x:c r="H90" s="180" t="str">
        <x:v>—（待核）</x:v>
      </x:c>
      <x:c r="I90" s="180" t="str">
        <x:v>CxVisual.Designer.Application.VariableCatalogNode</x:v>
      </x:c>
      <x:c r="J90" s="179" t="str">
        <x:v>类</x:v>
      </x:c>
      <x:c r="K90" s="180" t="str">
        <x:v>V1.19 C-0336；原实施方式：原有。迁移风险：表达或管理变量目录节点相关的数据及协作职责，具体行为待源码复核〔待核〕</x:v>
      </x:c>
      <x:c r="L90" s="183" t="str">
        <x:v>源代码声明·待复核</x:v>
      </x:c>
      <x:c r="M90" s="183" t="str">
        <x:v>C-0336</x:v>
      </x:c>
      <x:c r="N90" s="184" t="str">
        <x:v>Host/Studio/Application/VariableServices.cs</x:v>
      </x:c>
      <x:c r="O90" s="183" t="str">
        <x:v>V1.19旧源码类型（真实成员/实现仍待核）
V2.01：来源ID对应；处置=保留源码·公开契约复核
V7.8：V7.8同名且源文件对应；Host/Studio/Application/VariableServices.cs</x:v>
      </x:c>
      <x:c r="P90" s="136" t="str">
        <x:v>V1.19旧源码类型（真实成员/实现仍待核）</x:v>
      </x:c>
    </x:row>
    <x:row r="91" ht="135" customHeight="1">
      <x:c r="A91" s="179" t="str">
        <x:v>M09</x:v>
      </x:c>
      <x:c r="B91" s="180" t="str">
        <x:v>数据与状态｜Variable / Binding
Variable Binding</x:v>
      </x:c>
      <x:c r="C91" s="180" t="str">
        <x:v>MVBVariableCatalogService</x:v>
      </x:c>
      <x:c r="D91" s="179" t="str">
        <x:v>原有·待核</x:v>
      </x:c>
      <x:c r="E91" s="180" t="str">
        <x:v>封装变量目录服务通用服务操作及其生命周期边界</x:v>
      </x:c>
      <x:c r="F91" s="180" t="str">
        <x:v>—（无公开声明或待核对）</x:v>
      </x:c>
      <x:c r="G91" s="180" t="str">
        <x:v>Define(DesignerDocument document, VariableDefinitionRequest request), Update(DesignerDocument document, VariableReference variable, VariableDefinitionRequest request), BuildTree(IEnumerable&lt;VariableReference&gt; source), Search(IEnumerable&lt;VariableReference&gt; source, string query), Favorites(IEnumerable&lt;VariableReference&gt; source), Recent(IEnumerable&lt;VariableReference&gt; source, int maximum = 20), CreateMarkUsedCommand(VariableReference variable), SetFavorite(DesignerDocument document, VariableReference variable, bool value), GetDetails(VariableReference variable, object currentValue = null, string quality = null, DateTime? timestampUtc = null), ResolveRuntimeType(string valueType)</x:v>
      </x:c>
      <x:c r="H91" s="180" t="str">
        <x:v>—（待核）</x:v>
      </x:c>
      <x:c r="I91" s="180" t="str">
        <x:v>CxVisual.Designer.Application.VariableCatalogService</x:v>
      </x:c>
      <x:c r="J91" s="179" t="str">
        <x:v>类</x:v>
      </x:c>
      <x:c r="K91" s="180" t="str">
        <x:v>V1.19 C-0337；原实施方式：原有。迁移风险：封装变量目录服务通用服务操作及其生命周期边界</x:v>
      </x:c>
      <x:c r="L91" s="183" t="str">
        <x:v>源代码声明·待复核</x:v>
      </x:c>
      <x:c r="M91" s="183" t="str">
        <x:v>C-0337</x:v>
      </x:c>
      <x:c r="N91" s="184" t="str">
        <x:v>Host/Studio/Application/VariableServices.cs</x:v>
      </x:c>
      <x:c r="O91" s="183" t="str">
        <x:v>V1.19旧源码类型（真实成员/实现仍待核）
V2.01：来源ID对应；处置=保留源码·公开契约复核
V7.8：V7.8同名且源文件对应；Host/Studio/Application/VariableServices.cs</x:v>
      </x:c>
      <x:c r="P91" s="136" t="str">
        <x:v>V1.19旧源码类型（真实成员/实现仍待核）</x:v>
      </x:c>
    </x:row>
    <x:row r="92" ht="72" customHeight="1">
      <x:c r="A92" s="179" t="str">
        <x:v>M09</x:v>
      </x:c>
      <x:c r="B92" s="180" t="str">
        <x:v>数据与状态｜Variable / Binding
Variable Binding</x:v>
      </x:c>
      <x:c r="C92" s="180" t="str">
        <x:v>MVBVariableChange</x:v>
      </x:c>
      <x:c r="D92" s="179" t="str">
        <x:v>原有·待核</x:v>
      </x:c>
      <x:c r="E92" s="180" t="str">
        <x:v>表达或管理变量Change相关的数据及协作职责，具体行为待源码复核〔待核〕</x:v>
      </x:c>
      <x:c r="F92" s="180" t="str">
        <x:v>VariableId, Value</x:v>
      </x:c>
      <x:c r="G92" s="180" t="str">
        <x:v>—(无公开声明或待核对)</x:v>
      </x:c>
      <x:c r="H92" s="180" t="str">
        <x:v>—（待核）</x:v>
      </x:c>
      <x:c r="I92" s="180" t="str">
        <x:v>CxVisual.Abstractions.VariableChange</x:v>
      </x:c>
      <x:c r="J92" s="179" t="str">
        <x:v>类</x:v>
      </x:c>
      <x:c r="K92" s="180" t="str">
        <x:v>V1.19 C-0309；原实施方式：原有。迁移风险：表达或管理变量Change相关的数据及协作职责，具体行为待源码复核〔待核〕</x:v>
      </x:c>
      <x:c r="L92" s="183" t="str">
        <x:v>源代码声明·待复核</x:v>
      </x:c>
      <x:c r="M92" s="183" t="str">
        <x:v>C-0309</x:v>
      </x:c>
      <x:c r="N92" s="184" t="str">
        <x:v>Platform/Core/Abstractions/Variables.cs</x:v>
      </x:c>
      <x:c r="O92" s="183" t="str">
        <x:v>V1.19旧源码类型（真实成员/实现仍待核）
V2.01：来源ID对应；处置=保留源码·公开契约复核
V7.8：V7.8同名且源文件对应；Platform/Core/Abstractions/Variables.cs</x:v>
      </x:c>
      <x:c r="P92" s="136" t="str">
        <x:v>V1.19旧源码类型（真实成员/实现仍待核）</x:v>
      </x:c>
    </x:row>
    <x:row r="93" ht="72" customHeight="1">
      <x:c r="A93" s="179" t="str">
        <x:v>M09</x:v>
      </x:c>
      <x:c r="B93" s="180" t="str">
        <x:v>数据与状态｜Variable / Binding
Variable Binding</x:v>
      </x:c>
      <x:c r="C93" s="180" t="str">
        <x:v>MVBVariableChangeType</x:v>
      </x:c>
      <x:c r="D93" s="179" t="str">
        <x:v>原有·待核</x:v>
      </x:c>
      <x:c r="E93" s="180" t="str">
        <x:v>定义变量Change类型的候选取值、状态或模式，供相关流程作分支判断</x:v>
      </x:c>
      <x:c r="F93" s="180" t="str">
        <x:v>枚举值：ScanUpdate, ValueChange, VariableCreation</x:v>
      </x:c>
      <x:c r="G93" s="180" t="str">
        <x:v>—(无公开声明或待核对)</x:v>
      </x:c>
      <x:c r="H93" s="180" t="str">
        <x:v>—（待核）</x:v>
      </x:c>
      <x:c r="I93" s="180" t="str">
        <x:v>VariableInterfaces.VariableChangeType</x:v>
      </x:c>
      <x:c r="J93" s="179" t="str">
        <x:v>枚举</x:v>
      </x:c>
      <x:c r="K93" s="180" t="str">
        <x:v>V1.19 C-0410；原实施方式：原有。迁移风险：定义变量Change类型的候选取值、状态或模式，供相关流程作分支判断</x:v>
      </x:c>
      <x:c r="L93" s="183" t="str">
        <x:v>源代码声明·待复核</x:v>
      </x:c>
      <x:c r="M93" s="183" t="str">
        <x:v>C-0410</x:v>
      </x:c>
      <x:c r="N93" s="184" t="str">
        <x:v>Platform/Variables/Legacy/VariableManager.cs; Platform/Compatibility/DeviceVariable/VariableInterfaces/VariableManager.cs</x:v>
      </x:c>
      <x:c r="O93" s="183" t="str">
        <x:v>V1.19旧源码类型（真实成员/实现仍待核）
V2.01：来源ID对应；处置=保留源码·公开契约复核
V7.8：V7.8同名同文件多声明</x:v>
      </x:c>
      <x:c r="P93" s="136" t="str">
        <x:v>V1.19旧源码类型（真实成员/实现仍待核）</x:v>
      </x:c>
    </x:row>
    <x:row r="94" ht="72" customHeight="1">
      <x:c r="A94" s="179" t="str">
        <x:v>M09</x:v>
      </x:c>
      <x:c r="B94" s="180" t="str">
        <x:v>数据与状态｜Variable / Binding
Variable Binding</x:v>
      </x:c>
      <x:c r="C94" s="180" t="str">
        <x:v>MVBVariableChoice</x:v>
      </x:c>
      <x:c r="D94" s="179" t="str">
        <x:v>原有·待核</x:v>
      </x:c>
      <x:c r="E94" s="180" t="str">
        <x:v>表达或管理变量Choice相关的数据及协作职责，具体行为待源码复核〔待核〕</x:v>
      </x:c>
      <x:c r="F94" s="180" t="str">
        <x:v>Variable, Display</x:v>
      </x:c>
      <x:c r="G94" s="180" t="str">
        <x:v>VariableChoice(VariableReference variable)</x:v>
      </x:c>
      <x:c r="H94" s="180" t="str">
        <x:v>—（待核）</x:v>
      </x:c>
      <x:c r="I94" s="180" t="str">
        <x:v>CxVisual.Designer.Wpf.BindingEditorWindow.VariableChoice</x:v>
      </x:c>
      <x:c r="J94" s="179" t="str">
        <x:v>类</x:v>
      </x:c>
      <x:c r="K94" s="180" t="str">
        <x:v>V1.19 C-0346；原实施方式：原有。迁移风险：表达或管理变量Choice相关的数据及协作职责，具体行为待源码复核〔待核〕</x:v>
      </x:c>
      <x:c r="L94" s="183" t="str">
        <x:v>源代码声明·待复核</x:v>
      </x:c>
      <x:c r="M94" s="183" t="str">
        <x:v>C-0346</x:v>
      </x:c>
      <x:c r="N94" s="184" t="str">
        <x:v>Host/Studio/Wpf/M3Editors.cs</x:v>
      </x:c>
      <x:c r="O94" s="183" t="str">
        <x:v>V1.19旧源码类型（真实成员/实现仍待核）
V2.01：来源ID对应；处置=保留源码·公开契约复核
V7.8：V7.8同名且源文件对应；Host/Studio/Wpf/M3Editors.cs</x:v>
      </x:c>
      <x:c r="P94" s="136" t="str">
        <x:v>V1.19旧源码类型（真实成员/实现仍待核）</x:v>
      </x:c>
    </x:row>
    <x:row r="95" ht="72" customHeight="1">
      <x:c r="A95" s="179" t="str">
        <x:v>M09</x:v>
      </x:c>
      <x:c r="B95" s="180" t="str">
        <x:v>数据与状态｜Variable / Binding
Variable Binding</x:v>
      </x:c>
      <x:c r="C95" s="180" t="str">
        <x:v>MVBVariableDefault</x:v>
      </x:c>
      <x:c r="D95" s="179" t="str">
        <x:v>原有·待核</x:v>
      </x:c>
      <x:c r="E95" s="180" t="str">
        <x:v>提供变量Default相关基础操作或类型辅助处理</x:v>
      </x:c>
      <x:c r="F95" s="180" t="str">
        <x:v>BOOL_DEFAULT, BYTE_DEFAULT, INT_DEFAULT, LONG_DEFAULT, DOUBLE_DEFAULT, STRING_DEFAULT</x:v>
      </x:c>
      <x:c r="G95" s="180" t="str">
        <x:v>—(无公开声明或待核对)</x:v>
      </x:c>
      <x:c r="H95" s="180" t="str">
        <x:v>—（待核）</x:v>
      </x:c>
      <x:c r="I95" s="180" t="str">
        <x:v>VariableInterfaces.VariableDefault</x:v>
      </x:c>
      <x:c r="J95" s="179" t="str">
        <x:v>静态类</x:v>
      </x:c>
      <x:c r="K95" s="180" t="str">
        <x:v>V1.19 C-0411；原实施方式：原有。迁移风险：提供变量Default相关基础操作或类型辅助处理</x:v>
      </x:c>
      <x:c r="L95" s="183" t="str">
        <x:v>源代码声明·待复核</x:v>
      </x:c>
      <x:c r="M95" s="183" t="str">
        <x:v>C-0411</x:v>
      </x:c>
      <x:c r="N95" s="184" t="str">
        <x:v>Platform/Variables/Legacy/VariableDefault.cs; Platform/Compatibility/DeviceVariable/VariableInterfaces/VariableDefault.cs</x:v>
      </x:c>
      <x:c r="O95" s="183" t="str">
        <x:v>V1.19旧源码类型（真实成员/实现仍待核）
V2.01：来源ID对应；处置=保留源码·公开契约复核
V7.8：V7.8同名同文件多声明</x:v>
      </x:c>
      <x:c r="P95" s="136" t="str">
        <x:v>V1.19旧源码类型（真实成员/实现仍待核）</x:v>
      </x:c>
    </x:row>
    <x:row r="96" ht="72" customHeight="1">
      <x:c r="A96" s="179" t="str">
        <x:v>M09</x:v>
      </x:c>
      <x:c r="B96" s="180" t="str">
        <x:v>数据与状态｜Variable / Binding
Variable Binding</x:v>
      </x:c>
      <x:c r="C96" s="180" t="str">
        <x:v>MVBVariableDefinitionRequest</x:v>
      </x:c>
      <x:c r="D96" s="179" t="str">
        <x:v>原有·待核</x:v>
      </x:c>
      <x:c r="E96" s="180" t="str">
        <x:v>定义变量定义请求操作所需的请求参数、标识与约束</x:v>
      </x:c>
      <x:c r="F96" s="180" t="str">
        <x:v>Name, Alias, Folder, ProviderId, SourceKind, Path, SourceAddress, ValueType, Access, Unit, Description, Expression, UdtType, stringEnumValues, Minimum, Maximum</x:v>
      </x:c>
      <x:c r="G96" s="180" t="str">
        <x:v>—(无公开声明或待核对)</x:v>
      </x:c>
      <x:c r="H96" s="180" t="str">
        <x:v>—（待核）</x:v>
      </x:c>
      <x:c r="I96" s="180" t="str">
        <x:v>CxVisual.Designer.Application.VariableDefinitionRequest</x:v>
      </x:c>
      <x:c r="J96" s="179" t="str">
        <x:v>类</x:v>
      </x:c>
      <x:c r="K96" s="180" t="str">
        <x:v>V1.19 C-0338；原实施方式：原有。迁移风险：定义变量定义请求操作所需的请求参数、标识与约束</x:v>
      </x:c>
      <x:c r="L96" s="183" t="str">
        <x:v>源代码声明·待复核</x:v>
      </x:c>
      <x:c r="M96" s="183" t="str">
        <x:v>C-0338</x:v>
      </x:c>
      <x:c r="N96" s="184" t="str">
        <x:v>Host/Studio/Application/VariableServices.cs</x:v>
      </x:c>
      <x:c r="O96" s="183" t="str">
        <x:v>V1.19旧源码类型（真实成员/实现仍待核）
V2.01：来源ID对应；处置=保留源码·公开契约复核
V7.8：V7.8同名且源文件对应；Host/Studio/Application/VariableServices.cs</x:v>
      </x:c>
      <x:c r="P96" s="136" t="str">
        <x:v>V1.19旧源码类型（真实成员/实现仍待核）</x:v>
      </x:c>
    </x:row>
    <x:row r="97" ht="72" customHeight="1">
      <x:c r="A97" s="179" t="str">
        <x:v>M09</x:v>
      </x:c>
      <x:c r="B97" s="180" t="str">
        <x:v>数据与状态｜Variable / Binding
Variable Binding</x:v>
      </x:c>
      <x:c r="C97" s="180" t="str">
        <x:v>MVBVariableDependencyGraph</x:v>
      </x:c>
      <x:c r="D97" s="179" t="str">
        <x:v>原有·待核</x:v>
      </x:c>
      <x:c r="E97" s="180" t="str">
        <x:v>表达或管理变量Dependency图结构相关的数据及协作职责，具体行为待源码复核〔待核〕</x:v>
      </x:c>
      <x:c r="F97" s="180" t="str">
        <x:v>VariableIds</x:v>
      </x:c>
      <x:c r="G97" s="180" t="str">
        <x:v>VariableDependencyGraph(IEnumerable&lt;BindingPlan&gt; plans), GetDependents(string variableId)</x:v>
      </x:c>
      <x:c r="H97" s="180" t="str">
        <x:v>—（待核）</x:v>
      </x:c>
      <x:c r="I97" s="180" t="str">
        <x:v>CxVisual.Runtime.Core.VariableDependencyGraph</x:v>
      </x:c>
      <x:c r="J97" s="179" t="str">
        <x:v>类</x:v>
      </x:c>
      <x:c r="K97" s="180" t="str">
        <x:v>V1.19 C-0395；原实施方式：原有。迁移风险：表达或管理变量Dependency图结构相关的数据及协作职责，具体行为待源码复核〔待核〕</x:v>
      </x:c>
      <x:c r="L97" s="183" t="str">
        <x:v>源代码声明·待复核</x:v>
      </x:c>
      <x:c r="M97" s="183" t="str">
        <x:v>C-0395</x:v>
      </x:c>
      <x:c r="N97" s="184" t="str">
        <x:v>Platform/Runtime/BindingRuntime.cs</x:v>
      </x:c>
      <x:c r="O97" s="183" t="str">
        <x:v>V1.19旧源码类型（真实成员/实现仍待核）
V2.01：来源ID对应；处置=保留源码·公开契约复核
V7.8：V7.8同名且源文件对应；Platform/Runtime/BindingRuntime.cs</x:v>
      </x:c>
      <x:c r="P97" s="136" t="str">
        <x:v>V1.19旧源码类型（真实成员/实现仍待核）</x:v>
      </x:c>
    </x:row>
    <x:row r="98" ht="72" customHeight="1">
      <x:c r="A98" s="179" t="str">
        <x:v>M09</x:v>
      </x:c>
      <x:c r="B98" s="180" t="str">
        <x:v>数据与状态｜Variable / Binding
Variable Binding</x:v>
      </x:c>
      <x:c r="C98" s="180" t="str">
        <x:v>MVBVariableDescription</x:v>
      </x:c>
      <x:c r="D98" s="179" t="str">
        <x:v>原有·待核</x:v>
      </x:c>
      <x:c r="E98" s="180" t="str">
        <x:v>表达或管理变量Description相关的数据及协作职责，具体行为待源码复核〔待核〕</x:v>
      </x:c>
      <x:c r="F98" s="180" t="str">
        <x:v>Name, Type, TypeName, Title, EnumType, EnumTypeName, MinValue, MaxValue, IsEnum</x:v>
      </x:c>
      <x:c r="G98" s="180" t="str">
        <x:v>VariableDescription(string name, Type type, double minValue, double maxValue, string title, Type enumType), GetEnumName(int value)</x:v>
      </x:c>
      <x:c r="H98" s="180" t="str">
        <x:v>—（待核）</x:v>
      </x:c>
      <x:c r="I98" s="180" t="str">
        <x:v>VariableInterfaces.VariableDescription</x:v>
      </x:c>
      <x:c r="J98" s="179" t="str">
        <x:v>类</x:v>
      </x:c>
      <x:c r="K98" s="180" t="str">
        <x:v>V1.19 C-0412；原实施方式：原有。迁移风险：表达或管理变量Description相关的数据及协作职责，具体行为待源码复核〔待核〕</x:v>
      </x:c>
      <x:c r="L98" s="183" t="str">
        <x:v>源代码声明·待复核</x:v>
      </x:c>
      <x:c r="M98" s="183" t="str">
        <x:v>C-0412</x:v>
      </x:c>
      <x:c r="N98" s="184" t="str">
        <x:v>Platform/Variables/Legacy/VariableDescription.cs</x:v>
      </x:c>
      <x:c r="O98" s="183" t="str">
        <x:v>V1.19旧源码类型（真实成员/实现仍待核）
V2.01：来源ID对应；处置=保留源码·公开契约复核
V7.8：V7.8同名且源文件对应；Platform/Variables/Legacy/VariableDescription.cs</x:v>
      </x:c>
      <x:c r="P98" s="136" t="str">
        <x:v>V1.19旧源码类型（真实成员/实现仍待核）</x:v>
      </x:c>
    </x:row>
    <x:row r="99" ht="72" customHeight="1">
      <x:c r="A99" s="179" t="str">
        <x:v>M09</x:v>
      </x:c>
      <x:c r="B99" s="180" t="str">
        <x:v>数据与状态｜Variable / Binding
Variable Binding</x:v>
      </x:c>
      <x:c r="C99" s="180" t="str">
        <x:v>MVBVariableDetails</x:v>
      </x:c>
      <x:c r="D99" s="179" t="str">
        <x:v>原有·待核</x:v>
      </x:c>
      <x:c r="E99" s="180" t="str">
        <x:v>表达或管理变量Details相关的数据及协作职责，具体行为待源码复核〔待核〕</x:v>
      </x:c>
      <x:c r="F99" s="180" t="str">
        <x:v>Variable, CurrentValue, Quality, TimestampUtc, SourceDisplay</x:v>
      </x:c>
      <x:c r="G99" s="180" t="str">
        <x:v>—(无公开声明或待核对)</x:v>
      </x:c>
      <x:c r="H99" s="180" t="str">
        <x:v>—（待核）</x:v>
      </x:c>
      <x:c r="I99" s="180" t="str">
        <x:v>CxVisual.Designer.Application.VariableDetails</x:v>
      </x:c>
      <x:c r="J99" s="179" t="str">
        <x:v>类</x:v>
      </x:c>
      <x:c r="K99" s="180" t="str">
        <x:v>V1.19 C-0339；原实施方式：原有。迁移风险：表达或管理变量Details相关的数据及协作职责，具体行为待源码复核〔待核〕</x:v>
      </x:c>
      <x:c r="L99" s="183" t="str">
        <x:v>源代码声明·待复核</x:v>
      </x:c>
      <x:c r="M99" s="183" t="str">
        <x:v>C-0339</x:v>
      </x:c>
      <x:c r="N99" s="184" t="str">
        <x:v>Host/Studio/Application/VariableServices.cs</x:v>
      </x:c>
      <x:c r="O99" s="183" t="str">
        <x:v>V1.19旧源码类型（真实成员/实现仍待核）
V2.01：来源ID对应；处置=保留源码·公开契约复核
V7.8：V7.8同名且源文件对应；Host/Studio/Application/VariableServices.cs</x:v>
      </x:c>
      <x:c r="P99" s="136" t="str">
        <x:v>V1.19旧源码类型（真实成员/实现仍待核）</x:v>
      </x:c>
    </x:row>
    <x:row r="100" ht="72" customHeight="1">
      <x:c r="A100" s="179" t="str">
        <x:v>M09</x:v>
      </x:c>
      <x:c r="B100" s="180" t="str">
        <x:v>数据与状态｜Variable / Binding
Variable Binding</x:v>
      </x:c>
      <x:c r="C100" s="180" t="str">
        <x:v>MVBVariableDetailsWindow</x:v>
      </x:c>
      <x:c r="D100" s="179" t="str">
        <x:v>原有·待核</x:v>
      </x:c>
      <x:c r="E100" s="180" t="str">
        <x:v>表达或管理变量Details窗口相关的数据及协作职责，具体行为待源码复核〔待核〕</x:v>
      </x:c>
      <x:c r="F100" s="180" t="str">
        <x:v>—（无公开声明或待核对）</x:v>
      </x:c>
      <x:c r="G100" s="180" t="str">
        <x:v>VariableDetailsWindow(VariableDetails details)</x:v>
      </x:c>
      <x:c r="H100" s="180" t="str">
        <x:v>—（待核）</x:v>
      </x:c>
      <x:c r="I100" s="180" t="str">
        <x:v>CxVisual.Designer.Wpf.VariableDetailsWindow</x:v>
      </x:c>
      <x:c r="J100" s="179" t="str">
        <x:v>类</x:v>
      </x:c>
      <x:c r="K100" s="180" t="str">
        <x:v>V1.19 C-0347；原实施方式：原有。迁移风险：表达或管理变量Details窗口相关的数据及协作职责，具体行为待源码复核〔待核〕</x:v>
      </x:c>
      <x:c r="L100" s="183" t="str">
        <x:v>源代码声明·待复核</x:v>
      </x:c>
      <x:c r="M100" s="183" t="str">
        <x:v>C-0347</x:v>
      </x:c>
      <x:c r="N100" s="184" t="str">
        <x:v>Host/Studio/Wpf/M3Editors.cs</x:v>
      </x:c>
      <x:c r="O100" s="183" t="str">
        <x:v>V1.19旧源码类型（真实成员/实现仍待核）
V2.01：来源ID对应；处置=保留源码·公开契约复核
V7.8：V7.8同名且源文件对应；Host/Studio/Wpf/M3Editors.cs</x:v>
      </x:c>
      <x:c r="P100" s="136" t="str">
        <x:v>V1.19旧源码类型（真实成员/实现仍待核）</x:v>
      </x:c>
    </x:row>
    <x:row r="101" ht="72" customHeight="1">
      <x:c r="A101" s="179" t="str">
        <x:v>M09</x:v>
      </x:c>
      <x:c r="B101" s="180" t="str">
        <x:v>数据与状态｜Variable / Binding
Variable Binding</x:v>
      </x:c>
      <x:c r="C101" s="180" t="str">
        <x:v>MVBVariableEditorWindow</x:v>
      </x:c>
      <x:c r="D101" s="179" t="str">
        <x:v>原有·待核</x:v>
      </x:c>
      <x:c r="E101" s="180" t="str">
        <x:v>表达或管理变量编辑器窗口相关的数据及协作职责，具体行为待源码复核〔待核〕</x:v>
      </x:c>
      <x:c r="F101" s="180" t="str">
        <x:v>Request</x:v>
      </x:c>
      <x:c r="G101" s="180" t="str">
        <x:v>VariableEditorWindow(VariableReference existing = null), stringSplit(string value), TryNullableDouble(string value, out double? result), Text(string value = null), Choice(params objectvalues), Add(Panel panel, string label, Control editor, string hint = null), Buttons(Action accept, Action cancel), Warn(string message)</x:v>
      </x:c>
      <x:c r="H101" s="180" t="str">
        <x:v>—（待核）</x:v>
      </x:c>
      <x:c r="I101" s="180" t="str">
        <x:v>CxVisual.Designer.Wpf.VariableEditorWindow</x:v>
      </x:c>
      <x:c r="J101" s="179" t="str">
        <x:v>类</x:v>
      </x:c>
      <x:c r="K101" s="180" t="str">
        <x:v>V1.19 C-0348；原实施方式：原有。迁移风险：表达或管理变量编辑器窗口相关的数据及协作职责，具体行为待源码复核〔待核〕</x:v>
      </x:c>
      <x:c r="L101" s="183" t="str">
        <x:v>源代码声明·待复核</x:v>
      </x:c>
      <x:c r="M101" s="183" t="str">
        <x:v>C-0348</x:v>
      </x:c>
      <x:c r="N101" s="184" t="str">
        <x:v>Host/Studio/Wpf/M3Editors.cs</x:v>
      </x:c>
      <x:c r="O101" s="183" t="str">
        <x:v>V1.19旧源码类型（真实成员/实现仍待核）
V2.01：来源ID对应；处置=保留源码·公开契约复核
V7.8：V7.8同名且源文件对应；Host/Studio/Wpf/M3Editors.cs</x:v>
      </x:c>
      <x:c r="P101" s="136" t="str">
        <x:v>V1.19旧源码类型（真实成员/实现仍待核）</x:v>
      </x:c>
    </x:row>
    <x:row r="102" ht="72" customHeight="1">
      <x:c r="A102" s="179" t="str">
        <x:v>M09</x:v>
      </x:c>
      <x:c r="B102" s="180" t="str">
        <x:v>数据与状态｜Variable / Binding
Variable Binding</x:v>
      </x:c>
      <x:c r="C102" s="180" t="str">
        <x:v>MVBVariableEntry</x:v>
      </x:c>
      <x:c r="D102" s="179" t="str">
        <x:v>原有·待核</x:v>
      </x:c>
      <x:c r="E102" s="180" t="str">
        <x:v>表达或管理变量Entry相关的数据及协作职责，具体行为待源码复核〔待核〕</x:v>
      </x:c>
      <x:c r="F102" s="180" t="str">
        <x:v>UpdateId, DeviceName, VariableName, ChangeType</x:v>
      </x:c>
      <x:c r="G102" s="180" t="str">
        <x:v>—(无公开声明或待核对)</x:v>
      </x:c>
      <x:c r="H102" s="180" t="str">
        <x:v>—（待核）</x:v>
      </x:c>
      <x:c r="I102" s="180" t="str">
        <x:v>VariableInterfaces.VariableEntry</x:v>
      </x:c>
      <x:c r="J102" s="179" t="str">
        <x:v>结构体</x:v>
      </x:c>
      <x:c r="K102" s="180" t="str">
        <x:v>V1.19 C-0413；原实施方式：原有。迁移风险：表达或管理变量Entry相关的数据及协作职责，具体行为待源码复核〔待核〕</x:v>
      </x:c>
      <x:c r="L102" s="183" t="str">
        <x:v>源代码声明·待复核</x:v>
      </x:c>
      <x:c r="M102" s="183" t="str">
        <x:v>C-0413</x:v>
      </x:c>
      <x:c r="N102" s="184" t="str">
        <x:v>Platform/Variables/Legacy/VariableManager.cs; Platform/Compatibility/DeviceVariable/VariableInterfaces/VariableManager.cs</x:v>
      </x:c>
      <x:c r="O102" s="183" t="str">
        <x:v>V1.19旧源码类型（真实成员/实现仍待核）
V2.01：来源ID对应；处置=保留源码·公开契约复核
V7.8：V7.8同名同文件多声明</x:v>
      </x:c>
      <x:c r="P102" s="136" t="str">
        <x:v>V1.19旧源码类型（真实成员/实现仍待核）</x:v>
      </x:c>
    </x:row>
    <x:row r="103" ht="72" customHeight="1">
      <x:c r="A103" s="179" t="str">
        <x:v>M09</x:v>
      </x:c>
      <x:c r="B103" s="180" t="str">
        <x:v>数据与状态｜Variable / Binding
Variable Binding</x:v>
      </x:c>
      <x:c r="C103" s="180" t="str">
        <x:v>MVBVariableEvaluatorManager</x:v>
      </x:c>
      <x:c r="D103" s="179" t="str">
        <x:v>原有·待核</x:v>
      </x:c>
      <x:c r="E103" s="180" t="str">
        <x:v>维护变量Evaluator管理器运行资源或状态的创建、管理和释放</x:v>
      </x:c>
      <x:c r="F103" s="180" t="str">
        <x:v>EQ, GTE, LTE, ORE, CRE, LORC, ROLS, CONTAINS, STARTSWITH, ENDSWITH, EQUALS</x:v>
      </x:c>
      <x:c r="G103" s="180" t="str">
        <x:v>IVariableEvaluator(string evaluatorName, TValue value), IVariableEvaluator(string evaluatorName, TValue value1, TValue value2), CreateEvaluatorString1(string evaluatorName, string value)</x:v>
      </x:c>
      <x:c r="H103" s="180" t="str">
        <x:v>—（待核）</x:v>
      </x:c>
      <x:c r="I103" s="180" t="str">
        <x:v>VariableInterfaces.VariableEvaluatorManager</x:v>
      </x:c>
      <x:c r="J103" s="179" t="str">
        <x:v>静态类</x:v>
      </x:c>
      <x:c r="K103" s="180" t="str">
        <x:v>V1.19 C-0414；原实施方式：原有。迁移风险：维护变量Evaluator管理器运行资源或状态的创建、管理和释放</x:v>
      </x:c>
      <x:c r="L103" s="183" t="str">
        <x:v>源代码声明·待复核</x:v>
      </x:c>
      <x:c r="M103" s="183" t="str">
        <x:v>C-0414</x:v>
      </x:c>
      <x:c r="N103" s="184" t="str">
        <x:v>Platform/Variables/Legacy/VariableEvaluator.cs; Platform/Compatibility/DeviceVariable/VariableInterfaces/VariableEvaluator.cs</x:v>
      </x:c>
      <x:c r="O103" s="183" t="str">
        <x:v>V1.19旧源码类型（真实成员/实现仍待核）
V2.01：来源ID对应；处置=保留源码·公开契约复核
V7.8：V7.8同名同文件多声明</x:v>
      </x:c>
      <x:c r="P103" s="136" t="str">
        <x:v>V1.19旧源码类型（真实成员/实现仍待核）</x:v>
      </x:c>
    </x:row>
    <x:row r="104" ht="72" customHeight="1">
      <x:c r="A104" s="179" t="str">
        <x:v>M09</x:v>
      </x:c>
      <x:c r="B104" s="180" t="str">
        <x:v>数据与状态｜Variable / Binding
Variable Binding</x:v>
      </x:c>
      <x:c r="C104" s="180" t="str">
        <x:v>MVBVariableGroup</x:v>
      </x:c>
      <x:c r="D104" s="179" t="str">
        <x:v>原有·待核</x:v>
      </x:c>
      <x:c r="E104" s="180" t="str">
        <x:v>表达或管理变量分组相关的数据及协作职责，具体行为待源码复核〔待核〕</x:v>
      </x:c>
      <x:c r="F104" s="180" t="str">
        <x:v>IsRoot, Children</x:v>
      </x:c>
      <x:c r="G104" s="180" t="str">
        <x:v>VariableGroup(string name, string variableId = null), Add(VariableNode child), Remove(VariableNode child), Attach(VariableNode child), Detach(VariableNode child)</x:v>
      </x:c>
      <x:c r="H104" s="180" t="str">
        <x:v>—（待核）</x:v>
      </x:c>
      <x:c r="I104" s="180" t="str">
        <x:v>CxVisual.Platform.Variables.VariableGroup</x:v>
      </x:c>
      <x:c r="J104" s="179" t="str">
        <x:v>类</x:v>
      </x:c>
      <x:c r="K104" s="180" t="str">
        <x:v>V1.19 C-0370；原实施方式：原有。迁移风险：表达或管理变量分组相关的数据及协作职责，具体行为待源码复核〔待核〕</x:v>
      </x:c>
      <x:c r="L104" s="183" t="str">
        <x:v>源代码声明·待复核</x:v>
      </x:c>
      <x:c r="M104" s="183" t="str">
        <x:v>C-0370</x:v>
      </x:c>
      <x:c r="N104" s="184" t="str">
        <x:v>Platform/Variables/VariableNode.cs</x:v>
      </x:c>
      <x:c r="O104" s="183" t="str">
        <x:v>V1.19旧源码类型（真实成员/实现仍待核）
V2.01：来源ID对应；处置=保留源码·公开契约复核
V7.8：V7.8同名且源文件对应；Platform/Variables/VariableNode.cs</x:v>
      </x:c>
      <x:c r="P104" s="136" t="str">
        <x:v>V1.19旧源码类型（真实成员/实现仍待核）</x:v>
      </x:c>
    </x:row>
    <x:row r="105" ht="72" customHeight="1">
      <x:c r="A105" s="179" t="str">
        <x:v>M09</x:v>
      </x:c>
      <x:c r="B105" s="180" t="str">
        <x:v>数据与状态｜Variable / Binding
Variable Binding</x:v>
      </x:c>
      <x:c r="C105" s="180" t="str">
        <x:v>MVBVariableIdentity</x:v>
      </x:c>
      <x:c r="D105" s="179" t="str">
        <x:v>原有·待核</x:v>
      </x:c>
      <x:c r="E105" s="180" t="str">
        <x:v>生成变量在工程或多实例环境中的稳定身份</x:v>
      </x:c>
      <x:c r="F105" s="180" t="str">
        <x:v>—（无公开声明或待核对）</x:v>
      </x:c>
      <x:c r="G105" s="180" t="str">
        <x:v>CreateStableId(params stringidentityParts)</x:v>
      </x:c>
      <x:c r="H105" s="180" t="str">
        <x:v>—（待核）</x:v>
      </x:c>
      <x:c r="I105" s="180" t="str">
        <x:v>CxVisual.Platform.Variables.VariableIdentity</x:v>
      </x:c>
      <x:c r="J105" s="179" t="str">
        <x:v>静态类</x:v>
      </x:c>
      <x:c r="K105" s="180" t="str">
        <x:v>V1.19 C-0371；原实施方式：原有。迁移风险：生成变量在工程或多实例环境中的稳定身份</x:v>
      </x:c>
      <x:c r="L105" s="183" t="str">
        <x:v>源代码声明·待复核</x:v>
      </x:c>
      <x:c r="M105" s="183" t="str">
        <x:v>C-0371</x:v>
      </x:c>
      <x:c r="N105" s="184" t="str">
        <x:v>Platform/Variables/VariableIdentity.cs</x:v>
      </x:c>
      <x:c r="O105" s="183" t="str">
        <x:v>V1.19旧源码类型（真实成员/实现仍待核）
V2.01：来源ID对应；处置=保留源码·公开契约复核
V7.8：V7.8同名且源文件对应；Platform/Variables/VariableIdentity.cs</x:v>
      </x:c>
      <x:c r="P105" s="136" t="str">
        <x:v>V1.19旧源码类型（真实成员/实现仍待核）</x:v>
      </x:c>
    </x:row>
    <x:row r="106" ht="72" customHeight="1">
      <x:c r="A106" s="179" t="str">
        <x:v>M09</x:v>
      </x:c>
      <x:c r="B106" s="180" t="str">
        <x:v>数据与状态｜Variable / Binding
Variable Binding</x:v>
      </x:c>
      <x:c r="C106" s="180" t="str">
        <x:v>MVBVariableImportAction</x:v>
      </x:c>
      <x:c r="D106" s="179" t="str">
        <x:v>原有·待核</x:v>
      </x:c>
      <x:c r="E106" s="180" t="str">
        <x:v>定义变量ImportAction的候选取值、状态或模式，供相关流程作分支判断</x:v>
      </x:c>
      <x:c r="F106" s="180" t="str">
        <x:v>枚举值：Add, Update, Unchanged, Conflict</x:v>
      </x:c>
      <x:c r="G106" s="180" t="str">
        <x:v>—(无公开声明或待核对)</x:v>
      </x:c>
      <x:c r="H106" s="180" t="str">
        <x:v>—（待核）</x:v>
      </x:c>
      <x:c r="I106" s="180" t="str">
        <x:v>CxVisual.Designer.Application.VariableImportAction</x:v>
      </x:c>
      <x:c r="J106" s="179" t="str">
        <x:v>枚举</x:v>
      </x:c>
      <x:c r="K106" s="180" t="str">
        <x:v>V1.19 C-0340；原实施方式：原有。迁移风险：定义变量ImportAction的候选取值、状态或模式，供相关流程作分支判断</x:v>
      </x:c>
      <x:c r="L106" s="183" t="str">
        <x:v>源代码声明·待复核</x:v>
      </x:c>
      <x:c r="M106" s="183" t="str">
        <x:v>C-0340</x:v>
      </x:c>
      <x:c r="N106" s="184" t="str">
        <x:v>Host/Studio/Application/VariableProviderImportService.cs</x:v>
      </x:c>
      <x:c r="O106" s="183" t="str">
        <x:v>V1.19旧源码类型（真实成员/实现仍待核）
V2.01：来源ID对应；处置=保留源码·公开契约复核
V7.8：V7.8同名且源文件对应；Host/Studio/Application/VariableProviderImportService.cs</x:v>
      </x:c>
      <x:c r="P106" s="136" t="str">
        <x:v>V1.19旧源码类型（真实成员/实现仍待核）</x:v>
      </x:c>
    </x:row>
    <x:row r="107" ht="72" customHeight="1">
      <x:c r="A107" s="179" t="str">
        <x:v>M09</x:v>
      </x:c>
      <x:c r="B107" s="180" t="str">
        <x:v>数据与状态｜Variable / Binding
Variable Binding</x:v>
      </x:c>
      <x:c r="C107" s="180" t="str">
        <x:v>MVBVariableInfo&lt;TValue&gt;</x:v>
      </x:c>
      <x:c r="D107" s="179" t="str">
        <x:v>原有·待核</x:v>
      </x:c>
      <x:c r="E107" s="180" t="str">
        <x:v>表达或管理变量InfoT值相关的数据及协作职责，具体行为待源码复核〔待核〕</x:v>
      </x:c>
      <x:c r="F107" s="180" t="str">
        <x:v>—（无公开声明或待核对）</x:v>
      </x:c>
      <x:c r="G107" s="180" t="str">
        <x:v>VariableInfo(string name, TValue value, long lastUpdated = 0, bool hasInitialValue = true, string variableId = null)</x:v>
      </x:c>
      <x:c r="H107" s="180" t="str">
        <x:v>—（待核）</x:v>
      </x:c>
      <x:c r="I107" s="180" t="str">
        <x:v>VariableInterfaces.VariableInfo&lt;TValue&gt;</x:v>
      </x:c>
      <x:c r="J107" s="179" t="str">
        <x:v>类</x:v>
      </x:c>
      <x:c r="K107" s="180" t="str">
        <x:v>V1.19 C-0415；原实施方式：原有。迁移风险：表达或管理变量InfoT值相关的数据及协作职责，具体行为待源码复核〔待核〕</x:v>
      </x:c>
      <x:c r="L107" s="183" t="str">
        <x:v>源代码声明·待复核</x:v>
      </x:c>
      <x:c r="M107" s="183" t="str">
        <x:v>C-0415</x:v>
      </x:c>
      <x:c r="N107" s="184" t="str">
        <x:v>D:\cyg\cx-visual-x2\Platform\Variables\Legacy\VariableInfo.cs:18</x:v>
      </x:c>
      <x:c r="O107" s="183" t="str">
        <x:v>V1.19旧源码类型（真实成员/实现仍待核）
V2.01：来源ID对应；处置=保留源码·公开契约复核
V7.8：V7.8未检出同名词法声明</x:v>
      </x:c>
      <x:c r="P107" s="136" t="str">
        <x:v>V1.19旧源码类型（真实成员/实现仍待核）</x:v>
      </x:c>
    </x:row>
    <x:row r="108" ht="135" customHeight="1">
      <x:c r="A108" s="179" t="str">
        <x:v>M09</x:v>
      </x:c>
      <x:c r="B108" s="180" t="str">
        <x:v>数据与状态｜Variable / Binding
Variable Binding</x:v>
      </x:c>
      <x:c r="C108" s="180" t="str">
        <x:v>MVBVariableManager</x:v>
      </x:c>
      <x:c r="D108" s="179" t="str">
        <x:v>原有·待核</x:v>
      </x:c>
      <x:c r="E108" s="180" t="str">
        <x:v>维护变量管理器运行资源或状态的创建、管理和释放</x:v>
      </x:c>
      <x:c r="F108" s="180" t="str">
        <x:v>OnVariableChanged, TotalNotificationsReceived, TotalNotificationsSent, TotalNotificationsSent2</x:v>
      </x:c>
      <x:c r="G108" s="180" t="str">
        <x:v>Run(), Stop(), PushUpdate(string deviceName, string variableName, VariableChangeType changeType), FindVariableTable(string deviceName), GetVariableTable(string deviceName), AddVariableTable(string deviceName, VariableTable table), HasVariableTable(string deviceName), RemoveVariableTable(string deviceName), ClearAllVariableTables(), GetVariableValue(string deviceName, string variableName), TryGetVariableValue(string deviceName, string variableName, out TValue value), static(TValue, long), TryGetVariableValue2(string deviceName, string variableName, out TValue value, out long lastUpdated), static(TValue, long, bool), TryGetVariableValue3(string deviceName, string variableName, out TValue value, out long lastUpdated, out bool hasInitialValue)</x:v>
      </x:c>
      <x:c r="H108" s="180" t="str">
        <x:v>—（待核）</x:v>
      </x:c>
      <x:c r="I108" s="180" t="str">
        <x:v>VariableInterfaces.VariableManager</x:v>
      </x:c>
      <x:c r="J108" s="179" t="str">
        <x:v>类</x:v>
      </x:c>
      <x:c r="K108" s="180" t="str">
        <x:v>V1.19 C-0416；原实施方式：原有。迁移风险：维护变量管理器运行资源或状态的创建、管理和释放</x:v>
      </x:c>
      <x:c r="L108" s="183" t="str">
        <x:v>源代码声明·待复核</x:v>
      </x:c>
      <x:c r="M108" s="183" t="str">
        <x:v>C-0416</x:v>
      </x:c>
      <x:c r="N108" s="184" t="str">
        <x:v>Platform/Variables/Legacy/VariableManager.cs; Platform/Compatibility/DeviceVariable/VariableInterfaces/VariableManager.cs</x:v>
      </x:c>
      <x:c r="O108" s="183" t="str">
        <x:v>V1.19旧源码类型（真实成员/实现仍待核）
V2.01：来源ID对应；处置=保留源码·公开契约复核
V7.8：V7.8同名同文件多声明</x:v>
      </x:c>
      <x:c r="P108" s="136" t="str">
        <x:v>V1.19旧源码类型（真实成员/实现仍待核）</x:v>
      </x:c>
    </x:row>
    <x:row r="109" ht="72" customHeight="1">
      <x:c r="A109" s="179" t="str">
        <x:v>M09</x:v>
      </x:c>
      <x:c r="B109" s="180" t="str">
        <x:v>数据与状态｜Variable / Binding
Variable Binding</x:v>
      </x:c>
      <x:c r="C109" s="180" t="str">
        <x:v>MVBVariableManagerState</x:v>
      </x:c>
      <x:c r="D109" s="179" t="str">
        <x:v>原有·待核</x:v>
      </x:c>
      <x:c r="E109" s="180" t="str">
        <x:v>表示变量管理器状态当前运行状态和必要的状态转换数据</x:v>
      </x:c>
      <x:c r="F109" s="180" t="str">
        <x:v>Registry, VariableChanged, TotalNotificationsReceived, TotalNotificationsSent, TotalNotificationsSent2</x:v>
      </x:c>
      <x:c r="G109" s="180" t="str">
        <x:v>Run(), Stop(), PushUpdate(VariableTable table, string variableName, VariableChangeType changeType), FindVariableTable(string deviceName), GetRequiredTable(string deviceName), AddVariableTable(string deviceName, VariableTable table, string parentId), HasVariableTable(string deviceName), RemoveVariableTable(string deviceName), ClearAllVariableTables(), AddGroup(string name, string parentId, string variableId, string ownerRef)</x:v>
      </x:c>
      <x:c r="H109" s="180" t="str">
        <x:v>—（待核）</x:v>
      </x:c>
      <x:c r="I109" s="180" t="str">
        <x:v>VariableInterfaces.VariableManager.VariableManagerState</x:v>
      </x:c>
      <x:c r="J109" s="179" t="str">
        <x:v>类</x:v>
      </x:c>
      <x:c r="K109" s="180" t="str">
        <x:v>V1.19 C-0417；原实施方式：原有。迁移风险：表示变量管理器状态当前运行状态和必要的状态转换数据</x:v>
      </x:c>
      <x:c r="L109" s="183" t="str">
        <x:v>源代码声明·待复核</x:v>
      </x:c>
      <x:c r="M109" s="183" t="str">
        <x:v>C-0417</x:v>
      </x:c>
      <x:c r="N109" s="184" t="str">
        <x:v>Platform/Variables/Legacy/VariableManager.cs</x:v>
      </x:c>
      <x:c r="O109" s="183" t="str">
        <x:v>V1.19旧源码类型（真实成员/实现仍待核）
V2.01：来源ID对应；处置=保留源码·公开契约复核
V7.8：V7.8同名且源文件对应；Platform/Variables/Legacy/VariableManager.cs</x:v>
      </x:c>
      <x:c r="P109" s="136" t="str">
        <x:v>V1.19旧源码类型（真实成员/实现仍待核）</x:v>
      </x:c>
    </x:row>
    <x:row r="110" ht="72" customHeight="1">
      <x:c r="A110" s="179" t="str">
        <x:v>M09</x:v>
      </x:c>
      <x:c r="B110" s="180" t="str">
        <x:v>数据与状态｜Variable / Binding
Variable Binding</x:v>
      </x:c>
      <x:c r="C110" s="180" t="str">
        <x:v>MVBVariableMetadata</x:v>
      </x:c>
      <x:c r="D110" s="179" t="str">
        <x:v>原有·待核</x:v>
      </x:c>
      <x:c r="E110" s="180" t="str">
        <x:v>承载变量元数据的描述性元数据及扩展信息</x:v>
      </x:c>
      <x:c r="F110" s="180" t="str">
        <x:v>Id, ProviderIdentityKey, ProviderId, Name, Alias, Path, Address, ValueType, Unit, Description, Access, Minimum, Maximum, EnumValues</x:v>
      </x:c>
      <x:c r="G110" s="180" t="str">
        <x:v>—(无公开声明或待核对)</x:v>
      </x:c>
      <x:c r="H110" s="180" t="str">
        <x:v>—（待核）</x:v>
      </x:c>
      <x:c r="I110" s="180" t="str">
        <x:v>CxVisual.Abstractions.VariableMetadata</x:v>
      </x:c>
      <x:c r="J110" s="179" t="str">
        <x:v>类</x:v>
      </x:c>
      <x:c r="K110" s="180" t="str">
        <x:v>V1.19 C-0310；原实施方式：原有。迁移风险：承载变量元数据的描述性元数据及扩展信息</x:v>
      </x:c>
      <x:c r="L110" s="183" t="str">
        <x:v>源代码声明·待复核</x:v>
      </x:c>
      <x:c r="M110" s="183" t="str">
        <x:v>C-0310</x:v>
      </x:c>
      <x:c r="N110" s="184" t="str">
        <x:v>Platform/Core/Abstractions/Variables.cs</x:v>
      </x:c>
      <x:c r="O110" s="183" t="str">
        <x:v>V1.19旧源码类型（真实成员/实现仍待核）
V2.01：来源ID对应；处置=保留源码·公开契约复核
V7.8：V7.8同名且源文件对应；Platform/Core/Abstractions/Variables.cs</x:v>
      </x:c>
      <x:c r="P110" s="136" t="str">
        <x:v>V1.19旧源码类型（真实成员/实现仍待核）</x:v>
      </x:c>
    </x:row>
    <x:row r="111" ht="72" customHeight="1">
      <x:c r="A111" s="179" t="str">
        <x:v>M09</x:v>
      </x:c>
      <x:c r="B111" s="180" t="str">
        <x:v>数据与状态｜Variable / Binding
Variable Binding</x:v>
      </x:c>
      <x:c r="C111" s="180" t="str">
        <x:v>MVBVariableNode</x:v>
      </x:c>
      <x:c r="D111" s="179" t="str">
        <x:v>原有·待核</x:v>
      </x:c>
      <x:c r="E111" s="180" t="str">
        <x:v>表达或管理变量节点相关的数据及协作职责，具体行为待源码复核〔待核〕</x:v>
      </x:c>
      <x:c r="F111" s="180" t="str">
        <x:v>VariableId, Name, Parent, ParentId, VariablePath, OwnerRef, Tags, Registry</x:v>
      </x:c>
      <x:c r="G111" s="180" t="str">
        <x:v>VariableNode(string name, string variableId = null), AddTag(string tag), RemoveTag(string tag), HasTag(string tag), Rename(string newName), ValidateName(string value, string parameterName)</x:v>
      </x:c>
      <x:c r="H111" s="180" t="str">
        <x:v>—（待核）</x:v>
      </x:c>
      <x:c r="I111" s="180" t="str">
        <x:v>CxVisual.Platform.Variables.VariableNode</x:v>
      </x:c>
      <x:c r="J111" s="179" t="str">
        <x:v>类</x:v>
      </x:c>
      <x:c r="K111" s="180" t="str">
        <x:v>V1.19 C-0372；原实施方式：原有。迁移风险：表达或管理变量节点相关的数据及协作职责，具体行为待源码复核〔待核〕</x:v>
      </x:c>
      <x:c r="L111" s="183" t="str">
        <x:v>源代码声明·待复核</x:v>
      </x:c>
      <x:c r="M111" s="183" t="str">
        <x:v>C-0372</x:v>
      </x:c>
      <x:c r="N111" s="184" t="str">
        <x:v>Platform/Variables/VariableNode.cs; Platform/Runtime/RestrictedExpression.cs</x:v>
      </x:c>
      <x:c r="O111" s="183" t="str">
        <x:v>V1.19旧源码类型（真实成员/实现仍待核）
V2.01：来源ID对应；处置=保留源码·公开契约复核
V7.8：V7.8同名且源文件对应；Platform/Variables/VariableNode.cs</x:v>
      </x:c>
      <x:c r="P111" s="136" t="str">
        <x:v>V1.19旧源码类型（真实成员/实现仍待核）</x:v>
      </x:c>
    </x:row>
    <x:row r="112" ht="72" customHeight="1">
      <x:c r="A112" s="179" t="str">
        <x:v>M09</x:v>
      </x:c>
      <x:c r="B112" s="180" t="str">
        <x:v>数据与状态｜Variable / Binding
Variable Binding</x:v>
      </x:c>
      <x:c r="C112" s="180" t="str">
        <x:v>MVBVariableProviderImportItem</x:v>
      </x:c>
      <x:c r="D112" s="179" t="str">
        <x:v>原有·待核</x:v>
      </x:c>
      <x:c r="E112" s="180" t="str">
        <x:v>表达或管理变量提供器ImportItem相关的数据及协作职责，具体行为待源码复核〔待核〕</x:v>
      </x:c>
      <x:c r="F112" s="180" t="str">
        <x:v>Metadata, Action, Message, Existing, Proposed</x:v>
      </x:c>
      <x:c r="G112" s="180" t="str">
        <x:v>—(无公开声明或待核对)</x:v>
      </x:c>
      <x:c r="H112" s="180" t="str">
        <x:v>—（待核）</x:v>
      </x:c>
      <x:c r="I112" s="180" t="str">
        <x:v>CxVisual.Designer.Application.VariableProviderImportItem</x:v>
      </x:c>
      <x:c r="J112" s="179" t="str">
        <x:v>类</x:v>
      </x:c>
      <x:c r="K112" s="180" t="str">
        <x:v>V1.19 C-0341；原实施方式：原有。迁移风险：表达或管理变量提供器ImportItem相关的数据及协作职责，具体行为待源码复核〔待核〕</x:v>
      </x:c>
      <x:c r="L112" s="183" t="str">
        <x:v>源代码声明·待复核</x:v>
      </x:c>
      <x:c r="M112" s="183" t="str">
        <x:v>C-0341</x:v>
      </x:c>
      <x:c r="N112" s="184" t="str">
        <x:v>Host/Studio/Application/VariableProviderImportService.cs</x:v>
      </x:c>
      <x:c r="O112" s="183" t="str">
        <x:v>V1.19旧源码类型（真实成员/实现仍待核）
V2.01：来源ID对应；处置=保留源码·公开契约复核
V7.8：V7.8同名且源文件对应；Host/Studio/Application/VariableProviderImportService.cs</x:v>
      </x:c>
      <x:c r="P112" s="136" t="str">
        <x:v>V1.19旧源码类型（真实成员/实现仍待核）</x:v>
      </x:c>
    </x:row>
    <x:row r="113" ht="72" customHeight="1">
      <x:c r="A113" s="179" t="str">
        <x:v>M09</x:v>
      </x:c>
      <x:c r="B113" s="180" t="str">
        <x:v>数据与状态｜Variable / Binding
Variable Binding</x:v>
      </x:c>
      <x:c r="C113" s="180" t="str">
        <x:v>MVBVariableProviderImportPlan</x:v>
      </x:c>
      <x:c r="D113" s="179" t="str">
        <x:v>原有·待核</x:v>
      </x:c>
      <x:c r="E113" s="180" t="str">
        <x:v>承载变量提供器Import计划解析或编译后的任务、顺序与资源安排</x:v>
      </x:c>
      <x:c r="F113" s="180" t="str">
        <x:v>Items, CanCommit</x:v>
      </x:c>
      <x:c r="G113" s="180" t="str">
        <x:v>VariableProviderImportPlan(IEnumerable&lt;VariableProviderImportItem&gt; items)</x:v>
      </x:c>
      <x:c r="H113" s="180" t="str">
        <x:v>—（待核）</x:v>
      </x:c>
      <x:c r="I113" s="180" t="str">
        <x:v>CxVisual.Designer.Application.VariableProviderImportPlan</x:v>
      </x:c>
      <x:c r="J113" s="179" t="str">
        <x:v>类</x:v>
      </x:c>
      <x:c r="K113" s="180" t="str">
        <x:v>V1.19 C-0342；原实施方式：原有。迁移风险：承载变量提供器Import计划解析或编译后的任务、顺序与资源安排</x:v>
      </x:c>
      <x:c r="L113" s="183" t="str">
        <x:v>源代码声明·待复核</x:v>
      </x:c>
      <x:c r="M113" s="183" t="str">
        <x:v>C-0342</x:v>
      </x:c>
      <x:c r="N113" s="184" t="str">
        <x:v>Host/Studio/Application/VariableProviderImportService.cs</x:v>
      </x:c>
      <x:c r="O113" s="183" t="str">
        <x:v>V1.19旧源码类型（真实成员/实现仍待核）
V2.01：来源ID对应；处置=保留源码·公开契约复核
V7.8：V7.8同名且源文件对应；Host/Studio/Application/VariableProviderImportService.cs</x:v>
      </x:c>
      <x:c r="P113" s="136" t="str">
        <x:v>V1.19旧源码类型（真实成员/实现仍待核）</x:v>
      </x:c>
    </x:row>
    <x:row r="114" ht="72" customHeight="1">
      <x:c r="A114" s="179" t="str">
        <x:v>M09</x:v>
      </x:c>
      <x:c r="B114" s="180" t="str">
        <x:v>数据与状态｜Variable / Binding
Variable Binding</x:v>
      </x:c>
      <x:c r="C114" s="180" t="str">
        <x:v>MVBVariableProviderImportService</x:v>
      </x:c>
      <x:c r="D114" s="179" t="str">
        <x:v>原有·待核</x:v>
      </x:c>
      <x:c r="E114" s="180" t="str">
        <x:v>封装变量提供器Import服务通用服务操作及其生命周期边界</x:v>
      </x:c>
      <x:c r="F114" s="180" t="str">
        <x:v>—（无公开声明或待核对）</x:v>
      </x:c>
      <x:c r="G114" s="180" t="str">
        <x:v>Preview(ProjectModel project, IVariableProvider provider), Commit(DesignerDocument document, VariableProviderImportPlan plan)</x:v>
      </x:c>
      <x:c r="H114" s="180" t="str">
        <x:v>—（待核）</x:v>
      </x:c>
      <x:c r="I114" s="180" t="str">
        <x:v>CxVisual.Designer.Application.VariableProviderImportService</x:v>
      </x:c>
      <x:c r="J114" s="179" t="str">
        <x:v>类</x:v>
      </x:c>
      <x:c r="K114" s="180" t="str">
        <x:v>V1.19 C-0343；原实施方式：原有。迁移风险：封装变量提供器Import服务通用服务操作及其生命周期边界</x:v>
      </x:c>
      <x:c r="L114" s="183" t="str">
        <x:v>源代码声明·待复核</x:v>
      </x:c>
      <x:c r="M114" s="183" t="str">
        <x:v>C-0343</x:v>
      </x:c>
      <x:c r="N114" s="184" t="str">
        <x:v>Host/Studio/Application/VariableProviderImportService.cs</x:v>
      </x:c>
      <x:c r="O114" s="183" t="str">
        <x:v>V1.19旧源码类型（真实成员/实现仍待核）
V2.01：来源ID对应；处置=保留源码·公开契约复核
V7.8：V7.8同名且源文件对应；Host/Studio/Application/VariableProviderImportService.cs</x:v>
      </x:c>
      <x:c r="P114" s="136" t="str">
        <x:v>V1.19旧源码类型（真实成员/实现仍待核）</x:v>
      </x:c>
    </x:row>
    <x:row r="115" ht="72" customHeight="1">
      <x:c r="A115" s="179" t="str">
        <x:v>M09</x:v>
      </x:c>
      <x:c r="B115" s="180" t="str">
        <x:v>数据与状态｜Variable / Binding
Variable Binding</x:v>
      </x:c>
      <x:c r="C115" s="180" t="str">
        <x:v>MVBVariableQuality</x:v>
      </x:c>
      <x:c r="D115" s="179" t="str">
        <x:v>原有·待核</x:v>
      </x:c>
      <x:c r="E115" s="180" t="str">
        <x:v>定义变量质量的候选取值、状态或模式，供相关流程作分支判断</x:v>
      </x:c>
      <x:c r="F115" s="180" t="str">
        <x:v>枚举值：Good, Uncertain, Bad, Disconnected</x:v>
      </x:c>
      <x:c r="G115" s="180" t="str">
        <x:v>—(无公开声明或待核对)</x:v>
      </x:c>
      <x:c r="H115" s="180" t="str">
        <x:v>—（待核）</x:v>
      </x:c>
      <x:c r="I115" s="180" t="str">
        <x:v>CxVisual.Abstractions.VariableQuality</x:v>
      </x:c>
      <x:c r="J115" s="179" t="str">
        <x:v>枚举</x:v>
      </x:c>
      <x:c r="K115" s="180" t="str">
        <x:v>V1.19 C-0311；原实施方式：原有。迁移风险：定义变量质量的候选取值、状态或模式，供相关流程作分支判断</x:v>
      </x:c>
      <x:c r="L115" s="183" t="str">
        <x:v>源代码声明·待复核</x:v>
      </x:c>
      <x:c r="M115" s="183" t="str">
        <x:v>C-0311</x:v>
      </x:c>
      <x:c r="N115" s="184" t="str">
        <x:v>Platform/Core/Abstractions/Variables.cs</x:v>
      </x:c>
      <x:c r="O115" s="183" t="str">
        <x:v>V1.19旧源码类型（真实成员/实现仍待核）
V2.01：来源ID对应；处置=保留源码·公开契约复核
V7.8：V7.8同名且源文件对应；Platform/Core/Abstractions/Variables.cs</x:v>
      </x:c>
      <x:c r="P115" s="136" t="str">
        <x:v>V1.19旧源码类型（真实成员/实现仍待核）</x:v>
      </x:c>
    </x:row>
    <x:row r="116" ht="72" customHeight="1">
      <x:c r="A116" s="179" t="str">
        <x:v>M09</x:v>
      </x:c>
      <x:c r="B116" s="180" t="str">
        <x:v>数据与状态｜Variable / Binding
Variable Binding</x:v>
      </x:c>
      <x:c r="C116" s="180" t="str">
        <x:v>MVBVariableReference</x:v>
      </x:c>
      <x:c r="D116" s="179" t="str">
        <x:v>原有·待核</x:v>
      </x:c>
      <x:c r="E116" s="180" t="str">
        <x:v>表达或管理变量引用相关的数据及协作职责，具体行为待源码复核〔待核〕</x:v>
      </x:c>
      <x:c r="F116" s="180" t="str">
        <x:v>Id, ProviderIdentityKey, ProviderId, Path, Name, ValueType, Access, Unit, Description, Alias, Folder, SourceAddress, SourceKind, Expression, UdtType, IsFavorite, LastUsedUtc, Minimum, …（另5项）</x:v>
      </x:c>
      <x:c r="G116" s="180" t="str">
        <x:v>—(无公开声明或待核对)</x:v>
      </x:c>
      <x:c r="H116" s="180" t="str">
        <x:v>—（待核）</x:v>
      </x:c>
      <x:c r="I116" s="180" t="str">
        <x:v>CxVisual.Core.VariableReference</x:v>
      </x:c>
      <x:c r="J116" s="179" t="str">
        <x:v>类</x:v>
      </x:c>
      <x:c r="K116" s="180" t="str">
        <x:v>V1.19 C-0331；原实施方式：原有。迁移风险：表达或管理变量引用相关的数据及协作职责，具体行为待源码复核〔待核〕</x:v>
      </x:c>
      <x:c r="L116" s="183" t="str">
        <x:v>源代码声明·待复核</x:v>
      </x:c>
      <x:c r="M116" s="183" t="str">
        <x:v>C-0331</x:v>
      </x:c>
      <x:c r="N116" s="184" t="str">
        <x:v>Platform/Core/Bindings.cs</x:v>
      </x:c>
      <x:c r="O116" s="183" t="str">
        <x:v>V1.19旧源码类型（真实成员/实现仍待核）
V2.01：来源ID对应；处置=保留源码·公开契约复核
V7.8：V7.8同名且源文件对应；Platform/Core/Bindings.cs</x:v>
      </x:c>
      <x:c r="P116" s="136" t="str">
        <x:v>V1.19旧源码类型（真实成员/实现仍待核）</x:v>
      </x:c>
    </x:row>
    <x:row r="117" ht="72" customHeight="1">
      <x:c r="A117" s="179" t="str">
        <x:v>M09</x:v>
      </x:c>
      <x:c r="B117" s="180" t="str">
        <x:v>数据与状态｜Variable / Binding
Variable Binding</x:v>
      </x:c>
      <x:c r="C117" s="180" t="str">
        <x:v>MVBVariableRegistry</x:v>
      </x:c>
      <x:c r="D117" s="179" t="str">
        <x:v>原有·待核</x:v>
      </x:c>
      <x:c r="E117" s="180" t="str">
        <x:v>注册、索引与查询变量注册表条目，并控制注册身份唯一性</x:v>
      </x:c>
      <x:c r="F117" s="180" t="str">
        <x:v>Root</x:v>
      </x:c>
      <x:c r="G117" s="180" t="str">
        <x:v>VariableRegistry(), Add(VariableNode node, VariableGroup parent = null), Remove(string variableId), Move(string variableId, string newParentId, string newName = null), FindById(string variableId), FindByPath(string variablePath), Snapshot(), Clear()</x:v>
      </x:c>
      <x:c r="H117" s="180" t="str">
        <x:v>—（待核）</x:v>
      </x:c>
      <x:c r="I117" s="180" t="str">
        <x:v>CxVisual.Platform.Variables.VariableRegistry</x:v>
      </x:c>
      <x:c r="J117" s="179" t="str">
        <x:v>类</x:v>
      </x:c>
      <x:c r="K117" s="180" t="str">
        <x:v>V1.19 C-0373；原实施方式：原有。迁移风险：注册、索引与查询变量注册表条目，并控制注册身份唯一性</x:v>
      </x:c>
      <x:c r="L117" s="183" t="str">
        <x:v>源代码声明·待复核</x:v>
      </x:c>
      <x:c r="M117" s="183" t="str">
        <x:v>C-0373</x:v>
      </x:c>
      <x:c r="N117" s="184" t="str">
        <x:v>Platform/Variables/VariableRegistry.cs</x:v>
      </x:c>
      <x:c r="O117" s="183" t="str">
        <x:v>V1.19旧源码类型（真实成员/实现仍待核）
V2.01：来源ID对应；处置=保留源码·公开契约复核
V7.8：V7.8同名且源文件对应；Platform/Variables/VariableRegistry.cs</x:v>
      </x:c>
      <x:c r="P117" s="136" t="str">
        <x:v>V1.19旧源码类型（真实成员/实现仍待核）</x:v>
      </x:c>
    </x:row>
    <x:row r="118" ht="72" customHeight="1">
      <x:c r="A118" s="179" t="str">
        <x:v>M09</x:v>
      </x:c>
      <x:c r="B118" s="180" t="str">
        <x:v>数据与状态｜Variable / Binding
Variable Binding</x:v>
      </x:c>
      <x:c r="C118" s="180" t="str">
        <x:v>MVBVariableSnapshot&lt;TValue&gt;</x:v>
      </x:c>
      <x:c r="D118" s="179" t="str">
        <x:v>原有·待核</x:v>
      </x:c>
      <x:c r="E118" s="180" t="str">
        <x:v>表达或管理变量快照T值相关的数据及协作职责，具体行为待源码复核〔待核〕</x:v>
      </x:c>
      <x:c r="F118" s="180" t="str">
        <x:v>Value, OldValue, LastUpdated, Version, HasInitialValue</x:v>
      </x:c>
      <x:c r="G118" s="180" t="str">
        <x:v>—(无公开声明或待核对)</x:v>
      </x:c>
      <x:c r="H118" s="180" t="str">
        <x:v>—（待核）</x:v>
      </x:c>
      <x:c r="I118" s="180" t="str">
        <x:v>CxVisual.Platform.Variables.VariableSnapshot&lt;TValue&gt;</x:v>
      </x:c>
      <x:c r="J118" s="179" t="str">
        <x:v>类</x:v>
      </x:c>
      <x:c r="K118" s="180" t="str">
        <x:v>V1.19 C-0374；原实施方式：原有。迁移风险：表达或管理变量快照T值相关的数据及协作职责，具体行为待源码复核〔待核〕</x:v>
      </x:c>
      <x:c r="L118" s="183" t="str">
        <x:v>源代码声明·待复核</x:v>
      </x:c>
      <x:c r="M118" s="183" t="str">
        <x:v>C-0374</x:v>
      </x:c>
      <x:c r="N118" s="184" t="str">
        <x:v>D:\cyg\cx-visual-x2\Platform\Variables\VariableValue.cs:17</x:v>
      </x:c>
      <x:c r="O118" s="183" t="str">
        <x:v>V1.19旧源码类型（真实成员/实现仍待核）
V2.01：来源ID对应；处置=保留源码·公开契约复核
V7.8：V7.8未检出同名词法声明</x:v>
      </x:c>
      <x:c r="P118" s="136" t="str">
        <x:v>V1.19旧源码类型（真实成员/实现仍待核）</x:v>
      </x:c>
    </x:row>
    <x:row r="119" ht="135" customHeight="1">
      <x:c r="A119" s="179" t="str">
        <x:v>M09</x:v>
      </x:c>
      <x:c r="B119" s="180" t="str">
        <x:v>数据与状态｜Variable / Binding
Variable Binding</x:v>
      </x:c>
      <x:c r="C119" s="180" t="str">
        <x:v>MVBVariableTable</x:v>
      </x:c>
      <x:c r="D119" s="179" t="str">
        <x:v>原有·待核</x:v>
      </x:c>
      <x:c r="E119" s="180" t="str">
        <x:v>表达或管理变量Table相关的数据及协作职责，具体行为待源码复核〔待核〕</x:v>
      </x:c>
      <x:c r="F119" s="180" t="str">
        <x:v>DeviceName, DeviceType</x:v>
      </x:c>
      <x:c r="G119" s="180" t="str">
        <x:v>VariableTable(string deviceName, Type deviceType), UpdateVariable(string variableName, TValue newValue), GetVariable(string variableName), TryGetVariable(string variableName, out TValue value), public(T, long), TryGetVariable2(string variableName, out TValue value, out long lastUpdated), public(T, long, bool), TryGetVariable3(string variableName, out TValue value, out long lastUpdated, out bool hasInitialValue), RemoveVariable(string variableName), Clear(), HasVariable(string variableName), GetVariableNames(), GetVariableCount(), AddVariable(string variableName, TValue value, bool hasInitialValue), public(bool, string)</x:v>
      </x:c>
      <x:c r="H119" s="180" t="str">
        <x:v>—（待核）</x:v>
      </x:c>
      <x:c r="I119" s="180" t="str">
        <x:v>VariableInterfaces.VariableTable</x:v>
      </x:c>
      <x:c r="J119" s="179" t="str">
        <x:v>类</x:v>
      </x:c>
      <x:c r="K119" s="180" t="str">
        <x:v>V1.19 C-0418；原实施方式：原有。迁移风险：表达或管理变量Table相关的数据及协作职责，具体行为待源码复核〔待核〕</x:v>
      </x:c>
      <x:c r="L119" s="183" t="str">
        <x:v>源代码声明·待复核</x:v>
      </x:c>
      <x:c r="M119" s="183" t="str">
        <x:v>C-0418</x:v>
      </x:c>
      <x:c r="N119" s="184" t="str">
        <x:v>Platform/Variables/Legacy/VariableTable.cs; Platform/Compatibility/DeviceVariable/VariableInterfaces/VariableTable.cs</x:v>
      </x:c>
      <x:c r="O119" s="183" t="str">
        <x:v>V1.19旧源码类型（真实成员/实现仍待核）
V2.01：来源ID对应；处置=保留源码·公开契约复核
V7.8：V7.8同名同文件多声明</x:v>
      </x:c>
      <x:c r="P119" s="136" t="str">
        <x:v>V1.19旧源码类型（真实成员/实现仍待核）</x:v>
      </x:c>
    </x:row>
    <x:row r="120" ht="72" customHeight="1">
      <x:c r="A120" s="179" t="str">
        <x:v>M09</x:v>
      </x:c>
      <x:c r="B120" s="180" t="str">
        <x:v>数据与状态｜Variable / Binding
Variable Binding</x:v>
      </x:c>
      <x:c r="C120" s="180" t="str">
        <x:v>MVBVariableValue</x:v>
      </x:c>
      <x:c r="D120" s="179" t="str">
        <x:v>原有·待核</x:v>
      </x:c>
      <x:c r="E120" s="180" t="str">
        <x:v>表达或管理变量值相关的数据及协作职责，具体行为待源码复核〔待核〕</x:v>
      </x:c>
      <x:c r="F120" s="180" t="str">
        <x:v>Value, Quality, TimestampUtc, Sequence, Source, Correlation</x:v>
      </x:c>
      <x:c r="G120" s="180" t="str">
        <x:v>VariableValue(object value, VariableQuality quality, DateTime timestampUtc, long sequence = 0, string source = null, Corr…), ToDataValue()</x:v>
      </x:c>
      <x:c r="H120" s="180" t="str">
        <x:v>—（待核）</x:v>
      </x:c>
      <x:c r="I120" s="180" t="str">
        <x:v>CxVisual.Abstractions.VariableValue</x:v>
      </x:c>
      <x:c r="J120" s="179" t="str">
        <x:v>类</x:v>
      </x:c>
      <x:c r="K120" s="180" t="str">
        <x:v>V1.19 C-0312；原实施方式：原有。迁移风险：表达或管理变量值相关的数据及协作职责，具体行为待源码复核〔待核〕</x:v>
      </x:c>
      <x:c r="L120" s="183" t="str">
        <x:v>源代码声明·待复核</x:v>
      </x:c>
      <x:c r="M120" s="183" t="str">
        <x:v>C-0312</x:v>
      </x:c>
      <x:c r="N120" s="184" t="str">
        <x:v>Platform/Core/Abstractions/Variables.cs</x:v>
      </x:c>
      <x:c r="O120" s="183" t="str">
        <x:v>V1.19旧源码类型（真实成员/实现仍待核）
V2.01：来源ID对应；处置=保留源码·公开契约复核
V7.8：V7.8同名且源文件对应；Platform/Core/Abstractions/Variables.cs</x:v>
      </x:c>
      <x:c r="P120" s="136" t="str">
        <x:v>V1.19旧源码类型（真实成员/实现仍待核）</x:v>
      </x:c>
    </x:row>
    <x:row r="121" ht="72" customHeight="1">
      <x:c r="A121" s="179" t="str">
        <x:v>M09</x:v>
      </x:c>
      <x:c r="B121" s="180" t="str">
        <x:v>数据与状态｜Variable / Binding
Variable Binding</x:v>
      </x:c>
      <x:c r="C121" s="180" t="str">
        <x:v>MVBWork</x:v>
      </x:c>
      <x:c r="D121" s="179" t="str">
        <x:v>原有·待核</x:v>
      </x:c>
      <x:c r="E121" s="180" t="str">
        <x:v>表达或管理Work相关的数据及协作职责，具体行为待源码复核〔待核〕</x:v>
      </x:c>
      <x:c r="F121" s="180" t="str">
        <x:v>—（无公开声明或待核对）</x:v>
      </x:c>
      <x:c r="G121" s="180" t="str">
        <x:v>—(无公开声明或待核对)</x:v>
      </x:c>
      <x:c r="H121" s="180" t="str">
        <x:v>—（待核）</x:v>
      </x:c>
      <x:c r="I121" s="180" t="str">
        <x:v>CxVisual.Platform.Data.CxBindingEngine.Work</x:v>
      </x:c>
      <x:c r="J121" s="179" t="str">
        <x:v>类</x:v>
      </x:c>
      <x:c r="K121" s="180" t="str">
        <x:v>V1.19 C-0353；原实施方式：原有。迁移风险：表达或管理Work相关的数据及协作职责，具体行为待源码复核〔待核〕</x:v>
      </x:c>
      <x:c r="L121" s="183" t="str">
        <x:v>源代码声明·待复核</x:v>
      </x:c>
      <x:c r="M121" s="183" t="str">
        <x:v>C-0353</x:v>
      </x:c>
      <x:c r="N121" s="184" t="str">
        <x:v>Platform/Data/CxBindingEngine.cs; Platform/Orchestration/Runtime/ExecutionScheduler.cs; Platform/Orchestration/Runtime/ExecutionScheduler.cs</x:v>
      </x:c>
      <x:c r="O121" s="183" t="str">
        <x:v>V1.19旧源码类型（真实成员/实现仍待核）
V2.01：来源ID对应；处置=保留源码·公开契约复核
V7.8：V7.8同名且源文件对应；Platform/Data/CxBindingEngine.cs</x:v>
      </x:c>
      <x:c r="P121" s="136" t="str">
        <x:v>V1.19旧源码类型（真实成员/实现仍待核）</x:v>
      </x:c>
    </x:row>
    <x:row r="122" ht="72" customHeight="1">
      <x:c r="A122" s="179" t="str">
        <x:v>M09</x:v>
      </x:c>
      <x:c r="B122" s="180" t="str">
        <x:v>数据与状态｜Variable / Binding
Variable Binding</x:v>
      </x:c>
      <x:c r="C122" s="180" t="str">
        <x:v>CxVariableDefinition</x:v>
      </x:c>
      <x:c r="D122" s="179" t="str">
        <x:v>原有·待核</x:v>
      </x:c>
      <x:c r="E122" s="180" t="str">
        <x:v>变量定义</x:v>
      </x:c>
      <x:c r="F122" s="180" t="str">
        <x:v>Id；Name；Type；Unit；Initial；Access；ProviderRef；History</x:v>
      </x:c>
      <x:c r="G122" s="180" t="str">
        <x:v>变量定义</x:v>
      </x:c>
      <x:c r="H122" s="180" t="str">
        <x:v>待逐对象核实</x:v>
      </x:c>
      <x:c r="I122" s="180" t="str">
        <x:v>CxVisual.Core.CxVariableDefinition</x:v>
      </x:c>
      <x:c r="J122" s="179" t="str">
        <x:v>类/实例候选</x:v>
      </x:c>
      <x:c r="K122" s="180" t="str">
        <x:v>V1.19 C-0322：原有；生命周期：Definition</x:v>
      </x:c>
      <x:c r="L122" s="183" t="str">
        <x:v>V7.8源码词法匹配，尚未验收</x:v>
      </x:c>
      <x:c r="M122" s="183" t="str">
        <x:v>M09.CxVariableDefinition</x:v>
      </x:c>
      <x:c r="N122" s="184" t="str">
        <x:v>Platform/Core/CxVariableDefinition.cs</x:v>
      </x:c>
      <x:c r="O122" s="183" t="str">
        <x:v>V4.9对象/属性/方法
V2.01：未匹配V2.01；处置=暂无可信对应
V7.8：V7.8同名且源文件对应；Platform/Core/CxVariableDefinition.cs</x:v>
      </x:c>
      <x:c r="P122" s="136" t="str">
        <x:v>V4.9对象/属性/方法</x:v>
      </x:c>
    </x:row>
    <x:row r="123" ht="72" customHeight="1">
      <x:c r="A123" s="179" t="str">
        <x:v>M09</x:v>
      </x:c>
      <x:c r="B123" s="180" t="str">
        <x:v>数据与状态｜Variable / Binding
Variable Binding</x:v>
      </x:c>
      <x:c r="C123" s="180" t="str">
        <x:v>CxVariableRef</x:v>
      </x:c>
      <x:c r="D123" s="179" t="str">
        <x:v>增构候选·待查重</x:v>
      </x:c>
      <x:c r="E123" s="180" t="str">
        <x:v>稳定变量引用</x:v>
      </x:c>
      <x:c r="F123" s="180" t="str">
        <x:v>TargetVariableId；Scope</x:v>
      </x:c>
      <x:c r="G123" s="180" t="str">
        <x:v>稳定变量引用</x:v>
      </x:c>
      <x:c r="H123" s="180" t="str">
        <x:v>待逐对象核实</x:v>
      </x:c>
      <x:c r="I123" s="180" t="str">
        <x:v>CxVariableRef</x:v>
      </x:c>
      <x:c r="J123" s="179" t="str">
        <x:v>类/实例候选</x:v>
      </x:c>
      <x:c r="K123" s="180" t="str">
        <x:v>生命周期：Definition</x:v>
      </x:c>
      <x:c r="L123" s="183" t="str">
        <x:v>设计候选，尚待源码验证</x:v>
      </x:c>
      <x:c r="M123" s="183" t="str">
        <x:v>M09.CxVariableRef</x:v>
      </x:c>
      <x:c r="N123" s="184" t="str">
        <x:v>03_能力对象!C81</x:v>
      </x:c>
      <x:c r="O123" s="183" t="str">
        <x:v>V4.9对象/属性/方法
V2.01：未匹配V2.01；处置=暂无可信对应
V7.8：V7.8未检出同名词法声明</x:v>
      </x:c>
      <x:c r="P123" s="136" t="str">
        <x:v>V4.9对象/属性/方法</x:v>
      </x:c>
    </x:row>
    <x:row r="124" ht="72" customHeight="1">
      <x:c r="A124" s="179" t="str">
        <x:v>M09</x:v>
      </x:c>
      <x:c r="B124" s="180" t="str">
        <x:v>数据与状态｜Variable / Binding
Variable Binding</x:v>
      </x:c>
      <x:c r="C124" s="180" t="str">
        <x:v>CxVariableRuntimeState</x:v>
      </x:c>
      <x:c r="D124" s="179" t="str">
        <x:v>复用待核</x:v>
      </x:c>
      <x:c r="E124" s="180" t="str">
        <x:v>保存实时状态</x:v>
      </x:c>
      <x:c r="F124" s="180" t="str">
        <x:v>Value；OldValue；Quality；Timestamp；Source；Reason</x:v>
      </x:c>
      <x:c r="G124" s="180" t="str">
        <x:v>保存实时状态</x:v>
      </x:c>
      <x:c r="H124" s="180" t="str">
        <x:v>待逐对象核实</x:v>
      </x:c>
      <x:c r="I124" s="180" t="str">
        <x:v>运行对象/模型</x:v>
      </x:c>
      <x:c r="J124" s="179" t="str">
        <x:v>类/实例候选</x:v>
      </x:c>
      <x:c r="K124" s="180" t="str">
        <x:v>生命周期：Runtime</x:v>
      </x:c>
      <x:c r="L124" s="183" t="str">
        <x:v>V7.8源码词法匹配，尚未验收</x:v>
      </x:c>
      <x:c r="M124" s="183" t="str">
        <x:v>M09.CxVariableRuntimeState</x:v>
      </x:c>
      <x:c r="N124" s="184" t="str">
        <x:v>Platform/Variables/CxVariableRuntimeState.cs</x:v>
      </x:c>
      <x:c r="O124" s="183" t="str">
        <x:v>V4.9对象/属性/方法
V2.01：未匹配V2.01；处置=暂无可信对应
V7.8：V7.8未检出同名词法声明</x:v>
      </x:c>
      <x:c r="P124" s="136" t="str">
        <x:v>V4.9对象/属性/方法</x:v>
      </x:c>
    </x:row>
    <x:row r="125" ht="72" customHeight="1">
      <x:c r="A125" s="179" t="str">
        <x:v>M09</x:v>
      </x:c>
      <x:c r="B125" s="180" t="str">
        <x:v>数据与状态｜Variable / Binding
Variable Binding</x:v>
      </x:c>
      <x:c r="C125" s="180" t="str">
        <x:v>MVBCalculatedVariableDefinition</x:v>
      </x:c>
      <x:c r="D125" s="179" t="str">
        <x:v>增构候选·待查重</x:v>
      </x:c>
      <x:c r="E125" s="180" t="str">
        <x:v>派生变量</x:v>
      </x:c>
      <x:c r="F125" s="180" t="str">
        <x:v>Expression；Dependencies；Type</x:v>
      </x:c>
      <x:c r="G125" s="180" t="str">
        <x:v>派生变量</x:v>
      </x:c>
      <x:c r="H125" s="180" t="str">
        <x:v>待逐对象核实</x:v>
      </x:c>
      <x:c r="I125" s="180" t="str">
        <x:v>CalculatedVariableDefinition</x:v>
      </x:c>
      <x:c r="J125" s="179" t="str">
        <x:v>类/实例候选</x:v>
      </x:c>
      <x:c r="K125" s="180" t="str">
        <x:v>生命周期：Definition</x:v>
      </x:c>
      <x:c r="L125" s="183" t="str">
        <x:v>设计候选，尚待源码验证</x:v>
      </x:c>
      <x:c r="M125" s="183" t="str">
        <x:v>M09.CalculatedVariableDefinition</x:v>
      </x:c>
      <x:c r="N125" s="184" t="str">
        <x:v>03_能力对象!C79</x:v>
      </x:c>
      <x:c r="O125" s="183" t="str">
        <x:v>V4.9对象/属性/方法
V2.01：名称/子方面线索；处置=规划独立契约候选·未批准新增
V7.8：V7.8未检出同名词法声明</x:v>
      </x:c>
      <x:c r="P125" s="136" t="str">
        <x:v>V4.9对象/属性/方法</x:v>
      </x:c>
    </x:row>
    <x:row r="126" ht="72" customHeight="1">
      <x:c r="A126" s="179" t="str">
        <x:v>M09</x:v>
      </x:c>
      <x:c r="B126" s="180" t="str">
        <x:v>数据与状态｜Variable / Binding
Variable Binding</x:v>
      </x:c>
      <x:c r="C126" s="180" t="str">
        <x:v>MVBIVariableProvider</x:v>
      </x:c>
      <x:c r="D126" s="179" t="str">
        <x:v>复用待核</x:v>
      </x:c>
      <x:c r="E126" s="180" t="str">
        <x:v>统一变量数据源</x:v>
      </x:c>
      <x:c r="F126" s="180" t="str">
        <x:v>Read；Write；Subscribe；Health</x:v>
      </x:c>
      <x:c r="G126" s="180" t="str">
        <x:v>统一变量数据源</x:v>
      </x:c>
      <x:c r="H126" s="180" t="str">
        <x:v>待逐对象核实</x:v>
      </x:c>
      <x:c r="I126" s="180" t="str">
        <x:v>IVariableProvider</x:v>
      </x:c>
      <x:c r="J126" s="179" t="str">
        <x:v>接口候选</x:v>
      </x:c>
      <x:c r="K126" s="180" t="str">
        <x:v>生命周期：Runtime</x:v>
      </x:c>
      <x:c r="L126" s="183" t="str">
        <x:v>V7.8源码词法匹配，尚未验收</x:v>
      </x:c>
      <x:c r="M126" s="183" t="str">
        <x:v>M09.IVariableProvider</x:v>
      </x:c>
      <x:c r="N126" s="184" t="str">
        <x:v>Platform/Core/Abstractions/Variables.cs</x:v>
      </x:c>
      <x:c r="O126" s="183" t="str">
        <x:v>V4.9对象/属性/方法
V2.01：未匹配V2.01；处置=暂无可信对应
V7.8：V7.8同名且源文件对应；Platform/Core/Abstractions/Variables.cs</x:v>
      </x:c>
      <x:c r="P126" s="136" t="str">
        <x:v>V4.9对象/属性/方法</x:v>
      </x:c>
    </x:row>
    <x:row r="127" ht="72" customHeight="1">
      <x:c r="A127" s="179" t="str">
        <x:v>M09</x:v>
      </x:c>
      <x:c r="B127" s="180" t="str">
        <x:v>数据与状态｜Variable / Binding
Variable Binding</x:v>
      </x:c>
      <x:c r="C127" s="180" t="str">
        <x:v>MVBVariableBinding</x:v>
      </x:c>
      <x:c r="D127" s="179" t="str">
        <x:v>增构候选·待查重</x:v>
      </x:c>
      <x:c r="E127" s="180" t="str">
        <x:v>Property↔Variable绑定</x:v>
      </x:c>
      <x:c r="F127" s="180" t="str">
        <x:v>SourceRef；TargetProperty；Mode；Converter；Fallback</x:v>
      </x:c>
      <x:c r="G127" s="180" t="str">
        <x:v>Property↔Variable绑定</x:v>
      </x:c>
      <x:c r="H127" s="180" t="str">
        <x:v>待逐对象核实</x:v>
      </x:c>
      <x:c r="I127" s="180" t="str">
        <x:v>VariableBinding</x:v>
      </x:c>
      <x:c r="J127" s="179" t="str">
        <x:v>类/实例候选</x:v>
      </x:c>
      <x:c r="K127" s="180" t="str">
        <x:v>生命周期：Definition</x:v>
      </x:c>
      <x:c r="L127" s="183" t="str">
        <x:v>设计候选，尚待源码验证</x:v>
      </x:c>
      <x:c r="M127" s="183" t="str">
        <x:v>M09.VariableBinding</x:v>
      </x:c>
      <x:c r="N127" s="184" t="str">
        <x:v>03_能力对象!C84</x:v>
      </x:c>
      <x:c r="O127" s="183" t="str">
        <x:v>V4.9对象/属性/方法
V2.01：名称/子方面线索；处置=规划独立契约候选·未批准新增
V7.8：V7.8未检出同名词法声明</x:v>
      </x:c>
      <x:c r="P127" s="136" t="str">
        <x:v>V4.9对象/属性/方法</x:v>
      </x:c>
    </x:row>
    <x:row r="128" ht="72" customHeight="1">
      <x:c r="A128" s="179" t="str">
        <x:v>M09</x:v>
      </x:c>
      <x:c r="B128" s="180" t="str">
        <x:v>数据与状态｜Variable / Binding
Variable Binding</x:v>
      </x:c>
      <x:c r="C128" s="180" t="str">
        <x:v>MVBVariableSnapshot</x:v>
      </x:c>
      <x:c r="D128" s="179" t="str">
        <x:v>复用待核</x:v>
      </x:c>
      <x:c r="E128" s="180" t="str">
        <x:v>一致快照</x:v>
      </x:c>
      <x:c r="F128" s="180" t="str">
        <x:v>Values；Quality；Timestamps；Correlation</x:v>
      </x:c>
      <x:c r="G128" s="180" t="str">
        <x:v>一致快照</x:v>
      </x:c>
      <x:c r="H128" s="180" t="str">
        <x:v>待逐对象核实</x:v>
      </x:c>
      <x:c r="I128" s="180" t="str">
        <x:v>运行对象/模型</x:v>
      </x:c>
      <x:c r="J128" s="179" t="str">
        <x:v>类/实例候选</x:v>
      </x:c>
      <x:c r="K128" s="180" t="str">
        <x:v>生命周期：Runtime</x:v>
      </x:c>
      <x:c r="L128" s="183" t="str">
        <x:v>V7.8源码词法匹配，尚未验收</x:v>
      </x:c>
      <x:c r="M128" s="183" t="str">
        <x:v>M09.VariableSnapshot</x:v>
      </x:c>
      <x:c r="N128" s="184" t="str">
        <x:v>Platform/Variables/VariableValue.cs</x:v>
      </x:c>
      <x:c r="O128" s="183" t="str">
        <x:v>V4.9对象/属性/方法
V2.01：名称/子方面线索；处置=规划复用待核：不独立新增
V7.8：V7.8未检出同名词法声明</x:v>
      </x:c>
      <x:c r="P128" s="136" t="str">
        <x:v>V4.9对象/属性/方法</x:v>
      </x:c>
    </x:row>
    <x:row r="129" ht="72" customHeight="1">
      <x:c r="A129" s="179" t="str">
        <x:v>M09</x:v>
      </x:c>
      <x:c r="B129" s="180" t="str">
        <x:v>数据与状态｜Variable / Binding
Variable Binding</x:v>
      </x:c>
      <x:c r="C129" s="180" t="str">
        <x:v>MVBVariableSubscription</x:v>
      </x:c>
      <x:c r="D129" s="179" t="str">
        <x:v>增构候选·待查重</x:v>
      </x:c>
      <x:c r="E129" s="180" t="str">
        <x:v>订阅变化并随Scope释放</x:v>
      </x:c>
      <x:c r="F129" s="180" t="str">
        <x:v>VariableRef；Filter；Callback；Dispose</x:v>
      </x:c>
      <x:c r="G129" s="180" t="str">
        <x:v>订阅变化并随Scope释放</x:v>
      </x:c>
      <x:c r="H129" s="180" t="str">
        <x:v>待逐对象核实</x:v>
      </x:c>
      <x:c r="I129" s="180" t="str">
        <x:v>运行对象/模型</x:v>
      </x:c>
      <x:c r="J129" s="179" t="str">
        <x:v>类/实例候选</x:v>
      </x:c>
      <x:c r="K129" s="180" t="str">
        <x:v>生命周期：Runtime</x:v>
      </x:c>
      <x:c r="L129" s="183" t="str">
        <x:v>设计候选，尚待源码验证</x:v>
      </x:c>
      <x:c r="M129" s="183" t="str">
        <x:v>M09.VariableSubscription</x:v>
      </x:c>
      <x:c r="N129" s="184" t="str">
        <x:v>03_能力对象!C86</x:v>
      </x:c>
      <x:c r="O129" s="183" t="str">
        <x:v>V4.9对象/属性/方法
V2.01：名称/子方面线索；处置=规划独立契约候选·未批准新增
V7.8：V7.8未检出同名词法声明</x:v>
      </x:c>
      <x:c r="P129" s="136" t="str">
        <x:v>V4.9对象/属性/方法</x:v>
      </x:c>
    </x:row>
    <x:row r="130" ht="72" customHeight="1">
      <x:c r="A130" s="179" t="str">
        <x:v>M10</x:v>
      </x:c>
      <x:c r="B130" s="180" t="str">
        <x:v>数据与状态｜DataHandle / Stream / Artifact
Data Streaming</x:v>
      </x:c>
      <x:c r="C130" s="180" t="str">
        <x:v>IMDSCxDataCarrier</x:v>
      </x:c>
      <x:c r="D130" s="179" t="str">
        <x:v>原有·待核</x:v>
      </x:c>
      <x:c r="E130" s="180" t="str">
        <x:v>负责DataCarrier相关的载体与公共契约管理</x:v>
      </x:c>
      <x:c r="F130" s="180" t="str">
        <x:v>Capabilities, Descriptor</x:v>
      </x:c>
      <x:c r="G130" s="180" t="str">
        <x:v>OpenReadAsync(CancellationToken cancellationToken = default(CancellationToken); OpenWriteAsync(CancellationToken cancellationToken = default(CancellationToken); CreateHandle(DataReference reference, DataLifetime lifetime = DataLifetime.Execution, string handleId = null); GetHealthAsync(CancellationToken cancellationToken = default(CancellationToken); ValidateReference(DataReference reference)</x:v>
      </x:c>
      <x:c r="H130" s="180" t="str">
        <x:v>—（待核）</x:v>
      </x:c>
      <x:c r="I130" s="180" t="str">
        <x:v>CxVisual.Platform.Data.ICxDataCarrier</x:v>
      </x:c>
      <x:c r="J130" s="179" t="str">
        <x:v>接口</x:v>
      </x:c>
      <x:c r="K130" s="180" t="str">
        <x:v>V1.19 C-0460；原实施方式：原有。迁移风险：负责DataCarrier相关的载体与公共契约管理</x:v>
      </x:c>
      <x:c r="L130" s="183" t="str">
        <x:v>源代码声明·待复核</x:v>
      </x:c>
      <x:c r="M130" s="183" t="str">
        <x:v>C-0460</x:v>
      </x:c>
      <x:c r="N130" s="184" t="str">
        <x:v>Platform/Data/CxDataCarrier.cs</x:v>
      </x:c>
      <x:c r="O130" s="183" t="str">
        <x:v>V1.19旧源码类型（真实成员/实现仍待核）
V2.01：来源ID对应；处置=保留源码·公开契约复核
V7.8：V7.8同名且源文件对应；Platform/Data/CxDataCarrier.cs</x:v>
      </x:c>
      <x:c r="P130" s="136" t="str">
        <x:v>V1.19旧源码类型（真实成员/实现仍待核）</x:v>
      </x:c>
    </x:row>
    <x:row r="131" ht="72" customHeight="1">
      <x:c r="A131" s="179" t="str">
        <x:v>M10</x:v>
      </x:c>
      <x:c r="B131" s="180" t="str">
        <x:v>数据与状态｜DataHandle / Stream / Artifact
Data Streaming</x:v>
      </x:c>
      <x:c r="C131" s="180" t="str">
        <x:v>IMDSCxRuntimeOnlyValue</x:v>
      </x:c>
      <x:c r="D131" s="179" t="str">
        <x:v>原有·待核</x:v>
      </x:c>
      <x:c r="E131" s="180" t="str">
        <x:v>约定运行时Only值的操作入口、交互能力及调用方/实现方边界</x:v>
      </x:c>
      <x:c r="F131" s="180" t="str">
        <x:v>—（无公开声明或待核对）</x:v>
      </x:c>
      <x:c r="G131" s="180" t="str">
        <x:v>—(无公开声明或待核对)</x:v>
      </x:c>
      <x:c r="H131" s="180" t="str">
        <x:v>—（待核）</x:v>
      </x:c>
      <x:c r="I131" s="180" t="str">
        <x:v>CxVisual.Core.ICxRuntimeOnlyValue</x:v>
      </x:c>
      <x:c r="J131" s="179" t="str">
        <x:v>接口</x:v>
      </x:c>
      <x:c r="K131" s="180" t="str">
        <x:v>V1.19 C-0433；原实施方式：原有。迁移风险：约定运行时Only值的操作入口、交互能力及调用方/实现方边界</x:v>
      </x:c>
      <x:c r="L131" s="183" t="str">
        <x:v>源代码声明·待复核</x:v>
      </x:c>
      <x:c r="M131" s="183" t="str">
        <x:v>C-0433</x:v>
      </x:c>
      <x:c r="N131" s="184" t="str">
        <x:v>Platform/Core/ICxRuntimeOnlyValue.cs</x:v>
      </x:c>
      <x:c r="O131" s="183" t="str">
        <x:v>V1.19旧源码类型（真实成员/实现仍待核）
V2.01：来源ID对应；处置=保留源码·公开契约复核
V7.8：V7.8同名且源文件对应；Platform/Core/ICxRuntimeOnlyValue.cs</x:v>
      </x:c>
      <x:c r="P131" s="136" t="str">
        <x:v>V1.19旧源码类型（真实成员/实现仍待核）</x:v>
      </x:c>
    </x:row>
    <x:row r="132" ht="72" customHeight="1">
      <x:c r="A132" s="179" t="str">
        <x:v>M10</x:v>
      </x:c>
      <x:c r="B132" s="180" t="str">
        <x:v>数据与状态｜DataHandle / Stream / Artifact
Data Streaming</x:v>
      </x:c>
      <x:c r="C132" s="180" t="str">
        <x:v>IMDSDataCarrier</x:v>
      </x:c>
      <x:c r="D132" s="179" t="str">
        <x:v>原有·待核</x:v>
      </x:c>
      <x:c r="E132" s="180" t="str">
        <x:v>约定DataCarrier的操作入口、交互能力及调用方/实现方边界</x:v>
      </x:c>
      <x:c r="F132" s="180" t="str">
        <x:v>CarrierId, IsLoaded</x:v>
      </x:c>
      <x:c r="G132" s="180" t="str">
        <x:v>LoadAsync(CancellationToken cancellationToken), UnloadAsync(CancellationToken cancellationToken), Acquire()</x:v>
      </x:c>
      <x:c r="H132" s="180" t="str">
        <x:v>—（待核）</x:v>
      </x:c>
      <x:c r="I132" s="180" t="str">
        <x:v>CxVisual.Platform.Data.IDataCarrier</x:v>
      </x:c>
      <x:c r="J132" s="179" t="str">
        <x:v>接口</x:v>
      </x:c>
      <x:c r="K132" s="180" t="str">
        <x:v>V1.19 C-0461；原实施方式：原有。迁移风险：约定DataCarrier的操作入口、交互能力及调用方/实现方边界</x:v>
      </x:c>
      <x:c r="L132" s="183" t="str">
        <x:v>源代码声明·待复核</x:v>
      </x:c>
      <x:c r="M132" s="183" t="str">
        <x:v>C-0461</x:v>
      </x:c>
      <x:c r="N132" s="184" t="str">
        <x:v>Platform/Data/DataCarrier.cs</x:v>
      </x:c>
      <x:c r="O132" s="183" t="str">
        <x:v>V1.19旧源码类型（真实成员/实现仍待核）
V2.01：来源ID对应；处置=保留源码·公开契约复核
V7.8：V7.8同名且源文件对应；Platform/Data/DataCarrier.cs</x:v>
      </x:c>
      <x:c r="P132" s="136" t="str">
        <x:v>V1.19旧源码类型（真实成员/实现仍待核）</x:v>
      </x:c>
    </x:row>
    <x:row r="133" ht="72" customHeight="1">
      <x:c r="A133" s="179" t="str">
        <x:v>M10</x:v>
      </x:c>
      <x:c r="B133" s="180" t="str">
        <x:v>数据与状态｜DataHandle / Stream / Artifact
Data Streaming</x:v>
      </x:c>
      <x:c r="C133" s="180" t="str">
        <x:v>IMDSDataCarrierLease</x:v>
      </x:c>
      <x:c r="D133" s="179" t="str">
        <x:v>原有·待核</x:v>
      </x:c>
      <x:c r="E133" s="180" t="str">
        <x:v>约定DataCarrier租约的操作入口、交互能力及调用方/实现方边界</x:v>
      </x:c>
      <x:c r="F133" s="180" t="str">
        <x:v>Payload</x:v>
      </x:c>
      <x:c r="G133" s="180" t="str">
        <x:v>—(无公开声明或待核对)</x:v>
      </x:c>
      <x:c r="H133" s="180" t="str">
        <x:v>—（待核）</x:v>
      </x:c>
      <x:c r="I133" s="180" t="str">
        <x:v>CxVisual.Platform.Data.IDataCarrierLease</x:v>
      </x:c>
      <x:c r="J133" s="179" t="str">
        <x:v>接口</x:v>
      </x:c>
      <x:c r="K133" s="180" t="str">
        <x:v>V1.19 C-0462；原实施方式：原有。迁移风险：约定DataCarrier租约的操作入口、交互能力及调用方/实现方边界</x:v>
      </x:c>
      <x:c r="L133" s="183" t="str">
        <x:v>源代码声明·待复核</x:v>
      </x:c>
      <x:c r="M133" s="183" t="str">
        <x:v>C-0462</x:v>
      </x:c>
      <x:c r="N133" s="184" t="str">
        <x:v>Platform/Data/DataCarrier.cs</x:v>
      </x:c>
      <x:c r="O133" s="183" t="str">
        <x:v>V1.19旧源码类型（真实成员/实现仍待核）
V2.01：来源ID对应；处置=保留源码·公开契约复核
V7.8：V7.8同名且源文件对应；Platform/Data/DataCarrier.cs</x:v>
      </x:c>
      <x:c r="P133" s="136" t="str">
        <x:v>V1.19旧源码类型（真实成员/实现仍待核）</x:v>
      </x:c>
    </x:row>
    <x:row r="134" ht="72" customHeight="1">
      <x:c r="A134" s="179" t="str">
        <x:v>M10</x:v>
      </x:c>
      <x:c r="B134" s="180" t="str">
        <x:v>数据与状态｜DataHandle / Stream / Artifact
Data Streaming</x:v>
      </x:c>
      <x:c r="C134" s="180" t="str">
        <x:v>MDSBackpressureMode</x:v>
      </x:c>
      <x:c r="D134" s="179" t="str">
        <x:v>原有·待核</x:v>
      </x:c>
      <x:c r="E134" s="180" t="str">
        <x:v>枚举数据流发生背压时可选的处理方式</x:v>
      </x:c>
      <x:c r="F134" s="180" t="str">
        <x:v>枚举值：RejectNewest, DropOldest, DropNewest, Block</x:v>
      </x:c>
      <x:c r="G134" s="180" t="str">
        <x:v>—(无公开声明或待核对)</x:v>
      </x:c>
      <x:c r="H134" s="180" t="str">
        <x:v>—（待核）</x:v>
      </x:c>
      <x:c r="I134" s="180" t="str">
        <x:v>CxVisual.Abstractions.BackpressureMode</x:v>
      </x:c>
      <x:c r="J134" s="179" t="str">
        <x:v>枚举</x:v>
      </x:c>
      <x:c r="K134" s="180" t="str">
        <x:v>V1.19 C-0419；原实施方式：原有。迁移风险：枚举数据流发生背压时可选的处理方式</x:v>
      </x:c>
      <x:c r="L134" s="183" t="str">
        <x:v>源代码声明·待复核</x:v>
      </x:c>
      <x:c r="M134" s="183" t="str">
        <x:v>C-0419</x:v>
      </x:c>
      <x:c r="N134" s="184" t="str">
        <x:v>Platform/Core/Abstractions/DeliveryContracts.cs</x:v>
      </x:c>
      <x:c r="O134" s="183" t="str">
        <x:v>V1.19旧源码类型（真实成员/实现仍待核）
V2.01：来源ID对应；处置=保留源码·公开契约复核
V7.8：V7.8同名且源文件对应；Platform/Core/Abstractions/DeliveryContracts.cs</x:v>
      </x:c>
      <x:c r="P134" s="136" t="str">
        <x:v>V1.19旧源码类型（真实成员/实现仍待核）</x:v>
      </x:c>
    </x:row>
    <x:row r="135" ht="72" customHeight="1">
      <x:c r="A135" s="179" t="str">
        <x:v>M10</x:v>
      </x:c>
      <x:c r="B135" s="180" t="str">
        <x:v>数据与状态｜DataHandle / Stream / Artifact
Data Streaming</x:v>
      </x:c>
      <x:c r="C135" s="180" t="str">
        <x:v>MDSBackpressurePolicy</x:v>
      </x:c>
      <x:c r="D135" s="179" t="str">
        <x:v>原有·待核</x:v>
      </x:c>
      <x:c r="E135" s="180" t="str">
        <x:v>定义数据流拥塞时的限流、丢弃或等待策略</x:v>
      </x:c>
      <x:c r="F135" s="180" t="str">
        <x:v>Capacity, Mode, BlockTimeout</x:v>
      </x:c>
      <x:c r="G135" s="180" t="str">
        <x:v>BackpressurePolicy(), Validate()</x:v>
      </x:c>
      <x:c r="H135" s="180" t="str">
        <x:v>—（待核）</x:v>
      </x:c>
      <x:c r="I135" s="180" t="str">
        <x:v>CxVisual.Abstractions.BackpressurePolicy</x:v>
      </x:c>
      <x:c r="J135" s="179" t="str">
        <x:v>类</x:v>
      </x:c>
      <x:c r="K135" s="180" t="str">
        <x:v>V1.19 C-0420；原实施方式：原有。迁移风险：定义数据流拥塞时的限流、丢弃或等待策略</x:v>
      </x:c>
      <x:c r="L135" s="183" t="str">
        <x:v>源代码声明·待复核</x:v>
      </x:c>
      <x:c r="M135" s="183" t="str">
        <x:v>C-0420</x:v>
      </x:c>
      <x:c r="N135" s="184" t="str">
        <x:v>Platform/Core/Abstractions/DeliveryContracts.cs</x:v>
      </x:c>
      <x:c r="O135" s="183" t="str">
        <x:v>V1.19旧源码类型（真实成员/实现仍待核）
V2.01：来源ID对应；处置=保留源码·公开契约复核
V7.8：V7.8同名且源文件对应；Platform/Core/Abstractions/DeliveryContracts.cs</x:v>
      </x:c>
      <x:c r="P135" s="136" t="str">
        <x:v>V1.19旧源码类型（真实成员/实现仍待核）</x:v>
      </x:c>
    </x:row>
    <x:row r="136" ht="72" customHeight="1">
      <x:c r="A136" s="179" t="str">
        <x:v>M10</x:v>
      </x:c>
      <x:c r="B136" s="180" t="str">
        <x:v>数据与状态｜DataHandle / Stream / Artifact
Data Streaming</x:v>
      </x:c>
      <x:c r="C136" s="180" t="str">
        <x:v>MDSCarrierStream</x:v>
      </x:c>
      <x:c r="D136" s="179" t="str">
        <x:v>原有·待核</x:v>
      </x:c>
      <x:c r="E136" s="180" t="str">
        <x:v>表达或管理Carrier流相关的数据及协作职责，具体行为待源码复核〔待核〕</x:v>
      </x:c>
      <x:c r="F136" s="180" t="str">
        <x:v>CanSeek, Length, Position</x:v>
      </x:c>
      <x:c r="G136" s="180" t="str">
        <x:v>CarrierStream(Stream stream, IDataCarrierLease lease, bool write), Flush(), Read(bytebuffer, int offset, int count), Seek(long offset, SeekOrigin origin), SetLength(long value), Write(bytebuffer, int offset, int count), Dispose(bool disposing)</x:v>
      </x:c>
      <x:c r="H136" s="180" t="str">
        <x:v>—（待核）</x:v>
      </x:c>
      <x:c r="I136" s="180" t="str">
        <x:v>CxVisual.Platform.Data.CxManagedDataCarrier.CarrierStream</x:v>
      </x:c>
      <x:c r="J136" s="179" t="str">
        <x:v>类</x:v>
      </x:c>
      <x:c r="K136" s="180" t="str">
        <x:v>V1.19 C-0442；原实施方式：原有。迁移风险：表达或管理Carrier流相关的数据及协作职责，具体行为待源码复核〔待核〕</x:v>
      </x:c>
      <x:c r="L136" s="183" t="str">
        <x:v>源代码声明·待复核</x:v>
      </x:c>
      <x:c r="M136" s="183" t="str">
        <x:v>C-0442</x:v>
      </x:c>
      <x:c r="N136" s="184" t="str">
        <x:v>Platform/Data/CxDataCarrier.cs</x:v>
      </x:c>
      <x:c r="O136" s="183" t="str">
        <x:v>V1.19旧源码类型（真实成员/实现仍待核）
V2.01：来源ID对应；处置=保留源码·公开契约复核
V7.8：V7.8同名且源文件对应；Platform/Data/CxDataCarrier.cs</x:v>
      </x:c>
      <x:c r="P136" s="136" t="str">
        <x:v>V1.19旧源码类型（真实成员/实现仍待核）</x:v>
      </x:c>
    </x:row>
    <x:row r="137" ht="72" customHeight="1">
      <x:c r="A137" s="179" t="str">
        <x:v>M10</x:v>
      </x:c>
      <x:c r="B137" s="180" t="str">
        <x:v>数据与状态｜DataHandle / Stream / Artifact
Data Streaming</x:v>
      </x:c>
      <x:c r="C137" s="180" t="str">
        <x:v>MDSCxDataAspect</x:v>
      </x:c>
      <x:c r="D137" s="179" t="str">
        <x:v>原有·待核</x:v>
      </x:c>
      <x:c r="E137" s="180" t="str">
        <x:v>声明节点的数据输入输出契约及其校验规则</x:v>
      </x:c>
      <x:c r="F137" s="180" t="str">
        <x:v>Variables, Bindings, Contracts, Carriers, StreamPolicies</x:v>
      </x:c>
      <x:c r="G137" s="180" t="str">
        <x:v>Validate(), Validate(CxTypeResolver types), CopyDeclarationsTo(CxDataAspect target)</x:v>
      </x:c>
      <x:c r="H137" s="180" t="str">
        <x:v>—（待核）</x:v>
      </x:c>
      <x:c r="I137" s="180" t="str">
        <x:v>CxVisual.Core.CxDataAspect</x:v>
      </x:c>
      <x:c r="J137" s="179" t="str">
        <x:v>类</x:v>
      </x:c>
      <x:c r="K137" s="180" t="str">
        <x:v>V1.19 C-0423；原实施方式：原有。迁移风险：声明节点的数据输入输出契约及其校验规则</x:v>
      </x:c>
      <x:c r="L137" s="183" t="str">
        <x:v>源代码声明·待复核</x:v>
      </x:c>
      <x:c r="M137" s="183" t="str">
        <x:v>C-0423</x:v>
      </x:c>
      <x:c r="N137" s="184" t="str">
        <x:v>Platform/Core/CxDataAspect.cs</x:v>
      </x:c>
      <x:c r="O137" s="183" t="str">
        <x:v>V1.19旧源码类型（真实成员/实现仍待核）
V2.01：来源ID对应；处置=保留源码·公开契约复核
V7.8：V7.8同名且源文件对应；Platform/Core/CxDataAspect.cs</x:v>
      </x:c>
      <x:c r="P137" s="136" t="str">
        <x:v>V1.19旧源码类型（真实成员/实现仍待核）</x:v>
      </x:c>
    </x:row>
    <x:row r="138" ht="72" customHeight="1">
      <x:c r="A138" s="179" t="str">
        <x:v>M10</x:v>
      </x:c>
      <x:c r="B138" s="180" t="str">
        <x:v>数据与状态｜DataHandle / Stream / Artifact
Data Streaming</x:v>
      </x:c>
      <x:c r="C138" s="180" t="str">
        <x:v>MDSCxDataCarrierDescriptor</x:v>
      </x:c>
      <x:c r="D138" s="179" t="str">
        <x:v>原有·待核</x:v>
      </x:c>
      <x:c r="E138" s="180" t="str">
        <x:v>负责DataCarrier描述符相关的载体描述与公共契约管理</x:v>
      </x:c>
      <x:c r="F138" s="180" t="str">
        <x:v>CarrierId, Kind, Location, Capacity, TransferPolicy, CxDataCarrierDescriptor</x:v>
      </x:c>
      <x:c r="G138" s="180" t="str">
        <x:v>Validate()</x:v>
      </x:c>
      <x:c r="H138" s="180" t="str">
        <x:v>—（待核）</x:v>
      </x:c>
      <x:c r="I138" s="180" t="str">
        <x:v>CxVisual.Platform.Data.CxDataCarrierDescriptor</x:v>
      </x:c>
      <x:c r="J138" s="179" t="str">
        <x:v>类</x:v>
      </x:c>
      <x:c r="K138" s="180" t="str">
        <x:v>V1.19 C-0435；原实施方式：原有。迁移风险：负责DataCarrier描述符相关的载体描述与公共契约管理</x:v>
      </x:c>
      <x:c r="L138" s="183" t="str">
        <x:v>源代码声明·待复核</x:v>
      </x:c>
      <x:c r="M138" s="183" t="str">
        <x:v>C-0435</x:v>
      </x:c>
      <x:c r="N138" s="184" t="str">
        <x:v>Platform/Data/CxDataCarrier.cs</x:v>
      </x:c>
      <x:c r="O138" s="183" t="str">
        <x:v>V1.19旧源码类型（真实成员/实现仍待核）
V2.01：来源ID对应；处置=保留源码·公开契约复核
V7.8：V7.8同名且源文件对应；Platform/Data/CxDataCarrier.cs</x:v>
      </x:c>
      <x:c r="P138" s="136" t="str">
        <x:v>V1.19旧源码类型（真实成员/实现仍待核）</x:v>
      </x:c>
    </x:row>
    <x:row r="139" ht="72" customHeight="1">
      <x:c r="A139" s="179" t="str">
        <x:v>M10</x:v>
      </x:c>
      <x:c r="B139" s="180" t="str">
        <x:v>数据与状态｜DataHandle / Stream / Artifact
Data Streaming</x:v>
      </x:c>
      <x:c r="C139" s="180" t="str">
        <x:v>MDSCxDataContract</x:v>
      </x:c>
      <x:c r="D139" s="179" t="str">
        <x:v>原有·待核</x:v>
      </x:c>
      <x:c r="E139" s="180" t="str">
        <x:v>定义类型化数据传递约束并判断连接两端的数据兼容性</x:v>
      </x:c>
      <x:c r="F139" s="180" t="str">
        <x:v>ContractId, DataType, Schema, Unit, Nullable, TransferPolicy</x:v>
      </x:c>
      <x:c r="G139" s="180" t="str">
        <x:v>Validate(), IsCompatible(CxDataContract target, Func&lt;string, string, bool&gt; assignable = null), Clone()</x:v>
      </x:c>
      <x:c r="H139" s="180" t="str">
        <x:v>—（待核）</x:v>
      </x:c>
      <x:c r="I139" s="180" t="str">
        <x:v>CxVisual.Core.CxDataContract</x:v>
      </x:c>
      <x:c r="J139" s="179" t="str">
        <x:v>类</x:v>
      </x:c>
      <x:c r="K139" s="180" t="str">
        <x:v>V1.19 C-0424；原实施方式：原有。迁移风险：定义类型化数据传递约束并判断连接两端的数据兼容性</x:v>
      </x:c>
      <x:c r="L139" s="183" t="str">
        <x:v>源代码声明·待复核</x:v>
      </x:c>
      <x:c r="M139" s="183" t="str">
        <x:v>C-0424</x:v>
      </x:c>
      <x:c r="N139" s="184" t="str">
        <x:v>Platform/Core/CxDescriptorContracts.cs</x:v>
      </x:c>
      <x:c r="O139" s="183" t="str">
        <x:v>V1.19旧源码类型（真实成员/实现仍待核）
V2.01：来源ID对应；处置=保留源码·公开契约复核
V7.8：V7.8同名且源文件对应；Platform/Core/CxDescriptorContracts.cs</x:v>
      </x:c>
      <x:c r="P139" s="136" t="str">
        <x:v>V1.19旧源码类型（真实成员/实现仍待核）</x:v>
      </x:c>
    </x:row>
    <x:row r="140" ht="72" customHeight="1">
      <x:c r="A140" s="179" t="str">
        <x:v>M10</x:v>
      </x:c>
      <x:c r="B140" s="180" t="str">
        <x:v>数据与状态｜DataHandle / Stream / Artifact
Data Streaming</x:v>
      </x:c>
      <x:c r="C140" s="180" t="str">
        <x:v>MDSCxDataHandleDescriptor</x:v>
      </x:c>
      <x:c r="D140" s="179" t="str">
        <x:v>原有·待核</x:v>
      </x:c>
      <x:c r="E140" s="180" t="str">
        <x:v>描述DataHandle描述符的类型、能力、元数据及可查询信息</x:v>
      </x:c>
      <x:c r="F140" s="180" t="str">
        <x:v>HandleId, DataType, SizeBytes, Location, CarrierId, Lifetime, Version, Checksum</x:v>
      </x:c>
      <x:c r="G140" s="180" t="str">
        <x:v>CxDataHandleDescriptor(CxDataHandle handle)</x:v>
      </x:c>
      <x:c r="H140" s="180" t="str">
        <x:v>—（待核）</x:v>
      </x:c>
      <x:c r="I140" s="180" t="str">
        <x:v>CxVisual.Platform.Data.CxDataHandleDescriptor</x:v>
      </x:c>
      <x:c r="J140" s="179" t="str">
        <x:v>类</x:v>
      </x:c>
      <x:c r="K140" s="180" t="str">
        <x:v>V1.19 C-0438；原实施方式：原有。迁移风险：描述DataHandle描述符的类型、能力、元数据及可查询信息</x:v>
      </x:c>
      <x:c r="L140" s="183" t="str">
        <x:v>源代码声明·待复核</x:v>
      </x:c>
      <x:c r="M140" s="183" t="str">
        <x:v>C-0438</x:v>
      </x:c>
      <x:c r="N140" s="184" t="str">
        <x:v>Platform/Data/CxDataHandle.cs</x:v>
      </x:c>
      <x:c r="O140" s="183" t="str">
        <x:v>V1.19旧源码类型（真实成员/实现仍待核）
V2.01：来源ID对应；处置=保留源码·公开契约复核
V7.8：V7.8同名且源文件对应；Platform/Data/CxDataHandle.cs</x:v>
      </x:c>
      <x:c r="P140" s="136" t="str">
        <x:v>V1.19旧源码类型（真实成员/实现仍待核）</x:v>
      </x:c>
    </x:row>
    <x:row r="141" ht="72" customHeight="1">
      <x:c r="A141" s="179" t="str">
        <x:v>M10</x:v>
      </x:c>
      <x:c r="B141" s="180" t="str">
        <x:v>数据与状态｜DataHandle / Stream / Artifact
Data Streaming</x:v>
      </x:c>
      <x:c r="C141" s="180" t="str">
        <x:v>MDSCxDataHandleLease</x:v>
      </x:c>
      <x:c r="D141" s="179" t="str">
        <x:v>原有·待核</x:v>
      </x:c>
      <x:c r="E141" s="180" t="str">
        <x:v>表达或管理DataHandle租约相关的数据及协作职责，具体行为待源码复核〔待核〕</x:v>
      </x:c>
      <x:c r="F141" s="180" t="str">
        <x:v>Descriptor, Payload</x:v>
      </x:c>
      <x:c r="G141" s="180" t="str">
        <x:v>CxDataHandleLease(IDataCarrierLease lease, CxDataHandleDescriptor descriptor), Retain(), OnReleased(Action&lt;CxDataHandleLease&gt; action), Dispose()</x:v>
      </x:c>
      <x:c r="H141" s="180" t="str">
        <x:v>—（待核）</x:v>
      </x:c>
      <x:c r="I141" s="180" t="str">
        <x:v>CxVisual.Platform.Data.CxDataHandleLease</x:v>
      </x:c>
      <x:c r="J141" s="179" t="str">
        <x:v>类</x:v>
      </x:c>
      <x:c r="K141" s="180" t="str">
        <x:v>V1.19 C-0439；原实施方式：原有。迁移风险：表达或管理DataHandle租约相关的数据及协作职责，具体行为待源码复核〔待核〕</x:v>
      </x:c>
      <x:c r="L141" s="183" t="str">
        <x:v>源代码声明·待复核</x:v>
      </x:c>
      <x:c r="M141" s="183" t="str">
        <x:v>C-0439</x:v>
      </x:c>
      <x:c r="N141" s="184" t="str">
        <x:v>Platform/Data/CxDataHandle.cs</x:v>
      </x:c>
      <x:c r="O141" s="183" t="str">
        <x:v>V1.19旧源码类型（真实成员/实现仍待核）
V2.01：来源ID对应；处置=保留源码·公开契约复核
V7.8：V7.8同名且源文件对应；Platform/Data/CxDataHandle.cs</x:v>
      </x:c>
      <x:c r="P141" s="136" t="str">
        <x:v>V1.19旧源码类型（真实成员/实现仍待核）</x:v>
      </x:c>
    </x:row>
    <x:row r="142" ht="135" customHeight="1">
      <x:c r="A142" s="179" t="str">
        <x:v>M10</x:v>
      </x:c>
      <x:c r="B142" s="180" t="str">
        <x:v>数据与状态｜DataHandle / Stream / Artifact
Data Streaming</x:v>
      </x:c>
      <x:c r="C142" s="180" t="str">
        <x:v>MDSCxManagedDataCarrier</x:v>
      </x:c>
      <x:c r="D142" s="179" t="str">
        <x:v>原有·待核</x:v>
      </x:c>
      <x:c r="E142" s="180" t="str">
        <x:v>表达或管理ManagedDataCarrier相关的数据及协作职责，具体行为待源码复核〔待核〕</x:v>
      </x:c>
      <x:c r="F142" s="180" t="str">
        <x:v>CarrierId, IsLoaded, LastError</x:v>
      </x:c>
      <x:c r="G142" s="180" t="str">
        <x:v>CxManagedDataCarrier(CxDataCarrierDescriptor descriptor, Func&lt;object&gt; load, Func&lt;object, long&gt; size, Func&lt;object, Stream&gt; read, …), Clone(), AsReadOnly(_write == null ? new), LoadAsync(CancellationToken cancellationToken), UnloadAsync(CancellationToken cancellationToken), Acquire(), CreateHandle(DataReference reference, DataLifetime lifetime = DataLifetime.Execution, string handleId = null), ValidateReference(DataReference reference), OpenReadAsync(CancellationToken cancellationToken = default(CancellationToken); OpenWriteAsync(CancellationToken cancellationToken = default(CancellationToken); GetHealthAsync(CancellationToken cancellationToken = default(CancellationToken); Dispose(); DisposeAsync(CancellationToken cancellationToken = default(CancellationToken); Memory(string id, Func&lt;byte&gt; load, bool writable = true, Action&lt;byte&gt; release = null, long? capacity = null, ICxCl…); File(string id, string path, bool writable = false, long? capacity = null, ICxClock clock = null, string logical…); SharedMemory(string id, string name, long capacity, bool writable = false, bool create = false, ICxClock clock = null)</x:v>
      </x:c>
      <x:c r="H142" s="180" t="str">
        <x:v>—（待核）</x:v>
      </x:c>
      <x:c r="I142" s="180" t="str">
        <x:v>CxVisual.Platform.Data.CxManagedDataCarrier</x:v>
      </x:c>
      <x:c r="J142" s="179" t="str">
        <x:v>类</x:v>
      </x:c>
      <x:c r="K142" s="180" t="str">
        <x:v>V1.19 C-0441；原实施方式：原有。迁移风险：表达或管理ManagedDataCarrier相关的数据及协作职责，具体行为待源码复核〔待核〕</x:v>
      </x:c>
      <x:c r="L142" s="183" t="str">
        <x:v>源代码声明·待复核</x:v>
      </x:c>
      <x:c r="M142" s="183" t="str">
        <x:v>C-0441</x:v>
      </x:c>
      <x:c r="N142" s="184" t="str">
        <x:v>Platform/Data/CxDataCarrier.cs</x:v>
      </x:c>
      <x:c r="O142" s="183" t="str">
        <x:v>V1.19旧源码类型（真实成员/实现仍待核）
V2.01：来源ID对应；处置=保留源码·公开契约复核
V7.8：V7.8同名且源文件对应；Platform/Data/CxDataCarrier.cs</x:v>
      </x:c>
      <x:c r="P142" s="136" t="str">
        <x:v>V1.19旧源码类型（真实成员/实现仍待核）</x:v>
      </x:c>
    </x:row>
    <x:row r="143" ht="72" customHeight="1">
      <x:c r="A143" s="179" t="str">
        <x:v>M10</x:v>
      </x:c>
      <x:c r="B143" s="180" t="str">
        <x:v>数据与状态｜DataHandle / Stream / Artifact
Data Streaming</x:v>
      </x:c>
      <x:c r="C143" s="180" t="str">
        <x:v>MDSCxRuntimeDataChange</x:v>
      </x:c>
      <x:c r="D143" s="179" t="str">
        <x:v>原有·待核</x:v>
      </x:c>
      <x:c r="E143" s="180" t="str">
        <x:v>表达或管理运行时DataChange相关的数据及协作职责，具体行为待源码复核〔待核〕</x:v>
      </x:c>
      <x:c r="F143" s="180" t="str">
        <x:v>Key, Sequence, Origin</x:v>
      </x:c>
      <x:c r="G143" s="180" t="str">
        <x:v>CxRuntimeDataChange(string key, long sequence, string origin)</x:v>
      </x:c>
      <x:c r="H143" s="180" t="str">
        <x:v>—（待核）</x:v>
      </x:c>
      <x:c r="I143" s="180" t="str">
        <x:v>CxVisual.Platform.Data.CxRuntimeDataChange</x:v>
      </x:c>
      <x:c r="J143" s="179" t="str">
        <x:v>类</x:v>
      </x:c>
      <x:c r="K143" s="180" t="str">
        <x:v>V1.19 C-0443；原实施方式：原有。迁移风险：表达或管理运行时DataChange相关的数据及协作职责，具体行为待源码复核〔待核〕</x:v>
      </x:c>
      <x:c r="L143" s="183" t="str">
        <x:v>源代码声明·待复核</x:v>
      </x:c>
      <x:c r="M143" s="183" t="str">
        <x:v>C-0443</x:v>
      </x:c>
      <x:c r="N143" s="184" t="str">
        <x:v>Platform/Data/CxRuntimeDataScope.cs</x:v>
      </x:c>
      <x:c r="O143" s="183" t="str">
        <x:v>V1.19旧源码类型（真实成员/实现仍待核）
V2.01：来源ID对应；处置=保留源码·公开契约复核
V7.8：V7.8同名且源文件对应；Platform/Data/CxRuntimeDataScope.cs</x:v>
      </x:c>
      <x:c r="P143" s="136" t="str">
        <x:v>V1.19旧源码类型（真实成员/实现仍待核）</x:v>
      </x:c>
    </x:row>
    <x:row r="144" ht="135" customHeight="1">
      <x:c r="A144" s="179" t="str">
        <x:v>M10</x:v>
      </x:c>
      <x:c r="B144" s="180" t="str">
        <x:v>数据与状态｜DataHandle / Stream / Artifact
Data Streaming</x:v>
      </x:c>
      <x:c r="C144" s="180" t="str">
        <x:v>MDSCxRuntimeDataScope</x:v>
      </x:c>
      <x:c r="D144" s="179" t="str">
        <x:v>原有·待核</x:v>
      </x:c>
      <x:c r="E144" s="180" t="str">
        <x:v>负责运行时DataScope相关的执行数据Scope与公共契约管理</x:v>
      </x:c>
      <x:c r="F144" s="180" t="str">
        <x:v>ScopeId, Parent, IsClosed, LastObserverError, Values, Handles</x:v>
      </x:c>
      <x:c r="G144" s="180" t="str">
        <x:v>CxRuntimeDataScope(string scopeId, DataAspectDefinition definition = null, CxRuntimeDataScope parent = null, CxTypeResolver ty…), CanWrite(string key), CaptureSnapshot(out CxRuntimeDataScopechildren), Subscribe(Action&lt;CxRuntimeDataChange&gt; callback), CreateChild(string scopeId = null, DataAspectDefinition definition = null), Set(string key, object value, string origin = null), SetHandle(string key, CxDataHandle handle, bool ownsLifetime = false, string origin = null), SetLease(string key, CxDataHandleLease lease, string origin = null), RetryRetiredCleanup(), Get(string key), TryGet(string key, out object value), Dispose()</x:v>
      </x:c>
      <x:c r="H144" s="180" t="str">
        <x:v>—（待核）</x:v>
      </x:c>
      <x:c r="I144" s="180" t="str">
        <x:v>CxVisual.Platform.Data.CxRuntimeDataScope</x:v>
      </x:c>
      <x:c r="J144" s="179" t="str">
        <x:v>类</x:v>
      </x:c>
      <x:c r="K144" s="180" t="str">
        <x:v>V1.19 C-0444；原实施方式：原有。迁移风险：负责运行时DataScope相关的执行数据Scope与公共契约管理</x:v>
      </x:c>
      <x:c r="L144" s="183" t="str">
        <x:v>源代码声明·待复核</x:v>
      </x:c>
      <x:c r="M144" s="183" t="str">
        <x:v>C-0444</x:v>
      </x:c>
      <x:c r="N144" s="184" t="str">
        <x:v>Platform/Data/CxRuntimeDataScope.cs</x:v>
      </x:c>
      <x:c r="O144" s="183" t="str">
        <x:v>V1.19旧源码类型（真实成员/实现仍待核）
V2.01：来源ID对应；处置=保留源码·公开契约复核
V7.8：V7.8同名且源文件对应；Platform/Data/CxRuntimeDataScope.cs</x:v>
      </x:c>
      <x:c r="P144" s="136" t="str">
        <x:v>V1.19旧源码类型（真实成员/实现仍待核）</x:v>
      </x:c>
    </x:row>
    <x:row r="145" ht="72" customHeight="1">
      <x:c r="A145" s="179" t="str">
        <x:v>M10</x:v>
      </x:c>
      <x:c r="B145" s="180" t="str">
        <x:v>数据与状态｜DataHandle / Stream / Artifact
Data Streaming</x:v>
      </x:c>
      <x:c r="C145" s="180" t="str">
        <x:v>MDSCxStreamState</x:v>
      </x:c>
      <x:c r="D145" s="179" t="str">
        <x:v>原有·待核</x:v>
      </x:c>
      <x:c r="E145" s="180" t="str">
        <x:v>定义流状态的候选取值、状态或模式，供相关流程作分支判断</x:v>
      </x:c>
      <x:c r="F145" s="180" t="str">
        <x:v>枚举值：Open, Completing, Completed, Cancelled</x:v>
      </x:c>
      <x:c r="G145" s="180" t="str">
        <x:v>—(无公开声明或待核对)</x:v>
      </x:c>
      <x:c r="H145" s="180" t="str">
        <x:v>—（待核）</x:v>
      </x:c>
      <x:c r="I145" s="180" t="str">
        <x:v>CxVisual.Platform.Data.CxStreamState</x:v>
      </x:c>
      <x:c r="J145" s="179" t="str">
        <x:v>枚举</x:v>
      </x:c>
      <x:c r="K145" s="180" t="str">
        <x:v>V1.19 C-0449；原实施方式：原有。迁移风险：定义流状态的候选取值、状态或模式，供相关流程作分支判断</x:v>
      </x:c>
      <x:c r="L145" s="183" t="str">
        <x:v>源代码声明·待复核</x:v>
      </x:c>
      <x:c r="M145" s="183" t="str">
        <x:v>C-0449</x:v>
      </x:c>
      <x:c r="N145" s="184" t="str">
        <x:v>Platform/Data/CxStreamHandle.cs</x:v>
      </x:c>
      <x:c r="O145" s="183" t="str">
        <x:v>V1.19旧源码类型（真实成员/实现仍待核）
V2.01：来源ID对应；处置=保留源码·公开契约复核
V7.8：V7.8同名且源文件对应；Platform/Data/CxStreamHandle.cs</x:v>
      </x:c>
      <x:c r="P145" s="136" t="str">
        <x:v>V1.19旧源码类型（真实成员/实现仍待核）</x:v>
      </x:c>
    </x:row>
    <x:row r="146" ht="72" customHeight="1">
      <x:c r="A146" s="179" t="str">
        <x:v>M10</x:v>
      </x:c>
      <x:c r="B146" s="180" t="str">
        <x:v>数据与状态｜DataHandle / Stream / Artifact
Data Streaming</x:v>
      </x:c>
      <x:c r="C146" s="180" t="str">
        <x:v>MDSDataAspectDefinition</x:v>
      </x:c>
      <x:c r="D146" s="179" t="str">
        <x:v>原有·待核</x:v>
      </x:c>
      <x:c r="E146" s="180" t="str">
        <x:v>声明DataAspect定义可配置的工程定义、字段和校验约束</x:v>
      </x:c>
      <x:c r="F146" s="180" t="str">
        <x:v>Lifetime, Nodes, Ports, Slots</x:v>
      </x:c>
      <x:c r="G146" s="180" t="str">
        <x:v>DataAspectDefinition(), Validate(), Validate(CxVisual.Mechanism.Orchestration.CxTypeResolver types), DeepClone(), List()</x:v>
      </x:c>
      <x:c r="H146" s="180" t="str">
        <x:v>—（待核）</x:v>
      </x:c>
      <x:c r="I146" s="180" t="str">
        <x:v>CxVisual.Core.DataAspectDefinition</x:v>
      </x:c>
      <x:c r="J146" s="179" t="str">
        <x:v>类</x:v>
      </x:c>
      <x:c r="K146" s="180" t="str">
        <x:v>V1.19 C-0425；原实施方式：原有。迁移风险：声明DataAspect定义可配置的工程定义、字段和校验约束</x:v>
      </x:c>
      <x:c r="L146" s="183" t="str">
        <x:v>源代码声明·待复核</x:v>
      </x:c>
      <x:c r="M146" s="183" t="str">
        <x:v>C-0425</x:v>
      </x:c>
      <x:c r="N146" s="184" t="str">
        <x:v>Platform/Core/AspectDefinitions.cs</x:v>
      </x:c>
      <x:c r="O146" s="183" t="str">
        <x:v>V1.19旧源码类型（真实成员/实现仍待核）
V2.01：来源ID对应；处置=保留源码·公开契约复核
V7.8：V7.8同名且源文件对应；Platform/Core/AspectDefinitions.cs</x:v>
      </x:c>
      <x:c r="P146" s="136" t="str">
        <x:v>V1.19旧源码类型（真实成员/实现仍待核）</x:v>
      </x:c>
    </x:row>
    <x:row r="147" ht="72" customHeight="1">
      <x:c r="A147" s="179" t="str">
        <x:v>M10</x:v>
      </x:c>
      <x:c r="B147" s="180" t="str">
        <x:v>数据与状态｜DataHandle / Stream / Artifact
Data Streaming</x:v>
      </x:c>
      <x:c r="C147" s="180" t="str">
        <x:v>MDSDataBindingDefinition</x:v>
      </x:c>
      <x:c r="D147" s="179" t="str">
        <x:v>原有·待核</x:v>
      </x:c>
      <x:c r="E147" s="180" t="str">
        <x:v>声明Data绑定定义可配置的工程定义、字段和校验约束</x:v>
      </x:c>
      <x:c r="F147" s="180" t="str">
        <x:v>Id, TargetSlotId, SourceVariableId, SourceObjectId, SourceSlotId, Mode, Converter, FallbackValue, HasFallback, UpdateTrigger</x:v>
      </x:c>
      <x:c r="G147" s="180" t="str">
        <x:v>DeepClone()</x:v>
      </x:c>
      <x:c r="H147" s="180" t="str">
        <x:v>—（待核）</x:v>
      </x:c>
      <x:c r="I147" s="180" t="str">
        <x:v>CxVisual.Core.DataBindingDefinition</x:v>
      </x:c>
      <x:c r="J147" s="179" t="str">
        <x:v>类</x:v>
      </x:c>
      <x:c r="K147" s="180" t="str">
        <x:v>V1.19 C-0426；原实施方式：原有。迁移风险：声明Data绑定定义可配置的工程定义、字段和校验约束</x:v>
      </x:c>
      <x:c r="L147" s="183" t="str">
        <x:v>源代码声明·待复核</x:v>
      </x:c>
      <x:c r="M147" s="183" t="str">
        <x:v>C-0426</x:v>
      </x:c>
      <x:c r="N147" s="184" t="str">
        <x:v>Platform/Core/AspectDefinitions.cs</x:v>
      </x:c>
      <x:c r="O147" s="183" t="str">
        <x:v>V1.19旧源码类型（真实成员/实现仍待核）
V2.01：来源ID对应；处置=保留源码·公开契约复核
V7.8：V7.8同名且源文件对应；Platform/Core/AspectDefinitions.cs</x:v>
      </x:c>
      <x:c r="P147" s="136" t="str">
        <x:v>V1.19旧源码类型（真实成员/实现仍待核）</x:v>
      </x:c>
    </x:row>
    <x:row r="148" ht="72" customHeight="1">
      <x:c r="A148" s="179" t="str">
        <x:v>M10</x:v>
      </x:c>
      <x:c r="B148" s="180" t="str">
        <x:v>数据与状态｜DataHandle / Stream / Artifact
Data Streaming</x:v>
      </x:c>
      <x:c r="C148" s="180" t="str">
        <x:v>MDSDataCarriers</x:v>
      </x:c>
      <x:c r="D148" s="179" t="str">
        <x:v>原有·待核</x:v>
      </x:c>
      <x:c r="E148" s="180" t="str">
        <x:v>提供DataCarriers相关基础操作或类型辅助处理</x:v>
      </x:c>
      <x:c r="F148" s="180" t="str">
        <x:v>—（无公开声明或待核对）</x:v>
      </x:c>
      <x:c r="G148" s="180" t="str">
        <x:v>Memory(string carrierId, Func&lt;object&gt; load, Action&lt;object&gt; release = null), File(string carrierId, string path), SharedMemory(string carrierId, string mappingName)</x:v>
      </x:c>
      <x:c r="H148" s="180" t="str">
        <x:v>—（待核）</x:v>
      </x:c>
      <x:c r="I148" s="180" t="str">
        <x:v>CxVisual.Platform.Data.DataCarriers</x:v>
      </x:c>
      <x:c r="J148" s="179" t="str">
        <x:v>静态类</x:v>
      </x:c>
      <x:c r="K148" s="180" t="str">
        <x:v>V1.19 C-0453；原实施方式：原有。迁移风险：提供DataCarriers相关基础操作或类型辅助处理</x:v>
      </x:c>
      <x:c r="L148" s="183" t="str">
        <x:v>源代码声明·待复核</x:v>
      </x:c>
      <x:c r="M148" s="183" t="str">
        <x:v>C-0453</x:v>
      </x:c>
      <x:c r="N148" s="184" t="str">
        <x:v>Platform/Data/DataCarrier.cs</x:v>
      </x:c>
      <x:c r="O148" s="183" t="str">
        <x:v>V1.19旧源码类型（真实成员/实现仍待核）
V2.01：来源ID对应；处置=保留源码·公开契约复核
V7.8：V7.8同名且源文件对应；Platform/Data/DataCarrier.cs</x:v>
      </x:c>
      <x:c r="P148" s="136" t="str">
        <x:v>V1.19旧源码类型（真实成员/实现仍待核）</x:v>
      </x:c>
    </x:row>
    <x:row r="149" ht="72" customHeight="1">
      <x:c r="A149" s="179" t="str">
        <x:v>M10</x:v>
      </x:c>
      <x:c r="B149" s="180" t="str">
        <x:v>数据与状态｜DataHandle / Stream / Artifact
Data Streaming</x:v>
      </x:c>
      <x:c r="C149" s="180" t="str">
        <x:v>MDSDataCarrierState</x:v>
      </x:c>
      <x:c r="D149" s="179" t="str">
        <x:v>原有·待核</x:v>
      </x:c>
      <x:c r="E149" s="180" t="str">
        <x:v>表示DataCarrier状态当前运行状态和必要的状态转换数据</x:v>
      </x:c>
      <x:c r="F149" s="180" t="str">
        <x:v>CarrierId, IsLoaded, OwnedLifetime</x:v>
      </x:c>
      <x:c r="G149" s="180" t="str">
        <x:v>DataCarrierState(string carrierId, bool isLoaded, bool ownedLifetime)</x:v>
      </x:c>
      <x:c r="H149" s="180" t="str">
        <x:v>—（待核）</x:v>
      </x:c>
      <x:c r="I149" s="180" t="str">
        <x:v>CxVisual.Platform.Data.DataCarrierState</x:v>
      </x:c>
      <x:c r="J149" s="179" t="str">
        <x:v>类</x:v>
      </x:c>
      <x:c r="K149" s="180" t="str">
        <x:v>V1.19 C-0452；原实施方式：原有。迁移风险：表示DataCarrier状态当前运行状态和必要的状态转换数据</x:v>
      </x:c>
      <x:c r="L149" s="183" t="str">
        <x:v>源代码声明·待复核</x:v>
      </x:c>
      <x:c r="M149" s="183" t="str">
        <x:v>C-0452</x:v>
      </x:c>
      <x:c r="N149" s="184" t="str">
        <x:v>Platform/Data/DataContext.cs</x:v>
      </x:c>
      <x:c r="O149" s="183" t="str">
        <x:v>V1.19旧源码类型（真实成员/实现仍待核）
V2.01：来源ID对应；处置=保留源码·公开契约复核
V7.8：V7.8同名且源文件对应；Platform/Data/DataContext.cs</x:v>
      </x:c>
      <x:c r="P149" s="136" t="str">
        <x:v>V1.19旧源码类型（真实成员/实现仍待核）</x:v>
      </x:c>
    </x:row>
    <x:row r="150" ht="72" customHeight="1">
      <x:c r="A150" s="179" t="str">
        <x:v>M10</x:v>
      </x:c>
      <x:c r="B150" s="180" t="str">
        <x:v>数据与状态｜DataHandle / Stream / Artifact
Data Streaming</x:v>
      </x:c>
      <x:c r="C150" s="180" t="str">
        <x:v>MDSDataContext</x:v>
      </x:c>
      <x:c r="D150" s="179" t="str">
        <x:v>原有·待核</x:v>
      </x:c>
      <x:c r="E150" s="180" t="str">
        <x:v>传递Data上下文执行或编辑过程中共享的上下文数据</x:v>
      </x:c>
      <x:c r="F150" s="180" t="str">
        <x:v>ContextId, Parent, Stack, CarrierStates</x:v>
      </x:c>
      <x:c r="G150" s="180" t="str">
        <x:v>DataContext(string contextId, DataContext parent = null), CreateChild(string childId), SetValue(string key, DataValue value), SetReference(string key, DataReference reference), RegisterCarrier(IDataCarrier carrier, bool ownsLifetime = false), ResolveCarrier(string carrierId), AcquireAsync(DataReference reference, CancellationToken cancellationToken), TryGet(string key, out RuntimeDataEntry entry), Dispose()</x:v>
      </x:c>
      <x:c r="H150" s="180" t="str">
        <x:v>—（待核）</x:v>
      </x:c>
      <x:c r="I150" s="180" t="str">
        <x:v>CxVisual.Platform.Data.DataContext</x:v>
      </x:c>
      <x:c r="J150" s="179" t="str">
        <x:v>类</x:v>
      </x:c>
      <x:c r="K150" s="180" t="str">
        <x:v>V1.19 C-0454；原实施方式：原有。迁移风险：传递Data上下文执行或编辑过程中共享的上下文数据</x:v>
      </x:c>
      <x:c r="L150" s="183" t="str">
        <x:v>源代码声明·待复核</x:v>
      </x:c>
      <x:c r="M150" s="183" t="str">
        <x:v>C-0454</x:v>
      </x:c>
      <x:c r="N150" s="184" t="str">
        <x:v>Platform/Data/DataContext.cs</x:v>
      </x:c>
      <x:c r="O150" s="183" t="str">
        <x:v>V1.19旧源码类型（真实成员/实现仍待核）
V2.01：来源ID对应；处置=保留源码·公开契约复核
V7.8：V7.8同名且源文件对应；Platform/Data/DataContext.cs</x:v>
      </x:c>
      <x:c r="P150" s="136" t="str">
        <x:v>V1.19旧源码类型（真实成员/实现仍待核）</x:v>
      </x:c>
    </x:row>
    <x:row r="151" ht="72" customHeight="1">
      <x:c r="A151" s="179" t="str">
        <x:v>M10</x:v>
      </x:c>
      <x:c r="B151" s="180" t="str">
        <x:v>数据与状态｜DataHandle / Stream / Artifact
Data Streaming</x:v>
      </x:c>
      <x:c r="C151" s="180" t="str">
        <x:v>MDSDataHandle&lt;T&gt;</x:v>
      </x:c>
      <x:c r="D151" s="179" t="str">
        <x:v>原有·待核</x:v>
      </x:c>
      <x:c r="E151" s="180" t="str">
        <x:v>表达或管理DataHandleT相关的数据及协作职责，具体行为待源码复核〔待核〕</x:v>
      </x:c>
      <x:c r="F151" s="180" t="str">
        <x:v>Id, Value</x:v>
      </x:c>
      <x:c r="G151" s="180" t="str">
        <x:v>DataHandle(T value, Action&lt;T&gt; release = null), Retain(), Dispose()</x:v>
      </x:c>
      <x:c r="H151" s="180" t="str">
        <x:v>—（待核）</x:v>
      </x:c>
      <x:c r="I151" s="180" t="str">
        <x:v>CxVisual.Platform.Data.DataHandle&lt;T&gt;</x:v>
      </x:c>
      <x:c r="J151" s="179" t="str">
        <x:v>类</x:v>
      </x:c>
      <x:c r="K151" s="180" t="str">
        <x:v>V1.19 C-0456；原实施方式：原有。迁移风险：表达或管理DataHandleT相关的数据及协作职责，具体行为待源码复核〔待核〕</x:v>
      </x:c>
      <x:c r="L151" s="183" t="str">
        <x:v>源代码声明·待复核</x:v>
      </x:c>
      <x:c r="M151" s="183" t="str">
        <x:v>C-0456</x:v>
      </x:c>
      <x:c r="N151" s="184" t="str">
        <x:v>D:\cyg\cx-visual-x2\Platform\Data\DataHandle.cs:7</x:v>
      </x:c>
      <x:c r="O151" s="183" t="str">
        <x:v>V1.19旧源码类型（真实成员/实现仍待核）
V2.01：来源ID对应；处置=保留源码·公开契约复核
V7.8：V7.8同名且源文件对应；Platform/Data/DataHandle.cs</x:v>
      </x:c>
      <x:c r="P151" s="136" t="str">
        <x:v>V1.19旧源码类型（真实成员/实现仍待核）</x:v>
      </x:c>
    </x:row>
    <x:row r="152" ht="72" customHeight="1">
      <x:c r="A152" s="179" t="str">
        <x:v>M10</x:v>
      </x:c>
      <x:c r="B152" s="180" t="str">
        <x:v>数据与状态｜DataHandle / Stream / Artifact
Data Streaming</x:v>
      </x:c>
      <x:c r="C152" s="180" t="str">
        <x:v>MDSDataHandleTracker</x:v>
      </x:c>
      <x:c r="D152" s="179" t="str">
        <x:v>原有·待核</x:v>
      </x:c>
      <x:c r="E152" s="180" t="str">
        <x:v>表达或管理DataHandleTracker相关的数据及协作职责，具体行为待源码复核〔待核〕</x:v>
      </x:c>
      <x:c r="F152" s="180" t="str">
        <x:v>Created, Released, Active</x:v>
      </x:c>
      <x:c r="G152" s="180" t="str">
        <x:v>DataHandle(T value)</x:v>
      </x:c>
      <x:c r="H152" s="180" t="str">
        <x:v>—（待核）</x:v>
      </x:c>
      <x:c r="I152" s="180" t="str">
        <x:v>CxVisual.Platform.Data.DataHandleTracker</x:v>
      </x:c>
      <x:c r="J152" s="179" t="str">
        <x:v>类</x:v>
      </x:c>
      <x:c r="K152" s="180" t="str">
        <x:v>V1.19 C-0457；原实施方式：原有。迁移风险：表达或管理DataHandleTracker相关的数据及协作职责，具体行为待源码复核〔待核〕</x:v>
      </x:c>
      <x:c r="L152" s="183" t="str">
        <x:v>源代码声明·待复核</x:v>
      </x:c>
      <x:c r="M152" s="183" t="str">
        <x:v>C-0457</x:v>
      </x:c>
      <x:c r="N152" s="184" t="str">
        <x:v>Platform/Data/DataHandle.cs</x:v>
      </x:c>
      <x:c r="O152" s="183" t="str">
        <x:v>V1.19旧源码类型（真实成员/实现仍待核）
V2.01：来源ID对应；处置=保留源码·公开契约复核
V7.8：V7.8同名且源文件对应；Platform/Data/DataHandle.cs</x:v>
      </x:c>
      <x:c r="P152" s="136" t="str">
        <x:v>V1.19旧源码类型（真实成员/实现仍待核）</x:v>
      </x:c>
    </x:row>
    <x:row r="153" ht="72" customHeight="1">
      <x:c r="A153" s="179" t="str">
        <x:v>M10</x:v>
      </x:c>
      <x:c r="B153" s="180" t="str">
        <x:v>数据与状态｜DataHandle / Stream / Artifact
Data Streaming</x:v>
      </x:c>
      <x:c r="C153" s="180" t="str">
        <x:v>MDSDataLifetime</x:v>
      </x:c>
      <x:c r="D153" s="179" t="str">
        <x:v>原有·待核</x:v>
      </x:c>
      <x:c r="E153" s="180" t="str">
        <x:v>定义DataLifetime的候选取值、状态或模式，供相关流程作分支判断</x:v>
      </x:c>
      <x:c r="F153" s="180" t="str">
        <x:v>枚举值：Project, Workbench, Page, Content, Execution, Temporary, External</x:v>
      </x:c>
      <x:c r="G153" s="180" t="str">
        <x:v>—(无公开声明或待核对)</x:v>
      </x:c>
      <x:c r="H153" s="180" t="str">
        <x:v>—（待核）</x:v>
      </x:c>
      <x:c r="I153" s="180" t="str">
        <x:v>CxVisual.Core.DataLifetime</x:v>
      </x:c>
      <x:c r="J153" s="179" t="str">
        <x:v>枚举</x:v>
      </x:c>
      <x:c r="K153" s="180" t="str">
        <x:v>V1.19 C-0427；原实施方式：原有。迁移风险：定义DataLifetime的候选取值、状态或模式，供相关流程作分支判断</x:v>
      </x:c>
      <x:c r="L153" s="183" t="str">
        <x:v>源代码声明·待复核</x:v>
      </x:c>
      <x:c r="M153" s="183" t="str">
        <x:v>C-0427</x:v>
      </x:c>
      <x:c r="N153" s="184" t="str">
        <x:v>Platform/Core/AspectDefinitions.cs</x:v>
      </x:c>
      <x:c r="O153" s="183" t="str">
        <x:v>V1.19旧源码类型（真实成员/实现仍待核）
V2.01：来源ID对应；处置=保留源码·公开契约复核
V7.8：V7.8同名且源文件对应；Platform/Core/AspectDefinitions.cs</x:v>
      </x:c>
      <x:c r="P153" s="136" t="str">
        <x:v>V1.19旧源码类型（真实成员/实现仍待核）</x:v>
      </x:c>
    </x:row>
    <x:row r="154" ht="72" customHeight="1">
      <x:c r="A154" s="179" t="str">
        <x:v>M10</x:v>
      </x:c>
      <x:c r="B154" s="180" t="str">
        <x:v>数据与状态｜DataHandle / Stream / Artifact
Data Streaming</x:v>
      </x:c>
      <x:c r="C154" s="180" t="str">
        <x:v>MDSDataNodeDefinition</x:v>
      </x:c>
      <x:c r="D154" s="179" t="str">
        <x:v>原有·待核</x:v>
      </x:c>
      <x:c r="E154" s="180" t="str">
        <x:v>声明Data节点定义可配置的工程定义、字段和校验约束</x:v>
      </x:c>
      <x:c r="F154" s="180" t="str">
        <x:v>Id, Name, TypeId, Reference, Ports</x:v>
      </x:c>
      <x:c r="G154" s="180" t="str">
        <x:v>DataNodeDefinition(), DeepClone()</x:v>
      </x:c>
      <x:c r="H154" s="180" t="str">
        <x:v>—（待核）</x:v>
      </x:c>
      <x:c r="I154" s="180" t="str">
        <x:v>CxVisual.Core.DataNodeDefinition</x:v>
      </x:c>
      <x:c r="J154" s="179" t="str">
        <x:v>类</x:v>
      </x:c>
      <x:c r="K154" s="180" t="str">
        <x:v>V1.19 C-0428；原实施方式：原有。迁移风险：声明Data节点定义可配置的工程定义、字段和校验约束</x:v>
      </x:c>
      <x:c r="L154" s="183" t="str">
        <x:v>源代码声明·待复核</x:v>
      </x:c>
      <x:c r="M154" s="183" t="str">
        <x:v>C-0428</x:v>
      </x:c>
      <x:c r="N154" s="184" t="str">
        <x:v>Platform/Core/AspectDefinitions.cs</x:v>
      </x:c>
      <x:c r="O154" s="183" t="str">
        <x:v>V1.19旧源码类型（真实成员/实现仍待核）
V2.01：来源ID对应；处置=保留源码·公开契约复核
V7.8：V7.8同名且源文件对应；Platform/Core/AspectDefinitions.cs</x:v>
      </x:c>
      <x:c r="P154" s="136" t="str">
        <x:v>V1.19旧源码类型（真实成员/实现仍待核）</x:v>
      </x:c>
    </x:row>
    <x:row r="155" ht="72" customHeight="1">
      <x:c r="A155" s="179" t="str">
        <x:v>M10</x:v>
      </x:c>
      <x:c r="B155" s="180" t="str">
        <x:v>数据与状态｜DataHandle / Stream / Artifact
Data Streaming</x:v>
      </x:c>
      <x:c r="C155" s="180" t="str">
        <x:v>MDSDataPortDefinition</x:v>
      </x:c>
      <x:c r="D155" s="179" t="str">
        <x:v>原有·待核</x:v>
      </x:c>
      <x:c r="E155" s="180" t="str">
        <x:v>声明Data端口定义可配置的工程定义、字段和校验约束</x:v>
      </x:c>
      <x:c r="F155" s="180" t="str">
        <x:v>Id, Key, TypeId, Direction, Optional, Metadata</x:v>
      </x:c>
      <x:c r="G155" s="180" t="str">
        <x:v>ShouldSerializeMetadata(), DeepClone()</x:v>
      </x:c>
      <x:c r="H155" s="180" t="str">
        <x:v>—（待核）</x:v>
      </x:c>
      <x:c r="I155" s="180" t="str">
        <x:v>CxVisual.Core.DataPortDefinition</x:v>
      </x:c>
      <x:c r="J155" s="179" t="str">
        <x:v>类</x:v>
      </x:c>
      <x:c r="K155" s="180" t="str">
        <x:v>V1.19 C-0429；原实施方式：原有。迁移风险：声明Data端口定义可配置的工程定义、字段和校验约束</x:v>
      </x:c>
      <x:c r="L155" s="183" t="str">
        <x:v>源代码声明·待复核</x:v>
      </x:c>
      <x:c r="M155" s="183" t="str">
        <x:v>C-0429</x:v>
      </x:c>
      <x:c r="N155" s="184" t="str">
        <x:v>Platform/Core/AspectDefinitions.cs</x:v>
      </x:c>
      <x:c r="O155" s="183" t="str">
        <x:v>V1.19旧源码类型（真实成员/实现仍待核）
V2.01：来源ID对应；处置=保留源码·公开契约复核
V7.8：V7.8同名且源文件对应；Platform/Core/AspectDefinitions.cs</x:v>
      </x:c>
      <x:c r="P155" s="136" t="str">
        <x:v>V1.19旧源码类型（真实成员/实现仍待核）</x:v>
      </x:c>
    </x:row>
    <x:row r="156" ht="72" customHeight="1">
      <x:c r="A156" s="179" t="str">
        <x:v>M10</x:v>
      </x:c>
      <x:c r="B156" s="180" t="str">
        <x:v>数据与状态｜DataHandle / Stream / Artifact
Data Streaming</x:v>
      </x:c>
      <x:c r="C156" s="180" t="str">
        <x:v>MDSDataReference</x:v>
      </x:c>
      <x:c r="D156" s="179" t="str">
        <x:v>原有·待核</x:v>
      </x:c>
      <x:c r="E156" s="180" t="str">
        <x:v>表达或管理Data引用相关的数据及协作职责，具体行为待源码复核〔待核〕</x:v>
      </x:c>
      <x:c r="F156" s="180" t="str">
        <x:v>DataId, TypeId, Version, CarrierId, Location</x:v>
      </x:c>
      <x:c r="G156" s="180" t="str">
        <x:v>DeepClone()</x:v>
      </x:c>
      <x:c r="H156" s="180" t="str">
        <x:v>—（待核）</x:v>
      </x:c>
      <x:c r="I156" s="180" t="str">
        <x:v>CxVisual.Core.DataReference</x:v>
      </x:c>
      <x:c r="J156" s="179" t="str">
        <x:v>类</x:v>
      </x:c>
      <x:c r="K156" s="180" t="str">
        <x:v>V1.19 C-0430；原实施方式：原有。迁移风险：表达或管理Data引用相关的数据及协作职责，具体行为待源码复核〔待核〕</x:v>
      </x:c>
      <x:c r="L156" s="183" t="str">
        <x:v>源代码声明·待复核</x:v>
      </x:c>
      <x:c r="M156" s="183" t="str">
        <x:v>C-0430</x:v>
      </x:c>
      <x:c r="N156" s="184" t="str">
        <x:v>Platform/Core/AspectDefinitions.cs</x:v>
      </x:c>
      <x:c r="O156" s="183" t="str">
        <x:v>V1.19旧源码类型（真实成员/实现仍待核）
V2.01：来源ID对应；处置=保留源码·公开契约复核
V7.8：V7.8同名且源文件对应；Platform/Core/AspectDefinitions.cs</x:v>
      </x:c>
      <x:c r="P156" s="136" t="str">
        <x:v>V1.19旧源码类型（真实成员/实现仍待核）</x:v>
      </x:c>
    </x:row>
    <x:row r="157" ht="72" customHeight="1">
      <x:c r="A157" s="179" t="str">
        <x:v>M10</x:v>
      </x:c>
      <x:c r="B157" s="180" t="str">
        <x:v>数据与状态｜DataHandle / Stream / Artifact
Data Streaming</x:v>
      </x:c>
      <x:c r="C157" s="180" t="str">
        <x:v>MDSDataSlotDefinition</x:v>
      </x:c>
      <x:c r="D157" s="179" t="str">
        <x:v>原有·待核</x:v>
      </x:c>
      <x:c r="E157" s="180" t="str">
        <x:v>声明DataSlot定义可配置的工程定义、字段和校验约束</x:v>
      </x:c>
      <x:c r="F157" s="180" t="str">
        <x:v>Id, Name, TypeId, Direction, Reference</x:v>
      </x:c>
      <x:c r="G157" s="180" t="str">
        <x:v>DeepClone()</x:v>
      </x:c>
      <x:c r="H157" s="180" t="str">
        <x:v>—（待核）</x:v>
      </x:c>
      <x:c r="I157" s="180" t="str">
        <x:v>CxVisual.Core.DataSlotDefinition</x:v>
      </x:c>
      <x:c r="J157" s="179" t="str">
        <x:v>类</x:v>
      </x:c>
      <x:c r="K157" s="180" t="str">
        <x:v>V1.19 C-0431；原实施方式：原有。迁移风险：声明DataSlot定义可配置的工程定义、字段和校验约束</x:v>
      </x:c>
      <x:c r="L157" s="183" t="str">
        <x:v>源代码声明·待复核</x:v>
      </x:c>
      <x:c r="M157" s="183" t="str">
        <x:v>C-0431</x:v>
      </x:c>
      <x:c r="N157" s="184" t="str">
        <x:v>Platform/Core/AspectDefinitions.cs</x:v>
      </x:c>
      <x:c r="O157" s="183" t="str">
        <x:v>V1.19旧源码类型（真实成员/实现仍待核）
V2.01：来源ID对应；处置=保留源码·公开契约复核
V7.8：V7.8同名且源文件对应；Platform/Core/AspectDefinitions.cs</x:v>
      </x:c>
      <x:c r="P157" s="136" t="str">
        <x:v>V1.19旧源码类型（真实成员/实现仍待核）</x:v>
      </x:c>
    </x:row>
    <x:row r="158" ht="72" customHeight="1">
      <x:c r="A158" s="179" t="str">
        <x:v>M10</x:v>
      </x:c>
      <x:c r="B158" s="180" t="str">
        <x:v>数据与状态｜DataHandle / Stream / Artifact
Data Streaming</x:v>
      </x:c>
      <x:c r="C158" s="180" t="str">
        <x:v>MDSDataSlotDirection</x:v>
      </x:c>
      <x:c r="D158" s="179" t="str">
        <x:v>原有·待核</x:v>
      </x:c>
      <x:c r="E158" s="180" t="str">
        <x:v>定义DataSlotDirection的候选取值、状态或模式，供相关流程作分支判断</x:v>
      </x:c>
      <x:c r="F158" s="180" t="str">
        <x:v>枚举值：Input, Output, Local</x:v>
      </x:c>
      <x:c r="G158" s="180" t="str">
        <x:v>—(无公开声明或待核对)</x:v>
      </x:c>
      <x:c r="H158" s="180" t="str">
        <x:v>—（待核）</x:v>
      </x:c>
      <x:c r="I158" s="180" t="str">
        <x:v>CxVisual.Core.DataSlotDirection</x:v>
      </x:c>
      <x:c r="J158" s="179" t="str">
        <x:v>枚举</x:v>
      </x:c>
      <x:c r="K158" s="180" t="str">
        <x:v>V1.19 C-0432；原实施方式：原有。迁移风险：定义DataSlotDirection的候选取值、状态或模式，供相关流程作分支判断</x:v>
      </x:c>
      <x:c r="L158" s="183" t="str">
        <x:v>源代码声明·待复核</x:v>
      </x:c>
      <x:c r="M158" s="183" t="str">
        <x:v>C-0432</x:v>
      </x:c>
      <x:c r="N158" s="184" t="str">
        <x:v>Platform/Core/AspectDefinitions.cs</x:v>
      </x:c>
      <x:c r="O158" s="183" t="str">
        <x:v>V1.19旧源码类型（真实成员/实现仍待核）
V2.01：来源ID对应；处置=保留源码·公开契约复核
V7.8：V7.8同名且源文件对应；Platform/Core/AspectDefinitions.cs</x:v>
      </x:c>
      <x:c r="P158" s="136" t="str">
        <x:v>V1.19旧源码类型（真实成员/实现仍待核）</x:v>
      </x:c>
    </x:row>
    <x:row r="159" ht="72" customHeight="1">
      <x:c r="A159" s="179" t="str">
        <x:v>M10</x:v>
      </x:c>
      <x:c r="B159" s="180" t="str">
        <x:v>数据与状态｜DataHandle / Stream / Artifact
Data Streaming</x:v>
      </x:c>
      <x:c r="C159" s="180" t="str">
        <x:v>MDSDataStack</x:v>
      </x:c>
      <x:c r="D159" s="179" t="str">
        <x:v>原有·待核</x:v>
      </x:c>
      <x:c r="E159" s="180" t="str">
        <x:v>表达或管理DataStack相关的数据及协作职责，具体行为待源码复核〔待核〕</x:v>
      </x:c>
      <x:c r="F159" s="180" t="str">
        <x:v>Depth</x:v>
      </x:c>
      <x:c r="G159" s="180" t="str">
        <x:v>Push(string frameId), Pop(), SetValue(string key, DataValue value), SetReference(string key, DataReference reference), TryGet(string key, out RuntimeDataEntry entry), Snapshot()</x:v>
      </x:c>
      <x:c r="H159" s="180" t="str">
        <x:v>—（待核）</x:v>
      </x:c>
      <x:c r="I159" s="180" t="str">
        <x:v>CxVisual.Platform.Data.DataStack</x:v>
      </x:c>
      <x:c r="J159" s="179" t="str">
        <x:v>类</x:v>
      </x:c>
      <x:c r="K159" s="180" t="str">
        <x:v>V1.19 C-0458；原实施方式：原有。迁移风险：表达或管理DataStack相关的数据及协作职责，具体行为待源码复核〔待核〕</x:v>
      </x:c>
      <x:c r="L159" s="183" t="str">
        <x:v>源代码声明·待复核</x:v>
      </x:c>
      <x:c r="M159" s="183" t="str">
        <x:v>C-0458</x:v>
      </x:c>
      <x:c r="N159" s="184" t="str">
        <x:v>Platform/Data/DataContext.cs</x:v>
      </x:c>
      <x:c r="O159" s="183" t="str">
        <x:v>V1.19旧源码类型（真实成员/实现仍待核）
V2.01：来源ID对应；处置=保留源码·公开契约复核
V7.8：V7.8同名且源文件对应；Platform/Data/DataContext.cs</x:v>
      </x:c>
      <x:c r="P159" s="136" t="str">
        <x:v>V1.19旧源码类型（真实成员/实现仍待核）</x:v>
      </x:c>
    </x:row>
    <x:row r="160" ht="72" customHeight="1">
      <x:c r="A160" s="179" t="str">
        <x:v>M10</x:v>
      </x:c>
      <x:c r="B160" s="180" t="str">
        <x:v>数据与状态｜DataHandle / Stream / Artifact
Data Streaming</x:v>
      </x:c>
      <x:c r="C160" s="180" t="str">
        <x:v>MDSDataStackFrame</x:v>
      </x:c>
      <x:c r="D160" s="179" t="str">
        <x:v>原有·待核</x:v>
      </x:c>
      <x:c r="E160" s="180" t="str">
        <x:v>表达或管理DataStack帧相关的数据及协作职责，具体行为待源码复核〔待核〕</x:v>
      </x:c>
      <x:c r="F160" s="180" t="str">
        <x:v>FrameId, Entries</x:v>
      </x:c>
      <x:c r="G160" s="180" t="str">
        <x:v>DataStackFrame(string frameId), Set(string key, RuntimeDataEntry entry), TryGet(string key, out RuntimeDataEntry entry), Clone()</x:v>
      </x:c>
      <x:c r="H160" s="180" t="str">
        <x:v>—（待核）</x:v>
      </x:c>
      <x:c r="I160" s="180" t="str">
        <x:v>CxVisual.Platform.Data.DataStackFrame</x:v>
      </x:c>
      <x:c r="J160" s="179" t="str">
        <x:v>类</x:v>
      </x:c>
      <x:c r="K160" s="180" t="str">
        <x:v>V1.19 C-0459；原实施方式：原有。迁移风险：表达或管理DataStack帧相关的数据及协作职责，具体行为待源码复核〔待核〕</x:v>
      </x:c>
      <x:c r="L160" s="183" t="str">
        <x:v>源代码声明·待复核</x:v>
      </x:c>
      <x:c r="M160" s="183" t="str">
        <x:v>C-0459</x:v>
      </x:c>
      <x:c r="N160" s="184" t="str">
        <x:v>Platform/Data/DataContext.cs</x:v>
      </x:c>
      <x:c r="O160" s="183" t="str">
        <x:v>V1.19旧源码类型（真实成员/实现仍待核）
V2.01：来源ID对应；处置=保留源码·公开契约复核
V7.8：V7.8同名且源文件对应；Platform/Data/DataContext.cs</x:v>
      </x:c>
      <x:c r="P160" s="136" t="str">
        <x:v>V1.19旧源码类型（真实成员/实现仍待核）</x:v>
      </x:c>
    </x:row>
    <x:row r="161" ht="72" customHeight="1">
      <x:c r="A161" s="179" t="str">
        <x:v>M10</x:v>
      </x:c>
      <x:c r="B161" s="180" t="str">
        <x:v>数据与状态｜DataHandle / Stream / Artifact
Data Streaming</x:v>
      </x:c>
      <x:c r="C161" s="180" t="str">
        <x:v>MDSDataSubscription</x:v>
      </x:c>
      <x:c r="D161" s="179" t="str">
        <x:v>原有·待核</x:v>
      </x:c>
      <x:c r="E161" s="180" t="str">
        <x:v>表达或管理DataSubscription相关的数据及协作职责，具体行为待源码复核〔待核〕</x:v>
      </x:c>
      <x:c r="F161" s="180" t="str">
        <x:v>Callback, Active</x:v>
      </x:c>
      <x:c r="G161" s="180" t="str">
        <x:v>DataSubscription(CxRuntimeDataScope owner, Action&lt;CxRuntimeDataChange&gt; callback), Dispose()</x:v>
      </x:c>
      <x:c r="H161" s="180" t="str">
        <x:v>—（待核）</x:v>
      </x:c>
      <x:c r="I161" s="180" t="str">
        <x:v>CxVisual.Platform.Data.CxRuntimeDataScope.DataSubscription</x:v>
      </x:c>
      <x:c r="J161" s="179" t="str">
        <x:v>类</x:v>
      </x:c>
      <x:c r="K161" s="180" t="str">
        <x:v>V1.19 C-0445；原实施方式：原有。迁移风险：表达或管理DataSubscription相关的数据及协作职责，具体行为待源码复核〔待核〕</x:v>
      </x:c>
      <x:c r="L161" s="183" t="str">
        <x:v>源代码声明·待复核</x:v>
      </x:c>
      <x:c r="M161" s="183" t="str">
        <x:v>C-0445</x:v>
      </x:c>
      <x:c r="N161" s="184" t="str">
        <x:v>Platform/Data/CxRuntimeDataScope.cs</x:v>
      </x:c>
      <x:c r="O161" s="183" t="str">
        <x:v>V1.19旧源码类型（真实成员/实现仍待核）
V2.01：来源ID对应；处置=保留源码·公开契约复核
V7.8：V7.8同名且源文件对应；Platform/Data/CxRuntimeDataScope.cs</x:v>
      </x:c>
      <x:c r="P161" s="136" t="str">
        <x:v>V1.19旧源码类型（真实成员/实现仍待核）</x:v>
      </x:c>
    </x:row>
    <x:row r="162" ht="72" customHeight="1">
      <x:c r="A162" s="179" t="str">
        <x:v>M10</x:v>
      </x:c>
      <x:c r="B162" s="180" t="str">
        <x:v>数据与状态｜DataHandle / Stream / Artifact
Data Streaming</x:v>
      </x:c>
      <x:c r="C162" s="180" t="str">
        <x:v>MDSDataValue</x:v>
      </x:c>
      <x:c r="D162" s="179" t="str">
        <x:v>原有·待核</x:v>
      </x:c>
      <x:c r="E162" s="180" t="str">
        <x:v>承载带时间戳、质量状态的类型化数据值</x:v>
      </x:c>
      <x:c r="F162" s="180" t="str">
        <x:v>Value, Quality, TimestampUtc, Sequence, Source, Correlation</x:v>
      </x:c>
      <x:c r="G162" s="180" t="str">
        <x:v>DataValue(object value, VariableQuality quality, DateTime timestampUtc, long sequence = 0, string source = null, Corr…)</x:v>
      </x:c>
      <x:c r="H162" s="180" t="str">
        <x:v>—（待核）</x:v>
      </x:c>
      <x:c r="I162" s="180" t="str">
        <x:v>CxVisual.Abstractions.DataValue</x:v>
      </x:c>
      <x:c r="J162" s="179" t="str">
        <x:v>类</x:v>
      </x:c>
      <x:c r="K162" s="180" t="str">
        <x:v>V1.19 C-0421；原实施方式：原有。迁移风险：承载带时间戳、质量状态的类型化数据值</x:v>
      </x:c>
      <x:c r="L162" s="183" t="str">
        <x:v>源代码声明·待复核</x:v>
      </x:c>
      <x:c r="M162" s="183" t="str">
        <x:v>C-0421</x:v>
      </x:c>
      <x:c r="N162" s="184" t="str">
        <x:v>Platform/Core/Abstractions/PlatformContracts.cs; Platform/Core/Abstractions/PlatformContracts.cs</x:v>
      </x:c>
      <x:c r="O162" s="183" t="str">
        <x:v>V1.19旧源码类型（真实成员/实现仍待核）
V2.01：来源ID对应；处置=保留源码·公开契约复核
V7.8：V7.8同名同文件多声明</x:v>
      </x:c>
      <x:c r="P162" s="136" t="str">
        <x:v>V1.19旧源码类型（真实成员/实现仍待核）</x:v>
      </x:c>
    </x:row>
    <x:row r="163" ht="72" customHeight="1">
      <x:c r="A163" s="179" t="str">
        <x:v>M10</x:v>
      </x:c>
      <x:c r="B163" s="180" t="str">
        <x:v>数据与状态｜DataHandle / Stream / Artifact
Data Streaming</x:v>
      </x:c>
      <x:c r="C163" s="180" t="str">
        <x:v>MDSDataValue&lt;T&gt;</x:v>
      </x:c>
      <x:c r="D163" s="179" t="str">
        <x:v>原有·待核</x:v>
      </x:c>
      <x:c r="E163" s="180" t="str">
        <x:v>表达或管理Data值T相关的数据及协作职责，具体行为待源码复核〔待核〕</x:v>
      </x:c>
      <x:c r="F163" s="180" t="str">
        <x:v>Value</x:v>
      </x:c>
      <x:c r="G163" s="180" t="str">
        <x:v>DataValue(T value, VariableQuality quality, DateTime timestampUtc, long sequence = 0, string source = null, Correlati…)</x:v>
      </x:c>
      <x:c r="H163" s="180" t="str">
        <x:v>—（待核）</x:v>
      </x:c>
      <x:c r="I163" s="180" t="str">
        <x:v>CxVisual.Abstractions.DataValue&lt;T&gt;</x:v>
      </x:c>
      <x:c r="J163" s="179" t="str">
        <x:v>类</x:v>
      </x:c>
      <x:c r="K163" s="180" t="str">
        <x:v>V1.19 C-0422；原实施方式：原有。迁移风险：表达或管理Data值T相关的数据及协作职责，具体行为待源码复核〔待核〕</x:v>
      </x:c>
      <x:c r="L163" s="183" t="str">
        <x:v>源代码声明·待复核</x:v>
      </x:c>
      <x:c r="M163" s="183" t="str">
        <x:v>C-0422</x:v>
      </x:c>
      <x:c r="N163" s="184" t="str">
        <x:v>D:\cyg\cx-visual-x2\Platform\Core\Abstractions\PlatformContracts.cs:165</x:v>
      </x:c>
      <x:c r="O163" s="183" t="str">
        <x:v>V1.19旧源码类型（真实成员/实现仍待核）
V2.01：来源ID对应；处置=保留源码·公开契约复核
V7.8：V7.8同名同文件多声明</x:v>
      </x:c>
      <x:c r="P163" s="136" t="str">
        <x:v>V1.19旧源码类型（真实成员/实现仍待核）</x:v>
      </x:c>
    </x:row>
    <x:row r="164" ht="72" customHeight="1">
      <x:c r="A164" s="179" t="str">
        <x:v>M10</x:v>
      </x:c>
      <x:c r="B164" s="180" t="str">
        <x:v>数据与状态｜DataHandle / Stream / Artifact
Data Streaming</x:v>
      </x:c>
      <x:c r="C164" s="180" t="str">
        <x:v>MDSEntry</x:v>
      </x:c>
      <x:c r="D164" s="179" t="str">
        <x:v>原有·待核</x:v>
      </x:c>
      <x:c r="E164" s="180" t="str">
        <x:v>表达或管理Entry相关的数据及协作职责，具体行为待源码复核〔待核〕</x:v>
      </x:c>
      <x:c r="F164" s="180" t="str">
        <x:v>Lease</x:v>
      </x:c>
      <x:c r="G164" s="180" t="str">
        <x:v>—(无公开声明或待核对)</x:v>
      </x:c>
      <x:c r="H164" s="180" t="str">
        <x:v>—（待核）</x:v>
      </x:c>
      <x:c r="I164" s="180" t="str">
        <x:v>CxVisual.Platform.Data.CxStreamHandle.Entry</x:v>
      </x:c>
      <x:c r="J164" s="179" t="str">
        <x:v>类</x:v>
      </x:c>
      <x:c r="K164" s="180" t="str">
        <x:v>V1.19 C-0447；原实施方式：原有。迁移风险：表达或管理Entry相关的数据及协作职责，具体行为待源码复核〔待核〕</x:v>
      </x:c>
      <x:c r="L164" s="183" t="str">
        <x:v>源代码声明·待复核</x:v>
      </x:c>
      <x:c r="M164" s="183" t="str">
        <x:v>C-0447</x:v>
      </x:c>
      <x:c r="N164" s="184" t="str">
        <x:v>Platform/Core/SpatialIndex.cs; Platform/Data/CxStreamHandle.cs; Platform/Simulation/CxSimulationRuntime.cs; Platform/Workbench/Drawing/CxCanvasHost.cs</x:v>
      </x:c>
      <x:c r="O164" s="183" t="str">
        <x:v>V1.19旧源码类型（真实成员/实现仍待核）
V2.01：来源ID对应；处置=保留源码·公开契约复核
V7.8：V7.8同名且源文件对应；Platform/Core/SpatialIndex.cs</x:v>
      </x:c>
      <x:c r="P164" s="136" t="str">
        <x:v>V1.19旧源码类型（真实成员/实现仍待核）</x:v>
      </x:c>
    </x:row>
    <x:row r="165" ht="72" customHeight="1">
      <x:c r="A165" s="179" t="str">
        <x:v>M10</x:v>
      </x:c>
      <x:c r="B165" s="180" t="str">
        <x:v>数据与状态｜DataHandle / Stream / Artifact
Data Streaming</x:v>
      </x:c>
      <x:c r="C165" s="180" t="str">
        <x:v>MDSImageFrameHandle</x:v>
      </x:c>
      <x:c r="D165" s="179" t="str">
        <x:v>原有·待核</x:v>
      </x:c>
      <x:c r="E165" s="180" t="str">
        <x:v>表达或管理图像帧Handle相关的数据及协作职责，具体行为待源码复核〔待核〕</x:v>
      </x:c>
      <x:c r="F165" s="180" t="str">
        <x:v>Width, Height, Stride</x:v>
      </x:c>
      <x:c r="G165" s="180" t="str">
        <x:v>—(无公开声明或待核对)</x:v>
      </x:c>
      <x:c r="H165" s="180" t="str">
        <x:v>—（待核）</x:v>
      </x:c>
      <x:c r="I165" s="180" t="str">
        <x:v>CxVisual.Platform.Data.ImageFrameHandle</x:v>
      </x:c>
      <x:c r="J165" s="179" t="str">
        <x:v>类</x:v>
      </x:c>
      <x:c r="K165" s="180" t="str">
        <x:v>V1.19 C-0463；原实施方式：原有。迁移风险：表达或管理图像帧Handle相关的数据及协作职责，具体行为待源码复核〔待核〕</x:v>
      </x:c>
      <x:c r="L165" s="183" t="str">
        <x:v>源代码声明·待复核</x:v>
      </x:c>
      <x:c r="M165" s="183" t="str">
        <x:v>C-0463</x:v>
      </x:c>
      <x:c r="N165" s="184" t="str">
        <x:v>Platform/Data/IndustrialDataHandles.cs</x:v>
      </x:c>
      <x:c r="O165" s="183" t="str">
        <x:v>V1.19旧源码类型（真实成员/实现仍待核）
V2.01：来源ID对应；处置=保留源码·公开契约复核
V7.8：V7.8同名且源文件对应；Platform/Data/IndustrialDataHandles.cs</x:v>
      </x:c>
      <x:c r="P165" s="136" t="str">
        <x:v>V1.19旧源码类型（真实成员/实现仍待核）</x:v>
      </x:c>
    </x:row>
    <x:row r="166" ht="72" customHeight="1">
      <x:c r="A166" s="179" t="str">
        <x:v>M10</x:v>
      </x:c>
      <x:c r="B166" s="180" t="str">
        <x:v>数据与状态｜DataHandle / Stream / Artifact
Data Streaming</x:v>
      </x:c>
      <x:c r="C166" s="180" t="str">
        <x:v>MDSIndustrialDataHandle</x:v>
      </x:c>
      <x:c r="D166" s="179" t="str">
        <x:v>原有·待核</x:v>
      </x:c>
      <x:c r="E166" s="180" t="str">
        <x:v>表达或管理IndustrialDataHandle相关的数据及协作职责，具体行为待源码复核〔待核〕</x:v>
      </x:c>
      <x:c r="F166" s="180" t="str">
        <x:v>HandleId, OwnerId, Lifetime, Location, SizeBytes, Format, DeviceLocality, Uri</x:v>
      </x:c>
      <x:c r="G166" s="180" t="str">
        <x:v>IndustrialDataHandle()</x:v>
      </x:c>
      <x:c r="H166" s="180" t="str">
        <x:v>—（待核）</x:v>
      </x:c>
      <x:c r="I166" s="180" t="str">
        <x:v>CxVisual.Platform.Data.IndustrialDataHandle</x:v>
      </x:c>
      <x:c r="J166" s="179" t="str">
        <x:v>类</x:v>
      </x:c>
      <x:c r="K166" s="180" t="str">
        <x:v>V1.19 C-0464；原实施方式：原有。迁移风险：表达或管理IndustrialDataHandle相关的数据及协作职责，具体行为待源码复核〔待核〕</x:v>
      </x:c>
      <x:c r="L166" s="183" t="str">
        <x:v>源代码声明·待复核</x:v>
      </x:c>
      <x:c r="M166" s="183" t="str">
        <x:v>C-0464</x:v>
      </x:c>
      <x:c r="N166" s="184" t="str">
        <x:v>Platform/Data/IndustrialDataHandles.cs</x:v>
      </x:c>
      <x:c r="O166" s="183" t="str">
        <x:v>V1.19旧源码类型（真实成员/实现仍待核）
V2.01：来源ID对应；处置=保留源码·公开契约复核
V7.8：V7.8同名且源文件对应；Platform/Data/IndustrialDataHandles.cs</x:v>
      </x:c>
      <x:c r="P166" s="136" t="str">
        <x:v>V1.19旧源码类型（真实成员/实现仍待核）</x:v>
      </x:c>
    </x:row>
    <x:row r="167" ht="72" customHeight="1">
      <x:c r="A167" s="179" t="str">
        <x:v>M10</x:v>
      </x:c>
      <x:c r="B167" s="180" t="str">
        <x:v>数据与状态｜DataHandle / Stream / Artifact
Data Streaming</x:v>
      </x:c>
      <x:c r="C167" s="180" t="str">
        <x:v>MDSLargeDataLifetime</x:v>
      </x:c>
      <x:c r="D167" s="179" t="str">
        <x:v>原有·待核</x:v>
      </x:c>
      <x:c r="E167" s="180" t="str">
        <x:v>定义LargeDataLifetime的候选取值、状态或模式，供相关流程作分支判断</x:v>
      </x:c>
      <x:c r="F167" s="180" t="str">
        <x:v>枚举值：Operation, Execution, Session, Project, External</x:v>
      </x:c>
      <x:c r="G167" s="180" t="str">
        <x:v>—(无公开声明或待核对)</x:v>
      </x:c>
      <x:c r="H167" s="180" t="str">
        <x:v>—（待核）</x:v>
      </x:c>
      <x:c r="I167" s="180" t="str">
        <x:v>CxVisual.Platform.Data.LargeDataLifetime</x:v>
      </x:c>
      <x:c r="J167" s="179" t="str">
        <x:v>枚举</x:v>
      </x:c>
      <x:c r="K167" s="180" t="str">
        <x:v>V1.19 C-0465；原实施方式：原有。迁移风险：定义LargeDataLifetime的候选取值、状态或模式，供相关流程作分支判断</x:v>
      </x:c>
      <x:c r="L167" s="183" t="str">
        <x:v>源代码声明·待复核</x:v>
      </x:c>
      <x:c r="M167" s="183" t="str">
        <x:v>C-0465</x:v>
      </x:c>
      <x:c r="N167" s="184" t="str">
        <x:v>Platform/Data/IndustrialDataHandles.cs</x:v>
      </x:c>
      <x:c r="O167" s="183" t="str">
        <x:v>V1.19旧源码类型（真实成员/实现仍待核）
V2.01：来源ID对应；处置=保留源码·公开契约复核
V7.8：V7.8同名且源文件对应；Platform/Data/IndustrialDataHandles.cs</x:v>
      </x:c>
      <x:c r="P167" s="136" t="str">
        <x:v>V1.19旧源码类型（真实成员/实现仍待核）</x:v>
      </x:c>
    </x:row>
    <x:row r="168" ht="72" customHeight="1">
      <x:c r="A168" s="179" t="str">
        <x:v>M10</x:v>
      </x:c>
      <x:c r="B168" s="180" t="str">
        <x:v>数据与状态｜DataHandle / Stream / Artifact
Data Streaming</x:v>
      </x:c>
      <x:c r="C168" s="180" t="str">
        <x:v>MDSLargeDataLocation</x:v>
      </x:c>
      <x:c r="D168" s="179" t="str">
        <x:v>原有·待核</x:v>
      </x:c>
      <x:c r="E168" s="180" t="str">
        <x:v>定义LargeDataLocation的候选取值、状态或模式，供相关流程作分支判断</x:v>
      </x:c>
      <x:c r="F168" s="180" t="str">
        <x:v>枚举值：ProcessMemory, SharedMemory, GpuMemory, File, ObjectStore, Database, Remote</x:v>
      </x:c>
      <x:c r="G168" s="180" t="str">
        <x:v>—(无公开声明或待核对)</x:v>
      </x:c>
      <x:c r="H168" s="180" t="str">
        <x:v>—（待核）</x:v>
      </x:c>
      <x:c r="I168" s="180" t="str">
        <x:v>CxVisual.Platform.Data.LargeDataLocation</x:v>
      </x:c>
      <x:c r="J168" s="179" t="str">
        <x:v>枚举</x:v>
      </x:c>
      <x:c r="K168" s="180" t="str">
        <x:v>V1.19 C-0466；原实施方式：原有。迁移风险：定义LargeDataLocation的候选取值、状态或模式，供相关流程作分支判断</x:v>
      </x:c>
      <x:c r="L168" s="183" t="str">
        <x:v>源代码声明·待复核</x:v>
      </x:c>
      <x:c r="M168" s="183" t="str">
        <x:v>C-0466</x:v>
      </x:c>
      <x:c r="N168" s="184" t="str">
        <x:v>Platform/Data/IndustrialDataHandles.cs</x:v>
      </x:c>
      <x:c r="O168" s="183" t="str">
        <x:v>V1.19旧源码类型（真实成员/实现仍待核）
V2.01：来源ID对应；处置=保留源码·公开契约复核
V7.8：V7.8同名且源文件对应；Platform/Data/IndustrialDataHandles.cs</x:v>
      </x:c>
      <x:c r="P168" s="136" t="str">
        <x:v>V1.19旧源码类型（真实成员/实现仍待核）</x:v>
      </x:c>
    </x:row>
    <x:row r="169" ht="72" customHeight="1">
      <x:c r="A169" s="179" t="str">
        <x:v>M10</x:v>
      </x:c>
      <x:c r="B169" s="180" t="str">
        <x:v>数据与状态｜DataHandle / Stream / Artifact
Data Streaming</x:v>
      </x:c>
      <x:c r="C169" s="180" t="str">
        <x:v>MDSLease</x:v>
      </x:c>
      <x:c r="D169" s="179" t="str">
        <x:v>原有·待核</x:v>
      </x:c>
      <x:c r="E169" s="180" t="str">
        <x:v>表达或管理租约相关的数据及协作职责，具体行为待源码复核〔待核〕</x:v>
      </x:c>
      <x:c r="F169" s="180" t="str">
        <x:v>Payload</x:v>
      </x:c>
      <x:c r="G169" s="180" t="str">
        <x:v>Lease(DataCarrier owner, object payload), Dispose()</x:v>
      </x:c>
      <x:c r="H169" s="180" t="str">
        <x:v>—（待核）</x:v>
      </x:c>
      <x:c r="I169" s="180" t="str">
        <x:v>CxVisual.Platform.Data.DataCarrier.Lease</x:v>
      </x:c>
      <x:c r="J169" s="179" t="str">
        <x:v>类</x:v>
      </x:c>
      <x:c r="K169" s="180" t="str">
        <x:v>V1.19 C-0451；原实施方式：原有。迁移风险：表达或管理租约相关的数据及协作职责，具体行为待源码复核〔待核〕</x:v>
      </x:c>
      <x:c r="L169" s="183" t="str">
        <x:v>源代码声明·待复核</x:v>
      </x:c>
      <x:c r="M169" s="183" t="str">
        <x:v>C-0451</x:v>
      </x:c>
      <x:c r="N169" s="184" t="str">
        <x:v>Platform/Data/DataCarrier.cs; Platform/Persistence/Project/CxImportExportRegistry.cs</x:v>
      </x:c>
      <x:c r="O169" s="183" t="str">
        <x:v>V1.19旧源码类型（真实成员/实现仍待核）
V2.01：来源ID对应；处置=保留源码·公开契约复核
V7.8：V7.8同名且源文件对应；Platform/Data/DataCarrier.cs</x:v>
      </x:c>
      <x:c r="P169" s="136" t="str">
        <x:v>V1.19旧源码类型（真实成员/实现仍待核）</x:v>
      </x:c>
    </x:row>
    <x:row r="170" ht="72" customHeight="1">
      <x:c r="A170" s="179" t="str">
        <x:v>M10</x:v>
      </x:c>
      <x:c r="B170" s="180" t="str">
        <x:v>数据与状态｜DataHandle / Stream / Artifact
Data Streaming</x:v>
      </x:c>
      <x:c r="C170" s="180" t="str">
        <x:v>MDSLeasedReadStream</x:v>
      </x:c>
      <x:c r="D170" s="179" t="str">
        <x:v>原有·待核</x:v>
      </x:c>
      <x:c r="E170" s="180" t="str">
        <x:v>表达或管理LeasedRead流相关的数据及协作职责，具体行为待源码复核〔待核〕</x:v>
      </x:c>
      <x:c r="F170" s="180" t="str">
        <x:v>CanRead, CanSeek, CanWrite, Length, Position</x:v>
      </x:c>
      <x:c r="G170" s="180" t="str">
        <x:v>LeasedReadStream(Stream stream, CxDataHandleLease lease), Flush(), Read(bytebuffer, int offset, int count), Seek(long offset, SeekOrigin origin), SetLength(long value), Write(bytebuffer, int offset, int count), Dispose(bool disposing)</x:v>
      </x:c>
      <x:c r="H170" s="180" t="str">
        <x:v>—（待核）</x:v>
      </x:c>
      <x:c r="I170" s="180" t="str">
        <x:v>CxVisual.Platform.Data.CxDataHandle.LeasedReadStream</x:v>
      </x:c>
      <x:c r="J170" s="179" t="str">
        <x:v>类</x:v>
      </x:c>
      <x:c r="K170" s="180" t="str">
        <x:v>V1.19 C-0437；原实施方式：原有。迁移风险：表达或管理LeasedRead流相关的数据及协作职责，具体行为待源码复核〔待核〕</x:v>
      </x:c>
      <x:c r="L170" s="183" t="str">
        <x:v>源代码声明·待复核</x:v>
      </x:c>
      <x:c r="M170" s="183" t="str">
        <x:v>C-0437</x:v>
      </x:c>
      <x:c r="N170" s="184" t="str">
        <x:v>Platform/Data/CxDataHandle.cs</x:v>
      </x:c>
      <x:c r="O170" s="183" t="str">
        <x:v>V1.19旧源码类型（真实成员/实现仍待核）
V2.01：来源ID对应；处置=保留源码·公开契约复核
V7.8：V7.8同名且源文件对应；Platform/Data/CxDataHandle.cs</x:v>
      </x:c>
      <x:c r="P170" s="136" t="str">
        <x:v>V1.19旧源码类型（真实成员/实现仍待核）</x:v>
      </x:c>
    </x:row>
    <x:row r="171" ht="72" customHeight="1">
      <x:c r="A171" s="179" t="str">
        <x:v>M10</x:v>
      </x:c>
      <x:c r="B171" s="180" t="str">
        <x:v>数据与状态｜DataHandle / Stream / Artifact
Data Streaming</x:v>
      </x:c>
      <x:c r="C171" s="180" t="str">
        <x:v>MDSProjectionSeriesHandle</x:v>
      </x:c>
      <x:c r="D171" s="179" t="str">
        <x:v>原有·待核</x:v>
      </x:c>
      <x:c r="E171" s="180" t="str">
        <x:v>表达或管理投影SeriesHandle相关的数据及协作职责，具体行为待源码复核〔待核〕</x:v>
      </x:c>
      <x:c r="F171" s="180" t="str">
        <x:v>ProjectionCount, Width, Height</x:v>
      </x:c>
      <x:c r="G171" s="180" t="str">
        <x:v>—(无公开声明或待核对)</x:v>
      </x:c>
      <x:c r="H171" s="180" t="str">
        <x:v>—（待核）</x:v>
      </x:c>
      <x:c r="I171" s="180" t="str">
        <x:v>CxVisual.Platform.Data.ProjectionSeriesHandle</x:v>
      </x:c>
      <x:c r="J171" s="179" t="str">
        <x:v>类</x:v>
      </x:c>
      <x:c r="K171" s="180" t="str">
        <x:v>V1.19 C-0467；原实施方式：原有。迁移风险：表达或管理投影SeriesHandle相关的数据及协作职责，具体行为待源码复核〔待核〕</x:v>
      </x:c>
      <x:c r="L171" s="183" t="str">
        <x:v>源代码声明·待复核</x:v>
      </x:c>
      <x:c r="M171" s="183" t="str">
        <x:v>C-0467</x:v>
      </x:c>
      <x:c r="N171" s="184" t="str">
        <x:v>Platform/Data/IndustrialDataHandles.cs</x:v>
      </x:c>
      <x:c r="O171" s="183" t="str">
        <x:v>V1.19旧源码类型（真实成员/实现仍待核）
V2.01：来源ID对应；处置=保留源码·公开契约复核
V7.8：V7.8同名且源文件对应；Platform/Data/IndustrialDataHandles.cs</x:v>
      </x:c>
      <x:c r="P171" s="136" t="str">
        <x:v>V1.19旧源码类型（真实成员/实现仍待核）</x:v>
      </x:c>
    </x:row>
    <x:row r="172" ht="72" customHeight="1">
      <x:c r="A172" s="179" t="str">
        <x:v>M10</x:v>
      </x:c>
      <x:c r="B172" s="180" t="str">
        <x:v>数据与状态｜DataHandle / Stream / Artifact
Data Streaming</x:v>
      </x:c>
      <x:c r="C172" s="180" t="str">
        <x:v>MDSRuntimeDataEntry</x:v>
      </x:c>
      <x:c r="D172" s="179" t="str">
        <x:v>原有·待核</x:v>
      </x:c>
      <x:c r="E172" s="180" t="str">
        <x:v>表达或管理运行时DataEntry相关的数据及协作职责，具体行为待源码复核〔待核〕</x:v>
      </x:c>
      <x:c r="F172" s="180" t="str">
        <x:v>Value, Reference</x:v>
      </x:c>
      <x:c r="G172" s="180" t="str">
        <x:v>RuntimeDataEntry(DataValue value, DataReference reference), Clone()</x:v>
      </x:c>
      <x:c r="H172" s="180" t="str">
        <x:v>—（待核）</x:v>
      </x:c>
      <x:c r="I172" s="180" t="str">
        <x:v>CxVisual.Platform.Data.RuntimeDataEntry</x:v>
      </x:c>
      <x:c r="J172" s="179" t="str">
        <x:v>类</x:v>
      </x:c>
      <x:c r="K172" s="180" t="str">
        <x:v>V1.19 C-0468；原实施方式：原有。迁移风险：表达或管理运行时DataEntry相关的数据及协作职责，具体行为待源码复核〔待核〕</x:v>
      </x:c>
      <x:c r="L172" s="183" t="str">
        <x:v>源代码声明·待复核</x:v>
      </x:c>
      <x:c r="M172" s="183" t="str">
        <x:v>C-0468</x:v>
      </x:c>
      <x:c r="N172" s="184" t="str">
        <x:v>Platform/Data/RuntimeDataScope.cs</x:v>
      </x:c>
      <x:c r="O172" s="183" t="str">
        <x:v>V1.19旧源码类型（真实成员/实现仍待核）
V2.01：来源ID对应；处置=保留源码·公开契约复核
V7.8：V7.8同名且源文件对应；Platform/Data/RuntimeDataScope.cs</x:v>
      </x:c>
      <x:c r="P172" s="136" t="str">
        <x:v>V1.19旧源码类型（真实成员/实现仍待核）</x:v>
      </x:c>
    </x:row>
    <x:row r="173" ht="72" customHeight="1">
      <x:c r="A173" s="179" t="str">
        <x:v>M10</x:v>
      </x:c>
      <x:c r="B173" s="180" t="str">
        <x:v>数据与状态｜DataHandle / Stream / Artifact
Data Streaming</x:v>
      </x:c>
      <x:c r="C173" s="180" t="str">
        <x:v>MDSRuntimeDataScope</x:v>
      </x:c>
      <x:c r="D173" s="179" t="str">
        <x:v>原有·待核</x:v>
      </x:c>
      <x:c r="E173" s="180" t="str">
        <x:v>表达或管理运行时DataScope相关的数据及协作职责，具体行为待源码复核〔待核〕</x:v>
      </x:c>
      <x:c r="F173" s="180" t="str">
        <x:v>InstanceAddress, Lifetime, Parent</x:v>
      </x:c>
      <x:c r="G173" s="180" t="str">
        <x:v>RuntimeDataScope(string instanceAddress, DataAspectDefinition definition, RuntimeDataScope parent = null), SetValue(string slotId, DataValue value), SetReference(string slotId, DataReference reference), TryGet(string slotId, out RuntimeDataEntry entry), Dispose()</x:v>
      </x:c>
      <x:c r="H173" s="180" t="str">
        <x:v>—（待核）</x:v>
      </x:c>
      <x:c r="I173" s="180" t="str">
        <x:v>CxVisual.Platform.Data.RuntimeDataScope</x:v>
      </x:c>
      <x:c r="J173" s="179" t="str">
        <x:v>类</x:v>
      </x:c>
      <x:c r="K173" s="180" t="str">
        <x:v>V1.19 C-0469；原实施方式：原有。迁移风险：表达或管理运行时DataScope相关的数据及协作职责，具体行为待源码复核〔待核〕</x:v>
      </x:c>
      <x:c r="L173" s="183" t="str">
        <x:v>源代码声明·待复核</x:v>
      </x:c>
      <x:c r="M173" s="183" t="str">
        <x:v>C-0469</x:v>
      </x:c>
      <x:c r="N173" s="184" t="str">
        <x:v>Platform/Data/RuntimeDataScope.cs</x:v>
      </x:c>
      <x:c r="O173" s="183" t="str">
        <x:v>V1.19旧源码类型（真实成员/实现仍待核）
V2.01：来源ID对应；处置=保留源码·公开契约复核
V7.8：V7.8同名且源文件对应；Platform/Data/RuntimeDataScope.cs</x:v>
      </x:c>
      <x:c r="P173" s="136" t="str">
        <x:v>V1.19旧源码类型（真实成员/实现仍待核）</x:v>
      </x:c>
    </x:row>
    <x:row r="174" ht="72" customHeight="1">
      <x:c r="A174" s="179" t="str">
        <x:v>M10</x:v>
      </x:c>
      <x:c r="B174" s="180" t="str">
        <x:v>数据与状态｜DataHandle / Stream / Artifact
Data Streaming</x:v>
      </x:c>
      <x:c r="C174" s="180" t="str">
        <x:v>MDSSharedLease</x:v>
      </x:c>
      <x:c r="D174" s="179" t="str">
        <x:v>原有·待核</x:v>
      </x:c>
      <x:c r="E174" s="180" t="str">
        <x:v>表达或管理Shared租约相关的数据及协作职责，具体行为待源码复核〔待核〕</x:v>
      </x:c>
      <x:c r="F174" s="180" t="str">
        <x:v>Payload</x:v>
      </x:c>
      <x:c r="G174" s="180" t="str">
        <x:v>SharedLease(IDataCarrierLease backend), Retain(), Release()</x:v>
      </x:c>
      <x:c r="H174" s="180" t="str">
        <x:v>—（待核）</x:v>
      </x:c>
      <x:c r="I174" s="180" t="str">
        <x:v>CxVisual.Platform.Data.CxDataHandleLease.SharedLease</x:v>
      </x:c>
      <x:c r="J174" s="179" t="str">
        <x:v>类</x:v>
      </x:c>
      <x:c r="K174" s="180" t="str">
        <x:v>V1.19 C-0440；原实施方式：原有。迁移风险：表达或管理Shared租约相关的数据及协作职责，具体行为待源码复核〔待核〕</x:v>
      </x:c>
      <x:c r="L174" s="183" t="str">
        <x:v>源代码声明·待复核</x:v>
      </x:c>
      <x:c r="M174" s="183" t="str">
        <x:v>C-0440</x:v>
      </x:c>
      <x:c r="N174" s="184" t="str">
        <x:v>Platform/Data/CxDataHandle.cs</x:v>
      </x:c>
      <x:c r="O174" s="183" t="str">
        <x:v>V1.19旧源码类型（真实成员/实现仍待核）
V2.01：来源ID对应；处置=保留源码·公开契约复核
V7.8：V7.8同名且源文件对应；Platform/Data/CxDataHandle.cs</x:v>
      </x:c>
      <x:c r="P174" s="136" t="str">
        <x:v>V1.19旧源码类型（真实成员/实现仍待核）</x:v>
      </x:c>
    </x:row>
    <x:row r="175" ht="72" customHeight="1">
      <x:c r="A175" s="179" t="str">
        <x:v>M10</x:v>
      </x:c>
      <x:c r="B175" s="180" t="str">
        <x:v>数据与状态｜DataHandle / Stream / Artifact
Data Streaming</x:v>
      </x:c>
      <x:c r="C175" s="180" t="str">
        <x:v>MDSSharedState</x:v>
      </x:c>
      <x:c r="D175" s="179" t="str">
        <x:v>原有·待核</x:v>
      </x:c>
      <x:c r="E175" s="180" t="str">
        <x:v>表示Shared状态当前运行状态和必要的状态转换数据</x:v>
      </x:c>
      <x:c r="F175" s="180" t="str">
        <x:v>References</x:v>
      </x:c>
      <x:c r="G175" s="180" t="str">
        <x:v>—(无公开声明或待核对)</x:v>
      </x:c>
      <x:c r="H175" s="180" t="str">
        <x:v>—（待核）</x:v>
      </x:c>
      <x:c r="I175" s="180" t="str">
        <x:v>CxVisual.Platform.Data.DataHandle.SharedState</x:v>
      </x:c>
      <x:c r="J175" s="179" t="str">
        <x:v>类</x:v>
      </x:c>
      <x:c r="K175" s="180" t="str">
        <x:v>V1.19 C-0455；原实施方式：原有。迁移风险：表示Shared状态当前运行状态和必要的状态转换数据</x:v>
      </x:c>
      <x:c r="L175" s="183" t="str">
        <x:v>源代码声明·待复核</x:v>
      </x:c>
      <x:c r="M175" s="183" t="str">
        <x:v>C-0455</x:v>
      </x:c>
      <x:c r="N175" s="184" t="str">
        <x:v>Platform/Data/DataHandle.cs</x:v>
      </x:c>
      <x:c r="O175" s="183" t="str">
        <x:v>V1.19旧源码类型（真实成员/实现仍待核）
V2.01：来源ID对应；处置=保留源码·公开契约复核
V7.8：V7.8同名且源文件对应；Platform/Data/DataHandle.cs</x:v>
      </x:c>
      <x:c r="P175" s="136" t="str">
        <x:v>V1.19旧源码类型（真实成员/实现仍待核）</x:v>
      </x:c>
    </x:row>
    <x:row r="176" ht="72" customHeight="1">
      <x:c r="A176" s="179" t="str">
        <x:v>M10</x:v>
      </x:c>
      <x:c r="B176" s="180" t="str">
        <x:v>数据与状态｜DataHandle / Stream / Artifact
Data Streaming</x:v>
      </x:c>
      <x:c r="C176" s="180" t="str">
        <x:v>MDSVolumeHandle</x:v>
      </x:c>
      <x:c r="D176" s="179" t="str">
        <x:v>原有·待核</x:v>
      </x:c>
      <x:c r="E176" s="180" t="str">
        <x:v>表达或管理体数据Handle相关的数据及协作职责，具体行为待源码复核〔待核〕</x:v>
      </x:c>
      <x:c r="F176" s="180" t="str">
        <x:v>SizeX, SizeY, SizeZ, ScalarType</x:v>
      </x:c>
      <x:c r="G176" s="180" t="str">
        <x:v>—(无公开声明或待核对)</x:v>
      </x:c>
      <x:c r="H176" s="180" t="str">
        <x:v>—（待核）</x:v>
      </x:c>
      <x:c r="I176" s="180" t="str">
        <x:v>CxVisual.Platform.Data.VolumeHandle</x:v>
      </x:c>
      <x:c r="J176" s="179" t="str">
        <x:v>类</x:v>
      </x:c>
      <x:c r="K176" s="180" t="str">
        <x:v>V1.19 C-0470；原实施方式：原有。迁移风险：表达或管理体数据Handle相关的数据及协作职责，具体行为待源码复核〔待核〕</x:v>
      </x:c>
      <x:c r="L176" s="183" t="str">
        <x:v>源代码声明·待复核</x:v>
      </x:c>
      <x:c r="M176" s="183" t="str">
        <x:v>C-0470</x:v>
      </x:c>
      <x:c r="N176" s="184" t="str">
        <x:v>Platform/Data/IndustrialDataHandles.cs</x:v>
      </x:c>
      <x:c r="O176" s="183" t="str">
        <x:v>V1.19旧源码类型（真实成员/实现仍待核）
V2.01：来源ID对应；处置=保留源码·公开契约复核
V7.8：V7.8同名且源文件对应；Platform/Data/IndustrialDataHandles.cs</x:v>
      </x:c>
      <x:c r="P176" s="136" t="str">
        <x:v>V1.19旧源码类型（真实成员/实现仍待核）</x:v>
      </x:c>
    </x:row>
    <x:row r="177" ht="72" customHeight="1">
      <x:c r="A177" s="179" t="str">
        <x:v>M10</x:v>
      </x:c>
      <x:c r="B177" s="180" t="str">
        <x:v>数据与状态｜DataHandle / Stream / Artifact
Data Streaming</x:v>
      </x:c>
      <x:c r="C177" s="180" t="str">
        <x:v>CxDataHandle</x:v>
      </x:c>
      <x:c r="D177" s="179" t="str">
        <x:v>原有·待核</x:v>
      </x:c>
      <x:c r="E177" s="180" t="str">
        <x:v>大对象稳定句柄</x:v>
      </x:c>
      <x:c r="F177" s="180" t="str">
        <x:v>DataType；Size；Metadata；Location；LeaseCount</x:v>
      </x:c>
      <x:c r="G177" s="180" t="str">
        <x:v>大对象稳定句柄</x:v>
      </x:c>
      <x:c r="H177" s="180" t="str">
        <x:v>待逐对象核实</x:v>
      </x:c>
      <x:c r="I177" s="180" t="str">
        <x:v>运行对象/模型</x:v>
      </x:c>
      <x:c r="J177" s="179" t="str">
        <x:v>类/实例候选</x:v>
      </x:c>
      <x:c r="K177" s="180" t="str">
        <x:v>V1.19 C-0436：原有；生命周期：Runtime</x:v>
      </x:c>
      <x:c r="L177" s="183" t="str">
        <x:v>V7.8源码词法匹配，尚未验收</x:v>
      </x:c>
      <x:c r="M177" s="183" t="str">
        <x:v>M10.CxDataHandle</x:v>
      </x:c>
      <x:c r="N177" s="184" t="str">
        <x:v>Platform/Data/CxDataHandle.cs</x:v>
      </x:c>
      <x:c r="O177" s="183" t="str">
        <x:v>V4.9对象/属性/方法
V2.01：未匹配V2.01；处置=暂无可信对应
V7.8：V7.8未检出同名词法声明</x:v>
      </x:c>
      <x:c r="P177" s="136" t="str">
        <x:v>V4.9对象/属性/方法</x:v>
      </x:c>
    </x:row>
    <x:row r="178" ht="72" customHeight="1">
      <x:c r="A178" s="179" t="str">
        <x:v>M10</x:v>
      </x:c>
      <x:c r="B178" s="180" t="str">
        <x:v>数据与状态｜DataHandle / Stream / Artifact
Data Streaming</x:v>
      </x:c>
      <x:c r="C178" s="180" t="str">
        <x:v>CxStreamHandle</x:v>
      </x:c>
      <x:c r="D178" s="179" t="str">
        <x:v>原有·待核</x:v>
      </x:c>
      <x:c r="E178" s="180" t="str">
        <x:v>连续流句柄</x:v>
      </x:c>
      <x:c r="F178" s="180" t="str">
        <x:v>ElementType；Policy；Producer；Consumers</x:v>
      </x:c>
      <x:c r="G178" s="180" t="str">
        <x:v>连续流句柄</x:v>
      </x:c>
      <x:c r="H178" s="180" t="str">
        <x:v>待逐对象核实</x:v>
      </x:c>
      <x:c r="I178" s="180" t="str">
        <x:v>运行对象/模型</x:v>
      </x:c>
      <x:c r="J178" s="179" t="str">
        <x:v>类/实例候选</x:v>
      </x:c>
      <x:c r="K178" s="180" t="str">
        <x:v>V1.19 C-0446：原有；生命周期：Runtime</x:v>
      </x:c>
      <x:c r="L178" s="183" t="str">
        <x:v>V7.8源码词法匹配，尚未验收</x:v>
      </x:c>
      <x:c r="M178" s="183" t="str">
        <x:v>M10.CxStreamHandle</x:v>
      </x:c>
      <x:c r="N178" s="184" t="str">
        <x:v>Platform/Data/CxStreamHandle.cs</x:v>
      </x:c>
      <x:c r="O178" s="183" t="str">
        <x:v>V4.9对象/属性/方法
V2.01：未匹配V2.01；处置=暂无可信对应
V7.8：V7.8未检出同名词法声明</x:v>
      </x:c>
      <x:c r="P178" s="136" t="str">
        <x:v>V4.9对象/属性/方法</x:v>
      </x:c>
    </x:row>
    <x:row r="179" ht="72" customHeight="1">
      <x:c r="A179" s="179" t="str">
        <x:v>M10</x:v>
      </x:c>
      <x:c r="B179" s="180" t="str">
        <x:v>数据与状态｜DataHandle / Stream / Artifact
Data Streaming</x:v>
      </x:c>
      <x:c r="C179" s="180" t="str">
        <x:v>CxStreamPolicy</x:v>
      </x:c>
      <x:c r="D179" s="179" t="str">
        <x:v>原有·待核</x:v>
      </x:c>
      <x:c r="E179" s="180" t="str">
        <x:v>流缓存/背压策略</x:v>
      </x:c>
      <x:c r="F179" s="180" t="str">
        <x:v>Capacity；Backpressure；Drop；Batch；Ordering；NoDrop</x:v>
      </x:c>
      <x:c r="G179" s="180" t="str">
        <x:v>流缓存/背压策略</x:v>
      </x:c>
      <x:c r="H179" s="180" t="str">
        <x:v>待逐对象核实</x:v>
      </x:c>
      <x:c r="I179" s="180" t="str">
        <x:v>CxVisual.Platform.Data.CxStreamPolicy</x:v>
      </x:c>
      <x:c r="J179" s="179" t="str">
        <x:v>类/实例候选</x:v>
      </x:c>
      <x:c r="K179" s="180" t="str">
        <x:v>V1.19 C-0448：原有；生命周期：Definition</x:v>
      </x:c>
      <x:c r="L179" s="183" t="str">
        <x:v>V7.8源码词法匹配，尚未验收</x:v>
      </x:c>
      <x:c r="M179" s="183" t="str">
        <x:v>M10.CxStreamPolicy</x:v>
      </x:c>
      <x:c r="N179" s="184" t="str">
        <x:v>Platform/Data/CxStreamHandle.cs</x:v>
      </x:c>
      <x:c r="O179" s="183" t="str">
        <x:v>V4.9对象/属性/方法
V2.01：未匹配V2.01；处置=暂无可信对应
V7.8：V7.8同名且源文件对应；Platform/Data/CxStreamHandle.cs</x:v>
      </x:c>
      <x:c r="P179" s="136" t="str">
        <x:v>V4.9对象/属性/方法</x:v>
      </x:c>
    </x:row>
    <x:row r="180" ht="72" customHeight="1">
      <x:c r="A180" s="179" t="str">
        <x:v>M10</x:v>
      </x:c>
      <x:c r="B180" s="180" t="str">
        <x:v>数据与状态｜DataHandle / Stream / Artifact
Data Streaming</x:v>
      </x:c>
      <x:c r="C180" s="180" t="str">
        <x:v>MDSArtifactRef</x:v>
      </x:c>
      <x:c r="D180" s="179" t="str">
        <x:v>原有·待核</x:v>
      </x:c>
      <x:c r="E180" s="180" t="str">
        <x:v>引用持久化产物</x:v>
      </x:c>
      <x:c r="F180" s="180" t="str">
        <x:v>ArtifactId；Type；Version；Uri；Hash；Lineage</x:v>
      </x:c>
      <x:c r="G180" s="180" t="str">
        <x:v>引用持久化产物</x:v>
      </x:c>
      <x:c r="H180" s="180" t="str">
        <x:v>待逐对象核实</x:v>
      </x:c>
      <x:c r="I180" s="180" t="str">
        <x:v>运行对象/模型</x:v>
      </x:c>
      <x:c r="J180" s="179" t="str">
        <x:v>类/实例候选</x:v>
      </x:c>
      <x:c r="K180" s="180" t="str">
        <x:v>V1.19 C-0434：原有；生命周期：Definition</x:v>
      </x:c>
      <x:c r="L180" s="183" t="str">
        <x:v>V7.8源码词法匹配，尚未验收</x:v>
      </x:c>
      <x:c r="M180" s="183" t="str">
        <x:v>M10.ArtifactRef</x:v>
      </x:c>
      <x:c r="N180" s="184" t="str">
        <x:v>Platform/Data/IndustrialDataHandles.cs</x:v>
      </x:c>
      <x:c r="O180" s="183" t="str">
        <x:v>V4.9对象/属性/方法
V2.01：同名多条·待消歧；处置=暂无可信对应
V7.8：V7.8未检出同名词法声明</x:v>
      </x:c>
      <x:c r="P180" s="136" t="str">
        <x:v>V4.9对象/属性/方法</x:v>
      </x:c>
    </x:row>
    <x:row r="181" ht="72" customHeight="1">
      <x:c r="A181" s="179" t="str">
        <x:v>M10</x:v>
      </x:c>
      <x:c r="B181" s="180" t="str">
        <x:v>数据与状态｜DataHandle / Stream / Artifact
Data Streaming</x:v>
      </x:c>
      <x:c r="C181" s="180" t="str">
        <x:v>MDSDataCarrier</x:v>
      </x:c>
      <x:c r="D181" s="179" t="str">
        <x:v>原有·待核</x:v>
      </x:c>
      <x:c r="E181" s="180" t="str">
        <x:v>数据承载器：Mount、Unmount</x:v>
      </x:c>
      <x:c r="F181" s="180" t="str">
        <x:v>Handle；Owner；TransferMode</x:v>
      </x:c>
      <x:c r="G181" s="180" t="str">
        <x:v>Mount；Unmount</x:v>
      </x:c>
      <x:c r="H181" s="180" t="str">
        <x:v>待逐对象核实</x:v>
      </x:c>
      <x:c r="I181" s="180" t="str">
        <x:v>运行对象</x:v>
      </x:c>
      <x:c r="J181" s="179" t="str">
        <x:v>类/实例候选</x:v>
      </x:c>
      <x:c r="K181" s="180" t="str">
        <x:v>V1.19 C-0450：原有；生命周期：Runtime</x:v>
      </x:c>
      <x:c r="L181" s="183" t="str">
        <x:v>V7.8源码词法匹配，尚未验收</x:v>
      </x:c>
      <x:c r="M181" s="183" t="str">
        <x:v>M10.DataCarrier</x:v>
      </x:c>
      <x:c r="N181" s="184" t="str">
        <x:v>Platform/Data/DataCarrier.cs</x:v>
      </x:c>
      <x:c r="O181" s="183" t="str">
        <x:v>V4.9对象/属性/方法
V2.01：同名多条·待消歧；处置=暂无可信对应
V7.8：V7.8未检出同名词法声明</x:v>
      </x:c>
      <x:c r="P181" s="136" t="str">
        <x:v>V4.9对象/属性/方法</x:v>
      </x:c>
    </x:row>
    <x:row r="182" ht="72" customHeight="1">
      <x:c r="A182" s="179" t="str">
        <x:v>M10</x:v>
      </x:c>
      <x:c r="B182" s="180" t="str">
        <x:v>数据与状态｜DataHandle / Stream / Artifact
Data Streaming</x:v>
      </x:c>
      <x:c r="C182" s="180" t="str">
        <x:v>MDSDataDescriptor</x:v>
      </x:c>
      <x:c r="D182" s="179" t="str">
        <x:v>增构候选·待查重</x:v>
      </x:c>
      <x:c r="E182" s="180" t="str">
        <x:v>数据元信息</x:v>
      </x:c>
      <x:c r="F182" s="180" t="str">
        <x:v>Type；Shape；PixelVoxel；Coordinate；Schema</x:v>
      </x:c>
      <x:c r="G182" s="180" t="str">
        <x:v>数据元信息</x:v>
      </x:c>
      <x:c r="H182" s="180" t="str">
        <x:v>待逐对象核实</x:v>
      </x:c>
      <x:c r="I182" s="180" t="str">
        <x:v>DataDescriptor</x:v>
      </x:c>
      <x:c r="J182" s="179" t="str">
        <x:v>接口候选</x:v>
      </x:c>
      <x:c r="K182" s="180" t="str">
        <x:v>生命周期：Definition</x:v>
      </x:c>
      <x:c r="L182" s="183" t="str">
        <x:v>设计候选，尚待源码验证</x:v>
      </x:c>
      <x:c r="M182" s="183" t="str">
        <x:v>M10.DataDescriptor</x:v>
      </x:c>
      <x:c r="N182" s="184"/>
      <x:c r="O182" s="183" t="str">
        <x:v>V4.9对象/属性/方法
V2.01：未匹配V2.01；处置=暂无可信对应
V7.8：V7.8未检出同名词法声明</x:v>
      </x:c>
      <x:c r="P182" s="136" t="str">
        <x:v>V4.9对象/属性/方法</x:v>
      </x:c>
    </x:row>
    <x:row r="183" ht="72" customHeight="1">
      <x:c r="A183" s="179" t="str">
        <x:v>M10</x:v>
      </x:c>
      <x:c r="B183" s="180" t="str">
        <x:v>数据与状态｜DataHandle / Stream / Artifact
Data Streaming</x:v>
      </x:c>
      <x:c r="C183" s="180" t="str">
        <x:v>MDSDataIntegrityVerifier</x:v>
      </x:c>
      <x:c r="D183" s="179" t="str">
        <x:v>增构候选·待查重</x:v>
      </x:c>
      <x:c r="E183" s="180" t="str">
        <x:v>数据完整性校验器：Verify、Report</x:v>
      </x:c>
      <x:c r="F183" s="180" t="str">
        <x:v>ArtifactHash；Schema</x:v>
      </x:c>
      <x:c r="G183" s="180" t="str">
        <x:v>Verify；Report</x:v>
      </x:c>
      <x:c r="H183" s="180" t="str">
        <x:v>待逐对象核实</x:v>
      </x:c>
      <x:c r="I183" s="180" t="str">
        <x:v>DataIntegrityVerifier</x:v>
      </x:c>
      <x:c r="J183" s="179" t="str">
        <x:v>类/实例候选</x:v>
      </x:c>
      <x:c r="K183" s="180" t="str">
        <x:v>生命周期：Runtime</x:v>
      </x:c>
      <x:c r="L183" s="183" t="str">
        <x:v>设计候选，尚待源码验证</x:v>
      </x:c>
      <x:c r="M183" s="183" t="str">
        <x:v>M10.DataIntegrityVerifier</x:v>
      </x:c>
      <x:c r="N183" s="184" t="str">
        <x:v>03_能力对象!C93</x:v>
      </x:c>
      <x:c r="O183" s="183" t="str">
        <x:v>V4.9对象/属性/方法
V2.01：名称/子方面线索；处置=规划独立契约候选·未批准新增
V7.8：V7.8未检出同名词法声明</x:v>
      </x:c>
      <x:c r="P183" s="136" t="str">
        <x:v>V4.9对象/属性/方法</x:v>
      </x:c>
    </x:row>
    <x:row r="184" ht="72" customHeight="1">
      <x:c r="A184" s="179" t="str">
        <x:v>M10</x:v>
      </x:c>
      <x:c r="B184" s="180" t="str">
        <x:v>数据与状态｜DataHandle / Stream / Artifact
Data Streaming</x:v>
      </x:c>
      <x:c r="C184" s="180" t="str">
        <x:v>MDSDataLineageRegistry</x:v>
      </x:c>
      <x:c r="D184" s="179" t="str">
        <x:v>增构候选·待查重</x:v>
      </x:c>
      <x:c r="E184" s="180" t="str">
        <x:v>数据血缘注册表：Record、Trace</x:v>
      </x:c>
      <x:c r="F184" s="180" t="str">
        <x:v>Producer；Transform；Consumer</x:v>
      </x:c>
      <x:c r="G184" s="180" t="str">
        <x:v>Record；Trace</x:v>
      </x:c>
      <x:c r="H184" s="180" t="str">
        <x:v>待逐对象核实</x:v>
      </x:c>
      <x:c r="I184" s="180" t="str">
        <x:v>DataLineageRegistry</x:v>
      </x:c>
      <x:c r="J184" s="179" t="str">
        <x:v>类/实例候选</x:v>
      </x:c>
      <x:c r="K184" s="180" t="str">
        <x:v>生命周期：Runtime</x:v>
      </x:c>
      <x:c r="L184" s="183" t="str">
        <x:v>设计候选，尚待源码验证</x:v>
      </x:c>
      <x:c r="M184" s="183" t="str">
        <x:v>M10.DataLineageRegistry</x:v>
      </x:c>
      <x:c r="N184" s="184" t="str">
        <x:v>03_能力对象!C94</x:v>
      </x:c>
      <x:c r="O184" s="183" t="str">
        <x:v>V4.9对象/属性/方法
V2.01：名称/子方面线索；处置=规划独立契约候选·未批准新增
V7.8：V7.8未检出同名词法声明</x:v>
      </x:c>
      <x:c r="P184" s="136" t="str">
        <x:v>V4.9对象/属性/方法</x:v>
      </x:c>
    </x:row>
    <x:row r="185" ht="72" customHeight="1">
      <x:c r="A185" s="179" t="str">
        <x:v>M10</x:v>
      </x:c>
      <x:c r="B185" s="180" t="str">
        <x:v>数据与状态｜DataHandle / Stream / Artifact
Data Streaming</x:v>
      </x:c>
      <x:c r="C185" s="180" t="str">
        <x:v>MDSTransferPolicy</x:v>
      </x:c>
      <x:c r="D185" s="179" t="str">
        <x:v>增构候选·待查重</x:v>
      </x:c>
      <x:c r="E185" s="180" t="str">
        <x:v>跨边界传输</x:v>
      </x:c>
      <x:c r="F185" s="180" t="str">
        <x:v>Copy；Move；Share；Serialize；Chunk</x:v>
      </x:c>
      <x:c r="G185" s="180" t="str">
        <x:v>跨边界传输</x:v>
      </x:c>
      <x:c r="H185" s="180" t="str">
        <x:v>待逐对象核实</x:v>
      </x:c>
      <x:c r="I185" s="180" t="str">
        <x:v>运行对象/模型</x:v>
      </x:c>
      <x:c r="J185" s="179" t="str">
        <x:v>类/实例候选</x:v>
      </x:c>
      <x:c r="K185" s="180" t="str">
        <x:v>生命周期：Plan</x:v>
      </x:c>
      <x:c r="L185" s="183" t="str">
        <x:v>设计候选，尚待源码验证</x:v>
      </x:c>
      <x:c r="M185" s="183" t="str">
        <x:v>M10.TransferPolicy</x:v>
      </x:c>
      <x:c r="N185" s="184" t="str">
        <x:v>03_能力对象!C95</x:v>
      </x:c>
      <x:c r="O185" s="183" t="str">
        <x:v>V4.9对象/属性/方法
V2.01：名称/子方面线索；处置=规划独立契约候选·未批准新增
V7.8：V7.8未检出同名词法声明</x:v>
      </x:c>
      <x:c r="P185" s="136" t="str">
        <x:v>V4.9对象/属性/方法</x:v>
      </x:c>
    </x:row>
    <x:row r="186" ht="72" customHeight="1">
      <x:c r="A186" s="179" t="str">
        <x:v>M10</x:v>
      </x:c>
      <x:c r="B186" s="180" t="str">
        <x:v>数据与状态｜DataHandle / Stream / Artifact
Data Streaming</x:v>
      </x:c>
      <x:c r="C186" s="180" t="str">
        <x:v>IMDSDataDescriptor</x:v>
      </x:c>
      <x:c r="D186" s="179" t="str">
        <x:v>增构候选·待查重</x:v>
      </x:c>
      <x:c r="E186" s="180" t="str">
        <x:v>数据元信息</x:v>
      </x:c>
      <x:c r="F186" s="180" t="str">
        <x:v>Type, Shape, PixelVoxel, Coordinate, Schema</x:v>
      </x:c>
      <x:c r="G186" s="180" t="str">
        <x:v>数据元信息</x:v>
      </x:c>
      <x:c r="H186" s="180" t="str">
        <x:v>—（待核）</x:v>
      </x:c>
      <x:c r="I186" s="180" t="str">
        <x:v>DataDescriptor</x:v>
      </x:c>
      <x:c r="J186" s="179" t="str">
        <x:v>接口（候选）</x:v>
      </x:c>
      <x:c r="K186" s="180" t="str">
        <x:v>V1.19 S-0317；原实施方式：增构候选。迁移风险：数据元信息</x:v>
      </x:c>
      <x:c r="L186" s="183" t="str">
        <x:v>V1.19设计候选·待核</x:v>
      </x:c>
      <x:c r="M186" s="183" t="str">
        <x:v>S-0317</x:v>
      </x:c>
      <x:c r="N186" s="184" t="str">
        <x:v>03_能力对象!C92</x:v>
      </x:c>
      <x:c r="O186" s="183" t="str">
        <x:v>V1.19旧规格候选
V2.01：来源ID对应；处置=规划独立契约候选·未批准新增
V7.8：V7.8未检出同名词法声明</x:v>
      </x:c>
      <x:c r="P186" s="136" t="str">
        <x:v>V1.19旧规格候选</x:v>
      </x:c>
    </x:row>
    <x:row r="187" ht="72" customHeight="1">
      <x:c r="A187" s="179" t="str">
        <x:v>M35</x:v>
      </x:c>
      <x:c r="B187" s="180" t="str">
        <x:v>数据与工程治理｜History / Storage / Retention
History Storage</x:v>
      </x:c>
      <x:c r="C187" s="180" t="str">
        <x:v>IMHSAlarmHistoryStore</x:v>
      </x:c>
      <x:c r="D187" s="179" t="str">
        <x:v>原有·待核</x:v>
      </x:c>
      <x:c r="E187" s="180" t="str">
        <x:v>约定报警历史Store的操作入口、交互能力及调用方/实现方边界</x:v>
      </x:c>
      <x:c r="F187" s="180" t="str">
        <x:v>—（无公开声明或待核对）</x:v>
      </x:c>
      <x:c r="G187" s="180" t="str">
        <x:v>AppendAsync(AlarmHistorySample sample, CancellationToken cancellationToken), QueryAsync(DateTime fromUtc, DateTime toUtc, string severity, int offset, int limit, CancellationToken cancellationToken)</x:v>
      </x:c>
      <x:c r="H187" s="180" t="str">
        <x:v>—（待核）</x:v>
      </x:c>
      <x:c r="I187" s="180" t="str">
        <x:v>CxVisual.Abstractions.IAlarmHistoryStore</x:v>
      </x:c>
      <x:c r="J187" s="179" t="str">
        <x:v>接口</x:v>
      </x:c>
      <x:c r="K187" s="180" t="str">
        <x:v>V1.19 C-1205；原实施方式：原有。迁移风险：约定报警历史Store的操作入口、交互能力及调用方/实现方边界</x:v>
      </x:c>
      <x:c r="L187" s="183" t="str">
        <x:v>源代码声明·待复核</x:v>
      </x:c>
      <x:c r="M187" s="183" t="str">
        <x:v>C-1205</x:v>
      </x:c>
      <x:c r="N187" s="184" t="str">
        <x:v>Platform/Core/Abstractions/History.cs</x:v>
      </x:c>
      <x:c r="O187" s="183" t="str">
        <x:v>V1.19旧源码类型（真实成员/实现仍待核）
V2.01：来源ID对应；处置=保留源码·公开契约复核
V7.8：V7.8同名且源文件对应；Platform/Core/Abstractions/History.cs</x:v>
      </x:c>
      <x:c r="P187" s="136" t="str">
        <x:v>V1.19旧源码类型（真实成员/实现仍待核）</x:v>
      </x:c>
    </x:row>
    <x:row r="188" ht="72" customHeight="1">
      <x:c r="A188" s="179" t="str">
        <x:v>M35</x:v>
      </x:c>
      <x:c r="B188" s="180" t="str">
        <x:v>数据与工程治理｜History / Storage / Retention
History Storage</x:v>
      </x:c>
      <x:c r="C188" s="180" t="str">
        <x:v>IMHSCxIdempotentHistoryWriter</x:v>
      </x:c>
      <x:c r="D188" s="179" t="str">
        <x:v>原有·待核</x:v>
      </x:c>
      <x:c r="E188" s="180" t="str">
        <x:v>约定Idempotent历史Writer的操作入口、交互能力及调用方/实现方边界</x:v>
      </x:c>
      <x:c r="F188" s="180" t="str">
        <x:v>—（无公开声明或待核对）</x:v>
      </x:c>
      <x:c r="G188" s="180" t="str">
        <x:v>AppendBatchAsync(string batchId, IReadOnlyList&lt;HistorySample&gt; samples, CancellationToken cancellationToken)</x:v>
      </x:c>
      <x:c r="H188" s="180" t="str">
        <x:v>—（待核）</x:v>
      </x:c>
      <x:c r="I188" s="180" t="str">
        <x:v>CxVisual.Abstractions.ICxIdempotentHistoryWriter</x:v>
      </x:c>
      <x:c r="J188" s="179" t="str">
        <x:v>接口</x:v>
      </x:c>
      <x:c r="K188" s="180" t="str">
        <x:v>V1.19 C-1206；原实施方式：原有。迁移风险：约定Idempotent历史Writer的操作入口、交互能力及调用方/实现方边界</x:v>
      </x:c>
      <x:c r="L188" s="183" t="str">
        <x:v>源代码声明·待复核</x:v>
      </x:c>
      <x:c r="M188" s="183" t="str">
        <x:v>C-1206</x:v>
      </x:c>
      <x:c r="N188" s="184" t="str">
        <x:v>Platform/Core/Abstractions/History.cs</x:v>
      </x:c>
      <x:c r="O188" s="183" t="str">
        <x:v>V1.19旧源码类型（真实成员/实现仍待核）
V2.01：来源ID对应；处置=保留源码·公开契约复核
V7.8：V7.8同名且源文件对应；Platform/Core/Abstractions/History.cs</x:v>
      </x:c>
      <x:c r="P188" s="136" t="str">
        <x:v>V1.19旧源码类型（真实成员/实现仍待核）</x:v>
      </x:c>
    </x:row>
    <x:row r="189" ht="72" customHeight="1">
      <x:c r="A189" s="179" t="str">
        <x:v>M35</x:v>
      </x:c>
      <x:c r="B189" s="180" t="str">
        <x:v>数据与工程治理｜History / Storage / Retention
History Storage</x:v>
      </x:c>
      <x:c r="C189" s="180" t="str">
        <x:v>IMHSHistoryStore</x:v>
      </x:c>
      <x:c r="D189" s="179" t="str">
        <x:v>原有·待核</x:v>
      </x:c>
      <x:c r="E189" s="180" t="str">
        <x:v>负责历史Store相关的Historian与公共契约管理</x:v>
      </x:c>
      <x:c r="F189" s="180" t="str">
        <x:v>—（无公开声明或待核对）</x:v>
      </x:c>
      <x:c r="G189" s="180" t="str">
        <x:v>CompactAsync(HistoryRetentionPolicy policy, CancellationToken cancellationToken), QueryAsync(string variableId, DateTime fromUtc, DateTime toUtc, int offset, int limit, CancellationToken cancellationT…)</x:v>
      </x:c>
      <x:c r="H189" s="180" t="str">
        <x:v>—（待核）</x:v>
      </x:c>
      <x:c r="I189" s="180" t="str">
        <x:v>CxVisual.Abstractions.IHistoryStore</x:v>
      </x:c>
      <x:c r="J189" s="179" t="str">
        <x:v>接口</x:v>
      </x:c>
      <x:c r="K189" s="180" t="str">
        <x:v>V1.19 C-1207；原实施方式：原有。迁移风险：负责历史Store相关的Historian与公共契约管理</x:v>
      </x:c>
      <x:c r="L189" s="183" t="str">
        <x:v>源代码声明·待复核</x:v>
      </x:c>
      <x:c r="M189" s="183" t="str">
        <x:v>C-1207</x:v>
      </x:c>
      <x:c r="N189" s="184" t="str">
        <x:v>Platform/Core/Abstractions/History.cs</x:v>
      </x:c>
      <x:c r="O189" s="183" t="str">
        <x:v>V1.19旧源码类型（真实成员/实现仍待核）
V2.01：来源ID对应；处置=保留源码·公开契约复核
V7.8：V7.8同名且源文件对应；Platform/Core/Abstractions/History.cs</x:v>
      </x:c>
      <x:c r="P189" s="136" t="str">
        <x:v>V1.19旧源码类型（真实成员/实现仍待核）</x:v>
      </x:c>
    </x:row>
    <x:row r="190" ht="72" customHeight="1">
      <x:c r="A190" s="179" t="str">
        <x:v>M35</x:v>
      </x:c>
      <x:c r="B190" s="180" t="str">
        <x:v>数据与工程治理｜History / Storage / Retention
History Storage</x:v>
      </x:c>
      <x:c r="C190" s="180" t="str">
        <x:v>IMHSHistoryStoreForwardWriter</x:v>
      </x:c>
      <x:c r="D190" s="179" t="str">
        <x:v>原有·待核</x:v>
      </x:c>
      <x:c r="E190" s="180" t="str">
        <x:v>约定历史StoreForwardWriter的操作入口、交互能力及调用方/实现方边界</x:v>
      </x:c>
      <x:c r="F190" s="180" t="str">
        <x:v>—（无公开声明或待核对）</x:v>
      </x:c>
      <x:c r="G190" s="180" t="str">
        <x:v>FlushAsync(CancellationToken cancellationToken)</x:v>
      </x:c>
      <x:c r="H190" s="180" t="str">
        <x:v>—（待核）</x:v>
      </x:c>
      <x:c r="I190" s="180" t="str">
        <x:v>CxVisual.Abstractions.IHistoryStoreForwardWriter</x:v>
      </x:c>
      <x:c r="J190" s="179" t="str">
        <x:v>接口</x:v>
      </x:c>
      <x:c r="K190" s="180" t="str">
        <x:v>V1.19 C-1208；原实施方式：原有。迁移风险：约定历史StoreForwardWriter的操作入口、交互能力及调用方/实现方边界</x:v>
      </x:c>
      <x:c r="L190" s="183" t="str">
        <x:v>源代码声明·待复核</x:v>
      </x:c>
      <x:c r="M190" s="183" t="str">
        <x:v>C-1208</x:v>
      </x:c>
      <x:c r="N190" s="184" t="str">
        <x:v>Platform/Core/Abstractions/History.cs</x:v>
      </x:c>
      <x:c r="O190" s="183" t="str">
        <x:v>V1.19旧源码类型（真实成员/实现仍待核）
V2.01：来源ID对应；处置=保留源码·公开契约复核
V7.8：V7.8同名且源文件对应；Platform/Core/Abstractions/History.cs</x:v>
      </x:c>
      <x:c r="P190" s="136" t="str">
        <x:v>V1.19旧源码类型（真实成员/实现仍待核）</x:v>
      </x:c>
    </x:row>
    <x:row r="191" ht="72" customHeight="1">
      <x:c r="A191" s="179" t="str">
        <x:v>M35</x:v>
      </x:c>
      <x:c r="B191" s="180" t="str">
        <x:v>数据与工程治理｜History / Storage / Retention
History Storage</x:v>
      </x:c>
      <x:c r="C191" s="180" t="str">
        <x:v>IMHSHistoryStoreV2</x:v>
      </x:c>
      <x:c r="D191" s="179" t="str">
        <x:v>原有·待核</x:v>
      </x:c>
      <x:c r="E191" s="180" t="str">
        <x:v>约定历史Store2的操作入口、交互能力及调用方/实现方边界</x:v>
      </x:c>
      <x:c r="F191" s="180" t="str">
        <x:v>—（无公开声明或待核对）</x:v>
      </x:c>
      <x:c r="G191" s="180" t="str">
        <x:v>ApplyRetentionAsync(HistoryRetentionPolicy policy, CancellationToken cancellationToken)</x:v>
      </x:c>
      <x:c r="H191" s="180" t="str">
        <x:v>—（待核）</x:v>
      </x:c>
      <x:c r="I191" s="180" t="str">
        <x:v>CxVisual.Abstractions.IHistoryStoreV2</x:v>
      </x:c>
      <x:c r="J191" s="179" t="str">
        <x:v>接口</x:v>
      </x:c>
      <x:c r="K191" s="180" t="str">
        <x:v>V1.19 C-1209；原实施方式：原有。迁移风险：约定历史Store2的操作入口、交互能力及调用方/实现方边界</x:v>
      </x:c>
      <x:c r="L191" s="183" t="str">
        <x:v>源代码声明·待复核</x:v>
      </x:c>
      <x:c r="M191" s="183" t="str">
        <x:v>C-1209</x:v>
      </x:c>
      <x:c r="N191" s="184" t="str">
        <x:v>Platform/Core/Abstractions/History.cs</x:v>
      </x:c>
      <x:c r="O191" s="183" t="str">
        <x:v>V1.19旧源码类型（真实成员/实现仍待核）
V2.01：来源ID对应；处置=保留源码·公开契约复核
V7.8：V7.8同名且源文件对应；Platform/Core/Abstractions/History.cs</x:v>
      </x:c>
      <x:c r="P191" s="136" t="str">
        <x:v>V1.19旧源码类型（真实成员/实现仍待核）</x:v>
      </x:c>
    </x:row>
    <x:row r="192" ht="72" customHeight="1">
      <x:c r="A192" s="179" t="str">
        <x:v>M35</x:v>
      </x:c>
      <x:c r="B192" s="180" t="str">
        <x:v>数据与工程治理｜History / Storage / Retention
History Storage</x:v>
      </x:c>
      <x:c r="C192" s="180" t="str">
        <x:v>IMHSHistoryWriter</x:v>
      </x:c>
      <x:c r="D192" s="179" t="str">
        <x:v>原有·待核</x:v>
      </x:c>
      <x:c r="E192" s="180" t="str">
        <x:v>约定历史Writer的操作入口、交互能力及调用方/实现方边界</x:v>
      </x:c>
      <x:c r="F192" s="180" t="str">
        <x:v>—（无公开声明或待核对）</x:v>
      </x:c>
      <x:c r="G192" s="180" t="str">
        <x:v>AppendAsync(IReadOnlyList&lt;HistorySample&gt; samples, CancellationToken cancellationToken)</x:v>
      </x:c>
      <x:c r="H192" s="180" t="str">
        <x:v>—（待核）</x:v>
      </x:c>
      <x:c r="I192" s="180" t="str">
        <x:v>CxVisual.Abstractions.IHistoryWriter</x:v>
      </x:c>
      <x:c r="J192" s="179" t="str">
        <x:v>接口</x:v>
      </x:c>
      <x:c r="K192" s="180" t="str">
        <x:v>V1.19 C-1210；原实施方式：原有。迁移风险：约定历史Writer的操作入口、交互能力及调用方/实现方边界</x:v>
      </x:c>
      <x:c r="L192" s="183" t="str">
        <x:v>源代码声明·待复核</x:v>
      </x:c>
      <x:c r="M192" s="183" t="str">
        <x:v>C-1210</x:v>
      </x:c>
      <x:c r="N192" s="184" t="str">
        <x:v>Platform/Core/Abstractions/History.cs</x:v>
      </x:c>
      <x:c r="O192" s="183" t="str">
        <x:v>V1.19旧源码类型（真实成员/实现仍待核）
V2.01：来源ID对应；处置=保留源码·公开契约复核
V7.8：V7.8同名且源文件对应；Platform/Core/Abstractions/History.cs</x:v>
      </x:c>
      <x:c r="P192" s="136" t="str">
        <x:v>V1.19旧源码类型（真实成员/实现仍待核）</x:v>
      </x:c>
    </x:row>
    <x:row r="193" ht="72" customHeight="1">
      <x:c r="A193" s="179" t="str">
        <x:v>M35</x:v>
      </x:c>
      <x:c r="B193" s="180" t="str">
        <x:v>数据与工程治理｜History / Storage / Retention
History Storage</x:v>
      </x:c>
      <x:c r="C193" s="180" t="str">
        <x:v>MHSAlarmHistorySample</x:v>
      </x:c>
      <x:c r="D193" s="179" t="str">
        <x:v>原有·待核</x:v>
      </x:c>
      <x:c r="E193" s="180" t="str">
        <x:v>表达或管理报警历史Sample相关的数据及协作职责，具体行为待源码复核〔待核〕</x:v>
      </x:c>
      <x:c r="F193" s="180" t="str">
        <x:v>TimestampUtc, AlarmId, Event, UserId, Value, Severity, Message</x:v>
      </x:c>
      <x:c r="G193" s="180" t="str">
        <x:v>—(无公开声明或待核对)</x:v>
      </x:c>
      <x:c r="H193" s="180" t="str">
        <x:v>—（待核）</x:v>
      </x:c>
      <x:c r="I193" s="180" t="str">
        <x:v>CxVisual.Abstractions.AlarmHistorySample</x:v>
      </x:c>
      <x:c r="J193" s="179" t="str">
        <x:v>类</x:v>
      </x:c>
      <x:c r="K193" s="180" t="str">
        <x:v>V1.19 C-1201；原实施方式：原有。迁移风险：表达或管理报警历史Sample相关的数据及协作职责，具体行为待源码复核〔待核〕</x:v>
      </x:c>
      <x:c r="L193" s="183" t="str">
        <x:v>源代码声明·待复核</x:v>
      </x:c>
      <x:c r="M193" s="183" t="str">
        <x:v>C-1201</x:v>
      </x:c>
      <x:c r="N193" s="184" t="str">
        <x:v>Platform/Core/Abstractions/History.cs</x:v>
      </x:c>
      <x:c r="O193" s="183" t="str">
        <x:v>V1.19旧源码类型（真实成员/实现仍待核）
V2.01：来源ID对应；处置=保留源码·公开契约复核
V7.8：V7.8同名且源文件对应；Platform/Core/Abstractions/History.cs</x:v>
      </x:c>
      <x:c r="P193" s="136" t="str">
        <x:v>V1.19旧源码类型（真实成员/实现仍待核）</x:v>
      </x:c>
    </x:row>
    <x:row r="194" ht="135" customHeight="1">
      <x:c r="A194" s="179" t="str">
        <x:v>M35</x:v>
      </x:c>
      <x:c r="B194" s="180" t="str">
        <x:v>数据与工程治理｜History / Storage / Retention
History Storage</x:v>
      </x:c>
      <x:c r="C194" s="180" t="str">
        <x:v>MHSChangeJournal</x:v>
      </x:c>
      <x:c r="D194" s="179" t="str">
        <x:v>原有·待核</x:v>
      </x:c>
      <x:c r="E194" s="180" t="str">
        <x:v>负责ChangeJournal相关的变化流与公共契约管理</x:v>
      </x:c>
      <x:c r="F194" s="180" t="str">
        <x:v>Capacity, LastSequence, TrimmedThrough, Entries</x:v>
      </x:c>
      <x:c r="G194" s="180" t="str">
        <x:v>ChangeJournal(IClock clock = null, int capacity = 100000), ChangeJournal(IEnumerable&lt;CxChangeJournalEntry&gt; entries, long lastSequence, long trimmedThrough, int capacity), Append(CxChangeJournalEntry entry), Query(long afterSequence = 0, int limit = int.MaxValue, string nodeId = null, string aspect = null), Replay(Action&lt;CxChangeJournalEntry&gt; apply, long afterSequence = 0, long? untilSequence = null, CancellationToken c…), Trim(long throughSequence), SnapshotJson()</x:v>
      </x:c>
      <x:c r="H194" s="180" t="str">
        <x:v>—（待核）</x:v>
      </x:c>
      <x:c r="I194" s="180" t="str">
        <x:v>CxVisual.Persistence.History.ChangeJournal</x:v>
      </x:c>
      <x:c r="J194" s="179" t="str">
        <x:v>类</x:v>
      </x:c>
      <x:c r="K194" s="180" t="str">
        <x:v>V1.19 C-1214；原实施方式：原有。迁移风险：负责ChangeJournal相关的变化流与公共契约管理</x:v>
      </x:c>
      <x:c r="L194" s="183" t="str">
        <x:v>源代码声明·待复核</x:v>
      </x:c>
      <x:c r="M194" s="183" t="str">
        <x:v>C-1214</x:v>
      </x:c>
      <x:c r="N194" s="184" t="str">
        <x:v>Platform/Persistence/History/ChangeJournal.cs</x:v>
      </x:c>
      <x:c r="O194" s="183" t="str">
        <x:v>V1.19旧源码类型（真实成员/实现仍待核）
V2.01：来源ID对应；处置=保留源码·公开契约复核
V7.8：V7.8同名且源文件对应；Platform/Persistence/History/ChangeJournal.cs</x:v>
      </x:c>
      <x:c r="P194" s="136" t="str">
        <x:v>V1.19旧源码类型（真实成员/实现仍待核）</x:v>
      </x:c>
    </x:row>
    <x:row r="195" ht="72" customHeight="1">
      <x:c r="A195" s="179" t="str">
        <x:v>M35</x:v>
      </x:c>
      <x:c r="B195" s="180" t="str">
        <x:v>数据与工程治理｜History / Storage / Retention
History Storage</x:v>
      </x:c>
      <x:c r="C195" s="180" t="str">
        <x:v>MHSChartPointSnapshot</x:v>
      </x:c>
      <x:c r="D195" s="179" t="str">
        <x:v>原有·待核</x:v>
      </x:c>
      <x:c r="E195" s="180" t="str">
        <x:v>保存ChartPoint快照在特定时间点的不可变状态快照</x:v>
      </x:c>
      <x:c r="F195" s="180" t="str">
        <x:v>TimestampUtc, Value, Quality</x:v>
      </x:c>
      <x:c r="G195" s="180" t="str">
        <x:v>—(无公开声明或待核对)</x:v>
      </x:c>
      <x:c r="H195" s="180" t="str">
        <x:v>—（待核）</x:v>
      </x:c>
      <x:c r="I195" s="180" t="str">
        <x:v>CxVisual.Abstractions.ChartPointSnapshot</x:v>
      </x:c>
      <x:c r="J195" s="179" t="str">
        <x:v>类</x:v>
      </x:c>
      <x:c r="K195" s="180" t="str">
        <x:v>V1.19 C-1202；原实施方式：原有。迁移风险：保存ChartPoint快照在特定时间点的不可变状态快照</x:v>
      </x:c>
      <x:c r="L195" s="183" t="str">
        <x:v>源代码声明·待复核</x:v>
      </x:c>
      <x:c r="M195" s="183" t="str">
        <x:v>C-1202</x:v>
      </x:c>
      <x:c r="N195" s="184" t="str">
        <x:v>Platform/Core/Abstractions/History.cs</x:v>
      </x:c>
      <x:c r="O195" s="183" t="str">
        <x:v>V1.19旧源码类型（真实成员/实现仍待核）
V2.01：来源ID对应；处置=保留源码·公开契约复核
V7.8：V7.8同名且源文件对应；Platform/Core/Abstractions/History.cs</x:v>
      </x:c>
      <x:c r="P195" s="136" t="str">
        <x:v>V1.19旧源码类型（真实成员/实现仍待核）</x:v>
      </x:c>
    </x:row>
    <x:row r="196" ht="72" customHeight="1">
      <x:c r="A196" s="179" t="str">
        <x:v>M35</x:v>
      </x:c>
      <x:c r="B196" s="180" t="str">
        <x:v>数据与工程治理｜History / Storage / Retention
History Storage</x:v>
      </x:c>
      <x:c r="C196" s="180" t="str">
        <x:v>MHSCxArtifactPaths</x:v>
      </x:c>
      <x:c r="D196" s="179" t="str">
        <x:v>原有·待核</x:v>
      </x:c>
      <x:c r="E196" s="180" t="str">
        <x:v>提供ArtifactPaths相关基础操作或类型辅助处理</x:v>
      </x:c>
      <x:c r="F196" s="180" t="str">
        <x:v>—（无公开声明或待核对）</x:v>
      </x:c>
      <x:c r="G196" s="180" t="str">
        <x:v>Root(string root), Within(string root, string relative), CheckLinks(string path)</x:v>
      </x:c>
      <x:c r="H196" s="180" t="str">
        <x:v>—（待核）</x:v>
      </x:c>
      <x:c r="I196" s="180" t="str">
        <x:v>CxVisual.Persistence.Artifacts.CxArtifactPaths</x:v>
      </x:c>
      <x:c r="J196" s="179" t="str">
        <x:v>静态类</x:v>
      </x:c>
      <x:c r="K196" s="180" t="str">
        <x:v>V1.19 C-1211；原实施方式：原有。迁移风险：提供ArtifactPaths相关基础操作或类型辅助处理</x:v>
      </x:c>
      <x:c r="L196" s="183" t="str">
        <x:v>源代码声明·待复核</x:v>
      </x:c>
      <x:c r="M196" s="183" t="str">
        <x:v>C-1211</x:v>
      </x:c>
      <x:c r="N196" s="184" t="str">
        <x:v>Platform/Persistence/Artifacts/CxArtifactRef.cs</x:v>
      </x:c>
      <x:c r="O196" s="183" t="str">
        <x:v>V1.19旧源码类型（真实成员/实现仍待核）
V2.01：来源ID对应；处置=保留源码·公开契约复核
V7.8：V7.8同名且源文件对应；Platform/Persistence/Artifacts/CxArtifactRef.cs</x:v>
      </x:c>
      <x:c r="P196" s="136" t="str">
        <x:v>V1.19旧源码类型（真实成员/实现仍待核）</x:v>
      </x:c>
    </x:row>
    <x:row r="197" ht="135" customHeight="1">
      <x:c r="A197" s="179" t="str">
        <x:v>M35</x:v>
      </x:c>
      <x:c r="B197" s="180" t="str">
        <x:v>数据与工程治理｜History / Storage / Retention
History Storage</x:v>
      </x:c>
      <x:c r="C197" s="180" t="str">
        <x:v>MHSCxArtifactRef</x:v>
      </x:c>
      <x:c r="D197" s="179" t="str">
        <x:v>原有·待核</x:v>
      </x:c>
      <x:c r="E197" s="180" t="str">
        <x:v>负责ArtifactRef相关的结果/文件引用与公共契约管理</x:v>
      </x:c>
      <x:c r="F197" s="180" t="str">
        <x:v>ArtifactId, Kind, Uri, Size, Checksum, Version, Metadata</x:v>
      </x:c>
      <x:c r="G197" s="180" t="str">
        <x:v>OpenReadAsync(CancellationToken cancellationToken = default(CancellationToken); OpenReadAsync(string rootUri, CancellationToken cancellationToken = default(CancellationToken); VerifyAsync(CancellationToken cancellationToken = default(CancellationToken); VerifyAsync(string rootUri, CancellationToken cancellationToken = default(CancellationToken); Bind(string root); Validate(); SnapshotMetadata(IDictionary&lt;string, object&gt; metadata); Hex(bytehash)</x:v>
      </x:c>
      <x:c r="H197" s="180" t="str">
        <x:v>—（待核）</x:v>
      </x:c>
      <x:c r="I197" s="180" t="str">
        <x:v>CxVisual.Persistence.Artifacts.CxArtifactRef</x:v>
      </x:c>
      <x:c r="J197" s="179" t="str">
        <x:v>类</x:v>
      </x:c>
      <x:c r="K197" s="180" t="str">
        <x:v>V1.19 C-1212；原实施方式：原有。迁移风险：负责ArtifactRef相关的结果/文件引用与公共契约管理</x:v>
      </x:c>
      <x:c r="L197" s="183" t="str">
        <x:v>源代码声明·待复核</x:v>
      </x:c>
      <x:c r="M197" s="183" t="str">
        <x:v>C-1212</x:v>
      </x:c>
      <x:c r="N197" s="184" t="str">
        <x:v>Platform/Persistence/Artifacts/CxArtifactRef.cs</x:v>
      </x:c>
      <x:c r="O197" s="183" t="str">
        <x:v>V1.19旧源码类型（真实成员/实现仍待核）
V2.01：来源ID对应；处置=保留源码·公开契约复核
V7.8：V7.8同名且源文件对应；Platform/Persistence/Artifacts/CxArtifactRef.cs</x:v>
      </x:c>
      <x:c r="P197" s="136" t="str">
        <x:v>V1.19旧源码类型（真实成员/实现仍待核）</x:v>
      </x:c>
    </x:row>
    <x:row r="198" ht="135" customHeight="1">
      <x:c r="A198" s="179" t="str">
        <x:v>M35</x:v>
      </x:c>
      <x:c r="B198" s="180" t="str">
        <x:v>数据与工程治理｜History / Storage / Retention
History Storage</x:v>
      </x:c>
      <x:c r="C198" s="180" t="str">
        <x:v>MHSCxArtifactStore</x:v>
      </x:c>
      <x:c r="D198" s="179" t="str">
        <x:v>原有·待核</x:v>
      </x:c>
      <x:c r="E198" s="180" t="str">
        <x:v>Artifact存储</x:v>
      </x:c>
      <x:c r="F198" s="180" t="str">
        <x:v>RootUri, LastCleanupError</x:v>
      </x:c>
      <x:c r="G198" s="180" t="str">
        <x:v>CxArtifactStore(string rootUri), PutAsync(string artifactId, string kind, Stream payload, string version = , IDictionary&lt;string, object&gt; metadata = n…), GetAsync(string artifactId, string version = , CancellationToken cancellationToken = default(CancellationToken); QueryAsync(string kind = null, string artifactId = null, CancellationToken cancellationToken = default(CancellationToken); DeleteAsync(string artifactId, string version = , CancellationToken cancellationToken = default(CancellationToken); DeleteValidatedAsync(string artifactId, string version, Func&lt;CxArtifactRef, Task&gt; validate, CancellationToken cancellationToken); RetryCleanupAsync(CancellationToken cancellationToken = default(CancellationToken)</x:v>
      </x:c>
      <x:c r="H198" s="180" t="str">
        <x:v>—（待核）</x:v>
      </x:c>
      <x:c r="I198" s="180" t="str">
        <x:v>CxVisual.Persistence.Artifacts.CxArtifactStore</x:v>
      </x:c>
      <x:c r="J198" s="179" t="str">
        <x:v>类</x:v>
      </x:c>
      <x:c r="K198" s="180" t="str">
        <x:v>V1.19 C-1213；原实施方式：原有。迁移风险：Artifact存储</x:v>
      </x:c>
      <x:c r="L198" s="183" t="str">
        <x:v>源代码声明·待复核</x:v>
      </x:c>
      <x:c r="M198" s="183" t="str">
        <x:v>C-1213</x:v>
      </x:c>
      <x:c r="N198" s="184" t="str">
        <x:v>Platform/Persistence/Artifacts/CxArtifactStore.cs</x:v>
      </x:c>
      <x:c r="O198" s="183" t="str">
        <x:v>V1.19旧源码类型（真实成员/实现仍待核）
V2.01：来源ID对应；处置=保留源码·公开契约复核
V7.8：V7.8同名且源文件对应；Platform/Persistence/Artifacts/CxArtifactStore.cs</x:v>
      </x:c>
      <x:c r="P198" s="136" t="str">
        <x:v>V1.19旧源码类型（真实成员/实现仍待核）</x:v>
      </x:c>
    </x:row>
    <x:row r="199" ht="72" customHeight="1">
      <x:c r="A199" s="179" t="str">
        <x:v>M35</x:v>
      </x:c>
      <x:c r="B199" s="180" t="str">
        <x:v>数据与工程治理｜History / Storage / Retention
History Storage</x:v>
      </x:c>
      <x:c r="C199" s="180" t="str">
        <x:v>MHSCxChangeJournalEntry</x:v>
      </x:c>
      <x:c r="D199" s="179" t="str">
        <x:v>原有·待核</x:v>
      </x:c>
      <x:c r="E199" s="180" t="str">
        <x:v>表达或管理ChangeJournalEntry相关的数据及协作职责，具体行为待源码复核〔待核〕</x:v>
      </x:c>
      <x:c r="F199" s="180" t="str">
        <x:v>Sequence, TimestampUtc, NodeId, Aspect, ChangeKind, CorrelationId, Before, After</x:v>
      </x:c>
      <x:c r="G199" s="180" t="str">
        <x:v>Clone()</x:v>
      </x:c>
      <x:c r="H199" s="180" t="str">
        <x:v>—（待核）</x:v>
      </x:c>
      <x:c r="I199" s="180" t="str">
        <x:v>CxVisual.Persistence.History.CxChangeJournalEntry</x:v>
      </x:c>
      <x:c r="J199" s="179" t="str">
        <x:v>类</x:v>
      </x:c>
      <x:c r="K199" s="180" t="str">
        <x:v>V1.19 C-1215；原实施方式：原有。迁移风险：表达或管理ChangeJournalEntry相关的数据及协作职责，具体行为待源码复核〔待核〕</x:v>
      </x:c>
      <x:c r="L199" s="183" t="str">
        <x:v>源代码声明·待复核</x:v>
      </x:c>
      <x:c r="M199" s="183" t="str">
        <x:v>C-1215</x:v>
      </x:c>
      <x:c r="N199" s="184" t="str">
        <x:v>Platform/Persistence/History/ChangeJournal.cs</x:v>
      </x:c>
      <x:c r="O199" s="183" t="str">
        <x:v>V1.19旧源码类型（真实成员/实现仍待核）
V2.01：来源ID对应；处置=保留源码·公开契约复核
V7.8：V7.8同名且源文件对应；Platform/Persistence/History/ChangeJournal.cs</x:v>
      </x:c>
      <x:c r="P199" s="136" t="str">
        <x:v>V1.19旧源码类型（真实成员/实现仍待核）</x:v>
      </x:c>
    </x:row>
    <x:row r="200" ht="72" customHeight="1">
      <x:c r="A200" s="179" t="str">
        <x:v>M35</x:v>
      </x:c>
      <x:c r="B200" s="180" t="str">
        <x:v>数据与工程治理｜History / Storage / Retention
History Storage</x:v>
      </x:c>
      <x:c r="C200" s="180" t="str">
        <x:v>MHSCxChangeJournalJsonConverter</x:v>
      </x:c>
      <x:c r="D200" s="179" t="str">
        <x:v>原有·待核</x:v>
      </x:c>
      <x:c r="E200" s="180" t="str">
        <x:v>实现ChangeJournalJsonConverter表示之间的转换，处理格式兼容性</x:v>
      </x:c>
      <x:c r="F200" s="180" t="str">
        <x:v>—（无公开声明或待核对）</x:v>
      </x:c>
      <x:c r="G200" s="180" t="str">
        <x:v>CanConvert(Type objectType), WriteJson(JsonWriter writer, object value, JsonSerializer serializer), ReadJson(JsonReader reader, Type objectType, object existingValue, JsonSerializer serializer)</x:v>
      </x:c>
      <x:c r="H200" s="180" t="str">
        <x:v>—（待核）</x:v>
      </x:c>
      <x:c r="I200" s="180" t="str">
        <x:v>CxVisual.Persistence.History.CxChangeJournalJsonConverter</x:v>
      </x:c>
      <x:c r="J200" s="179" t="str">
        <x:v>类</x:v>
      </x:c>
      <x:c r="K200" s="180" t="str">
        <x:v>V1.19 C-1216；原实施方式：原有。迁移风险：实现ChangeJournalJsonConverter表示之间的转换，处理格式兼容性</x:v>
      </x:c>
      <x:c r="L200" s="183" t="str">
        <x:v>源代码声明·待复核</x:v>
      </x:c>
      <x:c r="M200" s="183" t="str">
        <x:v>C-1216</x:v>
      </x:c>
      <x:c r="N200" s="184" t="str">
        <x:v>Platform/Persistence/History/ChangeJournal.cs</x:v>
      </x:c>
      <x:c r="O200" s="183" t="str">
        <x:v>V1.19旧源码类型（真实成员/实现仍待核）
V2.01：来源ID对应；处置=保留源码·公开契约复核
V7.8：V7.8同名且源文件对应；Platform/Persistence/History/ChangeJournal.cs</x:v>
      </x:c>
      <x:c r="P200" s="136" t="str">
        <x:v>V1.19旧源码类型（真实成员/实现仍待核）</x:v>
      </x:c>
    </x:row>
    <x:row r="201" ht="72" customHeight="1">
      <x:c r="A201" s="179" t="str">
        <x:v>M35</x:v>
      </x:c>
      <x:c r="B201" s="180" t="str">
        <x:v>数据与工程治理｜History / Storage / Retention
History Storage</x:v>
      </x:c>
      <x:c r="C201" s="180" t="str">
        <x:v>MHSCxJournalReplayException</x:v>
      </x:c>
      <x:c r="D201" s="179" t="str">
        <x:v>原有·待核</x:v>
      </x:c>
      <x:c r="E201" s="180" t="str">
        <x:v>表示JournalReplay异常异常并传递异常原因及诊断上下文</x:v>
      </x:c>
      <x:c r="F201" s="180" t="str">
        <x:v>LastAppliedSequence, FailedSequence</x:v>
      </x:c>
      <x:c r="G201" s="180" t="str">
        <x:v>CxJournalReplayException(long lastApplied, long failed, Exception inner)</x:v>
      </x:c>
      <x:c r="H201" s="180" t="str">
        <x:v>—（待核）</x:v>
      </x:c>
      <x:c r="I201" s="180" t="str">
        <x:v>CxVisual.Persistence.History.CxJournalReplayException</x:v>
      </x:c>
      <x:c r="J201" s="179" t="str">
        <x:v>类</x:v>
      </x:c>
      <x:c r="K201" s="180" t="str">
        <x:v>V1.19 C-1217；原实施方式：原有。迁移风险：表示JournalReplay异常异常并传递异常原因及诊断上下文</x:v>
      </x:c>
      <x:c r="L201" s="183" t="str">
        <x:v>源代码声明·待复核</x:v>
      </x:c>
      <x:c r="M201" s="183" t="str">
        <x:v>C-1217</x:v>
      </x:c>
      <x:c r="N201" s="184" t="str">
        <x:v>Platform/Persistence/History/ChangeJournal.cs</x:v>
      </x:c>
      <x:c r="O201" s="183" t="str">
        <x:v>V1.19旧源码类型（真实成员/实现仍待核）
V2.01：来源ID对应；处置=保留源码·公开契约复核
V7.8：V7.8同名且源文件对应；Platform/Persistence/History/ChangeJournal.cs</x:v>
      </x:c>
      <x:c r="P201" s="136" t="str">
        <x:v>V1.19旧源码类型（真实成员/实现仍待核）</x:v>
      </x:c>
    </x:row>
    <x:row r="202" ht="72" customHeight="1">
      <x:c r="A202" s="179" t="str">
        <x:v>M35</x:v>
      </x:c>
      <x:c r="B202" s="180" t="str">
        <x:v>数据与工程治理｜History / Storage / Retention
History Storage</x:v>
      </x:c>
      <x:c r="C202" s="180" t="str">
        <x:v>MHSCxReplayCursor</x:v>
      </x:c>
      <x:c r="D202" s="179" t="str">
        <x:v>原有·待核</x:v>
      </x:c>
      <x:c r="E202" s="180" t="str">
        <x:v>表达或管理ReplayCursor相关的数据及协作职责，具体行为待源码复核〔待核〕</x:v>
      </x:c>
      <x:c r="F202" s="180" t="str">
        <x:v>Count, Position</x:v>
      </x:c>
      <x:c r="G202" s="180" t="str">
        <x:v>CxReplayCursor(IEnumerable&lt;CxReplayRecord&gt; records), ReadNextAsync(CancellationToken cancellationToken = default(CancellationToken); Reset()</x:v>
      </x:c>
      <x:c r="H202" s="180" t="str">
        <x:v>—（待核）</x:v>
      </x:c>
      <x:c r="I202" s="180" t="str">
        <x:v>CxVisual.Persistence.Snapshots.CxReplayCursor</x:v>
      </x:c>
      <x:c r="J202" s="179" t="str">
        <x:v>类</x:v>
      </x:c>
      <x:c r="K202" s="180" t="str">
        <x:v>V1.19 C-1223；原实施方式：原有。迁移风险：表达或管理ReplayCursor相关的数据及协作职责，具体行为待源码复核〔待核〕</x:v>
      </x:c>
      <x:c r="L202" s="183" t="str">
        <x:v>源代码声明·待复核</x:v>
      </x:c>
      <x:c r="M202" s="183" t="str">
        <x:v>C-1223</x:v>
      </x:c>
      <x:c r="N202" s="184" t="str">
        <x:v>Platform/Persistence/Snapshots/CxReplayStore.cs</x:v>
      </x:c>
      <x:c r="O202" s="183" t="str">
        <x:v>V1.19旧源码类型（真实成员/实现仍待核）
V2.01：来源ID对应；处置=保留源码·公开契约复核
V7.8：V7.8同名且源文件对应；Platform/Persistence/Snapshots/CxReplayStore.cs</x:v>
      </x:c>
      <x:c r="P202" s="136" t="str">
        <x:v>V1.19旧源码类型（真实成员/实现仍待核）</x:v>
      </x:c>
    </x:row>
    <x:row r="203" ht="72" customHeight="1">
      <x:c r="A203" s="179" t="str">
        <x:v>M35</x:v>
      </x:c>
      <x:c r="B203" s="180" t="str">
        <x:v>数据与工程治理｜History / Storage / Retention
History Storage</x:v>
      </x:c>
      <x:c r="C203" s="180" t="str">
        <x:v>MHSCxReplayRecord</x:v>
      </x:c>
      <x:c r="D203" s="179" t="str">
        <x:v>原有·待核</x:v>
      </x:c>
      <x:c r="E203" s="180" t="str">
        <x:v>记录Replay记录过程、关联身份和可追踪的事实信息</x:v>
      </x:c>
      <x:c r="F203" s="180" t="str">
        <x:v>—（无公开声明或待核对）</x:v>
      </x:c>
      <x:c r="G203" s="180" t="str">
        <x:v>CxReplayRecord(JObject document), Parse((string); DeepClone(); ToJson()</x:v>
      </x:c>
      <x:c r="H203" s="180" t="str">
        <x:v>—（待核）</x:v>
      </x:c>
      <x:c r="I203" s="180" t="str">
        <x:v>CxVisual.Persistence.Snapshots.CxReplayRecord</x:v>
      </x:c>
      <x:c r="J203" s="179" t="str">
        <x:v>类</x:v>
      </x:c>
      <x:c r="K203" s="180" t="str">
        <x:v>V1.19 C-1224；原实施方式：原有。迁移风险：记录Replay记录过程、关联身份和可追踪的事实信息</x:v>
      </x:c>
      <x:c r="L203" s="183" t="str">
        <x:v>源代码声明·待复核</x:v>
      </x:c>
      <x:c r="M203" s="183" t="str">
        <x:v>C-1224</x:v>
      </x:c>
      <x:c r="N203" s="184" t="str">
        <x:v>Platform/Persistence/Snapshots/CxReplayStore.cs</x:v>
      </x:c>
      <x:c r="O203" s="183" t="str">
        <x:v>V1.19旧源码类型（真实成员/实现仍待核）
V2.01：来源ID对应；处置=保留源码·公开契约复核
V7.8：V7.8同名且源文件对应；Platform/Persistence/Snapshots/CxReplayStore.cs</x:v>
      </x:c>
      <x:c r="P203" s="136" t="str">
        <x:v>V1.19旧源码类型（真实成员/实现仍待核）</x:v>
      </x:c>
    </x:row>
    <x:row r="204" ht="135" customHeight="1">
      <x:c r="A204" s="179" t="str">
        <x:v>M35</x:v>
      </x:c>
      <x:c r="B204" s="180" t="str">
        <x:v>数据与工程治理｜History / Storage / Retention
History Storage</x:v>
      </x:c>
      <x:c r="C204" s="180" t="str">
        <x:v>MHSCxReplayStore</x:v>
      </x:c>
      <x:c r="D204" s="179" t="str">
        <x:v>原有·待核</x:v>
      </x:c>
      <x:c r="E204" s="180" t="str">
        <x:v>负责ReplayStore相关的回放存储与公共契约管理</x:v>
      </x:c>
      <x:c r="F204" s="180" t="str">
        <x:v>MaximumRecordBytes, RootUri</x:v>
      </x:c>
      <x:c r="G204" s="180" t="str">
        <x:v>CxReplayStore(string rootUri), AppendAsync(string streamId, JToken payload, CancellationToken cancellationToken = default(CancellationToken); AppendAsync(string streamId, JToken payload, DateTime timestamp, CancellationToken cancellationToken = default(Cancella…); QueryAsync(string streamId, long afterSequence = 0, DateTime? from = null, DateTime? until = null, int limit = 10000, …); OpenReplayAsync(string streamId, long afterSequence = 0, CancellationToken cancellationToken = default(CancellationToken)</x:v>
      </x:c>
      <x:c r="H204" s="180" t="str">
        <x:v>—（待核）</x:v>
      </x:c>
      <x:c r="I204" s="180" t="str">
        <x:v>CxVisual.Persistence.Snapshots.CxReplayStore</x:v>
      </x:c>
      <x:c r="J204" s="179" t="str">
        <x:v>类</x:v>
      </x:c>
      <x:c r="K204" s="180" t="str">
        <x:v>V1.19 C-1225；原实施方式：原有。迁移风险：负责ReplayStore相关的回放存储与公共契约管理</x:v>
      </x:c>
      <x:c r="L204" s="183" t="str">
        <x:v>源代码声明·待复核</x:v>
      </x:c>
      <x:c r="M204" s="183" t="str">
        <x:v>C-1225</x:v>
      </x:c>
      <x:c r="N204" s="184" t="str">
        <x:v>Platform/Persistence/Snapshots/CxReplayStore.cs</x:v>
      </x:c>
      <x:c r="O204" s="183" t="str">
        <x:v>V1.19旧源码类型（真实成员/实现仍待核）
V2.01：来源ID对应；处置=保留源码·公开契约复核
V7.8：V7.8同名且源文件对应；Platform/Persistence/Snapshots/CxReplayStore.cs</x:v>
      </x:c>
      <x:c r="P204" s="136" t="str">
        <x:v>V1.19旧源码类型（真实成员/实现仍待核）</x:v>
      </x:c>
    </x:row>
    <x:row r="205" ht="135" customHeight="1">
      <x:c r="A205" s="179" t="str">
        <x:v>M35</x:v>
      </x:c>
      <x:c r="B205" s="180" t="str">
        <x:v>数据与工程治理｜History / Storage / Retention
History Storage</x:v>
      </x:c>
      <x:c r="C205" s="180" t="str">
        <x:v>MHSCxSnapshotStore</x:v>
      </x:c>
      <x:c r="D205" s="179" t="str">
        <x:v>原有·待核</x:v>
      </x:c>
      <x:c r="E205" s="180" t="str">
        <x:v>负责快照Store相关的快照存储与公共契约管理</x:v>
      </x:c>
      <x:c r="F205" s="180" t="str">
        <x:v>RootUri, LastCleanupError</x:v>
      </x:c>
      <x:c r="G205" s="180" t="str">
        <x:v>CxSnapshotStore(string rootUri), SaveAsync(CxRuntimeSnapshot snapshot, CancellationToken cancellationToken = default(CancellationToken); LoadAsync(string snapshotId, CancellationToken cancellationToken = default(CancellationToken); ListAsync(CancellationToken cancellationToken = default(CancellationToken); DeleteAsync(string snapshotId, CancellationToken cancellationToken = default(CancellationToken); RetryCleanupAsync(CancellationToken cancellationToken = default(CancellationToken)</x:v>
      </x:c>
      <x:c r="H205" s="180" t="str">
        <x:v>—（待核）</x:v>
      </x:c>
      <x:c r="I205" s="180" t="str">
        <x:v>CxVisual.Persistence.Snapshots.CxSnapshotStore</x:v>
      </x:c>
      <x:c r="J205" s="179" t="str">
        <x:v>类</x:v>
      </x:c>
      <x:c r="K205" s="180" t="str">
        <x:v>V1.19 C-1226；原实施方式：原有。迁移风险：负责快照Store相关的快照存储与公共契约管理</x:v>
      </x:c>
      <x:c r="L205" s="183" t="str">
        <x:v>源代码声明·待复核</x:v>
      </x:c>
      <x:c r="M205" s="183" t="str">
        <x:v>C-1226</x:v>
      </x:c>
      <x:c r="N205" s="184" t="str">
        <x:v>Platform/Persistence/Snapshots/CxSnapshotStore.cs</x:v>
      </x:c>
      <x:c r="O205" s="183" t="str">
        <x:v>V1.19旧源码类型（真实成员/实现仍待核）
V2.01：来源ID对应；处置=保留源码·公开契约复核
V7.8：V7.8同名且源文件对应；Platform/Persistence/Snapshots/CxSnapshotStore.cs</x:v>
      </x:c>
      <x:c r="P205" s="136" t="str">
        <x:v>V1.19旧源码类型（真实成员/实现仍待核）</x:v>
      </x:c>
    </x:row>
    <x:row r="206" ht="72" customHeight="1">
      <x:c r="A206" s="179" t="str">
        <x:v>M35</x:v>
      </x:c>
      <x:c r="B206" s="180" t="str">
        <x:v>数据与工程治理｜History / Storage / Retention
History Storage</x:v>
      </x:c>
      <x:c r="C206" s="180" t="str">
        <x:v>MHSCxStepCheckpoint</x:v>
      </x:c>
      <x:c r="D206" s="179" t="str">
        <x:v>原有·待核</x:v>
      </x:c>
      <x:c r="E206" s="180" t="str">
        <x:v>表达或管理Step检查点相关的数据及协作职责，具体行为待源码复核〔待核〕</x:v>
      </x:c>
      <x:c r="F206" s="180" t="str">
        <x:v>—（无公开声明或待核对）</x:v>
      </x:c>
      <x:c r="G206" s="180" t="str">
        <x:v>CxStepCheckpoint(JObject record), ParseExact((string); Copy(); Serialize(); Deserialize(string json); Validate(); Invalid(string code)</x:v>
      </x:c>
      <x:c r="H206" s="180" t="str">
        <x:v>—（待核）</x:v>
      </x:c>
      <x:c r="I206" s="180" t="str">
        <x:v>CxVisual.Persistence.Snapshots.CxStepCheckpoint</x:v>
      </x:c>
      <x:c r="J206" s="179" t="str">
        <x:v>类</x:v>
      </x:c>
      <x:c r="K206" s="180" t="str">
        <x:v>V1.19 C-1227；原实施方式：原有。迁移风险：表达或管理Step检查点相关的数据及协作职责，具体行为待源码复核〔待核〕</x:v>
      </x:c>
      <x:c r="L206" s="183" t="str">
        <x:v>源代码声明·待复核</x:v>
      </x:c>
      <x:c r="M206" s="183" t="str">
        <x:v>C-1227</x:v>
      </x:c>
      <x:c r="N206" s="184" t="str">
        <x:v>Platform/Persistence/Snapshots/CxStepCheckpointStore.cs</x:v>
      </x:c>
      <x:c r="O206" s="183" t="str">
        <x:v>V1.19旧源码类型（真实成员/实现仍待核）
V2.01：来源ID对应；处置=保留源码·公开契约复核
V7.8：V7.8同名且源文件对应；Platform/Persistence/Snapshots/CxStepCheckpointStore.cs</x:v>
      </x:c>
      <x:c r="P206" s="136" t="str">
        <x:v>V1.19旧源码类型（真实成员/实现仍待核）</x:v>
      </x:c>
    </x:row>
    <x:row r="207" ht="72" customHeight="1">
      <x:c r="A207" s="179" t="str">
        <x:v>M35</x:v>
      </x:c>
      <x:c r="B207" s="180" t="str">
        <x:v>数据与工程治理｜History / Storage / Retention
History Storage</x:v>
      </x:c>
      <x:c r="C207" s="180" t="str">
        <x:v>MHSCxStepCheckpointStore</x:v>
      </x:c>
      <x:c r="D207" s="179" t="str">
        <x:v>原有·待核</x:v>
      </x:c>
      <x:c r="E207" s="180" t="str">
        <x:v>存储并按标识检索Step检查点Store内容及其版本</x:v>
      </x:c>
      <x:c r="F207" s="180" t="str">
        <x:v>RootUri</x:v>
      </x:c>
      <x:c r="G207" s="180" t="str">
        <x:v>CxStepCheckpointStore(string rootUri), AcquireAsync(string key, CancellationToken token), ReadAsync(string key, CancellationToken cancellationToken = default(CancellationToken); ReadOwnedAsync(string key, CancellationToken token); AppendOwnedAsync(CxStepCheckpoint record, CancellationToken token); Hash(string value)</x:v>
      </x:c>
      <x:c r="H207" s="180" t="str">
        <x:v>—（待核）</x:v>
      </x:c>
      <x:c r="I207" s="180" t="str">
        <x:v>CxVisual.Persistence.Snapshots.CxStepCheckpointStore</x:v>
      </x:c>
      <x:c r="J207" s="179" t="str">
        <x:v>类</x:v>
      </x:c>
      <x:c r="K207" s="180" t="str">
        <x:v>V1.19 C-1228；原实施方式：原有。迁移风险：存储并按标识检索Step检查点Store内容及其版本</x:v>
      </x:c>
      <x:c r="L207" s="183" t="str">
        <x:v>源代码声明·待复核</x:v>
      </x:c>
      <x:c r="M207" s="183" t="str">
        <x:v>C-1228</x:v>
      </x:c>
      <x:c r="N207" s="184" t="str">
        <x:v>Platform/Persistence/Snapshots/CxStepCheckpointStore.cs</x:v>
      </x:c>
      <x:c r="O207" s="183" t="str">
        <x:v>V1.19旧源码类型（真实成员/实现仍待核）
V2.01：来源ID对应；处置=保留源码·公开契约复核
V7.8：V7.8同名且源文件对应；Platform/Persistence/Snapshots/CxStepCheckpointStore.cs</x:v>
      </x:c>
      <x:c r="P207" s="136" t="str">
        <x:v>V1.19旧源码类型（真实成员/实现仍待核）</x:v>
      </x:c>
    </x:row>
    <x:row r="208" ht="72" customHeight="1">
      <x:c r="A208" s="179" t="str">
        <x:v>M35</x:v>
      </x:c>
      <x:c r="B208" s="180" t="str">
        <x:v>数据与工程治理｜History / Storage / Retention
History Storage</x:v>
      </x:c>
      <x:c r="C208" s="180" t="str">
        <x:v>MHSFileHistoryStore</x:v>
      </x:c>
      <x:c r="D208" s="179" t="str">
        <x:v>原有·待核</x:v>
      </x:c>
      <x:c r="E208" s="180" t="str">
        <x:v>存储并按标识检索文件历史Store内容及其版本</x:v>
      </x:c>
      <x:c r="F208" s="180" t="str">
        <x:v>—（无公开声明或待核对）</x:v>
      </x:c>
      <x:c r="G208" s="180" t="str">
        <x:v>FileHistoryStore(string rootDirectory), AppendAsync(IReadOnlyList&lt;HistorySample&gt; samples, CancellationToken cancellationToken), QueryAsync(string variableId, DateTime fromUtc, DateTime toUtc, int offset, int limit, CancellationToken cancellationT…), ApplyRetentionAsync(HistoryRetentionPolicy policy, CancellationToken cancellationToken), CompactAsync(HistoryRetentionPolicy policy, CancellationToken cancellationToken)</x:v>
      </x:c>
      <x:c r="H208" s="180" t="str">
        <x:v>—（待核）</x:v>
      </x:c>
      <x:c r="I208" s="180" t="str">
        <x:v>CxVisual.Persistence.History.FileHistoryStore</x:v>
      </x:c>
      <x:c r="J208" s="179" t="str">
        <x:v>类</x:v>
      </x:c>
      <x:c r="K208" s="180" t="str">
        <x:v>V1.19 C-1218；原实施方式：原有。迁移风险：存储并按标识检索文件历史Store内容及其版本</x:v>
      </x:c>
      <x:c r="L208" s="183" t="str">
        <x:v>源代码声明·待复核</x:v>
      </x:c>
      <x:c r="M208" s="183" t="str">
        <x:v>C-1218</x:v>
      </x:c>
      <x:c r="N208" s="184" t="str">
        <x:v>Platform/Persistence/History/FileHistoryStore.cs</x:v>
      </x:c>
      <x:c r="O208" s="183" t="str">
        <x:v>V1.19旧源码类型（真实成员/实现仍待核）
V2.01：来源ID对应；处置=保留源码·公开契约复核
V7.8：V7.8同名且源文件对应；Platform/Persistence/History/FileHistoryStore.cs</x:v>
      </x:c>
      <x:c r="P208" s="136" t="str">
        <x:v>V1.19旧源码类型（真实成员/实现仍待核）</x:v>
      </x:c>
    </x:row>
    <x:row r="209" ht="72" customHeight="1">
      <x:c r="A209" s="179" t="str">
        <x:v>M35</x:v>
      </x:c>
      <x:c r="B209" s="180" t="str">
        <x:v>数据与工程治理｜History / Storage / Retention
History Storage</x:v>
      </x:c>
      <x:c r="C209" s="180" t="str">
        <x:v>MHSHistorianDiagnostics</x:v>
      </x:c>
      <x:c r="D209" s="179" t="str">
        <x:v>原有·待核</x:v>
      </x:c>
      <x:c r="E209" s="180" t="str">
        <x:v>表达或管理HistorianDiagnostics相关的数据及协作职责，具体行为待源码复核〔待核〕</x:v>
      </x:c>
      <x:c r="F209" s="180" t="str">
        <x:v>PendingSamples, DroppedSamples, WrittenSamples, LastError, LastWriteUtc</x:v>
      </x:c>
      <x:c r="G209" s="180" t="str">
        <x:v>—(无公开声明或待核对)</x:v>
      </x:c>
      <x:c r="H209" s="180" t="str">
        <x:v>—（待核）</x:v>
      </x:c>
      <x:c r="I209" s="180" t="str">
        <x:v>CxVisual.Runtime.Core.HistorianDiagnostics</x:v>
      </x:c>
      <x:c r="J209" s="179" t="str">
        <x:v>类</x:v>
      </x:c>
      <x:c r="K209" s="180" t="str">
        <x:v>V1.19 C-1229；原实施方式：原有。迁移风险：表达或管理HistorianDiagnostics相关的数据及协作职责，具体行为待源码复核〔待核〕</x:v>
      </x:c>
      <x:c r="L209" s="183" t="str">
        <x:v>源代码声明·待复核</x:v>
      </x:c>
      <x:c r="M209" s="183" t="str">
        <x:v>C-1229</x:v>
      </x:c>
      <x:c r="N209" s="184" t="str">
        <x:v>Platform/Runtime/HistorianRuntime.cs</x:v>
      </x:c>
      <x:c r="O209" s="183" t="str">
        <x:v>V1.19旧源码类型（真实成员/实现仍待核）
V2.01：来源ID对应；处置=保留源码·公开契约复核
V7.8：V7.8同名且源文件对应；Platform/Runtime/HistorianRuntime.cs</x:v>
      </x:c>
      <x:c r="P209" s="136" t="str">
        <x:v>V1.19旧源码类型（真实成员/实现仍待核）</x:v>
      </x:c>
    </x:row>
    <x:row r="210" ht="72" customHeight="1">
      <x:c r="A210" s="179" t="str">
        <x:v>M35</x:v>
      </x:c>
      <x:c r="B210" s="180" t="str">
        <x:v>数据与工程治理｜History / Storage / Retention
History Storage</x:v>
      </x:c>
      <x:c r="C210" s="180" t="str">
        <x:v>MHSHistorianMaintenanceDiagnostics</x:v>
      </x:c>
      <x:c r="D210" s="179" t="str">
        <x:v>原有·待核</x:v>
      </x:c>
      <x:c r="E210" s="180" t="str">
        <x:v>表达或管理HistorianMaintenanceDiagnostics相关的数据及协作职责，具体行为待源码复核〔待核〕</x:v>
      </x:c>
      <x:c r="F210" s="180" t="str">
        <x:v>LastRunUtc, LastRetentionUtc, LastStoreForwardFlushUtc, LastFlushedBatches, LastError</x:v>
      </x:c>
      <x:c r="G210" s="180" t="str">
        <x:v>—(无公开声明或待核对)</x:v>
      </x:c>
      <x:c r="H210" s="180" t="str">
        <x:v>—（待核）</x:v>
      </x:c>
      <x:c r="I210" s="180" t="str">
        <x:v>CxVisual.Runtime.Core.HistorianMaintenanceDiagnostics</x:v>
      </x:c>
      <x:c r="J210" s="179" t="str">
        <x:v>类</x:v>
      </x:c>
      <x:c r="K210" s="180" t="str">
        <x:v>V1.19 C-1230；原实施方式：原有。迁移风险：表达或管理HistorianMaintenanceDiagnostics相关的数据及协作职责，具体行为待源码复核〔待核〕</x:v>
      </x:c>
      <x:c r="L210" s="183" t="str">
        <x:v>源代码声明·待复核</x:v>
      </x:c>
      <x:c r="M210" s="183" t="str">
        <x:v>C-1230</x:v>
      </x:c>
      <x:c r="N210" s="184" t="str">
        <x:v>Platform/Runtime/HistorianRuntime.cs</x:v>
      </x:c>
      <x:c r="O210" s="183" t="str">
        <x:v>V1.19旧源码类型（真实成员/实现仍待核）
V2.01：来源ID对应；处置=保留源码·公开契约复核
V7.8：V7.8同名且源文件对应；Platform/Runtime/HistorianRuntime.cs</x:v>
      </x:c>
      <x:c r="P210" s="136" t="str">
        <x:v>V1.19旧源码类型（真实成员/实现仍待核）</x:v>
      </x:c>
    </x:row>
    <x:row r="211" ht="72" customHeight="1">
      <x:c r="A211" s="179" t="str">
        <x:v>M35</x:v>
      </x:c>
      <x:c r="B211" s="180" t="str">
        <x:v>数据与工程治理｜History / Storage / Retention
History Storage</x:v>
      </x:c>
      <x:c r="C211" s="180" t="str">
        <x:v>MHSHistorianMaintenanceService</x:v>
      </x:c>
      <x:c r="D211" s="179" t="str">
        <x:v>原有·待核</x:v>
      </x:c>
      <x:c r="E211" s="180" t="str">
        <x:v>封装HistorianMaintenance服务通用服务操作及其生命周期边界</x:v>
      </x:c>
      <x:c r="F211" s="180" t="str">
        <x:v>—（无公开声明或待核对）</x:v>
      </x:c>
      <x:c r="G211" s="180" t="str">
        <x:v>HistorianMaintenanceService(IHistoryStoreV2 store, IHistoryStoreForwardWriter storeForward, HistoryRetentionPolicy retention, TimeSpan?…), Start(), RunOnceAsync(CancellationToken token), GetDiagnostics(), Dispose()</x:v>
      </x:c>
      <x:c r="H211" s="180" t="str">
        <x:v>—（待核）</x:v>
      </x:c>
      <x:c r="I211" s="180" t="str">
        <x:v>CxVisual.Runtime.Core.HistorianMaintenanceService</x:v>
      </x:c>
      <x:c r="J211" s="179" t="str">
        <x:v>类</x:v>
      </x:c>
      <x:c r="K211" s="180" t="str">
        <x:v>V1.19 C-1231；原实施方式：原有。迁移风险：封装HistorianMaintenance服务通用服务操作及其生命周期边界</x:v>
      </x:c>
      <x:c r="L211" s="183" t="str">
        <x:v>源代码声明·待复核</x:v>
      </x:c>
      <x:c r="M211" s="183" t="str">
        <x:v>C-1231</x:v>
      </x:c>
      <x:c r="N211" s="184" t="str">
        <x:v>Platform/Runtime/HistorianRuntime.cs</x:v>
      </x:c>
      <x:c r="O211" s="183" t="str">
        <x:v>V1.19旧源码类型（真实成员/实现仍待核）
V2.01：来源ID对应；处置=保留源码·公开契约复核
V7.8：V7.8同名且源文件对应；Platform/Runtime/HistorianRuntime.cs</x:v>
      </x:c>
      <x:c r="P211" s="136" t="str">
        <x:v>V1.19旧源码类型（真实成员/实现仍待核）</x:v>
      </x:c>
    </x:row>
    <x:row r="212" ht="72" customHeight="1">
      <x:c r="A212" s="179" t="str">
        <x:v>M35</x:v>
      </x:c>
      <x:c r="B212" s="180" t="str">
        <x:v>数据与工程治理｜History / Storage / Retention
History Storage</x:v>
      </x:c>
      <x:c r="C212" s="180" t="str">
        <x:v>MHSHistorianRuntime</x:v>
      </x:c>
      <x:c r="D212" s="179" t="str">
        <x:v>原有·待核</x:v>
      </x:c>
      <x:c r="E212" s="180" t="str">
        <x:v>承担Historian运行时执行期状态维护与处理，和工程定义分离</x:v>
      </x:c>
      <x:c r="F212" s="180" t="str">
        <x:v>QueueCapacity, BatchSize, IsRunning</x:v>
      </x:c>
      <x:c r="G212" s="180" t="str">
        <x:v>HistorianRuntime(IVariableProvider provider, IHistoryWriter writer, IEnumerable&lt;HistorianTagConfig&gt; configs, int queueCapaci…), Start(), Stop(TimeSpan timeout), FlushOnce(CancellationToken token), GetDiagnostics(), Dispose()</x:v>
      </x:c>
      <x:c r="H212" s="180" t="str">
        <x:v>—（待核）</x:v>
      </x:c>
      <x:c r="I212" s="180" t="str">
        <x:v>CxVisual.Runtime.Core.HistorianRuntime</x:v>
      </x:c>
      <x:c r="J212" s="179" t="str">
        <x:v>类</x:v>
      </x:c>
      <x:c r="K212" s="180" t="str">
        <x:v>V1.19 C-1232；原实施方式：原有。迁移风险：承担Historian运行时执行期状态维护与处理，和工程定义分离</x:v>
      </x:c>
      <x:c r="L212" s="183" t="str">
        <x:v>源代码声明·待复核</x:v>
      </x:c>
      <x:c r="M212" s="183" t="str">
        <x:v>C-1232</x:v>
      </x:c>
      <x:c r="N212" s="184" t="str">
        <x:v>Platform/Runtime/HistorianRuntime.cs</x:v>
      </x:c>
      <x:c r="O212" s="183" t="str">
        <x:v>V1.19旧源码类型（真实成员/实现仍待核）
V2.01：来源ID对应；处置=保留源码·公开契约复核
V7.8：V7.8同名且源文件对应；Platform/Runtime/HistorianRuntime.cs</x:v>
      </x:c>
      <x:c r="P212" s="136" t="str">
        <x:v>V1.19旧源码类型（真实成员/实现仍待核）</x:v>
      </x:c>
    </x:row>
    <x:row r="213" ht="72" customHeight="1">
      <x:c r="A213" s="179" t="str">
        <x:v>M35</x:v>
      </x:c>
      <x:c r="B213" s="180" t="str">
        <x:v>数据与工程治理｜History / Storage / Retention
History Storage</x:v>
      </x:c>
      <x:c r="C213" s="180" t="str">
        <x:v>MHSHistorianTagConfig</x:v>
      </x:c>
      <x:c r="D213" s="179" t="str">
        <x:v>原有·待核</x:v>
      </x:c>
      <x:c r="E213" s="180" t="str">
        <x:v>保存HistorianTag配置配置项及其默认值和生效范围</x:v>
      </x:c>
      <x:c r="F213" s="180" t="str">
        <x:v>VariableId, Enabled, MinimumInterval, Deadband</x:v>
      </x:c>
      <x:c r="G213" s="180" t="str">
        <x:v>HistorianTagConfig()</x:v>
      </x:c>
      <x:c r="H213" s="180" t="str">
        <x:v>—（待核）</x:v>
      </x:c>
      <x:c r="I213" s="180" t="str">
        <x:v>CxVisual.Runtime.Core.HistorianTagConfig</x:v>
      </x:c>
      <x:c r="J213" s="179" t="str">
        <x:v>类</x:v>
      </x:c>
      <x:c r="K213" s="180" t="str">
        <x:v>V1.19 C-1233；原实施方式：原有。迁移风险：保存HistorianTag配置配置项及其默认值和生效范围</x:v>
      </x:c>
      <x:c r="L213" s="183" t="str">
        <x:v>源代码声明·待复核</x:v>
      </x:c>
      <x:c r="M213" s="183" t="str">
        <x:v>C-1233</x:v>
      </x:c>
      <x:c r="N213" s="184" t="str">
        <x:v>Platform/Runtime/HistorianRuntime.cs</x:v>
      </x:c>
      <x:c r="O213" s="183" t="str">
        <x:v>V1.19旧源码类型（真实成员/实现仍待核）
V2.01：来源ID对应；处置=保留源码·公开契约复核
V7.8：V7.8同名且源文件对应；Platform/Runtime/HistorianRuntime.cs</x:v>
      </x:c>
      <x:c r="P213" s="136" t="str">
        <x:v>V1.19旧源码类型（真实成员/实现仍待核）</x:v>
      </x:c>
    </x:row>
    <x:row r="214" ht="72" customHeight="1">
      <x:c r="A214" s="179" t="str">
        <x:v>M35</x:v>
      </x:c>
      <x:c r="B214" s="180" t="str">
        <x:v>数据与工程治理｜History / Storage / Retention
History Storage</x:v>
      </x:c>
      <x:c r="C214" s="180" t="str">
        <x:v>MHSHistoryRetentionPolicy</x:v>
      </x:c>
      <x:c r="D214" s="179" t="str">
        <x:v>原有·待核</x:v>
      </x:c>
      <x:c r="E214" s="180" t="str">
        <x:v>表达或管理历史Retention策略相关的数据及协作职责，具体行为待源码复核〔待核〕</x:v>
      </x:c>
      <x:c r="F214" s="180" t="str">
        <x:v>MaximumAge, MaximumSamplesPerVariable</x:v>
      </x:c>
      <x:c r="G214" s="180" t="str">
        <x:v>HistoryRetentionPolicy(), Validate()</x:v>
      </x:c>
      <x:c r="H214" s="180" t="str">
        <x:v>—（待核）</x:v>
      </x:c>
      <x:c r="I214" s="180" t="str">
        <x:v>CxVisual.Abstractions.HistoryRetentionPolicy</x:v>
      </x:c>
      <x:c r="J214" s="179" t="str">
        <x:v>类</x:v>
      </x:c>
      <x:c r="K214" s="180" t="str">
        <x:v>V1.19 C-1203；原实施方式：原有。迁移风险：表达或管理历史Retention策略相关的数据及协作职责，具体行为待源码复核〔待核〕</x:v>
      </x:c>
      <x:c r="L214" s="183" t="str">
        <x:v>源代码声明·待复核</x:v>
      </x:c>
      <x:c r="M214" s="183" t="str">
        <x:v>C-1203</x:v>
      </x:c>
      <x:c r="N214" s="184" t="str">
        <x:v>Platform/Core/Abstractions/History.cs</x:v>
      </x:c>
      <x:c r="O214" s="183" t="str">
        <x:v>V1.19旧源码类型（真实成员/实现仍待核）
V2.01：来源ID对应；处置=保留源码·公开契约复核
V7.8：V7.8同名且源文件对应；Platform/Core/Abstractions/History.cs</x:v>
      </x:c>
      <x:c r="P214" s="136" t="str">
        <x:v>V1.19旧源码类型（真实成员/实现仍待核）</x:v>
      </x:c>
    </x:row>
    <x:row r="215" ht="72" customHeight="1">
      <x:c r="A215" s="179" t="str">
        <x:v>M35</x:v>
      </x:c>
      <x:c r="B215" s="180" t="str">
        <x:v>数据与工程治理｜History / Storage / Retention
History Storage</x:v>
      </x:c>
      <x:c r="C215" s="180" t="str">
        <x:v>MHSHistorySample</x:v>
      </x:c>
      <x:c r="D215" s="179" t="str">
        <x:v>原有·待核</x:v>
      </x:c>
      <x:c r="E215" s="180" t="str">
        <x:v>表达或管理历史Sample相关的数据及协作职责，具体行为待源码复核〔待核〕</x:v>
      </x:c>
      <x:c r="F215" s="180" t="str">
        <x:v>VariableId, TimestampUtc, Value, Quality</x:v>
      </x:c>
      <x:c r="G215" s="180" t="str">
        <x:v>—(无公开声明或待核对)</x:v>
      </x:c>
      <x:c r="H215" s="180" t="str">
        <x:v>—（待核）</x:v>
      </x:c>
      <x:c r="I215" s="180" t="str">
        <x:v>CxVisual.Abstractions.HistorySample</x:v>
      </x:c>
      <x:c r="J215" s="179" t="str">
        <x:v>类</x:v>
      </x:c>
      <x:c r="K215" s="180" t="str">
        <x:v>V1.19 C-1204；原实施方式：原有。迁移风险：表达或管理历史Sample相关的数据及协作职责，具体行为待源码复核〔待核〕</x:v>
      </x:c>
      <x:c r="L215" s="183" t="str">
        <x:v>源代码声明·待复核</x:v>
      </x:c>
      <x:c r="M215" s="183" t="str">
        <x:v>C-1204</x:v>
      </x:c>
      <x:c r="N215" s="184" t="str">
        <x:v>Platform/Core/Abstractions/History.cs</x:v>
      </x:c>
      <x:c r="O215" s="183" t="str">
        <x:v>V1.19旧源码类型（真实成员/实现仍待核）
V2.01：来源ID对应；处置=保留源码·公开契约复核
V7.8：V7.8同名且源文件对应；Platform/Core/Abstractions/History.cs</x:v>
      </x:c>
      <x:c r="P215" s="136" t="str">
        <x:v>V1.19旧源码类型（真实成员/实现仍待核）</x:v>
      </x:c>
    </x:row>
    <x:row r="216" ht="72" customHeight="1">
      <x:c r="A216" s="179" t="str">
        <x:v>M35</x:v>
      </x:c>
      <x:c r="B216" s="180" t="str">
        <x:v>数据与工程治理｜History / Storage / Retention
History Storage</x:v>
      </x:c>
      <x:c r="C216" s="180" t="str">
        <x:v>MHSHistorySink</x:v>
      </x:c>
      <x:c r="D216" s="179" t="str">
        <x:v>原有·待核</x:v>
      </x:c>
      <x:c r="E216" s="180" t="str">
        <x:v>表达或管理历史Sink相关的数据及协作职责，具体行为待源码复核〔待核〕</x:v>
      </x:c>
      <x:c r="F216" s="180" t="str">
        <x:v>—（无公开声明或待核对）</x:v>
      </x:c>
      <x:c r="G216" s="180" t="str">
        <x:v>HistorySink(IHistoryWriter writer), DeliverAsync(CxStoreForwardMessage message, CancellationToken token)</x:v>
      </x:c>
      <x:c r="H216" s="180" t="str">
        <x:v>—（待核）</x:v>
      </x:c>
      <x:c r="I216" s="180" t="str">
        <x:v>CxVisual.Persistence.History.StoreForwardHistoryWriter.HistorySink</x:v>
      </x:c>
      <x:c r="J216" s="179" t="str">
        <x:v>类</x:v>
      </x:c>
      <x:c r="K216" s="180" t="str">
        <x:v>V1.19 C-1222；原实施方式：原有。迁移风险：表达或管理历史Sink相关的数据及协作职责，具体行为待源码复核〔待核〕</x:v>
      </x:c>
      <x:c r="L216" s="183" t="str">
        <x:v>源代码声明·待复核</x:v>
      </x:c>
      <x:c r="M216" s="183" t="str">
        <x:v>C-1222</x:v>
      </x:c>
      <x:c r="N216" s="184" t="str">
        <x:v>Platform/Persistence/History/StoreForwardHistoryWriter.cs</x:v>
      </x:c>
      <x:c r="O216" s="183" t="str">
        <x:v>V1.19旧源码类型（真实成员/实现仍待核）
V2.01：来源ID对应；处置=保留源码·公开契约复核
V7.8：V7.8同名且源文件对应；Platform/Persistence/History/StoreForwardHistoryWriter.cs</x:v>
      </x:c>
      <x:c r="P216" s="136" t="str">
        <x:v>V1.19旧源码类型（真实成员/实现仍待核）</x:v>
      </x:c>
    </x:row>
    <x:row r="217" ht="72" customHeight="1">
      <x:c r="A217" s="179" t="str">
        <x:v>M35</x:v>
      </x:c>
      <x:c r="B217" s="180" t="str">
        <x:v>数据与工程治理｜History / Storage / Retention
History Storage</x:v>
      </x:c>
      <x:c r="C217" s="180" t="str">
        <x:v>MHSHistoryStoreForwardPolicy</x:v>
      </x:c>
      <x:c r="D217" s="179" t="str">
        <x:v>原有·待核</x:v>
      </x:c>
      <x:c r="E217" s="180" t="str">
        <x:v>表达或管理历史StoreForward策略相关的数据及协作职责，具体行为待源码复核〔待核〕</x:v>
      </x:c>
      <x:c r="F217" s="180" t="str">
        <x:v>MaximumQueueFiles, MaximumQueueBytes, RetryDelay</x:v>
      </x:c>
      <x:c r="G217" s="180" t="str">
        <x:v>Validate()</x:v>
      </x:c>
      <x:c r="H217" s="180" t="str">
        <x:v>—（待核）</x:v>
      </x:c>
      <x:c r="I217" s="180" t="str">
        <x:v>CxVisual.Persistence.History.HistoryStoreForwardPolicy</x:v>
      </x:c>
      <x:c r="J217" s="179" t="str">
        <x:v>类</x:v>
      </x:c>
      <x:c r="K217" s="180" t="str">
        <x:v>V1.19 C-1219；原实施方式：原有。迁移风险：表达或管理历史StoreForward策略相关的数据及协作职责，具体行为待源码复核〔待核〕</x:v>
      </x:c>
      <x:c r="L217" s="183" t="str">
        <x:v>源代码声明·待复核</x:v>
      </x:c>
      <x:c r="M217" s="183" t="str">
        <x:v>C-1219</x:v>
      </x:c>
      <x:c r="N217" s="184" t="str">
        <x:v>Platform/Persistence/History/StoreForwardHistoryWriter.cs</x:v>
      </x:c>
      <x:c r="O217" s="183" t="str">
        <x:v>V1.19旧源码类型（真实成员/实现仍待核）
V2.01：来源ID对应；处置=保留源码·公开契约复核
V7.8：V7.8同名且源文件对应；Platform/Persistence/History/StoreForwardHistoryWriter.cs</x:v>
      </x:c>
      <x:c r="P217" s="136" t="str">
        <x:v>V1.19旧源码类型（真实成员/实现仍待核）</x:v>
      </x:c>
    </x:row>
    <x:row r="218" ht="72" customHeight="1">
      <x:c r="A218" s="179" t="str">
        <x:v>M35</x:v>
      </x:c>
      <x:c r="B218" s="180" t="str">
        <x:v>数据与工程治理｜History / Storage / Retention
History Storage</x:v>
      </x:c>
      <x:c r="C218" s="180" t="str">
        <x:v>MHSHistoryStoreForwardStatus</x:v>
      </x:c>
      <x:c r="D218" s="179" t="str">
        <x:v>原有·待核</x:v>
      </x:c>
      <x:c r="E218" s="180" t="str">
        <x:v>表示历史StoreForward状态当前状态或诊断等级的类型化取值</x:v>
      </x:c>
      <x:c r="F218" s="180" t="str">
        <x:v>PendingFiles, PendingBytes, PersistedBatches, DroppedBatches, LastError</x:v>
      </x:c>
      <x:c r="G218" s="180" t="str">
        <x:v>—(无公开声明或待核对)</x:v>
      </x:c>
      <x:c r="H218" s="180" t="str">
        <x:v>—（待核）</x:v>
      </x:c>
      <x:c r="I218" s="180" t="str">
        <x:v>CxVisual.Persistence.History.HistoryStoreForwardStatus</x:v>
      </x:c>
      <x:c r="J218" s="179" t="str">
        <x:v>类</x:v>
      </x:c>
      <x:c r="K218" s="180" t="str">
        <x:v>V1.19 C-1220；原实施方式：原有。迁移风险：表示历史StoreForward状态当前状态或诊断等级的类型化取值</x:v>
      </x:c>
      <x:c r="L218" s="183" t="str">
        <x:v>源代码声明·待复核</x:v>
      </x:c>
      <x:c r="M218" s="183" t="str">
        <x:v>C-1220</x:v>
      </x:c>
      <x:c r="N218" s="184" t="str">
        <x:v>Platform/Persistence/History/StoreForwardHistoryWriter.cs</x:v>
      </x:c>
      <x:c r="O218" s="183" t="str">
        <x:v>V1.19旧源码类型（真实成员/实现仍待核）
V2.01：来源ID对应；处置=保留源码·公开契约复核
V7.8：V7.8同名且源文件对应；Platform/Persistence/History/StoreForwardHistoryWriter.cs</x:v>
      </x:c>
      <x:c r="P218" s="136" t="str">
        <x:v>V1.19旧源码类型（真实成员/实现仍待核）</x:v>
      </x:c>
    </x:row>
    <x:row r="219" ht="72" customHeight="1">
      <x:c r="A219" s="179" t="str">
        <x:v>M35</x:v>
      </x:c>
      <x:c r="B219" s="180" t="str">
        <x:v>数据与工程治理｜History / Storage / Retention
History Storage</x:v>
      </x:c>
      <x:c r="C219" s="180" t="str">
        <x:v>MHSHistoryTablePage</x:v>
      </x:c>
      <x:c r="D219" s="179" t="str">
        <x:v>原有·待核</x:v>
      </x:c>
      <x:c r="E219" s="180" t="str">
        <x:v>表达或管理历史Table页面相关的数据及协作职责，具体行为待源码复核〔待核〕</x:v>
      </x:c>
      <x:c r="F219" s="180" t="str">
        <x:v>Offset, PageSize, HasMore, Rows</x:v>
      </x:c>
      <x:c r="G219" s="180" t="str">
        <x:v>—(无公开声明或待核对)</x:v>
      </x:c>
      <x:c r="H219" s="180" t="str">
        <x:v>—（待核）</x:v>
      </x:c>
      <x:c r="I219" s="180" t="str">
        <x:v>CxVisual.Runtime.Core.HistoryTablePage</x:v>
      </x:c>
      <x:c r="J219" s="179" t="str">
        <x:v>类</x:v>
      </x:c>
      <x:c r="K219" s="180" t="str">
        <x:v>V1.19 C-1234；原实施方式：原有。迁移风险：表达或管理历史Table页面相关的数据及协作职责，具体行为待源码复核〔待核〕</x:v>
      </x:c>
      <x:c r="L219" s="183" t="str">
        <x:v>源代码声明·待复核</x:v>
      </x:c>
      <x:c r="M219" s="183" t="str">
        <x:v>C-1234</x:v>
      </x:c>
      <x:c r="N219" s="184" t="str">
        <x:v>Platform/Runtime/M5Services.cs</x:v>
      </x:c>
      <x:c r="O219" s="183" t="str">
        <x:v>V1.19旧源码类型（真实成员/实现仍待核）
V2.01：来源ID对应；处置=保留源码·公开契约复核
V7.8：V7.8同名且源文件对应；Platform/Runtime/M5Services.cs</x:v>
      </x:c>
      <x:c r="P219" s="136" t="str">
        <x:v>V1.19旧源码类型（真实成员/实现仍待核）</x:v>
      </x:c>
    </x:row>
    <x:row r="220" ht="72" customHeight="1">
      <x:c r="A220" s="179" t="str">
        <x:v>M35</x:v>
      </x:c>
      <x:c r="B220" s="180" t="str">
        <x:v>数据与工程治理｜History / Storage / Retention
History Storage</x:v>
      </x:c>
      <x:c r="C220" s="180" t="str">
        <x:v>MHSHistoryTableRow</x:v>
      </x:c>
      <x:c r="D220" s="179" t="str">
        <x:v>原有·待核</x:v>
      </x:c>
      <x:c r="E220" s="180" t="str">
        <x:v>表达或管理历史TableRow相关的数据及协作职责，具体行为待源码复核〔待核〕</x:v>
      </x:c>
      <x:c r="F220" s="180" t="str">
        <x:v>TimestampUtc, VariableId, VariableName, Value, Quality</x:v>
      </x:c>
      <x:c r="G220" s="180" t="str">
        <x:v>—(无公开声明或待核对)</x:v>
      </x:c>
      <x:c r="H220" s="180" t="str">
        <x:v>—（待核）</x:v>
      </x:c>
      <x:c r="I220" s="180" t="str">
        <x:v>CxVisual.Runtime.Core.HistoryTableRow</x:v>
      </x:c>
      <x:c r="J220" s="179" t="str">
        <x:v>类</x:v>
      </x:c>
      <x:c r="K220" s="180" t="str">
        <x:v>V1.19 C-1235；原实施方式：原有。迁移风险：表达或管理历史TableRow相关的数据及协作职责，具体行为待源码复核〔待核〕</x:v>
      </x:c>
      <x:c r="L220" s="183" t="str">
        <x:v>源代码声明·待复核</x:v>
      </x:c>
      <x:c r="M220" s="183" t="str">
        <x:v>C-1235</x:v>
      </x:c>
      <x:c r="N220" s="184" t="str">
        <x:v>Platform/Runtime/M5Services.cs</x:v>
      </x:c>
      <x:c r="O220" s="183" t="str">
        <x:v>V1.19旧源码类型（真实成员/实现仍待核）
V2.01：来源ID对应；处置=保留源码·公开契约复核
V7.8：V7.8同名且源文件对应；Platform/Runtime/M5Services.cs</x:v>
      </x:c>
      <x:c r="P220" s="136" t="str">
        <x:v>V1.19旧源码类型（真实成员/实现仍待核）</x:v>
      </x:c>
    </x:row>
    <x:row r="221" ht="72" customHeight="1">
      <x:c r="A221" s="179" t="str">
        <x:v>M35</x:v>
      </x:c>
      <x:c r="B221" s="180" t="str">
        <x:v>数据与工程治理｜History / Storage / Retention
History Storage</x:v>
      </x:c>
      <x:c r="C221" s="180" t="str">
        <x:v>MHSHistoryTableService</x:v>
      </x:c>
      <x:c r="D221" s="179" t="str">
        <x:v>原有·待核</x:v>
      </x:c>
      <x:c r="E221" s="180" t="str">
        <x:v>封装历史Table服务通用服务操作及其生命周期边界</x:v>
      </x:c>
      <x:c r="F221" s="180" t="str">
        <x:v>—（无公开声明或待核对）</x:v>
      </x:c>
      <x:c r="G221" s="180" t="str">
        <x:v>HistoryTableService(IHistoryStore store), QueryAsync(IEnumerable&lt;VariableReference&gt; variables, DateTime fromUtc, DateTime toUtc, int offset, int pageSize, Cance…)</x:v>
      </x:c>
      <x:c r="H221" s="180" t="str">
        <x:v>—（待核）</x:v>
      </x:c>
      <x:c r="I221" s="180" t="str">
        <x:v>CxVisual.Runtime.Core.HistoryTableService</x:v>
      </x:c>
      <x:c r="J221" s="179" t="str">
        <x:v>类</x:v>
      </x:c>
      <x:c r="K221" s="180" t="str">
        <x:v>V1.19 C-1236；原实施方式：原有。迁移风险：封装历史Table服务通用服务操作及其生命周期边界</x:v>
      </x:c>
      <x:c r="L221" s="183" t="str">
        <x:v>源代码声明·待复核</x:v>
      </x:c>
      <x:c r="M221" s="183" t="str">
        <x:v>C-1236</x:v>
      </x:c>
      <x:c r="N221" s="184" t="str">
        <x:v>Platform/Runtime/M5Services.cs</x:v>
      </x:c>
      <x:c r="O221" s="183" t="str">
        <x:v>V1.19旧源码类型（真实成员/实现仍待核）
V2.01：来源ID对应；处置=保留源码·公开契约复核
V7.8：V7.8同名且源文件对应；Platform/Runtime/M5Services.cs</x:v>
      </x:c>
      <x:c r="P221" s="136" t="str">
        <x:v>V1.19旧源码类型（真实成员/实现仍待核）</x:v>
      </x:c>
    </x:row>
    <x:row r="222" ht="135" customHeight="1">
      <x:c r="A222" s="179" t="str">
        <x:v>M35</x:v>
      </x:c>
      <x:c r="B222" s="180" t="str">
        <x:v>数据与工程治理｜History / Storage / Retention
History Storage</x:v>
      </x:c>
      <x:c r="C222" s="180" t="str">
        <x:v>MHSStoreForwardHistoryWriter</x:v>
      </x:c>
      <x:c r="D222" s="179" t="str">
        <x:v>原有·待核</x:v>
      </x:c>
      <x:c r="E222" s="180" t="str">
        <x:v>负责StoreForward历史Writer的输入输出读写与错误边界</x:v>
      </x:c>
      <x:c r="F222" s="180" t="str">
        <x:v>—（无公开声明或待核对）</x:v>
      </x:c>
      <x:c r="G222" s="180" t="str">
        <x:v>GetStatus(), StoreForwardHistoryWriter(IHistoryWriter inner, string queueRoot, HistoryStoreForwardPolicy policy = null), AppendAsync(IReadOnlyList&lt;HistorySample&gt; samples, CancellationToken cancellationToken), EnqueueAsync(CxStoreForwardMessage message, CancellationToken cancellationToken = default(CancellationToken); FlushAsync(CancellationToken cancellationToken); RetryAsync(CancellationToken cancellationToken = default(CancellationToken); DropExpiredAsync(CancellationToken cancellationToken = default(CancellationToken)</x:v>
      </x:c>
      <x:c r="H222" s="180" t="str">
        <x:v>—（待核）</x:v>
      </x:c>
      <x:c r="I222" s="180" t="str">
        <x:v>CxVisual.Persistence.History.StoreForwardHistoryWriter</x:v>
      </x:c>
      <x:c r="J222" s="179" t="str">
        <x:v>类</x:v>
      </x:c>
      <x:c r="K222" s="180" t="str">
        <x:v>V1.19 C-1221；原实施方式：原有。迁移风险：负责StoreForward历史Writer的输入输出读写与错误边界</x:v>
      </x:c>
      <x:c r="L222" s="183" t="str">
        <x:v>源代码声明·待复核</x:v>
      </x:c>
      <x:c r="M222" s="183" t="str">
        <x:v>C-1221</x:v>
      </x:c>
      <x:c r="N222" s="184" t="str">
        <x:v>Platform/Persistence/History/StoreForwardHistoryWriter.cs</x:v>
      </x:c>
      <x:c r="O222" s="183" t="str">
        <x:v>V1.19旧源码类型（真实成员/实现仍待核）
V2.01：来源ID对应；处置=保留源码·公开契约复核
V7.8：V7.8同名且源文件对应；Platform/Persistence/History/StoreForwardHistoryWriter.cs</x:v>
      </x:c>
      <x:c r="P222" s="136" t="str">
        <x:v>V1.19旧源码类型（真实成员/实现仍待核）</x:v>
      </x:c>
    </x:row>
    <x:row r="223" ht="72" customHeight="1">
      <x:c r="A223" s="179" t="str">
        <x:v>M35</x:v>
      </x:c>
      <x:c r="B223" s="180" t="str">
        <x:v>数据与工程治理｜History / Storage / Retention
History Storage</x:v>
      </x:c>
      <x:c r="C223" s="180" t="str">
        <x:v>MHSArtifactStore</x:v>
      </x:c>
      <x:c r="D223" s="179" t="str">
        <x:v>增构候选·待查重</x:v>
      </x:c>
      <x:c r="E223" s="180" t="str">
        <x:v>产物存储</x:v>
      </x:c>
      <x:c r="F223" s="180" t="str">
        <x:v>Put；Get；Delete；Lineage</x:v>
      </x:c>
      <x:c r="G223" s="180" t="str">
        <x:v>产物存储</x:v>
      </x:c>
      <x:c r="H223" s="180" t="str">
        <x:v>待逐对象核实</x:v>
      </x:c>
      <x:c r="I223" s="180" t="str">
        <x:v>ArtifactStore</x:v>
      </x:c>
      <x:c r="J223" s="179" t="str">
        <x:v>类/实例候选</x:v>
      </x:c>
      <x:c r="K223" s="180" t="str">
        <x:v>生命周期：Runtime</x:v>
      </x:c>
      <x:c r="L223" s="183" t="str">
        <x:v>设计候选，尚待源码验证</x:v>
      </x:c>
      <x:c r="M223" s="183" t="str">
        <x:v>M35.ArtifactStore</x:v>
      </x:c>
      <x:c r="N223" s="184" t="str">
        <x:v>03_能力对象!C285</x:v>
      </x:c>
      <x:c r="O223" s="183" t="str">
        <x:v>V4.9对象/属性/方法
V2.01：名称/子方面线索；处置=规划独立契约候选·未批准新增
V7.8：V7.8未检出同名词法声明</x:v>
      </x:c>
      <x:c r="P223" s="136" t="str">
        <x:v>V4.9对象/属性/方法</x:v>
      </x:c>
    </x:row>
    <x:row r="224" ht="72" customHeight="1">
      <x:c r="A224" s="179" t="str">
        <x:v>M35</x:v>
      </x:c>
      <x:c r="B224" s="180" t="str">
        <x:v>数据与工程治理｜History / Storage / Retention
History Storage</x:v>
      </x:c>
      <x:c r="C224" s="180" t="str">
        <x:v>MHSHistorianProfile</x:v>
      </x:c>
      <x:c r="D224" s="179" t="str">
        <x:v>增构候选·待查重</x:v>
      </x:c>
      <x:c r="E224" s="180" t="str">
        <x:v>历史策略</x:v>
      </x:c>
      <x:c r="F224" s="180" t="str">
        <x:v>Sampling；Deadband；Aggregation；Retention；StoreRef</x:v>
      </x:c>
      <x:c r="G224" s="180" t="str">
        <x:v>历史策略</x:v>
      </x:c>
      <x:c r="H224" s="180" t="str">
        <x:v>待逐对象核实</x:v>
      </x:c>
      <x:c r="I224" s="180" t="str">
        <x:v>HistorianProfile</x:v>
      </x:c>
      <x:c r="J224" s="179" t="str">
        <x:v>类/实例候选</x:v>
      </x:c>
      <x:c r="K224" s="180" t="str">
        <x:v>生命周期：Definition</x:v>
      </x:c>
      <x:c r="L224" s="183" t="str">
        <x:v>设计候选，尚待源码验证</x:v>
      </x:c>
      <x:c r="M224" s="183" t="str">
        <x:v>M35.HistorianProfile</x:v>
      </x:c>
      <x:c r="N224" s="184" t="str">
        <x:v>03_能力对象!C286</x:v>
      </x:c>
      <x:c r="O224" s="183" t="str">
        <x:v>V4.9对象/属性/方法
V2.01：名称/子方面线索；处置=规划独立契约候选·未批准新增
V7.8：V7.8未检出同名词法声明</x:v>
      </x:c>
      <x:c r="P224" s="136" t="str">
        <x:v>V4.9对象/属性/方法</x:v>
      </x:c>
    </x:row>
    <x:row r="225" ht="72" customHeight="1">
      <x:c r="A225" s="179" t="str">
        <x:v>M35</x:v>
      </x:c>
      <x:c r="B225" s="180" t="str">
        <x:v>数据与工程治理｜History / Storage / Retention
History Storage</x:v>
      </x:c>
      <x:c r="C225" s="180" t="str">
        <x:v>MHSHistoryStore</x:v>
      </x:c>
      <x:c r="D225" s="179" t="str">
        <x:v>增构候选·待查重</x:v>
      </x:c>
      <x:c r="E225" s="180" t="str">
        <x:v>历史存储</x:v>
      </x:c>
      <x:c r="F225" s="180" t="str">
        <x:v>Write；Query；Aggregate</x:v>
      </x:c>
      <x:c r="G225" s="180" t="str">
        <x:v>历史存储</x:v>
      </x:c>
      <x:c r="H225" s="180" t="str">
        <x:v>待逐对象核实</x:v>
      </x:c>
      <x:c r="I225" s="180" t="str">
        <x:v>HistoryStore</x:v>
      </x:c>
      <x:c r="J225" s="179" t="str">
        <x:v>类/实例候选</x:v>
      </x:c>
      <x:c r="K225" s="180" t="str">
        <x:v>生命周期：Runtime</x:v>
      </x:c>
      <x:c r="L225" s="183" t="str">
        <x:v>设计候选，尚待源码验证</x:v>
      </x:c>
      <x:c r="M225" s="183" t="str">
        <x:v>M35.HistoryStore</x:v>
      </x:c>
      <x:c r="N225" s="184" t="str">
        <x:v>03_能力对象!C287</x:v>
      </x:c>
      <x:c r="O225" s="183" t="str">
        <x:v>V4.9对象/属性/方法
V2.01：名称/子方面线索；处置=规划独立契约候选·未批准新增
V7.8：V7.8未检出同名词法声明</x:v>
      </x:c>
      <x:c r="P225" s="136" t="str">
        <x:v>V4.9对象/属性/方法</x:v>
      </x:c>
    </x:row>
    <x:row r="226" ht="72" customHeight="1">
      <x:c r="A226" s="179" t="str">
        <x:v>M35</x:v>
      </x:c>
      <x:c r="B226" s="180" t="str">
        <x:v>数据与工程治理｜History / Storage / Retention
History Storage</x:v>
      </x:c>
      <x:c r="C226" s="180" t="str">
        <x:v>MHSReplayStore</x:v>
      </x:c>
      <x:c r="D226" s="179" t="str">
        <x:v>增构候选·待查重</x:v>
      </x:c>
      <x:c r="E226" s="180" t="str">
        <x:v>回放存储</x:v>
      </x:c>
      <x:c r="F226" s="180" t="str">
        <x:v>Events；Data；Trace；Seek</x:v>
      </x:c>
      <x:c r="G226" s="180" t="str">
        <x:v>回放存储</x:v>
      </x:c>
      <x:c r="H226" s="180" t="str">
        <x:v>待逐对象核实</x:v>
      </x:c>
      <x:c r="I226" s="180" t="str">
        <x:v>ReplayStore</x:v>
      </x:c>
      <x:c r="J226" s="179" t="str">
        <x:v>类/实例候选</x:v>
      </x:c>
      <x:c r="K226" s="180" t="str">
        <x:v>生命周期：Runtime</x:v>
      </x:c>
      <x:c r="L226" s="183" t="str">
        <x:v>设计候选，尚待源码验证</x:v>
      </x:c>
      <x:c r="M226" s="183" t="str">
        <x:v>M35.ReplayStore</x:v>
      </x:c>
      <x:c r="N226" s="184" t="str">
        <x:v>03_能力对象!C288</x:v>
      </x:c>
      <x:c r="O226" s="183" t="str">
        <x:v>V4.9对象/属性/方法
V2.01：名称/子方面线索；处置=规划独立契约候选·未批准新增
V7.8：V7.8未检出同名词法声明</x:v>
      </x:c>
      <x:c r="P226" s="136" t="str">
        <x:v>V4.9对象/属性/方法</x:v>
      </x:c>
    </x:row>
    <x:row r="227" ht="72" customHeight="1">
      <x:c r="A227" s="179" t="str">
        <x:v>M35</x:v>
      </x:c>
      <x:c r="B227" s="180" t="str">
        <x:v>数据与工程治理｜History / Storage / Retention
History Storage</x:v>
      </x:c>
      <x:c r="C227" s="180" t="str">
        <x:v>MHSRetentionPolicy</x:v>
      </x:c>
      <x:c r="D227" s="179" t="str">
        <x:v>增构候选·待查重</x:v>
      </x:c>
      <x:c r="E227" s="180" t="str">
        <x:v>保留策略</x:v>
      </x:c>
      <x:c r="F227" s="180" t="str">
        <x:v>Hot；Warm；Archive；Purge</x:v>
      </x:c>
      <x:c r="G227" s="180" t="str">
        <x:v>保留策略</x:v>
      </x:c>
      <x:c r="H227" s="180" t="str">
        <x:v>待逐对象核实</x:v>
      </x:c>
      <x:c r="I227" s="180" t="str">
        <x:v>运行对象/模型</x:v>
      </x:c>
      <x:c r="J227" s="179" t="str">
        <x:v>类/实例候选</x:v>
      </x:c>
      <x:c r="K227" s="180" t="str">
        <x:v>生命周期：Definition</x:v>
      </x:c>
      <x:c r="L227" s="183" t="str">
        <x:v>设计候选，尚待源码验证</x:v>
      </x:c>
      <x:c r="M227" s="183" t="str">
        <x:v>M35.RetentionPolicy</x:v>
      </x:c>
      <x:c r="N227" s="184" t="str">
        <x:v>03_能力对象!C289</x:v>
      </x:c>
      <x:c r="O227" s="183" t="str">
        <x:v>V4.9对象/属性/方法
V2.01：名称/子方面线索；处置=规划独立契约候选·未批准新增
V7.8：V7.8未检出同名词法声明</x:v>
      </x:c>
      <x:c r="P227" s="136" t="str">
        <x:v>V4.9对象/属性/方法</x:v>
      </x:c>
    </x:row>
    <x:row r="228" ht="72" customHeight="1">
      <x:c r="A228" s="179" t="str">
        <x:v>M35</x:v>
      </x:c>
      <x:c r="B228" s="180" t="str">
        <x:v>数据与工程治理｜History / Storage / Retention
History Storage</x:v>
      </x:c>
      <x:c r="C228" s="180" t="str">
        <x:v>MHSSnapshotStore</x:v>
      </x:c>
      <x:c r="D228" s="179" t="str">
        <x:v>增构候选·待查重</x:v>
      </x:c>
      <x:c r="E228" s="180" t="str">
        <x:v>快照存储</x:v>
      </x:c>
      <x:c r="F228" s="180" t="str">
        <x:v>Save；Load Snapshot</x:v>
      </x:c>
      <x:c r="G228" s="180" t="str">
        <x:v>快照存储</x:v>
      </x:c>
      <x:c r="H228" s="180" t="str">
        <x:v>待逐对象核实</x:v>
      </x:c>
      <x:c r="I228" s="180" t="str">
        <x:v>SnapshotStore</x:v>
      </x:c>
      <x:c r="J228" s="179" t="str">
        <x:v>类/实例候选</x:v>
      </x:c>
      <x:c r="K228" s="180" t="str">
        <x:v>生命周期：Runtime</x:v>
      </x:c>
      <x:c r="L228" s="183" t="str">
        <x:v>设计候选，尚待源码验证</x:v>
      </x:c>
      <x:c r="M228" s="183" t="str">
        <x:v>M35.SnapshotStore</x:v>
      </x:c>
      <x:c r="N228" s="184" t="str">
        <x:v>03_能力对象!C290</x:v>
      </x:c>
      <x:c r="O228" s="183" t="str">
        <x:v>V4.9对象/属性/方法
V2.01：名称/子方面线索；处置=规划独立契约候选·未批准新增
V7.8：V7.8未检出同名词法声明</x:v>
      </x:c>
      <x:c r="P228" s="136" t="str">
        <x:v>V4.9对象/属性/方法</x:v>
      </x:c>
    </x:row>
    <x:row r="229" ht="72" customHeight="1">
      <x:c r="A229" s="179" t="str">
        <x:v>M36</x:v>
      </x:c>
      <x:c r="B229" s="180" t="str">
        <x:v>数据与工程治理｜Notification / Messaging
Notification Messaging</x:v>
      </x:c>
      <x:c r="C229" s="180" t="str">
        <x:v>MNMExternalNotificationBridge</x:v>
      </x:c>
      <x:c r="D229" s="179" t="str">
        <x:v>增构候选·待查重</x:v>
      </x:c>
      <x:c r="E229" s="180" t="str">
        <x:v>外部通知桥</x:v>
      </x:c>
      <x:c r="F229" s="180" t="str">
        <x:v>Send；Health</x:v>
      </x:c>
      <x:c r="G229" s="180" t="str">
        <x:v>外部通知桥</x:v>
      </x:c>
      <x:c r="H229" s="180" t="str">
        <x:v>待逐对象核实</x:v>
      </x:c>
      <x:c r="I229" s="180" t="str">
        <x:v>ExternalNotificationBridge</x:v>
      </x:c>
      <x:c r="J229" s="179" t="str">
        <x:v>类/实例候选</x:v>
      </x:c>
      <x:c r="K229" s="180" t="str">
        <x:v>生命周期：Runtime</x:v>
      </x:c>
      <x:c r="L229" s="183" t="str">
        <x:v>设计候选，尚待源码验证</x:v>
      </x:c>
      <x:c r="M229" s="183" t="str">
        <x:v>M36.ExternalNotificationBridge</x:v>
      </x:c>
      <x:c r="N229" s="184"/>
      <x:c r="O229" s="183" t="str">
        <x:v>V4.9对象/属性/方法
V2.01：未匹配V2.01；处置=暂无可信对应
V7.8：V7.8未检出同名词法声明</x:v>
      </x:c>
      <x:c r="P229" s="136" t="str">
        <x:v>V4.9对象/属性/方法</x:v>
      </x:c>
    </x:row>
    <x:row r="230" ht="72" customHeight="1">
      <x:c r="A230" s="179" t="str">
        <x:v>M36</x:v>
      </x:c>
      <x:c r="B230" s="180" t="str">
        <x:v>数据与工程治理｜Notification / Messaging
Notification Messaging</x:v>
      </x:c>
      <x:c r="C230" s="180" t="str">
        <x:v>MNMMessageTopic</x:v>
      </x:c>
      <x:c r="D230" s="179" t="str">
        <x:v>增构候选·待查重</x:v>
      </x:c>
      <x:c r="E230" s="180" t="str">
        <x:v>Topic</x:v>
      </x:c>
      <x:c r="F230" s="180" t="str">
        <x:v>TopicId；Schema；Retention</x:v>
      </x:c>
      <x:c r="G230" s="180" t="str">
        <x:v>Topic</x:v>
      </x:c>
      <x:c r="H230" s="180" t="str">
        <x:v>待逐对象核实</x:v>
      </x:c>
      <x:c r="I230" s="180" t="str">
        <x:v>MessageTopic</x:v>
      </x:c>
      <x:c r="J230" s="179" t="str">
        <x:v>类/实例候选</x:v>
      </x:c>
      <x:c r="K230" s="180" t="str">
        <x:v>生命周期：Definition</x:v>
      </x:c>
      <x:c r="L230" s="183" t="str">
        <x:v>设计候选，尚待源码验证</x:v>
      </x:c>
      <x:c r="M230" s="183" t="str">
        <x:v>M36.MessageTopic</x:v>
      </x:c>
      <x:c r="N230" s="184"/>
      <x:c r="O230" s="183" t="str">
        <x:v>V4.9对象/属性/方法
V2.01：未匹配V2.01；处置=暂无可信对应
V7.8：V7.8未检出同名词法声明</x:v>
      </x:c>
      <x:c r="P230" s="136" t="str">
        <x:v>V4.9对象/属性/方法</x:v>
      </x:c>
    </x:row>
    <x:row r="231" ht="72" customHeight="1">
      <x:c r="A231" s="179" t="str">
        <x:v>M36</x:v>
      </x:c>
      <x:c r="B231" s="180" t="str">
        <x:v>数据与工程治理｜Notification / Messaging
Notification Messaging</x:v>
      </x:c>
      <x:c r="C231" s="180" t="str">
        <x:v>MNMNotificationMessage</x:v>
      </x:c>
      <x:c r="D231" s="179" t="str">
        <x:v>增构候选·待查重</x:v>
      </x:c>
      <x:c r="E231" s="180" t="str">
        <x:v>通知消息</x:v>
      </x:c>
      <x:c r="F231" s="180" t="str">
        <x:v>Severity；Category；Title；Body；Source；Correlation；Actions</x:v>
      </x:c>
      <x:c r="G231" s="180" t="str">
        <x:v>通知消息</x:v>
      </x:c>
      <x:c r="H231" s="180" t="str">
        <x:v>待逐对象核实</x:v>
      </x:c>
      <x:c r="I231" s="180" t="str">
        <x:v>运行对象/模型</x:v>
      </x:c>
      <x:c r="J231" s="179" t="str">
        <x:v>类/实例候选</x:v>
      </x:c>
      <x:c r="K231" s="180" t="str">
        <x:v>生命周期：Runtime</x:v>
      </x:c>
      <x:c r="L231" s="183" t="str">
        <x:v>设计候选，尚待源码验证</x:v>
      </x:c>
      <x:c r="M231" s="183" t="str">
        <x:v>M36.NotificationMessage</x:v>
      </x:c>
      <x:c r="N231" s="184"/>
      <x:c r="O231" s="183" t="str">
        <x:v>V4.9对象/属性/方法
V2.01：未匹配V2.01；处置=暂无可信对应
V7.8：V7.8未检出同名词法声明</x:v>
      </x:c>
      <x:c r="P231" s="136" t="str">
        <x:v>V4.9对象/属性/方法</x:v>
      </x:c>
    </x:row>
    <x:row r="232" ht="72" customHeight="1">
      <x:c r="A232" s="179" t="str">
        <x:v>M36</x:v>
      </x:c>
      <x:c r="B232" s="180" t="str">
        <x:v>数据与工程治理｜Notification / Messaging
Notification Messaging</x:v>
      </x:c>
      <x:c r="C232" s="180" t="str">
        <x:v>MNMNotificationPolicy</x:v>
      </x:c>
      <x:c r="D232" s="179" t="str">
        <x:v>增构候选·待查重</x:v>
      </x:c>
      <x:c r="E232" s="180" t="str">
        <x:v>通知策略</x:v>
      </x:c>
      <x:c r="F232" s="180" t="str">
        <x:v>Targets；Throttle；Deduplicate；Persist</x:v>
      </x:c>
      <x:c r="G232" s="180" t="str">
        <x:v>通知策略</x:v>
      </x:c>
      <x:c r="H232" s="180" t="str">
        <x:v>待逐对象核实</x:v>
      </x:c>
      <x:c r="I232" s="180" t="str">
        <x:v>运行对象/模型</x:v>
      </x:c>
      <x:c r="J232" s="179" t="str">
        <x:v>类/实例候选</x:v>
      </x:c>
      <x:c r="K232" s="180" t="str">
        <x:v>生命周期：Definition</x:v>
      </x:c>
      <x:c r="L232" s="183" t="str">
        <x:v>设计候选，尚待源码验证</x:v>
      </x:c>
      <x:c r="M232" s="183" t="str">
        <x:v>M36.NotificationPolicy</x:v>
      </x:c>
      <x:c r="N232" s="184"/>
      <x:c r="O232" s="183" t="str">
        <x:v>V4.9对象/属性/方法
V2.01：未匹配V2.01；处置=暂无可信对应
V7.8：V7.8未检出同名词法声明</x:v>
      </x:c>
      <x:c r="P232" s="136" t="str">
        <x:v>V4.9对象/属性/方法</x:v>
      </x:c>
    </x:row>
    <x:row r="233" ht="72" customHeight="1">
      <x:c r="A233" s="179" t="str">
        <x:v>M36</x:v>
      </x:c>
      <x:c r="B233" s="180" t="str">
        <x:v>数据与工程治理｜Notification / Messaging
Notification Messaging</x:v>
      </x:c>
      <x:c r="C233" s="180" t="str">
        <x:v>MNMNotificationService</x:v>
      </x:c>
      <x:c r="D233" s="179" t="str">
        <x:v>增构候选·待查重</x:v>
      </x:c>
      <x:c r="E233" s="180" t="str">
        <x:v>通知服务</x:v>
      </x:c>
      <x:c r="F233" s="180" t="str">
        <x:v>Publish；Subscribe；Acknowledge</x:v>
      </x:c>
      <x:c r="G233" s="180" t="str">
        <x:v>通知服务</x:v>
      </x:c>
      <x:c r="H233" s="180" t="str">
        <x:v>待逐对象核实</x:v>
      </x:c>
      <x:c r="I233" s="180" t="str">
        <x:v>NotificationService</x:v>
      </x:c>
      <x:c r="J233" s="179" t="str">
        <x:v>类/实例候选</x:v>
      </x:c>
      <x:c r="K233" s="180" t="str">
        <x:v>生命周期：Runtime</x:v>
      </x:c>
      <x:c r="L233" s="183" t="str">
        <x:v>设计候选，尚待源码验证</x:v>
      </x:c>
      <x:c r="M233" s="183" t="str">
        <x:v>M36.NotificationService</x:v>
      </x:c>
      <x:c r="N233" s="184"/>
      <x:c r="O233" s="183" t="str">
        <x:v>V4.9对象/属性/方法
V2.01：未匹配V2.01；处置=暂无可信对应
V7.8：V7.8未检出同名词法声明</x:v>
      </x:c>
      <x:c r="P233" s="136" t="str">
        <x:v>V4.9对象/属性/方法</x:v>
      </x:c>
    </x:row>
  </x:sheetData>
  <x:mergeCells>
    <x:mergeCell ref="A6:A129"/>
    <x:mergeCell ref="A130:A186"/>
    <x:mergeCell ref="A187:A228"/>
    <x:mergeCell ref="A229:A233"/>
    <x:mergeCell ref="A1:P1"/>
    <x:mergeCell ref="A2:P2"/>
    <x:mergeCell ref="A3:P3"/>
    <x:mergeCell ref="A4:P4"/>
    <x:mergeCell ref="B6:B129"/>
    <x:mergeCell ref="B130:B186"/>
    <x:mergeCell ref="B187:B228"/>
    <x:mergeCell ref="B229:B233"/>
  </x:mergeCells>
  <x:pageMargins left="0.7" right="0.7" top="0.75" bottom="0.75" header="0.3" footer="0.3"/>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CxVisual.Mechanism.Logic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子方面：M11、M12｜来源：V1.19旧类型 + V4.9对象 + V7.8源码 + V5.0/R3架构裁决｜本项目 122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M11</x:v>
      </x:c>
      <x:c r="B6" s="180" t="str">
        <x:v>逻辑与行为｜Expression / Rule / Script
Expression Rules</x:v>
      </x:c>
      <x:c r="C6" s="180" t="str">
        <x:v>IMERCxScriptHost</x:v>
      </x:c>
      <x:c r="D6" s="179" t="str">
        <x:v>原有·待核</x:v>
      </x:c>
      <x:c r="E6" s="180" t="str">
        <x:v>负责Script宿主相关的脚本宿主与公共契约管理</x:v>
      </x:c>
      <x:c r="F6" s="180" t="str">
        <x:v>Language</x:v>
      </x:c>
      <x:c r="G6" s="180" t="str">
        <x:v>Compile(CxScriptDefinition definition, CxScriptSecurityContext security), ExecuteAsync(CxCompiledScript script, IDictionary&lt;string, object&gt; inputs, RuntimeContext runtime, CancellationToken canc…), ValidateSecurity(CxScriptDefinition definition, CxScriptSecurityContext security)</x:v>
      </x:c>
      <x:c r="H6" s="180" t="str">
        <x:v>—（待核）</x:v>
      </x:c>
      <x:c r="I6" s="180" t="str">
        <x:v>CxVisual.Core.ICxScriptHost</x:v>
      </x:c>
      <x:c r="J6" s="179" t="str">
        <x:v>接口</x:v>
      </x:c>
      <x:c r="K6" s="180" t="str">
        <x:v>V1.19 C-0484；原实施方式：原有。迁移风险：负责Script宿主相关的脚本宿主与公共契约管理</x:v>
      </x:c>
      <x:c r="L6" s="183" t="str">
        <x:v>源代码声明·待复核</x:v>
      </x:c>
      <x:c r="M6" s="183" t="str">
        <x:v>C-0484</x:v>
      </x:c>
      <x:c r="N6" s="184" t="str">
        <x:v>Platform/Core/CxScriptContracts.cs</x:v>
      </x:c>
      <x:c r="O6" s="183" t="str">
        <x:v>V1.19旧源码类型（真实成员/实现仍待核）
V2.01：来源ID对应；处置=保留源码·公开契约复核
V7.8：V7.8同名且源文件对应；Platform/Core/CxScriptContracts.cs</x:v>
      </x:c>
      <x:c r="P6" s="136" t="str">
        <x:v>V1.19旧源码类型（真实成员/实现仍待核）</x:v>
      </x:c>
      <x:c r="Q6"/>
      <x:c r="R6"/>
      <x:c r="S6"/>
    </x:row>
    <x:row r="7" ht="72" customHeight="1">
      <x:c r="A7" s="179" t="str">
        <x:v>M11</x:v>
      </x:c>
      <x:c r="B7" s="180" t="str">
        <x:v>逻辑与行为｜Expression / Rule / Script
Expression Rules</x:v>
      </x:c>
      <x:c r="C7" s="180" t="str">
        <x:v>IMERNode</x:v>
      </x:c>
      <x:c r="D7" s="179" t="str">
        <x:v>原有·待核</x:v>
      </x:c>
      <x:c r="E7" s="180" t="str">
        <x:v>约定节点的操作入口、交互能力及调用方/实现方边界</x:v>
      </x:c>
      <x:c r="F7" s="180" t="str">
        <x:v>—（无公开声明或待核对）</x:v>
      </x:c>
      <x:c r="G7" s="180" t="str">
        <x:v>Evaluate(IDictionary&lt;string, object&gt; variables)</x:v>
      </x:c>
      <x:c r="H7" s="180" t="str">
        <x:v>—（待核）</x:v>
      </x:c>
      <x:c r="I7" s="180" t="str">
        <x:v>CxVisual.Runtime.Core.RestrictedExpression.INode</x:v>
      </x:c>
      <x:c r="J7" s="179" t="str">
        <x:v>接口</x:v>
      </x:c>
      <x:c r="K7" s="180" t="str">
        <x:v>V1.19 C-0497；原实施方式：原有。迁移风险：约定节点的操作入口、交互能力及调用方/实现方边界</x:v>
      </x:c>
      <x:c r="L7" s="183" t="str">
        <x:v>源代码声明·待复核</x:v>
      </x:c>
      <x:c r="M7" s="183" t="str">
        <x:v>C-0497</x:v>
      </x:c>
      <x:c r="N7" s="184" t="str">
        <x:v>Platform/Runtime/RestrictedExpression.cs</x:v>
      </x:c>
      <x:c r="O7" s="183" t="str">
        <x:v>V1.19旧源码类型（真实成员/实现仍待核）
V2.01：来源ID对应；处置=保留源码·公开契约复核
V7.8：V7.8同名且源文件对应；Platform/Runtime/RestrictedExpression.cs</x:v>
      </x:c>
      <x:c r="P7" s="136" t="str">
        <x:v>V1.19旧源码类型（真实成员/实现仍待核）</x:v>
      </x:c>
      <x:c r="Q7"/>
      <x:c r="R7"/>
      <x:c r="S7"/>
    </x:row>
    <x:row r="8" ht="72" customHeight="1">
      <x:c r="A8" s="179" t="str">
        <x:v>M11</x:v>
      </x:c>
      <x:c r="B8" s="180" t="str">
        <x:v>逻辑与行为｜Expression / Rule / Script
Expression Rules</x:v>
      </x:c>
      <x:c r="C8" s="180" t="str">
        <x:v>IMERRestrictedFunctionProvider</x:v>
      </x:c>
      <x:c r="D8" s="179" t="str">
        <x:v>原有·待核</x:v>
      </x:c>
      <x:c r="E8" s="180" t="str">
        <x:v>约定RestrictedFunction提供器的操作入口、交互能力及调用方/实现方边界</x:v>
      </x:c>
      <x:c r="F8" s="180" t="str">
        <x:v>—（无公开声明或待核对）</x:v>
      </x:c>
      <x:c r="G8" s="180" t="str">
        <x:v>HasFunction(string name), InvokeFunction(string name, IReadOnlyList&lt;object&gt; arguments)</x:v>
      </x:c>
      <x:c r="H8" s="180" t="str">
        <x:v>—（待核）</x:v>
      </x:c>
      <x:c r="I8" s="180" t="str">
        <x:v>CxVisual.Runtime.Core.IRestrictedFunctionProvider</x:v>
      </x:c>
      <x:c r="J8" s="179" t="str">
        <x:v>接口</x:v>
      </x:c>
      <x:c r="K8" s="180" t="str">
        <x:v>V1.19 C-0492；原实施方式：原有。迁移风险：约定RestrictedFunction提供器的操作入口、交互能力及调用方/实现方边界</x:v>
      </x:c>
      <x:c r="L8" s="183" t="str">
        <x:v>源代码声明·待复核</x:v>
      </x:c>
      <x:c r="M8" s="183" t="str">
        <x:v>C-0492</x:v>
      </x:c>
      <x:c r="N8" s="184" t="str">
        <x:v>Platform/Runtime/RestrictedExpression.cs</x:v>
      </x:c>
      <x:c r="O8" s="183" t="str">
        <x:v>V1.19旧源码类型（真实成员/实现仍待核）
V2.01：来源ID对应；处置=保留源码·公开契约复核
V7.8：V7.8同名且源文件对应；Platform/Runtime/RestrictedExpression.cs</x:v>
      </x:c>
      <x:c r="P8" s="136" t="str">
        <x:v>V1.19旧源码类型（真实成员/实现仍待核）</x:v>
      </x:c>
      <x:c r="Q8"/>
      <x:c r="R8"/>
      <x:c r="S8"/>
    </x:row>
    <x:row r="9" ht="72" customHeight="1">
      <x:c r="A9" s="179" t="str">
        <x:v>M11</x:v>
      </x:c>
      <x:c r="B9" s="180" t="str">
        <x:v>逻辑与行为｜Expression / Rule / Script
Expression Rules</x:v>
      </x:c>
      <x:c r="C9" s="180" t="str">
        <x:v>MERBinaryNode</x:v>
      </x:c>
      <x:c r="D9" s="179" t="str">
        <x:v>原有·待核</x:v>
      </x:c>
      <x:c r="E9" s="180" t="str">
        <x:v>表达或管理二进制节点相关的数据及协作职责，具体行为待源码复核〔待核〕</x:v>
      </x:c>
      <x:c r="F9" s="180" t="str">
        <x:v>—（无公开声明或待核对）</x:v>
      </x:c>
      <x:c r="G9" s="180" t="str">
        <x:v>BinaryNode(string value, INode left, INode right), Evaluate(IDictionary&lt;string, object&gt; variables)</x:v>
      </x:c>
      <x:c r="H9" s="180" t="str">
        <x:v>—（待核）</x:v>
      </x:c>
      <x:c r="I9" s="180" t="str">
        <x:v>CxVisual.Runtime.Core.RestrictedExpression.BinaryNode</x:v>
      </x:c>
      <x:c r="J9" s="179" t="str">
        <x:v>类</x:v>
      </x:c>
      <x:c r="K9" s="180" t="str">
        <x:v>V1.19 C-0494；原实施方式：原有。迁移风险：表达或管理二进制节点相关的数据及协作职责，具体行为待源码复核〔待核〕</x:v>
      </x:c>
      <x:c r="L9" s="183" t="str">
        <x:v>源代码声明·待复核</x:v>
      </x:c>
      <x:c r="M9" s="183" t="str">
        <x:v>C-0494</x:v>
      </x:c>
      <x:c r="N9" s="184" t="str">
        <x:v>Platform/Runtime/RestrictedExpression.cs</x:v>
      </x:c>
      <x:c r="O9" s="183" t="str">
        <x:v>V1.19旧源码类型（真实成员/实现仍待核）
V2.01：来源ID对应；处置=保留源码·公开契约复核
V7.8：V7.8同名且源文件对应；Platform/Runtime/RestrictedExpression.cs</x:v>
      </x:c>
      <x:c r="P9" s="136" t="str">
        <x:v>V1.19旧源码类型（真实成员/实现仍待核）</x:v>
      </x:c>
      <x:c r="Q9"/>
      <x:c r="R9"/>
      <x:c r="S9"/>
    </x:row>
    <x:row r="10" ht="72" customHeight="1">
      <x:c r="A10" s="179" t="str">
        <x:v>M11</x:v>
      </x:c>
      <x:c r="B10" s="180" t="str">
        <x:v>逻辑与行为｜Expression / Rule / Script
Expression Rules</x:v>
      </x:c>
      <x:c r="C10" s="180" t="str">
        <x:v>MERConstantNode</x:v>
      </x:c>
      <x:c r="D10" s="179" t="str">
        <x:v>原有·待核</x:v>
      </x:c>
      <x:c r="E10" s="180" t="str">
        <x:v>表达或管理Constant节点相关的数据及协作职责，具体行为待源码复核〔待核〕</x:v>
      </x:c>
      <x:c r="F10" s="180" t="str">
        <x:v>—（无公开声明或待核对）</x:v>
      </x:c>
      <x:c r="G10" s="180" t="str">
        <x:v>ConstantNode(object value), Evaluate(IDictionary&lt;string, object&gt; variables)</x:v>
      </x:c>
      <x:c r="H10" s="180" t="str">
        <x:v>—（待核）</x:v>
      </x:c>
      <x:c r="I10" s="180" t="str">
        <x:v>CxVisual.Runtime.Core.RestrictedExpression.ConstantNode</x:v>
      </x:c>
      <x:c r="J10" s="179" t="str">
        <x:v>类</x:v>
      </x:c>
      <x:c r="K10" s="180" t="str">
        <x:v>V1.19 C-0495；原实施方式：原有。迁移风险：表达或管理Constant节点相关的数据及协作职责，具体行为待源码复核〔待核〕</x:v>
      </x:c>
      <x:c r="L10" s="183" t="str">
        <x:v>源代码声明·待复核</x:v>
      </x:c>
      <x:c r="M10" s="183" t="str">
        <x:v>C-0495</x:v>
      </x:c>
      <x:c r="N10" s="184" t="str">
        <x:v>Platform/Runtime/RestrictedExpression.cs</x:v>
      </x:c>
      <x:c r="O10" s="183" t="str">
        <x:v>V1.19旧源码类型（真实成员/实现仍待核）
V2.01：来源ID对应；处置=保留源码·公开契约复核
V7.8：V7.8同名且源文件对应；Platform/Runtime/RestrictedExpression.cs</x:v>
      </x:c>
      <x:c r="P10" s="136" t="str">
        <x:v>V1.19旧源码类型（真实成员/实现仍待核）</x:v>
      </x:c>
      <x:c r="Q10"/>
      <x:c r="R10"/>
      <x:c r="S10"/>
    </x:row>
    <x:row r="11" ht="72" customHeight="1">
      <x:c r="A11" s="179" t="str">
        <x:v>M11</x:v>
      </x:c>
      <x:c r="B11" s="180" t="str">
        <x:v>逻辑与行为｜Expression / Rule / Script
Expression Rules</x:v>
      </x:c>
      <x:c r="C11" s="180" t="str">
        <x:v>MERCxCompiledExpression</x:v>
      </x:c>
      <x:c r="D11" s="179" t="str">
        <x:v>原有·待核</x:v>
      </x:c>
      <x:c r="E11" s="180" t="str">
        <x:v>负责Compiled表达式相关的编译表达式与公共契约管理</x:v>
      </x:c>
      <x:c r="F11" s="180" t="str">
        <x:v>Id, Delegate, Dependencies</x:v>
      </x:c>
      <x:c r="G11" s="180" t="str">
        <x:v>CxCompiledExpression(string id, Func&lt;IDictionary&lt;string, object&gt;, object&gt; expression, IEnumerable&lt;string&gt; dependencies, Type res…), Evaluate(CxExpressionContext context)</x:v>
      </x:c>
      <x:c r="H11" s="180" t="str">
        <x:v>—（待核）</x:v>
      </x:c>
      <x:c r="I11" s="180" t="str">
        <x:v>CxVisual.Core.CxCompiledExpression</x:v>
      </x:c>
      <x:c r="J11" s="179" t="str">
        <x:v>类</x:v>
      </x:c>
      <x:c r="K11" s="180" t="str">
        <x:v>V1.19 C-0471；原实施方式：原有。迁移风险：负责Compiled表达式相关的编译表达式与公共契约管理</x:v>
      </x:c>
      <x:c r="L11" s="183" t="str">
        <x:v>源代码声明·待复核</x:v>
      </x:c>
      <x:c r="M11" s="183" t="str">
        <x:v>C-0471</x:v>
      </x:c>
      <x:c r="N11" s="184" t="str">
        <x:v>Platform/Core/CxExpressions.cs</x:v>
      </x:c>
      <x:c r="O11" s="183" t="str">
        <x:v>V1.19旧源码类型（真实成员/实现仍待核）
V2.01：来源ID对应；处置=保留源码·公开契约复核
V7.8：V7.8同名且源文件对应；Platform/Core/CxExpressions.cs</x:v>
      </x:c>
      <x:c r="P11" s="136" t="str">
        <x:v>V1.19旧源码类型（真实成员/实现仍待核）</x:v>
      </x:c>
      <x:c r="Q11"/>
      <x:c r="R11"/>
      <x:c r="S11"/>
    </x:row>
    <x:row r="12" ht="72" customHeight="1">
      <x:c r="A12" s="179" t="str">
        <x:v>M11</x:v>
      </x:c>
      <x:c r="B12" s="180" t="str">
        <x:v>逻辑与行为｜Expression / Rule / Script
Expression Rules</x:v>
      </x:c>
      <x:c r="C12" s="180" t="str">
        <x:v>MERCxCompiledRule</x:v>
      </x:c>
      <x:c r="D12" s="179" t="str">
        <x:v>原有·待核</x:v>
      </x:c>
      <x:c r="E12" s="180" t="str">
        <x:v>表达或管理Compiled规则相关的数据及协作职责，具体行为待源码复核〔待核〕</x:v>
      </x:c>
      <x:c r="F12" s="180" t="str">
        <x:v>Condition</x:v>
      </x:c>
      <x:c r="G12" s="180" t="str">
        <x:v>CxCompiledRule(CxRuleDefinition definition, CxCompiledExpression condition), Clone()</x:v>
      </x:c>
      <x:c r="H12" s="180" t="str">
        <x:v>—（待核）</x:v>
      </x:c>
      <x:c r="I12" s="180" t="str">
        <x:v>CxVisual.Core.CxCompiledRule</x:v>
      </x:c>
      <x:c r="J12" s="179" t="str">
        <x:v>类</x:v>
      </x:c>
      <x:c r="K12" s="180" t="str">
        <x:v>V1.19 C-0473；原实施方式：原有。迁移风险：表达或管理Compiled规则相关的数据及协作职责，具体行为待源码复核〔待核〕</x:v>
      </x:c>
      <x:c r="L12" s="183" t="str">
        <x:v>源代码声明·待复核</x:v>
      </x:c>
      <x:c r="M12" s="183" t="str">
        <x:v>C-0473</x:v>
      </x:c>
      <x:c r="N12" s="184" t="str">
        <x:v>Platform/Core/CxActionsRules.cs</x:v>
      </x:c>
      <x:c r="O12" s="183" t="str">
        <x:v>V1.19旧源码类型（真实成员/实现仍待核）
V2.01：来源ID对应；处置=保留源码·公开契约复核
V7.8：V7.8同名且源文件对应；Platform/Core/CxActionsRules.cs</x:v>
      </x:c>
      <x:c r="P12" s="136" t="str">
        <x:v>V1.19旧源码类型（真实成员/实现仍待核）</x:v>
      </x:c>
      <x:c r="Q12"/>
      <x:c r="R12"/>
      <x:c r="S12"/>
    </x:row>
    <x:row r="13" ht="72" customHeight="1">
      <x:c r="A13" s="179" t="str">
        <x:v>M11</x:v>
      </x:c>
      <x:c r="B13" s="180" t="str">
        <x:v>逻辑与行为｜Expression / Rule / Script
Expression Rules</x:v>
      </x:c>
      <x:c r="C13" s="180" t="str">
        <x:v>MERCxCompiledScript</x:v>
      </x:c>
      <x:c r="D13" s="179" t="str">
        <x:v>原有·待核</x:v>
      </x:c>
      <x:c r="E13" s="180" t="str">
        <x:v>表达或管理CompiledScript相关的数据及协作职责，具体行为待源码复核〔待核〕</x:v>
      </x:c>
      <x:c r="F13" s="180" t="str">
        <x:v>Id, Language</x:v>
      </x:c>
      <x:c r="G13" s="180" t="str">
        <x:v>CxCompiledScript(CxScriptDefinition definition), Clone()</x:v>
      </x:c>
      <x:c r="H13" s="180" t="str">
        <x:v>—（待核）</x:v>
      </x:c>
      <x:c r="I13" s="180" t="str">
        <x:v>CxVisual.Core.CxCompiledScript</x:v>
      </x:c>
      <x:c r="J13" s="179" t="str">
        <x:v>类</x:v>
      </x:c>
      <x:c r="K13" s="180" t="str">
        <x:v>V1.19 C-0474；原实施方式：原有。迁移风险：表达或管理CompiledScript相关的数据及协作职责，具体行为待源码复核〔待核〕</x:v>
      </x:c>
      <x:c r="L13" s="183" t="str">
        <x:v>源代码声明·待复核</x:v>
      </x:c>
      <x:c r="M13" s="183" t="str">
        <x:v>C-0474</x:v>
      </x:c>
      <x:c r="N13" s="184" t="str">
        <x:v>Platform/Core/CxScriptContracts.cs</x:v>
      </x:c>
      <x:c r="O13" s="183" t="str">
        <x:v>V1.19旧源码类型（真实成员/实现仍待核）
V2.01：来源ID对应；处置=保留源码·公开契约复核
V7.8：V7.8同名且源文件对应；Platform/Core/CxScriptContracts.cs</x:v>
      </x:c>
      <x:c r="P13" s="136" t="str">
        <x:v>V1.19旧源码类型（真实成员/实现仍待核）</x:v>
      </x:c>
      <x:c r="Q13"/>
      <x:c r="R13"/>
      <x:c r="S13"/>
    </x:row>
    <x:row r="14" ht="72" customHeight="1">
      <x:c r="A14" s="179" t="str">
        <x:v>M11</x:v>
      </x:c>
      <x:c r="B14" s="180" t="str">
        <x:v>逻辑与行为｜Expression / Rule / Script
Expression Rules</x:v>
      </x:c>
      <x:c r="C14" s="180" t="str">
        <x:v>MERCxConditionDefinition</x:v>
      </x:c>
      <x:c r="D14" s="179" t="str">
        <x:v>原有·待核</x:v>
      </x:c>
      <x:c r="E14" s="180" t="str">
        <x:v>负责Condition定义相关的条件与公共契约管理</x:v>
      </x:c>
      <x:c r="F14" s="180" t="str">
        <x:v>Id, Expression, ResultType, Dependencies, CxConditionDefinition</x:v>
      </x:c>
      <x:c r="G14" s="180" t="str">
        <x:v>Validate(), Compile()</x:v>
      </x:c>
      <x:c r="H14" s="180" t="str">
        <x:v>—（待核）</x:v>
      </x:c>
      <x:c r="I14" s="180" t="str">
        <x:v>CxVisual.Core.CxConditionDefinition</x:v>
      </x:c>
      <x:c r="J14" s="179" t="str">
        <x:v>类</x:v>
      </x:c>
      <x:c r="K14" s="180" t="str">
        <x:v>V1.19 C-0475；原实施方式：原有。迁移风险：负责Condition定义相关的条件与公共契约管理</x:v>
      </x:c>
      <x:c r="L14" s="183" t="str">
        <x:v>源代码声明·待复核</x:v>
      </x:c>
      <x:c r="M14" s="183" t="str">
        <x:v>C-0475</x:v>
      </x:c>
      <x:c r="N14" s="184" t="str">
        <x:v>Platform/Core/CxExpressions.cs</x:v>
      </x:c>
      <x:c r="O14" s="183" t="str">
        <x:v>V1.19旧源码类型（真实成员/实现仍待核）
V2.01：来源ID对应；处置=保留源码·公开契约复核
V7.8：V7.8同名且源文件对应；Platform/Core/CxExpressions.cs</x:v>
      </x:c>
      <x:c r="P14" s="136" t="str">
        <x:v>V1.19旧源码类型（真实成员/实现仍待核）</x:v>
      </x:c>
      <x:c r="Q14"/>
      <x:c r="R14"/>
      <x:c r="S14"/>
    </x:row>
    <x:row r="15" ht="72" customHeight="1">
      <x:c r="A15" s="179" t="str">
        <x:v>M11</x:v>
      </x:c>
      <x:c r="B15" s="180" t="str">
        <x:v>逻辑与行为｜Expression / Rule / Script
Expression Rules</x:v>
      </x:c>
      <x:c r="C15" s="180" t="str">
        <x:v>MERCxExpressionContext</x:v>
      </x:c>
      <x:c r="D15" s="179" t="str">
        <x:v>原有·待核</x:v>
      </x:c>
      <x:c r="E15" s="180" t="str">
        <x:v>负责表达式上下文相关的表达式上下文与公共契约管理</x:v>
      </x:c>
      <x:c r="F15" s="180" t="str">
        <x:v>Services, CurrentNode, RuntimeContext</x:v>
      </x:c>
      <x:c r="G15" s="180" t="str">
        <x:v>CxExpressionContext(IDictionary&lt;string, object&gt; variables = null, IDictionary&lt;string, Func&lt;IReadOnlyList&lt;object&gt;, object&gt;&gt; func…), ReadOnlyDictionary(_variables.ToDictionary(x =&gt; x.Key, x =&gt; x.Value == null ? null : CxVariableValueRules.Copy(x.Value, x.Valu…); ReadOnlyDictionary(_functions); ResolveName(string name); CallFunction(string name, IReadOnlyList&lt;object&gt; arguments)</x:v>
      </x:c>
      <x:c r="H15" s="180" t="str">
        <x:v>—（待核）</x:v>
      </x:c>
      <x:c r="I15" s="180" t="str">
        <x:v>CxVisual.Core.CxExpressionContext</x:v>
      </x:c>
      <x:c r="J15" s="179" t="str">
        <x:v>类</x:v>
      </x:c>
      <x:c r="K15" s="180" t="str">
        <x:v>V1.19 C-0476；原实施方式：原有。迁移风险：负责表达式上下文相关的表达式上下文与公共契约管理</x:v>
      </x:c>
      <x:c r="L15" s="183" t="str">
        <x:v>源代码声明·待复核</x:v>
      </x:c>
      <x:c r="M15" s="183" t="str">
        <x:v>C-0476</x:v>
      </x:c>
      <x:c r="N15" s="184" t="str">
        <x:v>Platform/Core/CxExpressions.cs</x:v>
      </x:c>
      <x:c r="O15" s="183" t="str">
        <x:v>V1.19旧源码类型（真实成员/实现仍待核）
V2.01：来源ID对应；处置=保留源码·公开契约复核
V7.8：V7.8同名且源文件对应；Platform/Core/CxExpressions.cs</x:v>
      </x:c>
      <x:c r="P15" s="136" t="str">
        <x:v>V1.19旧源码类型（真实成员/实现仍待核）</x:v>
      </x:c>
      <x:c r="Q15"/>
      <x:c r="R15"/>
      <x:c r="S15"/>
    </x:row>
    <x:row r="16" ht="72" customHeight="1">
      <x:c r="A16" s="179" t="str">
        <x:v>M11</x:v>
      </x:c>
      <x:c r="B16" s="180" t="str">
        <x:v>逻辑与行为｜Expression / Rule / Script
Expression Rules</x:v>
      </x:c>
      <x:c r="C16" s="180" t="str">
        <x:v>MERCxExpressionDefinition</x:v>
      </x:c>
      <x:c r="D16" s="179" t="str">
        <x:v>原有·待核</x:v>
      </x:c>
      <x:c r="E16" s="180" t="str">
        <x:v>负责表达式定义相关的表达式与公共契约管理</x:v>
      </x:c>
      <x:c r="F16" s="180" t="str">
        <x:v>Id, Text, ResultType, Dependencies, Language</x:v>
      </x:c>
      <x:c r="G16" s="180" t="str">
        <x:v>Validate(CxTypeResolver types = null), Compile(CxTypeResolver types = null), CheckComplexity(string text)</x:v>
      </x:c>
      <x:c r="H16" s="180" t="str">
        <x:v>—（待核）</x:v>
      </x:c>
      <x:c r="I16" s="180" t="str">
        <x:v>CxVisual.Core.CxExpressionDefinition</x:v>
      </x:c>
      <x:c r="J16" s="179" t="str">
        <x:v>类</x:v>
      </x:c>
      <x:c r="K16" s="180" t="str">
        <x:v>V1.19 C-0477；原实施方式：原有。迁移风险：负责表达式定义相关的表达式与公共契约管理</x:v>
      </x:c>
      <x:c r="L16" s="183" t="str">
        <x:v>源代码声明·待复核</x:v>
      </x:c>
      <x:c r="M16" s="183" t="str">
        <x:v>C-0477</x:v>
      </x:c>
      <x:c r="N16" s="184" t="str">
        <x:v>Platform/Core/CxExpressions.cs</x:v>
      </x:c>
      <x:c r="O16" s="183" t="str">
        <x:v>V1.19旧源码类型（真实成员/实现仍待核）
V2.01：来源ID对应；处置=保留源码·公开契约复核
V7.8：V7.8同名且源文件对应；Platform/Core/CxExpressions.cs</x:v>
      </x:c>
      <x:c r="P16" s="136" t="str">
        <x:v>V1.19旧源码类型（真实成员/实现仍待核）</x:v>
      </x:c>
      <x:c r="Q16"/>
      <x:c r="R16"/>
      <x:c r="S16"/>
    </x:row>
    <x:row r="17" ht="72" customHeight="1">
      <x:c r="A17" s="179" t="str">
        <x:v>M11</x:v>
      </x:c>
      <x:c r="B17" s="180" t="str">
        <x:v>逻辑与行为｜Expression / Rule / Script
Expression Rules</x:v>
      </x:c>
      <x:c r="C17" s="180" t="str">
        <x:v>MERCxRuleActionException</x:v>
      </x:c>
      <x:c r="D17" s="179" t="str">
        <x:v>原有·待核</x:v>
      </x:c>
      <x:c r="E17" s="180" t="str">
        <x:v>表示规则Action异常异常并传递异常原因及诊断上下文</x:v>
      </x:c>
      <x:c r="F17" s="180" t="str">
        <x:v>RuleId, Result</x:v>
      </x:c>
      <x:c r="G17" s="180" t="str">
        <x:v>CxRuleActionException(string id, CxCommandResult result)</x:v>
      </x:c>
      <x:c r="H17" s="180" t="str">
        <x:v>—（待核）</x:v>
      </x:c>
      <x:c r="I17" s="180" t="str">
        <x:v>CxVisual.Core.CxRuleActionException</x:v>
      </x:c>
      <x:c r="J17" s="179" t="str">
        <x:v>类</x:v>
      </x:c>
      <x:c r="K17" s="180" t="str">
        <x:v>V1.19 C-0478；原实施方式：原有。迁移风险：表示规则Action异常异常并传递异常原因及诊断上下文</x:v>
      </x:c>
      <x:c r="L17" s="183" t="str">
        <x:v>源代码声明·待复核</x:v>
      </x:c>
      <x:c r="M17" s="183" t="str">
        <x:v>C-0478</x:v>
      </x:c>
      <x:c r="N17" s="184" t="str">
        <x:v>Platform/Core/CxActionsRules.cs</x:v>
      </x:c>
      <x:c r="O17" s="183" t="str">
        <x:v>V1.19旧源码类型（真实成员/实现仍待核）
V2.01：来源ID对应；处置=保留源码·公开契约复核
V7.8：V7.8同名且源文件对应；Platform/Core/CxActionsRules.cs</x:v>
      </x:c>
      <x:c r="P17" s="136" t="str">
        <x:v>V1.19旧源码类型（真实成员/实现仍待核）</x:v>
      </x:c>
      <x:c r="Q17"/>
      <x:c r="R17"/>
      <x:c r="S17"/>
    </x:row>
    <x:row r="18" ht="72" customHeight="1">
      <x:c r="A18" s="179" t="str">
        <x:v>M11</x:v>
      </x:c>
      <x:c r="B18" s="180" t="str">
        <x:v>逻辑与行为｜Expression / Rule / Script
Expression Rules</x:v>
      </x:c>
      <x:c r="C18" s="180" t="str">
        <x:v>MERCxRuleDefinition</x:v>
      </x:c>
      <x:c r="D18" s="179" t="str">
        <x:v>原有·待核</x:v>
      </x:c>
      <x:c r="E18" s="180" t="str">
        <x:v>负责规则定义相关的规则与公共契约管理</x:v>
      </x:c>
      <x:c r="F18" s="180" t="str">
        <x:v>Id, Name, Condition, Actions, Priority, Enabled, CxRuleDefinition</x:v>
      </x:c>
      <x:c r="G18" s="180" t="str">
        <x:v>Validate(), Compile()</x:v>
      </x:c>
      <x:c r="H18" s="180" t="str">
        <x:v>—（待核）</x:v>
      </x:c>
      <x:c r="I18" s="180" t="str">
        <x:v>CxVisual.Core.CxRuleDefinition</x:v>
      </x:c>
      <x:c r="J18" s="179" t="str">
        <x:v>类</x:v>
      </x:c>
      <x:c r="K18" s="180" t="str">
        <x:v>V1.19 C-0479；原实施方式：原有。迁移风险：负责规则定义相关的规则与公共契约管理</x:v>
      </x:c>
      <x:c r="L18" s="183" t="str">
        <x:v>源代码声明·待复核</x:v>
      </x:c>
      <x:c r="M18" s="183" t="str">
        <x:v>C-0479</x:v>
      </x:c>
      <x:c r="N18" s="184" t="str">
        <x:v>Platform/Core/CxActionsRules.cs</x:v>
      </x:c>
      <x:c r="O18" s="183" t="str">
        <x:v>V1.19旧源码类型（真实成员/实现仍待核）
V2.01：来源ID对应；处置=保留源码·公开契约复核
V7.8：V7.8同名且源文件对应；Platform/Core/CxActionsRules.cs</x:v>
      </x:c>
      <x:c r="P18" s="136" t="str">
        <x:v>V1.19旧源码类型（真实成员/实现仍待核）</x:v>
      </x:c>
      <x:c r="Q18"/>
      <x:c r="R18"/>
      <x:c r="S18"/>
    </x:row>
    <x:row r="19" ht="72" customHeight="1">
      <x:c r="A19" s="179" t="str">
        <x:v>M11</x:v>
      </x:c>
      <x:c r="B19" s="180" t="str">
        <x:v>逻辑与行为｜Expression / Rule / Script
Expression Rules</x:v>
      </x:c>
      <x:c r="C19" s="180" t="str">
        <x:v>MERCxRuleEngine</x:v>
      </x:c>
      <x:c r="D19" s="179" t="str">
        <x:v>原有·待核</x:v>
      </x:c>
      <x:c r="E19" s="180" t="str">
        <x:v>负责规则Engine相关的规则运行与公共契约管理</x:v>
      </x:c>
      <x:c r="F19" s="180" t="str">
        <x:v>Rules</x:v>
      </x:c>
      <x:c r="G19" s="180" t="str">
        <x:v>CxRuleEngine(CxActionExecutor executor), AddRule(CxRuleDefinition rule), RemoveRule(string id), EvaluateAsync(CxExpressionContext context, string target, string correlationId, CancellationToken cancellationToken = def…)</x:v>
      </x:c>
      <x:c r="H19" s="180" t="str">
        <x:v>—（待核）</x:v>
      </x:c>
      <x:c r="I19" s="180" t="str">
        <x:v>CxVisual.Core.CxRuleEngine</x:v>
      </x:c>
      <x:c r="J19" s="179" t="str">
        <x:v>类</x:v>
      </x:c>
      <x:c r="K19" s="180" t="str">
        <x:v>V1.19 C-0480；原实施方式：原有。迁移风险：负责规则Engine相关的规则运行与公共契约管理</x:v>
      </x:c>
      <x:c r="L19" s="183" t="str">
        <x:v>源代码声明·待复核</x:v>
      </x:c>
      <x:c r="M19" s="183" t="str">
        <x:v>C-0480</x:v>
      </x:c>
      <x:c r="N19" s="184" t="str">
        <x:v>Platform/Core/CxActionsRules.cs</x:v>
      </x:c>
      <x:c r="O19" s="183" t="str">
        <x:v>V1.19旧源码类型（真实成员/实现仍待核）
V2.01：来源ID对应；处置=保留源码·公开契约复核
V7.8：V7.8同名且源文件对应；Platform/Core/CxActionsRules.cs</x:v>
      </x:c>
      <x:c r="P19" s="136" t="str">
        <x:v>V1.19旧源码类型（真实成员/实现仍待核）</x:v>
      </x:c>
      <x:c r="Q19"/>
      <x:c r="R19"/>
      <x:c r="S19"/>
    </x:row>
    <x:row r="20" ht="72" customHeight="1">
      <x:c r="A20" s="179" t="str">
        <x:v>M11</x:v>
      </x:c>
      <x:c r="B20" s="180" t="str">
        <x:v>逻辑与行为｜Expression / Rule / Script
Expression Rules</x:v>
      </x:c>
      <x:c r="C20" s="180" t="str">
        <x:v>MERCxRuleEvaluation</x:v>
      </x:c>
      <x:c r="D20" s="179" t="str">
        <x:v>原有·待核</x:v>
      </x:c>
      <x:c r="E20" s="180" t="str">
        <x:v>表达或管理规则Evaluation相关的数据及协作职责，具体行为待源码复核〔待核〕</x:v>
      </x:c>
      <x:c r="F20" s="180" t="str">
        <x:v>RuleId, Matched, Actions</x:v>
      </x:c>
      <x:c r="G20" s="180" t="str">
        <x:v>CxRuleEvaluation(string id, bool matched, IEnumerable&lt;CxCommandResult&gt; actions)</x:v>
      </x:c>
      <x:c r="H20" s="180" t="str">
        <x:v>—（待核）</x:v>
      </x:c>
      <x:c r="I20" s="180" t="str">
        <x:v>CxVisual.Core.CxRuleEvaluation</x:v>
      </x:c>
      <x:c r="J20" s="179" t="str">
        <x:v>类</x:v>
      </x:c>
      <x:c r="K20" s="180" t="str">
        <x:v>V1.19 C-0481；原实施方式：原有。迁移风险：表达或管理规则Evaluation相关的数据及协作职责，具体行为待源码复核〔待核〕</x:v>
      </x:c>
      <x:c r="L20" s="183" t="str">
        <x:v>源代码声明·待复核</x:v>
      </x:c>
      <x:c r="M20" s="183" t="str">
        <x:v>C-0481</x:v>
      </x:c>
      <x:c r="N20" s="184" t="str">
        <x:v>Platform/Core/CxActionsRules.cs</x:v>
      </x:c>
      <x:c r="O20" s="183" t="str">
        <x:v>V1.19旧源码类型（真实成员/实现仍待核）
V2.01：来源ID对应；处置=保留源码·公开契约复核
V7.8：V7.8同名且源文件对应；Platform/Core/CxActionsRules.cs</x:v>
      </x:c>
      <x:c r="P20" s="136" t="str">
        <x:v>V1.19旧源码类型（真实成员/实现仍待核）</x:v>
      </x:c>
      <x:c r="Q20"/>
      <x:c r="R20"/>
      <x:c r="S20"/>
    </x:row>
    <x:row r="21" ht="72" customHeight="1">
      <x:c r="A21" s="179" t="str">
        <x:v>M11</x:v>
      </x:c>
      <x:c r="B21" s="180" t="str">
        <x:v>逻辑与行为｜Expression / Rule / Script
Expression Rules</x:v>
      </x:c>
      <x:c r="C21" s="180" t="str">
        <x:v>MERCxScriptDefinition</x:v>
      </x:c>
      <x:c r="D21" s="179" t="str">
        <x:v>原有·待核</x:v>
      </x:c>
      <x:c r="E21" s="180" t="str">
        <x:v>负责Script定义相关的脚本定义与公共契约管理</x:v>
      </x:c>
      <x:c r="F21" s="180" t="str">
        <x:v>Id, Language, Code, Inputs, Outputs, Permissions, CxScriptDefinition</x:v>
      </x:c>
      <x:c r="G21" s="180" t="str">
        <x:v>Validate()</x:v>
      </x:c>
      <x:c r="H21" s="180" t="str">
        <x:v>—（待核）</x:v>
      </x:c>
      <x:c r="I21" s="180" t="str">
        <x:v>CxVisual.Core.CxScriptDefinition</x:v>
      </x:c>
      <x:c r="J21" s="179" t="str">
        <x:v>类</x:v>
      </x:c>
      <x:c r="K21" s="180" t="str">
        <x:v>V1.19 C-0482；原实施方式：原有。迁移风险：负责Script定义相关的脚本定义与公共契约管理</x:v>
      </x:c>
      <x:c r="L21" s="183" t="str">
        <x:v>源代码声明·待复核</x:v>
      </x:c>
      <x:c r="M21" s="183" t="str">
        <x:v>C-0482</x:v>
      </x:c>
      <x:c r="N21" s="184" t="str">
        <x:v>Platform/Core/CxScriptContracts.cs</x:v>
      </x:c>
      <x:c r="O21" s="183" t="str">
        <x:v>V1.19旧源码类型（真实成员/实现仍待核）
V2.01：来源ID对应；处置=保留源码·公开契约复核
V7.8：V7.8同名且源文件对应；Platform/Core/CxScriptContracts.cs</x:v>
      </x:c>
      <x:c r="P21" s="136" t="str">
        <x:v>V1.19旧源码类型（真实成员/实现仍待核）</x:v>
      </x:c>
      <x:c r="Q21"/>
      <x:c r="R21"/>
      <x:c r="S21"/>
    </x:row>
    <x:row r="22" ht="72" customHeight="1">
      <x:c r="A22" s="179" t="str">
        <x:v>M11</x:v>
      </x:c>
      <x:c r="B22" s="180" t="str">
        <x:v>逻辑与行为｜Expression / Rule / Script
Expression Rules</x:v>
      </x:c>
      <x:c r="C22" s="180" t="str">
        <x:v>MERCxScriptSecurityContext</x:v>
      </x:c>
      <x:c r="D22" s="179" t="str">
        <x:v>原有·待核</x:v>
      </x:c>
      <x:c r="E22" s="180" t="str">
        <x:v>负责Script安全上下文相关的脚本安全与公共契约管理</x:v>
      </x:c>
      <x:c r="F22" s="180" t="str">
        <x:v>Session, AllowedApis, Permissions, TimeLimit, MemoryLimit</x:v>
      </x:c>
      <x:c r="G22" s="180" t="str">
        <x:v>CxScriptSecurityContext(CxSecurityContext session, IEnumerable&lt;string&gt; allowedApis, IEnumerable&lt;string&gt; permissions, TimeSpan timeL…), ValidateAccess(string api, IEnumerable&lt;string&gt; requiredPermissions = null)</x:v>
      </x:c>
      <x:c r="H22" s="180" t="str">
        <x:v>—（待核）</x:v>
      </x:c>
      <x:c r="I22" s="180" t="str">
        <x:v>CxVisual.Core.CxScriptSecurityContext</x:v>
      </x:c>
      <x:c r="J22" s="179" t="str">
        <x:v>类</x:v>
      </x:c>
      <x:c r="K22" s="180" t="str">
        <x:v>V1.19 C-0483；原实施方式：原有。迁移风险：负责Script安全上下文相关的脚本安全与公共契约管理</x:v>
      </x:c>
      <x:c r="L22" s="183" t="str">
        <x:v>源代码声明·待复核</x:v>
      </x:c>
      <x:c r="M22" s="183" t="str">
        <x:v>C-0483</x:v>
      </x:c>
      <x:c r="N22" s="184" t="str">
        <x:v>Platform/Core/CxScriptContracts.cs</x:v>
      </x:c>
      <x:c r="O22" s="183" t="str">
        <x:v>V1.19旧源码类型（真实成员/实现仍待核）
V2.01：来源ID对应；处置=保留源码·公开契约复核
V7.8：V7.8同名且源文件对应；Platform/Core/CxScriptContracts.cs</x:v>
      </x:c>
      <x:c r="P22" s="136" t="str">
        <x:v>V1.19旧源码类型（真实成员/实现仍待核）</x:v>
      </x:c>
      <x:c r="Q22"/>
      <x:c r="R22"/>
      <x:c r="S22"/>
    </x:row>
    <x:row r="23" ht="72" customHeight="1">
      <x:c r="A23" s="179" t="str">
        <x:v>M11</x:v>
      </x:c>
      <x:c r="B23" s="180" t="str">
        <x:v>逻辑与行为｜Expression / Rule / Script
Expression Rules</x:v>
      </x:c>
      <x:c r="C23" s="180" t="str">
        <x:v>MEREvaluationValues</x:v>
      </x:c>
      <x:c r="D23" s="179" t="str">
        <x:v>原有·待核</x:v>
      </x:c>
      <x:c r="E23" s="180" t="str">
        <x:v>表达或管理EvaluationValues相关的数据及协作职责，具体行为待源码复核〔待核〕</x:v>
      </x:c>
      <x:c r="F23" s="180" t="str">
        <x:v>this, Count, IsReadOnly</x:v>
      </x:c>
      <x:c r="G23" s="180" t="str">
        <x:v>EvaluationValues(CxExpressionContext context, IReadOnlyList&lt;string&gt; names), HasFunction(string name), InvokeFunction(string name, IReadOnlyList&lt;object&gt; arguments), TryGetValue(string key, out object value), ToArray(), Select(_context.ResolveName), ContainsKey(string key), Contains(KeyValuePair&lt;string, object&gt; item), CopyTo(KeyValuePair&lt;string, object&gt;array, int index), KeyValuePair(x, _context.ResolveName(x); NotSupportedException()</x:v>
      </x:c>
      <x:c r="H23" s="180" t="str">
        <x:v>—（待核）</x:v>
      </x:c>
      <x:c r="I23" s="180" t="str">
        <x:v>CxVisual.Core.CxCompiledExpression.EvaluationValues</x:v>
      </x:c>
      <x:c r="J23" s="179" t="str">
        <x:v>类</x:v>
      </x:c>
      <x:c r="K23" s="180" t="str">
        <x:v>V1.19 C-0472；原实施方式：原有。迁移风险：表达或管理EvaluationValues相关的数据及协作职责，具体行为待源码复核〔待核〕</x:v>
      </x:c>
      <x:c r="L23" s="183" t="str">
        <x:v>源代码声明·待复核</x:v>
      </x:c>
      <x:c r="M23" s="183" t="str">
        <x:v>C-0472</x:v>
      </x:c>
      <x:c r="N23" s="184" t="str">
        <x:v>Platform/Core/CxExpressions.cs</x:v>
      </x:c>
      <x:c r="O23" s="183" t="str">
        <x:v>V1.19旧源码类型（真实成员/实现仍待核）
V2.01：来源ID对应；处置=保留源码·公开契约复核
V7.8：V7.8同名且源文件对应；Platform/Core/CxExpressions.cs</x:v>
      </x:c>
      <x:c r="P23" s="136" t="str">
        <x:v>V1.19旧源码类型（真实成员/实现仍待核）</x:v>
      </x:c>
      <x:c r="Q23"/>
      <x:c r="R23"/>
      <x:c r="S23"/>
    </x:row>
    <x:row r="24" ht="72" customHeight="1">
      <x:c r="A24" s="179" t="str">
        <x:v>M11</x:v>
      </x:c>
      <x:c r="B24" s="180" t="str">
        <x:v>逻辑与行为｜Expression / Rule / Script
Expression Rules</x:v>
      </x:c>
      <x:c r="C24" s="180" t="str">
        <x:v>MERFunctionNode</x:v>
      </x:c>
      <x:c r="D24" s="179" t="str">
        <x:v>原有·待核</x:v>
      </x:c>
      <x:c r="E24" s="180" t="str">
        <x:v>表达或管理Function节点相关的数据及协作职责，具体行为待源码复核〔待核〕</x:v>
      </x:c>
      <x:c r="F24" s="180" t="str">
        <x:v>—（无公开声明或待核对）</x:v>
      </x:c>
      <x:c r="G24" s="180" t="str">
        <x:v>FunctionNode(string name, INodearguments), Evaluate(IDictionary&lt;string, object&gt; variables)</x:v>
      </x:c>
      <x:c r="H24" s="180" t="str">
        <x:v>—（待核）</x:v>
      </x:c>
      <x:c r="I24" s="180" t="str">
        <x:v>CxVisual.Runtime.Core.RestrictedExpression.FunctionNode</x:v>
      </x:c>
      <x:c r="J24" s="179" t="str">
        <x:v>类</x:v>
      </x:c>
      <x:c r="K24" s="180" t="str">
        <x:v>V1.19 C-0496；原实施方式：原有。迁移风险：表达或管理Function节点相关的数据及协作职责，具体行为待源码复核〔待核〕</x:v>
      </x:c>
      <x:c r="L24" s="183" t="str">
        <x:v>源代码声明·待复核</x:v>
      </x:c>
      <x:c r="M24" s="183" t="str">
        <x:v>C-0496</x:v>
      </x:c>
      <x:c r="N24" s="184" t="str">
        <x:v>Platform/Runtime/RestrictedExpression.cs</x:v>
      </x:c>
      <x:c r="O24" s="183" t="str">
        <x:v>V1.19旧源码类型（真实成员/实现仍待核）
V2.01：来源ID对应；处置=保留源码·公开契约复核
V7.8：V7.8同名且源文件对应；Platform/Runtime/RestrictedExpression.cs</x:v>
      </x:c>
      <x:c r="P24" s="136" t="str">
        <x:v>V1.19旧源码类型（真实成员/实现仍待核）</x:v>
      </x:c>
      <x:c r="Q24"/>
      <x:c r="R24"/>
      <x:c r="S24"/>
    </x:row>
    <x:row r="25" ht="72" customHeight="1">
      <x:c r="A25" s="179" t="str">
        <x:v>M11</x:v>
      </x:c>
      <x:c r="B25" s="180" t="str">
        <x:v>逻辑与行为｜Expression / Rule / Script
Expression Rules</x:v>
      </x:c>
      <x:c r="C25" s="180" t="str">
        <x:v>MERParser</x:v>
      </x:c>
      <x:c r="D25" s="179" t="str">
        <x:v>原有·待核</x:v>
      </x:c>
      <x:c r="E25" s="180" t="str">
        <x:v>解析Parser输入内容，生成结构化表达</x:v>
      </x:c>
      <x:c r="F25" s="180" t="str">
        <x:v>VariableNames</x:v>
      </x:c>
      <x:c r="G25" s="180" t="str">
        <x:v>Parser(string text), Parse()</x:v>
      </x:c>
      <x:c r="H25" s="180" t="str">
        <x:v>—（待核）</x:v>
      </x:c>
      <x:c r="I25" s="180" t="str">
        <x:v>CxVisual.Runtime.Core.RestrictedExpression.Parser</x:v>
      </x:c>
      <x:c r="J25" s="179" t="str">
        <x:v>类</x:v>
      </x:c>
      <x:c r="K25" s="180" t="str">
        <x:v>V1.19 C-0498；原实施方式：原有。迁移风险：解析Parser输入内容，生成结构化表达</x:v>
      </x:c>
      <x:c r="L25" s="183" t="str">
        <x:v>源代码声明·待复核</x:v>
      </x:c>
      <x:c r="M25" s="183" t="str">
        <x:v>C-0498</x:v>
      </x:c>
      <x:c r="N25" s="184" t="str">
        <x:v>Platform/Runtime/RestrictedExpression.cs</x:v>
      </x:c>
      <x:c r="O25" s="183" t="str">
        <x:v>V1.19旧源码类型（真实成员/实现仍待核）
V2.01：来源ID对应；处置=保留源码·公开契约复核
V7.8：V7.8同名且源文件对应；Platform/Runtime/RestrictedExpression.cs</x:v>
      </x:c>
      <x:c r="P25" s="136" t="str">
        <x:v>V1.19旧源码类型（真实成员/实现仍待核）</x:v>
      </x:c>
      <x:c r="Q25"/>
      <x:c r="R25"/>
      <x:c r="S25"/>
    </x:row>
    <x:row r="26" ht="72" customHeight="1">
      <x:c r="A26" s="179" t="str">
        <x:v>M11</x:v>
      </x:c>
      <x:c r="B26" s="180" t="str">
        <x:v>逻辑与行为｜Expression / Rule / Script
Expression Rules</x:v>
      </x:c>
      <x:c r="C26" s="180" t="str">
        <x:v>MERRestrictedExpression</x:v>
      </x:c>
      <x:c r="D26" s="179" t="str">
        <x:v>原有·待核</x:v>
      </x:c>
      <x:c r="E26" s="180" t="str">
        <x:v>提供Restricted表达式相关基础操作或类型辅助处理</x:v>
      </x:c>
      <x:c r="F26" s="180" t="str">
        <x:v>—（无公开声明或待核对）</x:v>
      </x:c>
      <x:c r="G26" s="180" t="str">
        <x:v>Compile(string expression), GetVariableNames(string expression)</x:v>
      </x:c>
      <x:c r="H26" s="180" t="str">
        <x:v>—（待核）</x:v>
      </x:c>
      <x:c r="I26" s="180" t="str">
        <x:v>CxVisual.Runtime.Core.RestrictedExpression</x:v>
      </x:c>
      <x:c r="J26" s="179" t="str">
        <x:v>静态类</x:v>
      </x:c>
      <x:c r="K26" s="180" t="str">
        <x:v>V1.19 C-0493；原实施方式：原有。迁移风险：提供Restricted表达式相关基础操作或类型辅助处理</x:v>
      </x:c>
      <x:c r="L26" s="183" t="str">
        <x:v>源代码声明·待复核</x:v>
      </x:c>
      <x:c r="M26" s="183" t="str">
        <x:v>C-0493</x:v>
      </x:c>
      <x:c r="N26" s="184" t="str">
        <x:v>Platform/Runtime/RestrictedExpression.cs</x:v>
      </x:c>
      <x:c r="O26" s="183" t="str">
        <x:v>V1.19旧源码类型（真实成员/实现仍待核）
V2.01：来源ID对应；处置=保留源码·公开契约复核
V7.8：V7.8同名且源文件对应；Platform/Runtime/RestrictedExpression.cs</x:v>
      </x:c>
      <x:c r="P26" s="136" t="str">
        <x:v>V1.19旧源码类型（真实成员/实现仍待核）</x:v>
      </x:c>
      <x:c r="Q26"/>
      <x:c r="R26"/>
      <x:c r="S26"/>
    </x:row>
    <x:row r="27" ht="72" customHeight="1">
      <x:c r="A27" s="179" t="str">
        <x:v>M11</x:v>
      </x:c>
      <x:c r="B27" s="180" t="str">
        <x:v>逻辑与行为｜Expression / Rule / Script
Expression Rules</x:v>
      </x:c>
      <x:c r="C27" s="180" t="str">
        <x:v>MERRoslynScriptEngine</x:v>
      </x:c>
      <x:c r="D27" s="179" t="str">
        <x:v>原有·待核</x:v>
      </x:c>
      <x:c r="E27" s="180" t="str">
        <x:v>表达或管理RoslynScriptEngine相关的数据及协作职责，具体行为待源码复核〔待核〕</x:v>
      </x:c>
      <x:c r="F27" s="180" t="str">
        <x:v>AllowExecution, DefaultTimeoutMilliseconds, Policy</x:v>
      </x:c>
      <x:c r="G27" s="180" t="str">
        <x:v>RoslynScriptEngine(), IsRoslynAvailable(), ExecuteAsync(string code, ScriptGlobals globals, CancellationToken cancellationToken, int? timeoutMilliseconds = null)</x:v>
      </x:c>
      <x:c r="H27" s="180" t="str">
        <x:v>—（待核）</x:v>
      </x:c>
      <x:c r="I27" s="180" t="str">
        <x:v>CxVisual.Runtime.Script.RoslynScriptEngine</x:v>
      </x:c>
      <x:c r="J27" s="179" t="str">
        <x:v>类</x:v>
      </x:c>
      <x:c r="K27" s="180" t="str">
        <x:v>V1.19 C-0505；原实施方式：原有。迁移风险：表达或管理RoslynScriptEngine相关的数据及协作职责，具体行为待源码复核〔待核〕</x:v>
      </x:c>
      <x:c r="L27" s="183" t="str">
        <x:v>源代码声明·待复核</x:v>
      </x:c>
      <x:c r="M27" s="183" t="str">
        <x:v>C-0505</x:v>
      </x:c>
      <x:c r="N27" s="184" t="str">
        <x:v>Platform/Runtime/Script/RoslynScriptEngine.cs</x:v>
      </x:c>
      <x:c r="O27" s="183" t="str">
        <x:v>V1.19旧源码类型（真实成员/实现仍待核）
V2.01：来源ID对应；处置=保留源码·公开契约复核
V7.8：V7.8同名且源文件对应；Platform/Runtime/Script/RoslynScriptEngine.cs</x:v>
      </x:c>
      <x:c r="P27" s="136" t="str">
        <x:v>V1.19旧源码类型（真实成员/实现仍待核）</x:v>
      </x:c>
      <x:c r="Q27"/>
      <x:c r="R27"/>
      <x:c r="S27"/>
    </x:row>
    <x:row r="28" ht="72" customHeight="1">
      <x:c r="A28" s="179" t="str">
        <x:v>M11</x:v>
      </x:c>
      <x:c r="B28" s="180" t="str">
        <x:v>逻辑与行为｜Expression / Rule / Script
Expression Rules</x:v>
      </x:c>
      <x:c r="C28" s="180" t="str">
        <x:v>MERScriptExecutionResult</x:v>
      </x:c>
      <x:c r="D28" s="179" t="str">
        <x:v>原有·待核</x:v>
      </x:c>
      <x:c r="E28" s="180" t="str">
        <x:v>承载Script执行结果操作结果、返回值、状态及错误说明</x:v>
      </x:c>
      <x:c r="F28" s="180" t="str">
        <x:v>Success, ReturnValue, Error, Elapsed</x:v>
      </x:c>
      <x:c r="G28" s="180" t="str">
        <x:v>—(无公开声明或待核对)</x:v>
      </x:c>
      <x:c r="H28" s="180" t="str">
        <x:v>—（待核）</x:v>
      </x:c>
      <x:c r="I28" s="180" t="str">
        <x:v>CxVisual.Runtime.Script.ScriptExecutionResult</x:v>
      </x:c>
      <x:c r="J28" s="179" t="str">
        <x:v>类</x:v>
      </x:c>
      <x:c r="K28" s="180" t="str">
        <x:v>V1.19 C-0506；原实施方式：原有。迁移风险：承载Script执行结果操作结果、返回值、状态及错误说明</x:v>
      </x:c>
      <x:c r="L28" s="183" t="str">
        <x:v>源代码声明·待复核</x:v>
      </x:c>
      <x:c r="M28" s="183" t="str">
        <x:v>C-0506</x:v>
      </x:c>
      <x:c r="N28" s="184" t="str">
        <x:v>Platform/Runtime/Script/RoslynScriptEngine.cs</x:v>
      </x:c>
      <x:c r="O28" s="183" t="str">
        <x:v>V1.19旧源码类型（真实成员/实现仍待核）
V2.01：来源ID对应；处置=保留源码·公开契约复核
V7.8：V7.8同名且源文件对应；Platform/Runtime/Script/RoslynScriptEngine.cs</x:v>
      </x:c>
      <x:c r="P28" s="136" t="str">
        <x:v>V1.19旧源码类型（真实成员/实现仍待核）</x:v>
      </x:c>
      <x:c r="Q28"/>
      <x:c r="R28"/>
      <x:c r="S28"/>
    </x:row>
    <x:row r="29" ht="135" customHeight="1">
      <x:c r="A29" s="179" t="str">
        <x:v>M11</x:v>
      </x:c>
      <x:c r="B29" s="180" t="str">
        <x:v>逻辑与行为｜Expression / Rule / Script
Expression Rules</x:v>
      </x:c>
      <x:c r="C29" s="180" t="str">
        <x:v>MERScriptGlobals</x:v>
      </x:c>
      <x:c r="D29" s="179" t="str">
        <x:v>原有·待核</x:v>
      </x:c>
      <x:c r="E29" s="180" t="str">
        <x:v>表达或管理ScriptGlobals相关的数据及协作职责，具体行为待源码复核〔待核〕</x:v>
      </x:c>
      <x:c r="F29" s="180" t="str">
        <x:v>ProjectId, ProjectName, CurrentElementId, CurrentSymbolInstanceId</x:v>
      </x:c>
      <x:c r="G29" s="180" t="str">
        <x:v>ScriptGlobals(ProjectModel project, RuntimePropertyStore properties, RuntimeObjectRegistry objects, Func&lt;string, Cancella…); Find(string reference); FindSymbolPart(string roleOrAlias); Get(string runtimeAddress, string propertyKey); Get(ScriptObjectHandle handle, string propertyKey); Set(string runtimeAddress, string propertyKey, object value, string sourceKey =); Set(ScriptObjectHandle handle, string propertyKey, object value, string sourceKey =); InvokeActionAsync(string actionKey, CancellationToken cancellationToken)</x:v>
      </x:c>
      <x:c r="H29" s="180" t="str">
        <x:v>—（待核）</x:v>
      </x:c>
      <x:c r="I29" s="180" t="str">
        <x:v>CxVisual.Runtime.Script.ScriptGlobals</x:v>
      </x:c>
      <x:c r="J29" s="179" t="str">
        <x:v>类</x:v>
      </x:c>
      <x:c r="K29" s="180" t="str">
        <x:v>V1.19 C-0507；原实施方式：原有。迁移风险：表达或管理ScriptGlobals相关的数据及协作职责，具体行为待源码复核〔待核〕</x:v>
      </x:c>
      <x:c r="L29" s="183" t="str">
        <x:v>源代码声明·待复核</x:v>
      </x:c>
      <x:c r="M29" s="183" t="str">
        <x:v>C-0507</x:v>
      </x:c>
      <x:c r="N29" s="184" t="str">
        <x:v>Platform/Runtime/Script/RoslynScriptEngine.cs</x:v>
      </x:c>
      <x:c r="O29" s="183" t="str">
        <x:v>V1.19旧源码类型（真实成员/实现仍待核）
V2.01：来源ID对应；处置=保留源码·公开契约复核
V7.8：V7.8同名且源文件对应；Platform/Runtime/Script/RoslynScriptEngine.cs</x:v>
      </x:c>
      <x:c r="P29" s="136" t="str">
        <x:v>V1.19旧源码类型（真实成员/实现仍待核）</x:v>
      </x:c>
      <x:c r="Q29"/>
      <x:c r="R29"/>
      <x:c r="S29"/>
    </x:row>
    <x:row r="30" ht="72" customHeight="1">
      <x:c r="A30" s="179" t="str">
        <x:v>M11</x:v>
      </x:c>
      <x:c r="B30" s="180" t="str">
        <x:v>逻辑与行为｜Expression / Rule / Script
Expression Rules</x:v>
      </x:c>
      <x:c r="C30" s="180" t="str">
        <x:v>MERScriptObjectHandle</x:v>
      </x:c>
      <x:c r="D30" s="179" t="str">
        <x:v>原有·待核</x:v>
      </x:c>
      <x:c r="E30" s="180" t="str">
        <x:v>表达或管理ScriptObjectHandle相关的数据及协作职责，具体行为待源码复核〔待核〕</x:v>
      </x:c>
      <x:c r="F30" s="180" t="str">
        <x:v>RuntimeAddress, ElementId, TypeId, Name, Alias, Roles, IsSymbolChild, SymbolInstanceId</x:v>
      </x:c>
      <x:c r="G30" s="180" t="str">
        <x:v>—(无公开声明或待核对)</x:v>
      </x:c>
      <x:c r="H30" s="180" t="str">
        <x:v>—（待核）</x:v>
      </x:c>
      <x:c r="I30" s="180" t="str">
        <x:v>CxVisual.Runtime.Script.ScriptObjectHandle</x:v>
      </x:c>
      <x:c r="J30" s="179" t="str">
        <x:v>类</x:v>
      </x:c>
      <x:c r="K30" s="180" t="str">
        <x:v>V1.19 C-0508；原实施方式：原有。迁移风险：表达或管理ScriptObjectHandle相关的数据及协作职责，具体行为待源码复核〔待核〕</x:v>
      </x:c>
      <x:c r="L30" s="183" t="str">
        <x:v>源代码声明·待复核</x:v>
      </x:c>
      <x:c r="M30" s="183" t="str">
        <x:v>C-0508</x:v>
      </x:c>
      <x:c r="N30" s="184" t="str">
        <x:v>Platform/Runtime/Script/RoslynScriptEngine.cs</x:v>
      </x:c>
      <x:c r="O30" s="183" t="str">
        <x:v>V1.19旧源码类型（真实成员/实现仍待核）
V2.01：来源ID对应；处置=保留源码·公开契约复核
V7.8：V7.8同名且源文件对应；Platform/Runtime/Script/RoslynScriptEngine.cs</x:v>
      </x:c>
      <x:c r="P30" s="136" t="str">
        <x:v>V1.19旧源码类型（真实成员/实现仍待核）</x:v>
      </x:c>
      <x:c r="Q30"/>
      <x:c r="R30"/>
      <x:c r="S30"/>
    </x:row>
    <x:row r="31" ht="72" customHeight="1">
      <x:c r="A31" s="179" t="str">
        <x:v>M11</x:v>
      </x:c>
      <x:c r="B31" s="180" t="str">
        <x:v>逻辑与行为｜Expression / Rule / Script
Expression Rules</x:v>
      </x:c>
      <x:c r="C31" s="180" t="str">
        <x:v>MERScriptReferenceModel</x:v>
      </x:c>
      <x:c r="D31" s="179" t="str">
        <x:v>原有·待核</x:v>
      </x:c>
      <x:c r="E31" s="180" t="str">
        <x:v>表达Script引用模型相关的数据结构、配置及状态视图</x:v>
      </x:c>
      <x:c r="F31" s="180" t="str">
        <x:v>Id, EventKey, ScriptId, IsEnabled</x:v>
      </x:c>
      <x:c r="G31" s="180" t="str">
        <x:v>ScriptReferenceModel(), Clone(bool preserveId)</x:v>
      </x:c>
      <x:c r="H31" s="180" t="str">
        <x:v>—（待核）</x:v>
      </x:c>
      <x:c r="I31" s="180" t="str">
        <x:v>CxVisual.Core.ScriptReferenceModel</x:v>
      </x:c>
      <x:c r="J31" s="179" t="str">
        <x:v>类</x:v>
      </x:c>
      <x:c r="K31" s="180" t="str">
        <x:v>V1.19 C-0485；原实施方式：原有。迁移风险：表达Script引用模型相关的数据结构、配置及状态视图</x:v>
      </x:c>
      <x:c r="L31" s="183" t="str">
        <x:v>源代码声明·待复核</x:v>
      </x:c>
      <x:c r="M31" s="183" t="str">
        <x:v>C-0485</x:v>
      </x:c>
      <x:c r="N31" s="184" t="str">
        <x:v>Platform/Core/StateRules.cs</x:v>
      </x:c>
      <x:c r="O31" s="183" t="str">
        <x:v>V1.19旧源码类型（真实成员/实现仍待核）
V2.01：来源ID对应；处置=保留源码·公开契约复核
V7.8：V7.8同名且源文件对应；Platform/Core/StateRules.cs</x:v>
      </x:c>
      <x:c r="P31" s="136" t="str">
        <x:v>V1.19旧源码类型（真实成员/实现仍待核）</x:v>
      </x:c>
      <x:c r="Q31"/>
      <x:c r="R31"/>
      <x:c r="S31"/>
    </x:row>
    <x:row r="32" ht="72" customHeight="1">
      <x:c r="A32" s="179" t="str">
        <x:v>M11</x:v>
      </x:c>
      <x:c r="B32" s="180" t="str">
        <x:v>逻辑与行为｜Expression / Rule / Script
Expression Rules</x:v>
      </x:c>
      <x:c r="C32" s="180" t="str">
        <x:v>MERStateConditionMatchModes</x:v>
      </x:c>
      <x:c r="D32" s="179" t="str">
        <x:v>原有·待核</x:v>
      </x:c>
      <x:c r="E32" s="180" t="str">
        <x:v>提供状态ConditionMatchModes相关基础操作或类型辅助处理</x:v>
      </x:c>
      <x:c r="F32" s="180" t="str">
        <x:v>All, Any</x:v>
      </x:c>
      <x:c r="G32" s="180" t="str">
        <x:v>—(无公开声明或待核对)</x:v>
      </x:c>
      <x:c r="H32" s="180" t="str">
        <x:v>—（待核）</x:v>
      </x:c>
      <x:c r="I32" s="180" t="str">
        <x:v>CxVisual.Core.StateConditionMatchModes</x:v>
      </x:c>
      <x:c r="J32" s="179" t="str">
        <x:v>静态类</x:v>
      </x:c>
      <x:c r="K32" s="180" t="str">
        <x:v>V1.19 C-0486；原实施方式：原有。迁移风险：提供状态ConditionMatchModes相关基础操作或类型辅助处理</x:v>
      </x:c>
      <x:c r="L32" s="183" t="str">
        <x:v>源代码声明·待复核</x:v>
      </x:c>
      <x:c r="M32" s="183" t="str">
        <x:v>C-0486</x:v>
      </x:c>
      <x:c r="N32" s="184" t="str">
        <x:v>Platform/Core/StateRules.cs</x:v>
      </x:c>
      <x:c r="O32" s="183" t="str">
        <x:v>V1.19旧源码类型（真实成员/实现仍待核）
V2.01：来源ID对应；处置=保留源码·公开契约复核
V7.8：V7.8同名且源文件对应；Platform/Core/StateRules.cs</x:v>
      </x:c>
      <x:c r="P32" s="136" t="str">
        <x:v>V1.19旧源码类型（真实成员/实现仍待核）</x:v>
      </x:c>
      <x:c r="Q32"/>
      <x:c r="R32"/>
      <x:c r="S32"/>
    </x:row>
    <x:row r="33" ht="72" customHeight="1">
      <x:c r="A33" s="179" t="str">
        <x:v>M11</x:v>
      </x:c>
      <x:c r="B33" s="180" t="str">
        <x:v>逻辑与行为｜Expression / Rule / Script
Expression Rules</x:v>
      </x:c>
      <x:c r="C33" s="180" t="str">
        <x:v>MERStateConditionModel</x:v>
      </x:c>
      <x:c r="D33" s="179" t="str">
        <x:v>原有·待核</x:v>
      </x:c>
      <x:c r="E33" s="180" t="str">
        <x:v>表达状态Condition模型相关的数据结构、配置及状态视图</x:v>
      </x:c>
      <x:c r="F33" s="180" t="str">
        <x:v>VariableId, Expression, Operator, CompareValue</x:v>
      </x:c>
      <x:c r="G33" s="180" t="str">
        <x:v>Clone()</x:v>
      </x:c>
      <x:c r="H33" s="180" t="str">
        <x:v>—（待核）</x:v>
      </x:c>
      <x:c r="I33" s="180" t="str">
        <x:v>CxVisual.Core.StateConditionModel</x:v>
      </x:c>
      <x:c r="J33" s="179" t="str">
        <x:v>类</x:v>
      </x:c>
      <x:c r="K33" s="180" t="str">
        <x:v>V1.19 C-0487；原实施方式：原有。迁移风险：表达状态Condition模型相关的数据结构、配置及状态视图</x:v>
      </x:c>
      <x:c r="L33" s="183" t="str">
        <x:v>源代码声明·待复核</x:v>
      </x:c>
      <x:c r="M33" s="183" t="str">
        <x:v>C-0487</x:v>
      </x:c>
      <x:c r="N33" s="184" t="str">
        <x:v>Platform/Core/StateRules.cs</x:v>
      </x:c>
      <x:c r="O33" s="183" t="str">
        <x:v>V1.19旧源码类型（真实成员/实现仍待核）
V2.01：来源ID对应；处置=保留源码·公开契约复核
V7.8：V7.8同名且源文件对应；Platform/Core/StateRules.cs</x:v>
      </x:c>
      <x:c r="P33" s="136" t="str">
        <x:v>V1.19旧源码类型（真实成员/实现仍待核）</x:v>
      </x:c>
      <x:c r="Q33"/>
      <x:c r="R33"/>
      <x:c r="S33"/>
    </x:row>
    <x:row r="34" ht="72" customHeight="1">
      <x:c r="A34" s="179" t="str">
        <x:v>M11</x:v>
      </x:c>
      <x:c r="B34" s="180" t="str">
        <x:v>逻辑与行为｜Expression / Rule / Script
Expression Rules</x:v>
      </x:c>
      <x:c r="C34" s="180" t="str">
        <x:v>MERStateConditionOperators</x:v>
      </x:c>
      <x:c r="D34" s="179" t="str">
        <x:v>原有·待核</x:v>
      </x:c>
      <x:c r="E34" s="180" t="str">
        <x:v>提供状态ConditionOperators相关基础操作或类型辅助处理</x:v>
      </x:c>
      <x:c r="F34" s="180" t="str">
        <x:v>Equal, NotEquals, GreaterThan, GreaterThanOrEqual, LessThan, LessThanOrEqual, True, False</x:v>
      </x:c>
      <x:c r="G34" s="180" t="str">
        <x:v>—(无公开声明或待核对)</x:v>
      </x:c>
      <x:c r="H34" s="180" t="str">
        <x:v>—（待核）</x:v>
      </x:c>
      <x:c r="I34" s="180" t="str">
        <x:v>CxVisual.Core.StateConditionOperators</x:v>
      </x:c>
      <x:c r="J34" s="179" t="str">
        <x:v>静态类</x:v>
      </x:c>
      <x:c r="K34" s="180" t="str">
        <x:v>V1.19 C-0488；原实施方式：原有。迁移风险：提供状态ConditionOperators相关基础操作或类型辅助处理</x:v>
      </x:c>
      <x:c r="L34" s="183" t="str">
        <x:v>源代码声明·待复核</x:v>
      </x:c>
      <x:c r="M34" s="183" t="str">
        <x:v>C-0488</x:v>
      </x:c>
      <x:c r="N34" s="184" t="str">
        <x:v>Platform/Core/StateRules.cs</x:v>
      </x:c>
      <x:c r="O34" s="183" t="str">
        <x:v>V1.19旧源码类型（真实成员/实现仍待核）
V2.01：来源ID对应；处置=保留源码·公开契约复核
V7.8：V7.8同名且源文件对应；Platform/Core/StateRules.cs</x:v>
      </x:c>
      <x:c r="P34" s="136" t="str">
        <x:v>V1.19旧源码类型（真实成员/实现仍待核）</x:v>
      </x:c>
      <x:c r="Q34"/>
      <x:c r="R34"/>
      <x:c r="S34"/>
    </x:row>
    <x:row r="35" ht="72" customHeight="1">
      <x:c r="A35" s="179" t="str">
        <x:v>M11</x:v>
      </x:c>
      <x:c r="B35" s="180" t="str">
        <x:v>逻辑与行为｜Expression / Rule / Script
Expression Rules</x:v>
      </x:c>
      <x:c r="C35" s="180" t="str">
        <x:v>MERStatePropertyOverrideModel</x:v>
      </x:c>
      <x:c r="D35" s="179" t="str">
        <x:v>原有·待核</x:v>
      </x:c>
      <x:c r="E35" s="180" t="str">
        <x:v>表达状态属性Override模型相关的数据结构、配置及状态视图</x:v>
      </x:c>
      <x:c r="F35" s="180" t="str">
        <x:v>PropertyKey, Value</x:v>
      </x:c>
      <x:c r="G35" s="180" t="str">
        <x:v>Clone()</x:v>
      </x:c>
      <x:c r="H35" s="180" t="str">
        <x:v>—（待核）</x:v>
      </x:c>
      <x:c r="I35" s="180" t="str">
        <x:v>CxVisual.Core.StatePropertyOverrideModel</x:v>
      </x:c>
      <x:c r="J35" s="179" t="str">
        <x:v>类</x:v>
      </x:c>
      <x:c r="K35" s="180" t="str">
        <x:v>V1.19 C-0489；原实施方式：原有。迁移风险：表达状态属性Override模型相关的数据结构、配置及状态视图</x:v>
      </x:c>
      <x:c r="L35" s="183" t="str">
        <x:v>源代码声明·待复核</x:v>
      </x:c>
      <x:c r="M35" s="183" t="str">
        <x:v>C-0489</x:v>
      </x:c>
      <x:c r="N35" s="184" t="str">
        <x:v>Platform/Core/StateRules.cs</x:v>
      </x:c>
      <x:c r="O35" s="183" t="str">
        <x:v>V1.19旧源码类型（真实成员/实现仍待核）
V2.01：来源ID对应；处置=保留源码·公开契约复核
V7.8：V7.8同名且源文件对应；Platform/Core/StateRules.cs</x:v>
      </x:c>
      <x:c r="P35" s="136" t="str">
        <x:v>V1.19旧源码类型（真实成员/实现仍待核）</x:v>
      </x:c>
      <x:c r="Q35"/>
      <x:c r="R35"/>
      <x:c r="S35"/>
    </x:row>
    <x:row r="36" ht="72" customHeight="1">
      <x:c r="A36" s="179" t="str">
        <x:v>M11</x:v>
      </x:c>
      <x:c r="B36" s="180" t="str">
        <x:v>逻辑与行为｜Expression / Rule / Script
Expression Rules</x:v>
      </x:c>
      <x:c r="C36" s="180" t="str">
        <x:v>MERStateRuleEditorWindow</x:v>
      </x:c>
      <x:c r="D36" s="179" t="str">
        <x:v>原有·待核</x:v>
      </x:c>
      <x:c r="E36" s="180" t="str">
        <x:v>表达或管理状态规则编辑器窗口相关的数据及协作职责，具体行为待源码复核〔待核〕</x:v>
      </x:c>
      <x:c r="F36" s="180" t="str">
        <x:v>WorkingCopy</x:v>
      </x:c>
      <x:c r="G36" s="180" t="str">
        <x:v>StateRuleEditorWindow(StateRuleModel source)</x:v>
      </x:c>
      <x:c r="H36" s="180" t="str">
        <x:v>—（待核）</x:v>
      </x:c>
      <x:c r="I36" s="180" t="str">
        <x:v>CxVisual.Designer.Wpf.StateRuleEditorWindow</x:v>
      </x:c>
      <x:c r="J36" s="179" t="str">
        <x:v>类</x:v>
      </x:c>
      <x:c r="K36" s="180" t="str">
        <x:v>V1.19 C-0491；原实施方式：原有。迁移风险：表达或管理状态规则编辑器窗口相关的数据及协作职责，具体行为待源码复核〔待核〕</x:v>
      </x:c>
      <x:c r="L36" s="183" t="str">
        <x:v>源代码声明·待复核</x:v>
      </x:c>
      <x:c r="M36" s="183" t="str">
        <x:v>C-0491</x:v>
      </x:c>
      <x:c r="N36" s="184" t="str">
        <x:v>Host/Studio/Wpf/M5ClosureEditors.cs</x:v>
      </x:c>
      <x:c r="O36" s="183" t="str">
        <x:v>V1.19旧源码类型（真实成员/实现仍待核）
V2.01：来源ID对应；处置=保留源码·公开契约复核
V7.8：V7.8同名且源文件对应；Host/Studio/Wpf/M5ClosureEditors.cs</x:v>
      </x:c>
      <x:c r="P36" s="136" t="str">
        <x:v>V1.19旧源码类型（真实成员/实现仍待核）</x:v>
      </x:c>
      <x:c r="Q36"/>
      <x:c r="R36"/>
      <x:c r="S36"/>
    </x:row>
    <x:row r="37" ht="72" customHeight="1">
      <x:c r="A37" s="179" t="str">
        <x:v>M11</x:v>
      </x:c>
      <x:c r="B37" s="180" t="str">
        <x:v>逻辑与行为｜Expression / Rule / Script
Expression Rules</x:v>
      </x:c>
      <x:c r="C37" s="180" t="str">
        <x:v>MERStateRuleModel</x:v>
      </x:c>
      <x:c r="D37" s="179" t="str">
        <x:v>原有·待核</x:v>
      </x:c>
      <x:c r="E37" s="180" t="str">
        <x:v>表达状态规则模型相关的数据结构、配置及状态视图</x:v>
      </x:c>
      <x:c r="F37" s="180" t="str">
        <x:v>Id, Name, IsEnabled, Priority, MatchMode, Condition, Conditions, Overrides</x:v>
      </x:c>
      <x:c r="G37" s="180" t="str">
        <x:v>StateRuleModel(), GetEffectiveConditions(), Clone(bool preserveId)</x:v>
      </x:c>
      <x:c r="H37" s="180" t="str">
        <x:v>—（待核）</x:v>
      </x:c>
      <x:c r="I37" s="180" t="str">
        <x:v>CxVisual.Core.StateRuleModel</x:v>
      </x:c>
      <x:c r="J37" s="179" t="str">
        <x:v>类</x:v>
      </x:c>
      <x:c r="K37" s="180" t="str">
        <x:v>V1.19 C-0490；原实施方式：原有。迁移风险：表达状态规则模型相关的数据结构、配置及状态视图</x:v>
      </x:c>
      <x:c r="L37" s="183" t="str">
        <x:v>源代码声明·待复核</x:v>
      </x:c>
      <x:c r="M37" s="183" t="str">
        <x:v>C-0490</x:v>
      </x:c>
      <x:c r="N37" s="184" t="str">
        <x:v>Platform/Core/StateRules.cs</x:v>
      </x:c>
      <x:c r="O37" s="183" t="str">
        <x:v>V1.19旧源码类型（真实成员/实现仍待核）
V2.01：来源ID对应；处置=保留源码·公开契约复核
V7.8：V7.8同名且源文件对应；Platform/Core/StateRules.cs</x:v>
      </x:c>
      <x:c r="P37" s="136" t="str">
        <x:v>V1.19旧源码类型（真实成员/实现仍待核）</x:v>
      </x:c>
      <x:c r="Q37"/>
      <x:c r="R37"/>
      <x:c r="S37"/>
    </x:row>
    <x:row r="38" ht="72" customHeight="1">
      <x:c r="A38" s="179" t="str">
        <x:v>M11</x:v>
      </x:c>
      <x:c r="B38" s="180" t="str">
        <x:v>逻辑与行为｜Expression / Rule / Script
Expression Rules</x:v>
      </x:c>
      <x:c r="C38" s="180" t="str">
        <x:v>MERStateRuntimeEngine</x:v>
      </x:c>
      <x:c r="D38" s="179" t="str">
        <x:v>原有·待核</x:v>
      </x:c>
      <x:c r="E38" s="180" t="str">
        <x:v>表达或管理状态运行时Engine相关的数据及协作职责，具体行为待源码复核〔待核〕</x:v>
      </x:c>
      <x:c r="F38" s="180" t="str">
        <x:v>—（无公开声明或待核对）</x:v>
      </x:c>
      <x:c r="G38" s="180" t="str">
        <x:v>StateRuntimeEngine(IVariableProvider provider, RuntimePropertyStore store), Start(ProjectModel project), Stop(), Dispose()</x:v>
      </x:c>
      <x:c r="H38" s="180" t="str">
        <x:v>—（待核）</x:v>
      </x:c>
      <x:c r="I38" s="180" t="str">
        <x:v>CxVisual.Runtime.Core.StateRuntimeEngine</x:v>
      </x:c>
      <x:c r="J38" s="179" t="str">
        <x:v>类</x:v>
      </x:c>
      <x:c r="K38" s="180" t="str">
        <x:v>V1.19 C-0503；原实施方式：原有。迁移风险：表达或管理状态运行时Engine相关的数据及协作职责，具体行为待源码复核〔待核〕</x:v>
      </x:c>
      <x:c r="L38" s="183" t="str">
        <x:v>源代码声明·待复核</x:v>
      </x:c>
      <x:c r="M38" s="183" t="str">
        <x:v>C-0503</x:v>
      </x:c>
      <x:c r="N38" s="184" t="str">
        <x:v>Platform/Runtime/StateRuntime.cs</x:v>
      </x:c>
      <x:c r="O38" s="183" t="str">
        <x:v>V1.19旧源码类型（真实成员/实现仍待核）
V2.01：来源ID对应；处置=保留源码·公开契约复核
V7.8：V7.8同名且源文件对应；Platform/Runtime/StateRuntime.cs</x:v>
      </x:c>
      <x:c r="P38" s="136" t="str">
        <x:v>V1.19旧源码类型（真实成员/实现仍待核）</x:v>
      </x:c>
      <x:c r="Q38"/>
      <x:c r="R38"/>
      <x:c r="S38"/>
    </x:row>
    <x:row r="39" ht="72" customHeight="1">
      <x:c r="A39" s="179" t="str">
        <x:v>M11</x:v>
      </x:c>
      <x:c r="B39" s="180" t="str">
        <x:v>逻辑与行为｜Expression / Rule / Script
Expression Rules</x:v>
      </x:c>
      <x:c r="C39" s="180" t="str">
        <x:v>MERStateTarget</x:v>
      </x:c>
      <x:c r="D39" s="179" t="str">
        <x:v>原有·待核</x:v>
      </x:c>
      <x:c r="E39" s="180" t="str">
        <x:v>表达或管理状态Target相关的数据及协作职责，具体行为待源码复核〔待核〕</x:v>
      </x:c>
      <x:c r="F39" s="180" t="str">
        <x:v>Element, RuntimeElementId, Rules</x:v>
      </x:c>
      <x:c r="G39" s="180" t="str">
        <x:v>—(无公开声明或待核对)</x:v>
      </x:c>
      <x:c r="H39" s="180" t="str">
        <x:v>—（待核）</x:v>
      </x:c>
      <x:c r="I39" s="180" t="str">
        <x:v>CxVisual.Runtime.Core.StateTarget</x:v>
      </x:c>
      <x:c r="J39" s="179" t="str">
        <x:v>类</x:v>
      </x:c>
      <x:c r="K39" s="180" t="str">
        <x:v>V1.19 C-0504；原实施方式：原有。迁移风险：表达或管理状态Target相关的数据及协作职责，具体行为待源码复核〔待核〕</x:v>
      </x:c>
      <x:c r="L39" s="183" t="str">
        <x:v>源代码声明·待复核</x:v>
      </x:c>
      <x:c r="M39" s="183" t="str">
        <x:v>C-0504</x:v>
      </x:c>
      <x:c r="N39" s="184" t="str">
        <x:v>Platform/Runtime/StateRuntime.cs</x:v>
      </x:c>
      <x:c r="O39" s="183" t="str">
        <x:v>V1.19旧源码类型（真实成员/实现仍待核）
V2.01：来源ID对应；处置=保留源码·公开契约复核
V7.8：V7.8同名且源文件对应；Platform/Runtime/StateRuntime.cs</x:v>
      </x:c>
      <x:c r="P39" s="136" t="str">
        <x:v>V1.19旧源码类型（真实成员/实现仍待核）</x:v>
      </x:c>
      <x:c r="Q39"/>
      <x:c r="R39"/>
      <x:c r="S39"/>
    </x:row>
    <x:row r="40" ht="72" customHeight="1">
      <x:c r="A40" s="179" t="str">
        <x:v>M11</x:v>
      </x:c>
      <x:c r="B40" s="180" t="str">
        <x:v>逻辑与行为｜Expression / Rule / Script
Expression Rules</x:v>
      </x:c>
      <x:c r="C40" s="180" t="str">
        <x:v>MERToken</x:v>
      </x:c>
      <x:c r="D40" s="179" t="str">
        <x:v>原有·待核</x:v>
      </x:c>
      <x:c r="E40" s="180" t="str">
        <x:v>表达或管理Token相关的数据及协作职责，具体行为待源码复核〔待核〕</x:v>
      </x:c>
      <x:c r="F40" s="180" t="str">
        <x:v>—（无公开声明或待核对）</x:v>
      </x:c>
      <x:c r="G40" s="180" t="str">
        <x:v>—(无公开声明或待核对)</x:v>
      </x:c>
      <x:c r="H40" s="180" t="str">
        <x:v>—（待核）</x:v>
      </x:c>
      <x:c r="I40" s="180" t="str">
        <x:v>CxVisual.Runtime.Core.RestrictedExpression.Token</x:v>
      </x:c>
      <x:c r="J40" s="179" t="str">
        <x:v>类</x:v>
      </x:c>
      <x:c r="K40" s="180" t="str">
        <x:v>V1.19 C-0499；原实施方式：原有。迁移风险：表达或管理Token相关的数据及协作职责，具体行为待源码复核〔待核〕</x:v>
      </x:c>
      <x:c r="L40" s="183" t="str">
        <x:v>源代码声明·待复核</x:v>
      </x:c>
      <x:c r="M40" s="183" t="str">
        <x:v>C-0499</x:v>
      </x:c>
      <x:c r="N40" s="184" t="str">
        <x:v>Platform/Runtime/RestrictedExpression.cs</x:v>
      </x:c>
      <x:c r="O40" s="183" t="str">
        <x:v>V1.19旧源码类型（真实成员/实现仍待核）
V2.01：来源ID对应；处置=保留源码·公开契约复核
V7.8：V7.8同名且源文件对应；Platform/Runtime/RestrictedExpression.cs</x:v>
      </x:c>
      <x:c r="P40" s="136" t="str">
        <x:v>V1.19旧源码类型（真实成员/实现仍待核）</x:v>
      </x:c>
      <x:c r="Q40"/>
      <x:c r="R40"/>
      <x:c r="S40"/>
    </x:row>
    <x:row r="41" ht="72" customHeight="1">
      <x:c r="A41" s="179" t="str">
        <x:v>M11</x:v>
      </x:c>
      <x:c r="B41" s="180" t="str">
        <x:v>逻辑与行为｜Expression / Rule / Script
Expression Rules</x:v>
      </x:c>
      <x:c r="C41" s="180" t="str">
        <x:v>MERTokenKind</x:v>
      </x:c>
      <x:c r="D41" s="179" t="str">
        <x:v>原有·待核</x:v>
      </x:c>
      <x:c r="E41" s="180" t="str">
        <x:v>定义TokenKind的候选取值、状态或模式，供相关流程作分支判断</x:v>
      </x:c>
      <x:c r="F41" s="180" t="str">
        <x:v>枚举值：End, Number, String, Identifier, Operator, LeftParenthesis, RightParenthesis, Comma</x:v>
      </x:c>
      <x:c r="G41" s="180" t="str">
        <x:v>—(无公开声明或待核对)</x:v>
      </x:c>
      <x:c r="H41" s="180" t="str">
        <x:v>—（待核）</x:v>
      </x:c>
      <x:c r="I41" s="180" t="str">
        <x:v>CxVisual.Runtime.Core.RestrictedExpression.TokenKind</x:v>
      </x:c>
      <x:c r="J41" s="179" t="str">
        <x:v>枚举</x:v>
      </x:c>
      <x:c r="K41" s="180" t="str">
        <x:v>V1.19 C-0500；原实施方式：原有。迁移风险：定义TokenKind的候选取值、状态或模式，供相关流程作分支判断</x:v>
      </x:c>
      <x:c r="L41" s="183" t="str">
        <x:v>源代码声明·待复核</x:v>
      </x:c>
      <x:c r="M41" s="183" t="str">
        <x:v>C-0500</x:v>
      </x:c>
      <x:c r="N41" s="184" t="str">
        <x:v>Platform/Runtime/RestrictedExpression.cs</x:v>
      </x:c>
      <x:c r="O41" s="183" t="str">
        <x:v>V1.19旧源码类型（真实成员/实现仍待核）
V2.01：来源ID对应；处置=保留源码·公开契约复核
V7.8：V7.8同名且源文件对应；Platform/Runtime/RestrictedExpression.cs</x:v>
      </x:c>
      <x:c r="P41" s="136" t="str">
        <x:v>V1.19旧源码类型（真实成员/实现仍待核）</x:v>
      </x:c>
      <x:c r="Q41"/>
      <x:c r="R41"/>
      <x:c r="S41"/>
    </x:row>
    <x:row r="42" ht="72" customHeight="1">
      <x:c r="A42" s="179" t="str">
        <x:v>M11</x:v>
      </x:c>
      <x:c r="B42" s="180" t="str">
        <x:v>逻辑与行为｜Expression / Rule / Script
Expression Rules</x:v>
      </x:c>
      <x:c r="C42" s="180" t="str">
        <x:v>MERUnaryNode</x:v>
      </x:c>
      <x:c r="D42" s="179" t="str">
        <x:v>原有·待核</x:v>
      </x:c>
      <x:c r="E42" s="180" t="str">
        <x:v>表达或管理Unary节点相关的数据及协作职责，具体行为待源码复核〔待核〕</x:v>
      </x:c>
      <x:c r="F42" s="180" t="str">
        <x:v>—（无公开声明或待核对）</x:v>
      </x:c>
      <x:c r="G42" s="180" t="str">
        <x:v>UnaryNode(string value, INode operand), Evaluate(IDictionary&lt;string, object&gt; variables)</x:v>
      </x:c>
      <x:c r="H42" s="180" t="str">
        <x:v>—（待核）</x:v>
      </x:c>
      <x:c r="I42" s="180" t="str">
        <x:v>CxVisual.Runtime.Core.RestrictedExpression.UnaryNode</x:v>
      </x:c>
      <x:c r="J42" s="179" t="str">
        <x:v>类</x:v>
      </x:c>
      <x:c r="K42" s="180" t="str">
        <x:v>V1.19 C-0501；原实施方式：原有。迁移风险：表达或管理Unary节点相关的数据及协作职责，具体行为待源码复核〔待核〕</x:v>
      </x:c>
      <x:c r="L42" s="183" t="str">
        <x:v>源代码声明·待复核</x:v>
      </x:c>
      <x:c r="M42" s="183" t="str">
        <x:v>C-0501</x:v>
      </x:c>
      <x:c r="N42" s="184" t="str">
        <x:v>Platform/Runtime/RestrictedExpression.cs</x:v>
      </x:c>
      <x:c r="O42" s="183" t="str">
        <x:v>V1.19旧源码类型（真实成员/实现仍待核）
V2.01：来源ID对应；处置=保留源码·公开契约复核
V7.8：V7.8同名且源文件对应；Platform/Runtime/RestrictedExpression.cs</x:v>
      </x:c>
      <x:c r="P42" s="136" t="str">
        <x:v>V1.19旧源码类型（真实成员/实现仍待核）</x:v>
      </x:c>
      <x:c r="Q42"/>
      <x:c r="R42"/>
      <x:c r="S42"/>
    </x:row>
    <x:row r="43" ht="72" customHeight="1">
      <x:c r="A43" s="179" t="str">
        <x:v>M11</x:v>
      </x:c>
      <x:c r="B43" s="180" t="str">
        <x:v>逻辑与行为｜Expression / Rule / Script
Expression Rules</x:v>
      </x:c>
      <x:c r="C43" s="180" t="str">
        <x:v>MERVariableNode</x:v>
      </x:c>
      <x:c r="D43" s="179" t="str">
        <x:v>原有·待核</x:v>
      </x:c>
      <x:c r="E43" s="180" t="str">
        <x:v>表达或管理变量节点相关的数据及协作职责，具体行为待源码复核〔待核〕</x:v>
      </x:c>
      <x:c r="F43" s="180" t="str">
        <x:v>—（无公开声明或待核对）</x:v>
      </x:c>
      <x:c r="G43" s="180" t="str">
        <x:v>VariableNode(string name), Evaluate(IDictionary&lt;string, object&gt; variables)</x:v>
      </x:c>
      <x:c r="H43" s="180" t="str">
        <x:v>—（待核）</x:v>
      </x:c>
      <x:c r="I43" s="180" t="str">
        <x:v>CxVisual.Runtime.Core.RestrictedExpression.VariableNode</x:v>
      </x:c>
      <x:c r="J43" s="179" t="str">
        <x:v>类</x:v>
      </x:c>
      <x:c r="K43" s="180" t="str">
        <x:v>V1.19 C-0502；原实施方式：原有。迁移风险：表达或管理变量节点相关的数据及协作职责，具体行为待源码复核〔待核〕</x:v>
      </x:c>
      <x:c r="L43" s="183" t="str">
        <x:v>源代码声明·待复核</x:v>
      </x:c>
      <x:c r="M43" s="183" t="str">
        <x:v>C-0502</x:v>
      </x:c>
      <x:c r="N43" s="184" t="str">
        <x:v>Platform/Variables/VariableNode.cs; Platform/Runtime/RestrictedExpression.cs</x:v>
      </x:c>
      <x:c r="O43" s="183" t="str">
        <x:v>V1.19旧源码类型（真实成员/实现仍待核）
V2.01：来源ID对应；处置=保留源码·公开契约复核
V7.8：V7.8同名且源文件对应；Platform/Variables/VariableNode.cs</x:v>
      </x:c>
      <x:c r="P43" s="136" t="str">
        <x:v>V1.19旧源码类型（真实成员/实现仍待核）</x:v>
      </x:c>
      <x:c r="Q43"/>
      <x:c r="R43"/>
      <x:c r="S43"/>
    </x:row>
    <x:row r="44" ht="72" customHeight="1">
      <x:c r="A44" s="179" t="str">
        <x:v>M11</x:v>
      </x:c>
      <x:c r="B44" s="180" t="str">
        <x:v>逻辑与行为｜Expression / Rule / Script
Expression Rules</x:v>
      </x:c>
      <x:c r="C44" s="180" t="str">
        <x:v>MERExpressionDefinition</x:v>
      </x:c>
      <x:c r="D44" s="179" t="str">
        <x:v>增构候选·待查重</x:v>
      </x:c>
      <x:c r="E44" s="180" t="str">
        <x:v>通用表达式</x:v>
      </x:c>
      <x:c r="F44" s="180" t="str">
        <x:v>Text；Ast；ReturnType；Dependencies</x:v>
      </x:c>
      <x:c r="G44" s="180" t="str">
        <x:v>通用表达式</x:v>
      </x:c>
      <x:c r="H44" s="180" t="str">
        <x:v>待逐对象核实</x:v>
      </x:c>
      <x:c r="I44" s="180" t="str">
        <x:v>ExpressionDefinition</x:v>
      </x:c>
      <x:c r="J44" s="179" t="str">
        <x:v>类/实例候选</x:v>
      </x:c>
      <x:c r="K44" s="180" t="str">
        <x:v>生命周期：Definition</x:v>
      </x:c>
      <x:c r="L44" s="183" t="str">
        <x:v>设计候选，尚待源码验证</x:v>
      </x:c>
      <x:c r="M44" s="183" t="str">
        <x:v>M11.ExpressionDefinition</x:v>
      </x:c>
      <x:c r="N44" s="184" t="str">
        <x:v>03_能力对象!C96</x:v>
      </x:c>
      <x:c r="O44" s="183" t="str">
        <x:v>V4.9对象/属性/方法
V2.01：名称/子方面线索；处置=规划独立契约候选·未批准新增
V7.8：V7.8未检出同名词法声明</x:v>
      </x:c>
      <x:c r="P44" s="136" t="str">
        <x:v>V4.9对象/属性/方法</x:v>
      </x:c>
      <x:c r="Q44"/>
      <x:c r="R44"/>
      <x:c r="S44"/>
    </x:row>
    <x:row r="45" ht="72" customHeight="1">
      <x:c r="A45" s="179" t="str">
        <x:v>M11</x:v>
      </x:c>
      <x:c r="B45" s="180" t="str">
        <x:v>逻辑与行为｜Expression / Rule / Script
Expression Rules</x:v>
      </x:c>
      <x:c r="C45" s="180" t="str">
        <x:v>MERFunctionDescriptor</x:v>
      </x:c>
      <x:c r="D45" s="179" t="str">
        <x:v>增构候选·待查重</x:v>
      </x:c>
      <x:c r="E45" s="180" t="str">
        <x:v>函数注册</x:v>
      </x:c>
      <x:c r="F45" s="180" t="str">
        <x:v>FunctionId；Signature；Purity</x:v>
      </x:c>
      <x:c r="G45" s="180" t="str">
        <x:v>函数注册</x:v>
      </x:c>
      <x:c r="H45" s="180" t="str">
        <x:v>待逐对象核实</x:v>
      </x:c>
      <x:c r="I45" s="180" t="str">
        <x:v>运行对象/模型</x:v>
      </x:c>
      <x:c r="J45" s="179" t="str">
        <x:v>类/实例候选</x:v>
      </x:c>
      <x:c r="K45" s="180" t="str">
        <x:v>生命周期：Definition</x:v>
      </x:c>
      <x:c r="L45" s="183" t="str">
        <x:v>设计候选，尚待源码验证</x:v>
      </x:c>
      <x:c r="M45" s="183" t="str">
        <x:v>M11.FunctionDescriptor</x:v>
      </x:c>
      <x:c r="N45" s="184" t="str">
        <x:v>03_能力对象!C97</x:v>
      </x:c>
      <x:c r="O45" s="183" t="str">
        <x:v>V4.9对象/属性/方法
V2.01：名称/子方面线索；处置=规划独立契约候选·未批准新增
V7.8：V7.8未检出同名词法声明</x:v>
      </x:c>
      <x:c r="P45" s="136" t="str">
        <x:v>V4.9对象/属性/方法</x:v>
      </x:c>
      <x:c r="Q45"/>
      <x:c r="R45"/>
      <x:c r="S45"/>
    </x:row>
    <x:row r="46" ht="72" customHeight="1">
      <x:c r="A46" s="179" t="str">
        <x:v>M11</x:v>
      </x:c>
      <x:c r="B46" s="180" t="str">
        <x:v>逻辑与行为｜Expression / Rule / Script
Expression Rules</x:v>
      </x:c>
      <x:c r="C46" s="180" t="str">
        <x:v>MERRuleDefinition</x:v>
      </x:c>
      <x:c r="D46" s="179" t="str">
        <x:v>增构候选·待查重</x:v>
      </x:c>
      <x:c r="E46" s="180" t="str">
        <x:v>规则</x:v>
      </x:c>
      <x:c r="F46" s="180" t="str">
        <x:v>Condition；Action；Priority</x:v>
      </x:c>
      <x:c r="G46" s="180" t="str">
        <x:v>规则</x:v>
      </x:c>
      <x:c r="H46" s="180" t="str">
        <x:v>待逐对象核实</x:v>
      </x:c>
      <x:c r="I46" s="180" t="str">
        <x:v>RuleDefinition</x:v>
      </x:c>
      <x:c r="J46" s="179" t="str">
        <x:v>类/实例候选</x:v>
      </x:c>
      <x:c r="K46" s="180" t="str">
        <x:v>生命周期：Definition</x:v>
      </x:c>
      <x:c r="L46" s="183" t="str">
        <x:v>设计候选，尚待源码验证</x:v>
      </x:c>
      <x:c r="M46" s="183" t="str">
        <x:v>M11.RuleDefinition</x:v>
      </x:c>
      <x:c r="N46" s="184" t="str">
        <x:v>03_能力对象!C98</x:v>
      </x:c>
      <x:c r="O46" s="183" t="str">
        <x:v>V4.9对象/属性/方法
V2.01：名称/子方面线索；处置=规划独立契约候选·未批准新增
V7.8：V7.8未检出同名词法声明</x:v>
      </x:c>
      <x:c r="P46" s="136" t="str">
        <x:v>V4.9对象/属性/方法</x:v>
      </x:c>
      <x:c r="Q46"/>
      <x:c r="R46"/>
      <x:c r="S46"/>
    </x:row>
    <x:row r="47" ht="72" customHeight="1">
      <x:c r="A47" s="179" t="str">
        <x:v>M11</x:v>
      </x:c>
      <x:c r="B47" s="180" t="str">
        <x:v>逻辑与行为｜Expression / Rule / Script
Expression Rules</x:v>
      </x:c>
      <x:c r="C47" s="180" t="str">
        <x:v>MERRuleSet</x:v>
      </x:c>
      <x:c r="D47" s="179" t="str">
        <x:v>增构候选·待查重</x:v>
      </x:c>
      <x:c r="E47" s="180" t="str">
        <x:v>规则集</x:v>
      </x:c>
      <x:c r="F47" s="180" t="str">
        <x:v>Rules；Order；ConflictPolicy</x:v>
      </x:c>
      <x:c r="G47" s="180" t="str">
        <x:v>规则集</x:v>
      </x:c>
      <x:c r="H47" s="180" t="str">
        <x:v>待逐对象核实</x:v>
      </x:c>
      <x:c r="I47" s="180" t="str">
        <x:v>RuleSet</x:v>
      </x:c>
      <x:c r="J47" s="179" t="str">
        <x:v>类/实例候选</x:v>
      </x:c>
      <x:c r="K47" s="180" t="str">
        <x:v>生命周期：Definition</x:v>
      </x:c>
      <x:c r="L47" s="183" t="str">
        <x:v>设计候选，尚待源码验证</x:v>
      </x:c>
      <x:c r="M47" s="183" t="str">
        <x:v>M11.RuleSet</x:v>
      </x:c>
      <x:c r="N47" s="184" t="str">
        <x:v>03_能力对象!C99</x:v>
      </x:c>
      <x:c r="O47" s="183" t="str">
        <x:v>V4.9对象/属性/方法
V2.01：名称/子方面线索；处置=规划独立契约候选·未批准新增
V7.8：V7.8未检出同名词法声明</x:v>
      </x:c>
      <x:c r="P47" s="136" t="str">
        <x:v>V4.9对象/属性/方法</x:v>
      </x:c>
      <x:c r="Q47"/>
      <x:c r="R47"/>
      <x:c r="S47"/>
    </x:row>
    <x:row r="48" ht="72" customHeight="1">
      <x:c r="A48" s="179" t="str">
        <x:v>M11</x:v>
      </x:c>
      <x:c r="B48" s="180" t="str">
        <x:v>逻辑与行为｜Expression / Rule / Script
Expression Rules</x:v>
      </x:c>
      <x:c r="C48" s="180" t="str">
        <x:v>MERScriptContext</x:v>
      </x:c>
      <x:c r="D48" s="179" t="str">
        <x:v>增构候选·待查重</x:v>
      </x:c>
      <x:c r="E48" s="180" t="str">
        <x:v>脚本安全上下文</x:v>
      </x:c>
      <x:c r="F48" s="180" t="str">
        <x:v>Variables；Services；Caller；Time；Cancellation</x:v>
      </x:c>
      <x:c r="G48" s="180" t="str">
        <x:v>脚本安全上下文</x:v>
      </x:c>
      <x:c r="H48" s="180" t="str">
        <x:v>待逐对象核实</x:v>
      </x:c>
      <x:c r="I48" s="180" t="str">
        <x:v>运行对象/模型</x:v>
      </x:c>
      <x:c r="J48" s="179" t="str">
        <x:v>类/实例候选</x:v>
      </x:c>
      <x:c r="K48" s="180" t="str">
        <x:v>生命周期：Runtime</x:v>
      </x:c>
      <x:c r="L48" s="183" t="str">
        <x:v>设计候选，尚待源码验证</x:v>
      </x:c>
      <x:c r="M48" s="183" t="str">
        <x:v>M11.ScriptContext</x:v>
      </x:c>
      <x:c r="N48" s="184" t="str">
        <x:v>03_能力对象!C100</x:v>
      </x:c>
      <x:c r="O48" s="183" t="str">
        <x:v>V4.9对象/属性/方法
V2.01：名称/子方面线索；处置=规划独立契约候选·未批准新增
V7.8：V7.8未检出同名词法声明</x:v>
      </x:c>
      <x:c r="P48" s="136" t="str">
        <x:v>V4.9对象/属性/方法</x:v>
      </x:c>
      <x:c r="Q48"/>
      <x:c r="R48"/>
      <x:c r="S48"/>
    </x:row>
    <x:row r="49" ht="72" customHeight="1">
      <x:c r="A49" s="179" t="str">
        <x:v>M11</x:v>
      </x:c>
      <x:c r="B49" s="180" t="str">
        <x:v>逻辑与行为｜Expression / Rule / Script
Expression Rules</x:v>
      </x:c>
      <x:c r="C49" s="180" t="str">
        <x:v>MERScriptDefinition</x:v>
      </x:c>
      <x:c r="D49" s="179" t="str">
        <x:v>增构候选·待查重</x:v>
      </x:c>
      <x:c r="E49" s="180" t="str">
        <x:v>受控脚本</x:v>
      </x:c>
      <x:c r="F49" s="180" t="str">
        <x:v>Language；Source；Inputs；Outputs；Permissions</x:v>
      </x:c>
      <x:c r="G49" s="180" t="str">
        <x:v>受控脚本</x:v>
      </x:c>
      <x:c r="H49" s="180" t="str">
        <x:v>待逐对象核实</x:v>
      </x:c>
      <x:c r="I49" s="180" t="str">
        <x:v>ScriptDefinition</x:v>
      </x:c>
      <x:c r="J49" s="179" t="str">
        <x:v>类/实例候选</x:v>
      </x:c>
      <x:c r="K49" s="180" t="str">
        <x:v>生命周期：Definition</x:v>
      </x:c>
      <x:c r="L49" s="183" t="str">
        <x:v>设计候选，尚待源码验证</x:v>
      </x:c>
      <x:c r="M49" s="183" t="str">
        <x:v>M11.ScriptDefinition</x:v>
      </x:c>
      <x:c r="N49" s="184" t="str">
        <x:v>03_能力对象!C101</x:v>
      </x:c>
      <x:c r="O49" s="183" t="str">
        <x:v>V4.9对象/属性/方法
V2.01：名称/子方面线索；处置=规划独立契约候选·未批准新增
V7.8：V7.8未检出同名词法声明</x:v>
      </x:c>
      <x:c r="P49" s="136" t="str">
        <x:v>V4.9对象/属性/方法</x:v>
      </x:c>
      <x:c r="Q49"/>
      <x:c r="R49"/>
      <x:c r="S49"/>
    </x:row>
    <x:row r="50" ht="72" customHeight="1">
      <x:c r="A50" s="179" t="str">
        <x:v>M12</x:v>
      </x:c>
      <x:c r="B50" s="180" t="str">
        <x:v>逻辑与行为｜Command / State / Event / Action
Command Events</x:v>
      </x:c>
      <x:c r="C50" s="180" t="str">
        <x:v>IMCEActionExecutor</x:v>
      </x:c>
      <x:c r="D50" s="179" t="str">
        <x:v>原有·待核</x:v>
      </x:c>
      <x:c r="E50" s="180" t="str">
        <x:v>约定ActionExecutor的操作入口、交互能力及调用方/实现方边界</x:v>
      </x:c>
      <x:c r="F50" s="180" t="str">
        <x:v>ActionTypeId</x:v>
      </x:c>
      <x:c r="G50" s="180" t="str">
        <x:v>ExecuteAsync(ActionModel model, ActionExecutionContext context, CancellationToken cancellationToken)</x:v>
      </x:c>
      <x:c r="H50" s="180" t="str">
        <x:v>—（待核）</x:v>
      </x:c>
      <x:c r="I50" s="180"/>
      <x:c r="J50" s="179" t="str">
        <x:v>接口</x:v>
      </x:c>
      <x:c r="K50" s="180" t="str">
        <x:v>V1.19 C-0579；原实施方式：原有。迁移风险：约定ActionExecutor的操作入口、交互能力及调用方/实现方边界</x:v>
      </x:c>
      <x:c r="L50" s="183" t="str">
        <x:v>源代码声明·待复核</x:v>
      </x:c>
      <x:c r="M50" s="183" t="str">
        <x:v>C-0579</x:v>
      </x:c>
      <x:c r="N50" s="184" t="str">
        <x:v>Platform/Runtime/ActionRuntime.cs:159</x:v>
      </x:c>
      <x:c r="O50" s="183" t="str">
        <x:v>V1.19旧源码类型（真实成员/实现仍待核）
V2.01：未匹配V2.01；处置=暂无可信对应
V7.8：无原始类型名</x:v>
      </x:c>
      <x:c r="P50" s="136" t="str">
        <x:v>V1.19旧源码类型（真实成员/实现仍待核）</x:v>
      </x:c>
      <x:c r="Q50"/>
      <x:c r="R50"/>
      <x:c r="S50"/>
    </x:row>
    <x:row r="51" ht="72" customHeight="1">
      <x:c r="A51" s="179" t="str">
        <x:v>M12</x:v>
      </x:c>
      <x:c r="B51" s="180" t="str">
        <x:v>逻辑与行为｜Command / State / Event / Action
Command Events</x:v>
      </x:c>
      <x:c r="C51" s="180" t="str">
        <x:v>IMCEConfirmationService</x:v>
      </x:c>
      <x:c r="D51" s="179" t="str">
        <x:v>原有·待核</x:v>
      </x:c>
      <x:c r="E51" s="180" t="str">
        <x:v>约定Confirmation服务的操作入口、交互能力及调用方/实现方边界</x:v>
      </x:c>
      <x:c r="F51" s="180" t="str">
        <x:v>—（无公开声明或待核对）</x:v>
      </x:c>
      <x:c r="G51" s="180" t="str">
        <x:v>ConfirmAsync(string title, string message, UserContext user, CancellationToken cancellationToken)</x:v>
      </x:c>
      <x:c r="H51" s="180" t="str">
        <x:v>—（待核）</x:v>
      </x:c>
      <x:c r="I51" s="180" t="str">
        <x:v>CxVisual.Abstractions.IConfirmationService</x:v>
      </x:c>
      <x:c r="J51" s="179" t="str">
        <x:v>接口</x:v>
      </x:c>
      <x:c r="K51" s="180" t="str">
        <x:v>V1.19 C-0509；原实施方式：原有。迁移风险：约定Confirmation服务的操作入口、交互能力及调用方/实现方边界</x:v>
      </x:c>
      <x:c r="L51" s="183" t="str">
        <x:v>源代码声明·待复核</x:v>
      </x:c>
      <x:c r="M51" s="183" t="str">
        <x:v>C-0509</x:v>
      </x:c>
      <x:c r="N51" s="184" t="str">
        <x:v>Platform/Core/Abstractions/RuntimeInteraction.cs</x:v>
      </x:c>
      <x:c r="O51" s="183" t="str">
        <x:v>V1.19旧源码类型（真实成员/实现仍待核）
V2.01：来源ID对应；处置=保留源码·公开契约复核
V7.8：V7.8同名且源文件对应；Platform/Core/Abstractions/RuntimeInteraction.cs</x:v>
      </x:c>
      <x:c r="P51" s="136" t="str">
        <x:v>V1.19旧源码类型（真实成员/实现仍待核）</x:v>
      </x:c>
      <x:c r="Q51"/>
      <x:c r="R51"/>
      <x:c r="S51"/>
    </x:row>
    <x:row r="52" ht="72" customHeight="1">
      <x:c r="A52" s="179" t="str">
        <x:v>M12</x:v>
      </x:c>
      <x:c r="B52" s="180" t="str">
        <x:v>逻辑与行为｜Command / State / Event / Action
Command Events</x:v>
      </x:c>
      <x:c r="C52" s="180" t="str">
        <x:v>IMCECxActionInvocationService</x:v>
      </x:c>
      <x:c r="D52" s="179" t="str">
        <x:v>原有·待核</x:v>
      </x:c>
      <x:c r="E52" s="180" t="str">
        <x:v>约定ActionInvocation服务的操作入口、交互能力及调用方/实现方边界</x:v>
      </x:c>
      <x:c r="F52" s="180" t="str">
        <x:v>—（无公开声明或待核对）</x:v>
      </x:c>
      <x:c r="G52" s="180" t="str">
        <x:v>InvokeAsync(CxActionDescriptor action, string target, string correlationId, CancellationToken cancellationToken)</x:v>
      </x:c>
      <x:c r="H52" s="180" t="str">
        <x:v>—（待核）</x:v>
      </x:c>
      <x:c r="I52" s="180" t="str">
        <x:v>CxVisual.Core.ICxActionInvocationService</x:v>
      </x:c>
      <x:c r="J52" s="179" t="str">
        <x:v>接口</x:v>
      </x:c>
      <x:c r="K52" s="180" t="str">
        <x:v>V1.19 C-0545；原实施方式：原有。迁移风险：约定ActionInvocation服务的操作入口、交互能力及调用方/实现方边界</x:v>
      </x:c>
      <x:c r="L52" s="183" t="str">
        <x:v>源代码声明·待复核</x:v>
      </x:c>
      <x:c r="M52" s="183" t="str">
        <x:v>C-0545</x:v>
      </x:c>
      <x:c r="N52" s="184" t="str">
        <x:v>Platform/Core/CxActionsRules.cs</x:v>
      </x:c>
      <x:c r="O52" s="183" t="str">
        <x:v>V1.19旧源码类型（真实成员/实现仍待核）
V2.01：来源ID对应；处置=保留源码·公开契约复核
V7.8：V7.8同名且源文件对应；Platform/Core/CxActionsRules.cs</x:v>
      </x:c>
      <x:c r="P52" s="136" t="str">
        <x:v>V1.19旧源码类型（真实成员/实现仍待核）</x:v>
      </x:c>
      <x:c r="Q52"/>
      <x:c r="R52"/>
      <x:c r="S52"/>
    </x:row>
    <x:row r="53" ht="72" customHeight="1">
      <x:c r="A53" s="179" t="str">
        <x:v>M12</x:v>
      </x:c>
      <x:c r="B53" s="180" t="str">
        <x:v>逻辑与行为｜Command / State / Event / Action
Command Events</x:v>
      </x:c>
      <x:c r="C53" s="180" t="str">
        <x:v>IMCEHostActionGateway</x:v>
      </x:c>
      <x:c r="D53" s="179" t="str">
        <x:v>原有·待核</x:v>
      </x:c>
      <x:c r="E53" s="180" t="str">
        <x:v>约定宿主ActionGateway的操作入口、交互能力及调用方/实现方边界</x:v>
      </x:c>
      <x:c r="F53" s="180" t="str">
        <x:v>—（无公开声明或待核对）</x:v>
      </x:c>
      <x:c r="G53" s="180" t="str">
        <x:v>ExecuteAsync(string actionKey, IReadOnlyDictionary&lt;string, string&gt; parameters, UserContext user, CancellationToken cance…)</x:v>
      </x:c>
      <x:c r="H53" s="180" t="str">
        <x:v>—（待核）</x:v>
      </x:c>
      <x:c r="I53" s="180" t="str">
        <x:v>CxVisual.Abstractions.IHostActionGateway</x:v>
      </x:c>
      <x:c r="J53" s="179" t="str">
        <x:v>接口</x:v>
      </x:c>
      <x:c r="K53" s="180" t="str">
        <x:v>V1.19 C-0510；原实施方式：原有。迁移风险：约定宿主ActionGateway的操作入口、交互能力及调用方/实现方边界</x:v>
      </x:c>
      <x:c r="L53" s="183" t="str">
        <x:v>源代码声明·待复核</x:v>
      </x:c>
      <x:c r="M53" s="183" t="str">
        <x:v>C-0510</x:v>
      </x:c>
      <x:c r="N53" s="184" t="str">
        <x:v>Platform/Core/Abstractions/RuntimeInteraction.cs</x:v>
      </x:c>
      <x:c r="O53" s="183" t="str">
        <x:v>V1.19旧源码类型（真实成员/实现仍待核）
V2.01：来源ID对应；处置=保留源码·公开契约复核
V7.8：V7.8同名且源文件对应；Platform/Core/Abstractions/RuntimeInteraction.cs</x:v>
      </x:c>
      <x:c r="P53" s="136" t="str">
        <x:v>V1.19旧源码类型（真实成员/实现仍待核）</x:v>
      </x:c>
      <x:c r="Q53"/>
      <x:c r="R53"/>
      <x:c r="S53"/>
    </x:row>
    <x:row r="54" ht="72" customHeight="1">
      <x:c r="A54" s="179" t="str">
        <x:v>M12</x:v>
      </x:c>
      <x:c r="B54" s="180" t="str">
        <x:v>逻辑与行为｜Command / State / Event / Action
Command Events</x:v>
      </x:c>
      <x:c r="C54" s="180" t="str">
        <x:v>MCEActionCompiler</x:v>
      </x:c>
      <x:c r="D54" s="179" t="str">
        <x:v>原有·待核</x:v>
      </x:c>
      <x:c r="E54" s="180" t="str">
        <x:v>校验Action编译定义并生成可供执行或展示的派生结果</x:v>
      </x:c>
      <x:c r="F54" s="180" t="str">
        <x:v>—（无公开声明或待核对）</x:v>
      </x:c>
      <x:c r="G54" s="180" t="str">
        <x:v>ActionCompiler(ActionExecutorRegistry registry), Compile(ActionModel model, ProjectModel project), Children(ActionModel model)</x:v>
      </x:c>
      <x:c r="H54" s="180" t="str">
        <x:v>—（待核）</x:v>
      </x:c>
      <x:c r="I54" s="180" t="str">
        <x:v>CxVisual.Runtime.Core.ActionCompiler</x:v>
      </x:c>
      <x:c r="J54" s="179" t="str">
        <x:v>类</x:v>
      </x:c>
      <x:c r="K54" s="180" t="str">
        <x:v>V1.19 C-0564；原实施方式：原有。迁移风险：校验Action编译定义并生成可供执行或展示的派生结果</x:v>
      </x:c>
      <x:c r="L54" s="183" t="str">
        <x:v>源代码声明·待复核</x:v>
      </x:c>
      <x:c r="M54" s="183" t="str">
        <x:v>C-0564</x:v>
      </x:c>
      <x:c r="N54" s="184" t="str">
        <x:v>Platform/Runtime/ActionRuntime.cs</x:v>
      </x:c>
      <x:c r="O54" s="183" t="str">
        <x:v>V1.19旧源码类型（真实成员/实现仍待核）
V2.01：未匹配V2.01；处置=暂无可信对应
V7.8：V7.8同名且源文件对应；Platform/Runtime/ActionRuntime.cs</x:v>
      </x:c>
      <x:c r="P54" s="136" t="str">
        <x:v>V1.19旧源码类型（真实成员/实现仍待核）</x:v>
      </x:c>
      <x:c r="Q54"/>
      <x:c r="R54"/>
      <x:c r="S54"/>
    </x:row>
    <x:row r="55" ht="72" customHeight="1">
      <x:c r="A55" s="179" t="str">
        <x:v>M12</x:v>
      </x:c>
      <x:c r="B55" s="180" t="str">
        <x:v>逻辑与行为｜Command / State / Event / Action
Command Events</x:v>
      </x:c>
      <x:c r="C55" s="180" t="str">
        <x:v>MCEActionDiagnostic</x:v>
      </x:c>
      <x:c r="D55" s="179" t="str">
        <x:v>原有·待核</x:v>
      </x:c>
      <x:c r="E55" s="180" t="str">
        <x:v>表达或管理Action诊断相关的数据及协作职责，具体行为待源码复核〔待核〕</x:v>
      </x:c>
      <x:c r="F55" s="180" t="str">
        <x:v>TimestampUtc, CorrelationId, EventTypeId, ActionId, ActionTypeId, Success, Code, Message, ElapsedMilliseconds, CancellationReason</x:v>
      </x:c>
      <x:c r="G55" s="180" t="str">
        <x:v>—(无公开声明或待核对)</x:v>
      </x:c>
      <x:c r="H55" s="180" t="str">
        <x:v>—（待核）</x:v>
      </x:c>
      <x:c r="I55" s="180" t="str">
        <x:v>CxVisual.Runtime.Core.ActionDiagnostic</x:v>
      </x:c>
      <x:c r="J55" s="179" t="str">
        <x:v>类</x:v>
      </x:c>
      <x:c r="K55" s="180" t="str">
        <x:v>V1.19 C-0565；原实施方式：原有。迁移风险：表达或管理Action诊断相关的数据及协作职责，具体行为待源码复核〔待核〕</x:v>
      </x:c>
      <x:c r="L55" s="183" t="str">
        <x:v>源代码声明·待复核</x:v>
      </x:c>
      <x:c r="M55" s="183" t="str">
        <x:v>C-0565</x:v>
      </x:c>
      <x:c r="N55" s="184" t="str">
        <x:v>Platform/Runtime/ActionRuntime.cs</x:v>
      </x:c>
      <x:c r="O55" s="183" t="str">
        <x:v>V1.19旧源码类型（真实成员/实现仍待核）
V2.01：未匹配V2.01；处置=暂无可信对应
V7.8：V7.8同名且源文件对应；Platform/Runtime/ActionRuntime.cs</x:v>
      </x:c>
      <x:c r="P55" s="136" t="str">
        <x:v>V1.19旧源码类型（真实成员/实现仍待核）</x:v>
      </x:c>
      <x:c r="Q55"/>
      <x:c r="R55"/>
      <x:c r="S55"/>
    </x:row>
    <x:row r="56" ht="72" customHeight="1">
      <x:c r="A56" s="179" t="str">
        <x:v>M12</x:v>
      </x:c>
      <x:c r="B56" s="180" t="str">
        <x:v>逻辑与行为｜Command / State / Event / Action
Command Events</x:v>
      </x:c>
      <x:c r="C56" s="180" t="str">
        <x:v>MCEActionDiagnostics</x:v>
      </x:c>
      <x:c r="D56" s="179" t="str">
        <x:v>原有·待核</x:v>
      </x:c>
      <x:c r="E56" s="180" t="str">
        <x:v>表达或管理ActionDiagnostics相关的数据及协作职责，具体行为待源码复核〔待核〕</x:v>
      </x:c>
      <x:c r="F56" s="180" t="str">
        <x:v>Capacity</x:v>
      </x:c>
      <x:c r="G56" s="180" t="str">
        <x:v>Add(ActionDiagnostic item), Snapshot(), Clear()</x:v>
      </x:c>
      <x:c r="H56" s="180" t="str">
        <x:v>—（待核）</x:v>
      </x:c>
      <x:c r="I56" s="180" t="str">
        <x:v>CxVisual.Runtime.Core.ActionDiagnostics</x:v>
      </x:c>
      <x:c r="J56" s="179" t="str">
        <x:v>类</x:v>
      </x:c>
      <x:c r="K56" s="180" t="str">
        <x:v>V1.19 C-0566；原实施方式：原有。迁移风险：表达或管理ActionDiagnostics相关的数据及协作职责，具体行为待源码复核〔待核〕</x:v>
      </x:c>
      <x:c r="L56" s="183" t="str">
        <x:v>源代码声明·待复核</x:v>
      </x:c>
      <x:c r="M56" s="183" t="str">
        <x:v>C-0566</x:v>
      </x:c>
      <x:c r="N56" s="184" t="str">
        <x:v>Platform/Runtime/ActionRuntime.cs</x:v>
      </x:c>
      <x:c r="O56" s="183" t="str">
        <x:v>V1.19旧源码类型（真实成员/实现仍待核）
V2.01：未匹配V2.01；处置=暂无可信对应
V7.8：V7.8同名且源文件对应；Platform/Runtime/ActionRuntime.cs</x:v>
      </x:c>
      <x:c r="P56" s="136" t="str">
        <x:v>V1.19旧源码类型（真实成员/实现仍待核）</x:v>
      </x:c>
    </x:row>
    <x:row r="57" ht="72" customHeight="1">
      <x:c r="A57" s="179" t="str">
        <x:v>M12</x:v>
      </x:c>
      <x:c r="B57" s="180" t="str">
        <x:v>逻辑与行为｜Command / State / Event / Action
Command Events</x:v>
      </x:c>
      <x:c r="C57" s="180" t="str">
        <x:v>MCEActionEditorWindow</x:v>
      </x:c>
      <x:c r="D57" s="179" t="str">
        <x:v>原有·待核</x:v>
      </x:c>
      <x:c r="E57" s="180" t="str">
        <x:v>表达或管理Action编辑器窗口相关的数据及协作职责，具体行为待源码复核〔待核〕</x:v>
      </x:c>
      <x:c r="F57" s="180" t="str">
        <x:v>Result</x:v>
      </x:c>
      <x:c r="G57" s="180" t="str">
        <x:v>ActionEditorWindow(ActionModel source, IEnumerable&lt;VariableReference&gt; variables), Summary(ActionModel action)</x:v>
      </x:c>
      <x:c r="H57" s="180" t="str">
        <x:v>—（待核）</x:v>
      </x:c>
      <x:c r="I57" s="180" t="str">
        <x:v>CxVisual.Designer.Wpf.ActionEditorWindow</x:v>
      </x:c>
      <x:c r="J57" s="179" t="str">
        <x:v>类</x:v>
      </x:c>
      <x:c r="K57" s="180" t="str">
        <x:v>V1.19 C-0555；原实施方式：原有。迁移风险：表达或管理Action编辑器窗口相关的数据及协作职责，具体行为待源码复核〔待核〕</x:v>
      </x:c>
      <x:c r="L57" s="183" t="str">
        <x:v>源代码声明·待复核</x:v>
      </x:c>
      <x:c r="M57" s="183" t="str">
        <x:v>C-0555</x:v>
      </x:c>
      <x:c r="N57" s="184" t="str">
        <x:v>Host/Studio/Wpf/M5ClosureEditors.cs</x:v>
      </x:c>
      <x:c r="O57" s="183" t="str">
        <x:v>V1.19旧源码类型（真实成员/实现仍待核）
V2.01：来源ID对应；处置=保留源码·公开契约复核
V7.8：V7.8同名且源文件对应；Host/Studio/Wpf/M5ClosureEditors.cs</x:v>
      </x:c>
      <x:c r="P57" s="136" t="str">
        <x:v>V1.19旧源码类型（真实成员/实现仍待核）</x:v>
      </x:c>
    </x:row>
    <x:row r="58" ht="72" customHeight="1">
      <x:c r="A58" s="179" t="str">
        <x:v>M12</x:v>
      </x:c>
      <x:c r="B58" s="180" t="str">
        <x:v>逻辑与行为｜Command / State / Event / Action
Command Events</x:v>
      </x:c>
      <x:c r="C58" s="180" t="str">
        <x:v>MCEActionEngine</x:v>
      </x:c>
      <x:c r="D58" s="179" t="str">
        <x:v>原有·待核</x:v>
      </x:c>
      <x:c r="E58" s="180" t="str">
        <x:v>表达或管理ActionEngine相关的数据及协作职责，具体行为待源码复核〔待核〕</x:v>
      </x:c>
      <x:c r="F58" s="180" t="str">
        <x:v>—（无公开声明或待核对）</x:v>
      </x:c>
      <x:c r="G58" s="180" t="str">
        <x:v>ActionEngine(ActionExecutorRegistry registry, ActionDiagnostics diagnostics), ExecuteAsync(IEnumerable&lt;ActionModel&gt; actions, ActionExecutionContext context, CancellationToken cancellationToken)</x:v>
      </x:c>
      <x:c r="H58" s="180" t="str">
        <x:v>—（待核）</x:v>
      </x:c>
      <x:c r="I58" s="180" t="str">
        <x:v>CxVisual.Runtime.Core.ActionEngine</x:v>
      </x:c>
      <x:c r="J58" s="179" t="str">
        <x:v>类</x:v>
      </x:c>
      <x:c r="K58" s="180" t="str">
        <x:v>V1.19 C-0567；原实施方式：原有。迁移风险：表达或管理ActionEngine相关的数据及协作职责，具体行为待源码复核〔待核〕</x:v>
      </x:c>
      <x:c r="L58" s="183" t="str">
        <x:v>源代码声明·待复核</x:v>
      </x:c>
      <x:c r="M58" s="183" t="str">
        <x:v>C-0567</x:v>
      </x:c>
      <x:c r="N58" s="184" t="str">
        <x:v>Platform/Runtime/ActionRuntime.cs</x:v>
      </x:c>
      <x:c r="O58" s="183" t="str">
        <x:v>V1.19旧源码类型（真实成员/实现仍待核）
V2.01：未匹配V2.01；处置=暂无可信对应
V7.8：V7.8同名且源文件对应；Platform/Runtime/ActionRuntime.cs</x:v>
      </x:c>
      <x:c r="P58" s="136" t="str">
        <x:v>V1.19旧源码类型（真实成员/实现仍待核）</x:v>
      </x:c>
    </x:row>
    <x:row r="59" ht="72" customHeight="1">
      <x:c r="A59" s="179" t="str">
        <x:v>M12</x:v>
      </x:c>
      <x:c r="B59" s="180" t="str">
        <x:v>逻辑与行为｜Command / State / Event / Action
Command Events</x:v>
      </x:c>
      <x:c r="C59" s="180" t="str">
        <x:v>MCEActionExecutionContext</x:v>
      </x:c>
      <x:c r="D59" s="179" t="str">
        <x:v>原有·待核</x:v>
      </x:c>
      <x:c r="E59" s="180" t="str">
        <x:v>传递Action执行上下文执行或编辑过程中共享的上下文数据</x:v>
      </x:c>
      <x:c r="F59" s="180" t="str">
        <x:v>Project, PropertyStore, Provider, WritePipeline, Navigation, Popups, HostActions, Confirmation, User, Event, RealWriteEnabled, CorrelationId, ElementIdResolver, ExecuteChildrenAsync</x:v>
      </x:c>
      <x:c r="G59" s="180" t="str">
        <x:v>—(无公开声明或待核对)</x:v>
      </x:c>
      <x:c r="H59" s="180" t="str">
        <x:v>—（待核）</x:v>
      </x:c>
      <x:c r="I59" s="180" t="str">
        <x:v>CxVisual.Runtime.Core.ActionExecutionContext</x:v>
      </x:c>
      <x:c r="J59" s="179" t="str">
        <x:v>类</x:v>
      </x:c>
      <x:c r="K59" s="180" t="str">
        <x:v>V1.19 C-0568；原实施方式：原有。迁移风险：传递Action执行上下文执行或编辑过程中共享的上下文数据</x:v>
      </x:c>
      <x:c r="L59" s="183" t="str">
        <x:v>源代码声明·待复核</x:v>
      </x:c>
      <x:c r="M59" s="183" t="str">
        <x:v>C-0568</x:v>
      </x:c>
      <x:c r="N59" s="184" t="str">
        <x:v>Platform/Runtime/ActionRuntime.cs</x:v>
      </x:c>
      <x:c r="O59" s="183" t="str">
        <x:v>V1.19旧源码类型（真实成员/实现仍待核）
V2.01：未匹配V2.01；处置=暂无可信对应
V7.8：V7.8同名且源文件对应；Platform/Runtime/ActionRuntime.cs</x:v>
      </x:c>
      <x:c r="P59" s="136" t="str">
        <x:v>V1.19旧源码类型（真实成员/实现仍待核）</x:v>
      </x:c>
    </x:row>
    <x:row r="60" ht="72" customHeight="1">
      <x:c r="A60" s="179" t="str">
        <x:v>M12</x:v>
      </x:c>
      <x:c r="B60" s="180" t="str">
        <x:v>逻辑与行为｜Command / State / Event / Action
Command Events</x:v>
      </x:c>
      <x:c r="C60" s="180" t="str">
        <x:v>MCEActionExecutor&lt;T&gt;</x:v>
      </x:c>
      <x:c r="D60" s="179" t="str">
        <x:v>原有·待核</x:v>
      </x:c>
      <x:c r="E60" s="180" t="str">
        <x:v>表达或管理ActionExecutorT相关的数据及协作职责，具体行为待源码复核〔待核〕</x:v>
      </x:c>
      <x:c r="F60" s="180" t="str">
        <x:v>ActionTypeId</x:v>
      </x:c>
      <x:c r="G60" s="180" t="str">
        <x:v>ExecuteAsync(ActionModel model, ActionExecutionContext context, CancellationToken cancellationToken), ExecuteAsync(T model, ActionExecutionContext context, CancellationToken cancellationToken), Done(RuntimeActionResult result)</x:v>
      </x:c>
      <x:c r="H60" s="180" t="str">
        <x:v>—（待核）</x:v>
      </x:c>
      <x:c r="I60" s="180" t="str">
        <x:v>CxVisual.Runtime.Core.ActionExecutor&lt;T&gt;</x:v>
      </x:c>
      <x:c r="J60" s="179" t="str">
        <x:v>类</x:v>
      </x:c>
      <x:c r="K60" s="180" t="str">
        <x:v>V1.19 C-0569；原实施方式：原有。迁移风险：表达或管理ActionExecutorT相关的数据及协作职责，具体行为待源码复核〔待核〕</x:v>
      </x:c>
      <x:c r="L60" s="183" t="str">
        <x:v>源代码声明·待复核</x:v>
      </x:c>
      <x:c r="M60" s="183" t="str">
        <x:v>C-0569</x:v>
      </x:c>
      <x:c r="N60" s="184" t="str">
        <x:v>D:\cyg\cx-visual-x2\Platform\Runtime\ActionRuntime.cs:494</x:v>
      </x:c>
      <x:c r="O60" s="183" t="str">
        <x:v>V1.19旧源码类型（真实成员/实现仍待核）
V2.01：未匹配V2.01；处置=暂无可信对应
V7.8：V7.8同名且源文件对应；Platform/Runtime/ActionRuntime.cs</x:v>
      </x:c>
      <x:c r="P60" s="136" t="str">
        <x:v>V1.19旧源码类型（真实成员/实现仍待核）</x:v>
      </x:c>
    </x:row>
    <x:row r="61" ht="72" customHeight="1">
      <x:c r="A61" s="179" t="str">
        <x:v>M12</x:v>
      </x:c>
      <x:c r="B61" s="180" t="str">
        <x:v>逻辑与行为｜Command / State / Event / Action
Command Events</x:v>
      </x:c>
      <x:c r="C61" s="180" t="str">
        <x:v>MCEActionExecutorRegistry</x:v>
      </x:c>
      <x:c r="D61" s="179" t="str">
        <x:v>原有·待核</x:v>
      </x:c>
      <x:c r="E61" s="180" t="str">
        <x:v>注册、索引与查询ActionExecutor注册表条目，并控制注册身份唯一性</x:v>
      </x:c>
      <x:c r="F61" s="180" t="str">
        <x:v>—（无公开声明或待核对）</x:v>
      </x:c>
      <x:c r="G61" s="180" t="str">
        <x:v>Register(IActionExecutor executor), TryGet(string typeId, out IActionExecutor executor)</x:v>
      </x:c>
      <x:c r="H61" s="180" t="str">
        <x:v>—（待核）</x:v>
      </x:c>
      <x:c r="I61" s="180" t="str">
        <x:v>CxVisual.Runtime.Core.ActionExecutorRegistry</x:v>
      </x:c>
      <x:c r="J61" s="179" t="str">
        <x:v>类</x:v>
      </x:c>
      <x:c r="K61" s="180" t="str">
        <x:v>V1.19 C-0570；原实施方式：原有。迁移风险：注册、索引与查询ActionExecutor注册表条目，并控制注册身份唯一性</x:v>
      </x:c>
      <x:c r="L61" s="183" t="str">
        <x:v>源代码声明·待复核</x:v>
      </x:c>
      <x:c r="M61" s="183" t="str">
        <x:v>C-0570</x:v>
      </x:c>
      <x:c r="N61" s="184" t="str">
        <x:v>Platform/Runtime/ActionRuntime.cs</x:v>
      </x:c>
      <x:c r="O61" s="183" t="str">
        <x:v>V1.19旧源码类型（真实成员/实现仍待核）
V2.01：未匹配V2.01；处置=暂无可信对应
V7.8：V7.8同名且源文件对应；Platform/Runtime/ActionRuntime.cs</x:v>
      </x:c>
      <x:c r="P61" s="136" t="str">
        <x:v>V1.19旧源码类型（真实成员/实现仍待核）</x:v>
      </x:c>
    </x:row>
    <x:row r="62" ht="72" customHeight="1">
      <x:c r="A62" s="179" t="str">
        <x:v>M12</x:v>
      </x:c>
      <x:c r="B62" s="180" t="str">
        <x:v>逻辑与行为｜Command / State / Event / Action
Command Events</x:v>
      </x:c>
      <x:c r="C62" s="180" t="str">
        <x:v>MCEActionListEditorWindow</x:v>
      </x:c>
      <x:c r="D62" s="179" t="str">
        <x:v>原有·待核</x:v>
      </x:c>
      <x:c r="E62" s="180" t="str">
        <x:v>表达或管理ActionList编辑器窗口相关的数据及协作职责，具体行为待源码复核〔待核〕</x:v>
      </x:c>
      <x:c r="F62" s="180" t="str">
        <x:v>Actions</x:v>
      </x:c>
      <x:c r="G62" s="180" t="str">
        <x:v>ActionListEditorWindow(string title, IEnumerable&lt;ActionModel&gt; source, IEnumerable&lt;VariableReference&gt; variables)</x:v>
      </x:c>
      <x:c r="H62" s="180" t="str">
        <x:v>—（待核）</x:v>
      </x:c>
      <x:c r="I62" s="180" t="str">
        <x:v>CxVisual.Designer.Wpf.ActionListEditorWindow</x:v>
      </x:c>
      <x:c r="J62" s="179" t="str">
        <x:v>类</x:v>
      </x:c>
      <x:c r="K62" s="180" t="str">
        <x:v>V1.19 C-0556；原实施方式：原有。迁移风险：表达或管理ActionList编辑器窗口相关的数据及协作职责，具体行为待源码复核〔待核〕</x:v>
      </x:c>
      <x:c r="L62" s="183" t="str">
        <x:v>源代码声明·待复核</x:v>
      </x:c>
      <x:c r="M62" s="183" t="str">
        <x:v>C-0556</x:v>
      </x:c>
      <x:c r="N62" s="184" t="str">
        <x:v>Host/Studio/Wpf/M5ClosureEditors.cs</x:v>
      </x:c>
      <x:c r="O62" s="183" t="str">
        <x:v>V1.19旧源码类型（真实成员/实现仍待核）
V2.01：来源ID对应；处置=保留源码·公开契约复核
V7.8：V7.8同名且源文件对应；Host/Studio/Wpf/M5ClosureEditors.cs</x:v>
      </x:c>
      <x:c r="P62" s="136" t="str">
        <x:v>V1.19旧源码类型（真实成员/实现仍待核）</x:v>
      </x:c>
    </x:row>
    <x:row r="63" ht="72" customHeight="1">
      <x:c r="A63" s="179" t="str">
        <x:v>M12</x:v>
      </x:c>
      <x:c r="B63" s="180" t="str">
        <x:v>逻辑与行为｜Command / State / Event / Action
Command Events</x:v>
      </x:c>
      <x:c r="C63" s="180" t="str">
        <x:v>MCEActionModel</x:v>
      </x:c>
      <x:c r="D63" s="179" t="str">
        <x:v>原有·待核</x:v>
      </x:c>
      <x:c r="E63" s="180" t="str">
        <x:v>表达Action模型相关的数据结构、配置及状态视图</x:v>
      </x:c>
      <x:c r="F63" s="180" t="str">
        <x:v>ActionId, TypeId, PermissionKey, TimeoutMilliseconds</x:v>
      </x:c>
      <x:c r="G63" s="180" t="str">
        <x:v>ActionModel(), DeepClone(bool preserveId), CopyCommonTo(ActionModel target, bool preserveId)</x:v>
      </x:c>
      <x:c r="H63" s="180" t="str">
        <x:v>—（待核）</x:v>
      </x:c>
      <x:c r="I63" s="180" t="str">
        <x:v>CxVisual.Core.ActionModel</x:v>
      </x:c>
      <x:c r="J63" s="179" t="str">
        <x:v>类</x:v>
      </x:c>
      <x:c r="K63" s="180" t="str">
        <x:v>V1.19 C-0511；原实施方式：原有。迁移风险：表达Action模型相关的数据结构、配置及状态视图</x:v>
      </x:c>
      <x:c r="L63" s="183" t="str">
        <x:v>源代码声明·待复核</x:v>
      </x:c>
      <x:c r="M63" s="183" t="str">
        <x:v>C-0511</x:v>
      </x:c>
      <x:c r="N63" s="184" t="str">
        <x:v>Platform/Core/Behaviors.cs</x:v>
      </x:c>
      <x:c r="O63" s="183" t="str">
        <x:v>V1.19旧源码类型（真实成员/实现仍待核）
V2.01：来源ID对应；处置=保留源码·公开契约复核
V7.8：V7.8同名且源文件对应；Platform/Core/Behaviors.cs</x:v>
      </x:c>
      <x:c r="P63" s="136" t="str">
        <x:v>V1.19旧源码类型（真实成员/实现仍待核）</x:v>
      </x:c>
    </x:row>
    <x:row r="64" ht="72" customHeight="1">
      <x:c r="A64" s="179" t="str">
        <x:v>M12</x:v>
      </x:c>
      <x:c r="B64" s="180" t="str">
        <x:v>逻辑与行为｜Command / State / Event / Action
Command Events</x:v>
      </x:c>
      <x:c r="C64" s="180" t="str">
        <x:v>MCEActionPlan</x:v>
      </x:c>
      <x:c r="D64" s="179" t="str">
        <x:v>原有·待核</x:v>
      </x:c>
      <x:c r="E64" s="180" t="str">
        <x:v>承载Action计划解析或编译后的任务、顺序与资源安排</x:v>
      </x:c>
      <x:c r="F64" s="180" t="str">
        <x:v>Model, IsValid, Diagnostic</x:v>
      </x:c>
      <x:c r="G64" s="180" t="str">
        <x:v>—(无公开声明或待核对)</x:v>
      </x:c>
      <x:c r="H64" s="180" t="str">
        <x:v>—（待核）</x:v>
      </x:c>
      <x:c r="I64" s="180" t="str">
        <x:v>CxVisual.Runtime.Core.ActionPlan</x:v>
      </x:c>
      <x:c r="J64" s="179" t="str">
        <x:v>类</x:v>
      </x:c>
      <x:c r="K64" s="180" t="str">
        <x:v>V1.19 C-0571；原实施方式：原有。迁移风险：承载Action计划解析或编译后的任务、顺序与资源安排</x:v>
      </x:c>
      <x:c r="L64" s="183" t="str">
        <x:v>源代码声明·待复核</x:v>
      </x:c>
      <x:c r="M64" s="183" t="str">
        <x:v>C-0571</x:v>
      </x:c>
      <x:c r="N64" s="184" t="str">
        <x:v>Platform/Runtime/ActionRuntime.cs</x:v>
      </x:c>
      <x:c r="O64" s="183" t="str">
        <x:v>V1.19旧源码类型（真实成员/实现仍待核）
V2.01：未匹配V2.01；处置=暂无可信对应
V7.8：V7.8同名且源文件对应；Platform/Runtime/ActionRuntime.cs</x:v>
      </x:c>
      <x:c r="P64" s="136" t="str">
        <x:v>V1.19旧源码类型（真实成员/实现仍待核）</x:v>
      </x:c>
    </x:row>
    <x:row r="65" ht="72" customHeight="1">
      <x:c r="A65" s="179" t="str">
        <x:v>M12</x:v>
      </x:c>
      <x:c r="B65" s="180" t="str">
        <x:v>逻辑与行为｜Command / State / Event / Action
Command Events</x:v>
      </x:c>
      <x:c r="C65" s="180" t="str">
        <x:v>MCEActionTypeIds</x:v>
      </x:c>
      <x:c r="D65" s="179" t="str">
        <x:v>原有·待核</x:v>
      </x:c>
      <x:c r="E65" s="180" t="str">
        <x:v>提供Action类型Ids相关基础操作或类型辅助处理</x:v>
      </x:c>
      <x:c r="F65" s="180" t="str">
        <x:v>WriteTag, ToggleTag, PulseTag, SetProperty, Navigate, OpenPopup, ClosePopup, HostAction, Confirm, Delay, Sequence, Parallel, Conditional</x:v>
      </x:c>
      <x:c r="G65" s="180" t="str">
        <x:v>—(无公开声明或待核对)</x:v>
      </x:c>
      <x:c r="H65" s="180" t="str">
        <x:v>—（待核）</x:v>
      </x:c>
      <x:c r="I65" s="180" t="str">
        <x:v>CxVisual.Core.ActionTypeIds</x:v>
      </x:c>
      <x:c r="J65" s="179" t="str">
        <x:v>静态类</x:v>
      </x:c>
      <x:c r="K65" s="180" t="str">
        <x:v>V1.19 C-0512；原实施方式：原有。迁移风险：提供Action类型Ids相关基础操作或类型辅助处理</x:v>
      </x:c>
      <x:c r="L65" s="183" t="str">
        <x:v>源代码声明·待复核</x:v>
      </x:c>
      <x:c r="M65" s="183" t="str">
        <x:v>C-0512</x:v>
      </x:c>
      <x:c r="N65" s="184" t="str">
        <x:v>Platform/Core/Behaviors.cs</x:v>
      </x:c>
      <x:c r="O65" s="183" t="str">
        <x:v>V1.19旧源码类型（真实成员/实现仍待核）
V2.01：来源ID对应；处置=保留源码·公开契约复核
V7.8：V7.8同名且源文件对应；Platform/Core/Behaviors.cs</x:v>
      </x:c>
      <x:c r="P65" s="136" t="str">
        <x:v>V1.19旧源码类型（真实成员/实现仍待核）</x:v>
      </x:c>
    </x:row>
    <x:row r="66" ht="72" customHeight="1">
      <x:c r="A66" s="179" t="str">
        <x:v>M12</x:v>
      </x:c>
      <x:c r="B66" s="180" t="str">
        <x:v>逻辑与行为｜Command / State / Event / Action
Command Events</x:v>
      </x:c>
      <x:c r="C66" s="180" t="str">
        <x:v>MCEAnimationDefinition</x:v>
      </x:c>
      <x:c r="D66" s="179" t="str">
        <x:v>原有·待核</x:v>
      </x:c>
      <x:c r="E66" s="180" t="str">
        <x:v>声明Animation定义可配置的工程定义、字段和校验约束</x:v>
      </x:c>
      <x:c r="F66" s="180" t="str">
        <x:v>Id, TypeId, TriggerExpression, TargetProperty, From, To, DurationMilliseconds, Repeat, AutoReverse, Easing, PauseWhenHidden</x:v>
      </x:c>
      <x:c r="G66" s="180" t="str">
        <x:v>AnimationDefinition(), Clone(bool preserveId)</x:v>
      </x:c>
      <x:c r="H66" s="180" t="str">
        <x:v>—（待核）</x:v>
      </x:c>
      <x:c r="I66" s="180" t="str">
        <x:v>CxVisual.Core.AnimationDefinition</x:v>
      </x:c>
      <x:c r="J66" s="179" t="str">
        <x:v>类</x:v>
      </x:c>
      <x:c r="K66" s="180" t="str">
        <x:v>V1.19 C-0513；原实施方式：原有。迁移风险：声明Animation定义可配置的工程定义、字段和校验约束</x:v>
      </x:c>
      <x:c r="L66" s="183" t="str">
        <x:v>源代码声明·待复核</x:v>
      </x:c>
      <x:c r="M66" s="183" t="str">
        <x:v>C-0513</x:v>
      </x:c>
      <x:c r="N66" s="184" t="str">
        <x:v>Platform/Core/Behaviors.cs</x:v>
      </x:c>
      <x:c r="O66" s="183" t="str">
        <x:v>V1.19旧源码类型（真实成员/实现仍待核）
V2.01：来源ID对应；处置=保留源码·公开契约复核
V7.8：V7.8同名且源文件对应；Platform/Core/Behaviors.cs</x:v>
      </x:c>
      <x:c r="P66" s="136" t="str">
        <x:v>V1.19旧源码类型（真实成员/实现仍待核）</x:v>
      </x:c>
    </x:row>
    <x:row r="67" ht="72" customHeight="1">
      <x:c r="A67" s="179" t="str">
        <x:v>M12</x:v>
      </x:c>
      <x:c r="B67" s="180" t="str">
        <x:v>逻辑与行为｜Command / State / Event / Action
Command Events</x:v>
      </x:c>
      <x:c r="C67" s="180" t="str">
        <x:v>MCEAnimationTypeIds</x:v>
      </x:c>
      <x:c r="D67" s="179" t="str">
        <x:v>原有·待核</x:v>
      </x:c>
      <x:c r="E67" s="180" t="str">
        <x:v>提供Animation类型Ids相关基础操作或类型辅助处理</x:v>
      </x:c>
      <x:c r="F67" s="180" t="str">
        <x:v>Visibility, Color, Blink, Rotation, Translate, Scale, Level, Flow</x:v>
      </x:c>
      <x:c r="G67" s="180" t="str">
        <x:v>—(无公开声明或待核对)</x:v>
      </x:c>
      <x:c r="H67" s="180" t="str">
        <x:v>—（待核）</x:v>
      </x:c>
      <x:c r="I67" s="180" t="str">
        <x:v>CxVisual.Core.AnimationTypeIds</x:v>
      </x:c>
      <x:c r="J67" s="179" t="str">
        <x:v>静态类</x:v>
      </x:c>
      <x:c r="K67" s="180" t="str">
        <x:v>V1.19 C-0514；原实施方式：原有。迁移风险：提供Animation类型Ids相关基础操作或类型辅助处理</x:v>
      </x:c>
      <x:c r="L67" s="183" t="str">
        <x:v>源代码声明·待复核</x:v>
      </x:c>
      <x:c r="M67" s="183" t="str">
        <x:v>C-0514</x:v>
      </x:c>
      <x:c r="N67" s="184" t="str">
        <x:v>Platform/Core/Behaviors.cs</x:v>
      </x:c>
      <x:c r="O67" s="183" t="str">
        <x:v>V1.19旧源码类型（真实成员/实现仍待核）
V2.01：来源ID对应；处置=保留源码·公开契约复核
V7.8：V7.8同名且源文件对应；Platform/Core/Behaviors.cs</x:v>
      </x:c>
      <x:c r="P67" s="136" t="str">
        <x:v>V1.19旧源码类型（真实成员/实现仍待核）</x:v>
      </x:c>
    </x:row>
    <x:row r="68" ht="72" customHeight="1">
      <x:c r="A68" s="179" t="str">
        <x:v>M12</x:v>
      </x:c>
      <x:c r="B68" s="180" t="str">
        <x:v>逻辑与行为｜Command / State / Event / Action
Command Events</x:v>
      </x:c>
      <x:c r="C68" s="180" t="str">
        <x:v>MCEBinding</x:v>
      </x:c>
      <x:c r="D68" s="179" t="str">
        <x:v>原有·待核</x:v>
      </x:c>
      <x:c r="E68" s="180" t="str">
        <x:v>表达或管理绑定相关的数据及协作职责，具体行为待源码复核〔待核〕</x:v>
      </x:c>
      <x:c r="F68" s="180" t="str">
        <x:v>—（无公开声明或待核对）</x:v>
      </x:c>
      <x:c r="G68" s="180" t="str">
        <x:v>—(无公开声明或待核对)</x:v>
      </x:c>
      <x:c r="H68" s="180" t="str">
        <x:v>—（待核）</x:v>
      </x:c>
      <x:c r="I68" s="180" t="str">
        <x:v>CxVisual.Platform.Orchestration.CxCommandBus.Binding</x:v>
      </x:c>
      <x:c r="J68" s="179" t="str">
        <x:v>类</x:v>
      </x:c>
      <x:c r="K68" s="180" t="str">
        <x:v>V1.19 C-0563；原实施方式：原有。迁移风险：表达或管理绑定相关的数据及协作职责，具体行为待源码复核〔待核〕</x:v>
      </x:c>
      <x:c r="L68" s="183" t="str">
        <x:v>源代码声明·待复核</x:v>
      </x:c>
      <x:c r="M68" s="183" t="str">
        <x:v>C-0563</x:v>
      </x:c>
      <x:c r="N68" s="184" t="str">
        <x:v>Platform/Core/CxProjectNodeAddressBindings.cs; Platform/Orchestration/Runtime/CxCommandBus.cs; Platform/Workbench/Editing/CxStudioModelTarget.cs</x:v>
      </x:c>
      <x:c r="O68" s="183" t="str">
        <x:v>V1.19旧源码类型（真实成员/实现仍待核）
V2.01：未匹配V2.01；处置=暂无可信对应
V7.8：V7.8同名且源文件对应；Platform/Core/CxProjectNodeAddressBindings.cs</x:v>
      </x:c>
      <x:c r="P68" s="136" t="str">
        <x:v>V1.19旧源码类型（真实成员/实现仍待核）</x:v>
      </x:c>
    </x:row>
    <x:row r="69" ht="72" customHeight="1">
      <x:c r="A69" s="179" t="str">
        <x:v>M12</x:v>
      </x:c>
      <x:c r="B69" s="180" t="str">
        <x:v>逻辑与行为｜Command / State / Event / Action
Command Events</x:v>
      </x:c>
      <x:c r="C69" s="180" t="str">
        <x:v>MCEBuiltInActionExecutors</x:v>
      </x:c>
      <x:c r="D69" s="179" t="str">
        <x:v>原有·待核</x:v>
      </x:c>
      <x:c r="E69" s="180" t="str">
        <x:v>提供BuiltInActionExecutors相关基础操作或类型辅助处理</x:v>
      </x:c>
      <x:c r="F69" s="180" t="str">
        <x:v>—（无公开声明或待核对）</x:v>
      </x:c>
      <x:c r="G69" s="180" t="str">
        <x:v>CreateRegistry()</x:v>
      </x:c>
      <x:c r="H69" s="180" t="str">
        <x:v>—（待核）</x:v>
      </x:c>
      <x:c r="I69" s="180" t="str">
        <x:v>CxVisual.Runtime.Core.BuiltInActionExecutors</x:v>
      </x:c>
      <x:c r="J69" s="179" t="str">
        <x:v>静态类</x:v>
      </x:c>
      <x:c r="K69" s="180" t="str">
        <x:v>V1.19 C-0572；原实施方式：原有。迁移风险：提供BuiltInActionExecutors相关基础操作或类型辅助处理</x:v>
      </x:c>
      <x:c r="L69" s="183" t="str">
        <x:v>源代码声明·待复核</x:v>
      </x:c>
      <x:c r="M69" s="183" t="str">
        <x:v>C-0572</x:v>
      </x:c>
      <x:c r="N69" s="184" t="str">
        <x:v>Platform/Runtime/ActionRuntime.cs</x:v>
      </x:c>
      <x:c r="O69" s="183" t="str">
        <x:v>V1.19旧源码类型（真实成员/实现仍待核）
V2.01：来源ID对应；处置=保留源码·公开契约复核
V7.8：V7.8同名且源文件对应；Platform/Runtime/ActionRuntime.cs</x:v>
      </x:c>
      <x:c r="P69" s="136" t="str">
        <x:v>V1.19旧源码类型（真实成员/实现仍待核）</x:v>
      </x:c>
    </x:row>
    <x:row r="70" ht="72" customHeight="1">
      <x:c r="A70" s="179" t="str">
        <x:v>M12</x:v>
      </x:c>
      <x:c r="B70" s="180" t="str">
        <x:v>逻辑与行为｜Command / State / Event / Action
Command Events</x:v>
      </x:c>
      <x:c r="C70" s="180" t="str">
        <x:v>MCEClosePopupActionModel</x:v>
      </x:c>
      <x:c r="D70" s="179" t="str">
        <x:v>原有·待核</x:v>
      </x:c>
      <x:c r="E70" s="180" t="str">
        <x:v>表达ClosePopupAction模型相关的数据结构、配置及状态视图</x:v>
      </x:c>
      <x:c r="F70" s="180" t="str">
        <x:v>TypeId, PopupId, CloseAll</x:v>
      </x:c>
      <x:c r="G70" s="180" t="str">
        <x:v>DeepClone(bool preserveId)</x:v>
      </x:c>
      <x:c r="H70" s="180" t="str">
        <x:v>—（待核）</x:v>
      </x:c>
      <x:c r="I70" s="180" t="str">
        <x:v>CxVisual.Core.ClosePopupActionModel</x:v>
      </x:c>
      <x:c r="J70" s="179" t="str">
        <x:v>类</x:v>
      </x:c>
      <x:c r="K70" s="180" t="str">
        <x:v>V1.19 C-0515；原实施方式：原有。迁移风险：表达ClosePopupAction模型相关的数据结构、配置及状态视图</x:v>
      </x:c>
      <x:c r="L70" s="183" t="str">
        <x:v>源代码声明·待复核</x:v>
      </x:c>
      <x:c r="M70" s="183" t="str">
        <x:v>C-0515</x:v>
      </x:c>
      <x:c r="N70" s="184" t="str">
        <x:v>Platform/Core/Behaviors.cs</x:v>
      </x:c>
      <x:c r="O70" s="183" t="str">
        <x:v>V1.19旧源码类型（真实成员/实现仍待核）
V2.01：来源ID对应；处置=保留源码·公开契约复核
V7.8：V7.8同名且源文件对应；Platform/Core/Behaviors.cs</x:v>
      </x:c>
      <x:c r="P70" s="136" t="str">
        <x:v>V1.19旧源码类型（真实成员/实现仍待核）</x:v>
      </x:c>
    </x:row>
    <x:row r="71" ht="72" customHeight="1">
      <x:c r="A71" s="179" t="str">
        <x:v>M12</x:v>
      </x:c>
      <x:c r="B71" s="180" t="str">
        <x:v>逻辑与行为｜Command / State / Event / Action
Command Events</x:v>
      </x:c>
      <x:c r="C71" s="180" t="str">
        <x:v>MCECollaborationAspectDefinition</x:v>
      </x:c>
      <x:c r="D71" s="179" t="str">
        <x:v>原有·待核</x:v>
      </x:c>
      <x:c r="E71" s="180" t="str">
        <x:v>声明CollaborationAspect定义可配置的工程定义、字段和校验约束</x:v>
      </x:c>
      <x:c r="F71" s="180" t="str">
        <x:v>Contracts, Capabilities, EventRoutes</x:v>
      </x:c>
      <x:c r="G71" s="180" t="str">
        <x:v>CollaborationAspectDefinition(), Validate(), DeepClone()</x:v>
      </x:c>
      <x:c r="H71" s="180" t="str">
        <x:v>—（待核）</x:v>
      </x:c>
      <x:c r="I71" s="180" t="str">
        <x:v>CxVisual.Core.CollaborationAspectDefinition</x:v>
      </x:c>
      <x:c r="J71" s="179" t="str">
        <x:v>类</x:v>
      </x:c>
      <x:c r="K71" s="180" t="str">
        <x:v>V1.19 C-0516；原实施方式：原有。迁移风险：声明CollaborationAspect定义可配置的工程定义、字段和校验约束</x:v>
      </x:c>
      <x:c r="L71" s="183" t="str">
        <x:v>源代码声明·待复核</x:v>
      </x:c>
      <x:c r="M71" s="183" t="str">
        <x:v>C-0516</x:v>
      </x:c>
      <x:c r="N71" s="184" t="str">
        <x:v>Platform/Core/AspectDefinitions.cs</x:v>
      </x:c>
      <x:c r="O71" s="183" t="str">
        <x:v>V1.19旧源码类型（真实成员/实现仍待核）
V2.01：来源ID对应；处置=保留源码·公开契约复核
V7.8：V7.8同名且源文件对应；Platform/Core/AspectDefinitions.cs</x:v>
      </x:c>
      <x:c r="P71" s="136" t="str">
        <x:v>V1.19旧源码类型（真实成员/实现仍待核）</x:v>
      </x:c>
    </x:row>
    <x:row r="72" ht="72" customHeight="1">
      <x:c r="A72" s="179" t="str">
        <x:v>M12</x:v>
      </x:c>
      <x:c r="B72" s="180" t="str">
        <x:v>逻辑与行为｜Command / State / Event / Action
Command Events</x:v>
      </x:c>
      <x:c r="C72" s="180" t="str">
        <x:v>MCECommandRequest&lt;T&gt;</x:v>
      </x:c>
      <x:c r="D72" s="179" t="str">
        <x:v>原有·待核</x:v>
      </x:c>
      <x:c r="E72" s="180" t="str">
        <x:v>表达或管理命令请求T相关的数据及协作职责，具体行为待源码复核〔待核〕</x:v>
      </x:c>
      <x:c r="F72" s="180" t="str">
        <x:v>CommandId, TargetId, ActionId, Parameters, Timeout, CorrelationId</x:v>
      </x:c>
      <x:c r="G72" s="180" t="str">
        <x:v>—(无公开声明或待核对)</x:v>
      </x:c>
      <x:c r="H72" s="180" t="str">
        <x:v>—（待核）</x:v>
      </x:c>
      <x:c r="I72" s="180" t="str">
        <x:v>CxVisual.Platform.Information.CommandRequest&lt;T&gt;</x:v>
      </x:c>
      <x:c r="J72" s="179" t="str">
        <x:v>类</x:v>
      </x:c>
      <x:c r="K72" s="180" t="str">
        <x:v>V1.19 C-0558；原实施方式：原有。迁移风险：表达或管理命令请求T相关的数据及协作职责，具体行为待源码复核〔待核〕</x:v>
      </x:c>
      <x:c r="L72" s="183" t="str">
        <x:v>源代码声明·待复核</x:v>
      </x:c>
      <x:c r="M72" s="183" t="str">
        <x:v>C-0558</x:v>
      </x:c>
      <x:c r="N72" s="184" t="str">
        <x:v>D:\cyg\cx-visual-x2\Platform\Information\PlatformInformation.cs:26</x:v>
      </x:c>
      <x:c r="O72" s="183" t="str">
        <x:v>V1.19旧源码类型（真实成员/实现仍待核）
V2.01：来源ID对应；处置=保留源码·公开契约复核
V7.8：V7.8同名且源文件对应；Platform/Information/PlatformInformation.cs</x:v>
      </x:c>
      <x:c r="P72" s="136" t="str">
        <x:v>V1.19旧源码类型（真实成员/实现仍待核）</x:v>
      </x:c>
    </x:row>
    <x:row r="73" ht="72" customHeight="1">
      <x:c r="A73" s="179" t="str">
        <x:v>M12</x:v>
      </x:c>
      <x:c r="B73" s="180" t="str">
        <x:v>逻辑与行为｜Command / State / Event / Action
Command Events</x:v>
      </x:c>
      <x:c r="C73" s="180" t="str">
        <x:v>MCEConditionalActionModel</x:v>
      </x:c>
      <x:c r="D73" s="179" t="str">
        <x:v>原有·待核</x:v>
      </x:c>
      <x:c r="E73" s="180" t="str">
        <x:v>表达ConditionalAction模型相关的数据结构、配置及状态视图</x:v>
      </x:c>
      <x:c r="F73" s="180" t="str">
        <x:v>TypeId, Condition, Then, Else</x:v>
      </x:c>
      <x:c r="G73" s="180" t="str">
        <x:v>DeepClone(bool preserveId)</x:v>
      </x:c>
      <x:c r="H73" s="180" t="str">
        <x:v>—（待核）</x:v>
      </x:c>
      <x:c r="I73" s="180" t="str">
        <x:v>CxVisual.Core.ConditionalActionModel</x:v>
      </x:c>
      <x:c r="J73" s="179" t="str">
        <x:v>类</x:v>
      </x:c>
      <x:c r="K73" s="180" t="str">
        <x:v>V1.19 C-0517；原实施方式：原有。迁移风险：表达ConditionalAction模型相关的数据结构、配置及状态视图</x:v>
      </x:c>
      <x:c r="L73" s="183" t="str">
        <x:v>源代码声明·待复核</x:v>
      </x:c>
      <x:c r="M73" s="183" t="str">
        <x:v>C-0517</x:v>
      </x:c>
      <x:c r="N73" s="184" t="str">
        <x:v>Platform/Core/Behaviors.cs</x:v>
      </x:c>
      <x:c r="O73" s="183" t="str">
        <x:v>V1.19旧源码类型（真实成员/实现仍待核）
V2.01：来源ID对应；处置=保留源码·公开契约复核
V7.8：V7.8同名且源文件对应；Platform/Core/Behaviors.cs</x:v>
      </x:c>
      <x:c r="P73" s="136" t="str">
        <x:v>V1.19旧源码类型（真实成员/实现仍待核）</x:v>
      </x:c>
    </x:row>
    <x:row r="74" ht="72" customHeight="1">
      <x:c r="A74" s="179" t="str">
        <x:v>M12</x:v>
      </x:c>
      <x:c r="B74" s="180" t="str">
        <x:v>逻辑与行为｜Command / State / Event / Action
Command Events</x:v>
      </x:c>
      <x:c r="C74" s="180" t="str">
        <x:v>MCEConditionalExecutor</x:v>
      </x:c>
      <x:c r="D74" s="179" t="str">
        <x:v>原有·待核</x:v>
      </x:c>
      <x:c r="E74" s="180" t="str">
        <x:v>表达或管理ConditionalExecutor相关的数据及协作职责，具体行为待源码复核〔待核〕</x:v>
      </x:c>
      <x:c r="F74" s="180" t="str">
        <x:v>ActionTypeId</x:v>
      </x:c>
      <x:c r="G74" s="180" t="str">
        <x:v>ExecuteAsync(ConditionalActionModel model, ActionExecutionContext context, CancellationToken token)</x:v>
      </x:c>
      <x:c r="H74" s="180" t="str">
        <x:v>—（待核）</x:v>
      </x:c>
      <x:c r="I74" s="180" t="str">
        <x:v>CxVisual.Runtime.Core.ConditionalExecutor</x:v>
      </x:c>
      <x:c r="J74" s="179" t="str">
        <x:v>类</x:v>
      </x:c>
      <x:c r="K74" s="180" t="str">
        <x:v>V1.19 C-0573；原实施方式：原有。迁移风险：表达或管理ConditionalExecutor相关的数据及协作职责，具体行为待源码复核〔待核〕</x:v>
      </x:c>
      <x:c r="L74" s="183" t="str">
        <x:v>源代码声明·待复核</x:v>
      </x:c>
      <x:c r="M74" s="183" t="str">
        <x:v>C-0573</x:v>
      </x:c>
      <x:c r="N74" s="184" t="str">
        <x:v>Platform/Runtime/ActionRuntime.cs</x:v>
      </x:c>
      <x:c r="O74" s="183" t="str">
        <x:v>V1.19旧源码类型（真实成员/实现仍待核）
V2.01：未匹配V2.01；处置=暂无可信对应
V7.8：V7.8同名且源文件对应；Platform/Runtime/ActionRuntime.cs</x:v>
      </x:c>
      <x:c r="P74" s="136" t="str">
        <x:v>V1.19旧源码类型（真实成员/实现仍待核）</x:v>
      </x:c>
    </x:row>
    <x:row r="75" ht="72" customHeight="1">
      <x:c r="A75" s="179" t="str">
        <x:v>M12</x:v>
      </x:c>
      <x:c r="B75" s="180" t="str">
        <x:v>逻辑与行为｜Command / State / Event / Action
Command Events</x:v>
      </x:c>
      <x:c r="C75" s="180" t="str">
        <x:v>MCEConfirmActionModel</x:v>
      </x:c>
      <x:c r="D75" s="179" t="str">
        <x:v>原有·待核</x:v>
      </x:c>
      <x:c r="E75" s="180" t="str">
        <x:v>表达ConfirmAction模型相关的数据结构、配置及状态视图</x:v>
      </x:c>
      <x:c r="F75" s="180" t="str">
        <x:v>TypeId, Title, Message, Actions</x:v>
      </x:c>
      <x:c r="G75" s="180" t="str">
        <x:v>DeepClone(bool preserveId)</x:v>
      </x:c>
      <x:c r="H75" s="180" t="str">
        <x:v>—（待核）</x:v>
      </x:c>
      <x:c r="I75" s="180" t="str">
        <x:v>CxVisual.Core.ConfirmActionModel</x:v>
      </x:c>
      <x:c r="J75" s="179" t="str">
        <x:v>类</x:v>
      </x:c>
      <x:c r="K75" s="180" t="str">
        <x:v>V1.19 C-0518；原实施方式：原有。迁移风险：表达ConfirmAction模型相关的数据结构、配置及状态视图</x:v>
      </x:c>
      <x:c r="L75" s="183" t="str">
        <x:v>源代码声明·待复核</x:v>
      </x:c>
      <x:c r="M75" s="183" t="str">
        <x:v>C-0518</x:v>
      </x:c>
      <x:c r="N75" s="184" t="str">
        <x:v>Platform/Core/Behaviors.cs</x:v>
      </x:c>
      <x:c r="O75" s="183" t="str">
        <x:v>V1.19旧源码类型（真实成员/实现仍待核）
V2.01：来源ID对应；处置=保留源码·公开契约复核
V7.8：V7.8同名且源文件对应；Platform/Core/Behaviors.cs</x:v>
      </x:c>
      <x:c r="P75" s="136" t="str">
        <x:v>V1.19旧源码类型（真实成员/实现仍待核）</x:v>
      </x:c>
    </x:row>
    <x:row r="76" ht="72" customHeight="1">
      <x:c r="A76" s="179" t="str">
        <x:v>M12</x:v>
      </x:c>
      <x:c r="B76" s="180" t="str">
        <x:v>逻辑与行为｜Command / State / Event / Action
Command Events</x:v>
      </x:c>
      <x:c r="C76" s="180" t="str">
        <x:v>MCEConfirmExecutor</x:v>
      </x:c>
      <x:c r="D76" s="179" t="str">
        <x:v>原有·待核</x:v>
      </x:c>
      <x:c r="E76" s="180" t="str">
        <x:v>表达或管理ConfirmExecutor相关的数据及协作职责，具体行为待源码复核〔待核〕</x:v>
      </x:c>
      <x:c r="F76" s="180" t="str">
        <x:v>ActionTypeId</x:v>
      </x:c>
      <x:c r="G76" s="180" t="str">
        <x:v>ExecuteAsync(ConfirmActionModel model, ActionExecutionContext context, CancellationToken token)</x:v>
      </x:c>
      <x:c r="H76" s="180" t="str">
        <x:v>—（待核）</x:v>
      </x:c>
      <x:c r="I76" s="180" t="str">
        <x:v>CxVisual.Runtime.Core.ConfirmExecutor</x:v>
      </x:c>
      <x:c r="J76" s="179" t="str">
        <x:v>类</x:v>
      </x:c>
      <x:c r="K76" s="180" t="str">
        <x:v>V1.19 C-0574；原实施方式：原有。迁移风险：表达或管理ConfirmExecutor相关的数据及协作职责，具体行为待源码复核〔待核〕</x:v>
      </x:c>
      <x:c r="L76" s="183" t="str">
        <x:v>源代码声明·待复核</x:v>
      </x:c>
      <x:c r="M76" s="183" t="str">
        <x:v>C-0574</x:v>
      </x:c>
      <x:c r="N76" s="184" t="str">
        <x:v>Platform/Runtime/ActionRuntime.cs</x:v>
      </x:c>
      <x:c r="O76" s="183" t="str">
        <x:v>V1.19旧源码类型（真实成员/实现仍待核）
V2.01：未匹配V2.01；处置=暂无可信对应
V7.8：V7.8同名且源文件对应；Platform/Runtime/ActionRuntime.cs</x:v>
      </x:c>
      <x:c r="P76" s="136" t="str">
        <x:v>V1.19旧源码类型（真实成员/实现仍待核）</x:v>
      </x:c>
    </x:row>
    <x:row r="77" ht="72" customHeight="1">
      <x:c r="A77" s="179" t="str">
        <x:v>M12</x:v>
      </x:c>
      <x:c r="B77" s="180" t="str">
        <x:v>逻辑与行为｜Command / State / Event / Action
Command Events</x:v>
      </x:c>
      <x:c r="C77" s="180" t="str">
        <x:v>MCECxActionDescriptor</x:v>
      </x:c>
      <x:c r="D77" s="179" t="str">
        <x:v>原有·待核</x:v>
      </x:c>
      <x:c r="E77" s="180" t="str">
        <x:v>HMI/Studio Action</x:v>
      </x:c>
      <x:c r="F77" s="180" t="str">
        <x:v>Id, Name, ActionKind, CommandId, ScriptId, NavigationTarget, Parameters, CxActionDescriptor</x:v>
      </x:c>
      <x:c r="G77" s="180" t="str">
        <x:v>Validate(), Serialize(), Deserialize(string json)</x:v>
      </x:c>
      <x:c r="H77" s="180" t="str">
        <x:v>—（待核）</x:v>
      </x:c>
      <x:c r="I77" s="180" t="str">
        <x:v>CxVisual.Core.CxActionDescriptor</x:v>
      </x:c>
      <x:c r="J77" s="179" t="str">
        <x:v>类</x:v>
      </x:c>
      <x:c r="K77" s="180" t="str">
        <x:v>V1.19 C-0519；原实施方式：原有。迁移风险：HMI/Studio Action</x:v>
      </x:c>
      <x:c r="L77" s="183" t="str">
        <x:v>源代码声明·待复核</x:v>
      </x:c>
      <x:c r="M77" s="183" t="str">
        <x:v>C-0519</x:v>
      </x:c>
      <x:c r="N77" s="184" t="str">
        <x:v>Platform/Core/CxActionsRules.cs</x:v>
      </x:c>
      <x:c r="O77" s="183" t="str">
        <x:v>V1.19旧源码类型（真实成员/实现仍待核）
V2.01：来源ID对应；处置=保留源码·公开契约复核
V7.8：V7.8同名且源文件对应；Platform/Core/CxActionsRules.cs</x:v>
      </x:c>
      <x:c r="P77" s="136" t="str">
        <x:v>V1.19旧源码类型（真实成员/实现仍待核）</x:v>
      </x:c>
    </x:row>
    <x:row r="78" ht="135" customHeight="1">
      <x:c r="A78" s="179" t="str">
        <x:v>M12</x:v>
      </x:c>
      <x:c r="B78" s="180" t="str">
        <x:v>逻辑与行为｜Command / State / Event / Action
Command Events</x:v>
      </x:c>
      <x:c r="C78" s="180" t="str">
        <x:v>MCECxActionExecutor</x:v>
      </x:c>
      <x:c r="D78" s="179" t="str">
        <x:v>原有·待核</x:v>
      </x:c>
      <x:c r="E78" s="180" t="str">
        <x:v>负责ActionExecutor相关的执行Action与公共契约管理</x:v>
      </x:c>
      <x:c r="F78" s="180" t="str">
        <x:v>CommandBus, ScriptHost, NavigationService</x:v>
      </x:c>
      <x:c r="G78" s="180" t="str">
        <x:v>CxActionExecutor(CxCommandBus commandBus, ICxScriptHost scriptHost = null, NavigationService navigationService = null, Proje…), RegisterScript(CxScriptDefinition definition, CxScriptSecurityContext security), RegisterUiAction(string id, Func&lt;CxActionDescriptor, string, string, CancellationToken, Task&lt;CxCommandResult&gt;&gt; handler), ExecuteAsync(CxActionDescriptor descriptor, string target, string correlationId, CancellationToken cancellationToken = d…)</x:v>
      </x:c>
      <x:c r="H78" s="180" t="str">
        <x:v>—（待核）</x:v>
      </x:c>
      <x:c r="I78" s="180" t="str">
        <x:v>CxVisual.Core.CxActionExecutor</x:v>
      </x:c>
      <x:c r="J78" s="179" t="str">
        <x:v>类</x:v>
      </x:c>
      <x:c r="K78" s="180" t="str">
        <x:v>V1.19 C-0520；原实施方式：原有。迁移风险：负责ActionExecutor相关的执行Action与公共契约管理</x:v>
      </x:c>
      <x:c r="L78" s="183" t="str">
        <x:v>源代码声明·待复核</x:v>
      </x:c>
      <x:c r="M78" s="183" t="str">
        <x:v>C-0520</x:v>
      </x:c>
      <x:c r="N78" s="184" t="str">
        <x:v>Platform/Core/CxActionsRules.cs</x:v>
      </x:c>
      <x:c r="O78" s="183" t="str">
        <x:v>V1.19旧源码类型（真实成员/实现仍待核）
V2.01：来源ID对应；处置=保留源码·公开契约复核
V7.8：V7.8同名且源文件对应；Platform/Core/CxActionsRules.cs</x:v>
      </x:c>
      <x:c r="P78" s="136" t="str">
        <x:v>V1.19旧源码类型（真实成员/实现仍待核）</x:v>
      </x:c>
    </x:row>
    <x:row r="79" ht="72" customHeight="1">
      <x:c r="A79" s="179" t="str">
        <x:v>M12</x:v>
      </x:c>
      <x:c r="B79" s="180" t="str">
        <x:v>逻辑与行为｜Command / State / Event / Action
Command Events</x:v>
      </x:c>
      <x:c r="C79" s="180" t="str">
        <x:v>MCECxActionKind</x:v>
      </x:c>
      <x:c r="D79" s="179" t="str">
        <x:v>原有·待核</x:v>
      </x:c>
      <x:c r="E79" s="180" t="str">
        <x:v>定义ActionKind的候选取值、状态或模式，供相关流程作分支判断</x:v>
      </x:c>
      <x:c r="F79" s="180" t="str">
        <x:v>枚举值：Command, Script, Navigation, Invocation, UiAction</x:v>
      </x:c>
      <x:c r="G79" s="180" t="str">
        <x:v>—(无公开声明或待核对)</x:v>
      </x:c>
      <x:c r="H79" s="180" t="str">
        <x:v>—（待核）</x:v>
      </x:c>
      <x:c r="I79" s="180" t="str">
        <x:v>CxVisual.Core.CxActionKind</x:v>
      </x:c>
      <x:c r="J79" s="179" t="str">
        <x:v>枚举</x:v>
      </x:c>
      <x:c r="K79" s="180" t="str">
        <x:v>V1.19 C-0522；原实施方式：原有。迁移风险：定义ActionKind的候选取值、状态或模式，供相关流程作分支判断</x:v>
      </x:c>
      <x:c r="L79" s="183" t="str">
        <x:v>源代码声明·待复核</x:v>
      </x:c>
      <x:c r="M79" s="183" t="str">
        <x:v>C-0522</x:v>
      </x:c>
      <x:c r="N79" s="184" t="str">
        <x:v>Platform/Core/CxActionsRules.cs</x:v>
      </x:c>
      <x:c r="O79" s="183" t="str">
        <x:v>V1.19旧源码类型（真实成员/实现仍待核）
V2.01：来源ID对应；处置=保留源码·公开契约复核
V7.8：V7.8同名且源文件对应；Platform/Core/CxActionsRules.cs</x:v>
      </x:c>
      <x:c r="P79" s="136" t="str">
        <x:v>V1.19旧源码类型（真实成员/实现仍待核）</x:v>
      </x:c>
    </x:row>
    <x:row r="80" ht="72" customHeight="1">
      <x:c r="A80" s="179" t="str">
        <x:v>M12</x:v>
      </x:c>
      <x:c r="B80" s="180" t="str">
        <x:v>逻辑与行为｜Command / State / Event / Action
Command Events</x:v>
      </x:c>
      <x:c r="C80" s="180" t="str">
        <x:v>MCECxCommandBus</x:v>
      </x:c>
      <x:c r="D80" s="179" t="str">
        <x:v>原有·待核</x:v>
      </x:c>
      <x:c r="E80" s="180" t="str">
        <x:v>表达或管理命令Bus相关的数据及协作职责，具体行为待源码复核〔待核〕</x:v>
      </x:c>
      <x:c r="F80" s="180" t="str">
        <x:v>Context, Contracts</x:v>
      </x:c>
      <x:c r="G80" s="180" t="str">
        <x:v>CxCommandBus(ExecutionContext context, IEnumerable&lt;CxNodeAddress&gt; targets, CxTypeResolver types = null), Register(CxCommandContract contract, string operationId), Unregister(string commandId), SendAsync(CxCommandRequest request, CancellationToken cancellationToken = default(CancellationToken)</x:v>
      </x:c>
      <x:c r="H80" s="180" t="str">
        <x:v>—（待核）</x:v>
      </x:c>
      <x:c r="I80" s="180" t="str">
        <x:v>CxVisual.Platform.Orchestration.CxCommandBus</x:v>
      </x:c>
      <x:c r="J80" s="179" t="str">
        <x:v>类</x:v>
      </x:c>
      <x:c r="K80" s="180" t="str">
        <x:v>V1.19 C-0562；原实施方式：原有。迁移风险：表达或管理命令Bus相关的数据及协作职责，具体行为待源码复核〔待核〕</x:v>
      </x:c>
      <x:c r="L80" s="183" t="str">
        <x:v>源代码声明·待复核</x:v>
      </x:c>
      <x:c r="M80" s="183" t="str">
        <x:v>C-0562</x:v>
      </x:c>
      <x:c r="N80" s="184" t="str">
        <x:v>Platform/Orchestration/Runtime/CxCommandBus.cs</x:v>
      </x:c>
      <x:c r="O80" s="183" t="str">
        <x:v>V1.19旧源码类型（真实成员/实现仍待核）
V2.01：未匹配V2.01；处置=暂无可信对应
V7.8：V7.8同名且源文件对应；Platform/Orchestration/Runtime/CxCommandBus.cs</x:v>
      </x:c>
      <x:c r="P80" s="136" t="str">
        <x:v>V1.19旧源码类型（真实成员/实现仍待核）</x:v>
      </x:c>
    </x:row>
    <x:row r="81" ht="72" customHeight="1">
      <x:c r="A81" s="179" t="str">
        <x:v>M12</x:v>
      </x:c>
      <x:c r="B81" s="180" t="str">
        <x:v>逻辑与行为｜Command / State / Event / Action
Command Events</x:v>
      </x:c>
      <x:c r="C81" s="180" t="str">
        <x:v>MCECxCommandContract</x:v>
      </x:c>
      <x:c r="D81" s="179" t="str">
        <x:v>原有·待核</x:v>
      </x:c>
      <x:c r="E81" s="180" t="str">
        <x:v>负责命令Contract相关的稳定命令契约与公共契约管理</x:v>
      </x:c>
      <x:c r="F81" s="180" t="str">
        <x:v>Id, Name, InputContract, ResultContract, RequiredPermissions, Timeout, CxCommandContract</x:v>
      </x:c>
      <x:c r="G81" s="180" t="str">
        <x:v>Validate()</x:v>
      </x:c>
      <x:c r="H81" s="180" t="str">
        <x:v>—（待核）</x:v>
      </x:c>
      <x:c r="I81" s="180" t="str">
        <x:v>CxVisual.Core.CxCommandContract</x:v>
      </x:c>
      <x:c r="J81" s="179" t="str">
        <x:v>类</x:v>
      </x:c>
      <x:c r="K81" s="180" t="str">
        <x:v>V1.19 C-0523；原实施方式：原有。迁移风险：负责命令Contract相关的稳定命令契约与公共契约管理</x:v>
      </x:c>
      <x:c r="L81" s="183" t="str">
        <x:v>源代码声明·待复核</x:v>
      </x:c>
      <x:c r="M81" s="183" t="str">
        <x:v>C-0523</x:v>
      </x:c>
      <x:c r="N81" s="184" t="str">
        <x:v>Platform/Core/CxCommandContracts.cs</x:v>
      </x:c>
      <x:c r="O81" s="183" t="str">
        <x:v>V1.19旧源码类型（真实成员/实现仍待核）
V2.01：来源ID对应；处置=保留源码·公开契约复核
V7.8：V7.8同名且源文件对应；Platform/Core/CxCommandContracts.cs</x:v>
      </x:c>
      <x:c r="P81" s="136" t="str">
        <x:v>V1.19旧源码类型（真实成员/实现仍待核）</x:v>
      </x:c>
    </x:row>
    <x:row r="82" ht="72" customHeight="1">
      <x:c r="A82" s="179" t="str">
        <x:v>M12</x:v>
      </x:c>
      <x:c r="B82" s="180" t="str">
        <x:v>逻辑与行为｜Command / State / Event / Action
Command Events</x:v>
      </x:c>
      <x:c r="C82" s="180" t="str">
        <x:v>MCECxCommandError</x:v>
      </x:c>
      <x:c r="D82" s="179" t="str">
        <x:v>原有·待核</x:v>
      </x:c>
      <x:c r="E82" s="180" t="str">
        <x:v>表达或管理命令错误相关的数据及协作职责，具体行为待源码复核〔待核〕</x:v>
      </x:c>
      <x:c r="F82" s="180" t="str">
        <x:v>Code, Message</x:v>
      </x:c>
      <x:c r="G82" s="180" t="str">
        <x:v>CxCommandError(string code, string message)</x:v>
      </x:c>
      <x:c r="H82" s="180" t="str">
        <x:v>—（待核）</x:v>
      </x:c>
      <x:c r="I82" s="180" t="str">
        <x:v>CxVisual.Core.CxCommandError</x:v>
      </x:c>
      <x:c r="J82" s="179" t="str">
        <x:v>类</x:v>
      </x:c>
      <x:c r="K82" s="180" t="str">
        <x:v>V1.19 C-0524；原实施方式：原有。迁移风险：表达或管理命令错误相关的数据及协作职责，具体行为待源码复核〔待核〕</x:v>
      </x:c>
      <x:c r="L82" s="183" t="str">
        <x:v>源代码声明·待复核</x:v>
      </x:c>
      <x:c r="M82" s="183" t="str">
        <x:v>C-0524</x:v>
      </x:c>
      <x:c r="N82" s="184" t="str">
        <x:v>Platform/Core/CxCommandContracts.cs</x:v>
      </x:c>
      <x:c r="O82" s="183" t="str">
        <x:v>V1.19旧源码类型（真实成员/实现仍待核）
V2.01：来源ID对应；处置=保留源码·公开契约复核
V7.8：V7.8同名且源文件对应；Platform/Core/CxCommandContracts.cs</x:v>
      </x:c>
      <x:c r="P82" s="136" t="str">
        <x:v>V1.19旧源码类型（真实成员/实现仍待核）</x:v>
      </x:c>
    </x:row>
    <x:row r="83" ht="72" customHeight="1">
      <x:c r="A83" s="179" t="str">
        <x:v>M12</x:v>
      </x:c>
      <x:c r="B83" s="180" t="str">
        <x:v>逻辑与行为｜Command / State / Event / Action
Command Events</x:v>
      </x:c>
      <x:c r="C83" s="180" t="str">
        <x:v>MCECxCommandStatus</x:v>
      </x:c>
      <x:c r="D83" s="179" t="str">
        <x:v>原有·待核</x:v>
      </x:c>
      <x:c r="E83" s="180" t="str">
        <x:v>定义命令状态的候选取值、状态或模式，供相关流程作分支判断</x:v>
      </x:c>
      <x:c r="F83" s="180" t="str">
        <x:v>枚举值：Succeeded, Failed, Cancelled, TimedOut</x:v>
      </x:c>
      <x:c r="G83" s="180" t="str">
        <x:v>—(无公开声明或待核对)</x:v>
      </x:c>
      <x:c r="H83" s="180" t="str">
        <x:v>—（待核）</x:v>
      </x:c>
      <x:c r="I83" s="180" t="str">
        <x:v>CxVisual.Core.CxCommandStatus</x:v>
      </x:c>
      <x:c r="J83" s="179" t="str">
        <x:v>枚举</x:v>
      </x:c>
      <x:c r="K83" s="180" t="str">
        <x:v>V1.19 C-0527；原实施方式：原有。迁移风险：定义命令状态的候选取值、状态或模式，供相关流程作分支判断</x:v>
      </x:c>
      <x:c r="L83" s="183" t="str">
        <x:v>源代码声明·待复核</x:v>
      </x:c>
      <x:c r="M83" s="183" t="str">
        <x:v>C-0527</x:v>
      </x:c>
      <x:c r="N83" s="184" t="str">
        <x:v>Platform/Core/CxCommandContracts.cs</x:v>
      </x:c>
      <x:c r="O83" s="183" t="str">
        <x:v>V1.19旧源码类型（真实成员/实现仍待核）
V2.01：来源ID对应；处置=保留源码·公开契约复核
V7.8：V7.8同名且源文件对应；Platform/Core/CxCommandContracts.cs</x:v>
      </x:c>
      <x:c r="P83" s="136" t="str">
        <x:v>V1.19旧源码类型（真实成员/实现仍待核）</x:v>
      </x:c>
    </x:row>
    <x:row r="84" ht="72" customHeight="1">
      <x:c r="A84" s="179" t="str">
        <x:v>M12</x:v>
      </x:c>
      <x:c r="B84" s="180" t="str">
        <x:v>逻辑与行为｜Command / State / Event / Action
Command Events</x:v>
      </x:c>
      <x:c r="C84" s="180" t="str">
        <x:v>MCECxContractJson</x:v>
      </x:c>
      <x:c r="D84" s="179" t="str">
        <x:v>原有·待核</x:v>
      </x:c>
      <x:c r="E84" s="180" t="str">
        <x:v>提供ContractJson相关基础操作或类型辅助处理</x:v>
      </x:c>
      <x:c r="F84" s="180" t="str">
        <x:v>—（无公开声明或待核对）</x:v>
      </x:c>
      <x:c r="G84" s="180" t="str">
        <x:v>Write(object value), Read(string json, stringfields, stringstrings)</x:v>
      </x:c>
      <x:c r="H84" s="180" t="str">
        <x:v>—（待核）</x:v>
      </x:c>
      <x:c r="I84" s="180" t="str">
        <x:v>CxVisual.Core.CxContractJson</x:v>
      </x:c>
      <x:c r="J84" s="179" t="str">
        <x:v>静态类</x:v>
      </x:c>
      <x:c r="K84" s="180" t="str">
        <x:v>V1.19 C-0528；原实施方式：原有。迁移风险：提供ContractJson相关基础操作或类型辅助处理</x:v>
      </x:c>
      <x:c r="L84" s="183" t="str">
        <x:v>源代码声明·待复核</x:v>
      </x:c>
      <x:c r="M84" s="183" t="str">
        <x:v>C-0528</x:v>
      </x:c>
      <x:c r="N84" s="184" t="str">
        <x:v>Platform/Core/CxCommandContracts.cs</x:v>
      </x:c>
      <x:c r="O84" s="183" t="str">
        <x:v>V1.19旧源码类型（真实成员/实现仍待核）
V2.01：来源ID对应；处置=保留源码·公开契约复核
V7.8：V7.8同名且源文件对应；Platform/Core/CxCommandContracts.cs</x:v>
      </x:c>
      <x:c r="P84" s="136" t="str">
        <x:v>V1.19旧源码类型（真实成员/实现仍待核）</x:v>
      </x:c>
    </x:row>
    <x:row r="85" ht="72" customHeight="1">
      <x:c r="A85" s="179" t="str">
        <x:v>M12</x:v>
      </x:c>
      <x:c r="B85" s="180" t="str">
        <x:v>逻辑与行为｜Command / State / Event / Action
Command Events</x:v>
      </x:c>
      <x:c r="C85" s="180" t="str">
        <x:v>MCECxContractValues</x:v>
      </x:c>
      <x:c r="D85" s="179" t="str">
        <x:v>原有·待核</x:v>
      </x:c>
      <x:c r="E85" s="180" t="str">
        <x:v>提供ContractValues相关基础操作或类型辅助处理</x:v>
      </x:c>
      <x:c r="F85" s="180" t="str">
        <x:v>—（无公开声明或待核对）</x:v>
      </x:c>
      <x:c r="G85" s="180" t="str">
        <x:v>CopyValue(object value), Copy(IDictionary&lt;string, object&gt; values), Clone(IDictionary&lt;string, CxDataContract&gt; values), ValidateDefinitions(IDictionary&lt;string, CxDataContract&gt; values, CxValidationResult result), Value(object value, Type type, bool nullable), Prepare(IDictionary&lt;string, CxDataContract&gt; contracts, IDictionary&lt;string, object&gt; values, CxTypeResolver types)</x:v>
      </x:c>
      <x:c r="H85" s="180" t="str">
        <x:v>—（待核）</x:v>
      </x:c>
      <x:c r="I85" s="180" t="str">
        <x:v>CxVisual.Core.CxContractValues</x:v>
      </x:c>
      <x:c r="J85" s="179" t="str">
        <x:v>静态类</x:v>
      </x:c>
      <x:c r="K85" s="180" t="str">
        <x:v>V1.19 C-0529；原实施方式：原有。迁移风险：提供ContractValues相关基础操作或类型辅助处理</x:v>
      </x:c>
      <x:c r="L85" s="183" t="str">
        <x:v>源代码声明·待复核</x:v>
      </x:c>
      <x:c r="M85" s="183" t="str">
        <x:v>C-0529</x:v>
      </x:c>
      <x:c r="N85" s="184" t="str">
        <x:v>Platform/Core/CxCommandContracts.cs</x:v>
      </x:c>
      <x:c r="O85" s="183" t="str">
        <x:v>V1.19旧源码类型（真实成员/实现仍待核）
V2.01：来源ID对应；处置=保留源码·公开契约复核
V7.8：V7.8同名且源文件对应；Platform/Core/CxCommandContracts.cs</x:v>
      </x:c>
      <x:c r="P85" s="136" t="str">
        <x:v>V1.19旧源码类型（真实成员/实现仍待核）</x:v>
      </x:c>
    </x:row>
    <x:row r="86" ht="72" customHeight="1">
      <x:c r="A86" s="179" t="str">
        <x:v>M12</x:v>
      </x:c>
      <x:c r="B86" s="180" t="str">
        <x:v>逻辑与行为｜Command / State / Event / Action
Command Events</x:v>
      </x:c>
      <x:c r="C86" s="180" t="str">
        <x:v>MCECxEvent</x:v>
      </x:c>
      <x:c r="D86" s="179" t="str">
        <x:v>原有·待核</x:v>
      </x:c>
      <x:c r="E86" s="180" t="str">
        <x:v>描述事件发生时的事件类型、来源及相关数据</x:v>
      </x:c>
      <x:c r="F86" s="180" t="str">
        <x:v>Type, Target, CurrentTarget, EventPhase, Bubbles, Cancelable, DefaultPrevented, Data, PropagationStopped, ImmediatePropagationStopped</x:v>
      </x:c>
      <x:c r="G86" s="180" t="str">
        <x:v>StopPropagation(), StopImmediatePropagation(), PreventDefault()</x:v>
      </x:c>
      <x:c r="H86" s="180" t="str">
        <x:v>—（待核）</x:v>
      </x:c>
      <x:c r="I86" s="180" t="str">
        <x:v>CxVisual.Core.CxEvent</x:v>
      </x:c>
      <x:c r="J86" s="179" t="str">
        <x:v>类</x:v>
      </x:c>
      <x:c r="K86" s="180" t="str">
        <x:v>V1.19 C-0530；原实施方式：原有。迁移风险：描述事件发生时的事件类型、来源及相关数据</x:v>
      </x:c>
      <x:c r="L86" s="183" t="str">
        <x:v>源代码声明·待复核</x:v>
      </x:c>
      <x:c r="M86" s="183" t="str">
        <x:v>C-0530</x:v>
      </x:c>
      <x:c r="N86" s="184" t="str">
        <x:v>Platform/Core/CxNodeEvents.cs</x:v>
      </x:c>
      <x:c r="O86" s="183" t="str">
        <x:v>V1.19旧源码类型（真实成员/实现仍待核）
V2.01：来源ID对应；处置=保留源码·公开契约复核
V7.8：V7.8同名且源文件对应；Platform/Core/CxNodeEvents.cs</x:v>
      </x:c>
      <x:c r="P86" s="136" t="str">
        <x:v>V1.19旧源码类型（真实成员/实现仍待核）</x:v>
      </x:c>
    </x:row>
    <x:row r="87" ht="72" customHeight="1">
      <x:c r="A87" s="179" t="str">
        <x:v>M12</x:v>
      </x:c>
      <x:c r="B87" s="180" t="str">
        <x:v>逻辑与行为｜Command / State / Event / Action
Command Events</x:v>
      </x:c>
      <x:c r="C87" s="180" t="str">
        <x:v>MCECxEventContract</x:v>
      </x:c>
      <x:c r="D87" s="179" t="str">
        <x:v>原有·待核</x:v>
      </x:c>
      <x:c r="E87" s="180" t="str">
        <x:v>负责事件Contract相关的运行事件契约与公共契约管理</x:v>
      </x:c>
      <x:c r="F87" s="180" t="str">
        <x:v>Id, Name, PayloadContract, Delivery, Ordering, Durable, CxEventContract</x:v>
      </x:c>
      <x:c r="G87" s="180" t="str">
        <x:v>Validate()</x:v>
      </x:c>
      <x:c r="H87" s="180" t="str">
        <x:v>—（待核）</x:v>
      </x:c>
      <x:c r="I87" s="180" t="str">
        <x:v>CxVisual.Core.CxEventContract</x:v>
      </x:c>
      <x:c r="J87" s="179" t="str">
        <x:v>类</x:v>
      </x:c>
      <x:c r="K87" s="180" t="str">
        <x:v>V1.19 C-0531；原实施方式：原有。迁移风险：负责事件Contract相关的运行事件契约与公共契约管理</x:v>
      </x:c>
      <x:c r="L87" s="183" t="str">
        <x:v>源代码声明·待复核</x:v>
      </x:c>
      <x:c r="M87" s="183" t="str">
        <x:v>C-0531</x:v>
      </x:c>
      <x:c r="N87" s="184" t="str">
        <x:v>Platform/Core/CxEventContract.cs</x:v>
      </x:c>
      <x:c r="O87" s="183" t="str">
        <x:v>V1.19旧源码类型（真实成员/实现仍待核）
V2.01：来源ID对应；处置=保留源码·公开契约复核
V7.8：V7.8同名且源文件对应；Platform/Core/CxEventContract.cs</x:v>
      </x:c>
      <x:c r="P87" s="136" t="str">
        <x:v>V1.19旧源码类型（真实成员/实现仍待核）</x:v>
      </x:c>
    </x:row>
    <x:row r="88" ht="72" customHeight="1">
      <x:c r="A88" s="179" t="str">
        <x:v>M12</x:v>
      </x:c>
      <x:c r="B88" s="180" t="str">
        <x:v>逻辑与行为｜Command / State / Event / Action
Command Events</x:v>
      </x:c>
      <x:c r="C88" s="180" t="str">
        <x:v>MCECxEventDelivery</x:v>
      </x:c>
      <x:c r="D88" s="179" t="str">
        <x:v>原有·待核</x:v>
      </x:c>
      <x:c r="E88" s="180" t="str">
        <x:v>定义事件Delivery的候选取值、状态或模式，供相关流程作分支判断</x:v>
      </x:c>
      <x:c r="F88" s="180" t="str">
        <x:v>枚举值：AtMostOnce, AtLeastOnce, ExactlyOnce</x:v>
      </x:c>
      <x:c r="G88" s="180" t="str">
        <x:v>—(无公开声明或待核对)</x:v>
      </x:c>
      <x:c r="H88" s="180" t="str">
        <x:v>—（待核）</x:v>
      </x:c>
      <x:c r="I88" s="180" t="str">
        <x:v>CxVisual.Core.CxEventDelivery</x:v>
      </x:c>
      <x:c r="J88" s="179" t="str">
        <x:v>枚举</x:v>
      </x:c>
      <x:c r="K88" s="180" t="str">
        <x:v>V1.19 C-0532；原实施方式：原有。迁移风险：定义事件Delivery的候选取值、状态或模式，供相关流程作分支判断</x:v>
      </x:c>
      <x:c r="L88" s="183" t="str">
        <x:v>源代码声明·待复核</x:v>
      </x:c>
      <x:c r="M88" s="183" t="str">
        <x:v>C-0532</x:v>
      </x:c>
      <x:c r="N88" s="184" t="str">
        <x:v>Platform/Core/CxEventContract.cs</x:v>
      </x:c>
      <x:c r="O88" s="183" t="str">
        <x:v>V1.19旧源码类型（真实成员/实现仍待核）
V2.01：来源ID对应；处置=保留源码·公开契约复核
V7.8：V7.8同名且源文件对应；Platform/Core/CxEventContract.cs</x:v>
      </x:c>
      <x:c r="P88" s="136" t="str">
        <x:v>V1.19旧源码类型（真实成员/实现仍待核）</x:v>
      </x:c>
    </x:row>
    <x:row r="89" ht="72" customHeight="1">
      <x:c r="A89" s="179" t="str">
        <x:v>M12</x:v>
      </x:c>
      <x:c r="B89" s="180" t="str">
        <x:v>逻辑与行为｜Command / State / Event / Action
Command Events</x:v>
      </x:c>
      <x:c r="C89" s="180" t="str">
        <x:v>MCECxEventHandler</x:v>
      </x:c>
      <x:c r="D89" s="179" t="str">
        <x:v>原有·待核</x:v>
      </x:c>
      <x:c r="E89" s="180" t="str">
        <x:v>约定事件Handler回调签名，供事件通知或异步操作使用</x:v>
      </x:c>
      <x:c r="F89" s="180" t="str">
        <x:v>未提取到声明（请核对源码）</x:v>
      </x:c>
      <x:c r="G89" s="180" t="str">
        <x:v>未提取到声明(请核对源码)</x:v>
      </x:c>
      <x:c r="H89" s="180" t="str">
        <x:v>—（待核）</x:v>
      </x:c>
      <x:c r="I89" s="180" t="str">
        <x:v>CxVisual.Core.CxEventHandler</x:v>
      </x:c>
      <x:c r="J89" s="179" t="str">
        <x:v>委托</x:v>
      </x:c>
      <x:c r="K89" s="180" t="str">
        <x:v>V1.19 C-0533；原实施方式：原有。迁移风险：约定事件Handler回调签名，供事件通知或异步操作使用</x:v>
      </x:c>
      <x:c r="L89" s="183" t="str">
        <x:v>源代码声明·待复核</x:v>
      </x:c>
      <x:c r="M89" s="183" t="str">
        <x:v>C-0533</x:v>
      </x:c>
      <x:c r="N89" s="184" t="str">
        <x:v>D:\cyg\cx-visual-x2\Platform\Core\CxNodeEvents.cs:10</x:v>
      </x:c>
      <x:c r="O89" s="183" t="str">
        <x:v>V1.19旧源码类型（真实成员/实现仍待核）
V2.01：来源ID对应；处置=保留源码·公开契约复核
V7.8：V7.8未检出同名词法声明</x:v>
      </x:c>
      <x:c r="P89" s="136" t="str">
        <x:v>V1.19旧源码类型（真实成员/实现仍待核）</x:v>
      </x:c>
    </x:row>
    <x:row r="90" ht="72" customHeight="1">
      <x:c r="A90" s="179" t="str">
        <x:v>M12</x:v>
      </x:c>
      <x:c r="B90" s="180" t="str">
        <x:v>逻辑与行为｜Command / State / Event / Action
Command Events</x:v>
      </x:c>
      <x:c r="C90" s="180" t="str">
        <x:v>MCECxEventOrdering</x:v>
      </x:c>
      <x:c r="D90" s="179" t="str">
        <x:v>原有·待核</x:v>
      </x:c>
      <x:c r="E90" s="180" t="str">
        <x:v>定义事件Ordering的候选取值、状态或模式，供相关流程作分支判断</x:v>
      </x:c>
      <x:c r="F90" s="180" t="str">
        <x:v>枚举值：None, PublishOrder, PerSource</x:v>
      </x:c>
      <x:c r="G90" s="180" t="str">
        <x:v>—(无公开声明或待核对)</x:v>
      </x:c>
      <x:c r="H90" s="180" t="str">
        <x:v>—（待核）</x:v>
      </x:c>
      <x:c r="I90" s="180" t="str">
        <x:v>CxVisual.Core.CxEventOrdering</x:v>
      </x:c>
      <x:c r="J90" s="179" t="str">
        <x:v>枚举</x:v>
      </x:c>
      <x:c r="K90" s="180" t="str">
        <x:v>V1.19 C-0534；原实施方式：原有。迁移风险：定义事件Ordering的候选取值、状态或模式，供相关流程作分支判断</x:v>
      </x:c>
      <x:c r="L90" s="183" t="str">
        <x:v>源代码声明·待复核</x:v>
      </x:c>
      <x:c r="M90" s="183" t="str">
        <x:v>C-0534</x:v>
      </x:c>
      <x:c r="N90" s="184" t="str">
        <x:v>Platform/Core/CxEventContract.cs</x:v>
      </x:c>
      <x:c r="O90" s="183" t="str">
        <x:v>V1.19旧源码类型（真实成员/实现仍待核）
V2.01：来源ID对应；处置=保留源码·公开契约复核
V7.8：V7.8同名且源文件对应；Platform/Core/CxEventContract.cs</x:v>
      </x:c>
      <x:c r="P90" s="136" t="str">
        <x:v>V1.19旧源码类型（真实成员/实现仍待核）</x:v>
      </x:c>
    </x:row>
    <x:row r="91" ht="72" customHeight="1">
      <x:c r="A91" s="179" t="str">
        <x:v>M12</x:v>
      </x:c>
      <x:c r="B91" s="180" t="str">
        <x:v>逻辑与行为｜Command / State / Event / Action
Command Events</x:v>
      </x:c>
      <x:c r="C91" s="180" t="str">
        <x:v>MCECxEventPhase</x:v>
      </x:c>
      <x:c r="D91" s="179" t="str">
        <x:v>原有·待核</x:v>
      </x:c>
      <x:c r="E91" s="180" t="str">
        <x:v>定义事件Phase的候选取值、状态或模式，供相关流程作分支判断</x:v>
      </x:c>
      <x:c r="F91" s="180" t="str">
        <x:v>枚举值：None, Capture, Target, Bubble</x:v>
      </x:c>
      <x:c r="G91" s="180" t="str">
        <x:v>—(无公开声明或待核对)</x:v>
      </x:c>
      <x:c r="H91" s="180" t="str">
        <x:v>—（待核）</x:v>
      </x:c>
      <x:c r="I91" s="180" t="str">
        <x:v>CxVisual.Core.CxEventPhase</x:v>
      </x:c>
      <x:c r="J91" s="179" t="str">
        <x:v>枚举</x:v>
      </x:c>
      <x:c r="K91" s="180" t="str">
        <x:v>V1.19 C-0535；原实施方式：原有。迁移风险：定义事件Phase的候选取值、状态或模式，供相关流程作分支判断</x:v>
      </x:c>
      <x:c r="L91" s="183" t="str">
        <x:v>源代码声明·待复核</x:v>
      </x:c>
      <x:c r="M91" s="183" t="str">
        <x:v>C-0535</x:v>
      </x:c>
      <x:c r="N91" s="184" t="str">
        <x:v>Platform/Core/CxNodeEvents.cs</x:v>
      </x:c>
      <x:c r="O91" s="183" t="str">
        <x:v>V1.19旧源码类型（真实成员/实现仍待核）
V2.01：来源ID对应；处置=保留源码·公开契约复核
V7.8：V7.8同名且源文件对应；Platform/Core/CxNodeEvents.cs</x:v>
      </x:c>
      <x:c r="P91" s="136" t="str">
        <x:v>V1.19旧源码类型（真实成员/实现仍待核）</x:v>
      </x:c>
    </x:row>
    <x:row r="92" ht="72" customHeight="1">
      <x:c r="A92" s="179" t="str">
        <x:v>M12</x:v>
      </x:c>
      <x:c r="B92" s="180" t="str">
        <x:v>逻辑与行为｜Command / State / Event / Action
Command Events</x:v>
      </x:c>
      <x:c r="C92" s="180" t="str">
        <x:v>MCECxEventTarget</x:v>
      </x:c>
      <x:c r="D92" s="179" t="str">
        <x:v>原有·待核</x:v>
      </x:c>
      <x:c r="E92" s="180" t="str">
        <x:v>Web DOM EventTarget 基础</x:v>
      </x:c>
      <x:c r="F92" s="180" t="str">
        <x:v>—（无公开声明或待核对）</x:v>
      </x:c>
      <x:c r="G92" s="180" t="str">
        <x:v>AddEventListener(string eventType, CxEventHandler handler, bool useCapture = false), RemoveEventListener(string eventType, CxEventHandler handler, bool useCapture = false), DispatchEvent(CxEvent evt)</x:v>
      </x:c>
      <x:c r="H92" s="180" t="str">
        <x:v>—（待核）</x:v>
      </x:c>
      <x:c r="I92" s="180" t="str">
        <x:v>CxVisual.Core.CxEventTarget</x:v>
      </x:c>
      <x:c r="J92" s="179" t="str">
        <x:v>类</x:v>
      </x:c>
      <x:c r="K92" s="180" t="str">
        <x:v>V1.19 C-0536；原实施方式：原有。迁移风险：Web DOM EventTarget 基础</x:v>
      </x:c>
      <x:c r="L92" s="183" t="str">
        <x:v>源代码声明·待复核</x:v>
      </x:c>
      <x:c r="M92" s="183" t="str">
        <x:v>C-0536</x:v>
      </x:c>
      <x:c r="N92" s="184" t="str">
        <x:v>Platform/Core/CxNodeEvents.cs</x:v>
      </x:c>
      <x:c r="O92" s="183" t="str">
        <x:v>V1.19旧源码类型（真实成员/实现仍待核）
V2.01：来源ID对应；处置=保留源码·公开契约复核
V7.8：V7.8同名且源文件对应；Platform/Core/CxNodeEvents.cs</x:v>
      </x:c>
      <x:c r="P92" s="136" t="str">
        <x:v>V1.19旧源码类型（真实成员/实现仍待核）</x:v>
      </x:c>
    </x:row>
    <x:row r="93" ht="72" customHeight="1">
      <x:c r="A93" s="179" t="str">
        <x:v>M12</x:v>
      </x:c>
      <x:c r="B93" s="180" t="str">
        <x:v>逻辑与行为｜Command / State / Event / Action
Command Events</x:v>
      </x:c>
      <x:c r="C93" s="180" t="str">
        <x:v>MCECxStateDescriptor</x:v>
      </x:c>
      <x:c r="D93" s="179" t="str">
        <x:v>原有·待核</x:v>
      </x:c>
      <x:c r="E93" s="180" t="str">
        <x:v>负责状态描述符相关的状态描述与公共契约管理</x:v>
      </x:c>
      <x:c r="F93" s="180" t="str">
        <x:v>StateId, Name, ValueType, AllowedValues, IsObservable</x:v>
      </x:c>
      <x:c r="G93" s="180" t="str">
        <x:v>Validate(), Capture(object value, ICxClock clock, long sequence, VariableQuality quality = VariableQuality.Good)</x:v>
      </x:c>
      <x:c r="H93" s="180" t="str">
        <x:v>—（待核）</x:v>
      </x:c>
      <x:c r="I93" s="180" t="str">
        <x:v>CxVisual.Core.CxStateDescriptor</x:v>
      </x:c>
      <x:c r="J93" s="179" t="str">
        <x:v>类</x:v>
      </x:c>
      <x:c r="K93" s="180" t="str">
        <x:v>V1.19 C-0538；原实施方式：原有。迁移风险：负责状态描述符相关的状态描述与公共契约管理</x:v>
      </x:c>
      <x:c r="L93" s="183" t="str">
        <x:v>源代码声明·待复核</x:v>
      </x:c>
      <x:c r="M93" s="183" t="str">
        <x:v>C-0538</x:v>
      </x:c>
      <x:c r="N93" s="184" t="str">
        <x:v>Platform/Core/CxCommandContracts.cs</x:v>
      </x:c>
      <x:c r="O93" s="183" t="str">
        <x:v>V1.19旧源码类型（真实成员/实现仍待核）
V2.01：来源ID对应；处置=保留源码·公开契约复核
V7.8：V7.8同名且源文件对应；Platform/Core/CxCommandContracts.cs</x:v>
      </x:c>
      <x:c r="P93" s="136" t="str">
        <x:v>V1.19旧源码类型（真实成员/实现仍待核）</x:v>
      </x:c>
    </x:row>
    <x:row r="94" ht="72" customHeight="1">
      <x:c r="A94" s="179" t="str">
        <x:v>M12</x:v>
      </x:c>
      <x:c r="B94" s="180" t="str">
        <x:v>逻辑与行为｜Command / State / Event / Action
Command Events</x:v>
      </x:c>
      <x:c r="C94" s="180" t="str">
        <x:v>MCECxStateSnapshot</x:v>
      </x:c>
      <x:c r="D94" s="179" t="str">
        <x:v>原有·待核</x:v>
      </x:c>
      <x:c r="E94" s="180" t="str">
        <x:v>负责状态快照相关的状态快照与公共契约管理</x:v>
      </x:c>
      <x:c r="F94" s="180" t="str">
        <x:v>StateId, Timestamp, Sequence, Quality</x:v>
      </x:c>
      <x:c r="G94" s="180" t="str">
        <x:v>CxStateSnapshot(string stateId, object value, DateTime timestamp, long sequence, VariableQuality quality), CopyValue(_value), Serialize(), Deserialize(string json)</x:v>
      </x:c>
      <x:c r="H94" s="180" t="str">
        <x:v>—（待核）</x:v>
      </x:c>
      <x:c r="I94" s="180" t="str">
        <x:v>CxVisual.Core.CxStateSnapshot</x:v>
      </x:c>
      <x:c r="J94" s="179" t="str">
        <x:v>类</x:v>
      </x:c>
      <x:c r="K94" s="180" t="str">
        <x:v>V1.19 C-0539；原实施方式：原有。迁移风险：负责状态快照相关的状态快照与公共契约管理</x:v>
      </x:c>
      <x:c r="L94" s="183" t="str">
        <x:v>源代码声明·待复核</x:v>
      </x:c>
      <x:c r="M94" s="183" t="str">
        <x:v>C-0539</x:v>
      </x:c>
      <x:c r="N94" s="184" t="str">
        <x:v>Platform/Core/CxCommandContracts.cs</x:v>
      </x:c>
      <x:c r="O94" s="183" t="str">
        <x:v>V1.19旧源码类型（真实成员/实现仍待核）
V2.01：来源ID对应；处置=保留源码·公开契约复核
V7.8：V7.8同名且源文件对应；Platform/Core/CxCommandContracts.cs</x:v>
      </x:c>
      <x:c r="P94" s="136" t="str">
        <x:v>V1.19旧源码类型（真实成员/实现仍待核）</x:v>
      </x:c>
    </x:row>
    <x:row r="95" ht="72" customHeight="1">
      <x:c r="A95" s="179" t="str">
        <x:v>M12</x:v>
      </x:c>
      <x:c r="B95" s="180" t="str">
        <x:v>逻辑与行为｜Command / State / Event / Action
Command Events</x:v>
      </x:c>
      <x:c r="C95" s="180" t="str">
        <x:v>MCEDelayActionModel</x:v>
      </x:c>
      <x:c r="D95" s="179" t="str">
        <x:v>原有·待核</x:v>
      </x:c>
      <x:c r="E95" s="180" t="str">
        <x:v>表达DelayAction模型相关的数据结构、配置及状态视图</x:v>
      </x:c>
      <x:c r="F95" s="180" t="str">
        <x:v>TypeId, DurationMilliseconds</x:v>
      </x:c>
      <x:c r="G95" s="180" t="str">
        <x:v>DeepClone(bool preserveId)</x:v>
      </x:c>
      <x:c r="H95" s="180" t="str">
        <x:v>—（待核）</x:v>
      </x:c>
      <x:c r="I95" s="180" t="str">
        <x:v>CxVisual.Core.DelayActionModel</x:v>
      </x:c>
      <x:c r="J95" s="179" t="str">
        <x:v>类</x:v>
      </x:c>
      <x:c r="K95" s="180" t="str">
        <x:v>V1.19 C-0540；原实施方式：原有。迁移风险：表达DelayAction模型相关的数据结构、配置及状态视图</x:v>
      </x:c>
      <x:c r="L95" s="183" t="str">
        <x:v>源代码声明·待复核</x:v>
      </x:c>
      <x:c r="M95" s="183" t="str">
        <x:v>C-0540</x:v>
      </x:c>
      <x:c r="N95" s="184" t="str">
        <x:v>Platform/Core/Behaviors.cs</x:v>
      </x:c>
      <x:c r="O95" s="183" t="str">
        <x:v>V1.19旧源码类型（真实成员/实现仍待核）
V2.01：来源ID对应；处置=保留源码·公开契约复核
V7.8：V7.8同名且源文件对应；Platform/Core/Behaviors.cs</x:v>
      </x:c>
      <x:c r="P95" s="136" t="str">
        <x:v>V1.19旧源码类型（真实成员/实现仍待核）</x:v>
      </x:c>
    </x:row>
    <x:row r="96" ht="72" customHeight="1">
      <x:c r="A96" s="179" t="str">
        <x:v>M12</x:v>
      </x:c>
      <x:c r="B96" s="180" t="str">
        <x:v>逻辑与行为｜Command / State / Event / Action
Command Events</x:v>
      </x:c>
      <x:c r="C96" s="180" t="str">
        <x:v>MCEDelayExecutor</x:v>
      </x:c>
      <x:c r="D96" s="179" t="str">
        <x:v>原有·待核</x:v>
      </x:c>
      <x:c r="E96" s="180" t="str">
        <x:v>表达或管理DelayExecutor相关的数据及协作职责，具体行为待源码复核〔待核〕</x:v>
      </x:c>
      <x:c r="F96" s="180" t="str">
        <x:v>ActionTypeId</x:v>
      </x:c>
      <x:c r="G96" s="180" t="str">
        <x:v>ExecuteAsync(DelayActionModel model, ActionExecutionContext context, CancellationToken token)</x:v>
      </x:c>
      <x:c r="H96" s="180" t="str">
        <x:v>—（待核）</x:v>
      </x:c>
      <x:c r="I96" s="180" t="str">
        <x:v>CxVisual.Runtime.Core.DelayExecutor</x:v>
      </x:c>
      <x:c r="J96" s="179" t="str">
        <x:v>类</x:v>
      </x:c>
      <x:c r="K96" s="180" t="str">
        <x:v>V1.19 C-0575；原实施方式：原有。迁移风险：表达或管理DelayExecutor相关的数据及协作职责，具体行为待源码复核〔待核〕</x:v>
      </x:c>
      <x:c r="L96" s="183" t="str">
        <x:v>源代码声明·待复核</x:v>
      </x:c>
      <x:c r="M96" s="183" t="str">
        <x:v>C-0575</x:v>
      </x:c>
      <x:c r="N96" s="184" t="str">
        <x:v>Platform/Runtime/ActionRuntime.cs</x:v>
      </x:c>
      <x:c r="O96" s="183" t="str">
        <x:v>V1.19旧源码类型（真实成员/实现仍待核）
V2.01：未匹配V2.01；处置=暂无可信对应
V7.8：V7.8同名且源文件对应；Platform/Runtime/ActionRuntime.cs</x:v>
      </x:c>
      <x:c r="P96" s="136" t="str">
        <x:v>V1.19旧源码类型（真实成员/实现仍待核）</x:v>
      </x:c>
    </x:row>
    <x:row r="97" ht="72" customHeight="1">
      <x:c r="A97" s="179" t="str">
        <x:v>M12</x:v>
      </x:c>
      <x:c r="B97" s="180" t="str">
        <x:v>逻辑与行为｜Command / State / Event / Action
Command Events</x:v>
      </x:c>
      <x:c r="C97" s="180" t="str">
        <x:v>MCEEventActionEditorWindow</x:v>
      </x:c>
      <x:c r="D97" s="179" t="str">
        <x:v>原有·待核</x:v>
      </x:c>
      <x:c r="E97" s="180" t="str">
        <x:v>表达或管理事件Action编辑器窗口相关的数据及协作职责，具体行为待源码复核〔待核〕</x:v>
      </x:c>
      <x:c r="F97" s="180" t="str">
        <x:v>WorkingCopy</x:v>
      </x:c>
      <x:c r="G97" s="180" t="str">
        <x:v>EventActionEditorWindow(EventBindingModel source, IEnumerable&lt;VariableReference&gt; variables)</x:v>
      </x:c>
      <x:c r="H97" s="180" t="str">
        <x:v>—（待核）</x:v>
      </x:c>
      <x:c r="I97" s="180" t="str">
        <x:v>CxVisual.Designer.Wpf.EventActionEditorWindow</x:v>
      </x:c>
      <x:c r="J97" s="179" t="str">
        <x:v>类</x:v>
      </x:c>
      <x:c r="K97" s="180" t="str">
        <x:v>V1.19 C-0557；原实施方式：原有。迁移风险：表达或管理事件Action编辑器窗口相关的数据及协作职责，具体行为待源码复核〔待核〕</x:v>
      </x:c>
      <x:c r="L97" s="183" t="str">
        <x:v>源代码声明·待复核</x:v>
      </x:c>
      <x:c r="M97" s="183" t="str">
        <x:v>C-0557</x:v>
      </x:c>
      <x:c r="N97" s="184" t="str">
        <x:v>Host/Studio/Wpf/M5ClosureEditors.cs</x:v>
      </x:c>
      <x:c r="O97" s="183" t="str">
        <x:v>V1.19旧源码类型（真实成员/实现仍待核）
V2.01：来源ID对应；处置=保留源码·公开契约复核
V7.8：V7.8同名且源文件对应；Host/Studio/Wpf/M5ClosureEditors.cs</x:v>
      </x:c>
      <x:c r="P97" s="136" t="str">
        <x:v>V1.19旧源码类型（真实成员/实现仍待核）</x:v>
      </x:c>
    </x:row>
    <x:row r="98" ht="72" customHeight="1">
      <x:c r="A98" s="179" t="str">
        <x:v>M12</x:v>
      </x:c>
      <x:c r="B98" s="180" t="str">
        <x:v>逻辑与行为｜Command / State / Event / Action
Command Events</x:v>
      </x:c>
      <x:c r="C98" s="180" t="str">
        <x:v>MCEEventBindingModel</x:v>
      </x:c>
      <x:c r="D98" s="179" t="str">
        <x:v>原有·待核</x:v>
      </x:c>
      <x:c r="E98" s="180" t="str">
        <x:v>表达事件绑定模型相关的数据结构、配置及状态视图</x:v>
      </x:c>
      <x:c r="F98" s="180" t="str">
        <x:v>Id, EventTypeId, Condition, ObservedProperty, VariableId, ThrottleMilliseconds, Actions</x:v>
      </x:c>
      <x:c r="G98" s="180" t="str">
        <x:v>EventBindingModel(), DeepClone(bool preserveId)</x:v>
      </x:c>
      <x:c r="H98" s="180" t="str">
        <x:v>—（待核）</x:v>
      </x:c>
      <x:c r="I98" s="180" t="str">
        <x:v>CxVisual.Core.EventBindingModel</x:v>
      </x:c>
      <x:c r="J98" s="179" t="str">
        <x:v>类</x:v>
      </x:c>
      <x:c r="K98" s="180" t="str">
        <x:v>V1.19 C-0541；原实施方式：原有。迁移风险：表达事件绑定模型相关的数据结构、配置及状态视图</x:v>
      </x:c>
      <x:c r="L98" s="183" t="str">
        <x:v>源代码声明·待复核</x:v>
      </x:c>
      <x:c r="M98" s="183" t="str">
        <x:v>C-0541</x:v>
      </x:c>
      <x:c r="N98" s="184" t="str">
        <x:v>Platform/Core/Behaviors.cs</x:v>
      </x:c>
      <x:c r="O98" s="183" t="str">
        <x:v>V1.19旧源码类型（真实成员/实现仍待核）
V2.01：来源ID对应；处置=保留源码·公开契约复核
V7.8：V7.8同名且源文件对应；Platform/Core/Behaviors.cs</x:v>
      </x:c>
      <x:c r="P98" s="136" t="str">
        <x:v>V1.19旧源码类型（真实成员/实现仍待核）</x:v>
      </x:c>
    </x:row>
    <x:row r="99" ht="72" customHeight="1">
      <x:c r="A99" s="179" t="str">
        <x:v>M12</x:v>
      </x:c>
      <x:c r="B99" s="180" t="str">
        <x:v>逻辑与行为｜Command / State / Event / Action
Command Events</x:v>
      </x:c>
      <x:c r="C99" s="180" t="str">
        <x:v>MCEEventEnvelope&lt;T&gt;</x:v>
      </x:c>
      <x:c r="D99" s="179" t="str">
        <x:v>原有·待核</x:v>
      </x:c>
      <x:c r="E99" s="180" t="str">
        <x:v>表达或管理事件EnvelopeT相关的数据及协作职责，具体行为待源码复核〔待核〕</x:v>
      </x:c>
      <x:c r="F99" s="180" t="str">
        <x:v>EventId, SourceId, EventTypeId, TimestampUtc, CorrelationId, Payload</x:v>
      </x:c>
      <x:c r="G99" s="180" t="str">
        <x:v>—(无公开声明或待核对)</x:v>
      </x:c>
      <x:c r="H99" s="180" t="str">
        <x:v>—（待核）</x:v>
      </x:c>
      <x:c r="I99" s="180" t="str">
        <x:v>CxVisual.Platform.Information.EventEnvelope&lt;T&gt;</x:v>
      </x:c>
      <x:c r="J99" s="179" t="str">
        <x:v>类</x:v>
      </x:c>
      <x:c r="K99" s="180" t="str">
        <x:v>V1.19 C-0559；原实施方式：原有。迁移风险：表达或管理事件EnvelopeT相关的数据及协作职责，具体行为待源码复核〔待核〕</x:v>
      </x:c>
      <x:c r="L99" s="183" t="str">
        <x:v>源代码声明·待复核</x:v>
      </x:c>
      <x:c r="M99" s="183" t="str">
        <x:v>C-0559</x:v>
      </x:c>
      <x:c r="N99" s="184" t="str">
        <x:v>D:\cyg\cx-visual-x2\Platform\Information\PlatformInformation.cs:16</x:v>
      </x:c>
      <x:c r="O99" s="183" t="str">
        <x:v>V1.19旧源码类型（真实成员/实现仍待核）
V2.01：来源ID对应；处置=保留源码·公开契约复核
V7.8：V7.8同名且源文件对应；Platform/Information/PlatformInformation.cs</x:v>
      </x:c>
      <x:c r="P99" s="136" t="str">
        <x:v>V1.19旧源码类型（真实成员/实现仍待核）</x:v>
      </x:c>
    </x:row>
    <x:row r="100" ht="72" customHeight="1">
      <x:c r="A100" s="179" t="str">
        <x:v>M12</x:v>
      </x:c>
      <x:c r="B100" s="180" t="str">
        <x:v>逻辑与行为｜Command / State / Event / Action
Command Events</x:v>
      </x:c>
      <x:c r="C100" s="180" t="str">
        <x:v>MCEEventRouteDefinition</x:v>
      </x:c>
      <x:c r="D100" s="179" t="str">
        <x:v>原有·待核</x:v>
      </x:c>
      <x:c r="E100" s="180" t="str">
        <x:v>声明事件Route定义可配置的工程定义、字段和校验约束</x:v>
      </x:c>
      <x:c r="F100" s="180" t="str">
        <x:v>Id, SourceEventId, TargetCapabilityRefId, TargetOperationId</x:v>
      </x:c>
      <x:c r="G100" s="180" t="str">
        <x:v>DeepClone()</x:v>
      </x:c>
      <x:c r="H100" s="180" t="str">
        <x:v>—（待核）</x:v>
      </x:c>
      <x:c r="I100" s="180" t="str">
        <x:v>CxVisual.Core.EventRouteDefinition</x:v>
      </x:c>
      <x:c r="J100" s="179" t="str">
        <x:v>类</x:v>
      </x:c>
      <x:c r="K100" s="180" t="str">
        <x:v>V1.19 C-0542；原实施方式：原有。迁移风险：声明事件Route定义可配置的工程定义、字段和校验约束</x:v>
      </x:c>
      <x:c r="L100" s="183" t="str">
        <x:v>源代码声明·待复核</x:v>
      </x:c>
      <x:c r="M100" s="183" t="str">
        <x:v>C-0542</x:v>
      </x:c>
      <x:c r="N100" s="184" t="str">
        <x:v>Platform/Core/AspectDefinitions.cs</x:v>
      </x:c>
      <x:c r="O100" s="183" t="str">
        <x:v>V1.19旧源码类型（真实成员/实现仍待核）
V2.01：来源ID对应；处置=保留源码·公开契约复核
V7.8：V7.8同名且源文件对应；Platform/Core/AspectDefinitions.cs</x:v>
      </x:c>
      <x:c r="P100" s="136" t="str">
        <x:v>V1.19旧源码类型（真实成员/实现仍待核）</x:v>
      </x:c>
    </x:row>
    <x:row r="101" ht="72" customHeight="1">
      <x:c r="A101" s="179" t="str">
        <x:v>M12</x:v>
      </x:c>
      <x:c r="B101" s="180" t="str">
        <x:v>逻辑与行为｜Command / State / Event / Action
Command Events</x:v>
      </x:c>
      <x:c r="C101" s="180" t="str">
        <x:v>MCEEventRouter</x:v>
      </x:c>
      <x:c r="D101" s="179" t="str">
        <x:v>原有·待核</x:v>
      </x:c>
      <x:c r="E101" s="180" t="str">
        <x:v>表达或管理事件Router相关的数据及协作职责，具体行为待源码复核〔待核〕</x:v>
      </x:c>
      <x:c r="F101" s="180" t="str">
        <x:v>—（无公开声明或待核对）</x:v>
      </x:c>
      <x:c r="G101" s="180" t="str">
        <x:v>EventRouter(ProjectModel project, ActionEngine engine, ActionExecutorRegistry registry, Func&lt;RuntimeEventContext, Actio…); RaiseAsync(RuntimeEventContext value, CancellationToken cancellationToken); BuildExpressionValues(ProjectModel project, IVariableProvider provider, RuntimeEventContext runtimeEvent)</x:v>
      </x:c>
      <x:c r="H101" s="180" t="str">
        <x:v>—（待核）</x:v>
      </x:c>
      <x:c r="I101" s="180" t="str">
        <x:v>CxVisual.Runtime.Core.EventRouter</x:v>
      </x:c>
      <x:c r="J101" s="179" t="str">
        <x:v>类</x:v>
      </x:c>
      <x:c r="K101" s="180" t="str">
        <x:v>V1.19 C-0576；原实施方式：原有。迁移风险：表达或管理事件Router相关的数据及协作职责，具体行为待源码复核〔待核〕</x:v>
      </x:c>
      <x:c r="L101" s="183" t="str">
        <x:v>源代码声明·待复核</x:v>
      </x:c>
      <x:c r="M101" s="183" t="str">
        <x:v>C-0576</x:v>
      </x:c>
      <x:c r="N101" s="184" t="str">
        <x:v>Platform/Runtime/ActionRuntime.cs</x:v>
      </x:c>
      <x:c r="O101" s="183" t="str">
        <x:v>V1.19旧源码类型（真实成员/实现仍待核）
V2.01：未匹配V2.01；处置=暂无可信对应
V7.8：V7.8同名且源文件对应；Platform/Runtime/ActionRuntime.cs</x:v>
      </x:c>
      <x:c r="P101" s="136" t="str">
        <x:v>V1.19旧源码类型（真实成员/实现仍待核）</x:v>
      </x:c>
    </x:row>
    <x:row r="102" ht="72" customHeight="1">
      <x:c r="A102" s="179" t="str">
        <x:v>M12</x:v>
      </x:c>
      <x:c r="B102" s="180" t="str">
        <x:v>逻辑与行为｜Command / State / Event / Action
Command Events</x:v>
      </x:c>
      <x:c r="C102" s="180" t="str">
        <x:v>MCEEventTypeIds</x:v>
      </x:c>
      <x:c r="D102" s="179" t="str">
        <x:v>原有·待核</x:v>
      </x:c>
      <x:c r="E102" s="180" t="str">
        <x:v>提供事件类型Ids相关基础操作或类型辅助处理</x:v>
      </x:c>
      <x:c r="F102" s="180" t="str">
        <x:v>PointerClick, DoubleClick, PointerDown, PointerUp, ValueChanged, VariableChanged, PageEnter, PageLeave, RuntimeStarted, RuntimeStopped, AlarmRaised, AlarmCleared, Timer, Custom</x:v>
      </x:c>
      <x:c r="G102" s="180" t="str">
        <x:v>—(无公开声明或待核对)</x:v>
      </x:c>
      <x:c r="H102" s="180" t="str">
        <x:v>—（待核）</x:v>
      </x:c>
      <x:c r="I102" s="180" t="str">
        <x:v>CxVisual.Core.EventTypeIds</x:v>
      </x:c>
      <x:c r="J102" s="179" t="str">
        <x:v>静态类</x:v>
      </x:c>
      <x:c r="K102" s="180" t="str">
        <x:v>V1.19 C-0543；原实施方式：原有。迁移风险：提供事件类型Ids相关基础操作或类型辅助处理</x:v>
      </x:c>
      <x:c r="L102" s="183" t="str">
        <x:v>源代码声明·待复核</x:v>
      </x:c>
      <x:c r="M102" s="183" t="str">
        <x:v>C-0543</x:v>
      </x:c>
      <x:c r="N102" s="184" t="str">
        <x:v>Platform/Core/Behaviors.cs</x:v>
      </x:c>
      <x:c r="O102" s="183" t="str">
        <x:v>V1.19旧源码类型（真实成员/实现仍待核）
V2.01：来源ID对应；处置=保留源码·公开契约复核
V7.8：V7.8同名且源文件对应；Platform/Core/Behaviors.cs</x:v>
      </x:c>
      <x:c r="P102" s="136" t="str">
        <x:v>V1.19旧源码类型（真实成员/实现仍待核）</x:v>
      </x:c>
    </x:row>
    <x:row r="103" ht="72" customHeight="1">
      <x:c r="A103" s="179" t="str">
        <x:v>M12</x:v>
      </x:c>
      <x:c r="B103" s="180" t="str">
        <x:v>逻辑与行为｜Command / State / Event / Action
Command Events</x:v>
      </x:c>
      <x:c r="C103" s="180" t="str">
        <x:v>MCEExecuteHostActionModel</x:v>
      </x:c>
      <x:c r="D103" s="179" t="str">
        <x:v>原有·待核</x:v>
      </x:c>
      <x:c r="E103" s="180" t="str">
        <x:v>表达Execute宿主Action模型相关的数据结构、配置及状态视图</x:v>
      </x:c>
      <x:c r="F103" s="180" t="str">
        <x:v>TypeId, ActionKey, Parameters</x:v>
      </x:c>
      <x:c r="G103" s="180" t="str">
        <x:v>DeepClone(bool preserveId)</x:v>
      </x:c>
      <x:c r="H103" s="180" t="str">
        <x:v>—（待核）</x:v>
      </x:c>
      <x:c r="I103" s="180" t="str">
        <x:v>CxVisual.Core.ExecuteHostActionModel</x:v>
      </x:c>
      <x:c r="J103" s="179" t="str">
        <x:v>类</x:v>
      </x:c>
      <x:c r="K103" s="180" t="str">
        <x:v>V1.19 C-0544；原实施方式：原有。迁移风险：表达Execute宿主Action模型相关的数据结构、配置及状态视图</x:v>
      </x:c>
      <x:c r="L103" s="183" t="str">
        <x:v>源代码声明·待复核</x:v>
      </x:c>
      <x:c r="M103" s="183" t="str">
        <x:v>C-0544</x:v>
      </x:c>
      <x:c r="N103" s="184" t="str">
        <x:v>Platform/Core/Behaviors.cs</x:v>
      </x:c>
      <x:c r="O103" s="183" t="str">
        <x:v>V1.19旧源码类型（真实成员/实现仍待核）
V2.01：来源ID对应；处置=保留源码·公开契约复核
V7.8：V7.8同名且源文件对应；Platform/Core/Behaviors.cs</x:v>
      </x:c>
      <x:c r="P103" s="136" t="str">
        <x:v>V1.19旧源码类型（真实成员/实现仍待核）</x:v>
      </x:c>
    </x:row>
    <x:row r="104" ht="72" customHeight="1">
      <x:c r="A104" s="179" t="str">
        <x:v>M12</x:v>
      </x:c>
      <x:c r="B104" s="180" t="str">
        <x:v>逻辑与行为｜Command / State / Event / Action
Command Events</x:v>
      </x:c>
      <x:c r="C104" s="180" t="str">
        <x:v>MCEHostActionExecutor</x:v>
      </x:c>
      <x:c r="D104" s="179" t="str">
        <x:v>原有·待核</x:v>
      </x:c>
      <x:c r="E104" s="180" t="str">
        <x:v>表达或管理宿主ActionExecutor相关的数据及协作职责，具体行为待源码复核〔待核〕</x:v>
      </x:c>
      <x:c r="F104" s="180" t="str">
        <x:v>ActionTypeId</x:v>
      </x:c>
      <x:c r="G104" s="180" t="str">
        <x:v>ExecuteAsync(ExecuteHostActionModel model, ActionExecutionContext context, CancellationToken token)</x:v>
      </x:c>
      <x:c r="H104" s="180" t="str">
        <x:v>—（待核）</x:v>
      </x:c>
      <x:c r="I104" s="180" t="str">
        <x:v>CxVisual.Runtime.Core.HostActionExecutor</x:v>
      </x:c>
      <x:c r="J104" s="179" t="str">
        <x:v>类</x:v>
      </x:c>
      <x:c r="K104" s="180" t="str">
        <x:v>V1.19 C-0578；原实施方式：原有。迁移风险：表达或管理宿主ActionExecutor相关的数据及协作职责，具体行为待源码复核〔待核〕</x:v>
      </x:c>
      <x:c r="L104" s="183" t="str">
        <x:v>源代码声明·待复核</x:v>
      </x:c>
      <x:c r="M104" s="183" t="str">
        <x:v>C-0578</x:v>
      </x:c>
      <x:c r="N104" s="184" t="str">
        <x:v>Platform/Runtime/ActionRuntime.cs</x:v>
      </x:c>
      <x:c r="O104" s="183" t="str">
        <x:v>V1.19旧源码类型（真实成员/实现仍待核）
V2.01：未匹配V2.01；处置=暂无可信对应
V7.8：V7.8同名且源文件对应；Platform/Runtime/ActionRuntime.cs</x:v>
      </x:c>
      <x:c r="P104" s="136" t="str">
        <x:v>V1.19旧源码类型（真实成员/实现仍待核）</x:v>
      </x:c>
    </x:row>
    <x:row r="105" ht="72" customHeight="1">
      <x:c r="A105" s="179" t="str">
        <x:v>M12</x:v>
      </x:c>
      <x:c r="B105" s="180" t="str">
        <x:v>逻辑与行为｜Command / State / Event / Action
Command Events</x:v>
      </x:c>
      <x:c r="C105" s="180" t="str">
        <x:v>MCEListener</x:v>
      </x:c>
      <x:c r="D105" s="179" t="str">
        <x:v>原有·待核</x:v>
      </x:c>
      <x:c r="E105" s="180" t="str">
        <x:v>表达或管理Listener相关的数据及协作职责，具体行为待源码复核〔待核〕</x:v>
      </x:c>
      <x:c r="F105" s="180" t="str">
        <x:v>Handler, Capture</x:v>
      </x:c>
      <x:c r="G105" s="180" t="str">
        <x:v>Listener(CxEventHandler handler, bool capture)</x:v>
      </x:c>
      <x:c r="H105" s="180" t="str">
        <x:v>—（待核）</x:v>
      </x:c>
      <x:c r="I105" s="180" t="str">
        <x:v>CxVisual.Core.CxEventTarget.Listener</x:v>
      </x:c>
      <x:c r="J105" s="179" t="str">
        <x:v>类</x:v>
      </x:c>
      <x:c r="K105" s="180" t="str">
        <x:v>V1.19 C-0537；原实施方式：原有。迁移风险：表达或管理Listener相关的数据及协作职责，具体行为待源码复核〔待核〕</x:v>
      </x:c>
      <x:c r="L105" s="183" t="str">
        <x:v>源代码声明·待复核</x:v>
      </x:c>
      <x:c r="M105" s="183" t="str">
        <x:v>C-0537</x:v>
      </x:c>
      <x:c r="N105" s="184" t="str">
        <x:v>Platform/Core/CxNodeEvents.cs; Platform/Channels/TcpClientTransportChannel.cs</x:v>
      </x:c>
      <x:c r="O105" s="183" t="str">
        <x:v>V1.19旧源码类型（真实成员/实现仍待核）
V2.01：来源ID对应；处置=保留源码·公开契约复核
V7.8：V7.8同名且源文件对应；Platform/Core/CxNodeEvents.cs</x:v>
      </x:c>
      <x:c r="P105" s="136" t="str">
        <x:v>V1.19旧源码类型（真实成员/实现仍待核）</x:v>
      </x:c>
    </x:row>
    <x:row r="106" ht="72" customHeight="1">
      <x:c r="A106" s="179" t="str">
        <x:v>M12</x:v>
      </x:c>
      <x:c r="B106" s="180" t="str">
        <x:v>逻辑与行为｜Command / State / Event / Action
Command Events</x:v>
      </x:c>
      <x:c r="C106" s="180" t="str">
        <x:v>MCENavigatePageActionModel</x:v>
      </x:c>
      <x:c r="D106" s="179" t="str">
        <x:v>原有·待核</x:v>
      </x:c>
      <x:c r="E106" s="180" t="str">
        <x:v>表达Navigate页面Action模型相关的数据结构、配置及状态视图</x:v>
      </x:c>
      <x:c r="F106" s="180" t="str">
        <x:v>TypeId, PageId, Parameters</x:v>
      </x:c>
      <x:c r="G106" s="180" t="str">
        <x:v>DeepClone(bool preserveId), CloneDictionary(Dictionary&lt;string, string&gt; source)</x:v>
      </x:c>
      <x:c r="H106" s="180" t="str">
        <x:v>—（待核）</x:v>
      </x:c>
      <x:c r="I106" s="180" t="str">
        <x:v>CxVisual.Core.NavigatePageActionModel</x:v>
      </x:c>
      <x:c r="J106" s="179" t="str">
        <x:v>类</x:v>
      </x:c>
      <x:c r="K106" s="180" t="str">
        <x:v>V1.19 C-0546；原实施方式：原有。迁移风险：表达Navigate页面Action模型相关的数据结构、配置及状态视图</x:v>
      </x:c>
      <x:c r="L106" s="183" t="str">
        <x:v>源代码声明·待复核</x:v>
      </x:c>
      <x:c r="M106" s="183" t="str">
        <x:v>C-0546</x:v>
      </x:c>
      <x:c r="N106" s="184" t="str">
        <x:v>Platform/Core/Behaviors.cs</x:v>
      </x:c>
      <x:c r="O106" s="183" t="str">
        <x:v>V1.19旧源码类型（真实成员/实现仍待核）
V2.01：来源ID对应；处置=保留源码·公开契约复核
V7.8：V7.8同名且源文件对应；Platform/Core/Behaviors.cs</x:v>
      </x:c>
      <x:c r="P106" s="136" t="str">
        <x:v>V1.19旧源码类型（真实成员/实现仍待核）</x:v>
      </x:c>
    </x:row>
    <x:row r="107" ht="72" customHeight="1">
      <x:c r="A107" s="179" t="str">
        <x:v>M12</x:v>
      </x:c>
      <x:c r="B107" s="180" t="str">
        <x:v>逻辑与行为｜Command / State / Event / Action
Command Events</x:v>
      </x:c>
      <x:c r="C107" s="180" t="str">
        <x:v>MCEOpenPopupActionModel</x:v>
      </x:c>
      <x:c r="D107" s="179" t="str">
        <x:v>原有·待核</x:v>
      </x:c>
      <x:c r="E107" s="180" t="str">
        <x:v>表达OpenPopupAction模型相关的数据结构、配置及状态视图</x:v>
      </x:c>
      <x:c r="F107" s="180" t="str">
        <x:v>TypeId, PopupId, Parameters</x:v>
      </x:c>
      <x:c r="G107" s="180" t="str">
        <x:v>DeepClone(bool preserveId)</x:v>
      </x:c>
      <x:c r="H107" s="180" t="str">
        <x:v>—（待核）</x:v>
      </x:c>
      <x:c r="I107" s="180" t="str">
        <x:v>CxVisual.Core.OpenPopupActionModel</x:v>
      </x:c>
      <x:c r="J107" s="179" t="str">
        <x:v>类</x:v>
      </x:c>
      <x:c r="K107" s="180" t="str">
        <x:v>V1.19 C-0547；原实施方式：原有。迁移风险：表达OpenPopupAction模型相关的数据结构、配置及状态视图</x:v>
      </x:c>
      <x:c r="L107" s="183" t="str">
        <x:v>源代码声明·待复核</x:v>
      </x:c>
      <x:c r="M107" s="183" t="str">
        <x:v>C-0547</x:v>
      </x:c>
      <x:c r="N107" s="184" t="str">
        <x:v>Platform/Core/Behaviors.cs</x:v>
      </x:c>
      <x:c r="O107" s="183" t="str">
        <x:v>V1.19旧源码类型（真实成员/实现仍待核）
V2.01：来源ID对应；处置=保留源码·公开契约复核
V7.8：V7.8同名且源文件对应；Platform/Core/Behaviors.cs</x:v>
      </x:c>
      <x:c r="P107" s="136" t="str">
        <x:v>V1.19旧源码类型（真实成员/实现仍待核）</x:v>
      </x:c>
    </x:row>
    <x:row r="108" ht="72" customHeight="1">
      <x:c r="A108" s="179" t="str">
        <x:v>M12</x:v>
      </x:c>
      <x:c r="B108" s="180" t="str">
        <x:v>逻辑与行为｜Command / State / Event / Action
Command Events</x:v>
      </x:c>
      <x:c r="C108" s="180" t="str">
        <x:v>MCEParallelActionModel</x:v>
      </x:c>
      <x:c r="D108" s="179" t="str">
        <x:v>原有·待核</x:v>
      </x:c>
      <x:c r="E108" s="180" t="str">
        <x:v>表达ParallelAction模型相关的数据结构、配置及状态视图</x:v>
      </x:c>
      <x:c r="F108" s="180" t="str">
        <x:v>TypeId, RequireAll, MaxConcurrency, Actions</x:v>
      </x:c>
      <x:c r="G108" s="180" t="str">
        <x:v>DeepClone(bool preserveId)</x:v>
      </x:c>
      <x:c r="H108" s="180" t="str">
        <x:v>—（待核）</x:v>
      </x:c>
      <x:c r="I108" s="180" t="str">
        <x:v>CxVisual.Core.ParallelActionModel</x:v>
      </x:c>
      <x:c r="J108" s="179" t="str">
        <x:v>类</x:v>
      </x:c>
      <x:c r="K108" s="180" t="str">
        <x:v>V1.19 C-0548；原实施方式：原有。迁移风险：表达ParallelAction模型相关的数据结构、配置及状态视图</x:v>
      </x:c>
      <x:c r="L108" s="183" t="str">
        <x:v>源代码声明·待复核</x:v>
      </x:c>
      <x:c r="M108" s="183" t="str">
        <x:v>C-0548</x:v>
      </x:c>
      <x:c r="N108" s="184" t="str">
        <x:v>Platform/Core/Behaviors.cs</x:v>
      </x:c>
      <x:c r="O108" s="183" t="str">
        <x:v>V1.19旧源码类型（真实成员/实现仍待核）
V2.01：来源ID对应；处置=保留源码·公开契约复核
V7.8：V7.8同名且源文件对应；Platform/Core/Behaviors.cs</x:v>
      </x:c>
      <x:c r="P108" s="136" t="str">
        <x:v>V1.19旧源码类型（真实成员/实现仍待核）</x:v>
      </x:c>
    </x:row>
    <x:row r="109" ht="72" customHeight="1">
      <x:c r="A109" s="179" t="str">
        <x:v>M12</x:v>
      </x:c>
      <x:c r="B109" s="180" t="str">
        <x:v>逻辑与行为｜Command / State / Event / Action
Command Events</x:v>
      </x:c>
      <x:c r="C109" s="180" t="str">
        <x:v>MCEPopupDefinition</x:v>
      </x:c>
      <x:c r="D109" s="179" t="str">
        <x:v>原有·待核</x:v>
      </x:c>
      <x:c r="E109" s="180" t="str">
        <x:v>声明Popup定义可配置的工程定义、字段和校验约束</x:v>
      </x:c>
      <x:c r="F109" s="180" t="str">
        <x:v>Id, Name, Page, IsModal, IsDraggable, IsResizable, Placement, X, Y, SingletonPolicy, CloseOnMask, AutoCloseMilliseconds, stringParameterNames</x:v>
      </x:c>
      <x:c r="G109" s="180" t="str">
        <x:v>PopupDefinition()</x:v>
      </x:c>
      <x:c r="H109" s="180" t="str">
        <x:v>—（待核）</x:v>
      </x:c>
      <x:c r="I109" s="180" t="str">
        <x:v>CxVisual.Core.PopupDefinition</x:v>
      </x:c>
      <x:c r="J109" s="179" t="str">
        <x:v>类</x:v>
      </x:c>
      <x:c r="K109" s="180" t="str">
        <x:v>V1.19 C-0549；原实施方式：原有。迁移风险：声明Popup定义可配置的工程定义、字段和校验约束</x:v>
      </x:c>
      <x:c r="L109" s="183" t="str">
        <x:v>源代码声明·待复核</x:v>
      </x:c>
      <x:c r="M109" s="183" t="str">
        <x:v>C-0549</x:v>
      </x:c>
      <x:c r="N109" s="184" t="str">
        <x:v>Platform/Core/Behaviors.cs</x:v>
      </x:c>
      <x:c r="O109" s="183" t="str">
        <x:v>V1.19旧源码类型（真实成员/实现仍待核）
V2.01：来源ID对应；处置=保留源码·公开契约复核
V7.8：V7.8同名且源文件对应；Platform/Core/Behaviors.cs</x:v>
      </x:c>
      <x:c r="P109" s="136" t="str">
        <x:v>V1.19旧源码类型（真实成员/实现仍待核）</x:v>
      </x:c>
    </x:row>
    <x:row r="110" ht="72" customHeight="1">
      <x:c r="A110" s="179" t="str">
        <x:v>M12</x:v>
      </x:c>
      <x:c r="B110" s="180" t="str">
        <x:v>逻辑与行为｜Command / State / Event / Action
Command Events</x:v>
      </x:c>
      <x:c r="C110" s="180" t="str">
        <x:v>MCEPulseTagActionModel</x:v>
      </x:c>
      <x:c r="D110" s="179" t="str">
        <x:v>原有·待核</x:v>
      </x:c>
      <x:c r="E110" s="180" t="str">
        <x:v>表达PulseTagAction模型相关的数据结构、配置及状态视图</x:v>
      </x:c>
      <x:c r="F110" s="180" t="str">
        <x:v>TypeId, VariableId, Value, RestoreValue, DurationMilliseconds, Reason</x:v>
      </x:c>
      <x:c r="G110" s="180" t="str">
        <x:v>DeepClone(bool preserveId)</x:v>
      </x:c>
      <x:c r="H110" s="180" t="str">
        <x:v>—（待核）</x:v>
      </x:c>
      <x:c r="I110" s="180" t="str">
        <x:v>CxVisual.Core.PulseTagActionModel</x:v>
      </x:c>
      <x:c r="J110" s="179" t="str">
        <x:v>类</x:v>
      </x:c>
      <x:c r="K110" s="180" t="str">
        <x:v>V1.19 C-0550；原实施方式：原有。迁移风险：表达PulseTagAction模型相关的数据结构、配置及状态视图</x:v>
      </x:c>
      <x:c r="L110" s="183" t="str">
        <x:v>源代码声明·待复核</x:v>
      </x:c>
      <x:c r="M110" s="183" t="str">
        <x:v>C-0550</x:v>
      </x:c>
      <x:c r="N110" s="184" t="str">
        <x:v>Platform/Core/Behaviors.cs</x:v>
      </x:c>
      <x:c r="O110" s="183" t="str">
        <x:v>V1.19旧源码类型（真实成员/实现仍待核）
V2.01：来源ID对应；处置=保留源码·公开契约复核
V7.8：V7.8同名且源文件对应；Platform/Core/Behaviors.cs</x:v>
      </x:c>
      <x:c r="P110" s="136" t="str">
        <x:v>V1.19旧源码类型（真实成员/实现仍待核）</x:v>
      </x:c>
    </x:row>
    <x:row r="111" ht="72" customHeight="1">
      <x:c r="A111" s="179" t="str">
        <x:v>M12</x:v>
      </x:c>
      <x:c r="B111" s="180" t="str">
        <x:v>逻辑与行为｜Command / State / Event / Action
Command Events</x:v>
      </x:c>
      <x:c r="C111" s="180" t="str">
        <x:v>MCERoute</x:v>
      </x:c>
      <x:c r="D111" s="179" t="str">
        <x:v>原有·待核</x:v>
      </x:c>
      <x:c r="E111" s="180" t="str">
        <x:v>表达或管理Route相关的数据及协作职责，具体行为待源码复核〔待核〕</x:v>
      </x:c>
      <x:c r="F111" s="180" t="str">
        <x:v>—（无公开声明或待核对）</x:v>
      </x:c>
      <x:c r="G111" s="180" t="str">
        <x:v>—(无公开声明或待核对)</x:v>
      </x:c>
      <x:c r="H111" s="180" t="str">
        <x:v>—（待核）</x:v>
      </x:c>
      <x:c r="I111" s="180" t="str">
        <x:v>CxVisual.Runtime.Core.EventRouter.Route</x:v>
      </x:c>
      <x:c r="J111" s="179" t="str">
        <x:v>类</x:v>
      </x:c>
      <x:c r="K111" s="180" t="str">
        <x:v>V1.19 C-0577；原实施方式：原有。迁移风险：表达或管理Route相关的数据及协作职责，具体行为待源码复核〔待核〕</x:v>
      </x:c>
      <x:c r="L111" s="183" t="str">
        <x:v>源代码声明·待复核</x:v>
      </x:c>
      <x:c r="M111" s="183" t="str">
        <x:v>C-0577</x:v>
      </x:c>
      <x:c r="N111" s="184" t="str">
        <x:v>Platform/Runtime/ActionRuntime.cs</x:v>
      </x:c>
      <x:c r="O111" s="183" t="str">
        <x:v>V1.19旧源码类型（真实成员/实现仍待核）
V2.01：未匹配V2.01；处置=暂无可信对应
V7.8：V7.8同名且源文件对应；Platform/Runtime/ActionRuntime.cs</x:v>
      </x:c>
      <x:c r="P111" s="136" t="str">
        <x:v>V1.19旧源码类型（真实成员/实现仍待核）</x:v>
      </x:c>
    </x:row>
    <x:row r="112" ht="72" customHeight="1">
      <x:c r="A112" s="179" t="str">
        <x:v>M12</x:v>
      </x:c>
      <x:c r="B112" s="180" t="str">
        <x:v>逻辑与行为｜Command / State / Event / Action
Command Events</x:v>
      </x:c>
      <x:c r="C112" s="180" t="str">
        <x:v>MCEScriptBinding</x:v>
      </x:c>
      <x:c r="D112" s="179" t="str">
        <x:v>原有·待核</x:v>
      </x:c>
      <x:c r="E112" s="180" t="str">
        <x:v>表达或管理Script绑定相关的数据及协作职责，具体行为待源码复核〔待核〕</x:v>
      </x:c>
      <x:c r="F112" s="180" t="str">
        <x:v>—（无公开声明或待核对）</x:v>
      </x:c>
      <x:c r="G112" s="180" t="str">
        <x:v>—(无公开声明或待核对)</x:v>
      </x:c>
      <x:c r="H112" s="180" t="str">
        <x:v>—（待核）</x:v>
      </x:c>
      <x:c r="I112" s="180" t="str">
        <x:v>CxVisual.Core.CxActionExecutor.ScriptBinding</x:v>
      </x:c>
      <x:c r="J112" s="179" t="str">
        <x:v>类</x:v>
      </x:c>
      <x:c r="K112" s="180" t="str">
        <x:v>V1.19 C-0521；原实施方式：原有。迁移风险：表达或管理Script绑定相关的数据及协作职责，具体行为待源码复核〔待核〕</x:v>
      </x:c>
      <x:c r="L112" s="183" t="str">
        <x:v>源代码声明·待复核</x:v>
      </x:c>
      <x:c r="M112" s="183" t="str">
        <x:v>C-0521</x:v>
      </x:c>
      <x:c r="N112" s="184" t="str">
        <x:v>Platform/Core/CxActionsRules.cs</x:v>
      </x:c>
      <x:c r="O112" s="183" t="str">
        <x:v>V1.19旧源码类型（真实成员/实现仍待核）
V2.01：来源ID对应；处置=保留源码·公开契约复核
V7.8：V7.8同名且源文件对应；Platform/Core/CxActionsRules.cs</x:v>
      </x:c>
      <x:c r="P112" s="136" t="str">
        <x:v>V1.19旧源码类型（真实成员/实现仍待核）</x:v>
      </x:c>
    </x:row>
    <x:row r="113" ht="72" customHeight="1">
      <x:c r="A113" s="179" t="str">
        <x:v>M12</x:v>
      </x:c>
      <x:c r="B113" s="180" t="str">
        <x:v>逻辑与行为｜Command / State / Event / Action
Command Events</x:v>
      </x:c>
      <x:c r="C113" s="180" t="str">
        <x:v>MCESequenceActionModel</x:v>
      </x:c>
      <x:c r="D113" s="179" t="str">
        <x:v>原有·待核</x:v>
      </x:c>
      <x:c r="E113" s="180" t="str">
        <x:v>表达SequenceAction模型相关的数据结构、配置及状态视图</x:v>
      </x:c>
      <x:c r="F113" s="180" t="str">
        <x:v>TypeId, ContinueOnError, Actions</x:v>
      </x:c>
      <x:c r="G113" s="180" t="str">
        <x:v>DeepClone(bool preserveId)</x:v>
      </x:c>
      <x:c r="H113" s="180" t="str">
        <x:v>—（待核）</x:v>
      </x:c>
      <x:c r="I113" s="180" t="str">
        <x:v>CxVisual.Core.SequenceActionModel</x:v>
      </x:c>
      <x:c r="J113" s="179" t="str">
        <x:v>类</x:v>
      </x:c>
      <x:c r="K113" s="180" t="str">
        <x:v>V1.19 C-0551；原实施方式：原有。迁移风险：表达SequenceAction模型相关的数据结构、配置及状态视图</x:v>
      </x:c>
      <x:c r="L113" s="183" t="str">
        <x:v>源代码声明·待复核</x:v>
      </x:c>
      <x:c r="M113" s="183" t="str">
        <x:v>C-0551</x:v>
      </x:c>
      <x:c r="N113" s="184" t="str">
        <x:v>Platform/Core/Behaviors.cs</x:v>
      </x:c>
      <x:c r="O113" s="183" t="str">
        <x:v>V1.19旧源码类型（真实成员/实现仍待核）
V2.01：来源ID对应；处置=保留源码·公开契约复核
V7.8：V7.8同名且源文件对应；Platform/Core/Behaviors.cs</x:v>
      </x:c>
      <x:c r="P113" s="136" t="str">
        <x:v>V1.19旧源码类型（真实成员/实现仍待核）</x:v>
      </x:c>
    </x:row>
    <x:row r="114" ht="72" customHeight="1">
      <x:c r="A114" s="179" t="str">
        <x:v>M12</x:v>
      </x:c>
      <x:c r="B114" s="180" t="str">
        <x:v>逻辑与行为｜Command / State / Event / Action
Command Events</x:v>
      </x:c>
      <x:c r="C114" s="180" t="str">
        <x:v>MCESetPropertyActionModel</x:v>
      </x:c>
      <x:c r="D114" s="179" t="str">
        <x:v>原有·待核</x:v>
      </x:c>
      <x:c r="E114" s="180" t="str">
        <x:v>表达Set属性Action模型相关的数据结构、配置及状态视图</x:v>
      </x:c>
      <x:c r="F114" s="180" t="str">
        <x:v>TypeId, ElementId, Property, Value</x:v>
      </x:c>
      <x:c r="G114" s="180" t="str">
        <x:v>DeepClone(bool preserveId)</x:v>
      </x:c>
      <x:c r="H114" s="180" t="str">
        <x:v>—（待核）</x:v>
      </x:c>
      <x:c r="I114" s="180" t="str">
        <x:v>CxVisual.Core.SetPropertyActionModel</x:v>
      </x:c>
      <x:c r="J114" s="179" t="str">
        <x:v>类</x:v>
      </x:c>
      <x:c r="K114" s="180" t="str">
        <x:v>V1.19 C-0552；原实施方式：原有。迁移风险：表达Set属性Action模型相关的数据结构、配置及状态视图</x:v>
      </x:c>
      <x:c r="L114" s="183" t="str">
        <x:v>源代码声明·待复核</x:v>
      </x:c>
      <x:c r="M114" s="183" t="str">
        <x:v>C-0552</x:v>
      </x:c>
      <x:c r="N114" s="184" t="str">
        <x:v>Platform/Core/Behaviors.cs</x:v>
      </x:c>
      <x:c r="O114" s="183" t="str">
        <x:v>V1.19旧源码类型（真实成员/实现仍待核）
V2.01：来源ID对应；处置=保留源码·公开契约复核
V7.8：V7.8同名且源文件对应；Platform/Core/Behaviors.cs</x:v>
      </x:c>
      <x:c r="P114" s="136" t="str">
        <x:v>V1.19旧源码类型（真实成员/实现仍待核）</x:v>
      </x:c>
    </x:row>
    <x:row r="115" ht="72" customHeight="1">
      <x:c r="A115" s="179" t="str">
        <x:v>M12</x:v>
      </x:c>
      <x:c r="B115" s="180" t="str">
        <x:v>逻辑与行为｜Command / State / Event / Action
Command Events</x:v>
      </x:c>
      <x:c r="C115" s="180" t="str">
        <x:v>MCEStateEnvelope&lt;T&gt;</x:v>
      </x:c>
      <x:c r="D115" s="179" t="str">
        <x:v>原有·待核</x:v>
      </x:c>
      <x:c r="E115" s="180" t="str">
        <x:v>表达或管理状态EnvelopeT相关的数据及协作职责，具体行为待源码复核〔待核〕</x:v>
      </x:c>
      <x:c r="F115" s="180" t="str">
        <x:v>SourceId, StateTypeId, Value, TimestampUtc, Sequence, Quality</x:v>
      </x:c>
      <x:c r="G115" s="180" t="str">
        <x:v>—(无公开声明或待核对)</x:v>
      </x:c>
      <x:c r="H115" s="180" t="str">
        <x:v>—（待核）</x:v>
      </x:c>
      <x:c r="I115" s="180" t="str">
        <x:v>CxVisual.Platform.Information.StateEnvelope&lt;T&gt;</x:v>
      </x:c>
      <x:c r="J115" s="179" t="str">
        <x:v>类</x:v>
      </x:c>
      <x:c r="K115" s="180" t="str">
        <x:v>V1.19 C-0560；原实施方式：原有。迁移风险：表达或管理状态EnvelopeT相关的数据及协作职责，具体行为待源码复核〔待核〕</x:v>
      </x:c>
      <x:c r="L115" s="183" t="str">
        <x:v>源代码声明·待复核</x:v>
      </x:c>
      <x:c r="M115" s="183" t="str">
        <x:v>C-0560</x:v>
      </x:c>
      <x:c r="N115" s="184" t="str">
        <x:v>D:\cyg\cx-visual-x2\Platform\Information\PlatformInformation.cs:6</x:v>
      </x:c>
      <x:c r="O115" s="183" t="str">
        <x:v>V1.19旧源码类型（真实成员/实现仍待核）
V2.01：来源ID对应；处置=保留源码·公开契约复核
V7.8：V7.8同名且源文件对应；Platform/Information/PlatformInformation.cs</x:v>
      </x:c>
      <x:c r="P115" s="136" t="str">
        <x:v>V1.19旧源码类型（真实成员/实现仍待核）</x:v>
      </x:c>
    </x:row>
    <x:row r="116" ht="72" customHeight="1">
      <x:c r="A116" s="179" t="str">
        <x:v>M12</x:v>
      </x:c>
      <x:c r="B116" s="180" t="str">
        <x:v>逻辑与行为｜Command / State / Event / Action
Command Events</x:v>
      </x:c>
      <x:c r="C116" s="180" t="str">
        <x:v>MCEStreamEnvelope&lt;T&gt;</x:v>
      </x:c>
      <x:c r="D116" s="179" t="str">
        <x:v>原有·待核</x:v>
      </x:c>
      <x:c r="E116" s="180" t="str">
        <x:v>表达或管理流EnvelopeT相关的数据及协作职责，具体行为待源码复核〔待核〕</x:v>
      </x:c>
      <x:c r="F116" s="180" t="str">
        <x:v>StreamId, SourceId, Sequence, TimestampUtc, Data</x:v>
      </x:c>
      <x:c r="G116" s="180" t="str">
        <x:v>—(无公开声明或待核对)</x:v>
      </x:c>
      <x:c r="H116" s="180" t="str">
        <x:v>—（待核）</x:v>
      </x:c>
      <x:c r="I116" s="180" t="str">
        <x:v>CxVisual.Platform.Information.StreamEnvelope&lt;T&gt;</x:v>
      </x:c>
      <x:c r="J116" s="179" t="str">
        <x:v>类</x:v>
      </x:c>
      <x:c r="K116" s="180" t="str">
        <x:v>V1.19 C-0561；原实施方式：原有。迁移风险：表达或管理流EnvelopeT相关的数据及协作职责，具体行为待源码复核〔待核〕</x:v>
      </x:c>
      <x:c r="L116" s="183" t="str">
        <x:v>源代码声明·待复核</x:v>
      </x:c>
      <x:c r="M116" s="183" t="str">
        <x:v>C-0561</x:v>
      </x:c>
      <x:c r="N116" s="184" t="str">
        <x:v>D:\cyg\cx-visual-x2\Platform\Information\PlatformInformation.cs:36</x:v>
      </x:c>
      <x:c r="O116" s="183" t="str">
        <x:v>V1.19旧源码类型（真实成员/实现仍待核）
V2.01：未匹配V2.01；处置=暂无可信对应
V7.8：V7.8同名且源文件对应；Platform/Information/PlatformInformation.cs</x:v>
      </x:c>
      <x:c r="P116" s="136" t="str">
        <x:v>V1.19旧源码类型（真实成员/实现仍待核）</x:v>
      </x:c>
    </x:row>
    <x:row r="117" ht="72" customHeight="1">
      <x:c r="A117" s="179" t="str">
        <x:v>M12</x:v>
      </x:c>
      <x:c r="B117" s="180" t="str">
        <x:v>逻辑与行为｜Command / State / Event / Action
Command Events</x:v>
      </x:c>
      <x:c r="C117" s="180" t="str">
        <x:v>MCEToggleTagActionModel</x:v>
      </x:c>
      <x:c r="D117" s="179" t="str">
        <x:v>原有·待核</x:v>
      </x:c>
      <x:c r="E117" s="180" t="str">
        <x:v>表达ToggleTagAction模型相关的数据结构、配置及状态视图</x:v>
      </x:c>
      <x:c r="F117" s="180" t="str">
        <x:v>TypeId, VariableId, Reason, RequireConfirmation</x:v>
      </x:c>
      <x:c r="G117" s="180" t="str">
        <x:v>DeepClone(bool preserveId)</x:v>
      </x:c>
      <x:c r="H117" s="180" t="str">
        <x:v>—（待核）</x:v>
      </x:c>
      <x:c r="I117" s="180" t="str">
        <x:v>CxVisual.Core.ToggleTagActionModel</x:v>
      </x:c>
      <x:c r="J117" s="179" t="str">
        <x:v>类</x:v>
      </x:c>
      <x:c r="K117" s="180" t="str">
        <x:v>V1.19 C-0553；原实施方式：原有。迁移风险：表达ToggleTagAction模型相关的数据结构、配置及状态视图</x:v>
      </x:c>
      <x:c r="L117" s="183" t="str">
        <x:v>源代码声明·待复核</x:v>
      </x:c>
      <x:c r="M117" s="183" t="str">
        <x:v>C-0553</x:v>
      </x:c>
      <x:c r="N117" s="184" t="str">
        <x:v>Platform/Core/Behaviors.cs</x:v>
      </x:c>
      <x:c r="O117" s="183" t="str">
        <x:v>V1.19旧源码类型（真实成员/实现仍待核）
V2.01：来源ID对应；处置=保留源码·公开契约复核
V7.8：V7.8同名且源文件对应；Platform/Core/Behaviors.cs</x:v>
      </x:c>
      <x:c r="P117" s="136" t="str">
        <x:v>V1.19旧源码类型（真实成员/实现仍待核）</x:v>
      </x:c>
    </x:row>
    <x:row r="118" ht="72" customHeight="1">
      <x:c r="A118" s="179" t="str">
        <x:v>M12</x:v>
      </x:c>
      <x:c r="B118" s="180" t="str">
        <x:v>逻辑与行为｜Command / State / Event / Action
Command Events</x:v>
      </x:c>
      <x:c r="C118" s="180" t="str">
        <x:v>MCEWriteTagActionModel</x:v>
      </x:c>
      <x:c r="D118" s="179" t="str">
        <x:v>原有·待核</x:v>
      </x:c>
      <x:c r="E118" s="180" t="str">
        <x:v>表达WriteTagAction模型相关的数据结构、配置及状态视图</x:v>
      </x:c>
      <x:c r="F118" s="180" t="str">
        <x:v>TypeId, VariableId, Value, ValueExpression, Reason, RequireConfirmation</x:v>
      </x:c>
      <x:c r="G118" s="180" t="str">
        <x:v>DeepClone(bool preserveId)</x:v>
      </x:c>
      <x:c r="H118" s="180" t="str">
        <x:v>—（待核）</x:v>
      </x:c>
      <x:c r="I118" s="180" t="str">
        <x:v>CxVisual.Core.WriteTagActionModel</x:v>
      </x:c>
      <x:c r="J118" s="179" t="str">
        <x:v>类</x:v>
      </x:c>
      <x:c r="K118" s="180" t="str">
        <x:v>V1.19 C-0554；原实施方式：原有。迁移风险：表达WriteTagAction模型相关的数据结构、配置及状态视图</x:v>
      </x:c>
      <x:c r="L118" s="183" t="str">
        <x:v>源代码声明·待复核</x:v>
      </x:c>
      <x:c r="M118" s="183" t="str">
        <x:v>C-0554</x:v>
      </x:c>
      <x:c r="N118" s="184" t="str">
        <x:v>Platform/Core/Behaviors.cs</x:v>
      </x:c>
      <x:c r="O118" s="183" t="str">
        <x:v>V1.19旧源码类型（真实成员/实现仍待核）
V2.01：来源ID对应；处置=保留源码·公开契约复核
V7.8：V7.8同名且源文件对应；Platform/Core/Behaviors.cs</x:v>
      </x:c>
      <x:c r="P118" s="136" t="str">
        <x:v>V1.19旧源码类型（真实成员/实现仍待核）</x:v>
      </x:c>
    </x:row>
    <x:row r="119" ht="72" customHeight="1">
      <x:c r="A119" s="179" t="str">
        <x:v>M12</x:v>
      </x:c>
      <x:c r="B119" s="180" t="str">
        <x:v>逻辑与行为｜Command / State / Event / Action
Command Events</x:v>
      </x:c>
      <x:c r="C119" s="180" t="str">
        <x:v>CxCommandRequest</x:v>
      </x:c>
      <x:c r="D119" s="179" t="str">
        <x:v>原有·待核</x:v>
      </x:c>
      <x:c r="E119" s="180" t="str">
        <x:v>命令请求</x:v>
      </x:c>
      <x:c r="F119" s="180" t="str">
        <x:v>CommandId；Payload；Caller；Mode；Correlation</x:v>
      </x:c>
      <x:c r="G119" s="180" t="str">
        <x:v>命令请求</x:v>
      </x:c>
      <x:c r="H119" s="180" t="str">
        <x:v>待逐对象核实</x:v>
      </x:c>
      <x:c r="I119" s="180" t="str">
        <x:v>运行对象/模型</x:v>
      </x:c>
      <x:c r="J119" s="179" t="str">
        <x:v>类/实例候选</x:v>
      </x:c>
      <x:c r="K119" s="180" t="str">
        <x:v>V1.19 C-0525：原有；生命周期：Runtime</x:v>
      </x:c>
      <x:c r="L119" s="183" t="str">
        <x:v>V7.8源码词法匹配，尚未验收</x:v>
      </x:c>
      <x:c r="M119" s="183" t="str">
        <x:v>M12.CxCommandRequest</x:v>
      </x:c>
      <x:c r="N119" s="184" t="str">
        <x:v>Platform/Core/CxCommandContracts.cs</x:v>
      </x:c>
      <x:c r="O119" s="183" t="str">
        <x:v>V4.9对象/属性/方法
V2.01：未匹配V2.01；处置=暂无可信对应
V7.8：V7.8未检出同名词法声明</x:v>
      </x:c>
      <x:c r="P119" s="136" t="str">
        <x:v>V4.9对象/属性/方法</x:v>
      </x:c>
    </x:row>
    <x:row r="120" ht="72" customHeight="1">
      <x:c r="A120" s="179" t="str">
        <x:v>M12</x:v>
      </x:c>
      <x:c r="B120" s="180" t="str">
        <x:v>逻辑与行为｜Command / State / Event / Action
Command Events</x:v>
      </x:c>
      <x:c r="C120" s="180" t="str">
        <x:v>CxCommandResult</x:v>
      </x:c>
      <x:c r="D120" s="179" t="str">
        <x:v>原有·待核</x:v>
      </x:c>
      <x:c r="E120" s="180" t="str">
        <x:v>命令结果</x:v>
      </x:c>
      <x:c r="F120" s="180" t="str">
        <x:v>Status；Output；Fault；Diagnostics</x:v>
      </x:c>
      <x:c r="G120" s="180" t="str">
        <x:v>命令结果</x:v>
      </x:c>
      <x:c r="H120" s="180" t="str">
        <x:v>待逐对象核实</x:v>
      </x:c>
      <x:c r="I120" s="180" t="str">
        <x:v>运行对象/模型</x:v>
      </x:c>
      <x:c r="J120" s="179" t="str">
        <x:v>类/实例候选</x:v>
      </x:c>
      <x:c r="K120" s="180" t="str">
        <x:v>V1.19 C-0526：原有；生命周期：Runtime</x:v>
      </x:c>
      <x:c r="L120" s="183" t="str">
        <x:v>V7.8源码词法匹配，尚未验收</x:v>
      </x:c>
      <x:c r="M120" s="183" t="str">
        <x:v>M12.CxCommandResult</x:v>
      </x:c>
      <x:c r="N120" s="184" t="str">
        <x:v>Platform/Core/CxCommandContracts.cs</x:v>
      </x:c>
      <x:c r="O120" s="183" t="str">
        <x:v>V4.9对象/属性/方法
V2.01：未匹配V2.01；处置=暂无可信对应
V7.8：V7.8未检出同名词法声明</x:v>
      </x:c>
      <x:c r="P120" s="136" t="str">
        <x:v>V4.9对象/属性/方法</x:v>
      </x:c>
    </x:row>
    <x:row r="121" ht="72" customHeight="1">
      <x:c r="A121" s="179" t="str">
        <x:v>M12</x:v>
      </x:c>
      <x:c r="B121" s="180" t="str">
        <x:v>逻辑与行为｜Command / State / Event / Action
Command Events</x:v>
      </x:c>
      <x:c r="C121" s="180" t="str">
        <x:v>CxRuntimeEvent</x:v>
      </x:c>
      <x:c r="D121" s="179" t="str">
        <x:v>复用待核</x:v>
      </x:c>
      <x:c r="E121" s="180" t="str">
        <x:v>已发生事实</x:v>
      </x:c>
      <x:c r="F121" s="180" t="str">
        <x:v>EventId；Source；Timestamp；Payload；Correlation</x:v>
      </x:c>
      <x:c r="G121" s="180" t="str">
        <x:v>已发生事实</x:v>
      </x:c>
      <x:c r="H121" s="180" t="str">
        <x:v>待逐对象核实</x:v>
      </x:c>
      <x:c r="I121" s="180" t="str">
        <x:v>运行对象/模型</x:v>
      </x:c>
      <x:c r="J121" s="179" t="str">
        <x:v>类/实例候选</x:v>
      </x:c>
      <x:c r="K121" s="180" t="str">
        <x:v>生命周期：Runtime</x:v>
      </x:c>
      <x:c r="L121" s="183" t="str">
        <x:v>V7.8源码词法匹配，尚未验收</x:v>
      </x:c>
      <x:c r="M121" s="183" t="str">
        <x:v>M12.CxRuntimeEvent</x:v>
      </x:c>
      <x:c r="N121" s="184" t="str">
        <x:v>Platform/Orchestration/Runtime/CxRuntimeEventBus.cs</x:v>
      </x:c>
      <x:c r="O121" s="183" t="str">
        <x:v>V4.9对象/属性/方法
V2.01：未匹配V2.01；处置=暂无可信对应
V7.8：V7.8未检出同名词法声明</x:v>
      </x:c>
      <x:c r="P121" s="136" t="str">
        <x:v>V4.9对象/属性/方法</x:v>
      </x:c>
    </x:row>
    <x:row r="122" ht="72" customHeight="1">
      <x:c r="A122" s="179" t="str">
        <x:v>M12</x:v>
      </x:c>
      <x:c r="B122" s="180" t="str">
        <x:v>逻辑与行为｜Command / State / Event / Action
Command Events</x:v>
      </x:c>
      <x:c r="C122" s="180" t="str">
        <x:v>MCEActionDescriptor</x:v>
      </x:c>
      <x:c r="D122" s="179" t="str">
        <x:v>增构候选·待查重</x:v>
      </x:c>
      <x:c r="E122" s="180" t="str">
        <x:v>Action映射</x:v>
      </x:c>
      <x:c r="F122" s="180" t="str">
        <x:v>Trigger；ActionType；Target；Parameters</x:v>
      </x:c>
      <x:c r="G122" s="180" t="str">
        <x:v>Action映射</x:v>
      </x:c>
      <x:c r="H122" s="180" t="str">
        <x:v>待逐对象核实</x:v>
      </x:c>
      <x:c r="I122" s="180" t="str">
        <x:v>ActionDescriptor</x:v>
      </x:c>
      <x:c r="J122" s="179" t="str">
        <x:v>类/实例候选</x:v>
      </x:c>
      <x:c r="K122" s="180" t="str">
        <x:v>生命周期：Definition</x:v>
      </x:c>
      <x:c r="L122" s="183" t="str">
        <x:v>设计候选，尚待源码验证</x:v>
      </x:c>
      <x:c r="M122" s="183" t="str">
        <x:v>M12.ActionDescriptor</x:v>
      </x:c>
      <x:c r="N122" s="184" t="str">
        <x:v>03_能力对象!C102</x:v>
      </x:c>
      <x:c r="O122" s="183" t="str">
        <x:v>V4.9对象/属性/方法
V2.01：名称/子方面线索；处置=规划独立契约候选·未批准新增
V7.8：V7.8未检出同名词法声明</x:v>
      </x:c>
      <x:c r="P122" s="136" t="str">
        <x:v>V4.9对象/属性/方法</x:v>
      </x:c>
    </x:row>
    <x:row r="123" ht="72" customHeight="1">
      <x:c r="A123" s="179" t="str">
        <x:v>M12</x:v>
      </x:c>
      <x:c r="B123" s="180" t="str">
        <x:v>逻辑与行为｜Command / State / Event / Action
Command Events</x:v>
      </x:c>
      <x:c r="C123" s="180" t="str">
        <x:v>MCECommandDefinition</x:v>
      </x:c>
      <x:c r="D123" s="179" t="str">
        <x:v>增构候选·待查重</x:v>
      </x:c>
      <x:c r="E123" s="180" t="str">
        <x:v>命令契约</x:v>
      </x:c>
      <x:c r="F123" s="180" t="str">
        <x:v>CommandId；InputType；ResultType；Permission</x:v>
      </x:c>
      <x:c r="G123" s="180" t="str">
        <x:v>命令契约</x:v>
      </x:c>
      <x:c r="H123" s="180" t="str">
        <x:v>待逐对象核实</x:v>
      </x:c>
      <x:c r="I123" s="180" t="str">
        <x:v>CommandDefinition</x:v>
      </x:c>
      <x:c r="J123" s="179" t="str">
        <x:v>接口候选</x:v>
      </x:c>
      <x:c r="K123" s="180" t="str">
        <x:v>生命周期：Definition</x:v>
      </x:c>
      <x:c r="L123" s="183" t="str">
        <x:v>设计候选，尚待源码验证</x:v>
      </x:c>
      <x:c r="M123" s="183" t="str">
        <x:v>M12.CommandDefinition</x:v>
      </x:c>
      <x:c r="N123" s="184"/>
      <x:c r="O123" s="183" t="str">
        <x:v>V4.9对象/属性/方法
V2.01：未匹配V2.01；处置=暂无可信对应
V7.8：V7.8未检出同名词法声明</x:v>
      </x:c>
      <x:c r="P123" s="136" t="str">
        <x:v>V4.9对象/属性/方法</x:v>
      </x:c>
    </x:row>
    <x:row r="124" ht="72" customHeight="1">
      <x:c r="A124" s="179" t="str">
        <x:v>M12</x:v>
      </x:c>
      <x:c r="B124" s="180" t="str">
        <x:v>逻辑与行为｜Command / State / Event / Action
Command Events</x:v>
      </x:c>
      <x:c r="C124" s="180" t="str">
        <x:v>MCEEventDefinition</x:v>
      </x:c>
      <x:c r="D124" s="179" t="str">
        <x:v>增构候选·待查重</x:v>
      </x:c>
      <x:c r="E124" s="180" t="str">
        <x:v>事件契约</x:v>
      </x:c>
      <x:c r="F124" s="180" t="str">
        <x:v>EventId；PayloadType；Version</x:v>
      </x:c>
      <x:c r="G124" s="180" t="str">
        <x:v>事件契约</x:v>
      </x:c>
      <x:c r="H124" s="180" t="str">
        <x:v>待逐对象核实</x:v>
      </x:c>
      <x:c r="I124" s="180" t="str">
        <x:v>EventDefinition</x:v>
      </x:c>
      <x:c r="J124" s="179" t="str">
        <x:v>接口候选</x:v>
      </x:c>
      <x:c r="K124" s="180" t="str">
        <x:v>生命周期：Definition</x:v>
      </x:c>
      <x:c r="L124" s="183" t="str">
        <x:v>设计候选，尚待源码验证</x:v>
      </x:c>
      <x:c r="M124" s="183" t="str">
        <x:v>M12.EventDefinition</x:v>
      </x:c>
      <x:c r="N124" s="184"/>
      <x:c r="O124" s="183" t="str">
        <x:v>V4.9对象/属性/方法
V2.01：未匹配V2.01；处置=暂无可信对应
V7.8：V7.8未检出同名词法声明</x:v>
      </x:c>
      <x:c r="P124" s="136" t="str">
        <x:v>V4.9对象/属性/方法</x:v>
      </x:c>
    </x:row>
    <x:row r="125" ht="72" customHeight="1">
      <x:c r="A125" s="179" t="str">
        <x:v>M12</x:v>
      </x:c>
      <x:c r="B125" s="180" t="str">
        <x:v>逻辑与行为｜Command / State / Event / Action
Command Events</x:v>
      </x:c>
      <x:c r="C125" s="180" t="str">
        <x:v>MCEEventSubscription</x:v>
      </x:c>
      <x:c r="D125" s="179" t="str">
        <x:v>增构候选·待查重</x:v>
      </x:c>
      <x:c r="E125" s="180" t="str">
        <x:v>事件订阅</x:v>
      </x:c>
      <x:c r="F125" s="180" t="str">
        <x:v>Source；Filter；Target；Lifetime</x:v>
      </x:c>
      <x:c r="G125" s="180" t="str">
        <x:v>事件订阅</x:v>
      </x:c>
      <x:c r="H125" s="180" t="str">
        <x:v>待逐对象核实</x:v>
      </x:c>
      <x:c r="I125" s="180" t="str">
        <x:v>运行对象/模型</x:v>
      </x:c>
      <x:c r="J125" s="179" t="str">
        <x:v>类/实例候选</x:v>
      </x:c>
      <x:c r="K125" s="180" t="str">
        <x:v>生命周期：Definition</x:v>
      </x:c>
      <x:c r="L125" s="183" t="str">
        <x:v>设计候选，尚待源码验证</x:v>
      </x:c>
      <x:c r="M125" s="183" t="str">
        <x:v>M12.EventSubscription</x:v>
      </x:c>
      <x:c r="N125" s="184"/>
      <x:c r="O125" s="183" t="str">
        <x:v>V4.9对象/属性/方法
V2.01：未匹配V2.01；处置=暂无可信对应
V7.8：V7.8未检出同名词法声明</x:v>
      </x:c>
      <x:c r="P125" s="136" t="str">
        <x:v>V4.9对象/属性/方法</x:v>
      </x:c>
    </x:row>
    <x:row r="126" ht="72" customHeight="1">
      <x:c r="A126" s="179" t="str">
        <x:v>M12</x:v>
      </x:c>
      <x:c r="B126" s="180" t="str">
        <x:v>逻辑与行为｜Command / State / Event / Action
Command Events</x:v>
      </x:c>
      <x:c r="C126" s="180" t="str">
        <x:v>MCEStateDefinition</x:v>
      </x:c>
      <x:c r="D126" s="179" t="str">
        <x:v>增构候选·待查重</x:v>
      </x:c>
      <x:c r="E126" s="180" t="str">
        <x:v>状态契约</x:v>
      </x:c>
      <x:c r="F126" s="180" t="str">
        <x:v>StateId；Type；Values</x:v>
      </x:c>
      <x:c r="G126" s="180" t="str">
        <x:v>状态契约</x:v>
      </x:c>
      <x:c r="H126" s="180" t="str">
        <x:v>待逐对象核实</x:v>
      </x:c>
      <x:c r="I126" s="180" t="str">
        <x:v>StateDefinition</x:v>
      </x:c>
      <x:c r="J126" s="179" t="str">
        <x:v>接口候选</x:v>
      </x:c>
      <x:c r="K126" s="180" t="str">
        <x:v>生命周期：Definition</x:v>
      </x:c>
      <x:c r="L126" s="183" t="str">
        <x:v>设计候选，尚待源码验证</x:v>
      </x:c>
      <x:c r="M126" s="183" t="str">
        <x:v>M12.StateDefinition</x:v>
      </x:c>
      <x:c r="N126" s="184"/>
      <x:c r="O126" s="183" t="str">
        <x:v>V4.9对象/属性/方法
V2.01：未匹配V2.01；处置=暂无可信对应
V7.8：V7.8未检出同名词法声明</x:v>
      </x:c>
      <x:c r="P126" s="136" t="str">
        <x:v>V4.9对象/属性/方法</x:v>
      </x:c>
    </x:row>
    <x:row r="127" ht="72" customHeight="1">
      <x:c r="A127" s="179" t="str">
        <x:v>M12</x:v>
      </x:c>
      <x:c r="B127" s="180" t="str">
        <x:v>逻辑与行为｜Command / State / Event / Action
Command Events</x:v>
      </x:c>
      <x:c r="C127" s="180" t="str">
        <x:v>IMCECommandDefinition</x:v>
      </x:c>
      <x:c r="D127" s="179" t="str">
        <x:v>增构候选·待查重</x:v>
      </x:c>
      <x:c r="E127" s="180" t="str">
        <x:v>命令契约</x:v>
      </x:c>
      <x:c r="F127" s="180" t="str">
        <x:v>CommandId, InputType, ResultType, Permission</x:v>
      </x:c>
      <x:c r="G127" s="180" t="str">
        <x:v>命令契约</x:v>
      </x:c>
      <x:c r="H127" s="180" t="str">
        <x:v>—（待核）</x:v>
      </x:c>
      <x:c r="I127" s="180" t="str">
        <x:v>CommandDefinition</x:v>
      </x:c>
      <x:c r="J127" s="179" t="str">
        <x:v>接口（候选）</x:v>
      </x:c>
      <x:c r="K127" s="180" t="str">
        <x:v>V1.19 S-0328；原实施方式：增构候选。迁移风险：命令契约</x:v>
      </x:c>
      <x:c r="L127" s="183" t="str">
        <x:v>V1.19设计候选·待核</x:v>
      </x:c>
      <x:c r="M127" s="183" t="str">
        <x:v>S-0328</x:v>
      </x:c>
      <x:c r="N127" s="184" t="str">
        <x:v>03_能力对象!C103</x:v>
      </x:c>
      <x:c r="O127" s="183" t="str">
        <x:v>V1.19旧规格候选
V2.01：来源ID对应；处置=规划独立契约候选·未批准新增
V7.8：V7.8未检出同名词法声明</x:v>
      </x:c>
      <x:c r="P127" s="136" t="str">
        <x:v>V1.19旧规格候选</x:v>
      </x:c>
    </x:row>
  </x:sheetData>
  <x:mergeCells>
    <x:mergeCell ref="A6:A49"/>
    <x:mergeCell ref="A50:A127"/>
    <x:mergeCell ref="A1:P1"/>
    <x:mergeCell ref="A2:P2"/>
    <x:mergeCell ref="A3:P3"/>
    <x:mergeCell ref="A4:P4"/>
    <x:mergeCell ref="B6:B49"/>
    <x:mergeCell ref="B50:B127"/>
  </x:mergeCells>
  <x:pageMargins left="0.7" right="0.7" top="0.75" bottom="0.75" header="0.3" footer="0.3"/>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CxVisual.Mechanism.Connectivity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子方面：M13、M14、M15｜来源：V1.19旧类型 + V4.9对象 + V7.8源码 + V5.0/R3架构裁决｜本项目 117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135" customHeight="1">
      <x:c r="A6" s="179" t="str">
        <x:v>M13</x:v>
      </x:c>
      <x:c r="B6" s="180" t="str">
        <x:v>通信与集成｜Channel Foundation
Channel Communication</x:v>
      </x:c>
      <x:c r="C6" s="180" t="str">
        <x:v>IMCCChannel</x:v>
      </x:c>
      <x:c r="D6" s="179" t="str">
        <x:v>原有·待核</x:v>
      </x:c>
      <x:c r="E6" s="180" t="str">
        <x:v>负责通道相关的统一通道与公共契约管理</x:v>
      </x:c>
      <x:c r="F6" s="180" t="str">
        <x:v>Id, Descriptor, State, HealthSnapshot, FrameDiagnostics, ChannelId, Endpoint, Health, Diagnostics, HealthChanged</x:v>
      </x:c>
      <x:c r="G6" s="180" t="str">
        <x:v>OpenAsync(CancellationToken cancellationToken), CloseAsync(CancellationToken cancellationToken), RequestAsync(byterequest, int responseLength, CancellationToken cancellationToken), Subscribe(Action&lt;byte&gt; callback), Unsubscribe(string subscriptionId), ConnectAsync(CancellationToken cancellationToken), DisconnectAsync(CancellationToken cancellationToken), SendAsync(bytebuffer, int offset, int count, CancellationToken cancellationToken), ReceiveAsync(bytebuffer, int offset, int count, CancellationToken cancellationToken), Close()</x:v>
      </x:c>
      <x:c r="H6" s="180" t="str">
        <x:v>—（待核）</x:v>
      </x:c>
      <x:c r="I6" s="180" t="str">
        <x:v>CxVisual.Platform.Channels.IChannel</x:v>
      </x:c>
      <x:c r="J6" s="179" t="str">
        <x:v>接口</x:v>
      </x:c>
      <x:c r="K6" s="180" t="str">
        <x:v>V1.19 C-0603；原实施方式：原有。迁移风险：负责通道相关的统一通道与公共契约管理</x:v>
      </x:c>
      <x:c r="L6" s="183" t="str">
        <x:v>源代码声明·待复核</x:v>
      </x:c>
      <x:c r="M6" s="183" t="str">
        <x:v>C-0603</x:v>
      </x:c>
      <x:c r="N6" s="184" t="str">
        <x:v>Platform/Channels/Contracts/ChannelContracts.cs</x:v>
      </x:c>
      <x:c r="O6" s="183" t="str">
        <x:v>V1.19旧源码类型（真实成员/实现仍待核）
V2.01：来源ID对应；处置=保留源码·公开契约复核
V7.8：V7.8同名且源文件对应；Platform/Channels/Contracts/ChannelContracts.cs</x:v>
      </x:c>
      <x:c r="P6" s="136" t="str">
        <x:v>V1.19旧源码类型（真实成员/实现仍待核）</x:v>
      </x:c>
      <x:c r="Q6"/>
      <x:c r="R6"/>
      <x:c r="S6"/>
    </x:row>
    <x:row r="7" ht="72" customHeight="1">
      <x:c r="A7" s="179" t="str">
        <x:v>M13</x:v>
      </x:c>
      <x:c r="B7" s="180" t="str">
        <x:v>通信与集成｜Channel Foundation
Channel Communication</x:v>
      </x:c>
      <x:c r="C7" s="180" t="str">
        <x:v>IMCCChannelFactory</x:v>
      </x:c>
      <x:c r="D7" s="179" t="str">
        <x:v>原有·待核</x:v>
      </x:c>
      <x:c r="E7" s="180" t="str">
        <x:v>负责通道工厂相关的通道工厂与公共契约管理</x:v>
      </x:c>
      <x:c r="F7" s="180" t="str">
        <x:v>—（无公开声明或待核对）</x:v>
      </x:c>
      <x:c r="G7" s="180" t="str">
        <x:v>CanCreate(CxChannelDescriptor descriptor), Create(CxChannelDescriptor descriptor)</x:v>
      </x:c>
      <x:c r="H7" s="180" t="str">
        <x:v>—（待核）</x:v>
      </x:c>
      <x:c r="I7" s="180" t="str">
        <x:v>CxVisual.Platform.Channels.IChannelFactory</x:v>
      </x:c>
      <x:c r="J7" s="179" t="str">
        <x:v>接口</x:v>
      </x:c>
      <x:c r="K7" s="180" t="str">
        <x:v>V1.19 C-0604；原实施方式：原有。迁移风险：负责通道工厂相关的通道工厂与公共契约管理</x:v>
      </x:c>
      <x:c r="L7" s="183" t="str">
        <x:v>源代码声明·待复核</x:v>
      </x:c>
      <x:c r="M7" s="183" t="str">
        <x:v>C-0604</x:v>
      </x:c>
      <x:c r="N7" s="184" t="str">
        <x:v>Platform/Channels/CxChannelFactory.cs</x:v>
      </x:c>
      <x:c r="O7" s="183" t="str">
        <x:v>V1.19旧源码类型（真实成员/实现仍待核）
V2.01：来源ID对应；处置=保留源码·公开契约复核
V7.8：V7.8同名且源文件对应；Platform/Channels/CxChannelFactory.cs</x:v>
      </x:c>
      <x:c r="P7" s="136" t="str">
        <x:v>V1.19旧源码类型（真实成员/实现仍待核）</x:v>
      </x:c>
      <x:c r="Q7"/>
      <x:c r="R7"/>
      <x:c r="S7"/>
    </x:row>
    <x:row r="8" ht="72" customHeight="1">
      <x:c r="A8" s="179" t="str">
        <x:v>M13</x:v>
      </x:c>
      <x:c r="B8" s="180" t="str">
        <x:v>通信与集成｜Channel Foundation
Channel Communication</x:v>
      </x:c>
      <x:c r="C8" s="180" t="str">
        <x:v>MCCChannelDiagnostics</x:v>
      </x:c>
      <x:c r="D8" s="179" t="str">
        <x:v>原有·待核</x:v>
      </x:c>
      <x:c r="E8" s="180" t="str">
        <x:v>表达或管理通道Diagnostics相关的数据及协作职责，具体行为待源码复核〔待核〕</x:v>
      </x:c>
      <x:c r="F8" s="180" t="str">
        <x:v>ConnectCount, DisconnectCount, SendCount, ReceiveCount, SentBytes, ReceivedBytes, FailureCount, LastSendUtc, LastReceiveUtc, LastError</x:v>
      </x:c>
      <x:c r="G8" s="180" t="str">
        <x:v>—(无公开声明或待核对)</x:v>
      </x:c>
      <x:c r="H8" s="180" t="str">
        <x:v>—（待核）</x:v>
      </x:c>
      <x:c r="I8" s="180" t="str">
        <x:v>CxVisual.Platform.Channels.ChannelDiagnostics</x:v>
      </x:c>
      <x:c r="J8" s="179" t="str">
        <x:v>类</x:v>
      </x:c>
      <x:c r="K8" s="180" t="str">
        <x:v>V1.19 C-0588；原实施方式：原有。迁移风险：表达或管理通道Diagnostics相关的数据及协作职责，具体行为待源码复核〔待核〕</x:v>
      </x:c>
      <x:c r="L8" s="183" t="str">
        <x:v>源代码声明·待复核</x:v>
      </x:c>
      <x:c r="M8" s="183" t="str">
        <x:v>C-0588</x:v>
      </x:c>
      <x:c r="N8" s="184" t="str">
        <x:v>Platform/Channels/Contracts/ChannelContracts.cs</x:v>
      </x:c>
      <x:c r="O8" s="183" t="str">
        <x:v>V1.19旧源码类型（真实成员/实现仍待核）
V2.01：来源ID对应；处置=保留源码·公开契约复核
V7.8：V7.8同名且源文件对应；Platform/Channels/Contracts/ChannelContracts.cs</x:v>
      </x:c>
      <x:c r="P8" s="136" t="str">
        <x:v>V1.19旧源码类型（真实成员/实现仍待核）</x:v>
      </x:c>
      <x:c r="Q8"/>
      <x:c r="R8"/>
      <x:c r="S8"/>
    </x:row>
    <x:row r="9" ht="72" customHeight="1">
      <x:c r="A9" s="179" t="str">
        <x:v>M13</x:v>
      </x:c>
      <x:c r="B9" s="180" t="str">
        <x:v>通信与集成｜Channel Foundation
Channel Communication</x:v>
      </x:c>
      <x:c r="C9" s="180" t="str">
        <x:v>MCCChannelEndpoint</x:v>
      </x:c>
      <x:c r="D9" s="179" t="str">
        <x:v>原有·待核</x:v>
      </x:c>
      <x:c r="E9" s="180" t="str">
        <x:v>表达或管理通道Endpoint相关的数据及协作职责，具体行为待源码复核〔待核〕</x:v>
      </x:c>
      <x:c r="F9" s="180" t="str">
        <x:v>Scheme, Host, Port, Settings</x:v>
      </x:c>
      <x:c r="G9" s="180" t="str">
        <x:v>ChannelEndpoint(string scheme, string host, int port), ToString()</x:v>
      </x:c>
      <x:c r="H9" s="180" t="str">
        <x:v>—（待核）</x:v>
      </x:c>
      <x:c r="I9" s="180" t="str">
        <x:v>CxVisual.Platform.Channels.ChannelEndpoint</x:v>
      </x:c>
      <x:c r="J9" s="179" t="str">
        <x:v>类</x:v>
      </x:c>
      <x:c r="K9" s="180" t="str">
        <x:v>V1.19 C-0589；原实施方式：原有。迁移风险：表达或管理通道Endpoint相关的数据及协作职责，具体行为待源码复核〔待核〕</x:v>
      </x:c>
      <x:c r="L9" s="183" t="str">
        <x:v>源代码声明·待复核</x:v>
      </x:c>
      <x:c r="M9" s="183" t="str">
        <x:v>C-0589</x:v>
      </x:c>
      <x:c r="N9" s="184" t="str">
        <x:v>Platform/Channels/Contracts/ChannelContracts.cs</x:v>
      </x:c>
      <x:c r="O9" s="183" t="str">
        <x:v>V1.19旧源码类型（真实成员/实现仍待核）
V2.01：来源ID对应；处置=保留源码·公开契约复核
V7.8：V7.8同名且源文件对应；Platform/Channels/Contracts/ChannelContracts.cs</x:v>
      </x:c>
      <x:c r="P9" s="136" t="str">
        <x:v>V1.19旧源码类型（真实成员/实现仍待核）</x:v>
      </x:c>
      <x:c r="Q9"/>
      <x:c r="R9"/>
      <x:c r="S9"/>
    </x:row>
    <x:row r="10" ht="72" customHeight="1">
      <x:c r="A10" s="179" t="str">
        <x:v>M13</x:v>
      </x:c>
      <x:c r="B10" s="180" t="str">
        <x:v>通信与集成｜Channel Foundation
Channel Communication</x:v>
      </x:c>
      <x:c r="C10" s="180" t="str">
        <x:v>MCCChannelHealthState</x:v>
      </x:c>
      <x:c r="D10" s="179" t="str">
        <x:v>原有·待核</x:v>
      </x:c>
      <x:c r="E10" s="180" t="str">
        <x:v>定义通道Health状态的候选取值、状态或模式，供相关流程作分支判断</x:v>
      </x:c>
      <x:c r="F10" s="180" t="str">
        <x:v>枚举值：Closed, Connecting, Online, Degraded, Faulted</x:v>
      </x:c>
      <x:c r="G10" s="180" t="str">
        <x:v>—(无公开声明或待核对)</x:v>
      </x:c>
      <x:c r="H10" s="180" t="str">
        <x:v>—（待核）</x:v>
      </x:c>
      <x:c r="I10" s="180" t="str">
        <x:v>CxVisual.Platform.Channels.ChannelHealthState</x:v>
      </x:c>
      <x:c r="J10" s="179" t="str">
        <x:v>枚举</x:v>
      </x:c>
      <x:c r="K10" s="180" t="str">
        <x:v>V1.19 C-0591；原实施方式：原有。迁移风险：定义通道Health状态的候选取值、状态或模式，供相关流程作分支判断</x:v>
      </x:c>
      <x:c r="L10" s="183" t="str">
        <x:v>源代码声明·待复核</x:v>
      </x:c>
      <x:c r="M10" s="183" t="str">
        <x:v>C-0591</x:v>
      </x:c>
      <x:c r="N10" s="184" t="str">
        <x:v>Platform/Channels/Contracts/ChannelContracts.cs</x:v>
      </x:c>
      <x:c r="O10" s="183" t="str">
        <x:v>V1.19旧源码类型（真实成员/实现仍待核）
V2.01：来源ID对应；处置=保留源码·公开契约复核
V7.8：V7.8同名且源文件对应；Platform/Channels/Contracts/ChannelContracts.cs</x:v>
      </x:c>
      <x:c r="P10" s="136" t="str">
        <x:v>V1.19旧源码类型（真实成员/实现仍待核）</x:v>
      </x:c>
      <x:c r="Q10"/>
      <x:c r="R10"/>
      <x:c r="S10"/>
    </x:row>
    <x:row r="11" ht="72" customHeight="1">
      <x:c r="A11" s="179" t="str">
        <x:v>M13</x:v>
      </x:c>
      <x:c r="B11" s="180" t="str">
        <x:v>通信与集成｜Channel Foundation
Channel Communication</x:v>
      </x:c>
      <x:c r="C11" s="180" t="str">
        <x:v>MCCCxBufferPolicy</x:v>
      </x:c>
      <x:c r="D11" s="179" t="str">
        <x:v>原有·待核</x:v>
      </x:c>
      <x:c r="E11" s="180" t="str">
        <x:v>负责缓冲区策略相关的Buffer与公共契约管理</x:v>
      </x:c>
      <x:c r="F11" s="180" t="str">
        <x:v>Capacity, Backpressure, DropPolicy, BatchSize, CxBufferPolicy</x:v>
      </x:c>
      <x:c r="G11" s="180" t="str">
        <x:v>Validate()</x:v>
      </x:c>
      <x:c r="H11" s="180" t="str">
        <x:v>—（待核）</x:v>
      </x:c>
      <x:c r="I11" s="180" t="str">
        <x:v>CxVisual.Platform.Channels.CxBufferPolicy</x:v>
      </x:c>
      <x:c r="J11" s="179" t="str">
        <x:v>类</x:v>
      </x:c>
      <x:c r="K11" s="180" t="str">
        <x:v>V1.19 C-0592；原实施方式：原有。迁移风险：负责缓冲区策略相关的Buffer与公共契约管理</x:v>
      </x:c>
      <x:c r="L11" s="183" t="str">
        <x:v>源代码声明·待复核</x:v>
      </x:c>
      <x:c r="M11" s="183" t="str">
        <x:v>C-0592</x:v>
      </x:c>
      <x:c r="N11" s="184" t="str">
        <x:v>Platform/Channels/Contracts/CxChannelModels.cs</x:v>
      </x:c>
      <x:c r="O11" s="183" t="str">
        <x:v>V1.19旧源码类型（真实成员/实现仍待核）
V2.01：来源ID对应；处置=保留源码·公开契约复核
V7.8：V7.8同名且源文件对应；Platform/Channels/Contracts/CxChannelModels.cs</x:v>
      </x:c>
      <x:c r="P11" s="136" t="str">
        <x:v>V1.19旧源码类型（真实成员/实现仍待核）</x:v>
      </x:c>
      <x:c r="Q11"/>
      <x:c r="R11"/>
      <x:c r="S11"/>
    </x:row>
    <x:row r="12" ht="72" customHeight="1">
      <x:c r="A12" s="179" t="str">
        <x:v>M13</x:v>
      </x:c>
      <x:c r="B12" s="180" t="str">
        <x:v>通信与集成｜Channel Foundation
Channel Communication</x:v>
      </x:c>
      <x:c r="C12" s="180" t="str">
        <x:v>MCCCxChannelDescriptor</x:v>
      </x:c>
      <x:c r="D12" s="179" t="str">
        <x:v>原有·待核</x:v>
      </x:c>
      <x:c r="E12" s="180" t="str">
        <x:v>负责通道描述符相关的通道描述与公共契约管理</x:v>
      </x:c>
      <x:c r="F12" s="180" t="str">
        <x:v>Id, Kind, Endpoint, BufferPolicy, ReconnectPolicy, SecurityProfile, Metadata</x:v>
      </x:c>
      <x:c r="G12" s="180" t="str">
        <x:v>Validate(), Clone(), FromLegacy(string id, ChannelEndpoint endpoint)</x:v>
      </x:c>
      <x:c r="H12" s="180" t="str">
        <x:v>—（待核）</x:v>
      </x:c>
      <x:c r="I12" s="180" t="str">
        <x:v>CxVisual.Platform.Channels.CxChannelDescriptor</x:v>
      </x:c>
      <x:c r="J12" s="179" t="str">
        <x:v>类</x:v>
      </x:c>
      <x:c r="K12" s="180" t="str">
        <x:v>V1.19 C-0593；原实施方式：原有。迁移风险：负责通道描述符相关的通道描述与公共契约管理</x:v>
      </x:c>
      <x:c r="L12" s="183" t="str">
        <x:v>源代码声明·待复核</x:v>
      </x:c>
      <x:c r="M12" s="183" t="str">
        <x:v>C-0593</x:v>
      </x:c>
      <x:c r="N12" s="184" t="str">
        <x:v>Platform/Channels/Contracts/CxChannelModels.cs</x:v>
      </x:c>
      <x:c r="O12" s="183" t="str">
        <x:v>V1.19旧源码类型（真实成员/实现仍待核）
V2.01：来源ID对应；处置=保留源码·公开契约复核
V7.8：V7.8同名且源文件对应；Platform/Channels/Contracts/CxChannelModels.cs</x:v>
      </x:c>
      <x:c r="P12" s="136" t="str">
        <x:v>V1.19旧源码类型（真实成员/实现仍待核）</x:v>
      </x:c>
      <x:c r="Q12"/>
      <x:c r="R12"/>
      <x:c r="S12"/>
    </x:row>
    <x:row r="13" ht="72" customHeight="1">
      <x:c r="A13" s="179" t="str">
        <x:v>M13</x:v>
      </x:c>
      <x:c r="B13" s="180" t="str">
        <x:v>通信与集成｜Channel Foundation
Channel Communication</x:v>
      </x:c>
      <x:c r="C13" s="180" t="str">
        <x:v>MCCCxChannelDiagnostics</x:v>
      </x:c>
      <x:c r="D13" s="179" t="str">
        <x:v>原有·待核</x:v>
      </x:c>
      <x:c r="E13" s="180" t="str">
        <x:v>负责通道Diagnostics相关的通道诊断与公共契约管理</x:v>
      </x:c>
      <x:c r="F13" s="180" t="str">
        <x:v>Frames, Metrics, Errors</x:v>
      </x:c>
      <x:c r="G13" s="180" t="str">
        <x:v>CxChannelDiagnostics(int capacity = 128), TraceSend(CxMessageEnvelope envelope), TraceReceive(CxMessageEnvelope envelope), TraceError(Exception error), Snapshot()</x:v>
      </x:c>
      <x:c r="H13" s="180" t="str">
        <x:v>—（待核）</x:v>
      </x:c>
      <x:c r="I13" s="180" t="str">
        <x:v>CxVisual.Platform.Channels.CxChannelDiagnostics</x:v>
      </x:c>
      <x:c r="J13" s="179" t="str">
        <x:v>类</x:v>
      </x:c>
      <x:c r="K13" s="180" t="str">
        <x:v>V1.19 C-0594；原实施方式：原有。迁移风险：负责通道Diagnostics相关的通道诊断与公共契约管理</x:v>
      </x:c>
      <x:c r="L13" s="183" t="str">
        <x:v>源代码声明·待复核</x:v>
      </x:c>
      <x:c r="M13" s="183" t="str">
        <x:v>C-0594</x:v>
      </x:c>
      <x:c r="N13" s="184" t="str">
        <x:v>Platform/Channels/Contracts/CxChannelModels.cs</x:v>
      </x:c>
      <x:c r="O13" s="183" t="str">
        <x:v>V1.19旧源码类型（真实成员/实现仍待核）
V2.01：来源ID对应；处置=保留源码·公开契约复核
V7.8：V7.8同名且源文件对应；Platform/Channels/Contracts/CxChannelModels.cs</x:v>
      </x:c>
      <x:c r="P13" s="136" t="str">
        <x:v>V1.19旧源码类型（真实成员/实现仍待核）</x:v>
      </x:c>
      <x:c r="Q13"/>
      <x:c r="R13"/>
      <x:c r="S13"/>
    </x:row>
    <x:row r="14" ht="72" customHeight="1">
      <x:c r="A14" s="179" t="str">
        <x:v>M13</x:v>
      </x:c>
      <x:c r="B14" s="180" t="str">
        <x:v>通信与集成｜Channel Foundation
Channel Communication</x:v>
      </x:c>
      <x:c r="C14" s="180" t="str">
        <x:v>MCCCxChannelEndpoint</x:v>
      </x:c>
      <x:c r="D14" s="179" t="str">
        <x:v>原有·待核</x:v>
      </x:c>
      <x:c r="E14" s="180" t="str">
        <x:v>负责通道Endpoint相关的端点与公共契约管理</x:v>
      </x:c>
      <x:c r="F14" s="180" t="str">
        <x:v>Address, Port, Path, Parameters, CxChannelEndpoint</x:v>
      </x:c>
      <x:c r="G14" s="180" t="str">
        <x:v>Validate(), ToString()</x:v>
      </x:c>
      <x:c r="H14" s="180" t="str">
        <x:v>—（待核）</x:v>
      </x:c>
      <x:c r="I14" s="180" t="str">
        <x:v>CxVisual.Platform.Channels.CxChannelEndpoint</x:v>
      </x:c>
      <x:c r="J14" s="179" t="str">
        <x:v>类</x:v>
      </x:c>
      <x:c r="K14" s="180" t="str">
        <x:v>V1.19 C-0595；原实施方式：原有。迁移风险：负责通道Endpoint相关的端点与公共契约管理</x:v>
      </x:c>
      <x:c r="L14" s="183" t="str">
        <x:v>源代码声明·待复核</x:v>
      </x:c>
      <x:c r="M14" s="183" t="str">
        <x:v>C-0595</x:v>
      </x:c>
      <x:c r="N14" s="184" t="str">
        <x:v>Platform/Channels/Contracts/CxChannelModels.cs</x:v>
      </x:c>
      <x:c r="O14" s="183" t="str">
        <x:v>V1.19旧源码类型（真实成员/实现仍待核）
V2.01：来源ID对应；处置=保留源码·公开契约复核
V7.8：V7.8同名且源文件对应；Platform/Channels/Contracts/CxChannelModels.cs</x:v>
      </x:c>
      <x:c r="P14" s="136" t="str">
        <x:v>V1.19旧源码类型（真实成员/实现仍待核）</x:v>
      </x:c>
      <x:c r="Q14"/>
      <x:c r="R14"/>
      <x:c r="S14"/>
    </x:row>
    <x:row r="15" ht="72" customHeight="1">
      <x:c r="A15" s="179" t="str">
        <x:v>M13</x:v>
      </x:c>
      <x:c r="B15" s="180" t="str">
        <x:v>通信与集成｜Channel Foundation
Channel Communication</x:v>
      </x:c>
      <x:c r="C15" s="180" t="str">
        <x:v>MCCCxChannelFactory</x:v>
      </x:c>
      <x:c r="D15" s="179" t="str">
        <x:v>原有·待核</x:v>
      </x:c>
      <x:c r="E15" s="180" t="str">
        <x:v>根据通道工厂配置构造匹配的实例或实现对象</x:v>
      </x:c>
      <x:c r="F15" s="180" t="str">
        <x:v>—（无公开声明或待核对）</x:v>
      </x:c>
      <x:c r="G15" s="180" t="str">
        <x:v>CxChannelFactory(ICxClock clock = null), CanCreate(CxChannelDescriptor descriptor), Create(CxChannelDescriptor descriptor)</x:v>
      </x:c>
      <x:c r="H15" s="180" t="str">
        <x:v>—（待核）</x:v>
      </x:c>
      <x:c r="I15" s="180" t="str">
        <x:v>CxVisual.Platform.Channels.CxChannelFactory</x:v>
      </x:c>
      <x:c r="J15" s="179" t="str">
        <x:v>类</x:v>
      </x:c>
      <x:c r="K15" s="180" t="str">
        <x:v>V1.19 C-0596；原实施方式：原有。迁移风险：根据通道工厂配置构造匹配的实例或实现对象</x:v>
      </x:c>
      <x:c r="L15" s="183" t="str">
        <x:v>源代码声明·待复核</x:v>
      </x:c>
      <x:c r="M15" s="183" t="str">
        <x:v>C-0596</x:v>
      </x:c>
      <x:c r="N15" s="184" t="str">
        <x:v>Platform/Channels/CxChannelFactory.cs</x:v>
      </x:c>
      <x:c r="O15" s="183" t="str">
        <x:v>V1.19旧源码类型（真实成员/实现仍待核）
V2.01：来源ID对应；处置=保留源码·公开契约复核
V7.8：V7.8同名且源文件对应；Platform/Channels/CxChannelFactory.cs</x:v>
      </x:c>
      <x:c r="P15" s="136" t="str">
        <x:v>V1.19旧源码类型（真实成员/实现仍待核）</x:v>
      </x:c>
      <x:c r="Q15"/>
      <x:c r="R15"/>
      <x:c r="S15"/>
    </x:row>
    <x:row r="16" ht="72" customHeight="1">
      <x:c r="A16" s="179" t="str">
        <x:v>M13</x:v>
      </x:c>
      <x:c r="B16" s="180" t="str">
        <x:v>通信与集成｜Channel Foundation
Channel Communication</x:v>
      </x:c>
      <x:c r="C16" s="180" t="str">
        <x:v>MCCCxChannelHealth</x:v>
      </x:c>
      <x:c r="D16" s="179" t="str">
        <x:v>原有·待核</x:v>
      </x:c>
      <x:c r="E16" s="180" t="str">
        <x:v>负责通道Health相关的健康与公共契约管理</x:v>
      </x:c>
      <x:c r="F16" s="180" t="str">
        <x:v>State, LastSuccess, LastError, Latency, SendRate, ReceiveRate, ReconnectCount</x:v>
      </x:c>
      <x:c r="G16" s="180" t="str">
        <x:v>IsHealthy(), Clone()</x:v>
      </x:c>
      <x:c r="H16" s="180" t="str">
        <x:v>—（待核）</x:v>
      </x:c>
      <x:c r="I16" s="180" t="str">
        <x:v>CxVisual.Platform.Channels.CxChannelHealth</x:v>
      </x:c>
      <x:c r="J16" s="179" t="str">
        <x:v>类</x:v>
      </x:c>
      <x:c r="K16" s="180" t="str">
        <x:v>V1.19 C-0597；原实施方式：原有。迁移风险：负责通道Health相关的健康与公共契约管理</x:v>
      </x:c>
      <x:c r="L16" s="183" t="str">
        <x:v>源代码声明·待复核</x:v>
      </x:c>
      <x:c r="M16" s="183" t="str">
        <x:v>C-0597</x:v>
      </x:c>
      <x:c r="N16" s="184" t="str">
        <x:v>Platform/Channels/Contracts/CxChannelModels.cs</x:v>
      </x:c>
      <x:c r="O16" s="183" t="str">
        <x:v>V1.19旧源码类型（真实成员/实现仍待核）
V2.01：来源ID对应；处置=保留源码·公开契约复核
V7.8：V7.8同名且源文件对应；Platform/Channels/Contracts/CxChannelModels.cs</x:v>
      </x:c>
      <x:c r="P16" s="136" t="str">
        <x:v>V1.19旧源码类型（真实成员/实现仍待核）</x:v>
      </x:c>
      <x:c r="Q16"/>
      <x:c r="R16"/>
      <x:c r="S16"/>
    </x:row>
    <x:row r="17" ht="72" customHeight="1">
      <x:c r="A17" s="179" t="str">
        <x:v>M13</x:v>
      </x:c>
      <x:c r="B17" s="180" t="str">
        <x:v>通信与集成｜Channel Foundation
Channel Communication</x:v>
      </x:c>
      <x:c r="C17" s="180" t="str">
        <x:v>MCCCxChannelSession</x:v>
      </x:c>
      <x:c r="D17" s="179" t="str">
        <x:v>原有·待核</x:v>
      </x:c>
      <x:c r="E17" s="180" t="str">
        <x:v>负责通道会话相关的会话与公共契约管理</x:v>
      </x:c>
      <x:c r="F17" s="180" t="str">
        <x:v>SessionId, ChannelId, OpenedAt, State, CorrelationContext, ct</x:v>
      </x:c>
      <x:c r="G17" s="180" t="str">
        <x:v>CxChannelSession(IChannel channel, bool ownsChannel = false, ICxClock clock = null), CloseAsync(CancellationToken token = default(CancellationToken); SendAsync(bytebytes, CancellationToken token = default(CancellationToken); RequestAsync(bytebytes, int responseLength, CancellationToken token = default(CancellationToken); Task(Func&lt;CancellationToken, Task&lt;T&gt;&gt; action, CancellationToken token)</x:v>
      </x:c>
      <x:c r="H17" s="180" t="str">
        <x:v>—（待核）</x:v>
      </x:c>
      <x:c r="I17" s="180" t="str">
        <x:v>CxVisual.Platform.Channels.CxChannelSession</x:v>
      </x:c>
      <x:c r="J17" s="179" t="str">
        <x:v>类</x:v>
      </x:c>
      <x:c r="K17" s="180" t="str">
        <x:v>V1.19 C-0598；原实施方式：原有。迁移风险：负责通道会话相关的会话与公共契约管理</x:v>
      </x:c>
      <x:c r="L17" s="183" t="str">
        <x:v>源代码声明·待复核</x:v>
      </x:c>
      <x:c r="M17" s="183" t="str">
        <x:v>C-0598</x:v>
      </x:c>
      <x:c r="N17" s="184" t="str">
        <x:v>Platform/Channels/CxChannelFactory.cs</x:v>
      </x:c>
      <x:c r="O17" s="183" t="str">
        <x:v>V1.19旧源码类型（真实成员/实现仍待核）
V2.01：来源ID对应；处置=保留源码·公开契约复核
V7.8：V7.8同名且源文件对应；Platform/Channels/CxChannelFactory.cs</x:v>
      </x:c>
      <x:c r="P17" s="136" t="str">
        <x:v>V1.19旧源码类型（真实成员/实现仍待核）</x:v>
      </x:c>
      <x:c r="Q17"/>
      <x:c r="R17"/>
      <x:c r="S17"/>
    </x:row>
    <x:row r="18" ht="72" customHeight="1">
      <x:c r="A18" s="179" t="str">
        <x:v>M13</x:v>
      </x:c>
      <x:c r="B18" s="180" t="str">
        <x:v>通信与集成｜Channel Foundation
Channel Communication</x:v>
      </x:c>
      <x:c r="C18" s="180" t="str">
        <x:v>MCCCxChannelState</x:v>
      </x:c>
      <x:c r="D18" s="179" t="str">
        <x:v>原有·待核</x:v>
      </x:c>
      <x:c r="E18" s="180" t="str">
        <x:v>负责通道状态相关的状态与公共契约管理</x:v>
      </x:c>
      <x:c r="F18" s="180" t="str">
        <x:v>枚举值：Closed, Opening, Open, Reconnecting, Faulted, Closing</x:v>
      </x:c>
      <x:c r="G18" s="180" t="str">
        <x:v>—(无公开声明或待核对)</x:v>
      </x:c>
      <x:c r="H18" s="180" t="str">
        <x:v>—（待核）</x:v>
      </x:c>
      <x:c r="I18" s="180" t="str">
        <x:v>CxVisual.Platform.Channels.CxChannelState</x:v>
      </x:c>
      <x:c r="J18" s="179" t="str">
        <x:v>枚举</x:v>
      </x:c>
      <x:c r="K18" s="180" t="str">
        <x:v>V1.19 C-0599；原实施方式：原有。迁移风险：负责通道状态相关的状态与公共契约管理</x:v>
      </x:c>
      <x:c r="L18" s="183" t="str">
        <x:v>源代码声明·待复核</x:v>
      </x:c>
      <x:c r="M18" s="183" t="str">
        <x:v>C-0599</x:v>
      </x:c>
      <x:c r="N18" s="184" t="str">
        <x:v>Platform/Channels/Contracts/CxChannelModels.cs</x:v>
      </x:c>
      <x:c r="O18" s="183" t="str">
        <x:v>V1.19旧源码类型（真实成员/实现仍待核）
V2.01：来源ID对应；处置=保留源码·公开契约复核
V7.8：V7.8同名且源文件对应；Platform/Channels/Contracts/CxChannelModels.cs</x:v>
      </x:c>
      <x:c r="P18" s="136" t="str">
        <x:v>V1.19旧源码类型（真实成员/实现仍待核）</x:v>
      </x:c>
      <x:c r="Q18"/>
      <x:c r="R18"/>
      <x:c r="S18"/>
    </x:row>
    <x:row r="19" ht="72" customHeight="1">
      <x:c r="A19" s="179" t="str">
        <x:v>M13</x:v>
      </x:c>
      <x:c r="B19" s="180" t="str">
        <x:v>通信与集成｜Channel Foundation
Channel Communication</x:v>
      </x:c>
      <x:c r="C19" s="180" t="str">
        <x:v>MCCCxChannelValidation</x:v>
      </x:c>
      <x:c r="D19" s="179" t="str">
        <x:v>原有·待核</x:v>
      </x:c>
      <x:c r="E19" s="180" t="str">
        <x:v>封装通道校验输入条件或合法性检查逻辑</x:v>
      </x:c>
      <x:c r="F19" s="180" t="str">
        <x:v>—（无公开声明或待核对）</x:v>
      </x:c>
      <x:c r="G19" s="180" t="str">
        <x:v>Error(CxValidationResult result, string code, string message)</x:v>
      </x:c>
      <x:c r="H19" s="180" t="str">
        <x:v>—（待核）</x:v>
      </x:c>
      <x:c r="I19" s="180" t="str">
        <x:v>CxVisual.Platform.Channels.CxChannelValidation</x:v>
      </x:c>
      <x:c r="J19" s="179" t="str">
        <x:v>静态类</x:v>
      </x:c>
      <x:c r="K19" s="180" t="str">
        <x:v>V1.19 C-0600；原实施方式：原有。迁移风险：封装通道校验输入条件或合法性检查逻辑</x:v>
      </x:c>
      <x:c r="L19" s="183" t="str">
        <x:v>源代码声明·待复核</x:v>
      </x:c>
      <x:c r="M19" s="183" t="str">
        <x:v>C-0600</x:v>
      </x:c>
      <x:c r="N19" s="184" t="str">
        <x:v>Platform/Channels/Contracts/CxChannelModels.cs</x:v>
      </x:c>
      <x:c r="O19" s="183" t="str">
        <x:v>V1.19旧源码类型（真实成员/实现仍待核）
V2.01：来源ID对应；处置=保留源码·公开契约复核
V7.8：V7.8同名且源文件对应；Platform/Channels/Contracts/CxChannelModels.cs</x:v>
      </x:c>
      <x:c r="P19" s="136" t="str">
        <x:v>V1.19旧源码类型（真实成员/实现仍待核）</x:v>
      </x:c>
      <x:c r="Q19"/>
      <x:c r="R19"/>
      <x:c r="S19"/>
    </x:row>
    <x:row r="20" ht="72" customHeight="1">
      <x:c r="A20" s="179" t="str">
        <x:v>M13</x:v>
      </x:c>
      <x:c r="B20" s="180" t="str">
        <x:v>通信与集成｜Channel Foundation
Channel Communication</x:v>
      </x:c>
      <x:c r="C20" s="180" t="str">
        <x:v>MCCCxMessageEnvelope</x:v>
      </x:c>
      <x:c r="D20" s="179" t="str">
        <x:v>原有·待核</x:v>
      </x:c>
      <x:c r="E20" s="180" t="str">
        <x:v>负责消息Envelope相关的消息包络与公共契约管理</x:v>
      </x:c>
      <x:c r="F20" s="180" t="str">
        <x:v>MessageId, CorrelationId, CausationId, Timestamp, Headers, Payload</x:v>
      </x:c>
      <x:c r="G20" s="180" t="str">
        <x:v>Clone(), GetHeader(string name, string fallback = null)</x:v>
      </x:c>
      <x:c r="H20" s="180" t="str">
        <x:v>—（待核）</x:v>
      </x:c>
      <x:c r="I20" s="180" t="str">
        <x:v>CxVisual.Platform.Channels.CxMessageEnvelope</x:v>
      </x:c>
      <x:c r="J20" s="179" t="str">
        <x:v>类</x:v>
      </x:c>
      <x:c r="K20" s="180" t="str">
        <x:v>V1.19 C-0601；原实施方式：原有。迁移风险：负责消息Envelope相关的消息包络与公共契约管理</x:v>
      </x:c>
      <x:c r="L20" s="183" t="str">
        <x:v>源代码声明·待复核</x:v>
      </x:c>
      <x:c r="M20" s="183" t="str">
        <x:v>C-0601</x:v>
      </x:c>
      <x:c r="N20" s="184" t="str">
        <x:v>Platform/Channels/Contracts/CxChannelModels.cs</x:v>
      </x:c>
      <x:c r="O20" s="183" t="str">
        <x:v>V1.19旧源码类型（真实成员/实现仍待核）
V2.01：来源ID对应；处置=保留源码·公开契约复核
V7.8：V7.8同名且源文件对应；Platform/Channels/Contracts/CxChannelModels.cs</x:v>
      </x:c>
      <x:c r="P20" s="136" t="str">
        <x:v>V1.19旧源码类型（真实成员/实现仍待核）</x:v>
      </x:c>
      <x:c r="Q20"/>
      <x:c r="R20"/>
      <x:c r="S20"/>
    </x:row>
    <x:row r="21" ht="72" customHeight="1">
      <x:c r="A21" s="179" t="str">
        <x:v>M13</x:v>
      </x:c>
      <x:c r="B21" s="180" t="str">
        <x:v>通信与集成｜Channel Foundation
Channel Communication</x:v>
      </x:c>
      <x:c r="C21" s="180" t="str">
        <x:v>MCCCxReconnectPolicy</x:v>
      </x:c>
      <x:c r="D21" s="179" t="str">
        <x:v>原有·待核</x:v>
      </x:c>
      <x:c r="E21" s="180" t="str">
        <x:v>负责Reconnect策略相关的重连与公共契约管理</x:v>
      </x:c>
      <x:c r="F21" s="180" t="str">
        <x:v>Enabled, MaxAttempts, Delay, Backoff, CxReconnectPolicy</x:v>
      </x:c>
      <x:c r="G21" s="180" t="str">
        <x:v>ShouldRetry(int attemptsMade), GetDelay(int retryIndex), Validate()</x:v>
      </x:c>
      <x:c r="H21" s="180" t="str">
        <x:v>—（待核）</x:v>
      </x:c>
      <x:c r="I21" s="180" t="str">
        <x:v>CxVisual.Platform.Channels.CxReconnectPolicy</x:v>
      </x:c>
      <x:c r="J21" s="179" t="str">
        <x:v>类</x:v>
      </x:c>
      <x:c r="K21" s="180" t="str">
        <x:v>V1.19 C-0602；原实施方式：原有。迁移风险：负责Reconnect策略相关的重连与公共契约管理</x:v>
      </x:c>
      <x:c r="L21" s="183" t="str">
        <x:v>源代码声明·待复核</x:v>
      </x:c>
      <x:c r="M21" s="183" t="str">
        <x:v>C-0602</x:v>
      </x:c>
      <x:c r="N21" s="184" t="str">
        <x:v>Platform/Channels/Contracts/CxChannelModels.cs</x:v>
      </x:c>
      <x:c r="O21" s="183" t="str">
        <x:v>V1.19旧源码类型（真实成员/实现仍待核）
V2.01：来源ID对应；处置=保留源码·公开契约复核
V7.8：V7.8同名且源文件对应；Platform/Channels/Contracts/CxChannelModels.cs</x:v>
      </x:c>
      <x:c r="P21" s="136" t="str">
        <x:v>V1.19旧源码类型（真实成员/实现仍待核）</x:v>
      </x:c>
      <x:c r="Q21"/>
      <x:c r="R21"/>
      <x:c r="S21"/>
    </x:row>
    <x:row r="22" ht="72" customHeight="1">
      <x:c r="A22" s="179" t="str">
        <x:v>M13</x:v>
      </x:c>
      <x:c r="B22" s="180" t="str">
        <x:v>通信与集成｜Channel Foundation
Channel Communication</x:v>
      </x:c>
      <x:c r="C22" s="180" t="str">
        <x:v>MCCListener</x:v>
      </x:c>
      <x:c r="D22" s="179" t="str">
        <x:v>原有·待核</x:v>
      </x:c>
      <x:c r="E22" s="180" t="str">
        <x:v>表达或管理Listener相关的数据及协作职责，具体行为待源码复核〔待核〕</x:v>
      </x:c>
      <x:c r="F22" s="180" t="str">
        <x:v>Active</x:v>
      </x:c>
      <x:c r="G22" s="180" t="str">
        <x:v>object()</x:v>
      </x:c>
      <x:c r="H22" s="180" t="str">
        <x:v>—（待核）</x:v>
      </x:c>
      <x:c r="I22" s="180" t="str">
        <x:v>CxVisual.Platform.Channels.TcpClientTransportChannel.Listener</x:v>
      </x:c>
      <x:c r="J22" s="179" t="str">
        <x:v>类</x:v>
      </x:c>
      <x:c r="K22" s="180" t="str">
        <x:v>V1.19 C-0613；原实施方式：原有。迁移风险：表达或管理Listener相关的数据及协作职责，具体行为待源码复核〔待核〕</x:v>
      </x:c>
      <x:c r="L22" s="183" t="str">
        <x:v>源代码声明·待复核</x:v>
      </x:c>
      <x:c r="M22" s="183" t="str">
        <x:v>C-0613</x:v>
      </x:c>
      <x:c r="N22" s="184" t="str">
        <x:v>Platform/Core/CxNodeEvents.cs; Platform/Channels/TcpClientTransportChannel.cs</x:v>
      </x:c>
      <x:c r="O22" s="183" t="str">
        <x:v>V1.19旧源码类型（真实成员/实现仍待核）
V2.01：来源ID对应；处置=保留源码·公开契约复核
V7.8：V7.8同名且源文件对应；Platform/Core/CxNodeEvents.cs</x:v>
      </x:c>
      <x:c r="P22" s="136" t="str">
        <x:v>V1.19旧源码类型（真实成员/实现仍待核）</x:v>
      </x:c>
      <x:c r="Q22"/>
      <x:c r="R22"/>
      <x:c r="S22"/>
    </x:row>
    <x:row r="23" ht="72" customHeight="1">
      <x:c r="A23" s="179" t="str">
        <x:v>M13</x:v>
      </x:c>
      <x:c r="B23" s="180" t="str">
        <x:v>通信与集成｜Channel Foundation
Channel Communication</x:v>
      </x:c>
      <x:c r="C23" s="180" t="str">
        <x:v>MCCMesResponseData</x:v>
      </x:c>
      <x:c r="D23" s="179" t="str">
        <x:v>原有·待核</x:v>
      </x:c>
      <x:c r="E23" s="180" t="str">
        <x:v>表达或管理Mes响应Data相关的数据及协作职责，具体行为待源码复核〔待核〕</x:v>
      </x:c>
      <x:c r="F23" s="180" t="str">
        <x:v>Message, Result</x:v>
      </x:c>
      <x:c r="G23" s="180" t="str">
        <x:v>—(无公开声明或待核对)</x:v>
      </x:c>
      <x:c r="H23" s="180" t="str">
        <x:v>—（待核）</x:v>
      </x:c>
      <x:c r="I23" s="180" t="str">
        <x:v>CxVisual.Platform.Channels.MesResponseData</x:v>
      </x:c>
      <x:c r="J23" s="179" t="str">
        <x:v>类</x:v>
      </x:c>
      <x:c r="K23" s="180" t="str">
        <x:v>V1.19 C-0605；原实施方式：原有。迁移风险：表达或管理Mes响应Data相关的数据及协作职责，具体行为待源码复核〔待核〕</x:v>
      </x:c>
      <x:c r="L23" s="183" t="str">
        <x:v>源代码声明·待复核</x:v>
      </x:c>
      <x:c r="M23" s="183" t="str">
        <x:v>C-0605</x:v>
      </x:c>
      <x:c r="N23" s="184" t="str">
        <x:v>Platform/Channels/httpServer.cs</x:v>
      </x:c>
      <x:c r="O23" s="183" t="str">
        <x:v>V1.19旧源码类型（真实成员/实现仍待核）
V2.01：来源ID对应；处置=保留源码·公开契约复核
V7.8：V7.8同名且源文件对应；Platform/Channels/httpServer.cs</x:v>
      </x:c>
      <x:c r="P23" s="136" t="str">
        <x:v>V1.19旧源码类型（真实成员/实现仍待核）</x:v>
      </x:c>
      <x:c r="Q23"/>
      <x:c r="R23"/>
      <x:c r="S23"/>
    </x:row>
    <x:row r="24" ht="72" customHeight="1">
      <x:c r="A24" s="179" t="str">
        <x:v>M13</x:v>
      </x:c>
      <x:c r="B24" s="180" t="str">
        <x:v>通信与集成｜Channel Foundation
Channel Communication</x:v>
      </x:c>
      <x:c r="C24" s="180" t="str">
        <x:v>MCCTcpBusinessTask</x:v>
      </x:c>
      <x:c r="D24" s="179" t="str">
        <x:v>原有·待核</x:v>
      </x:c>
      <x:c r="E24" s="180" t="str">
        <x:v>表达或管理TCPBusiness任务相关的数据及协作职责，具体行为待源码复核〔待核〕</x:v>
      </x:c>
      <x:c r="F24" s="180" t="str">
        <x:v>ClientId, Type, Data</x:v>
      </x:c>
      <x:c r="G24" s="180" t="str">
        <x:v>TcpBusinessTask(Guid clientId, TcpBusinessType type, string data)</x:v>
      </x:c>
      <x:c r="H24" s="180" t="str">
        <x:v>—（待核）</x:v>
      </x:c>
      <x:c r="I24" s="180" t="str">
        <x:v>CxVisual.Platform.Channels.TcpBusinessTask</x:v>
      </x:c>
      <x:c r="J24" s="179" t="str">
        <x:v>类</x:v>
      </x:c>
      <x:c r="K24" s="180" t="str">
        <x:v>V1.19 C-0606；原实施方式：原有。迁移风险：表达或管理TCPBusiness任务相关的数据及协作职责，具体行为待源码复核〔待核〕</x:v>
      </x:c>
      <x:c r="L24" s="183" t="str">
        <x:v>源代码声明·待复核</x:v>
      </x:c>
      <x:c r="M24" s="183" t="str">
        <x:v>C-0606</x:v>
      </x:c>
      <x:c r="N24" s="184" t="str">
        <x:v>Platform/Channels/TcpServerServiceStructs.cs</x:v>
      </x:c>
      <x:c r="O24" s="183" t="str">
        <x:v>V1.19旧源码类型（真实成员/实现仍待核）
V2.01：来源ID对应；处置=保留源码·公开契约复核
V7.8：V7.8同名且源文件对应；Platform/Channels/TcpServerServiceStructs.cs</x:v>
      </x:c>
      <x:c r="P24" s="136" t="str">
        <x:v>V1.19旧源码类型（真实成员/实现仍待核）</x:v>
      </x:c>
      <x:c r="Q24"/>
      <x:c r="R24"/>
      <x:c r="S24"/>
    </x:row>
    <x:row r="25" ht="72" customHeight="1">
      <x:c r="A25" s="179" t="str">
        <x:v>M13</x:v>
      </x:c>
      <x:c r="B25" s="180" t="str">
        <x:v>通信与集成｜Channel Foundation
Channel Communication</x:v>
      </x:c>
      <x:c r="C25" s="180" t="str">
        <x:v>MCCTcpBusinessType</x:v>
      </x:c>
      <x:c r="D25" s="179" t="str">
        <x:v>原有·待核</x:v>
      </x:c>
      <x:c r="E25" s="180" t="str">
        <x:v>定义TCPBusiness类型的候选取值、状态或模式，供相关流程作分支判断</x:v>
      </x:c>
      <x:c r="F25" s="180" t="str">
        <x:v>枚举值：TypeA, TypeB</x:v>
      </x:c>
      <x:c r="G25" s="180" t="str">
        <x:v>—(无公开声明或待核对)</x:v>
      </x:c>
      <x:c r="H25" s="180" t="str">
        <x:v>—（待核）</x:v>
      </x:c>
      <x:c r="I25" s="180" t="str">
        <x:v>CxVisual.Platform.Channels.TcpBusinessType</x:v>
      </x:c>
      <x:c r="J25" s="179" t="str">
        <x:v>枚举</x:v>
      </x:c>
      <x:c r="K25" s="180" t="str">
        <x:v>V1.19 C-0607；原实施方式：原有。迁移风险：定义TCPBusiness类型的候选取值、状态或模式，供相关流程作分支判断</x:v>
      </x:c>
      <x:c r="L25" s="183" t="str">
        <x:v>源代码声明·待复核</x:v>
      </x:c>
      <x:c r="M25" s="183" t="str">
        <x:v>C-0607</x:v>
      </x:c>
      <x:c r="N25" s="184" t="str">
        <x:v>Platform/Channels/TcpServerServiceStructs.cs</x:v>
      </x:c>
      <x:c r="O25" s="183" t="str">
        <x:v>V1.19旧源码类型（真实成员/实现仍待核）
V2.01：来源ID对应；处置=保留源码·公开契约复核
V7.8：V7.8同名且源文件对应；Platform/Channels/TcpServerServiceStructs.cs</x:v>
      </x:c>
      <x:c r="P25" s="136" t="str">
        <x:v>V1.19旧源码类型（真实成员/实现仍待核）</x:v>
      </x:c>
      <x:c r="Q25"/>
      <x:c r="R25"/>
      <x:c r="S25"/>
    </x:row>
    <x:row r="26" ht="72" customHeight="1">
      <x:c r="A26" s="179" t="str">
        <x:v>M13</x:v>
      </x:c>
      <x:c r="B26" s="180" t="str">
        <x:v>通信与集成｜Channel Foundation
Channel Communication</x:v>
      </x:c>
      <x:c r="C26" s="180" t="str">
        <x:v>MCCTcpClientBase</x:v>
      </x:c>
      <x:c r="D26" s="179" t="str">
        <x:v>原有·待核</x:v>
      </x:c>
      <x:c r="E26" s="180" t="str">
        <x:v>表达或管理TCPClient相关的数据及协作职责，具体行为待源码复核〔待核〕</x:v>
      </x:c>
      <x:c r="F26" s="180" t="str">
        <x:v>ModuleState, StateChanged, _logger, _enableLog</x:v>
      </x:c>
      <x:c r="G26" s="180" t="str">
        <x:v>TcpClientBase(bool enableLog), Start(string ip, ushort port), StartClientInit(), ConnectedInit(TcpClient _tcpClient), TcpClientLoop(TcpClient tcpClient), Send(bytedata, bool loggingEnabled = true, bool logSTR = true), PushClose(), Close(), Stop(), IsConnected()</x:v>
      </x:c>
      <x:c r="H26" s="180" t="str">
        <x:v>—（待核）</x:v>
      </x:c>
      <x:c r="I26" s="180" t="str">
        <x:v>CxVisual.Platform.Channels.TcpClientBase</x:v>
      </x:c>
      <x:c r="J26" s="179" t="str">
        <x:v>类</x:v>
      </x:c>
      <x:c r="K26" s="180" t="str">
        <x:v>V1.19 C-0608；原实施方式：原有。迁移风险：表达或管理TCPClient相关的数据及协作职责，具体行为待源码复核〔待核〕</x:v>
      </x:c>
      <x:c r="L26" s="183" t="str">
        <x:v>源代码声明·待复核</x:v>
      </x:c>
      <x:c r="M26" s="183" t="str">
        <x:v>C-0608</x:v>
      </x:c>
      <x:c r="N26" s="184" t="str">
        <x:v>Platform/Channels/TcpClientBase.cs</x:v>
      </x:c>
      <x:c r="O26" s="183" t="str">
        <x:v>V1.19旧源码类型（真实成员/实现仍待核）
V2.01：来源ID对应；处置=保留源码·公开契约复核
V7.8：V7.8同名且源文件对应；Platform/Channels/TcpClientBase.cs</x:v>
      </x:c>
      <x:c r="P26" s="136" t="str">
        <x:v>V1.19旧源码类型（真实成员/实现仍待核）</x:v>
      </x:c>
      <x:c r="Q26"/>
      <x:c r="R26"/>
      <x:c r="S26"/>
    </x:row>
    <x:row r="27" ht="72" customHeight="1">
      <x:c r="A27" s="179" t="str">
        <x:v>M13</x:v>
      </x:c>
      <x:c r="B27" s="180" t="str">
        <x:v>通信与集成｜Channel Foundation
Channel Communication</x:v>
      </x:c>
      <x:c r="C27" s="180" t="str">
        <x:v>MCCTcpClientChannel</x:v>
      </x:c>
      <x:c r="D27" s="179" t="str">
        <x:v>原有·待核</x:v>
      </x:c>
      <x:c r="E27" s="180" t="str">
        <x:v>表达或管理TCPClient通道相关的数据及协作职责，具体行为待源码复核〔待核〕</x:v>
      </x:c>
      <x:c r="F27" s="180" t="str">
        <x:v>DataReceivedEvent</x:v>
      </x:c>
      <x:c r="G27" s="180" t="str">
        <x:v>OnDataReceived(bytedata, int bytesRead), TcpClientChannel(bool enableLog), StartClientInit(), TcpClientLoop(TcpClient tcpClient)</x:v>
      </x:c>
      <x:c r="H27" s="180" t="str">
        <x:v>—（待核）</x:v>
      </x:c>
      <x:c r="I27" s="180" t="str">
        <x:v>CxVisual.Platform.Channels.TcpClientChannel</x:v>
      </x:c>
      <x:c r="J27" s="179" t="str">
        <x:v>类</x:v>
      </x:c>
      <x:c r="K27" s="180" t="str">
        <x:v>V1.19 C-0609；原实施方式：原有。迁移风险：表达或管理TCPClient通道相关的数据及协作职责，具体行为待源码复核〔待核〕</x:v>
      </x:c>
      <x:c r="L27" s="183" t="str">
        <x:v>源代码声明·待复核</x:v>
      </x:c>
      <x:c r="M27" s="183" t="str">
        <x:v>C-0609</x:v>
      </x:c>
      <x:c r="N27" s="184" t="str">
        <x:v>Platform/Channels/TcpClientChannel.cs</x:v>
      </x:c>
      <x:c r="O27" s="183" t="str">
        <x:v>V1.19旧源码类型（真实成员/实现仍待核）
V2.01：来源ID对应；处置=保留源码·公开契约复核
V7.8：V7.8同名且源文件对应；Platform/Channels/TcpClientChannel.cs</x:v>
      </x:c>
      <x:c r="P27" s="136" t="str">
        <x:v>V1.19旧源码类型（真实成员/实现仍待核）</x:v>
      </x:c>
      <x:c r="Q27"/>
      <x:c r="R27"/>
      <x:c r="S27"/>
    </x:row>
    <x:row r="28" ht="72" customHeight="1">
      <x:c r="A28" s="179" t="str">
        <x:v>M13</x:v>
      </x:c>
      <x:c r="B28" s="180" t="str">
        <x:v>通信与集成｜Channel Foundation
Channel Communication</x:v>
      </x:c>
      <x:c r="C28" s="180" t="str">
        <x:v>MCCTcpClientConnection</x:v>
      </x:c>
      <x:c r="D28" s="179" t="str">
        <x:v>原有·待核</x:v>
      </x:c>
      <x:c r="E28" s="180" t="str">
        <x:v>表达或管理TCPClient连接相关的数据及协作职责，具体行为待源码复核〔待核〕</x:v>
      </x:c>
      <x:c r="F28" s="180" t="str">
        <x:v>ClientId, Stream, IsConnected</x:v>
      </x:c>
      <x:c r="G28" s="180" t="str">
        <x:v>TcpClientConnection(TcpClient tcpClient, Guid clientId, TcpServerService server), ProcessAsync(), Disconnect()</x:v>
      </x:c>
      <x:c r="H28" s="180" t="str">
        <x:v>—（待核）</x:v>
      </x:c>
      <x:c r="I28" s="180" t="str">
        <x:v>CxVisual.Platform.Channels.TcpClientConnection</x:v>
      </x:c>
      <x:c r="J28" s="179" t="str">
        <x:v>类</x:v>
      </x:c>
      <x:c r="K28" s="180" t="str">
        <x:v>V1.19 C-0610；原实施方式：原有。迁移风险：表达或管理TCPClient连接相关的数据及协作职责，具体行为待源码复核〔待核〕</x:v>
      </x:c>
      <x:c r="L28" s="183" t="str">
        <x:v>源代码声明·待复核</x:v>
      </x:c>
      <x:c r="M28" s="183" t="str">
        <x:v>C-0610</x:v>
      </x:c>
      <x:c r="N28" s="184" t="str">
        <x:v>Platform/Channels/TcpServerServiceStructs.cs</x:v>
      </x:c>
      <x:c r="O28" s="183" t="str">
        <x:v>V1.19旧源码类型（真实成员/实现仍待核）
V2.01：来源ID对应；处置=保留源码·公开契约复核
V7.8：V7.8同名且源文件对应；Platform/Channels/TcpServerServiceStructs.cs</x:v>
      </x:c>
      <x:c r="P28" s="136" t="str">
        <x:v>V1.19旧源码类型（真实成员/实现仍待核）</x:v>
      </x:c>
      <x:c r="Q28"/>
      <x:c r="R28"/>
      <x:c r="S28"/>
    </x:row>
    <x:row r="29" ht="72" customHeight="1">
      <x:c r="A29" s="179" t="str">
        <x:v>M13</x:v>
      </x:c>
      <x:c r="B29" s="180" t="str">
        <x:v>通信与集成｜Channel Foundation
Channel Communication</x:v>
      </x:c>
      <x:c r="C29" s="180" t="str">
        <x:v>MCCTcpClientModuleState</x:v>
      </x:c>
      <x:c r="D29" s="179" t="str">
        <x:v>原有·待核</x:v>
      </x:c>
      <x:c r="E29" s="180" t="str">
        <x:v>定义TCPClient模块状态的候选取值、状态或模式，供相关流程作分支判断</x:v>
      </x:c>
      <x:c r="F29" s="180" t="str">
        <x:v>枚举值：Stopping, Stopped, Started, Connected</x:v>
      </x:c>
      <x:c r="G29" s="180" t="str">
        <x:v>—(无公开声明或待核对)</x:v>
      </x:c>
      <x:c r="H29" s="180" t="str">
        <x:v>—（待核）</x:v>
      </x:c>
      <x:c r="I29" s="180" t="str">
        <x:v>CxVisual.Platform.Channels.TcpClientModuleState</x:v>
      </x:c>
      <x:c r="J29" s="179" t="str">
        <x:v>枚举</x:v>
      </x:c>
      <x:c r="K29" s="180" t="str">
        <x:v>V1.19 C-0611；原实施方式：原有。迁移风险：定义TCPClient模块状态的候选取值、状态或模式，供相关流程作分支判断</x:v>
      </x:c>
      <x:c r="L29" s="183" t="str">
        <x:v>源代码声明·待复核</x:v>
      </x:c>
      <x:c r="M29" s="183" t="str">
        <x:v>C-0611</x:v>
      </x:c>
      <x:c r="N29" s="184" t="str">
        <x:v>Platform/Channels/TcpClientStructs.cs</x:v>
      </x:c>
      <x:c r="O29" s="183" t="str">
        <x:v>V1.19旧源码类型（真实成员/实现仍待核）
V2.01：来源ID对应；处置=保留源码·公开契约复核
V7.8：V7.8同名且源文件对应；Platform/Channels/TcpClientStructs.cs</x:v>
      </x:c>
      <x:c r="P29" s="136" t="str">
        <x:v>V1.19旧源码类型（真实成员/实现仍待核）</x:v>
      </x:c>
      <x:c r="Q29"/>
      <x:c r="R29"/>
      <x:c r="S29"/>
    </x:row>
    <x:row r="30" ht="135" customHeight="1">
      <x:c r="A30" s="179" t="str">
        <x:v>M13</x:v>
      </x:c>
      <x:c r="B30" s="180" t="str">
        <x:v>通信与集成｜Channel Foundation
Channel Communication</x:v>
      </x:c>
      <x:c r="C30" s="180" t="str">
        <x:v>MCCTcpClientTransportChannel</x:v>
      </x:c>
      <x:c r="D30" s="179" t="str">
        <x:v>原有·待核</x:v>
      </x:c>
      <x:c r="E30" s="180" t="str">
        <x:v>表达或管理TCPClientTransport通道相关的数据及协作职责，具体行为待源码复核〔待核〕</x:v>
      </x:c>
      <x:c r="F30" s="180" t="str">
        <x:v>Id, ChannelId, Endpoint, State, HealthSnapshot, Health, Diagnostics, HealthChanged</x:v>
      </x:c>
      <x:c r="G30" s="180" t="str">
        <x:v>ArgumentNullException(nameof(endpoint); TcpClientTransportChannel(CxChannelDescriptor descriptor, TimeSpan connectTimeout, ICxClock clock = null); Clone(); Snapshot(); OpenAsync(CancellationToken token); ConnectAsync(CancellationToken token); DisconnectAsync(CancellationToken token); CloseAsync(CancellationToken token); Close(); Dispose(); DisposeAsync(); SendAsync(bytebuffer, int offset, int count, CancellationToken token); ReceiveAsync(bytebuffer, int offset, int count, CancellationToken token); RequestAsync(byterequest, int responseLength, CancellationToken token); Subscribe(Action&lt;byte&gt; callback); Unsubscribe(string subscriptionId)</x:v>
      </x:c>
      <x:c r="H30" s="180" t="str">
        <x:v>—（待核）</x:v>
      </x:c>
      <x:c r="I30" s="180" t="str">
        <x:v>CxVisual.Platform.Channels.TcpClientTransportChannel</x:v>
      </x:c>
      <x:c r="J30" s="179" t="str">
        <x:v>类</x:v>
      </x:c>
      <x:c r="K30" s="180" t="str">
        <x:v>V1.19 C-0612；原实施方式：原有。迁移风险：表达或管理TCPClientTransport通道相关的数据及协作职责，具体行为待源码复核〔待核〕</x:v>
      </x:c>
      <x:c r="L30" s="183" t="str">
        <x:v>源代码声明·待复核</x:v>
      </x:c>
      <x:c r="M30" s="183" t="str">
        <x:v>C-0612</x:v>
      </x:c>
      <x:c r="N30" s="184" t="str">
        <x:v>Platform/Channels/TcpClientTransportChannel.cs</x:v>
      </x:c>
      <x:c r="O30" s="183" t="str">
        <x:v>V1.19旧源码类型（真实成员/实现仍待核）
V2.01：来源ID对应；处置=保留源码·公开契约复核
V7.8：V7.8同名且源文件对应；Platform/Channels/TcpClientTransportChannel.cs</x:v>
      </x:c>
      <x:c r="P30" s="136" t="str">
        <x:v>V1.19旧源码类型（真实成员/实现仍待核）</x:v>
      </x:c>
      <x:c r="Q30"/>
      <x:c r="R30"/>
      <x:c r="S30"/>
    </x:row>
    <x:row r="31" ht="72" customHeight="1">
      <x:c r="A31" s="179" t="str">
        <x:v>M13</x:v>
      </x:c>
      <x:c r="B31" s="180" t="str">
        <x:v>通信与集成｜Channel Foundation
Channel Communication</x:v>
      </x:c>
      <x:c r="C31" s="180" t="str">
        <x:v>MCCTcpServerChannel</x:v>
      </x:c>
      <x:c r="D31" s="179" t="str">
        <x:v>原有·待核</x:v>
      </x:c>
      <x:c r="E31" s="180" t="str">
        <x:v>表达或管理TCPServer通道相关的数据及协作职责，具体行为待源码复核〔待核〕</x:v>
      </x:c>
      <x:c r="F31" s="180" t="str">
        <x:v>ModuleState, StateChanged, ClientConnected, ClientDisconnected, DataReceived</x:v>
      </x:c>
      <x:c r="G31" s="180" t="str">
        <x:v>Start(string ip, int port), Send(TcpClient client, bytedata), Send(bytedata), OnDataReceived(TcpClient client, bytedata, int bytesRead), OnStateChanged(TcpServerModuleState newState), Stop(), IsConnected(TcpClient client)</x:v>
      </x:c>
      <x:c r="H31" s="180" t="str">
        <x:v>—（待核）</x:v>
      </x:c>
      <x:c r="I31" s="180" t="str">
        <x:v>CxVisual.Platform.Channels.TcpServerChannel</x:v>
      </x:c>
      <x:c r="J31" s="179" t="str">
        <x:v>类</x:v>
      </x:c>
      <x:c r="K31" s="180" t="str">
        <x:v>V1.19 C-0614；原实施方式：原有。迁移风险：表达或管理TCPServer通道相关的数据及协作职责，具体行为待源码复核〔待核〕</x:v>
      </x:c>
      <x:c r="L31" s="183" t="str">
        <x:v>源代码声明·待复核</x:v>
      </x:c>
      <x:c r="M31" s="183" t="str">
        <x:v>C-0614</x:v>
      </x:c>
      <x:c r="N31" s="184" t="str">
        <x:v>Platform/Channels/TcpServerChannel.cs</x:v>
      </x:c>
      <x:c r="O31" s="183" t="str">
        <x:v>V1.19旧源码类型（真实成员/实现仍待核）
V2.01：来源ID对应；处置=保留源码·公开契约复核
V7.8：V7.8同名且源文件对应；Platform/Channels/TcpServerChannel.cs</x:v>
      </x:c>
      <x:c r="P31" s="136" t="str">
        <x:v>V1.19旧源码类型（真实成员/实现仍待核）</x:v>
      </x:c>
      <x:c r="Q31"/>
      <x:c r="R31"/>
      <x:c r="S31"/>
    </x:row>
    <x:row r="32" ht="72" customHeight="1">
      <x:c r="A32" s="179" t="str">
        <x:v>M13</x:v>
      </x:c>
      <x:c r="B32" s="180" t="str">
        <x:v>通信与集成｜Channel Foundation
Channel Communication</x:v>
      </x:c>
      <x:c r="C32" s="180" t="str">
        <x:v>MCCTcpServerModuleState</x:v>
      </x:c>
      <x:c r="D32" s="179" t="str">
        <x:v>原有·待核</x:v>
      </x:c>
      <x:c r="E32" s="180" t="str">
        <x:v>定义TCPServer模块状态的候选取值、状态或模式，供相关流程作分支判断</x:v>
      </x:c>
      <x:c r="F32" s="180" t="str">
        <x:v>枚举值：Stopping, Stopped, Started</x:v>
      </x:c>
      <x:c r="G32" s="180" t="str">
        <x:v>—(无公开声明或待核对)</x:v>
      </x:c>
      <x:c r="H32" s="180" t="str">
        <x:v>—（待核）</x:v>
      </x:c>
      <x:c r="I32" s="180" t="str">
        <x:v>CxVisual.Platform.Channels.TcpServerChannel.TcpServerModuleState</x:v>
      </x:c>
      <x:c r="J32" s="179" t="str">
        <x:v>枚举</x:v>
      </x:c>
      <x:c r="K32" s="180" t="str">
        <x:v>V1.19 C-0615；原实施方式：原有。迁移风险：定义TCPServer模块状态的候选取值、状态或模式，供相关流程作分支判断</x:v>
      </x:c>
      <x:c r="L32" s="183" t="str">
        <x:v>源代码声明·待复核</x:v>
      </x:c>
      <x:c r="M32" s="183" t="str">
        <x:v>C-0615</x:v>
      </x:c>
      <x:c r="N32" s="184" t="str">
        <x:v>Platform/Channels/TcpServerChannel.cs</x:v>
      </x:c>
      <x:c r="O32" s="183" t="str">
        <x:v>V1.19旧源码类型（真实成员/实现仍待核）
V2.01：来源ID对应；处置=保留源码·公开契约复核
V7.8：V7.8同名且源文件对应；Platform/Channels/TcpServerChannel.cs</x:v>
      </x:c>
      <x:c r="P32" s="136" t="str">
        <x:v>V1.19旧源码类型（真实成员/实现仍待核）</x:v>
      </x:c>
      <x:c r="Q32"/>
      <x:c r="R32"/>
      <x:c r="S32"/>
    </x:row>
    <x:row r="33" ht="72" customHeight="1">
      <x:c r="A33" s="179" t="str">
        <x:v>M13</x:v>
      </x:c>
      <x:c r="B33" s="180" t="str">
        <x:v>通信与集成｜Channel Foundation
Channel Communication</x:v>
      </x:c>
      <x:c r="C33" s="180" t="str">
        <x:v>MCCTcpServerService</x:v>
      </x:c>
      <x:c r="D33" s="179" t="str">
        <x:v>原有·待核</x:v>
      </x:c>
      <x:c r="E33" s="180" t="str">
        <x:v>封装TCPServer服务通用服务操作及其生命周期边界</x:v>
      </x:c>
      <x:c r="F33" s="180" t="str">
        <x:v>—（无公开声明或待核对）</x:v>
      </x:c>
      <x:c r="G33" s="180" t="str">
        <x:v>CancellationTokenSource(), TcpServerService(int port), StartAsync(), Stop(), RemoveClient(Guid clientId), EnqueueBusinessTask(TcpBusinessTask task), SendToClientAsync(Guid clientId, string message), MainTest(stringargs)</x:v>
      </x:c>
      <x:c r="H33" s="180" t="str">
        <x:v>—（待核）</x:v>
      </x:c>
      <x:c r="I33" s="180" t="str">
        <x:v>CxVisual.Platform.Channels.TcpServerService</x:v>
      </x:c>
      <x:c r="J33" s="179" t="str">
        <x:v>类</x:v>
      </x:c>
      <x:c r="K33" s="180" t="str">
        <x:v>V1.19 C-0616；原实施方式：原有。迁移风险：封装TCPServer服务通用服务操作及其生命周期边界</x:v>
      </x:c>
      <x:c r="L33" s="183" t="str">
        <x:v>源代码声明·待复核</x:v>
      </x:c>
      <x:c r="M33" s="183" t="str">
        <x:v>C-0616</x:v>
      </x:c>
      <x:c r="N33" s="184" t="str">
        <x:v>Platform/Channels/TcpServerService.cs</x:v>
      </x:c>
      <x:c r="O33" s="183" t="str">
        <x:v>V1.19旧源码类型（真实成员/实现仍待核）
V2.01：来源ID对应；处置=保留源码·公开契约复核
V7.8：V7.8同名且源文件对应；Platform/Channels/TcpServerService.cs</x:v>
      </x:c>
      <x:c r="P33" s="136" t="str">
        <x:v>V1.19旧源码类型（真实成员/实现仍待核）</x:v>
      </x:c>
      <x:c r="Q33"/>
      <x:c r="R33"/>
      <x:c r="S33"/>
    </x:row>
    <x:row r="34" ht="72" customHeight="1">
      <x:c r="A34" s="179" t="str">
        <x:v>M13</x:v>
      </x:c>
      <x:c r="B34" s="180" t="str">
        <x:v>通信与集成｜Channel Foundation
Channel Communication</x:v>
      </x:c>
      <x:c r="C34" s="180" t="str">
        <x:v>MCCTestMesInformation</x:v>
      </x:c>
      <x:c r="D34" s="179" t="str">
        <x:v>原有·待核</x:v>
      </x:c>
      <x:c r="E34" s="180" t="str">
        <x:v>表达或管理TestMesInformation相关的数据及协作职责，具体行为待源码复核〔待核〕</x:v>
      </x:c>
      <x:c r="F34" s="180" t="str">
        <x:v>Name, Gender, Age</x:v>
      </x:c>
      <x:c r="G34" s="180" t="str">
        <x:v>—(无公开声明或待核对)</x:v>
      </x:c>
      <x:c r="H34" s="180" t="str">
        <x:v>—（待核）</x:v>
      </x:c>
      <x:c r="I34" s="180" t="str">
        <x:v>CxVisual.Platform.Channels.TestMesInformation</x:v>
      </x:c>
      <x:c r="J34" s="179" t="str">
        <x:v>类</x:v>
      </x:c>
      <x:c r="K34" s="180" t="str">
        <x:v>V1.19 C-0617；原实施方式：原有。迁移风险：表达或管理TestMesInformation相关的数据及协作职责，具体行为待源码复核〔待核〕</x:v>
      </x:c>
      <x:c r="L34" s="183" t="str">
        <x:v>源代码声明·待复核</x:v>
      </x:c>
      <x:c r="M34" s="183" t="str">
        <x:v>C-0617</x:v>
      </x:c>
      <x:c r="N34" s="184" t="str">
        <x:v>Platform/Channels/httpServer.cs</x:v>
      </x:c>
      <x:c r="O34" s="183" t="str">
        <x:v>V1.19旧源码类型（真实成员/实现仍待核）
V2.01：来源ID对应；处置=保留源码·公开契约复核
V7.8：V7.8同名且源文件对应；Platform/Channels/httpServer.cs</x:v>
      </x:c>
      <x:c r="P34" s="136" t="str">
        <x:v>V1.19旧源码类型（真实成员/实现仍待核）</x:v>
      </x:c>
      <x:c r="Q34"/>
      <x:c r="R34"/>
      <x:c r="S34"/>
    </x:row>
    <x:row r="35" ht="72" customHeight="1">
      <x:c r="A35" s="179" t="str">
        <x:v>M13</x:v>
      </x:c>
      <x:c r="B35" s="180" t="str">
        <x:v>通信与集成｜Channel Foundation
Channel Communication</x:v>
      </x:c>
      <x:c r="C35" s="180" t="str">
        <x:v>MCCUdpClientChannel</x:v>
      </x:c>
      <x:c r="D35" s="179" t="str">
        <x:v>原有·待核</x:v>
      </x:c>
      <x:c r="E35" s="180" t="str">
        <x:v>表达或管理UdpClient通道相关的数据及协作职责，具体行为待源码复核〔待核〕</x:v>
      </x:c>
      <x:c r="F35" s="180" t="str">
        <x:v>ModuleState, StateChanged, DataReceived</x:v>
      </x:c>
      <x:c r="G35" s="180" t="str">
        <x:v>Start(string ip, int port), Send(bytedata), OnDataReceived(bytedata, int bytesRead), OnStateChanged(UdpClientModuleState newState), Stop(), IsConnected()</x:v>
      </x:c>
      <x:c r="H35" s="180" t="str">
        <x:v>—（待核）</x:v>
      </x:c>
      <x:c r="I35" s="180" t="str">
        <x:v>CxVisual.Platform.Channels.UdpClientChannel</x:v>
      </x:c>
      <x:c r="J35" s="179" t="str">
        <x:v>类</x:v>
      </x:c>
      <x:c r="K35" s="180" t="str">
        <x:v>V1.19 C-0618；原实施方式：原有。迁移风险：表达或管理UdpClient通道相关的数据及协作职责，具体行为待源码复核〔待核〕</x:v>
      </x:c>
      <x:c r="L35" s="183" t="str">
        <x:v>源代码声明·待复核</x:v>
      </x:c>
      <x:c r="M35" s="183" t="str">
        <x:v>C-0618</x:v>
      </x:c>
      <x:c r="N35" s="184" t="str">
        <x:v>Platform/Channels/UdpClientChannel.cs</x:v>
      </x:c>
      <x:c r="O35" s="183" t="str">
        <x:v>V1.19旧源码类型（真实成员/实现仍待核）
V2.01：来源ID对应；处置=保留源码·公开契约复核
V7.8：V7.8同名且源文件对应；Platform/Channels/UdpClientChannel.cs</x:v>
      </x:c>
      <x:c r="P35" s="136" t="str">
        <x:v>V1.19旧源码类型（真实成员/实现仍待核）</x:v>
      </x:c>
      <x:c r="Q35"/>
      <x:c r="R35"/>
      <x:c r="S35"/>
    </x:row>
    <x:row r="36" ht="72" customHeight="1">
      <x:c r="A36" s="179" t="str">
        <x:v>M13</x:v>
      </x:c>
      <x:c r="B36" s="180" t="str">
        <x:v>通信与集成｜Channel Foundation
Channel Communication</x:v>
      </x:c>
      <x:c r="C36" s="180" t="str">
        <x:v>MCCUdpClientModuleState</x:v>
      </x:c>
      <x:c r="D36" s="179" t="str">
        <x:v>原有·待核</x:v>
      </x:c>
      <x:c r="E36" s="180" t="str">
        <x:v>定义UdpClient模块状态的候选取值、状态或模式，供相关流程作分支判断</x:v>
      </x:c>
      <x:c r="F36" s="180" t="str">
        <x:v>枚举值：Stopping, Stopped, Started</x:v>
      </x:c>
      <x:c r="G36" s="180" t="str">
        <x:v>—(无公开声明或待核对)</x:v>
      </x:c>
      <x:c r="H36" s="180" t="str">
        <x:v>—（待核）</x:v>
      </x:c>
      <x:c r="I36" s="180" t="str">
        <x:v>CxVisual.Platform.Channels.UdpClientChannel.UdpClientModuleState</x:v>
      </x:c>
      <x:c r="J36" s="179" t="str">
        <x:v>枚举</x:v>
      </x:c>
      <x:c r="K36" s="180" t="str">
        <x:v>V1.19 C-0619；原实施方式：原有。迁移风险：定义UdpClient模块状态的候选取值、状态或模式，供相关流程作分支判断</x:v>
      </x:c>
      <x:c r="L36" s="183" t="str">
        <x:v>源代码声明·待复核</x:v>
      </x:c>
      <x:c r="M36" s="183" t="str">
        <x:v>C-0619</x:v>
      </x:c>
      <x:c r="N36" s="184" t="str">
        <x:v>Platform/Channels/UdpClientChannel.cs</x:v>
      </x:c>
      <x:c r="O36" s="183" t="str">
        <x:v>V1.19旧源码类型（真实成员/实现仍待核）
V2.01：来源ID对应；处置=保留源码·公开契约复核
V7.8：V7.8同名且源文件对应；Platform/Channels/UdpClientChannel.cs</x:v>
      </x:c>
      <x:c r="P36" s="136" t="str">
        <x:v>V1.19旧源码类型（真实成员/实现仍待核）</x:v>
      </x:c>
      <x:c r="Q36"/>
      <x:c r="R36"/>
      <x:c r="S36"/>
    </x:row>
    <x:row r="37" ht="72" customHeight="1">
      <x:c r="A37" s="179" t="str">
        <x:v>M13</x:v>
      </x:c>
      <x:c r="B37" s="180" t="str">
        <x:v>通信与集成｜Channel Foundation
Channel Communication</x:v>
      </x:c>
      <x:c r="C37" s="180" t="str">
        <x:v>MCCUdpServerChannel</x:v>
      </x:c>
      <x:c r="D37" s="179" t="str">
        <x:v>原有·待核</x:v>
      </x:c>
      <x:c r="E37" s="180" t="str">
        <x:v>表达或管理UdpServer通道相关的数据及协作职责，具体行为待源码复核〔待核〕</x:v>
      </x:c>
      <x:c r="F37" s="180" t="str">
        <x:v>ModuleState, StateChanged, DataReceived</x:v>
      </x:c>
      <x:c r="G37" s="180" t="str">
        <x:v>Start(string ip, int port), Send(IPEndPoint clientEndPoint, bytedata), OnDataReceived(IPEndPoint clientEndPoint, bytedata, int bytesRead), OnStateChanged(UdpServerModuleState newState), Stop()</x:v>
      </x:c>
      <x:c r="H37" s="180" t="str">
        <x:v>—（待核）</x:v>
      </x:c>
      <x:c r="I37" s="180" t="str">
        <x:v>CxVisual.Platform.Channels.UdpServerChannel</x:v>
      </x:c>
      <x:c r="J37" s="179" t="str">
        <x:v>类</x:v>
      </x:c>
      <x:c r="K37" s="180" t="str">
        <x:v>V1.19 C-0620；原实施方式：原有。迁移风险：表达或管理UdpServer通道相关的数据及协作职责，具体行为待源码复核〔待核〕</x:v>
      </x:c>
      <x:c r="L37" s="183" t="str">
        <x:v>源代码声明·待复核</x:v>
      </x:c>
      <x:c r="M37" s="183" t="str">
        <x:v>C-0620</x:v>
      </x:c>
      <x:c r="N37" s="184" t="str">
        <x:v>Platform/Channels/UdpServerChannel.cs</x:v>
      </x:c>
      <x:c r="O37" s="183" t="str">
        <x:v>V1.19旧源码类型（真实成员/实现仍待核）
V2.01：来源ID对应；处置=保留源码·公开契约复核
V7.8：V7.8同名且源文件对应；Platform/Channels/UdpServerChannel.cs</x:v>
      </x:c>
      <x:c r="P37" s="136" t="str">
        <x:v>V1.19旧源码类型（真实成员/实现仍待核）</x:v>
      </x:c>
      <x:c r="Q37"/>
      <x:c r="R37"/>
      <x:c r="S37"/>
    </x:row>
    <x:row r="38" ht="72" customHeight="1">
      <x:c r="A38" s="179" t="str">
        <x:v>M13</x:v>
      </x:c>
      <x:c r="B38" s="180" t="str">
        <x:v>通信与集成｜Channel Foundation
Channel Communication</x:v>
      </x:c>
      <x:c r="C38" s="180" t="str">
        <x:v>MCCUdpServerModuleState</x:v>
      </x:c>
      <x:c r="D38" s="179" t="str">
        <x:v>原有·待核</x:v>
      </x:c>
      <x:c r="E38" s="180" t="str">
        <x:v>定义UdpServer模块状态的候选取值、状态或模式，供相关流程作分支判断</x:v>
      </x:c>
      <x:c r="F38" s="180" t="str">
        <x:v>枚举值：Stopping, Stopped, Started</x:v>
      </x:c>
      <x:c r="G38" s="180" t="str">
        <x:v>—(无公开声明或待核对)</x:v>
      </x:c>
      <x:c r="H38" s="180" t="str">
        <x:v>—（待核）</x:v>
      </x:c>
      <x:c r="I38" s="180" t="str">
        <x:v>CxVisual.Platform.Channels.UdpServerChannel.UdpServerModuleState</x:v>
      </x:c>
      <x:c r="J38" s="179" t="str">
        <x:v>枚举</x:v>
      </x:c>
      <x:c r="K38" s="180" t="str">
        <x:v>V1.19 C-0621；原实施方式：原有。迁移风险：定义UdpServer模块状态的候选取值、状态或模式，供相关流程作分支判断</x:v>
      </x:c>
      <x:c r="L38" s="183" t="str">
        <x:v>源代码声明·待复核</x:v>
      </x:c>
      <x:c r="M38" s="183" t="str">
        <x:v>C-0621</x:v>
      </x:c>
      <x:c r="N38" s="184" t="str">
        <x:v>Platform/Channels/UdpServerChannel.cs</x:v>
      </x:c>
      <x:c r="O38" s="183" t="str">
        <x:v>V1.19旧源码类型（真实成员/实现仍待核）
V2.01：来源ID对应；处置=保留源码·公开契约复核
V7.8：V7.8同名且源文件对应；Platform/Channels/UdpServerChannel.cs</x:v>
      </x:c>
      <x:c r="P38" s="136" t="str">
        <x:v>V1.19旧源码类型（真实成员/实现仍待核）</x:v>
      </x:c>
      <x:c r="Q38"/>
      <x:c r="R38"/>
      <x:c r="S38"/>
    </x:row>
    <x:row r="39" ht="72" customHeight="1">
      <x:c r="A39" s="179" t="str">
        <x:v>M13</x:v>
      </x:c>
      <x:c r="B39" s="180" t="str">
        <x:v>通信与集成｜Channel Foundation
Channel Communication</x:v>
      </x:c>
      <x:c r="C39" s="180" t="str">
        <x:v>MCCWebServiceChannel</x:v>
      </x:c>
      <x:c r="D39" s="179" t="str">
        <x:v>原有·待核</x:v>
      </x:c>
      <x:c r="E39" s="180" t="str">
        <x:v>表达或管理Web服务通道相关的数据及协作职责，具体行为待源码复核〔待核〕</x:v>
      </x:c>
      <x:c r="F39" s="180" t="str">
        <x:v>—（无公开声明或待核对）</x:v>
      </x:c>
      <x:c r="G39" s="180" t="str">
        <x:v>InitWebSevice(string url), InvokeWebService(string methodname, objectargs)</x:v>
      </x:c>
      <x:c r="H39" s="180" t="str">
        <x:v>—（待核）</x:v>
      </x:c>
      <x:c r="I39" s="180" t="str">
        <x:v>CxVisual.Platform.Channels.WebServiceChannel</x:v>
      </x:c>
      <x:c r="J39" s="179" t="str">
        <x:v>类</x:v>
      </x:c>
      <x:c r="K39" s="180" t="str">
        <x:v>V1.19 C-0622；原实施方式：原有。迁移风险：表达或管理Web服务通道相关的数据及协作职责，具体行为待源码复核〔待核〕</x:v>
      </x:c>
      <x:c r="L39" s="183" t="str">
        <x:v>源代码声明·待复核</x:v>
      </x:c>
      <x:c r="M39" s="183" t="str">
        <x:v>C-0622</x:v>
      </x:c>
      <x:c r="N39" s="184" t="str">
        <x:v>Platform/Channels/WebServiceChannel.cs</x:v>
      </x:c>
      <x:c r="O39" s="183" t="str">
        <x:v>V1.19旧源码类型（真实成员/实现仍待核）
V2.01：来源ID对应；处置=保留源码·公开契约复核
V7.8：V7.8同名且源文件对应；Platform/Channels/WebServiceChannel.cs</x:v>
      </x:c>
      <x:c r="P39" s="136" t="str">
        <x:v>V1.19旧源码类型（真实成员/实现仍待核）</x:v>
      </x:c>
      <x:c r="Q39"/>
      <x:c r="R39"/>
      <x:c r="S39"/>
    </x:row>
    <x:row r="40" ht="72" customHeight="1">
      <x:c r="A40" s="179" t="str">
        <x:v>M13</x:v>
      </x:c>
      <x:c r="B40" s="180" t="str">
        <x:v>通信与集成｜Channel Foundation
Channel Communication</x:v>
      </x:c>
      <x:c r="C40" s="180" t="str">
        <x:v>MCCWebServiceSoap</x:v>
      </x:c>
      <x:c r="D40" s="179" t="str">
        <x:v>原有·待核</x:v>
      </x:c>
      <x:c r="E40" s="180" t="str">
        <x:v>表达或管理Web服务Soap相关的数据及协作职责，具体行为待源码复核〔待核〕</x:v>
      </x:c>
      <x:c r="F40" s="180" t="str">
        <x:v>—（无公开声明或待核对）</x:v>
      </x:c>
      <x:c r="G40" s="180" t="str">
        <x:v>InitRequest(string url), Request(string account, string pswd,string machineSn, string localIP, string param, string serviceName)</x:v>
      </x:c>
      <x:c r="H40" s="180" t="str">
        <x:v>—（待核）</x:v>
      </x:c>
      <x:c r="I40" s="180" t="str">
        <x:v>CxVisual.Platform.Channels.WebServiceSoap</x:v>
      </x:c>
      <x:c r="J40" s="179" t="str">
        <x:v>类</x:v>
      </x:c>
      <x:c r="K40" s="180" t="str">
        <x:v>V1.19 C-0623；原实施方式：原有。迁移风险：表达或管理Web服务Soap相关的数据及协作职责，具体行为待源码复核〔待核〕</x:v>
      </x:c>
      <x:c r="L40" s="183" t="str">
        <x:v>源代码声明·待复核</x:v>
      </x:c>
      <x:c r="M40" s="183" t="str">
        <x:v>C-0623</x:v>
      </x:c>
      <x:c r="N40" s="184" t="str">
        <x:v>Platform/Channels/WebServiceSoap.cs</x:v>
      </x:c>
      <x:c r="O40" s="183" t="str">
        <x:v>V1.19旧源码类型（真实成员/实现仍待核）
V2.01：来源ID对应；处置=保留源码·公开契约复核
V7.8：V7.8同名且源文件对应；Platform/Channels/WebServiceSoap.cs</x:v>
      </x:c>
      <x:c r="P40" s="136" t="str">
        <x:v>V1.19旧源码类型（真实成员/实现仍待核）</x:v>
      </x:c>
      <x:c r="Q40"/>
      <x:c r="R40"/>
      <x:c r="S40"/>
    </x:row>
    <x:row r="41" ht="72" customHeight="1">
      <x:c r="A41" s="179" t="str">
        <x:v>M13</x:v>
      </x:c>
      <x:c r="B41" s="180" t="str">
        <x:v>通信与集成｜Channel Foundation
Channel Communication</x:v>
      </x:c>
      <x:c r="C41" s="180" t="str">
        <x:v>PCChttpClient</x:v>
      </x:c>
      <x:c r="D41" s="179" t="str">
        <x:v>原有·待核</x:v>
      </x:c>
      <x:c r="E41" s="180" t="str">
        <x:v>表达或管理httpClient相关的数据及协作职责，具体行为待源码复核〔待核〕</x:v>
      </x:c>
      <x:c r="F41" s="180" t="str">
        <x:v>—（无公开声明或待核对）</x:v>
      </x:c>
      <x:c r="G41" s="180" t="str">
        <x:v>httpClient(), SendInformation(string url, T info)</x:v>
      </x:c>
      <x:c r="H41" s="180" t="str">
        <x:v>—（待核）</x:v>
      </x:c>
      <x:c r="I41" s="180" t="str">
        <x:v>CxVisual.Platform.Channels.httpClient</x:v>
      </x:c>
      <x:c r="J41" s="179" t="str">
        <x:v>类</x:v>
      </x:c>
      <x:c r="K41" s="180" t="str">
        <x:v>V1.19 C-0624；原实施方式：原有。迁移风险：表达或管理httpClient相关的数据及协作职责，具体行为待源码复核〔待核〕</x:v>
      </x:c>
      <x:c r="L41" s="183" t="str">
        <x:v>源代码声明·待复核</x:v>
      </x:c>
      <x:c r="M41" s="183" t="str">
        <x:v>C-0624</x:v>
      </x:c>
      <x:c r="N41" s="184" t="str">
        <x:v>Platform/Channels/httpClient.cs</x:v>
      </x:c>
      <x:c r="O41" s="183" t="str">
        <x:v>V1.19旧源码类型（真实成员/实现仍待核）
V2.01：来源ID对应；处置=保留源码·公开契约复核
V7.8：V7.8同名且源文件对应；Platform/Channels/httpClient.cs</x:v>
      </x:c>
      <x:c r="P41" s="136" t="str">
        <x:v>V1.19旧源码类型（真实成员/实现仍待核）</x:v>
      </x:c>
      <x:c r="Q41"/>
      <x:c r="R41"/>
      <x:c r="S41"/>
    </x:row>
    <x:row r="42" ht="72" customHeight="1">
      <x:c r="A42" s="179" t="str">
        <x:v>M13</x:v>
      </x:c>
      <x:c r="B42" s="180" t="str">
        <x:v>通信与集成｜Channel Foundation
Channel Communication</x:v>
      </x:c>
      <x:c r="C42" s="180" t="str">
        <x:v>PCChttpServer</x:v>
      </x:c>
      <x:c r="D42" s="179" t="str">
        <x:v>原有·待核</x:v>
      </x:c>
      <x:c r="E42" s="180" t="str">
        <x:v>表达或管理httpServer相关的数据及协作职责，具体行为待源码复核〔待核〕</x:v>
      </x:c>
      <x:c r="F42" s="180" t="str">
        <x:v>ListenInited</x:v>
      </x:c>
      <x:c r="G42" s="180" t="str">
        <x:v>httpServer(), InitListen(string url), StopListen(), AcceptClient1()</x:v>
      </x:c>
      <x:c r="H42" s="180" t="str">
        <x:v>—（待核）</x:v>
      </x:c>
      <x:c r="I42" s="180" t="str">
        <x:v>CxVisual.Platform.Channels.httpServer</x:v>
      </x:c>
      <x:c r="J42" s="179" t="str">
        <x:v>类</x:v>
      </x:c>
      <x:c r="K42" s="180" t="str">
        <x:v>V1.19 C-0625；原实施方式：原有。迁移风险：表达或管理httpServer相关的数据及协作职责，具体行为待源码复核〔待核〕</x:v>
      </x:c>
      <x:c r="L42" s="183" t="str">
        <x:v>源代码声明·待复核</x:v>
      </x:c>
      <x:c r="M42" s="183" t="str">
        <x:v>C-0625</x:v>
      </x:c>
      <x:c r="N42" s="184" t="str">
        <x:v>Platform/Channels/httpServer.cs</x:v>
      </x:c>
      <x:c r="O42" s="183" t="str">
        <x:v>V1.19旧源码类型（真实成员/实现仍待核）
V2.01：来源ID对应；处置=保留源码·公开契约复核
V7.8：V7.8同名且源文件对应；Platform/Channels/httpServer.cs</x:v>
      </x:c>
      <x:c r="P42" s="136" t="str">
        <x:v>V1.19旧源码类型（真实成员/实现仍待核）</x:v>
      </x:c>
      <x:c r="Q42"/>
      <x:c r="R42"/>
      <x:c r="S42"/>
    </x:row>
    <x:row r="43" ht="72" customHeight="1">
      <x:c r="A43" s="179" t="str">
        <x:v>M13</x:v>
      </x:c>
      <x:c r="B43" s="180" t="str">
        <x:v>通信与集成｜Channel Foundation
Channel Communication</x:v>
      </x:c>
      <x:c r="C43" s="180" t="str">
        <x:v>MCCChannelBufferPool</x:v>
      </x:c>
      <x:c r="D43" s="179" t="str">
        <x:v>增构候选·待查重</x:v>
      </x:c>
      <x:c r="E43" s="180" t="str">
        <x:v>通道缓冲池：Rent、Return</x:v>
      </x:c>
      <x:c r="F43" s="180" t="str">
        <x:v>Quota；Leases；Memory</x:v>
      </x:c>
      <x:c r="G43" s="180" t="str">
        <x:v>Rent；Return</x:v>
      </x:c>
      <x:c r="H43" s="180" t="str">
        <x:v>待逐对象核实</x:v>
      </x:c>
      <x:c r="I43" s="180" t="str">
        <x:v>ChannelBufferPool</x:v>
      </x:c>
      <x:c r="J43" s="179" t="str">
        <x:v>类/实例候选</x:v>
      </x:c>
      <x:c r="K43" s="180" t="str">
        <x:v>生命周期：Runtime</x:v>
      </x:c>
      <x:c r="L43" s="183" t="str">
        <x:v>设计候选，尚待源码验证</x:v>
      </x:c>
      <x:c r="M43" s="183" t="str">
        <x:v>M13.ChannelBufferPool</x:v>
      </x:c>
      <x:c r="N43" s="184" t="str">
        <x:v>03_能力对象!C110</x:v>
      </x:c>
      <x:c r="O43" s="183" t="str">
        <x:v>V4.9对象/属性/方法
V2.01：名称/子方面线索；处置=规划独立契约候选·未批准新增
V7.8：V7.8未检出同名词法声明</x:v>
      </x:c>
      <x:c r="P43" s="136" t="str">
        <x:v>V4.9对象/属性/方法</x:v>
      </x:c>
      <x:c r="Q43"/>
      <x:c r="R43"/>
      <x:c r="S43"/>
    </x:row>
    <x:row r="44" ht="72" customHeight="1">
      <x:c r="A44" s="179" t="str">
        <x:v>M13</x:v>
      </x:c>
      <x:c r="B44" s="180" t="str">
        <x:v>通信与集成｜Channel Foundation
Channel Communication</x:v>
      </x:c>
      <x:c r="C44" s="180" t="str">
        <x:v>MCCChannelConnectionManager</x:v>
      </x:c>
      <x:c r="D44" s="179" t="str">
        <x:v>增构候选·待查重</x:v>
      </x:c>
      <x:c r="E44" s="180" t="str">
        <x:v>通道连接管理器：Acquire、Reconnect、Release</x:v>
      </x:c>
      <x:c r="F44" s="180" t="str">
        <x:v>Pool；Health；Retry</x:v>
      </x:c>
      <x:c r="G44" s="180" t="str">
        <x:v>Acquire；Reconnect；Release</x:v>
      </x:c>
      <x:c r="H44" s="180" t="str">
        <x:v>待逐对象核实</x:v>
      </x:c>
      <x:c r="I44" s="180" t="str">
        <x:v>ChannelConnectionManager</x:v>
      </x:c>
      <x:c r="J44" s="179" t="str">
        <x:v>类/实例候选</x:v>
      </x:c>
      <x:c r="K44" s="180" t="str">
        <x:v>生命周期：Runtime</x:v>
      </x:c>
      <x:c r="L44" s="183" t="str">
        <x:v>设计候选，尚待源码验证</x:v>
      </x:c>
      <x:c r="M44" s="183" t="str">
        <x:v>M13.ChannelConnectionManager</x:v>
      </x:c>
      <x:c r="N44" s="184" t="str">
        <x:v>03_能力对象!C111</x:v>
      </x:c>
      <x:c r="O44" s="183" t="str">
        <x:v>V4.9对象/属性/方法
V2.01：名称/子方面线索；处置=规划独立契约候选·未批准新增
V7.8：V7.8未检出同名词法声明</x:v>
      </x:c>
      <x:c r="P44" s="136" t="str">
        <x:v>V4.9对象/属性/方法</x:v>
      </x:c>
      <x:c r="Q44"/>
      <x:c r="R44"/>
      <x:c r="S44"/>
    </x:row>
    <x:row r="45" ht="72" customHeight="1">
      <x:c r="A45" s="179" t="str">
        <x:v>M13</x:v>
      </x:c>
      <x:c r="B45" s="180" t="str">
        <x:v>通信与集成｜Channel Foundation
Channel Communication</x:v>
      </x:c>
      <x:c r="C45" s="180" t="str">
        <x:v>MCCChannelDescriptor</x:v>
      </x:c>
      <x:c r="D45" s="179" t="str">
        <x:v>增构候选·待查重</x:v>
      </x:c>
      <x:c r="E45" s="180" t="str">
        <x:v>通道定义</x:v>
      </x:c>
      <x:c r="F45" s="180" t="str">
        <x:v>Transport；Endpoint；Options；Buffer；Reconnect；Security</x:v>
      </x:c>
      <x:c r="G45" s="180" t="str">
        <x:v>通道定义</x:v>
      </x:c>
      <x:c r="H45" s="180" t="str">
        <x:v>待逐对象核实</x:v>
      </x:c>
      <x:c r="I45" s="180" t="str">
        <x:v>ChannelDescriptor</x:v>
      </x:c>
      <x:c r="J45" s="179" t="str">
        <x:v>类/实例候选</x:v>
      </x:c>
      <x:c r="K45" s="180" t="str">
        <x:v>生命周期：Definition</x:v>
      </x:c>
      <x:c r="L45" s="183" t="str">
        <x:v>设计候选，尚待源码验证</x:v>
      </x:c>
      <x:c r="M45" s="183" t="str">
        <x:v>M13.ChannelDescriptor</x:v>
      </x:c>
      <x:c r="N45" s="184" t="str">
        <x:v>03_能力对象!C112</x:v>
      </x:c>
      <x:c r="O45" s="183" t="str">
        <x:v>V4.9对象/属性/方法
V2.01：名称/子方面线索；处置=规划独立契约候选·未批准新增
V7.8：V7.8未检出同名词法声明</x:v>
      </x:c>
      <x:c r="P45" s="136" t="str">
        <x:v>V4.9对象/属性/方法</x:v>
      </x:c>
      <x:c r="Q45"/>
      <x:c r="R45"/>
      <x:c r="S45"/>
    </x:row>
    <x:row r="46" ht="72" customHeight="1">
      <x:c r="A46" s="179" t="str">
        <x:v>M13</x:v>
      </x:c>
      <x:c r="B46" s="180" t="str">
        <x:v>通信与集成｜Channel Foundation
Channel Communication</x:v>
      </x:c>
      <x:c r="C46" s="180" t="str">
        <x:v>MCCChannelHealth</x:v>
      </x:c>
      <x:c r="D46" s="179" t="str">
        <x:v>原有·待核</x:v>
      </x:c>
      <x:c r="E46" s="180" t="str">
        <x:v>健康指标</x:v>
      </x:c>
      <x:c r="F46" s="180" t="str">
        <x:v>Latency；Bytes；Queue；Error；ReconnectCount</x:v>
      </x:c>
      <x:c r="G46" s="180" t="str">
        <x:v>健康指标</x:v>
      </x:c>
      <x:c r="H46" s="180" t="str">
        <x:v>待逐对象核实</x:v>
      </x:c>
      <x:c r="I46" s="180" t="str">
        <x:v>运行对象/模型</x:v>
      </x:c>
      <x:c r="J46" s="179" t="str">
        <x:v>类/实例候选</x:v>
      </x:c>
      <x:c r="K46" s="180" t="str">
        <x:v>V1.19 C-0590：原有；生命周期：Runtime</x:v>
      </x:c>
      <x:c r="L46" s="183" t="str">
        <x:v>V7.8源码词法匹配，尚未验收</x:v>
      </x:c>
      <x:c r="M46" s="183" t="str">
        <x:v>M13.ChannelHealth</x:v>
      </x:c>
      <x:c r="N46" s="184" t="str">
        <x:v>Platform/Channels/Contracts/ChannelContracts.cs</x:v>
      </x:c>
      <x:c r="O46" s="183" t="str">
        <x:v>V4.9对象/属性/方法
V2.01：同名多条·待消歧；处置=暂无可信对应
V7.8：V7.8未检出同名词法声明</x:v>
      </x:c>
      <x:c r="P46" s="136" t="str">
        <x:v>V4.9对象/属性/方法</x:v>
      </x:c>
      <x:c r="Q46"/>
      <x:c r="R46"/>
      <x:c r="S46"/>
    </x:row>
    <x:row r="47" ht="72" customHeight="1">
      <x:c r="A47" s="179" t="str">
        <x:v>M13</x:v>
      </x:c>
      <x:c r="B47" s="180" t="str">
        <x:v>通信与集成｜Channel Foundation
Channel Communication</x:v>
      </x:c>
      <x:c r="C47" s="180" t="str">
        <x:v>MCCChannelSession</x:v>
      </x:c>
      <x:c r="D47" s="179" t="str">
        <x:v>增构候选·待查重</x:v>
      </x:c>
      <x:c r="E47" s="180" t="str">
        <x:v>传输通道会话：Connect、Send、Receive、Close</x:v>
      </x:c>
      <x:c r="F47" s="180" t="str">
        <x:v>Endpoint；State；Connection</x:v>
      </x:c>
      <x:c r="G47" s="180" t="str">
        <x:v>Connect；Send；Receive；Close</x:v>
      </x:c>
      <x:c r="H47" s="180" t="str">
        <x:v>待逐对象核实</x:v>
      </x:c>
      <x:c r="I47" s="180" t="str">
        <x:v>运行对象</x:v>
      </x:c>
      <x:c r="J47" s="179" t="str">
        <x:v>类/实例候选</x:v>
      </x:c>
      <x:c r="K47" s="180" t="str">
        <x:v>生命周期：Runtime</x:v>
      </x:c>
      <x:c r="L47" s="183" t="str">
        <x:v>设计候选，尚待源码验证</x:v>
      </x:c>
      <x:c r="M47" s="183" t="str">
        <x:v>M13.ChannelSession</x:v>
      </x:c>
      <x:c r="N47" s="184" t="str">
        <x:v>03_能力对象!C114</x:v>
      </x:c>
      <x:c r="O47" s="183" t="str">
        <x:v>V4.9对象/属性/方法
V2.01：名称/子方面线索；处置=规划独立契约候选·未批准新增
V7.8：V7.8未检出同名词法声明</x:v>
      </x:c>
      <x:c r="P47" s="136" t="str">
        <x:v>V4.9对象/属性/方法</x:v>
      </x:c>
      <x:c r="Q47"/>
      <x:c r="R47"/>
      <x:c r="S47"/>
    </x:row>
    <x:row r="48" ht="72" customHeight="1">
      <x:c r="A48" s="179" t="str">
        <x:v>M13</x:v>
      </x:c>
      <x:c r="B48" s="180" t="str">
        <x:v>通信与集成｜Channel Foundation
Channel Communication</x:v>
      </x:c>
      <x:c r="C48" s="180" t="str">
        <x:v>MCCChannelState</x:v>
      </x:c>
      <x:c r="D48" s="179" t="str">
        <x:v>增构候选·待查重</x:v>
      </x:c>
      <x:c r="E48" s="180" t="str">
        <x:v>连接状态</x:v>
      </x:c>
      <x:c r="F48" s="180" t="str">
        <x:v>State；ConnectedSince；LastError</x:v>
      </x:c>
      <x:c r="G48" s="180" t="str">
        <x:v>连接状态</x:v>
      </x:c>
      <x:c r="H48" s="180" t="str">
        <x:v>待逐对象核实</x:v>
      </x:c>
      <x:c r="I48" s="180" t="str">
        <x:v>运行对象/模型</x:v>
      </x:c>
      <x:c r="J48" s="179" t="str">
        <x:v>类/实例候选</x:v>
      </x:c>
      <x:c r="K48" s="180" t="str">
        <x:v>生命周期：Runtime</x:v>
      </x:c>
      <x:c r="L48" s="183" t="str">
        <x:v>设计候选，尚待源码验证</x:v>
      </x:c>
      <x:c r="M48" s="183" t="str">
        <x:v>M13.ChannelState</x:v>
      </x:c>
      <x:c r="N48" s="184" t="str">
        <x:v>03_能力对象!C115</x:v>
      </x:c>
      <x:c r="O48" s="183" t="str">
        <x:v>V4.9对象/属性/方法
V2.01：名称/子方面线索；处置=规划独立契约候选·未批准新增
V7.8：V7.8未检出同名词法声明</x:v>
      </x:c>
      <x:c r="P48" s="136" t="str">
        <x:v>V4.9对象/属性/方法</x:v>
      </x:c>
      <x:c r="Q48"/>
      <x:c r="R48"/>
      <x:c r="S48"/>
    </x:row>
    <x:row r="49" ht="72" customHeight="1">
      <x:c r="A49" s="179" t="str">
        <x:v>M13</x:v>
      </x:c>
      <x:c r="B49" s="180" t="str">
        <x:v>通信与集成｜Channel Foundation
Channel Communication</x:v>
      </x:c>
      <x:c r="C49" s="180" t="str">
        <x:v>MCCIChannel</x:v>
      </x:c>
      <x:c r="D49" s="179" t="str">
        <x:v>复用待核</x:v>
      </x:c>
      <x:c r="E49" s="180" t="str">
        <x:v>通道运行契约</x:v>
      </x:c>
      <x:c r="F49" s="180" t="str">
        <x:v>Open；Close；Send；Receive；State</x:v>
      </x:c>
      <x:c r="G49" s="180" t="str">
        <x:v>通道运行契约</x:v>
      </x:c>
      <x:c r="H49" s="180" t="str">
        <x:v>待逐对象核实</x:v>
      </x:c>
      <x:c r="I49" s="180" t="str">
        <x:v>IChannel</x:v>
      </x:c>
      <x:c r="J49" s="179" t="str">
        <x:v>接口候选</x:v>
      </x:c>
      <x:c r="K49" s="180" t="str">
        <x:v>生命周期：Runtime</x:v>
      </x:c>
      <x:c r="L49" s="183" t="str">
        <x:v>V7.8源码词法匹配，尚未验收</x:v>
      </x:c>
      <x:c r="M49" s="183" t="str">
        <x:v>M13.IChannel</x:v>
      </x:c>
      <x:c r="N49" s="184" t="str">
        <x:v>Platform/Channels/Contracts/ChannelContracts.cs</x:v>
      </x:c>
      <x:c r="O49" s="183" t="str">
        <x:v>V4.9对象/属性/方法
V2.01：未匹配V2.01；处置=暂无可信对应
V7.8：V7.8同名且源文件对应；Platform/Channels/Contracts/ChannelContracts.cs</x:v>
      </x:c>
      <x:c r="P49" s="136" t="str">
        <x:v>V4.9对象/属性/方法</x:v>
      </x:c>
      <x:c r="Q49"/>
      <x:c r="R49"/>
      <x:c r="S49"/>
    </x:row>
    <x:row r="50" ht="72" customHeight="1">
      <x:c r="A50" s="179" t="str">
        <x:v>M13</x:v>
      </x:c>
      <x:c r="B50" s="180" t="str">
        <x:v>通信与集成｜Channel Foundation
Channel Communication</x:v>
      </x:c>
      <x:c r="C50" s="180" t="str">
        <x:v>MCCIChannelFactory</x:v>
      </x:c>
      <x:c r="D50" s="179" t="str">
        <x:v>复用待核</x:v>
      </x:c>
      <x:c r="E50" s="180" t="str">
        <x:v>创建通道</x:v>
      </x:c>
      <x:c r="F50" s="180" t="str">
        <x:v>SupportedTransports；Create</x:v>
      </x:c>
      <x:c r="G50" s="180" t="str">
        <x:v>创建通道</x:v>
      </x:c>
      <x:c r="H50" s="180" t="str">
        <x:v>待逐对象核实</x:v>
      </x:c>
      <x:c r="I50" s="180" t="str">
        <x:v>IChannelFactory</x:v>
      </x:c>
      <x:c r="J50" s="179" t="str">
        <x:v>接口候选</x:v>
      </x:c>
      <x:c r="K50" s="180" t="str">
        <x:v>生命周期：Runtime</x:v>
      </x:c>
      <x:c r="L50" s="183" t="str">
        <x:v>V7.8源码词法匹配，尚未验收</x:v>
      </x:c>
      <x:c r="M50" s="183" t="str">
        <x:v>M13.IChannelFactory</x:v>
      </x:c>
      <x:c r="N50" s="184" t="str">
        <x:v>Platform/Channels/CxChannelFactory.cs</x:v>
      </x:c>
      <x:c r="O50" s="183" t="str">
        <x:v>V4.9对象/属性/方法
V2.01：未匹配V2.01；处置=暂无可信对应
V7.8：V7.8同名且源文件对应；Platform/Channels/CxChannelFactory.cs</x:v>
      </x:c>
      <x:c r="P50" s="136" t="str">
        <x:v>V4.9对象/属性/方法</x:v>
      </x:c>
      <x:c r="Q50"/>
      <x:c r="R50"/>
      <x:c r="S50"/>
    </x:row>
    <x:row r="51" ht="72" customHeight="1">
      <x:c r="A51" s="179" t="str">
        <x:v>M13</x:v>
      </x:c>
      <x:c r="B51" s="180" t="str">
        <x:v>通信与集成｜Channel Foundation
Channel Communication</x:v>
      </x:c>
      <x:c r="C51" s="180" t="str">
        <x:v>MCCMessageEnvelope</x:v>
      </x:c>
      <x:c r="D51" s="179" t="str">
        <x:v>增构候选·待查重</x:v>
      </x:c>
      <x:c r="E51" s="180" t="str">
        <x:v>消息封装</x:v>
      </x:c>
      <x:c r="F51" s="180" t="str">
        <x:v>Headers；Correlation；Payload；Timestamp</x:v>
      </x:c>
      <x:c r="G51" s="180" t="str">
        <x:v>消息封装</x:v>
      </x:c>
      <x:c r="H51" s="180" t="str">
        <x:v>待逐对象核实</x:v>
      </x:c>
      <x:c r="I51" s="180" t="str">
        <x:v>运行对象/模型</x:v>
      </x:c>
      <x:c r="J51" s="179" t="str">
        <x:v>类/实例候选</x:v>
      </x:c>
      <x:c r="K51" s="180" t="str">
        <x:v>生命周期：Runtime</x:v>
      </x:c>
      <x:c r="L51" s="183" t="str">
        <x:v>设计候选，尚待源码验证</x:v>
      </x:c>
      <x:c r="M51" s="183" t="str">
        <x:v>M13.MessageEnvelope</x:v>
      </x:c>
      <x:c r="N51" s="184" t="str">
        <x:v>03_能力对象!C118</x:v>
      </x:c>
      <x:c r="O51" s="183" t="str">
        <x:v>V4.9对象/属性/方法
V2.01：名称/子方面线索；处置=规划独立契约候选·未批准新增
V7.8：V7.8未检出同名词法声明</x:v>
      </x:c>
      <x:c r="P51" s="136" t="str">
        <x:v>V4.9对象/属性/方法</x:v>
      </x:c>
      <x:c r="Q51"/>
      <x:c r="R51"/>
      <x:c r="S51"/>
    </x:row>
    <x:row r="52" ht="72" customHeight="1">
      <x:c r="A52" s="179" t="str">
        <x:v>M14</x:v>
      </x:c>
      <x:c r="B52" s="180" t="str">
        <x:v>通信与集成｜Protocol Foundation
Protocol Adapters</x:v>
      </x:c>
      <x:c r="C52" s="180" t="str">
        <x:v>IMPAFrameParser</x:v>
      </x:c>
      <x:c r="D52" s="179" t="str">
        <x:v>原有·待核</x:v>
      </x:c>
      <x:c r="E52" s="180" t="str">
        <x:v>负责帧Parser相关的帧解析与公共契约管理</x:v>
      </x:c>
      <x:c r="F52" s="180" t="str">
        <x:v>—（无公开声明或待核对）</x:v>
      </x:c>
      <x:c r="G52" s="180" t="str">
        <x:v>PushBytes(bytebytes, int offset, int count), TryReadFrame(out object frame), Reset(), TryParse(IList&lt;byte&gt; buffer, out object frame, out int consumed)</x:v>
      </x:c>
      <x:c r="H52" s="180" t="str">
        <x:v>—（待核）</x:v>
      </x:c>
      <x:c r="I52" s="180" t="str">
        <x:v>CxVisual.Platform.Protocols.IFrameParser</x:v>
      </x:c>
      <x:c r="J52" s="179" t="str">
        <x:v>接口</x:v>
      </x:c>
      <x:c r="K52" s="180" t="str">
        <x:v>V1.19 C-0634；原实施方式：原有。迁移风险：负责帧Parser相关的帧解析与公共契约管理</x:v>
      </x:c>
      <x:c r="L52" s="183" t="str">
        <x:v>源代码声明·待复核</x:v>
      </x:c>
      <x:c r="M52" s="183" t="str">
        <x:v>C-0634</x:v>
      </x:c>
      <x:c r="N52" s="184" t="str">
        <x:v>Platform/Protocols/Contracts/ProtocolFoundationContracts.cs</x:v>
      </x:c>
      <x:c r="O52" s="183" t="str">
        <x:v>V1.19旧源码类型（真实成员/实现仍待核）
V2.01：来源ID对应；处置=保留源码·公开契约复核
V7.8：V7.8同名且源文件对应；Platform/Protocols/Contracts/ProtocolFoundationContracts.cs</x:v>
      </x:c>
      <x:c r="P52" s="136" t="str">
        <x:v>V1.19旧源码类型（真实成员/实现仍待核）</x:v>
      </x:c>
      <x:c r="Q52"/>
      <x:c r="R52"/>
      <x:c r="S52"/>
    </x:row>
    <x:row r="53" ht="72" customHeight="1">
      <x:c r="A53" s="179" t="str">
        <x:v>M14</x:v>
      </x:c>
      <x:c r="B53" s="180" t="str">
        <x:v>通信与集成｜Protocol Foundation
Protocol Adapters</x:v>
      </x:c>
      <x:c r="C53" s="180" t="str">
        <x:v>IMPAProtocol</x:v>
      </x:c>
      <x:c r="D53" s="179" t="str">
        <x:v>原有·待核</x:v>
      </x:c>
      <x:c r="E53" s="180" t="str">
        <x:v>负责规约相关的规约与公共契约管理</x:v>
      </x:c>
      <x:c r="F53" s="180" t="str">
        <x:v>Descriptor, ProtocolId, DisplayName, Version, Codec, FrameParser</x:v>
      </x:c>
      <x:c r="G53" s="180" t="str">
        <x:v>CreateSession(IChannel channel, bool ownsChannel = false), ValidateBinding(CxProtocolBinding binding, IChannel channel)</x:v>
      </x:c>
      <x:c r="H53" s="180" t="str">
        <x:v>—（待核）</x:v>
      </x:c>
      <x:c r="I53" s="180" t="str">
        <x:v>CxVisual.Platform.Protocols.IProtocol</x:v>
      </x:c>
      <x:c r="J53" s="179" t="str">
        <x:v>接口</x:v>
      </x:c>
      <x:c r="K53" s="180" t="str">
        <x:v>V1.19 C-0635；原实施方式：原有。迁移风险：负责规约相关的规约与公共契约管理</x:v>
      </x:c>
      <x:c r="L53" s="183" t="str">
        <x:v>源代码声明·待复核</x:v>
      </x:c>
      <x:c r="M53" s="183" t="str">
        <x:v>C-0635</x:v>
      </x:c>
      <x:c r="N53" s="184" t="str">
        <x:v>Platform/Protocols/Contracts/ProtocolFoundationContracts.cs</x:v>
      </x:c>
      <x:c r="O53" s="183" t="str">
        <x:v>V1.19旧源码类型（真实成员/实现仍待核）
V2.01：来源ID对应；处置=保留源码·公开契约复核
V7.8：V7.8同名且源文件对应；Platform/Protocols/Contracts/ProtocolFoundationContracts.cs</x:v>
      </x:c>
      <x:c r="P53" s="136" t="str">
        <x:v>V1.19旧源码类型（真实成员/实现仍待核）</x:v>
      </x:c>
      <x:c r="Q53"/>
      <x:c r="R53"/>
      <x:c r="S53"/>
    </x:row>
    <x:row r="54" ht="72" customHeight="1">
      <x:c r="A54" s="179" t="str">
        <x:v>M14</x:v>
      </x:c>
      <x:c r="B54" s="180" t="str">
        <x:v>通信与集成｜Protocol Foundation
Protocol Adapters</x:v>
      </x:c>
      <x:c r="C54" s="180" t="str">
        <x:v>IMPAProtocolCodec</x:v>
      </x:c>
      <x:c r="D54" s="179" t="str">
        <x:v>原有·待核</x:v>
      </x:c>
      <x:c r="E54" s="180" t="str">
        <x:v>负责规约Codec相关的编解码与公共契约管理</x:v>
      </x:c>
      <x:c r="F54" s="180" t="str">
        <x:v>—（无公开声明或待核对）</x:v>
      </x:c>
      <x:c r="G54" s="180" t="str">
        <x:v>byteEncode(object message), Decode(byteframe)</x:v>
      </x:c>
      <x:c r="H54" s="180" t="str">
        <x:v>—（待核）</x:v>
      </x:c>
      <x:c r="I54" s="180" t="str">
        <x:v>CxVisual.Platform.Protocols.IProtocolCodec</x:v>
      </x:c>
      <x:c r="J54" s="179" t="str">
        <x:v>接口</x:v>
      </x:c>
      <x:c r="K54" s="180" t="str">
        <x:v>V1.19 C-0636；原实施方式：原有。迁移风险：负责规约Codec相关的编解码与公共契约管理</x:v>
      </x:c>
      <x:c r="L54" s="183" t="str">
        <x:v>源代码声明·待复核</x:v>
      </x:c>
      <x:c r="M54" s="183" t="str">
        <x:v>C-0636</x:v>
      </x:c>
      <x:c r="N54" s="184" t="str">
        <x:v>Platform/Protocols/Contracts/ProtocolFoundationContracts.cs</x:v>
      </x:c>
      <x:c r="O54" s="183" t="str">
        <x:v>V1.19旧源码类型（真实成员/实现仍待核）
V2.01：来源ID对应；处置=保留源码·公开契约复核
V7.8：V7.8同名且源文件对应；Platform/Protocols/Contracts/ProtocolFoundationContracts.cs</x:v>
      </x:c>
      <x:c r="P54" s="136" t="str">
        <x:v>V1.19旧源码类型（真实成员/实现仍待核）</x:v>
      </x:c>
      <x:c r="Q54"/>
      <x:c r="R54"/>
      <x:c r="S54"/>
    </x:row>
    <x:row r="55" ht="72" customHeight="1">
      <x:c r="A55" s="179" t="str">
        <x:v>M14</x:v>
      </x:c>
      <x:c r="B55" s="180" t="str">
        <x:v>通信与集成｜Protocol Foundation
Protocol Adapters</x:v>
      </x:c>
      <x:c r="C55" s="180" t="str">
        <x:v>IMPAProtocolProvider</x:v>
      </x:c>
      <x:c r="D55" s="179" t="str">
        <x:v>原有·待核</x:v>
      </x:c>
      <x:c r="E55" s="180" t="str">
        <x:v>专业协议Provider</x:v>
      </x:c>
      <x:c r="F55" s="180" t="str">
        <x:v>ProviderId</x:v>
      </x:c>
      <x:c r="G55" s="180" t="str">
        <x:v>StartAsync(CancellationToken cancellationToken), StopAsync(CancellationToken cancellationToken), byteEncode(object message), Decode(byteframe), ExecuteCommandAsync(object command, int responseLength, CancellationToken cancellationToken), GetHealthAsync(CancellationToken cancellationToken)</x:v>
      </x:c>
      <x:c r="H55" s="180" t="str">
        <x:v>—（待核）</x:v>
      </x:c>
      <x:c r="I55" s="180" t="str">
        <x:v>CxVisual.Platform.Protocols.IProtocolProvider</x:v>
      </x:c>
      <x:c r="J55" s="179" t="str">
        <x:v>接口</x:v>
      </x:c>
      <x:c r="K55" s="180" t="str">
        <x:v>V1.19 C-0637；原实施方式：原有。迁移风险：专业协议Provider</x:v>
      </x:c>
      <x:c r="L55" s="183" t="str">
        <x:v>源代码声明·待复核</x:v>
      </x:c>
      <x:c r="M55" s="183" t="str">
        <x:v>C-0637</x:v>
      </x:c>
      <x:c r="N55" s="184" t="str">
        <x:v>Platform/Protocols/Contracts/CxProtocolProvider.cs</x:v>
      </x:c>
      <x:c r="O55" s="183" t="str">
        <x:v>V1.19旧源码类型（真实成员/实现仍待核）
V2.01：来源ID对应；处置=保留源码·公开契约复核
V7.8：V7.8同名且源文件对应；Platform/Protocols/Contracts/CxProtocolProvider.cs</x:v>
      </x:c>
      <x:c r="P55" s="136" t="str">
        <x:v>V1.19旧源码类型（真实成员/实现仍待核）</x:v>
      </x:c>
      <x:c r="Q55"/>
      <x:c r="R55"/>
      <x:c r="S55"/>
    </x:row>
    <x:row r="56" ht="72" customHeight="1">
      <x:c r="A56" s="179" t="str">
        <x:v>M14</x:v>
      </x:c>
      <x:c r="B56" s="180" t="str">
        <x:v>通信与集成｜Protocol Foundation
Protocol Adapters</x:v>
      </x:c>
      <x:c r="C56" s="180" t="str">
        <x:v>MPACxFrameParser</x:v>
      </x:c>
      <x:c r="D56" s="179" t="str">
        <x:v>原有·待核</x:v>
      </x:c>
      <x:c r="E56" s="180" t="str">
        <x:v>解析帧Parser输入内容，生成结构化表达</x:v>
      </x:c>
      <x:c r="F56" s="180" t="str">
        <x:v>BufferedBytes</x:v>
      </x:c>
      <x:c r="G56" s="180" t="str">
        <x:v>CxFrameParser(int capacity = 65536), TryParse(IList&lt;byte&gt; buffer, out object frame, out int consumed), PushBytes(bytebytes, int offset, int count), TryReadFrame(out object frame), Reset()</x:v>
      </x:c>
      <x:c r="H56" s="180" t="str">
        <x:v>—（待核）</x:v>
      </x:c>
      <x:c r="I56" s="180" t="str">
        <x:v>CxVisual.Platform.Protocols.CxFrameParser</x:v>
      </x:c>
      <x:c r="J56" s="179" t="str">
        <x:v>类</x:v>
      </x:c>
      <x:c r="K56" s="180" t="str">
        <x:v>V1.19 C-0626；原实施方式：原有。迁移风险：解析帧Parser输入内容，生成结构化表达</x:v>
      </x:c>
      <x:c r="L56" s="183" t="str">
        <x:v>源代码声明·待复核</x:v>
      </x:c>
      <x:c r="M56" s="183" t="str">
        <x:v>C-0626</x:v>
      </x:c>
      <x:c r="N56" s="184" t="str">
        <x:v>Platform/Protocols/Contracts/CxFrameParser.cs</x:v>
      </x:c>
      <x:c r="O56" s="183" t="str">
        <x:v>V1.19旧源码类型（真实成员/实现仍待核）
V2.01：来源ID对应；处置=保留源码·公开契约复核
V7.8：V7.8同名且源文件对应；Platform/Protocols/Contracts/CxFrameParser.cs</x:v>
      </x:c>
      <x:c r="P56" s="136" t="str">
        <x:v>V1.19旧源码类型（真实成员/实现仍待核）</x:v>
      </x:c>
    </x:row>
    <x:row r="57" ht="72" customHeight="1">
      <x:c r="A57" s="179" t="str">
        <x:v>M14</x:v>
      </x:c>
      <x:c r="B57" s="180" t="str">
        <x:v>通信与集成｜Protocol Foundation
Protocol Adapters</x:v>
      </x:c>
      <x:c r="C57" s="180" t="str">
        <x:v>MPACxProtocolBinding</x:v>
      </x:c>
      <x:c r="D57" s="179" t="str">
        <x:v>原有·待核</x:v>
      </x:c>
      <x:c r="E57" s="180" t="str">
        <x:v>Channel/Protocol绑定</x:v>
      </x:c>
      <x:c r="F57" s="180" t="str">
        <x:v>ProtocolId, ChannelRef, Addressing, Parameters</x:v>
      </x:c>
      <x:c r="G57" s="180" t="str">
        <x:v>Validate(), Resolve(IReadOnlyDictionary&lt;string, IChannel&gt; channels)</x:v>
      </x:c>
      <x:c r="H57" s="180" t="str">
        <x:v>—（待核）</x:v>
      </x:c>
      <x:c r="I57" s="180" t="str">
        <x:v>CxVisual.Platform.Protocols.CxProtocolBinding</x:v>
      </x:c>
      <x:c r="J57" s="179" t="str">
        <x:v>类</x:v>
      </x:c>
      <x:c r="K57" s="180" t="str">
        <x:v>V1.19 C-0627；原实施方式：原有。迁移风险：Channel/Protocol绑定</x:v>
      </x:c>
      <x:c r="L57" s="183" t="str">
        <x:v>源代码声明·待复核</x:v>
      </x:c>
      <x:c r="M57" s="183" t="str">
        <x:v>C-0627</x:v>
      </x:c>
      <x:c r="N57" s="184" t="str">
        <x:v>Platform/Protocols/Contracts/CxProtocolModels.cs</x:v>
      </x:c>
      <x:c r="O57" s="183" t="str">
        <x:v>V1.19旧源码类型（真实成员/实现仍待核）
V2.01：来源ID对应；处置=保留源码·公开契约复核
V7.8：V7.8同名且源文件对应；Platform/Protocols/Contracts/CxProtocolModels.cs</x:v>
      </x:c>
      <x:c r="P57" s="136" t="str">
        <x:v>V1.19旧源码类型（真实成员/实现仍待核）</x:v>
      </x:c>
    </x:row>
    <x:row r="58" ht="72" customHeight="1">
      <x:c r="A58" s="179" t="str">
        <x:v>M14</x:v>
      </x:c>
      <x:c r="B58" s="180" t="str">
        <x:v>通信与集成｜Protocol Foundation
Protocol Adapters</x:v>
      </x:c>
      <x:c r="C58" s="180" t="str">
        <x:v>MPACxProtocolDescriptor</x:v>
      </x:c>
      <x:c r="D58" s="179" t="str">
        <x:v>原有·待核</x:v>
      </x:c>
      <x:c r="E58" s="180" t="str">
        <x:v>负责规约描述符相关的规约描述与公共契约管理</x:v>
      </x:c>
      <x:c r="F58" s="180" t="str">
        <x:v>Id, Name, Version, Capabilities, MessageSchemas, SessionModel, ErrorMap</x:v>
      </x:c>
      <x:c r="G58" s="180" t="str">
        <x:v>Validate(), Clone()</x:v>
      </x:c>
      <x:c r="H58" s="180" t="str">
        <x:v>—（待核）</x:v>
      </x:c>
      <x:c r="I58" s="180" t="str">
        <x:v>CxVisual.Platform.Protocols.CxProtocolDescriptor</x:v>
      </x:c>
      <x:c r="J58" s="179" t="str">
        <x:v>类</x:v>
      </x:c>
      <x:c r="K58" s="180" t="str">
        <x:v>V1.19 C-0628；原实施方式：原有。迁移风险：负责规约描述符相关的规约描述与公共契约管理</x:v>
      </x:c>
      <x:c r="L58" s="183" t="str">
        <x:v>源代码声明·待复核</x:v>
      </x:c>
      <x:c r="M58" s="183" t="str">
        <x:v>C-0628</x:v>
      </x:c>
      <x:c r="N58" s="184" t="str">
        <x:v>Platform/Protocols/Contracts/CxProtocolModels.cs</x:v>
      </x:c>
      <x:c r="O58" s="183" t="str">
        <x:v>V1.19旧源码类型（真实成员/实现仍待核）
V2.01：来源ID对应；处置=保留源码·公开契约复核
V7.8：V7.8同名且源文件对应；Platform/Protocols/Contracts/CxProtocolModels.cs</x:v>
      </x:c>
      <x:c r="P58" s="136" t="str">
        <x:v>V1.19旧源码类型（真实成员/实现仍待核）</x:v>
      </x:c>
    </x:row>
    <x:row r="59" ht="72" customHeight="1">
      <x:c r="A59" s="179" t="str">
        <x:v>M14</x:v>
      </x:c>
      <x:c r="B59" s="180" t="str">
        <x:v>通信与集成｜Protocol Foundation
Protocol Adapters</x:v>
      </x:c>
      <x:c r="C59" s="180" t="str">
        <x:v>MPACxProtocolError</x:v>
      </x:c>
      <x:c r="D59" s="179" t="str">
        <x:v>原有·待核</x:v>
      </x:c>
      <x:c r="E59" s="180" t="str">
        <x:v>负责规约错误相关的规约错误与公共契约管理</x:v>
      </x:c>
      <x:c r="F59" s="180" t="str">
        <x:v>Code, Category, Message, RawCode, Retryable</x:v>
      </x:c>
      <x:c r="G59" s="180" t="str">
        <x:v>Clone()</x:v>
      </x:c>
      <x:c r="H59" s="180" t="str">
        <x:v>—（待核）</x:v>
      </x:c>
      <x:c r="I59" s="180" t="str">
        <x:v>CxVisual.Platform.Protocols.CxProtocolError</x:v>
      </x:c>
      <x:c r="J59" s="179" t="str">
        <x:v>类</x:v>
      </x:c>
      <x:c r="K59" s="180" t="str">
        <x:v>V1.19 C-0629；原实施方式：原有。迁移风险：负责规约错误相关的规约错误与公共契约管理</x:v>
      </x:c>
      <x:c r="L59" s="183" t="str">
        <x:v>源代码声明·待复核</x:v>
      </x:c>
      <x:c r="M59" s="183" t="str">
        <x:v>C-0629</x:v>
      </x:c>
      <x:c r="N59" s="184" t="str">
        <x:v>Platform/Protocols/Contracts/CxProtocolModels.cs</x:v>
      </x:c>
      <x:c r="O59" s="183" t="str">
        <x:v>V1.19旧源码类型（真实成员/实现仍待核）
V2.01：来源ID对应；处置=保留源码·公开契约复核
V7.8：V7.8同名且源文件对应；Platform/Protocols/Contracts/CxProtocolModels.cs</x:v>
      </x:c>
      <x:c r="P59" s="136" t="str">
        <x:v>V1.19旧源码类型（真实成员/实现仍待核）</x:v>
      </x:c>
    </x:row>
    <x:row r="60" ht="72" customHeight="1">
      <x:c r="A60" s="179" t="str">
        <x:v>M14</x:v>
      </x:c>
      <x:c r="B60" s="180" t="str">
        <x:v>通信与集成｜Protocol Foundation
Protocol Adapters</x:v>
      </x:c>
      <x:c r="C60" s="180" t="str">
        <x:v>MPACxProtocolFrame</x:v>
      </x:c>
      <x:c r="D60" s="179" t="str">
        <x:v>原有·待核</x:v>
      </x:c>
      <x:c r="E60" s="180" t="str">
        <x:v>负责规约帧相关的帧与公共契约管理</x:v>
      </x:c>
      <x:c r="F60" s="180" t="str">
        <x:v>FrameId, byteRawBytes, Timestamp, Direction, Metadata, Checksum, ChecksumAlgorithm</x:v>
      </x:c>
      <x:c r="G60" s="180" t="str">
        <x:v>ValidateChecksum(), Clone()</x:v>
      </x:c>
      <x:c r="H60" s="180" t="str">
        <x:v>—（待核）</x:v>
      </x:c>
      <x:c r="I60" s="180" t="str">
        <x:v>CxVisual.Platform.Protocols.CxProtocolFrame</x:v>
      </x:c>
      <x:c r="J60" s="179" t="str">
        <x:v>类</x:v>
      </x:c>
      <x:c r="K60" s="180" t="str">
        <x:v>V1.19 C-0630；原实施方式：原有。迁移风险：负责规约帧相关的帧与公共契约管理</x:v>
      </x:c>
      <x:c r="L60" s="183" t="str">
        <x:v>源代码声明·待复核</x:v>
      </x:c>
      <x:c r="M60" s="183" t="str">
        <x:v>C-0630</x:v>
      </x:c>
      <x:c r="N60" s="184" t="str">
        <x:v>Platform/Protocols/Contracts/CxProtocolModels.cs</x:v>
      </x:c>
      <x:c r="O60" s="183" t="str">
        <x:v>V1.19旧源码类型（真实成员/实现仍待核）
V2.01：来源ID对应；处置=保留源码·公开契约复核
V7.8：V7.8同名且源文件对应；Platform/Protocols/Contracts/CxProtocolModels.cs</x:v>
      </x:c>
      <x:c r="P60" s="136" t="str">
        <x:v>V1.19旧源码类型（真实成员/实现仍待核）</x:v>
      </x:c>
    </x:row>
    <x:row r="61" ht="72" customHeight="1">
      <x:c r="A61" s="179" t="str">
        <x:v>M14</x:v>
      </x:c>
      <x:c r="B61" s="180" t="str">
        <x:v>通信与集成｜Protocol Foundation
Protocol Adapters</x:v>
      </x:c>
      <x:c r="C61" s="180" t="str">
        <x:v>MPACxProtocolMessage</x:v>
      </x:c>
      <x:c r="D61" s="179" t="str">
        <x:v>原有·待核</x:v>
      </x:c>
      <x:c r="E61" s="180" t="str">
        <x:v>负责规约消息相关的消息与公共契约管理</x:v>
      </x:c>
      <x:c r="F61" s="180" t="str">
        <x:v>MessageType, Fields, CorrelationId, Timestamp</x:v>
      </x:c>
      <x:c r="G61" s="180" t="str">
        <x:v>GetField(string name), SetField(string name, object value), Clone()</x:v>
      </x:c>
      <x:c r="H61" s="180" t="str">
        <x:v>—（待核）</x:v>
      </x:c>
      <x:c r="I61" s="180" t="str">
        <x:v>CxVisual.Platform.Protocols.CxProtocolMessage</x:v>
      </x:c>
      <x:c r="J61" s="179" t="str">
        <x:v>类</x:v>
      </x:c>
      <x:c r="K61" s="180" t="str">
        <x:v>V1.19 C-0631；原实施方式：原有。迁移风险：负责规约消息相关的消息与公共契约管理</x:v>
      </x:c>
      <x:c r="L61" s="183" t="str">
        <x:v>源代码声明·待复核</x:v>
      </x:c>
      <x:c r="M61" s="183" t="str">
        <x:v>C-0631</x:v>
      </x:c>
      <x:c r="N61" s="184" t="str">
        <x:v>Platform/Protocols/Contracts/CxProtocolModels.cs</x:v>
      </x:c>
      <x:c r="O61" s="183" t="str">
        <x:v>V1.19旧源码类型（真实成员/实现仍待核）
V2.01：来源ID对应；处置=保留源码·公开契约复核
V7.8：V7.8同名且源文件对应；Platform/Protocols/Contracts/CxProtocolModels.cs</x:v>
      </x:c>
      <x:c r="P61" s="136" t="str">
        <x:v>V1.19旧源码类型（真实成员/实现仍待核）</x:v>
      </x:c>
    </x:row>
    <x:row r="62" ht="72" customHeight="1">
      <x:c r="A62" s="179" t="str">
        <x:v>M14</x:v>
      </x:c>
      <x:c r="B62" s="180" t="str">
        <x:v>通信与集成｜Protocol Foundation
Protocol Adapters</x:v>
      </x:c>
      <x:c r="C62" s="180" t="str">
        <x:v>MPACxProtocolProvider</x:v>
      </x:c>
      <x:c r="D62" s="179" t="str">
        <x:v>原有·待核</x:v>
      </x:c>
      <x:c r="E62" s="180" t="str">
        <x:v>提供规约提供器的访问、创建、加载或运行扩展入口</x:v>
      </x:c>
      <x:c r="F62" s="180" t="str">
        <x:v>ProviderId</x:v>
      </x:c>
      <x:c r="G62" s="180" t="str">
        <x:v>CxProtocolProvider(string providerId, IProtocol protocol, IChannel channel, bool ownsChannel = false), StartAsync(CancellationToken token), StopAsync(CancellationToken token), byteEncode(object message), Decode(byteframe), ExecuteCommandAsync(object command, int responseLength, CancellationToken token), GetHealthAsync(CancellationToken token), DisposeAsync(), Dispose()</x:v>
      </x:c>
      <x:c r="H62" s="180" t="str">
        <x:v>—（待核）</x:v>
      </x:c>
      <x:c r="I62" s="180" t="str">
        <x:v>CxVisual.Platform.Protocols.CxProtocolProvider</x:v>
      </x:c>
      <x:c r="J62" s="179" t="str">
        <x:v>类</x:v>
      </x:c>
      <x:c r="K62" s="180" t="str">
        <x:v>V1.19 C-0632；原实施方式：原有。迁移风险：提供规约提供器的访问、创建、加载或运行扩展入口</x:v>
      </x:c>
      <x:c r="L62" s="183" t="str">
        <x:v>源代码声明·待复核</x:v>
      </x:c>
      <x:c r="M62" s="183" t="str">
        <x:v>C-0632</x:v>
      </x:c>
      <x:c r="N62" s="184" t="str">
        <x:v>Platform/Protocols/Contracts/CxProtocolProvider.cs</x:v>
      </x:c>
      <x:c r="O62" s="183" t="str">
        <x:v>V1.19旧源码类型（真实成员/实现仍待核）
V2.01：来源ID对应；处置=保留源码·公开契约复核
V7.8：V7.8同名且源文件对应；Platform/Protocols/Contracts/CxProtocolProvider.cs</x:v>
      </x:c>
      <x:c r="P62" s="136" t="str">
        <x:v>V1.19旧源码类型（真实成员/实现仍待核）</x:v>
      </x:c>
    </x:row>
    <x:row r="63" ht="135" customHeight="1">
      <x:c r="A63" s="179" t="str">
        <x:v>M14</x:v>
      </x:c>
      <x:c r="B63" s="180" t="str">
        <x:v>通信与集成｜Protocol Foundation
Protocol Adapters</x:v>
      </x:c>
      <x:c r="C63" s="180" t="str">
        <x:v>MPACxProtocolSession</x:v>
      </x:c>
      <x:c r="D63" s="179" t="str">
        <x:v>原有·待核</x:v>
      </x:c>
      <x:c r="E63" s="180" t="str">
        <x:v>负责规约会话相关的规约会话与公共契约管理</x:v>
      </x:c>
      <x:c r="F63" s="180" t="str">
        <x:v>SessionId, ProtocolId, ChannelSession, State, LastHeartbeat</x:v>
      </x:c>
      <x:c r="G63" s="180" t="str">
        <x:v>CxProtocolSession(IProtocol protocol, IChannel channel, bool ownsChannel = false, ICxClock clock = null, Action&lt;object, objec…); StartAsync(CancellationToken token = default(CancellationToken); StopAsync(CancellationToken token = default(CancellationToken); SendAsync(object message, CancellationToken token = default(CancellationToken); RequestAsync(object message, int responseLength, CancellationToken token = default(CancellationToken); HandleFrameAsync(CxProtocolFrame frame, CancellationToken token = default(CancellationToken); Dispose()</x:v>
      </x:c>
      <x:c r="H63" s="180" t="str">
        <x:v>—（待核）</x:v>
      </x:c>
      <x:c r="I63" s="180" t="str">
        <x:v>CxVisual.Platform.Protocols.CxProtocolSession</x:v>
      </x:c>
      <x:c r="J63" s="179" t="str">
        <x:v>类</x:v>
      </x:c>
      <x:c r="K63" s="180" t="str">
        <x:v>V1.19 C-0633；原实施方式：原有。迁移风险：负责规约会话相关的规约会话与公共契约管理</x:v>
      </x:c>
      <x:c r="L63" s="183" t="str">
        <x:v>源代码声明·待复核</x:v>
      </x:c>
      <x:c r="M63" s="183" t="str">
        <x:v>C-0633</x:v>
      </x:c>
      <x:c r="N63" s="184" t="str">
        <x:v>Platform/Protocols/Contracts/CxProtocolSession.cs</x:v>
      </x:c>
      <x:c r="O63" s="183" t="str">
        <x:v>V1.19旧源码类型（真实成员/实现仍待核）
V2.01：来源ID对应；处置=保留源码·公开契约复核
V7.8：V7.8同名且源文件对应；Platform/Protocols/Contracts/CxProtocolSession.cs</x:v>
      </x:c>
      <x:c r="P63" s="136" t="str">
        <x:v>V1.19旧源码类型（真实成员/实现仍待核）</x:v>
      </x:c>
    </x:row>
    <x:row r="64" ht="72" customHeight="1">
      <x:c r="A64" s="179" t="str">
        <x:v>M14</x:v>
      </x:c>
      <x:c r="B64" s="180" t="str">
        <x:v>通信与集成｜Protocol Foundation
Protocol Adapters</x:v>
      </x:c>
      <x:c r="C64" s="180" t="str">
        <x:v>MPAProtocolDiagnostics</x:v>
      </x:c>
      <x:c r="D64" s="179" t="str">
        <x:v>原有·待核</x:v>
      </x:c>
      <x:c r="E64" s="180" t="str">
        <x:v>表达或管理规约Diagnostics相关的数据及协作职责，具体行为待源码复核〔待核〕</x:v>
      </x:c>
      <x:c r="F64" s="180" t="str">
        <x:v>RequestCount, ResponseCount, DecodeFailureCount, LastError</x:v>
      </x:c>
      <x:c r="G64" s="180" t="str">
        <x:v>—(无公开声明或待核对)</x:v>
      </x:c>
      <x:c r="H64" s="180" t="str">
        <x:v>—（待核）</x:v>
      </x:c>
      <x:c r="I64" s="180" t="str">
        <x:v>CxVisual.Platform.Protocols.ProtocolDiagnostics</x:v>
      </x:c>
      <x:c r="J64" s="179" t="str">
        <x:v>类</x:v>
      </x:c>
      <x:c r="K64" s="180" t="str">
        <x:v>V1.19 C-0638；原实施方式：原有。迁移风险：表达或管理规约Diagnostics相关的数据及协作职责，具体行为待源码复核〔待核〕</x:v>
      </x:c>
      <x:c r="L64" s="183" t="str">
        <x:v>源代码声明·待复核</x:v>
      </x:c>
      <x:c r="M64" s="183" t="str">
        <x:v>C-0638</x:v>
      </x:c>
      <x:c r="N64" s="184" t="str">
        <x:v>Platform/Protocols/Contracts/ProtocolFoundationContracts.cs</x:v>
      </x:c>
      <x:c r="O64" s="183" t="str">
        <x:v>V1.19旧源码类型（真实成员/实现仍待核）
V2.01：来源ID对应；处置=保留源码·公开契约复核
V7.8：V7.8同名且源文件对应；Platform/Protocols/Contracts/ProtocolFoundationContracts.cs</x:v>
      </x:c>
      <x:c r="P64" s="136" t="str">
        <x:v>V1.19旧源码类型（真实成员/实现仍待核）</x:v>
      </x:c>
    </x:row>
    <x:row r="65" ht="72" customHeight="1">
      <x:c r="A65" s="179" t="str">
        <x:v>M14</x:v>
      </x:c>
      <x:c r="B65" s="180" t="str">
        <x:v>通信与集成｜Protocol Foundation
Protocol Adapters</x:v>
      </x:c>
      <x:c r="C65" s="180" t="str">
        <x:v>MPAIFrameParser</x:v>
      </x:c>
      <x:c r="D65" s="179" t="str">
        <x:v>复用待核</x:v>
      </x:c>
      <x:c r="E65" s="180" t="str">
        <x:v>拆帧解析</x:v>
      </x:c>
      <x:c r="F65" s="180" t="str">
        <x:v>Feed；Frames；Errors</x:v>
      </x:c>
      <x:c r="G65" s="180" t="str">
        <x:v>拆帧解析</x:v>
      </x:c>
      <x:c r="H65" s="180" t="str">
        <x:v>待逐对象核实</x:v>
      </x:c>
      <x:c r="I65" s="180" t="str">
        <x:v>IFrameParser</x:v>
      </x:c>
      <x:c r="J65" s="179" t="str">
        <x:v>接口候选</x:v>
      </x:c>
      <x:c r="K65" s="180" t="str">
        <x:v>生命周期：Runtime</x:v>
      </x:c>
      <x:c r="L65" s="183" t="str">
        <x:v>V7.8源码词法匹配，尚未验收</x:v>
      </x:c>
      <x:c r="M65" s="183" t="str">
        <x:v>M14.IFrameParser</x:v>
      </x:c>
      <x:c r="N65" s="184" t="str">
        <x:v>Platform/Protocols/Contracts/ProtocolFoundationContracts.cs</x:v>
      </x:c>
      <x:c r="O65" s="183" t="str">
        <x:v>V4.9对象/属性/方法
V2.01：未匹配V2.01；处置=暂无可信对应
V7.8：V7.8同名且源文件对应；Platform/Protocols/Contracts/ProtocolFoundationContracts.cs</x:v>
      </x:c>
      <x:c r="P65" s="136" t="str">
        <x:v>V4.9对象/属性/方法</x:v>
      </x:c>
    </x:row>
    <x:row r="66" ht="72" customHeight="1">
      <x:c r="A66" s="179" t="str">
        <x:v>M14</x:v>
      </x:c>
      <x:c r="B66" s="180" t="str">
        <x:v>通信与集成｜Protocol Foundation
Protocol Adapters</x:v>
      </x:c>
      <x:c r="C66" s="180" t="str">
        <x:v>MPAIProtocolCodec</x:v>
      </x:c>
      <x:c r="D66" s="179" t="str">
        <x:v>复用待核</x:v>
      </x:c>
      <x:c r="E66" s="180" t="str">
        <x:v>编码解码</x:v>
      </x:c>
      <x:c r="F66" s="180" t="str">
        <x:v>Encode；Decode</x:v>
      </x:c>
      <x:c r="G66" s="180" t="str">
        <x:v>编码解码</x:v>
      </x:c>
      <x:c r="H66" s="180" t="str">
        <x:v>待逐对象核实</x:v>
      </x:c>
      <x:c r="I66" s="180" t="str">
        <x:v>IProtocolCodec</x:v>
      </x:c>
      <x:c r="J66" s="179" t="str">
        <x:v>接口候选</x:v>
      </x:c>
      <x:c r="K66" s="180" t="str">
        <x:v>生命周期：Runtime</x:v>
      </x:c>
      <x:c r="L66" s="183" t="str">
        <x:v>V7.8源码词法匹配，尚未验收</x:v>
      </x:c>
      <x:c r="M66" s="183" t="str">
        <x:v>M14.IProtocolCodec</x:v>
      </x:c>
      <x:c r="N66" s="184" t="str">
        <x:v>Platform/Protocols/Contracts/ProtocolFoundationContracts.cs</x:v>
      </x:c>
      <x:c r="O66" s="183" t="str">
        <x:v>V4.9对象/属性/方法
V2.01：未匹配V2.01；处置=暂无可信对应
V7.8：V7.8同名且源文件对应；Platform/Protocols/Contracts/ProtocolFoundationContracts.cs</x:v>
      </x:c>
      <x:c r="P66" s="136" t="str">
        <x:v>V4.9对象/属性/方法</x:v>
      </x:c>
    </x:row>
    <x:row r="67" ht="72" customHeight="1">
      <x:c r="A67" s="179" t="str">
        <x:v>M14</x:v>
      </x:c>
      <x:c r="B67" s="180" t="str">
        <x:v>通信与集成｜Protocol Foundation
Protocol Adapters</x:v>
      </x:c>
      <x:c r="C67" s="180" t="str">
        <x:v>MPAMessageSerializationRegistry</x:v>
      </x:c>
      <x:c r="D67" s="179" t="str">
        <x:v>增构候选·待查重</x:v>
      </x:c>
      <x:c r="E67" s="180" t="str">
        <x:v>报文序列化注册表：Register、Resolve</x:v>
      </x:c>
      <x:c r="F67" s="180" t="str">
        <x:v>Formats；SchemaVersions</x:v>
      </x:c>
      <x:c r="G67" s="180" t="str">
        <x:v>Register；Resolve</x:v>
      </x:c>
      <x:c r="H67" s="180" t="str">
        <x:v>待逐对象核实</x:v>
      </x:c>
      <x:c r="I67" s="180" t="str">
        <x:v>MessageSerializationRegistry</x:v>
      </x:c>
      <x:c r="J67" s="179" t="str">
        <x:v>类/实例候选</x:v>
      </x:c>
      <x:c r="K67" s="180" t="str">
        <x:v>生命周期：Runtime</x:v>
      </x:c>
      <x:c r="L67" s="183" t="str">
        <x:v>设计候选，尚待源码验证</x:v>
      </x:c>
      <x:c r="M67" s="183" t="str">
        <x:v>M14.MessageSerializationRegistry</x:v>
      </x:c>
      <x:c r="N67" s="184" t="str">
        <x:v>03_能力对象!C121</x:v>
      </x:c>
      <x:c r="O67" s="183" t="str">
        <x:v>V4.9对象/属性/方法
V2.01：名称/子方面线索；处置=规划独立契约候选·未批准新增
V7.8：V7.8未检出同名词法声明</x:v>
      </x:c>
      <x:c r="P67" s="136" t="str">
        <x:v>V4.9对象/属性/方法</x:v>
      </x:c>
    </x:row>
    <x:row r="68" ht="72" customHeight="1">
      <x:c r="A68" s="179" t="str">
        <x:v>M14</x:v>
      </x:c>
      <x:c r="B68" s="180" t="str">
        <x:v>通信与集成｜Protocol Foundation
Protocol Adapters</x:v>
      </x:c>
      <x:c r="C68" s="180" t="str">
        <x:v>MPAProtocolCapability</x:v>
      </x:c>
      <x:c r="D68" s="179" t="str">
        <x:v>增构候选·待查重</x:v>
      </x:c>
      <x:c r="E68" s="180" t="str">
        <x:v>协议能力</x:v>
      </x:c>
      <x:c r="F68" s="180" t="str">
        <x:v>CapabilityId；Version；Options</x:v>
      </x:c>
      <x:c r="G68" s="180" t="str">
        <x:v>协议能力</x:v>
      </x:c>
      <x:c r="H68" s="180" t="str">
        <x:v>待逐对象核实</x:v>
      </x:c>
      <x:c r="I68" s="180" t="str">
        <x:v>ProtocolCapability</x:v>
      </x:c>
      <x:c r="J68" s="179" t="str">
        <x:v>接口候选</x:v>
      </x:c>
      <x:c r="K68" s="180" t="str">
        <x:v>生命周期：Definition</x:v>
      </x:c>
      <x:c r="L68" s="183" t="str">
        <x:v>设计候选，尚待源码验证</x:v>
      </x:c>
      <x:c r="M68" s="183" t="str">
        <x:v>M14.ProtocolCapability</x:v>
      </x:c>
      <x:c r="N68" s="184"/>
      <x:c r="O68" s="183" t="str">
        <x:v>V4.9对象/属性/方法
V2.01：未匹配V2.01；处置=暂无可信对应
V7.8：V7.8未检出同名词法声明</x:v>
      </x:c>
      <x:c r="P68" s="136" t="str">
        <x:v>V4.9对象/属性/方法</x:v>
      </x:c>
    </x:row>
    <x:row r="69" ht="72" customHeight="1">
      <x:c r="A69" s="179" t="str">
        <x:v>M14</x:v>
      </x:c>
      <x:c r="B69" s="180" t="str">
        <x:v>通信与集成｜Protocol Foundation
Protocol Adapters</x:v>
      </x:c>
      <x:c r="C69" s="180" t="str">
        <x:v>MPAProtocolDescriptor</x:v>
      </x:c>
      <x:c r="D69" s="179" t="str">
        <x:v>增构候选·待查重</x:v>
      </x:c>
      <x:c r="E69" s="180" t="str">
        <x:v>协议描述</x:v>
      </x:c>
      <x:c r="F69" s="180" t="str">
        <x:v>ProtocolId；Version；Schema；Capabilities</x:v>
      </x:c>
      <x:c r="G69" s="180" t="str">
        <x:v>协议描述</x:v>
      </x:c>
      <x:c r="H69" s="180" t="str">
        <x:v>待逐对象核实</x:v>
      </x:c>
      <x:c r="I69" s="180" t="str">
        <x:v>ProtocolDescriptor</x:v>
      </x:c>
      <x:c r="J69" s="179" t="str">
        <x:v>类/实例候选</x:v>
      </x:c>
      <x:c r="K69" s="180" t="str">
        <x:v>生命周期：Definition</x:v>
      </x:c>
      <x:c r="L69" s="183" t="str">
        <x:v>设计候选，尚待源码验证</x:v>
      </x:c>
      <x:c r="M69" s="183" t="str">
        <x:v>M14.ProtocolDescriptor</x:v>
      </x:c>
      <x:c r="N69" s="184" t="str">
        <x:v>03_能力对象!C123</x:v>
      </x:c>
      <x:c r="O69" s="183" t="str">
        <x:v>V4.9对象/属性/方法
V2.01：名称/子方面线索；处置=规划独立契约候选·未批准新增
V7.8：V7.8未检出同名词法声明</x:v>
      </x:c>
      <x:c r="P69" s="136" t="str">
        <x:v>V4.9对象/属性/方法</x:v>
      </x:c>
    </x:row>
    <x:row r="70" ht="72" customHeight="1">
      <x:c r="A70" s="179" t="str">
        <x:v>M14</x:v>
      </x:c>
      <x:c r="B70" s="180" t="str">
        <x:v>通信与集成｜Protocol Foundation
Protocol Adapters</x:v>
      </x:c>
      <x:c r="C70" s="180" t="str">
        <x:v>MPAProtocolEnvelope</x:v>
      </x:c>
      <x:c r="D70" s="179" t="str">
        <x:v>增构候选·待查重</x:v>
      </x:c>
      <x:c r="E70" s="180" t="str">
        <x:v>规约信封：Validate、Decode</x:v>
      </x:c>
      <x:c r="F70" s="180" t="str">
        <x:v>Header；Payload；Version</x:v>
      </x:c>
      <x:c r="G70" s="180" t="str">
        <x:v>Validate；Decode</x:v>
      </x:c>
      <x:c r="H70" s="180" t="str">
        <x:v>待逐对象核实</x:v>
      </x:c>
      <x:c r="I70" s="180" t="str">
        <x:v>契约数据/接口</x:v>
      </x:c>
      <x:c r="J70" s="179" t="str">
        <x:v>接口候选</x:v>
      </x:c>
      <x:c r="K70" s="180" t="str">
        <x:v>生命周期：Definition</x:v>
      </x:c>
      <x:c r="L70" s="183" t="str">
        <x:v>设计候选，尚待源码验证</x:v>
      </x:c>
      <x:c r="M70" s="183" t="str">
        <x:v>M14.ProtocolEnvelope</x:v>
      </x:c>
      <x:c r="N70" s="184"/>
      <x:c r="O70" s="183" t="str">
        <x:v>V4.9对象/属性/方法
V2.01：未匹配V2.01；处置=暂无可信对应
V7.8：V7.8未检出同名词法声明</x:v>
      </x:c>
      <x:c r="P70" s="136" t="str">
        <x:v>V4.9对象/属性/方法</x:v>
      </x:c>
    </x:row>
    <x:row r="71" ht="72" customHeight="1">
      <x:c r="A71" s="179" t="str">
        <x:v>M14</x:v>
      </x:c>
      <x:c r="B71" s="180" t="str">
        <x:v>通信与集成｜Protocol Foundation
Protocol Adapters</x:v>
      </x:c>
      <x:c r="C71" s="180" t="str">
        <x:v>MPAProtocolError</x:v>
      </x:c>
      <x:c r="D71" s="179" t="str">
        <x:v>原有·待核</x:v>
      </x:c>
      <x:c r="E71" s="180" t="str">
        <x:v>协议错误</x:v>
      </x:c>
      <x:c r="F71" s="180" t="str">
        <x:v>Code；Category；Message；Raw；Retryable</x:v>
      </x:c>
      <x:c r="G71" s="180" t="str">
        <x:v>协议错误</x:v>
      </x:c>
      <x:c r="H71" s="180" t="str">
        <x:v>待逐对象核实</x:v>
      </x:c>
      <x:c r="I71" s="180" t="str">
        <x:v>运行对象/模型</x:v>
      </x:c>
      <x:c r="J71" s="179" t="str">
        <x:v>类/实例候选</x:v>
      </x:c>
      <x:c r="K71" s="180" t="str">
        <x:v>V1.19 C-0639：原有；生命周期：Runtime</x:v>
      </x:c>
      <x:c r="L71" s="183" t="str">
        <x:v>V7.8源码词法匹配，尚未验收</x:v>
      </x:c>
      <x:c r="M71" s="183" t="str">
        <x:v>M14.ProtocolError</x:v>
      </x:c>
      <x:c r="N71" s="184" t="str">
        <x:v>Platform/Protocols/Contracts/ProtocolFoundationContracts.cs</x:v>
      </x:c>
      <x:c r="O71" s="183" t="str">
        <x:v>V4.9对象/属性/方法
V2.01：同名多条·待消歧；处置=暂无可信对应
V7.8：V7.8未检出同名词法声明</x:v>
      </x:c>
      <x:c r="P71" s="136" t="str">
        <x:v>V4.9对象/属性/方法</x:v>
      </x:c>
    </x:row>
    <x:row r="72" ht="72" customHeight="1">
      <x:c r="A72" s="179" t="str">
        <x:v>M14</x:v>
      </x:c>
      <x:c r="B72" s="180" t="str">
        <x:v>通信与集成｜Protocol Foundation
Protocol Adapters</x:v>
      </x:c>
      <x:c r="C72" s="180" t="str">
        <x:v>MPAProtocolSession</x:v>
      </x:c>
      <x:c r="D72" s="179" t="str">
        <x:v>原有·待核</x:v>
      </x:c>
      <x:c r="E72" s="180" t="str">
        <x:v>协议会话</x:v>
      </x:c>
      <x:c r="F72" s="180" t="str">
        <x:v>State；Sequence；Pending；Heartbeat；Handshake</x:v>
      </x:c>
      <x:c r="G72" s="180" t="str">
        <x:v>协议会话</x:v>
      </x:c>
      <x:c r="H72" s="180" t="str">
        <x:v>待逐对象核实</x:v>
      </x:c>
      <x:c r="I72" s="180" t="str">
        <x:v>ProtocolSession</x:v>
      </x:c>
      <x:c r="J72" s="179" t="str">
        <x:v>类/实例候选</x:v>
      </x:c>
      <x:c r="K72" s="180" t="str">
        <x:v>V1.19 C-0640：原有；生命周期：Runtime</x:v>
      </x:c>
      <x:c r="L72" s="183" t="str">
        <x:v>V7.8源码词法匹配，尚未验收</x:v>
      </x:c>
      <x:c r="M72" s="183" t="str">
        <x:v>M14.ProtocolSession</x:v>
      </x:c>
      <x:c r="N72" s="184" t="str">
        <x:v>Platform/Protocols/Contracts/ProtocolFoundationContracts.cs</x:v>
      </x:c>
      <x:c r="O72" s="183" t="str">
        <x:v>V4.9对象/属性/方法
V2.01：同名多条·待消歧；处置=暂无可信对应
V7.8：V7.8同名且源文件对应；Platform/Protocols/Contracts/ProtocolFoundationContracts.cs</x:v>
      </x:c>
      <x:c r="P72" s="136" t="str">
        <x:v>V4.9对象/属性/方法</x:v>
      </x:c>
    </x:row>
    <x:row r="73" ht="72" customHeight="1">
      <x:c r="A73" s="179" t="str">
        <x:v>M14</x:v>
      </x:c>
      <x:c r="B73" s="180" t="str">
        <x:v>通信与集成｜Protocol Foundation
Protocol Adapters</x:v>
      </x:c>
      <x:c r="C73" s="180" t="str">
        <x:v>IMPAProtocolCapability</x:v>
      </x:c>
      <x:c r="D73" s="179" t="str">
        <x:v>增构候选·待查重</x:v>
      </x:c>
      <x:c r="E73" s="180" t="str">
        <x:v>协议能力</x:v>
      </x:c>
      <x:c r="F73" s="180" t="str">
        <x:v>CapabilityId, Version, Options</x:v>
      </x:c>
      <x:c r="G73" s="180" t="str">
        <x:v>协议能力</x:v>
      </x:c>
      <x:c r="H73" s="180" t="str">
        <x:v>—（待核）</x:v>
      </x:c>
      <x:c r="I73" s="180" t="str">
        <x:v>ProtocolCapability</x:v>
      </x:c>
      <x:c r="J73" s="179" t="str">
        <x:v>接口（候选）</x:v>
      </x:c>
      <x:c r="K73" s="180" t="str">
        <x:v>V1.19 S-0347；原实施方式：增构候选。迁移风险：协议能力</x:v>
      </x:c>
      <x:c r="L73" s="183" t="str">
        <x:v>V1.19设计候选·待核</x:v>
      </x:c>
      <x:c r="M73" s="183" t="str">
        <x:v>S-0347</x:v>
      </x:c>
      <x:c r="N73" s="184" t="str">
        <x:v>03_能力对象!C122</x:v>
      </x:c>
      <x:c r="O73" s="183" t="str">
        <x:v>V1.19旧规格候选
V2.01：来源ID对应；处置=规划独立契约候选·未批准新增
V7.8：V7.8未检出同名词法声明</x:v>
      </x:c>
      <x:c r="P73" s="136" t="str">
        <x:v>V1.19旧规格候选</x:v>
      </x:c>
    </x:row>
    <x:row r="74" ht="72" customHeight="1">
      <x:c r="A74" s="179" t="str">
        <x:v>M14</x:v>
      </x:c>
      <x:c r="B74" s="180" t="str">
        <x:v>通信与集成｜Protocol Foundation
Protocol Adapters</x:v>
      </x:c>
      <x:c r="C74" s="180" t="str">
        <x:v>IMPAProtocolEnvelope</x:v>
      </x:c>
      <x:c r="D74" s="179" t="str">
        <x:v>增构候选·待查重</x:v>
      </x:c>
      <x:c r="E74" s="180" t="str">
        <x:v>规约信封：Validate、Decode</x:v>
      </x:c>
      <x:c r="F74" s="180" t="str">
        <x:v>Header, Payload, Version</x:v>
      </x:c>
      <x:c r="G74" s="180" t="str">
        <x:v>Validate(), Decode()</x:v>
      </x:c>
      <x:c r="H74" s="180" t="str">
        <x:v>—（待核）</x:v>
      </x:c>
      <x:c r="I74" s="180" t="str">
        <x:v>ProtocolEnvelope</x:v>
      </x:c>
      <x:c r="J74" s="179" t="str">
        <x:v>接口（候选）</x:v>
      </x:c>
      <x:c r="K74" s="180" t="str">
        <x:v>V1.19 S-0349；原实施方式：增构候选。迁移风险：规约信封：Validate、Decode</x:v>
      </x:c>
      <x:c r="L74" s="183" t="str">
        <x:v>V1.19设计候选·待核</x:v>
      </x:c>
      <x:c r="M74" s="183" t="str">
        <x:v>S-0349</x:v>
      </x:c>
      <x:c r="N74" s="184" t="str">
        <x:v>03_能力对象!C124</x:v>
      </x:c>
      <x:c r="O74" s="183" t="str">
        <x:v>V1.19旧规格候选
V2.01：来源ID对应；处置=规划独立契约候选·未批准新增
V7.8：V7.8未检出同名词法声明</x:v>
      </x:c>
      <x:c r="P74" s="136" t="str">
        <x:v>V1.19旧规格候选</x:v>
      </x:c>
    </x:row>
    <x:row r="75" ht="72" customHeight="1">
      <x:c r="A75" s="179" t="str">
        <x:v>M15</x:v>
      </x:c>
      <x:c r="B75" s="180" t="str">
        <x:v>通信与集成｜Driver / Provider / Capability
Driver Providers</x:v>
      </x:c>
      <x:c r="C75" s="180" t="str">
        <x:v>IMDPCapabilityProvider</x:v>
      </x:c>
      <x:c r="D75" s="179" t="str">
        <x:v>原有·待核</x:v>
      </x:c>
      <x:c r="E75" s="180" t="str">
        <x:v>约定Capability提供器的操作入口、交互能力及调用方/实现方边界</x:v>
      </x:c>
      <x:c r="F75" s="180" t="str">
        <x:v>—（无公开声明或待核对）</x:v>
      </x:c>
      <x:c r="G75" s="180" t="str">
        <x:v>GetCapabilities()</x:v>
      </x:c>
      <x:c r="H75" s="180" t="str">
        <x:v>—（待核）</x:v>
      </x:c>
      <x:c r="I75" s="180" t="str">
        <x:v>CxVisual.Abstractions.ICapabilityProvider</x:v>
      </x:c>
      <x:c r="J75" s="179" t="str">
        <x:v>接口</x:v>
      </x:c>
      <x:c r="K75" s="180" t="str">
        <x:v>V1.19 C-0643；原实施方式：原有。迁移风险：约定Capability提供器的操作入口、交互能力及调用方/实现方边界</x:v>
      </x:c>
      <x:c r="L75" s="183" t="str">
        <x:v>源代码声明·待复核</x:v>
      </x:c>
      <x:c r="M75" s="183" t="str">
        <x:v>C-0643</x:v>
      </x:c>
      <x:c r="N75" s="184" t="str">
        <x:v>Platform/Core/Abstractions/PlatformContracts.cs</x:v>
      </x:c>
      <x:c r="O75" s="183" t="str">
        <x:v>V1.19旧源码类型（真实成员/实现仍待核）
V2.01：来源ID对应；处置=保留源码·公开契约复核
V7.8：V7.8同名且源文件对应；Platform/Core/Abstractions/PlatformContracts.cs</x:v>
      </x:c>
      <x:c r="P75" s="136" t="str">
        <x:v>V1.19旧源码类型（真实成员/实现仍待核）</x:v>
      </x:c>
    </x:row>
    <x:row r="76" ht="72" customHeight="1">
      <x:c r="A76" s="179" t="str">
        <x:v>M15</x:v>
      </x:c>
      <x:c r="B76" s="180" t="str">
        <x:v>通信与集成｜Driver / Provider / Capability
Driver Providers</x:v>
      </x:c>
      <x:c r="C76" s="180" t="str">
        <x:v>IMDPCxOperationHandler</x:v>
      </x:c>
      <x:c r="D76" s="179" t="str">
        <x:v>原有·待核</x:v>
      </x:c>
      <x:c r="E76" s="180" t="str">
        <x:v>负责OperationHandler相关的功能代码入口与公共契约管理</x:v>
      </x:c>
      <x:c r="F76" s="180" t="str">
        <x:v>OperationId</x:v>
      </x:c>
      <x:c r="G76" s="180" t="str">
        <x:v>ExecuteAsync(CxOperationContext context)</x:v>
      </x:c>
      <x:c r="H76" s="180" t="str">
        <x:v>—（待核）</x:v>
      </x:c>
      <x:c r="I76" s="180" t="str">
        <x:v>CxVisual.Platform.Orchestration.ICxOperationHandler</x:v>
      </x:c>
      <x:c r="J76" s="179" t="str">
        <x:v>接口</x:v>
      </x:c>
      <x:c r="K76" s="180" t="str">
        <x:v>V1.19 C-0672；原实施方式：原有。迁移风险：负责OperationHandler相关的功能代码入口与公共契约管理</x:v>
      </x:c>
      <x:c r="L76" s="183" t="str">
        <x:v>源代码声明·待复核</x:v>
      </x:c>
      <x:c r="M76" s="183" t="str">
        <x:v>C-0672</x:v>
      </x:c>
      <x:c r="N76" s="184" t="str">
        <x:v>Platform/Orchestration/Core/CxOperationContracts.cs</x:v>
      </x:c>
      <x:c r="O76" s="183" t="str">
        <x:v>V1.19旧源码类型（真实成员/实现仍待核）
V2.01：来源ID对应；处置=保留源码·公开契约复核
V7.8：V7.8同名且源文件对应；Platform/Orchestration/Core/CxOperationContracts.cs</x:v>
      </x:c>
      <x:c r="P76" s="136" t="str">
        <x:v>V1.19旧源码类型（真实成员/实现仍待核）</x:v>
      </x:c>
    </x:row>
    <x:row r="77" ht="72" customHeight="1">
      <x:c r="A77" s="179" t="str">
        <x:v>M15</x:v>
      </x:c>
      <x:c r="B77" s="180" t="str">
        <x:v>通信与集成｜Driver / Provider / Capability
Driver Providers</x:v>
      </x:c>
      <x:c r="C77" s="180" t="str">
        <x:v>IMDPCxRuntimeAdapter</x:v>
      </x:c>
      <x:c r="D77" s="179" t="str">
        <x:v>原有·待核</x:v>
      </x:c>
      <x:c r="E77" s="180" t="str">
        <x:v>专业Runtime适配</x:v>
      </x:c>
      <x:c r="F77" s="180" t="str">
        <x:v>AdapterId, SupportedOperations</x:v>
      </x:c>
      <x:c r="G77" s="180" t="str">
        <x:v>InitializeAsync(RuntimeContext context, CancellationToken cancellationToken = default(CancellationToken); ExecuteAsync(string operationId, CxOperationContext context); ShutdownAsync(CancellationToken cancellationToken = default(CancellationToken); GetHealthAsync(CancellationToken cancellationToken = default(CancellationToken)</x:v>
      </x:c>
      <x:c r="H77" s="180" t="str">
        <x:v>—（待核）</x:v>
      </x:c>
      <x:c r="I77" s="180" t="str">
        <x:v>CxVisual.Platform.Orchestration.ICxRuntimeAdapter</x:v>
      </x:c>
      <x:c r="J77" s="179" t="str">
        <x:v>接口</x:v>
      </x:c>
      <x:c r="K77" s="180" t="str">
        <x:v>V1.19 C-0673；原实施方式：原有。迁移风险：专业Runtime适配</x:v>
      </x:c>
      <x:c r="L77" s="183" t="str">
        <x:v>源代码声明·待复核</x:v>
      </x:c>
      <x:c r="M77" s="183" t="str">
        <x:v>C-0673</x:v>
      </x:c>
      <x:c r="N77" s="184" t="str">
        <x:v>Platform/Orchestration/Runtime/CxRuntimeAdapters.cs</x:v>
      </x:c>
      <x:c r="O77" s="183" t="str">
        <x:v>V1.19旧源码类型（真实成员/实现仍待核）
V2.01：来源ID对应；处置=保留源码·公开契约复核
V7.8：V7.8同名且源文件对应；Platform/Orchestration/Runtime/CxRuntimeAdapters.cs</x:v>
      </x:c>
      <x:c r="P77" s="136" t="str">
        <x:v>V1.19旧源码类型（真实成员/实现仍待核）</x:v>
      </x:c>
    </x:row>
    <x:row r="78" ht="72" customHeight="1">
      <x:c r="A78" s="179" t="str">
        <x:v>M15</x:v>
      </x:c>
      <x:c r="B78" s="180" t="str">
        <x:v>通信与集成｜Driver / Provider / Capability
Driver Providers</x:v>
      </x:c>
      <x:c r="C78" s="180" t="str">
        <x:v>IMDPLogicOperationCatalog</x:v>
      </x:c>
      <x:c r="D78" s="179" t="str">
        <x:v>原有·待核</x:v>
      </x:c>
      <x:c r="E78" s="180" t="str">
        <x:v>约定LogicOperation目录的操作入口、交互能力及调用方/实现方边界</x:v>
      </x:c>
      <x:c r="F78" s="180" t="str">
        <x:v>—（无公开声明或待核对）</x:v>
      </x:c>
      <x:c r="G78" s="180" t="str">
        <x:v>Register(LogicOperationDescriptor descriptor), Get(string operationId), List()</x:v>
      </x:c>
      <x:c r="H78" s="180" t="str">
        <x:v>—（待核）</x:v>
      </x:c>
      <x:c r="I78" s="180" t="str">
        <x:v>CxVisual.Core.ILogicOperationCatalog</x:v>
      </x:c>
      <x:c r="J78" s="179" t="str">
        <x:v>接口</x:v>
      </x:c>
      <x:c r="K78" s="180" t="str">
        <x:v>V1.19 C-0648；原实施方式：原有。迁移风险：约定LogicOperation目录的操作入口、交互能力及调用方/实现方边界</x:v>
      </x:c>
      <x:c r="L78" s="183" t="str">
        <x:v>源代码声明·待复核</x:v>
      </x:c>
      <x:c r="M78" s="183" t="str">
        <x:v>C-0648</x:v>
      </x:c>
      <x:c r="N78" s="184" t="str">
        <x:v>Platform/Core/LogicOperationCatalog.cs</x:v>
      </x:c>
      <x:c r="O78" s="183" t="str">
        <x:v>V1.19旧源码类型（真实成员/实现仍待核）
V2.01：来源ID对应；处置=保留源码·公开契约复核
V7.8：V7.8同名且源文件对应；Platform/Core/LogicOperationCatalog.cs</x:v>
      </x:c>
      <x:c r="P78" s="136" t="str">
        <x:v>V1.19旧源码类型（真实成员/实现仍待核）</x:v>
      </x:c>
    </x:row>
    <x:row r="79" ht="72" customHeight="1">
      <x:c r="A79" s="179" t="str">
        <x:v>M15</x:v>
      </x:c>
      <x:c r="B79" s="180" t="str">
        <x:v>通信与集成｜Driver / Provider / Capability
Driver Providers</x:v>
      </x:c>
      <x:c r="C79" s="180" t="str">
        <x:v>IMDPProtocolDriverModule</x:v>
      </x:c>
      <x:c r="D79" s="179" t="str">
        <x:v>原有·待核</x:v>
      </x:c>
      <x:c r="E79" s="180" t="str">
        <x:v>约定规约驱动模块的操作入口、交互能力及调用方/实现方边界</x:v>
      </x:c>
      <x:c r="F79" s="180" t="str">
        <x:v>Id, Name, TypeName</x:v>
      </x:c>
      <x:c r="G79" s="180" t="str">
        <x:v>StartReadDynamicProperty(), StopReadDynamicProperty()</x:v>
      </x:c>
      <x:c r="H79" s="180" t="str">
        <x:v>—（待核）</x:v>
      </x:c>
      <x:c r="I79" s="180" t="str">
        <x:v>CxVisual.Platform.Protocols.IProtocolDriverModule</x:v>
      </x:c>
      <x:c r="J79" s="179" t="str">
        <x:v>接口</x:v>
      </x:c>
      <x:c r="K79" s="180" t="str">
        <x:v>V1.19 C-0675；原实施方式：原有。迁移风险：约定规约驱动模块的操作入口、交互能力及调用方/实现方边界</x:v>
      </x:c>
      <x:c r="L79" s="183" t="str">
        <x:v>源代码声明·待复核</x:v>
      </x:c>
      <x:c r="M79" s="183" t="str">
        <x:v>C-0675</x:v>
      </x:c>
      <x:c r="N79" s="184" t="str">
        <x:v>Platform/Protocols/Contracts/ProtocolDriverContracts.cs</x:v>
      </x:c>
      <x:c r="O79" s="183" t="str">
        <x:v>V1.19旧源码类型（真实成员/实现仍待核）
V2.01：来源ID对应；处置=保留源码·公开契约复核
V7.8：V7.8同名且源文件对应；Platform/Protocols/Contracts/ProtocolDriverContracts.cs</x:v>
      </x:c>
      <x:c r="P79" s="136" t="str">
        <x:v>V1.19旧源码类型（真实成员/实现仍待核）</x:v>
      </x:c>
    </x:row>
    <x:row r="80" ht="72" customHeight="1">
      <x:c r="A80" s="179" t="str">
        <x:v>M15</x:v>
      </x:c>
      <x:c r="B80" s="180" t="str">
        <x:v>通信与集成｜Driver / Provider / Capability
Driver Providers</x:v>
      </x:c>
      <x:c r="C80" s="180" t="str">
        <x:v>IMDPProviderConnectionControl</x:v>
      </x:c>
      <x:c r="D80" s="179" t="str">
        <x:v>原有·待核</x:v>
      </x:c>
      <x:c r="E80" s="180" t="str">
        <x:v>约定提供器连接Control的操作入口、交互能力及调用方/实现方边界</x:v>
      </x:c>
      <x:c r="F80" s="180" t="str">
        <x:v>IsConnected, LastError</x:v>
      </x:c>
      <x:c r="G80" s="180" t="str">
        <x:v>ConnectAsync(CancellationToken cancellationToken), DisconnectAsync(CancellationToken cancellationToken)</x:v>
      </x:c>
      <x:c r="H80" s="180" t="str">
        <x:v>—（待核）</x:v>
      </x:c>
      <x:c r="I80" s="180" t="str">
        <x:v>CxVisual.Integration.IProviderConnectionControl</x:v>
      </x:c>
      <x:c r="J80" s="179" t="str">
        <x:v>接口</x:v>
      </x:c>
      <x:c r="K80" s="180" t="str">
        <x:v>V1.19 C-0654；原实施方式：原有。迁移风险：约定提供器连接Control的操作入口、交互能力及调用方/实现方边界</x:v>
      </x:c>
      <x:c r="L80" s="183" t="str">
        <x:v>源代码声明·待复核</x:v>
      </x:c>
      <x:c r="M80" s="183" t="str">
        <x:v>C-0654</x:v>
      </x:c>
      <x:c r="N80" s="184" t="str">
        <x:v>Platform/Runtime/Integration/ResilientVariableProvider.cs</x:v>
      </x:c>
      <x:c r="O80" s="183" t="str">
        <x:v>V1.19旧源码类型（真实成员/实现仍待核）
V2.01：来源ID对应；处置=保留源码·公开契约复核
V7.8：V7.8同名且源文件对应；Platform/Runtime/Integration/ResilientVariableProvider.cs</x:v>
      </x:c>
      <x:c r="P80" s="136" t="str">
        <x:v>V1.19旧源码类型（真实成员/实现仍待核）</x:v>
      </x:c>
    </x:row>
    <x:row r="81" ht="72" customHeight="1">
      <x:c r="A81" s="179" t="str">
        <x:v>M15</x:v>
      </x:c>
      <x:c r="B81" s="180" t="str">
        <x:v>通信与集成｜Driver / Provider / Capability
Driver Providers</x:v>
      </x:c>
      <x:c r="C81" s="180" t="str">
        <x:v>IMDPRuntimeAdapter</x:v>
      </x:c>
      <x:c r="D81" s="179" t="str">
        <x:v>原有·待核</x:v>
      </x:c>
      <x:c r="E81" s="180" t="str">
        <x:v>约定运行时适配器的操作入口、交互能力及调用方/实现方边界</x:v>
      </x:c>
      <x:c r="F81" s="180" t="str">
        <x:v>AdapterId</x:v>
      </x:c>
      <x:c r="G81" s="180" t="str">
        <x:v>CanExecute(ExecutionPlan plan), ExecuteAsync(ExecutionPlan plan, RuntimeContext context, TimeSpan timeout, CancellationToken cancellationToken)</x:v>
      </x:c>
      <x:c r="H81" s="180" t="str">
        <x:v>—（待核）</x:v>
      </x:c>
      <x:c r="I81" s="180" t="str">
        <x:v>CxVisual.Platform.Orchestration.IRuntimeAdapter</x:v>
      </x:c>
      <x:c r="J81" s="179" t="str">
        <x:v>接口</x:v>
      </x:c>
      <x:c r="K81" s="180" t="str">
        <x:v>V1.19 C-0674；原实施方式：原有。迁移风险：约定运行时适配器的操作入口、交互能力及调用方/实现方边界</x:v>
      </x:c>
      <x:c r="L81" s="183" t="str">
        <x:v>源代码声明·待复核</x:v>
      </x:c>
      <x:c r="M81" s="183" t="str">
        <x:v>C-0674</x:v>
      </x:c>
      <x:c r="N81" s="184" t="str">
        <x:v>Platform/Orchestration/Runtime/RuntimeAdapterContracts.cs</x:v>
      </x:c>
      <x:c r="O81" s="183" t="str">
        <x:v>V1.19旧源码类型（真实成员/实现仍待核）
V2.01：来源ID对应；处置=保留源码·公开契约复核
V7.8：V7.8同名且源文件对应；Platform/Orchestration/Runtime/RuntimeAdapterContracts.cs</x:v>
      </x:c>
      <x:c r="P81" s="136" t="str">
        <x:v>V1.19旧源码类型（真实成员/实现仍待核）</x:v>
      </x:c>
    </x:row>
    <x:row r="82" ht="72" customHeight="1">
      <x:c r="A82" s="179" t="str">
        <x:v>M15</x:v>
      </x:c>
      <x:c r="B82" s="180" t="str">
        <x:v>通信与集成｜Driver / Provider / Capability
Driver Providers</x:v>
      </x:c>
      <x:c r="C82" s="180" t="str">
        <x:v>MDPAdapterOperationHandler</x:v>
      </x:c>
      <x:c r="D82" s="179" t="str">
        <x:v>原有·待核</x:v>
      </x:c>
      <x:c r="E82" s="180" t="str">
        <x:v>响应适配器OperationHandler相关操作、事件并返回处理结果</x:v>
      </x:c>
      <x:c r="F82" s="180" t="str">
        <x:v>OperationId</x:v>
      </x:c>
      <x:c r="G82" s="180" t="str">
        <x:v>AdapterOperationHandler(CxRuntimeAdapterRegistry registry, string operation), ExecuteAsync(CxOperationContext context)</x:v>
      </x:c>
      <x:c r="H82" s="180" t="str">
        <x:v>—（待核）</x:v>
      </x:c>
      <x:c r="I82" s="180" t="str">
        <x:v>CxVisual.Platform.Orchestration.CxRuntimeAdapterRegistry.AdapterOperationHandler</x:v>
      </x:c>
      <x:c r="J82" s="179" t="str">
        <x:v>类</x:v>
      </x:c>
      <x:c r="K82" s="180" t="str">
        <x:v>V1.19 C-0668；原实施方式：原有。迁移风险：响应适配器OperationHandler相关操作、事件并返回处理结果</x:v>
      </x:c>
      <x:c r="L82" s="183" t="str">
        <x:v>源代码声明·待复核</x:v>
      </x:c>
      <x:c r="M82" s="183" t="str">
        <x:v>C-0668</x:v>
      </x:c>
      <x:c r="N82" s="184" t="str">
        <x:v>Platform/Orchestration/Runtime/CxRuntimeAdapters.cs</x:v>
      </x:c>
      <x:c r="O82" s="183" t="str">
        <x:v>V1.19旧源码类型（真实成员/实现仍待核）
V2.01：来源ID对应；处置=保留源码·公开契约复核
V7.8：V7.8同名且源文件对应；Platform/Orchestration/Runtime/CxRuntimeAdapters.cs</x:v>
      </x:c>
      <x:c r="P82" s="136" t="str">
        <x:v>V1.19旧源码类型（真实成员/实现仍待核）</x:v>
      </x:c>
    </x:row>
    <x:row r="83" ht="72" customHeight="1">
      <x:c r="A83" s="179" t="str">
        <x:v>M15</x:v>
      </x:c>
      <x:c r="B83" s="180" t="str">
        <x:v>通信与集成｜Driver / Provider / Capability
Driver Providers</x:v>
      </x:c>
      <x:c r="C83" s="180" t="str">
        <x:v>MDPBuiltInLogicOperations</x:v>
      </x:c>
      <x:c r="D83" s="179" t="str">
        <x:v>原有·待核</x:v>
      </x:c>
      <x:c r="E83" s="180" t="str">
        <x:v>提供BuiltInLogicOperations相关基础操作或类型辅助处理</x:v>
      </x:c>
      <x:c r="F83" s="180" t="str">
        <x:v>Start, End, Delay, Condition, Wait, Invoke</x:v>
      </x:c>
      <x:c r="G83" s="180" t="str">
        <x:v>CreateCatalog(), Port(string key, string typeId, bool optional = false), Operation(string id, string name, string category, params LogicParameterDescriptorparameters), Parameter(string key, string typeId, string defaultValue, bool required)</x:v>
      </x:c>
      <x:c r="H83" s="180" t="str">
        <x:v>—（待核）</x:v>
      </x:c>
      <x:c r="I83" s="180" t="str">
        <x:v>CxVisual.Core.BuiltInLogicOperations</x:v>
      </x:c>
      <x:c r="J83" s="179" t="str">
        <x:v>静态类</x:v>
      </x:c>
      <x:c r="K83" s="180" t="str">
        <x:v>V1.19 C-0644；原实施方式：原有。迁移风险：提供BuiltInLogicOperations相关基础操作或类型辅助处理</x:v>
      </x:c>
      <x:c r="L83" s="183" t="str">
        <x:v>源代码声明·待复核</x:v>
      </x:c>
      <x:c r="M83" s="183" t="str">
        <x:v>C-0644</x:v>
      </x:c>
      <x:c r="N83" s="184" t="str">
        <x:v>Platform/Core/LogicOperationCatalog.cs</x:v>
      </x:c>
      <x:c r="O83" s="183" t="str">
        <x:v>V1.19旧源码类型（真实成员/实现仍待核）
V2.01：来源ID对应；处置=保留源码·公开契约复核
V7.8：V7.8同名且源文件对应；Platform/Core/LogicOperationCatalog.cs</x:v>
      </x:c>
      <x:c r="P83" s="136" t="str">
        <x:v>V1.19旧源码类型（真实成员/实现仍待核）</x:v>
      </x:c>
    </x:row>
    <x:row r="84" ht="72" customHeight="1">
      <x:c r="A84" s="179" t="str">
        <x:v>M15</x:v>
      </x:c>
      <x:c r="B84" s="180" t="str">
        <x:v>通信与集成｜Driver / Provider / Capability
Driver Providers</x:v>
      </x:c>
      <x:c r="C84" s="180" t="str">
        <x:v>MDPCapabilityReference</x:v>
      </x:c>
      <x:c r="D84" s="179" t="str">
        <x:v>原有·待核</x:v>
      </x:c>
      <x:c r="E84" s="180" t="str">
        <x:v>表达或管理Capability引用相关的数据及协作职责，具体行为待源码复核〔待核〕</x:v>
      </x:c>
      <x:c r="F84" s="180" t="str">
        <x:v>Id, CapabilityId, ContractRefId, TargetDomainId, TargetResourceId, TargetRevision, ProviderHint</x:v>
      </x:c>
      <x:c r="G84" s="180" t="str">
        <x:v>DeepClone()</x:v>
      </x:c>
      <x:c r="H84" s="180" t="str">
        <x:v>—（待核）</x:v>
      </x:c>
      <x:c r="I84" s="180" t="str">
        <x:v>CxVisual.Core.CapabilityReference</x:v>
      </x:c>
      <x:c r="J84" s="179" t="str">
        <x:v>类</x:v>
      </x:c>
      <x:c r="K84" s="180" t="str">
        <x:v>V1.19 C-0645；原实施方式：原有。迁移风险：表达或管理Capability引用相关的数据及协作职责，具体行为待源码复核〔待核〕</x:v>
      </x:c>
      <x:c r="L84" s="183" t="str">
        <x:v>源代码声明·待复核</x:v>
      </x:c>
      <x:c r="M84" s="183" t="str">
        <x:v>C-0645</x:v>
      </x:c>
      <x:c r="N84" s="184" t="str">
        <x:v>Platform/Core/AspectDefinitions.cs</x:v>
      </x:c>
      <x:c r="O84" s="183" t="str">
        <x:v>V1.19旧源码类型（真实成员/实现仍待核）
V2.01：来源ID对应；处置=保留源码·公开契约复核
V7.8：V7.8同名且源文件对应；Platform/Core/AspectDefinitions.cs</x:v>
      </x:c>
      <x:c r="P84" s="136" t="str">
        <x:v>V1.19旧源码类型（真实成员/实现仍待核）</x:v>
      </x:c>
    </x:row>
    <x:row r="85" ht="72" customHeight="1">
      <x:c r="A85" s="179" t="str">
        <x:v>M15</x:v>
      </x:c>
      <x:c r="B85" s="180" t="str">
        <x:v>通信与集成｜Driver / Provider / Capability
Driver Providers</x:v>
      </x:c>
      <x:c r="C85" s="180" t="str">
        <x:v>MDPCxCapabilityDescriptor</x:v>
      </x:c>
      <x:c r="D85" s="179" t="str">
        <x:v>原有·待核</x:v>
      </x:c>
      <x:c r="E85" s="180" t="str">
        <x:v>负责Capability描述符相关的能力展示/发现与公共契约管理</x:v>
      </x:c>
      <x:c r="F85" s="180" t="str">
        <x:v>Id, Name, Category, Version, ProviderId, SupportedNodeKinds, RequiredResources, Ports, Operations, RuntimePlacements, Metadata</x:v>
      </x:c>
      <x:c r="G85" s="180" t="str">
        <x:v>Validate(), IsCompatible(CxNode node, CxPlacement placement = null), Clone()</x:v>
      </x:c>
      <x:c r="H85" s="180" t="str">
        <x:v>—（待核）</x:v>
      </x:c>
      <x:c r="I85" s="180" t="str">
        <x:v>CxVisual.Core.CxCapabilityDescriptor</x:v>
      </x:c>
      <x:c r="J85" s="179" t="str">
        <x:v>类</x:v>
      </x:c>
      <x:c r="K85" s="180" t="str">
        <x:v>V1.19 C-0646；原实施方式：原有。迁移风险：负责Capability描述符相关的能力展示/发现与公共契约管理</x:v>
      </x:c>
      <x:c r="L85" s="183" t="str">
        <x:v>源代码声明·待复核</x:v>
      </x:c>
      <x:c r="M85" s="183" t="str">
        <x:v>C-0646</x:v>
      </x:c>
      <x:c r="N85" s="184" t="str">
        <x:v>Platform/Core/CxDescriptorContracts.cs</x:v>
      </x:c>
      <x:c r="O85" s="183" t="str">
        <x:v>V1.19旧源码类型（真实成员/实现仍待核）
V2.01：来源ID对应；处置=保留源码·公开契约复核
V7.8：V7.8同名且源文件对应；Platform/Core/CxDescriptorContracts.cs</x:v>
      </x:c>
      <x:c r="P85" s="136" t="str">
        <x:v>V1.19旧源码类型（真实成员/实现仍待核）</x:v>
      </x:c>
    </x:row>
    <x:row r="86" ht="72" customHeight="1">
      <x:c r="A86" s="179" t="str">
        <x:v>M15</x:v>
      </x:c>
      <x:c r="B86" s="180" t="str">
        <x:v>通信与集成｜Driver / Provider / Capability
Driver Providers</x:v>
      </x:c>
      <x:c r="C86" s="180" t="str">
        <x:v>MDPCxCapabilityRegistry</x:v>
      </x:c>
      <x:c r="D86" s="179" t="str">
        <x:v>原有·待核</x:v>
      </x:c>
      <x:c r="E86" s="180" t="str">
        <x:v>负责Capability注册表相关的能力目录与公共契约管理</x:v>
      </x:c>
      <x:c r="F86" s="180" t="str">
        <x:v>Descriptors</x:v>
      </x:c>
      <x:c r="G86" s="180" t="str">
        <x:v>RegisterProviderDomain(string providerId,string domainId), Register(CxCapabilityDescriptor descriptor), Unregister(string id), RegisterOwned(CxCapabilityDescriptor descriptor), Find(string id), Query(CxNodeType? nodeKind=null,string providerId=null,string category=null,Func&lt;CxCapabilityDescriptor,bool&gt; pre…), Resolve(CapabilityReference reference,CxNode node=null,CxPlacement placement=null,CxResourceRegistry resources=null)</x:v>
      </x:c>
      <x:c r="H86" s="180" t="str">
        <x:v>—（待核）</x:v>
      </x:c>
      <x:c r="I86" s="180" t="str">
        <x:v>CxVisual.Core.CxCapabilityRegistry</x:v>
      </x:c>
      <x:c r="J86" s="179" t="str">
        <x:v>类</x:v>
      </x:c>
      <x:c r="K86" s="180" t="str">
        <x:v>V1.19 C-0647；原实施方式：原有。迁移风险：负责Capability注册表相关的能力目录与公共契约管理</x:v>
      </x:c>
      <x:c r="L86" s="183" t="str">
        <x:v>源代码声明·待复核</x:v>
      </x:c>
      <x:c r="M86" s="183" t="str">
        <x:v>C-0647</x:v>
      </x:c>
      <x:c r="N86" s="184" t="str">
        <x:v>Platform/Core/CxCapabilityRegistry.cs</x:v>
      </x:c>
      <x:c r="O86" s="183" t="str">
        <x:v>V1.19旧源码类型（真实成员/实现仍待核）
V2.01：来源ID对应；处置=保留源码·公开契约复核
V7.8：V7.8同名且源文件对应；Platform/Core/CxCapabilityRegistry.cs</x:v>
      </x:c>
      <x:c r="P86" s="136" t="str">
        <x:v>V1.19旧源码类型（真实成员/实现仍待核）</x:v>
      </x:c>
    </x:row>
    <x:row r="87" ht="72" customHeight="1">
      <x:c r="A87" s="179" t="str">
        <x:v>M15</x:v>
      </x:c>
      <x:c r="B87" s="180" t="str">
        <x:v>通信与集成｜Driver / Provider / Capability
Driver Providers</x:v>
      </x:c>
      <x:c r="C87" s="180" t="str">
        <x:v>MDPCxOperationContext</x:v>
      </x:c>
      <x:c r="D87" s="179" t="str">
        <x:v>原有·待核</x:v>
      </x:c>
      <x:c r="E87" s="180" t="str">
        <x:v>Handler上下文</x:v>
      </x:c>
      <x:c r="F87" s="180" t="str">
        <x:v>ExecutionInstanceId, NodeAddress, Inputs, Outputs, Properties, DataScope, ResourceScope, LeaseResources, ExecutionContext, TraceContext, EventBus, CancellationToken</x:v>
      </x:c>
      <x:c r="G87" s="180" t="str">
        <x:v>CxOperationContext(string executionInstanceId,CxNodeAddress nodeAddress, IDictionary&lt;string,object&gt; inputs=null,IDictionary&lt;st…); WithExecutionContext(ExecutionContext context); WithLeaseResources(Resources.CxResourceScope resources); GetInput(string name); GetProperty(string name); GetResource(string name); SetOutput(string name,object value); RaiseEvent(string type,object data=null); ReportProgress(double value)</x:v>
      </x:c>
      <x:c r="H87" s="180" t="str">
        <x:v>—（待核）</x:v>
      </x:c>
      <x:c r="I87" s="180" t="str">
        <x:v>CxVisual.Platform.Orchestration.CxOperationContext</x:v>
      </x:c>
      <x:c r="J87" s="179" t="str">
        <x:v>类</x:v>
      </x:c>
      <x:c r="K87" s="180" t="str">
        <x:v>V1.19 C-0661；原实施方式：原有。迁移风险：Handler上下文</x:v>
      </x:c>
      <x:c r="L87" s="183" t="str">
        <x:v>源代码声明·待复核</x:v>
      </x:c>
      <x:c r="M87" s="183" t="str">
        <x:v>C-0661</x:v>
      </x:c>
      <x:c r="N87" s="184" t="str">
        <x:v>Platform/Orchestration/Core/CxOperationContracts.cs</x:v>
      </x:c>
      <x:c r="O87" s="183" t="str">
        <x:v>V1.19旧源码类型（真实成员/实现仍待核）
V2.01：来源ID对应；处置=保留源码·公开契约复核
V7.8：V7.8同名且源文件对应；Platform/Orchestration/Core/CxOperationContracts.cs</x:v>
      </x:c>
      <x:c r="P87" s="136" t="str">
        <x:v>V1.19旧源码类型（真实成员/实现仍待核）</x:v>
      </x:c>
    </x:row>
    <x:row r="88" ht="72" customHeight="1">
      <x:c r="A88" s="179" t="str">
        <x:v>M15</x:v>
      </x:c>
      <x:c r="B88" s="180" t="str">
        <x:v>通信与集成｜Driver / Provider / Capability
Driver Providers</x:v>
      </x:c>
      <x:c r="C88" s="180" t="str">
        <x:v>MDPCxOperationDescriptor</x:v>
      </x:c>
      <x:c r="D88" s="179" t="str">
        <x:v>原有·待核</x:v>
      </x:c>
      <x:c r="E88" s="180" t="str">
        <x:v>负责Operation描述符相关的功能块描述与公共契约管理</x:v>
      </x:c>
      <x:c r="F88" s="180" t="str">
        <x:v>OperationId, Name, Category, InputContracts, OutputContracts, RequiredResources, SupportedPlacements, HandlerType, Version, IsRepeatable, SideEffect</x:v>
      </x:c>
      <x:c r="G88" s="180" t="str">
        <x:v>Validate(), IsCompatible(CxOperationDescriptor required,Func&lt;string,string,bool&gt; assignable=null), Clone()</x:v>
      </x:c>
      <x:c r="H88" s="180" t="str">
        <x:v>—（待核）</x:v>
      </x:c>
      <x:c r="I88" s="180" t="str">
        <x:v>CxVisual.Platform.Orchestration.CxOperationDescriptor</x:v>
      </x:c>
      <x:c r="J88" s="179" t="str">
        <x:v>类</x:v>
      </x:c>
      <x:c r="K88" s="180" t="str">
        <x:v>V1.19 C-0662；原实施方式：原有。迁移风险：负责Operation描述符相关的功能块描述与公共契约管理</x:v>
      </x:c>
      <x:c r="L88" s="183" t="str">
        <x:v>源代码声明·待复核</x:v>
      </x:c>
      <x:c r="M88" s="183" t="str">
        <x:v>C-0662</x:v>
      </x:c>
      <x:c r="N88" s="184" t="str">
        <x:v>Platform/Orchestration/Core/CxOperationContracts.cs</x:v>
      </x:c>
      <x:c r="O88" s="183" t="str">
        <x:v>V1.19旧源码类型（真实成员/实现仍待核）
V2.01：来源ID对应；处置=保留源码·公开契约复核
V7.8：V7.8同名且源文件对应；Platform/Orchestration/Core/CxOperationContracts.cs</x:v>
      </x:c>
      <x:c r="P88" s="136" t="str">
        <x:v>V1.19旧源码类型（真实成员/实现仍待核）</x:v>
      </x:c>
    </x:row>
    <x:row r="89" ht="72" customHeight="1">
      <x:c r="A89" s="179" t="str">
        <x:v>M15</x:v>
      </x:c>
      <x:c r="B89" s="180" t="str">
        <x:v>通信与集成｜Driver / Provider / Capability
Driver Providers</x:v>
      </x:c>
      <x:c r="C89" s="180" t="str">
        <x:v>MDPCxOperationRegistry</x:v>
      </x:c>
      <x:c r="D89" s="179" t="str">
        <x:v>原有·待核</x:v>
      </x:c>
      <x:c r="E89" s="180" t="str">
        <x:v>Operation注册</x:v>
      </x:c>
      <x:c r="F89" s="180" t="str">
        <x:v>Descriptors, Handlers</x:v>
      </x:c>
      <x:c r="G89" s="180" t="str">
        <x:v>Register(CxOperationDescriptor descriptor,ICxOperationHandler handler=null), Unregister(string id), RegisterOwned(CxOperationDescriptor descriptor, ICxOperationHandler handler), FindDescriptor(string id), ResolveHandler(string id)</x:v>
      </x:c>
      <x:c r="H89" s="180" t="str">
        <x:v>—（待核）</x:v>
      </x:c>
      <x:c r="I89" s="180" t="str">
        <x:v>CxVisual.Platform.Orchestration.CxOperationRegistry</x:v>
      </x:c>
      <x:c r="J89" s="179" t="str">
        <x:v>类</x:v>
      </x:c>
      <x:c r="K89" s="180" t="str">
        <x:v>V1.19 C-0663；原实施方式：原有。迁移风险：Operation注册</x:v>
      </x:c>
      <x:c r="L89" s="183" t="str">
        <x:v>源代码声明·待复核</x:v>
      </x:c>
      <x:c r="M89" s="183" t="str">
        <x:v>C-0663</x:v>
      </x:c>
      <x:c r="N89" s="184" t="str">
        <x:v>Platform/Orchestration/Core/CxOperationContracts.cs</x:v>
      </x:c>
      <x:c r="O89" s="183" t="str">
        <x:v>V1.19旧源码类型（真实成员/实现仍待核）
V2.01：来源ID对应；处置=保留源码·公开契约复核
V7.8：V7.8同名且源文件对应；Platform/Orchestration/Core/CxOperationContracts.cs</x:v>
      </x:c>
      <x:c r="P89" s="136" t="str">
        <x:v>V1.19旧源码类型（真实成员/实现仍待核）</x:v>
      </x:c>
    </x:row>
    <x:row r="90" ht="72" customHeight="1">
      <x:c r="A90" s="179" t="str">
        <x:v>M15</x:v>
      </x:c>
      <x:c r="B90" s="180" t="str">
        <x:v>通信与集成｜Driver / Provider / Capability
Driver Providers</x:v>
      </x:c>
      <x:c r="C90" s="180" t="str">
        <x:v>MDPCxOperationResult</x:v>
      </x:c>
      <x:c r="D90" s="179" t="str">
        <x:v>原有·待核</x:v>
      </x:c>
      <x:c r="E90" s="180" t="str">
        <x:v>Operation结果</x:v>
      </x:c>
      <x:c r="F90" s="180" t="str">
        <x:v>Status, Outputs, Error, Diagnostics</x:v>
      </x:c>
      <x:c r="G90" s="180" t="str">
        <x:v>Success(IDictionary&lt;string,object&gt; outputs=null,IEnumerable&lt;DiagnosticRecord&gt; diagnostics=null), Failure(Exception error,IEnumerable&lt;DiagnosticRecord&gt; diagnostics=null), Cancelled(OperationCanceledException error=null)</x:v>
      </x:c>
      <x:c r="H90" s="180" t="str">
        <x:v>—（待核）</x:v>
      </x:c>
      <x:c r="I90" s="180" t="str">
        <x:v>CxVisual.Platform.Orchestration.CxOperationResult</x:v>
      </x:c>
      <x:c r="J90" s="179" t="str">
        <x:v>类</x:v>
      </x:c>
      <x:c r="K90" s="180" t="str">
        <x:v>V1.19 C-0664；原实施方式：原有。迁移风险：Operation结果</x:v>
      </x:c>
      <x:c r="L90" s="183" t="str">
        <x:v>源代码声明·待复核</x:v>
      </x:c>
      <x:c r="M90" s="183" t="str">
        <x:v>C-0664</x:v>
      </x:c>
      <x:c r="N90" s="184" t="str">
        <x:v>Platform/Orchestration/Core/CxOperationContracts.cs</x:v>
      </x:c>
      <x:c r="O90" s="183" t="str">
        <x:v>V1.19旧源码类型（真实成员/实现仍待核）
V2.01：来源ID对应；处置=保留源码·公开契约复核
V7.8：V7.8同名且源文件对应；Platform/Orchestration/Core/CxOperationContracts.cs</x:v>
      </x:c>
      <x:c r="P90" s="136" t="str">
        <x:v>V1.19旧源码类型（真实成员/实现仍待核）</x:v>
      </x:c>
    </x:row>
    <x:row r="91" ht="72" customHeight="1">
      <x:c r="A91" s="179" t="str">
        <x:v>M15</x:v>
      </x:c>
      <x:c r="B91" s="180" t="str">
        <x:v>通信与集成｜Driver / Provider / Capability
Driver Providers</x:v>
      </x:c>
      <x:c r="C91" s="180" t="str">
        <x:v>MDPCxOperationRuntimeAdapter</x:v>
      </x:c>
      <x:c r="D91" s="179" t="str">
        <x:v>原有·待核</x:v>
      </x:c>
      <x:c r="E91" s="180" t="str">
        <x:v>适配Operation运行时适配器外部/内部接口差异，转换数据与调用行为</x:v>
      </x:c>
      <x:c r="F91" s="180" t="str">
        <x:v>AdapterId, SupportedOperations</x:v>
      </x:c>
      <x:c r="G91" s="180" t="str">
        <x:v>CxOperationRuntimeAdapter(string id, CxOperationRegistry backend), InitializeAsync(RuntimeContext context, CancellationToken cancellationToken = default(CancellationToken); ExecuteAsync(string operationId, CxOperationContext context); ShutdownAsync(CancellationToken cancellationToken = default(CancellationToken); GetHealthAsync(CancellationToken cancellationToken = default(CancellationToken)</x:v>
      </x:c>
      <x:c r="H91" s="180" t="str">
        <x:v>—（待核）</x:v>
      </x:c>
      <x:c r="I91" s="180" t="str">
        <x:v>CxVisual.Platform.Orchestration.CxOperationRuntimeAdapter</x:v>
      </x:c>
      <x:c r="J91" s="179" t="str">
        <x:v>类</x:v>
      </x:c>
      <x:c r="K91" s="180" t="str">
        <x:v>V1.19 C-0665；原实施方式：原有。迁移风险：适配Operation运行时适配器外部/内部接口差异，转换数据与调用行为</x:v>
      </x:c>
      <x:c r="L91" s="183" t="str">
        <x:v>源代码声明·待复核</x:v>
      </x:c>
      <x:c r="M91" s="183" t="str">
        <x:v>C-0665</x:v>
      </x:c>
      <x:c r="N91" s="184" t="str">
        <x:v>Platform/Orchestration/Runtime/CxRuntimeAdapters.cs</x:v>
      </x:c>
      <x:c r="O91" s="183" t="str">
        <x:v>V1.19旧源码类型（真实成员/实现仍待核）
V2.01：来源ID对应；处置=保留源码·公开契约复核
V7.8：V7.8同名且源文件对应；Platform/Orchestration/Runtime/CxRuntimeAdapters.cs</x:v>
      </x:c>
      <x:c r="P91" s="136" t="str">
        <x:v>V1.19旧源码类型（真实成员/实现仍待核）</x:v>
      </x:c>
    </x:row>
    <x:row r="92" ht="72" customHeight="1">
      <x:c r="A92" s="179" t="str">
        <x:v>M15</x:v>
      </x:c>
      <x:c r="B92" s="180" t="str">
        <x:v>通信与集成｜Driver / Provider / Capability
Driver Providers</x:v>
      </x:c>
      <x:c r="C92" s="180" t="str">
        <x:v>MDPCxRuntimeAdapterHealth</x:v>
      </x:c>
      <x:c r="D92" s="179" t="str">
        <x:v>原有·待核</x:v>
      </x:c>
      <x:c r="E92" s="180" t="str">
        <x:v>表达或管理运行时适配器Health相关的数据及协作职责，具体行为待源码复核〔待核〕</x:v>
      </x:c>
      <x:c r="F92" s="180" t="str">
        <x:v>AdapterId, State, ActiveOperations, Succeeded, Failed, Timestamp, LastError</x:v>
      </x:c>
      <x:c r="G92" s="180" t="str">
        <x:v>CxRuntimeAdapterHealth(string id, CxRuntimeAdapterState state, int active, long succeeded, long failed, DateTime timestamp, string…)</x:v>
      </x:c>
      <x:c r="H92" s="180" t="str">
        <x:v>—（待核）</x:v>
      </x:c>
      <x:c r="I92" s="180" t="str">
        <x:v>CxVisual.Platform.Orchestration.CxRuntimeAdapterHealth</x:v>
      </x:c>
      <x:c r="J92" s="179" t="str">
        <x:v>类</x:v>
      </x:c>
      <x:c r="K92" s="180" t="str">
        <x:v>V1.19 C-0666；原实施方式：原有。迁移风险：表达或管理运行时适配器Health相关的数据及协作职责，具体行为待源码复核〔待核〕</x:v>
      </x:c>
      <x:c r="L92" s="183" t="str">
        <x:v>源代码声明·待复核</x:v>
      </x:c>
      <x:c r="M92" s="183" t="str">
        <x:v>C-0666</x:v>
      </x:c>
      <x:c r="N92" s="184" t="str">
        <x:v>Platform/Orchestration/Runtime/CxRuntimeAdapters.cs</x:v>
      </x:c>
      <x:c r="O92" s="183" t="str">
        <x:v>V1.19旧源码类型（真实成员/实现仍待核）
V2.01：来源ID对应；处置=保留源码·公开契约复核
V7.8：V7.8同名且源文件对应；Platform/Orchestration/Runtime/CxRuntimeAdapters.cs</x:v>
      </x:c>
      <x:c r="P92" s="136" t="str">
        <x:v>V1.19旧源码类型（真实成员/实现仍待核）</x:v>
      </x:c>
    </x:row>
    <x:row r="93" ht="72" customHeight="1">
      <x:c r="A93" s="179" t="str">
        <x:v>M15</x:v>
      </x:c>
      <x:c r="B93" s="180" t="str">
        <x:v>通信与集成｜Driver / Provider / Capability
Driver Providers</x:v>
      </x:c>
      <x:c r="C93" s="180" t="str">
        <x:v>MDPCxRuntimeAdapterRegistry</x:v>
      </x:c>
      <x:c r="D93" s="179" t="str">
        <x:v>原有·待核</x:v>
      </x:c>
      <x:c r="E93" s="180" t="str">
        <x:v>负责运行时适配器注册表相关的Adapter注册与公共契约管理</x:v>
      </x:c>
      <x:c r="F93" s="180" t="str">
        <x:v>Adapters</x:v>
      </x:c>
      <x:c r="G93" s="180" t="str">
        <x:v>Register(ICxRuntimeAdapter adapter, IEnumerable&lt;CxPlacement&gt; placements = null), Unregister(string id), RegisterOwned(ICxRuntimeAdapter adapter, IEnumerable&lt;CxPlacement&gt; placements), ResolveForOperation(string operationId, CxPlacement placement = null), ArgumentNullException(nameof(placement); CreateOperationHandler(string operationId)</x:v>
      </x:c>
      <x:c r="H93" s="180" t="str">
        <x:v>—（待核）</x:v>
      </x:c>
      <x:c r="I93" s="180" t="str">
        <x:v>CxVisual.Platform.Orchestration.CxRuntimeAdapterRegistry</x:v>
      </x:c>
      <x:c r="J93" s="179" t="str">
        <x:v>类</x:v>
      </x:c>
      <x:c r="K93" s="180" t="str">
        <x:v>V1.19 C-0667；原实施方式：原有。迁移风险：负责运行时适配器注册表相关的Adapter注册与公共契约管理</x:v>
      </x:c>
      <x:c r="L93" s="183" t="str">
        <x:v>源代码声明·待复核</x:v>
      </x:c>
      <x:c r="M93" s="183" t="str">
        <x:v>C-0667</x:v>
      </x:c>
      <x:c r="N93" s="184" t="str">
        <x:v>Platform/Orchestration/Runtime/CxRuntimeAdapters.cs</x:v>
      </x:c>
      <x:c r="O93" s="183" t="str">
        <x:v>V1.19旧源码类型（真实成员/实现仍待核）
V2.01：来源ID对应；处置=保留源码·公开契约复核
V7.8：V7.8同名且源文件对应；Platform/Orchestration/Runtime/CxRuntimeAdapters.cs</x:v>
      </x:c>
      <x:c r="P93" s="136" t="str">
        <x:v>V1.19旧源码类型（真实成员/实现仍待核）</x:v>
      </x:c>
    </x:row>
    <x:row r="94" ht="72" customHeight="1">
      <x:c r="A94" s="179" t="str">
        <x:v>M15</x:v>
      </x:c>
      <x:c r="B94" s="180" t="str">
        <x:v>通信与集成｜Driver / Provider / Capability
Driver Providers</x:v>
      </x:c>
      <x:c r="C94" s="180" t="str">
        <x:v>MDPCxRuntimeAdapterState</x:v>
      </x:c>
      <x:c r="D94" s="179" t="str">
        <x:v>原有·待核</x:v>
      </x:c>
      <x:c r="E94" s="180" t="str">
        <x:v>定义运行时适配器状态的候选取值、状态或模式，供相关流程作分支判断</x:v>
      </x:c>
      <x:c r="F94" s="180" t="str">
        <x:v>枚举值：Created, Ready, Closing, Closed</x:v>
      </x:c>
      <x:c r="G94" s="180" t="str">
        <x:v>—(无公开声明或待核对)</x:v>
      </x:c>
      <x:c r="H94" s="180" t="str">
        <x:v>—（待核）</x:v>
      </x:c>
      <x:c r="I94" s="180" t="str">
        <x:v>CxVisual.Platform.Orchestration.CxRuntimeAdapterState</x:v>
      </x:c>
      <x:c r="J94" s="179" t="str">
        <x:v>枚举</x:v>
      </x:c>
      <x:c r="K94" s="180" t="str">
        <x:v>V1.19 C-0670；原实施方式：原有。迁移风险：定义运行时适配器状态的候选取值、状态或模式，供相关流程作分支判断</x:v>
      </x:c>
      <x:c r="L94" s="183" t="str">
        <x:v>源代码声明·待复核</x:v>
      </x:c>
      <x:c r="M94" s="183" t="str">
        <x:v>C-0670</x:v>
      </x:c>
      <x:c r="N94" s="184" t="str">
        <x:v>Platform/Orchestration/Runtime/CxRuntimeAdapters.cs</x:v>
      </x:c>
      <x:c r="O94" s="183" t="str">
        <x:v>V1.19旧源码类型（真实成员/实现仍待核）
V2.01：来源ID对应；处置=保留源码·公开契约复核
V7.8：V7.8同名且源文件对应；Platform/Orchestration/Runtime/CxRuntimeAdapters.cs</x:v>
      </x:c>
      <x:c r="P94" s="136" t="str">
        <x:v>V1.19旧源码类型（真实成员/实现仍待核）</x:v>
      </x:c>
    </x:row>
    <x:row r="95" ht="135" customHeight="1">
      <x:c r="A95" s="179" t="str">
        <x:v>M15</x:v>
      </x:c>
      <x:c r="B95" s="180" t="str">
        <x:v>通信与集成｜Driver / Provider / Capability
Driver Providers</x:v>
      </x:c>
      <x:c r="C95" s="180" t="str">
        <x:v>MDPCxVariableProviderObservations</x:v>
      </x:c>
      <x:c r="D95" s="179" t="str">
        <x:v>原有·待核</x:v>
      </x:c>
      <x:c r="E95" s="180" t="str">
        <x:v>提供变量提供器Observations相关基础操作或类型辅助处理</x:v>
      </x:c>
      <x:c r="F95" s="180" t="str">
        <x:v>—（无公开声明或待核对）</x:v>
      </x:c>
      <x:c r="G95" s="180" t="str">
        <x:v>GetState(ProviderDiagnostics diagnostics), Snapshot(ProviderDiagnostics diagnostics, CxVariableProviderState? state = null), ReadCacheAsync(Func&lt;VariableValue&gt; read, CancellationToken token), GetHealthAsync(Func&lt;ProviderDiagnostics&gt; observe, CancellationToken token, CxVariableProviderState? state = null), Aggregate(string providerId, IEnumerable&lt;ProviderDiagnostics&gt; diagnostics, int? variableCount = null), AggregateState(IEnumerable&lt;CxVariableProviderState&gt; states)</x:v>
      </x:c>
      <x:c r="H95" s="180" t="str">
        <x:v>—（待核）</x:v>
      </x:c>
      <x:c r="I95" s="180" t="str">
        <x:v>CxVisual.Abstractions.CxVariableProviderObservations</x:v>
      </x:c>
      <x:c r="J95" s="179" t="str">
        <x:v>静态类</x:v>
      </x:c>
      <x:c r="K95" s="180" t="str">
        <x:v>V1.19 C-0642；原实施方式：原有。迁移风险：提供变量提供器Observations相关基础操作或类型辅助处理</x:v>
      </x:c>
      <x:c r="L95" s="183" t="str">
        <x:v>源代码声明·待复核</x:v>
      </x:c>
      <x:c r="M95" s="183" t="str">
        <x:v>C-0642</x:v>
      </x:c>
      <x:c r="N95" s="184" t="str">
        <x:v>Platform/Core/Abstractions/VariableProviderObservations.cs</x:v>
      </x:c>
      <x:c r="O95" s="183" t="str">
        <x:v>V1.19旧源码类型（真实成员/实现仍待核）
V2.01：来源ID对应；处置=保留源码·公开契约复核
V7.8：V7.8同名且源文件对应；Platform/Core/Abstractions/VariableProviderObservations.cs</x:v>
      </x:c>
      <x:c r="P95" s="136" t="str">
        <x:v>V1.19旧源码类型（真实成员/实现仍待核）</x:v>
      </x:c>
    </x:row>
    <x:row r="96" ht="72" customHeight="1">
      <x:c r="A96" s="179" t="str">
        <x:v>M15</x:v>
      </x:c>
      <x:c r="B96" s="180" t="str">
        <x:v>通信与集成｜Driver / Provider / Capability
Driver Providers</x:v>
      </x:c>
      <x:c r="C96" s="180" t="str">
        <x:v>MDPDelegateProviderConnectionControl</x:v>
      </x:c>
      <x:c r="D96" s="179" t="str">
        <x:v>原有·待核</x:v>
      </x:c>
      <x:c r="E96" s="180" t="str">
        <x:v>表达或管理Delegate提供器连接Control相关的数据及协作职责，具体行为待源码复核〔待核〕</x:v>
      </x:c>
      <x:c r="F96" s="180" t="str">
        <x:v>IsConnected, LastError</x:v>
      </x:c>
      <x:c r="G96" s="180" t="str">
        <x:v>DelegateProviderConnectionControl(Func&lt;CancellationToken, Task&gt; connect, Func&lt;CancellationToken, Task&gt; disconnect, Func&lt;bool&gt; isConnected, Fu…), ConnectAsync(CancellationToken cancellationToken), DisconnectAsync(CancellationToken cancellationToken), Dispose()</x:v>
      </x:c>
      <x:c r="H96" s="180" t="str">
        <x:v>—（待核）</x:v>
      </x:c>
      <x:c r="I96" s="180" t="str">
        <x:v>CxVisual.Integration.DelegateProviderConnectionControl</x:v>
      </x:c>
      <x:c r="J96" s="179" t="str">
        <x:v>类</x:v>
      </x:c>
      <x:c r="K96" s="180" t="str">
        <x:v>V1.19 C-0653；原实施方式：原有。迁移风险：表达或管理Delegate提供器连接Control相关的数据及协作职责，具体行为待源码复核〔待核〕</x:v>
      </x:c>
      <x:c r="L96" s="183" t="str">
        <x:v>源代码声明·待复核</x:v>
      </x:c>
      <x:c r="M96" s="183" t="str">
        <x:v>C-0653</x:v>
      </x:c>
      <x:c r="N96" s="184" t="str">
        <x:v>Platform/Runtime/Integration/ResilientVariableProvider.cs</x:v>
      </x:c>
      <x:c r="O96" s="183" t="str">
        <x:v>V1.19旧源码类型（真实成员/实现仍待核）
V2.01：来源ID对应；处置=保留源码·公开契约复核
V7.8：V7.8同名且源文件对应；Platform/Runtime/Integration/ResilientVariableProvider.cs</x:v>
      </x:c>
      <x:c r="P96" s="136" t="str">
        <x:v>V1.19旧源码类型（真实成员/实现仍待核）</x:v>
      </x:c>
    </x:row>
    <x:row r="97" ht="72" customHeight="1">
      <x:c r="A97" s="179" t="str">
        <x:v>M15</x:v>
      </x:c>
      <x:c r="B97" s="180" t="str">
        <x:v>通信与集成｜Driver / Provider / Capability
Driver Providers</x:v>
      </x:c>
      <x:c r="C97" s="180" t="str">
        <x:v>MDPExecutionAdapterResult</x:v>
      </x:c>
      <x:c r="D97" s="179" t="str">
        <x:v>原有·待核</x:v>
      </x:c>
      <x:c r="E97" s="180" t="str">
        <x:v>承载执行适配器结果操作结果、返回值、状态及错误说明</x:v>
      </x:c>
      <x:c r="F97" s="180" t="str">
        <x:v>Success, Cancelled, TimedOut, Error, Outputs, Correlation, NativeResult</x:v>
      </x:c>
      <x:c r="G97" s="180" t="str">
        <x:v>ExecutionAdapterResult(bool success, bool cancelled, bool timedOut, Exception error, IReadOnlyDictionary&lt;string, DataValue&gt; output…)</x:v>
      </x:c>
      <x:c r="H97" s="180" t="str">
        <x:v>—（待核）</x:v>
      </x:c>
      <x:c r="I97" s="180" t="str">
        <x:v>CxVisual.Platform.Orchestration.ExecutionAdapterResult</x:v>
      </x:c>
      <x:c r="J97" s="179" t="str">
        <x:v>类</x:v>
      </x:c>
      <x:c r="K97" s="180" t="str">
        <x:v>V1.19 C-0671；原实施方式：原有。迁移风险：承载执行适配器结果操作结果、返回值、状态及错误说明</x:v>
      </x:c>
      <x:c r="L97" s="183" t="str">
        <x:v>源代码声明·待复核</x:v>
      </x:c>
      <x:c r="M97" s="183" t="str">
        <x:v>C-0671</x:v>
      </x:c>
      <x:c r="N97" s="184" t="str">
        <x:v>Platform/Orchestration/Runtime/RuntimeAdapterContracts.cs</x:v>
      </x:c>
      <x:c r="O97" s="183" t="str">
        <x:v>V1.19旧源码类型（真实成员/实现仍待核）
V2.01：来源ID对应；处置=保留源码·公开契约复核
V7.8：V7.8同名且源文件对应；Platform/Orchestration/Runtime/RuntimeAdapterContracts.cs</x:v>
      </x:c>
      <x:c r="P97" s="136" t="str">
        <x:v>V1.19旧源码类型（真实成员/实现仍待核）</x:v>
      </x:c>
    </x:row>
    <x:row r="98" ht="72" customHeight="1">
      <x:c r="A98" s="179" t="str">
        <x:v>M15</x:v>
      </x:c>
      <x:c r="B98" s="180" t="str">
        <x:v>通信与集成｜Driver / Provider / Capability
Driver Providers</x:v>
      </x:c>
      <x:c r="C98" s="180" t="str">
        <x:v>MDPInstrumentedVariableProvider</x:v>
      </x:c>
      <x:c r="D98" s="179" t="str">
        <x:v>原有·待核</x:v>
      </x:c>
      <x:c r="E98" s="180" t="str">
        <x:v>提供Instrumented变量提供器的访问、创建、加载或运行扩展入口</x:v>
      </x:c>
      <x:c r="F98" s="180" t="str">
        <x:v>ProviderId, InnerProvider</x:v>
      </x:c>
      <x:c r="G98" s="180" t="str">
        <x:v>InstrumentedVariableProvider(IVariableProvider inner), GetMetadata(), Read(string variableId), WriteAsync(string variableId, object value, CancellationToken cancellationToken), ReadAsync(string variableId, CancellationToken token), GetState(), GetHealthAsync(CancellationToken token), Subscribe(IEnumerable&lt;string&gt; variableIds, Action&lt;IReadOnlyList&lt;VariableChange&gt;&gt; callback), GetDiagnostics(), GetMetrics(), Dispose()</x:v>
      </x:c>
      <x:c r="H98" s="180" t="str">
        <x:v>—（待核）</x:v>
      </x:c>
      <x:c r="I98" s="180" t="str">
        <x:v>CxVisual.Runtime.Core.InstrumentedVariableProvider</x:v>
      </x:c>
      <x:c r="J98" s="179" t="str">
        <x:v>类</x:v>
      </x:c>
      <x:c r="K98" s="180" t="str">
        <x:v>V1.19 C-0678；原实施方式：原有。迁移风险：提供Instrumented变量提供器的访问、创建、加载或运行扩展入口</x:v>
      </x:c>
      <x:c r="L98" s="183" t="str">
        <x:v>源代码声明·待复核</x:v>
      </x:c>
      <x:c r="M98" s="183" t="str">
        <x:v>C-0678</x:v>
      </x:c>
      <x:c r="N98" s="184" t="str">
        <x:v>Platform/Runtime/InstrumentedVariableProvider.cs</x:v>
      </x:c>
      <x:c r="O98" s="183" t="str">
        <x:v>V1.19旧源码类型（真实成员/实现仍待核）
V2.01：来源ID对应；处置=保留源码·公开契约复核
V7.8：V7.8同名且源文件对应；Platform/Runtime/InstrumentedVariableProvider.cs</x:v>
      </x:c>
      <x:c r="P98" s="136" t="str">
        <x:v>V1.19旧源码类型（真实成员/实现仍待核）</x:v>
      </x:c>
    </x:row>
    <x:row r="99" ht="72" customHeight="1">
      <x:c r="A99" s="179" t="str">
        <x:v>M15</x:v>
      </x:c>
      <x:c r="B99" s="180" t="str">
        <x:v>通信与集成｜Driver / Provider / Capability
Driver Providers</x:v>
      </x:c>
      <x:c r="C99" s="180" t="str">
        <x:v>MDPLogicOperationCatalog</x:v>
      </x:c>
      <x:c r="D99" s="179" t="str">
        <x:v>原有·待核</x:v>
      </x:c>
      <x:c r="E99" s="180" t="str">
        <x:v>组织与检索LogicOperation目录列表及可发现的能力信息</x:v>
      </x:c>
      <x:c r="F99" s="180" t="str">
        <x:v>—（无公开声明或待核对）</x:v>
      </x:c>
      <x:c r="G99" s="180" t="str">
        <x:v>Register(LogicOperationDescriptor descriptor), Get(string operationId), List()</x:v>
      </x:c>
      <x:c r="H99" s="180" t="str">
        <x:v>—（待核）</x:v>
      </x:c>
      <x:c r="I99" s="180" t="str">
        <x:v>CxVisual.Core.LogicOperationCatalog</x:v>
      </x:c>
      <x:c r="J99" s="179" t="str">
        <x:v>类</x:v>
      </x:c>
      <x:c r="K99" s="180" t="str">
        <x:v>V1.19 C-0649；原实施方式：原有。迁移风险：组织与检索LogicOperation目录列表及可发现的能力信息</x:v>
      </x:c>
      <x:c r="L99" s="183" t="str">
        <x:v>源代码声明·待复核</x:v>
      </x:c>
      <x:c r="M99" s="183" t="str">
        <x:v>C-0649</x:v>
      </x:c>
      <x:c r="N99" s="184" t="str">
        <x:v>Platform/Core/LogicOperationCatalog.cs</x:v>
      </x:c>
      <x:c r="O99" s="183" t="str">
        <x:v>V1.19旧源码类型（真实成员/实现仍待核）
V2.01：来源ID对应；处置=保留源码·公开契约复核
V7.8：V7.8同名且源文件对应；Platform/Core/LogicOperationCatalog.cs</x:v>
      </x:c>
      <x:c r="P99" s="136" t="str">
        <x:v>V1.19旧源码类型（真实成员/实现仍待核）</x:v>
      </x:c>
    </x:row>
    <x:row r="100" ht="72" customHeight="1">
      <x:c r="A100" s="179" t="str">
        <x:v>M15</x:v>
      </x:c>
      <x:c r="B100" s="180" t="str">
        <x:v>通信与集成｜Driver / Provider / Capability
Driver Providers</x:v>
      </x:c>
      <x:c r="C100" s="180" t="str">
        <x:v>MDPLogicOperationDescriptor</x:v>
      </x:c>
      <x:c r="D100" s="179" t="str">
        <x:v>原有·待核</x:v>
      </x:c>
      <x:c r="E100" s="180" t="str">
        <x:v>描述LogicOperation描述符的类型、能力、元数据及可查询信息</x:v>
      </x:c>
      <x:c r="F100" s="180" t="str">
        <x:v>OperationId, DisplayName, Category, DomainId, Version, Trait, SupportsSimulation, SupportsReplay, Inputs, Outputs, Parameters</x:v>
      </x:c>
      <x:c r="G100" s="180" t="str">
        <x:v>—(无公开声明或待核对)</x:v>
      </x:c>
      <x:c r="H100" s="180" t="str">
        <x:v>—（待核）</x:v>
      </x:c>
      <x:c r="I100" s="180" t="str">
        <x:v>CxVisual.Core.LogicOperationDescriptor</x:v>
      </x:c>
      <x:c r="J100" s="179" t="str">
        <x:v>类</x:v>
      </x:c>
      <x:c r="K100" s="180" t="str">
        <x:v>V1.19 C-0650；原实施方式：原有。迁移风险：描述LogicOperation描述符的类型、能力、元数据及可查询信息</x:v>
      </x:c>
      <x:c r="L100" s="183" t="str">
        <x:v>源代码声明·待复核</x:v>
      </x:c>
      <x:c r="M100" s="183" t="str">
        <x:v>C-0650</x:v>
      </x:c>
      <x:c r="N100" s="184" t="str">
        <x:v>Platform/Core/LogicOperationCatalog.cs</x:v>
      </x:c>
      <x:c r="O100" s="183" t="str">
        <x:v>V1.19旧源码类型（真实成员/实现仍待核）
V2.01：来源ID对应；处置=保留源码·公开契约复核
V7.8：V7.8同名且源文件对应；Platform/Core/LogicOperationCatalog.cs</x:v>
      </x:c>
      <x:c r="P100" s="136" t="str">
        <x:v>V1.19旧源码类型（真实成员/实现仍待核）</x:v>
      </x:c>
    </x:row>
    <x:row r="101" ht="72" customHeight="1">
      <x:c r="A101" s="179" t="str">
        <x:v>M15</x:v>
      </x:c>
      <x:c r="B101" s="180" t="str">
        <x:v>通信与集成｜Driver / Provider / Capability
Driver Providers</x:v>
      </x:c>
      <x:c r="C101" s="180" t="str">
        <x:v>MDPLogicOperationTrait</x:v>
      </x:c>
      <x:c r="D101" s="179" t="str">
        <x:v>原有·待核</x:v>
      </x:c>
      <x:c r="E101" s="180" t="str">
        <x:v>定义LogicOperationTrait的候选取值、状态或模式，供相关流程作分支判断</x:v>
      </x:c>
      <x:c r="F101" s="180" t="str">
        <x:v>枚举值：Pure, Stateful, SideEffect, LongRunning</x:v>
      </x:c>
      <x:c r="G101" s="180" t="str">
        <x:v>—(无公开声明或待核对)</x:v>
      </x:c>
      <x:c r="H101" s="180" t="str">
        <x:v>—（待核）</x:v>
      </x:c>
      <x:c r="I101" s="180" t="str">
        <x:v>CxVisual.Core.LogicOperationTrait</x:v>
      </x:c>
      <x:c r="J101" s="179" t="str">
        <x:v>枚举</x:v>
      </x:c>
      <x:c r="K101" s="180" t="str">
        <x:v>V1.19 C-0651；原实施方式：原有。迁移风险：定义LogicOperationTrait的候选取值、状态或模式，供相关流程作分支判断</x:v>
      </x:c>
      <x:c r="L101" s="183" t="str">
        <x:v>源代码声明·待复核</x:v>
      </x:c>
      <x:c r="M101" s="183" t="str">
        <x:v>C-0651</x:v>
      </x:c>
      <x:c r="N101" s="184" t="str">
        <x:v>Platform/Core/LogicOperationCatalog.cs</x:v>
      </x:c>
      <x:c r="O101" s="183" t="str">
        <x:v>V1.19旧源码类型（真实成员/实现仍待核）
V2.01：来源ID对应；处置=保留源码·公开契约复核
V7.8：V7.8同名且源文件对应；Platform/Core/LogicOperationCatalog.cs</x:v>
      </x:c>
      <x:c r="P101" s="136" t="str">
        <x:v>V1.19旧源码类型（真实成员/实现仍待核）</x:v>
      </x:c>
    </x:row>
    <x:row r="102" ht="72" customHeight="1">
      <x:c r="A102" s="179" t="str">
        <x:v>M15</x:v>
      </x:c>
      <x:c r="B102" s="180" t="str">
        <x:v>通信与集成｜Driver / Provider / Capability
Driver Providers</x:v>
      </x:c>
      <x:c r="C102" s="180" t="str">
        <x:v>MDPLogicParameterDescriptor</x:v>
      </x:c>
      <x:c r="D102" s="179" t="str">
        <x:v>原有·待核</x:v>
      </x:c>
      <x:c r="E102" s="180" t="str">
        <x:v>描述Logic参数描述符的类型、能力、元数据及可查询信息</x:v>
      </x:c>
      <x:c r="F102" s="180" t="str">
        <x:v>Key, TypeId, DefaultValue, Required</x:v>
      </x:c>
      <x:c r="G102" s="180" t="str">
        <x:v>—(无公开声明或待核对)</x:v>
      </x:c>
      <x:c r="H102" s="180" t="str">
        <x:v>—（待核）</x:v>
      </x:c>
      <x:c r="I102" s="180" t="str">
        <x:v>CxVisual.Core.LogicParameterDescriptor</x:v>
      </x:c>
      <x:c r="J102" s="179" t="str">
        <x:v>类</x:v>
      </x:c>
      <x:c r="K102" s="180" t="str">
        <x:v>V1.19 C-0652；原实施方式：原有。迁移风险：描述Logic参数描述符的类型、能力、元数据及可查询信息</x:v>
      </x:c>
      <x:c r="L102" s="183" t="str">
        <x:v>源代码声明·待复核</x:v>
      </x:c>
      <x:c r="M102" s="183" t="str">
        <x:v>C-0652</x:v>
      </x:c>
      <x:c r="N102" s="184" t="str">
        <x:v>Platform/Core/LogicOperationCatalog.cs</x:v>
      </x:c>
      <x:c r="O102" s="183" t="str">
        <x:v>V1.19旧源码类型（真实成员/实现仍待核）
V2.01：来源ID对应；处置=保留源码·公开契约复核
V7.8：V7.8同名且源文件对应；Platform/Core/LogicOperationCatalog.cs</x:v>
      </x:c>
      <x:c r="P102" s="136" t="str">
        <x:v>V1.19旧源码类型（真实成员/实现仍待核）</x:v>
      </x:c>
    </x:row>
    <x:row r="103" ht="72" customHeight="1">
      <x:c r="A103" s="179" t="str">
        <x:v>M15</x:v>
      </x:c>
      <x:c r="B103" s="180" t="str">
        <x:v>通信与集成｜Driver / Provider / Capability
Driver Providers</x:v>
      </x:c>
      <x:c r="C103" s="180" t="str">
        <x:v>MDPNonOwningVariableProvider</x:v>
      </x:c>
      <x:c r="D103" s="179" t="str">
        <x:v>原有·待核</x:v>
      </x:c>
      <x:c r="E103" s="180" t="str">
        <x:v>提供NonOwning变量提供器的访问、创建、加载或运行扩展入口</x:v>
      </x:c>
      <x:c r="F103" s="180" t="str">
        <x:v>ProviderId</x:v>
      </x:c>
      <x:c r="G103" s="180" t="str">
        <x:v>NonOwningVariableProvider(IVariableProvider inner), GetMetadata(), Read(string variableId), ReadAsync(string variableId, CancellationToken token), GetState(), GetHealthAsync(CancellationToken token), WriteAsync(string variableId, object value, CancellationToken cancellationToken), Subscribe(IEnumerable&lt;string&gt; variableIds, Action&lt;IReadOnlyList&lt;VariableChange&gt;&gt; callback), GetDiagnostics(), GetCapabilities(), Dispose()</x:v>
      </x:c>
      <x:c r="H103" s="180" t="str">
        <x:v>—（待核）</x:v>
      </x:c>
      <x:c r="I103" s="180" t="str">
        <x:v>CxVisual.Runtime.Integration.NonOwningVariableProvider</x:v>
      </x:c>
      <x:c r="J103" s="179" t="str">
        <x:v>类</x:v>
      </x:c>
      <x:c r="K103" s="180" t="str">
        <x:v>V1.19 C-0680；原实施方式：原有。迁移风险：提供NonOwning变量提供器的访问、创建、加载或运行扩展入口</x:v>
      </x:c>
      <x:c r="L103" s="183" t="str">
        <x:v>源代码声明·待复核</x:v>
      </x:c>
      <x:c r="M103" s="183" t="str">
        <x:v>C-0680</x:v>
      </x:c>
      <x:c r="N103" s="184" t="str">
        <x:v>Platform/Runtime/Integration/NonOwningVariableProvider.cs</x:v>
      </x:c>
      <x:c r="O103" s="183" t="str">
        <x:v>V1.19旧源码类型（真实成员/实现仍待核）
V2.01：来源ID对应；处置=保留源码·公开契约复核
V7.8：V7.8同名且源文件对应；Platform/Runtime/Integration/NonOwningVariableProvider.cs</x:v>
      </x:c>
      <x:c r="P103" s="136" t="str">
        <x:v>V1.19旧源码类型（真实成员/实现仍待核）</x:v>
      </x:c>
    </x:row>
    <x:row r="104" ht="72" customHeight="1">
      <x:c r="A104" s="179" t="str">
        <x:v>M15</x:v>
      </x:c>
      <x:c r="B104" s="180" t="str">
        <x:v>通信与集成｜Driver / Provider / Capability
Driver Providers</x:v>
      </x:c>
      <x:c r="C104" s="180" t="str">
        <x:v>MDPProtocolDriverCapabilities</x:v>
      </x:c>
      <x:c r="D104" s="179" t="str">
        <x:v>原有·待核</x:v>
      </x:c>
      <x:c r="E104" s="180" t="str">
        <x:v>提供规约驱动Capabilities相关基础操作或类型辅助处理</x:v>
      </x:c>
      <x:c r="F104" s="180" t="str">
        <x:v>Standard</x:v>
      </x:c>
      <x:c r="G104" s="180" t="str">
        <x:v>—(无公开声明或待核对)</x:v>
      </x:c>
      <x:c r="H104" s="180" t="str">
        <x:v>—（待核）</x:v>
      </x:c>
      <x:c r="I104" s="180" t="str">
        <x:v>CxVisual.Platform.Protocols.ProtocolDriverCapabilities</x:v>
      </x:c>
      <x:c r="J104" s="179" t="str">
        <x:v>静态类</x:v>
      </x:c>
      <x:c r="K104" s="180" t="str">
        <x:v>V1.19 C-0676；原实施方式：原有。迁移风险：提供规约驱动Capabilities相关基础操作或类型辅助处理</x:v>
      </x:c>
      <x:c r="L104" s="183" t="str">
        <x:v>源代码声明·待复核</x:v>
      </x:c>
      <x:c r="M104" s="183" t="str">
        <x:v>C-0676</x:v>
      </x:c>
      <x:c r="N104" s="184" t="str">
        <x:v>Platform/Protocols/Contracts/ProtocolDriverContracts.cs</x:v>
      </x:c>
      <x:c r="O104" s="183" t="str">
        <x:v>V1.19旧源码类型（真实成员/实现仍待核）
V2.01：来源ID对应；处置=保留源码·公开契约复核
V7.8：V7.8同名且源文件对应；Platform/Protocols/Contracts/ProtocolDriverContracts.cs</x:v>
      </x:c>
      <x:c r="P104" s="136" t="str">
        <x:v>V1.19旧源码类型（真实成员/实现仍待核）</x:v>
      </x:c>
    </x:row>
    <x:row r="105" ht="72" customHeight="1">
      <x:c r="A105" s="179" t="str">
        <x:v>M15</x:v>
      </x:c>
      <x:c r="B105" s="180" t="str">
        <x:v>通信与集成｜Driver / Provider / Capability
Driver Providers</x:v>
      </x:c>
      <x:c r="C105" s="180" t="str">
        <x:v>MDPProtocolDriverCapabilityIds</x:v>
      </x:c>
      <x:c r="D105" s="179" t="str">
        <x:v>原有·待核</x:v>
      </x:c>
      <x:c r="E105" s="180" t="str">
        <x:v>提供规约驱动CapabilityIds相关基础操作或类型辅助处理</x:v>
      </x:c>
      <x:c r="F105" s="180" t="str">
        <x:v>Lifecycle, CyclicRead, PointRead, PointWrite, VariableBinding</x:v>
      </x:c>
      <x:c r="G105" s="180" t="str">
        <x:v>—(无公开声明或待核对)</x:v>
      </x:c>
      <x:c r="H105" s="180" t="str">
        <x:v>—（待核）</x:v>
      </x:c>
      <x:c r="I105" s="180" t="str">
        <x:v>CxVisual.Platform.Protocols.ProtocolDriverCapabilityIds</x:v>
      </x:c>
      <x:c r="J105" s="179" t="str">
        <x:v>静态类</x:v>
      </x:c>
      <x:c r="K105" s="180" t="str">
        <x:v>V1.19 C-0677；原实施方式：原有。迁移风险：提供规约驱动CapabilityIds相关基础操作或类型辅助处理</x:v>
      </x:c>
      <x:c r="L105" s="183" t="str">
        <x:v>源代码声明·待复核</x:v>
      </x:c>
      <x:c r="M105" s="183" t="str">
        <x:v>C-0677</x:v>
      </x:c>
      <x:c r="N105" s="184" t="str">
        <x:v>Platform/Protocols/Contracts/ProtocolDriverContracts.cs</x:v>
      </x:c>
      <x:c r="O105" s="183" t="str">
        <x:v>V1.19旧源码类型（真实成员/实现仍待核）
V2.01：来源ID对应；处置=保留源码·公开契约复核
V7.8：V7.8同名且源文件对应；Platform/Protocols/Contracts/ProtocolDriverContracts.cs</x:v>
      </x:c>
      <x:c r="P105" s="136" t="str">
        <x:v>V1.19旧源码类型（真实成员/实现仍待核）</x:v>
      </x:c>
    </x:row>
    <x:row r="106" ht="72" customHeight="1">
      <x:c r="A106" s="179" t="str">
        <x:v>M15</x:v>
      </x:c>
      <x:c r="B106" s="180" t="str">
        <x:v>通信与集成｜Driver / Provider / Capability
Driver Providers</x:v>
      </x:c>
      <x:c r="C106" s="180" t="str">
        <x:v>MDPProviderConnectionState</x:v>
      </x:c>
      <x:c r="D106" s="179" t="str">
        <x:v>原有·待核</x:v>
      </x:c>
      <x:c r="E106" s="180" t="str">
        <x:v>定义提供器连接状态的候选取值、状态或模式，供相关流程作分支判断</x:v>
      </x:c>
      <x:c r="F106" s="180" t="str">
        <x:v>枚举值：Stopped, Connecting, Connected, Disconnected, Faulted</x:v>
      </x:c>
      <x:c r="G106" s="180" t="str">
        <x:v>—(无公开声明或待核对)</x:v>
      </x:c>
      <x:c r="H106" s="180" t="str">
        <x:v>—（待核）</x:v>
      </x:c>
      <x:c r="I106" s="180" t="str">
        <x:v>CxVisual.Integration.ProviderConnectionState</x:v>
      </x:c>
      <x:c r="J106" s="179" t="str">
        <x:v>枚举</x:v>
      </x:c>
      <x:c r="K106" s="180" t="str">
        <x:v>V1.19 C-0655；原实施方式：原有。迁移风险：定义提供器连接状态的候选取值、状态或模式，供相关流程作分支判断</x:v>
      </x:c>
      <x:c r="L106" s="183" t="str">
        <x:v>源代码声明·待复核</x:v>
      </x:c>
      <x:c r="M106" s="183" t="str">
        <x:v>C-0655</x:v>
      </x:c>
      <x:c r="N106" s="184" t="str">
        <x:v>Platform/Runtime/Integration/ResilientVariableProvider.cs</x:v>
      </x:c>
      <x:c r="O106" s="183" t="str">
        <x:v>V1.19旧源码类型（真实成员/实现仍待核）
V2.01：来源ID对应；处置=保留源码·公开契约复核
V7.8：V7.8同名且源文件对应；Platform/Runtime/Integration/ResilientVariableProvider.cs</x:v>
      </x:c>
      <x:c r="P106" s="136" t="str">
        <x:v>V1.19旧源码类型（真实成员/实现仍待核）</x:v>
      </x:c>
    </x:row>
    <x:row r="107" ht="72" customHeight="1">
      <x:c r="A107" s="179" t="str">
        <x:v>M15</x:v>
      </x:c>
      <x:c r="B107" s="180" t="str">
        <x:v>通信与集成｜Driver / Provider / Capability
Driver Providers</x:v>
      </x:c>
      <x:c r="C107" s="180" t="str">
        <x:v>MDPProviderReconnectPolicy</x:v>
      </x:c>
      <x:c r="D107" s="179" t="str">
        <x:v>原有·待核</x:v>
      </x:c>
      <x:c r="E107" s="180" t="str">
        <x:v>表达或管理提供器Reconnect策略相关的数据及协作职责，具体行为待源码复核〔待核〕</x:v>
      </x:c>
      <x:c r="F107" s="180" t="str">
        <x:v>InitialDelay, MaximumDelay, Multiplier, ProbeInterval</x:v>
      </x:c>
      <x:c r="G107" s="180" t="str">
        <x:v>ProviderReconnectPolicy(), Validate()</x:v>
      </x:c>
      <x:c r="H107" s="180" t="str">
        <x:v>—（待核）</x:v>
      </x:c>
      <x:c r="I107" s="180" t="str">
        <x:v>CxVisual.Integration.ProviderReconnectPolicy</x:v>
      </x:c>
      <x:c r="J107" s="179" t="str">
        <x:v>类</x:v>
      </x:c>
      <x:c r="K107" s="180" t="str">
        <x:v>V1.19 C-0656；原实施方式：原有。迁移风险：表达或管理提供器Reconnect策略相关的数据及协作职责，具体行为待源码复核〔待核〕</x:v>
      </x:c>
      <x:c r="L107" s="183" t="str">
        <x:v>源代码声明·待复核</x:v>
      </x:c>
      <x:c r="M107" s="183" t="str">
        <x:v>C-0656</x:v>
      </x:c>
      <x:c r="N107" s="184" t="str">
        <x:v>Platform/Runtime/Integration/ResilientVariableProvider.cs</x:v>
      </x:c>
      <x:c r="O107" s="183" t="str">
        <x:v>V1.19旧源码类型（真实成员/实现仍待核）
V2.01：来源ID对应；处置=保留源码·公开契约复核
V7.8：V7.8同名且源文件对应；Platform/Runtime/Integration/ResilientVariableProvider.cs</x:v>
      </x:c>
      <x:c r="P107" s="136" t="str">
        <x:v>V1.19旧源码类型（真实成员/实现仍待核）</x:v>
      </x:c>
    </x:row>
    <x:row r="108" ht="72" customHeight="1">
      <x:c r="A108" s="179" t="str">
        <x:v>M15</x:v>
      </x:c>
      <x:c r="B108" s="180" t="str">
        <x:v>通信与集成｜Driver / Provider / Capability
Driver Providers</x:v>
      </x:c>
      <x:c r="C108" s="180" t="str">
        <x:v>MDPRegistration</x:v>
      </x:c>
      <x:c r="D108" s="179" t="str">
        <x:v>原有·待核</x:v>
      </x:c>
      <x:c r="E108" s="180" t="str">
        <x:v>表达或管理Registration相关的数据及协作职责，具体行为待源码复核〔待核〕</x:v>
      </x:c>
      <x:c r="F108" s="180" t="str">
        <x:v>—（无公开声明或待核对）</x:v>
      </x:c>
      <x:c r="G108" s="180" t="str">
        <x:v>—(无公开声明或待核对)</x:v>
      </x:c>
      <x:c r="H108" s="180" t="str">
        <x:v>—（待核）</x:v>
      </x:c>
      <x:c r="I108" s="180" t="str">
        <x:v>CxVisual.Platform.Orchestration.CxRuntimeAdapterRegistry.Registration</x:v>
      </x:c>
      <x:c r="J108" s="179" t="str">
        <x:v>类</x:v>
      </x:c>
      <x:c r="K108" s="180" t="str">
        <x:v>V1.19 C-0669；原实施方式：原有。迁移风险：表达或管理Registration相关的数据及协作职责，具体行为待源码复核〔待核〕</x:v>
      </x:c>
      <x:c r="L108" s="183" t="str">
        <x:v>源代码声明·待复核</x:v>
      </x:c>
      <x:c r="M108" s="183" t="str">
        <x:v>C-0669</x:v>
      </x:c>
      <x:c r="N108" s="184" t="str">
        <x:v>Platform/Orchestration/Runtime/CxMessageBus.cs; Platform/Orchestration/Runtime/CxRuntimeAdapters.cs; Platform/Orchestration/Runtime/CxRuntimeEventBus.cs; Platform/Workbench/Editing/CxStudioContributionRegistry.cs</x:v>
      </x:c>
      <x:c r="O108" s="183" t="str">
        <x:v>V1.19旧源码类型（真实成员/实现仍待核）
V2.01：来源ID对应；处置=保留源码·公开契约复核
V7.8：V7.8同名且源文件对应；Platform/Orchestration/Runtime/CxMessageBus.cs</x:v>
      </x:c>
      <x:c r="P108" s="136" t="str">
        <x:v>V1.19旧源码类型（真实成员/实现仍待核）</x:v>
      </x:c>
    </x:row>
    <x:row r="109" ht="135" customHeight="1">
      <x:c r="A109" s="179" t="str">
        <x:v>M15</x:v>
      </x:c>
      <x:c r="B109" s="180" t="str">
        <x:v>通信与集成｜Driver / Provider / Capability
Driver Providers</x:v>
      </x:c>
      <x:c r="C109" s="180" t="str">
        <x:v>MDPResilientVariableProvider</x:v>
      </x:c>
      <x:c r="D109" s="179" t="str">
        <x:v>原有·待核</x:v>
      </x:c>
      <x:c r="E109" s="180" t="str">
        <x:v>提供Resilient变量提供器的访问、创建、加载或运行扩展入口</x:v>
      </x:c>
      <x:c r="F109" s="180" t="str">
        <x:v>ProviderId, ConnectionState, LastConnectedUtc, ReconnectAttempt</x:v>
      </x:c>
      <x:c r="G109" s="180" t="str">
        <x:v>ResilientVariableProvider(IVariableProvider inner, IProviderConnectionControl connection, ProviderReconnectPolicy policy = null, bool…), GetState(), ReadAsync(string variableId, CancellationToken token), GetHealthAsync(CancellationToken token), Start(), GetMetadata(), Read(string variableId), WriteAsync(string variableId, object value, CancellationToken cancellationToken), Subscribe(IEnumerable&lt;string&gt; variableIds, Action&lt;IReadOnlyList&lt;VariableChange&gt;&gt; callback), GetDiagnostics(), GetCapabilities(), Dispose()</x:v>
      </x:c>
      <x:c r="H109" s="180" t="str">
        <x:v>—（待核）</x:v>
      </x:c>
      <x:c r="I109" s="180" t="str">
        <x:v>CxVisual.Integration.ResilientVariableProvider</x:v>
      </x:c>
      <x:c r="J109" s="179" t="str">
        <x:v>类</x:v>
      </x:c>
      <x:c r="K109" s="180" t="str">
        <x:v>V1.19 C-0657；原实施方式：原有。迁移风险：提供Resilient变量提供器的访问、创建、加载或运行扩展入口</x:v>
      </x:c>
      <x:c r="L109" s="183" t="str">
        <x:v>源代码声明·待复核</x:v>
      </x:c>
      <x:c r="M109" s="183" t="str">
        <x:v>C-0657</x:v>
      </x:c>
      <x:c r="N109" s="184" t="str">
        <x:v>Platform/Runtime/Integration/ResilientVariableProvider.cs</x:v>
      </x:c>
      <x:c r="O109" s="183" t="str">
        <x:v>V1.19旧源码类型（真实成员/实现仍待核）
V2.01：来源ID对应；处置=保留源码·公开契约复核
V7.8：V7.8同名且源文件对应；Platform/Runtime/Integration/ResilientVariableProvider.cs</x:v>
      </x:c>
      <x:c r="P109" s="136" t="str">
        <x:v>V1.19旧源码类型（真实成员/实现仍待核）</x:v>
      </x:c>
    </x:row>
    <x:row r="110" ht="72" customHeight="1">
      <x:c r="A110" s="179" t="str">
        <x:v>M15</x:v>
      </x:c>
      <x:c r="B110" s="180" t="str">
        <x:v>通信与集成｜Driver / Provider / Capability
Driver Providers</x:v>
      </x:c>
      <x:c r="C110" s="180" t="str">
        <x:v>MDPRoutedSubscription</x:v>
      </x:c>
      <x:c r="D110" s="179" t="str">
        <x:v>原有·待核</x:v>
      </x:c>
      <x:c r="E110" s="180" t="str">
        <x:v>表达或管理RoutedSubscription相关的数据及协作职责，具体行为待源码复核〔待核〕</x:v>
      </x:c>
      <x:c r="F110" s="180" t="str">
        <x:v>VariableIds</x:v>
      </x:c>
      <x:c r="G110" s="180" t="str">
        <x:v>RoutedSubscription(IEnumerable&lt;string&gt; ids, List&lt;IVariableSubscription&gt; inner), Dispose()</x:v>
      </x:c>
      <x:c r="H110" s="180" t="str">
        <x:v>—（待核）</x:v>
      </x:c>
      <x:c r="I110" s="180" t="str">
        <x:v>CxVisual.Integration.VariableProviderRouter.RoutedSubscription</x:v>
      </x:c>
      <x:c r="J110" s="179" t="str">
        <x:v>类</x:v>
      </x:c>
      <x:c r="K110" s="180" t="str">
        <x:v>V1.19 C-0660；原实施方式：原有。迁移风险：表达或管理RoutedSubscription相关的数据及协作职责，具体行为待源码复核〔待核〕</x:v>
      </x:c>
      <x:c r="L110" s="183" t="str">
        <x:v>源代码声明·待复核</x:v>
      </x:c>
      <x:c r="M110" s="183" t="str">
        <x:v>C-0660</x:v>
      </x:c>
      <x:c r="N110" s="184" t="str">
        <x:v>Platform/Runtime/Integration/VariableProviderRouter.cs</x:v>
      </x:c>
      <x:c r="O110" s="183" t="str">
        <x:v>V1.19旧源码类型（真实成员/实现仍待核）
V2.01：来源ID对应；处置=保留源码·公开契约复核
V7.8：V7.8同名且源文件对应；Platform/Runtime/Integration/VariableProviderRouter.cs</x:v>
      </x:c>
      <x:c r="P110" s="136" t="str">
        <x:v>V1.19旧源码类型（真实成员/实现仍待核）</x:v>
      </x:c>
    </x:row>
    <x:row r="111" ht="72" customHeight="1">
      <x:c r="A111" s="179" t="str">
        <x:v>M15</x:v>
      </x:c>
      <x:c r="B111" s="180" t="str">
        <x:v>通信与集成｜Driver / Provider / Capability
Driver Providers</x:v>
      </x:c>
      <x:c r="C111" s="180" t="str">
        <x:v>MDPSubscription</x:v>
      </x:c>
      <x:c r="D111" s="179" t="str">
        <x:v>原有·待核</x:v>
      </x:c>
      <x:c r="E111" s="180" t="str">
        <x:v>表达或管理Subscription相关的数据及协作职责，具体行为待源码复核〔待核〕</x:v>
      </x:c>
      <x:c r="F111" s="180" t="str">
        <x:v>VariableIds, Callback</x:v>
      </x:c>
      <x:c r="G111" s="180" t="str">
        <x:v>Subscription(ResilientVariableProvider owner, string id, IReadOnlyCollection&lt;string&gt; ids, Action&lt;IReadOnlyList&lt;VariableC…); AttachInner(IVariableSubscription inner); Dispose()</x:v>
      </x:c>
      <x:c r="H111" s="180" t="str">
        <x:v>—（待核）</x:v>
      </x:c>
      <x:c r="I111" s="180" t="str">
        <x:v>CxVisual.Integration.ResilientVariableProvider.Subscription</x:v>
      </x:c>
      <x:c r="J111" s="179" t="str">
        <x:v>类</x:v>
      </x:c>
      <x:c r="K111" s="180" t="str">
        <x:v>V1.19 C-0658；原实施方式：原有。迁移风险：表达或管理Subscription相关的数据及协作职责，具体行为待源码复核〔待核〕</x:v>
      </x:c>
      <x:c r="L111" s="183" t="str">
        <x:v>源代码声明·待复核</x:v>
      </x:c>
      <x:c r="M111" s="183" t="str">
        <x:v>C-0658</x:v>
      </x:c>
      <x:c r="N111" s="184" t="str">
        <x:v>Platform/Runtime/CxHmiPropertyBridge.cs; Platform/Orchestration/Runtime/ExecutionDispatchGate.cs; Platform/Protocols/LoopbackModule/LoopbackIcsProvider.cs; Platform/Runtime/Integration/ResilientVariableProvider.cs</x:v>
      </x:c>
      <x:c r="O111" s="183" t="str">
        <x:v>V1.19旧源码类型（真实成员/实现仍待核）
V2.01：来源ID对应；处置=保留源码·公开契约复核
V7.8：V7.8同名且源文件对应；Platform/Runtime/CxHmiPropertyBridge.cs</x:v>
      </x:c>
      <x:c r="P111" s="136" t="str">
        <x:v>V1.19旧源码类型（真实成员/实现仍待核）</x:v>
      </x:c>
    </x:row>
    <x:row r="112" ht="72" customHeight="1">
      <x:c r="A112" s="179" t="str">
        <x:v>M15</x:v>
      </x:c>
      <x:c r="B112" s="180" t="str">
        <x:v>通信与集成｜Driver / Provider / Capability
Driver Providers</x:v>
      </x:c>
      <x:c r="C112" s="180" t="str">
        <x:v>MDPVariableCommunicationMetrics</x:v>
      </x:c>
      <x:c r="D112" s="179" t="str">
        <x:v>原有·待核</x:v>
      </x:c>
      <x:c r="E112" s="180" t="str">
        <x:v>表达或管理变量CommunicationMetrics相关的数据及协作职责，具体行为待源码复核〔待核〕</x:v>
      </x:c>
      <x:c r="F112" s="180" t="str">
        <x:v>ProviderId, IsConnected, VariableCount, SubscriptionCount, LastUpdateUtc, LastError, ReadCount, ReadSuccessCount, ReadFailureCount, WriteCount, WriteSuccessCount, WriteFailureCount, WriteTimeoutCount, IncomingChangeCount, AverageReadMilliseconds, AverageWriteMilliseconds, ReadQps, WriteQps, …（另1项）</x:v>
      </x:c>
      <x:c r="G112" s="180" t="str">
        <x:v>—(无公开声明或待核对)</x:v>
      </x:c>
      <x:c r="H112" s="180" t="str">
        <x:v>—（待核）</x:v>
      </x:c>
      <x:c r="I112" s="180" t="str">
        <x:v>CxVisual.Runtime.Core.VariableCommunicationMetrics</x:v>
      </x:c>
      <x:c r="J112" s="179" t="str">
        <x:v>类</x:v>
      </x:c>
      <x:c r="K112" s="180" t="str">
        <x:v>V1.19 C-0679；原实施方式：原有。迁移风险：表达或管理变量CommunicationMetrics相关的数据及协作职责，具体行为待源码复核〔待核〕</x:v>
      </x:c>
      <x:c r="L112" s="183" t="str">
        <x:v>源代码声明·待复核</x:v>
      </x:c>
      <x:c r="M112" s="183" t="str">
        <x:v>C-0679</x:v>
      </x:c>
      <x:c r="N112" s="184" t="str">
        <x:v>Platform/Runtime/InstrumentedVariableProvider.cs</x:v>
      </x:c>
      <x:c r="O112" s="183" t="str">
        <x:v>V1.19旧源码类型（真实成员/实现仍待核）
V2.01：来源ID对应；处置=保留源码·公开契约复核
V7.8：V7.8同名且源文件对应；Platform/Runtime/InstrumentedVariableProvider.cs</x:v>
      </x:c>
      <x:c r="P112" s="136" t="str">
        <x:v>V1.19旧源码类型（真实成员/实现仍待核）</x:v>
      </x:c>
    </x:row>
    <x:row r="113" ht="135" customHeight="1">
      <x:c r="A113" s="179" t="str">
        <x:v>M15</x:v>
      </x:c>
      <x:c r="B113" s="180" t="str">
        <x:v>通信与集成｜Driver / Provider / Capability
Driver Providers</x:v>
      </x:c>
      <x:c r="C113" s="180" t="str">
        <x:v>MDPVariableProviderRouter</x:v>
      </x:c>
      <x:c r="D113" s="179" t="str">
        <x:v>原有·待核</x:v>
      </x:c>
      <x:c r="E113" s="180" t="str">
        <x:v>表达或管理变量提供器Router相关的数据及协作职责，具体行为待源码复核〔待核〕</x:v>
      </x:c>
      <x:c r="F113" s="180" t="str">
        <x:v>ProviderId</x:v>
      </x:c>
      <x:c r="G113" s="180" t="str">
        <x:v>VariableProviderRouter(IEnumerable&lt;IVariableProvider&gt; providers, string providerId = , bool disposeProviders = true), GetMetadata(), Read(string variableId), ReadAsync(string variableId, CancellationToken token), GetState(), GetHealthAsync(CancellationToken token), WriteAsync(string variableId, object value, CancellationToken cancellationToken), Subscribe(IEnumerable&lt;string&gt; variableIds, Action&lt;IReadOnlyList&lt;VariableChange&gt;&gt; callback), GetDiagnostics(), GetCapabilities(), Dispose()</x:v>
      </x:c>
      <x:c r="H113" s="180" t="str">
        <x:v>—（待核）</x:v>
      </x:c>
      <x:c r="I113" s="180" t="str">
        <x:v>CxVisual.Integration.VariableProviderRouter</x:v>
      </x:c>
      <x:c r="J113" s="179" t="str">
        <x:v>类</x:v>
      </x:c>
      <x:c r="K113" s="180" t="str">
        <x:v>V1.19 C-0659；原实施方式：原有。迁移风险：表达或管理变量提供器Router相关的数据及协作职责，具体行为待源码复核〔待核〕</x:v>
      </x:c>
      <x:c r="L113" s="183" t="str">
        <x:v>源代码声明·待复核</x:v>
      </x:c>
      <x:c r="M113" s="183" t="str">
        <x:v>C-0659</x:v>
      </x:c>
      <x:c r="N113" s="184" t="str">
        <x:v>Platform/Runtime/Integration/VariableProviderRouter.cs</x:v>
      </x:c>
      <x:c r="O113" s="183" t="str">
        <x:v>V1.19旧源码类型（真实成员/实现仍待核）
V2.01：来源ID对应；处置=保留源码·公开契约复核
V7.8：V7.8同名且源文件对应；Platform/Runtime/Integration/VariableProviderRouter.cs</x:v>
      </x:c>
      <x:c r="P113" s="136" t="str">
        <x:v>V1.19旧源码类型（真实成员/实现仍待核）</x:v>
      </x:c>
    </x:row>
    <x:row r="114" ht="72" customHeight="1">
      <x:c r="A114" s="179" t="str">
        <x:v>M15</x:v>
      </x:c>
      <x:c r="B114" s="180" t="str">
        <x:v>通信与集成｜Driver / Provider / Capability
Driver Providers</x:v>
      </x:c>
      <x:c r="C114" s="180" t="str">
        <x:v>MDPCapabilityDescriptor</x:v>
      </x:c>
      <x:c r="D114" s="179" t="str">
        <x:v>原有·待核</x:v>
      </x:c>
      <x:c r="E114" s="180" t="str">
        <x:v>稳定能力描述</x:v>
      </x:c>
      <x:c r="F114" s="180" t="str">
        <x:v>CapabilityId；Operations；States；Data；Version</x:v>
      </x:c>
      <x:c r="G114" s="180" t="str">
        <x:v>稳定能力描述</x:v>
      </x:c>
      <x:c r="H114" s="180" t="str">
        <x:v>待逐对象核实</x:v>
      </x:c>
      <x:c r="I114" s="180" t="str">
        <x:v>运行对象/模型</x:v>
      </x:c>
      <x:c r="J114" s="179" t="str">
        <x:v>类/实例候选</x:v>
      </x:c>
      <x:c r="K114" s="180" t="str">
        <x:v>V1.19 C-0641：原有；生命周期：Definition</x:v>
      </x:c>
      <x:c r="L114" s="183" t="str">
        <x:v>V7.8源码词法匹配，尚未验收</x:v>
      </x:c>
      <x:c r="M114" s="183" t="str">
        <x:v>M15.CapabilityDescriptor</x:v>
      </x:c>
      <x:c r="N114" s="184" t="str">
        <x:v>Platform/Core/Abstractions/PlatformContracts.cs</x:v>
      </x:c>
      <x:c r="O114" s="183" t="str">
        <x:v>V4.9对象/属性/方法
V2.01：同名多条·待消歧；处置=暂无可信对应
V7.8：V7.8未检出同名词法声明</x:v>
      </x:c>
      <x:c r="P114" s="136" t="str">
        <x:v>V4.9对象/属性/方法</x:v>
      </x:c>
    </x:row>
    <x:row r="115" ht="72" customHeight="1">
      <x:c r="A115" s="179" t="str">
        <x:v>M15</x:v>
      </x:c>
      <x:c r="B115" s="180" t="str">
        <x:v>通信与集成｜Driver / Provider / Capability
Driver Providers</x:v>
      </x:c>
      <x:c r="C115" s="180" t="str">
        <x:v>MDPDriverAdapter</x:v>
      </x:c>
      <x:c r="D115" s="179" t="str">
        <x:v>增构候选·待查重</x:v>
      </x:c>
      <x:c r="E115" s="180" t="str">
        <x:v>映射Vendor语义</x:v>
      </x:c>
      <x:c r="F115" s="180" t="str">
        <x:v>Vendor；Protocol mappings</x:v>
      </x:c>
      <x:c r="G115" s="180" t="str">
        <x:v>映射Vendor语义</x:v>
      </x:c>
      <x:c r="H115" s="180" t="str">
        <x:v>待逐对象核实</x:v>
      </x:c>
      <x:c r="I115" s="180" t="str">
        <x:v>运行对象/模型</x:v>
      </x:c>
      <x:c r="J115" s="179" t="str">
        <x:v>类/实例候选</x:v>
      </x:c>
      <x:c r="K115" s="180" t="str">
        <x:v>生命周期：Runtime</x:v>
      </x:c>
      <x:c r="L115" s="183" t="str">
        <x:v>设计候选，尚待源码验证</x:v>
      </x:c>
      <x:c r="M115" s="183" t="str">
        <x:v>M15.DriverAdapter</x:v>
      </x:c>
      <x:c r="N115" s="184" t="str">
        <x:v>03_能力对象!C128</x:v>
      </x:c>
      <x:c r="O115" s="183" t="str">
        <x:v>V4.9对象/属性/方法
V2.01：名称/子方面线索；处置=规划独立契约候选·未批准新增
V7.8：V7.8未检出同名词法声明</x:v>
      </x:c>
      <x:c r="P115" s="136" t="str">
        <x:v>V4.9对象/属性/方法</x:v>
      </x:c>
    </x:row>
    <x:row r="116" ht="72" customHeight="1">
      <x:c r="A116" s="179" t="str">
        <x:v>M15</x:v>
      </x:c>
      <x:c r="B116" s="180" t="str">
        <x:v>通信与集成｜Driver / Provider / Capability
Driver Providers</x:v>
      </x:c>
      <x:c r="C116" s="180" t="str">
        <x:v>MDPIProvider</x:v>
      </x:c>
      <x:c r="D116" s="179" t="str">
        <x:v>增构候选·待查重</x:v>
      </x:c>
      <x:c r="E116" s="180" t="str">
        <x:v>专业能力运行入口</x:v>
      </x:c>
      <x:c r="F116" s="180" t="str">
        <x:v>Capabilities；Invoke；Read；Subscribe；Health</x:v>
      </x:c>
      <x:c r="G116" s="180" t="str">
        <x:v>专业能力运行入口</x:v>
      </x:c>
      <x:c r="H116" s="180" t="str">
        <x:v>待逐对象核实</x:v>
      </x:c>
      <x:c r="I116" s="180" t="str">
        <x:v>IProvider</x:v>
      </x:c>
      <x:c r="J116" s="179" t="str">
        <x:v>接口候选</x:v>
      </x:c>
      <x:c r="K116" s="180" t="str">
        <x:v>生命周期：Runtime</x:v>
      </x:c>
      <x:c r="L116" s="183" t="str">
        <x:v>设计候选，尚待源码验证</x:v>
      </x:c>
      <x:c r="M116" s="183" t="str">
        <x:v>M15.IProvider</x:v>
      </x:c>
      <x:c r="N116" s="184"/>
      <x:c r="O116" s="183" t="str">
        <x:v>V4.9对象/属性/方法
V2.01：未匹配V2.01；处置=暂无可信对应
V7.8：V7.8未检出同名词法声明</x:v>
      </x:c>
      <x:c r="P116" s="136" t="str">
        <x:v>V4.9对象/属性/方法</x:v>
      </x:c>
    </x:row>
    <x:row r="117" ht="72" customHeight="1">
      <x:c r="A117" s="179" t="str">
        <x:v>M15</x:v>
      </x:c>
      <x:c r="B117" s="180" t="str">
        <x:v>通信与集成｜Driver / Provider / Capability
Driver Providers</x:v>
      </x:c>
      <x:c r="C117" s="180" t="str">
        <x:v>MDPIRuntimeAdapter</x:v>
      </x:c>
      <x:c r="D117" s="179" t="str">
        <x:v>复用待核</x:v>
      </x:c>
      <x:c r="E117" s="180" t="str">
        <x:v>Plan Operation到Provider/Worker桥接</x:v>
      </x:c>
      <x:c r="F117" s="180" t="str">
        <x:v>CanHandle；Execute；Cancel</x:v>
      </x:c>
      <x:c r="G117" s="180" t="str">
        <x:v>Plan Operation到Provider/Worker桥接</x:v>
      </x:c>
      <x:c r="H117" s="180" t="str">
        <x:v>待逐对象核实</x:v>
      </x:c>
      <x:c r="I117" s="180" t="str">
        <x:v>IRuntimeAdapter</x:v>
      </x:c>
      <x:c r="J117" s="179" t="str">
        <x:v>接口候选</x:v>
      </x:c>
      <x:c r="K117" s="180" t="str">
        <x:v>生命周期：Runtime</x:v>
      </x:c>
      <x:c r="L117" s="183" t="str">
        <x:v>V7.8源码词法匹配，尚未验收</x:v>
      </x:c>
      <x:c r="M117" s="183" t="str">
        <x:v>M15.IRuntimeAdapter</x:v>
      </x:c>
      <x:c r="N117" s="184" t="str">
        <x:v>Platform/Orchestration/Runtime/RuntimeAdapterContracts.cs</x:v>
      </x:c>
      <x:c r="O117" s="183" t="str">
        <x:v>V4.9对象/属性/方法
V2.01：未匹配V2.01；处置=暂无可信对应
V7.8：V7.8同名且源文件对应；Platform/Orchestration/Runtime/RuntimeAdapterContracts.cs</x:v>
      </x:c>
      <x:c r="P117" s="136" t="str">
        <x:v>V4.9对象/属性/方法</x:v>
      </x:c>
    </x:row>
    <x:row r="118" ht="72" customHeight="1">
      <x:c r="A118" s="179" t="str">
        <x:v>M15</x:v>
      </x:c>
      <x:c r="B118" s="180" t="str">
        <x:v>通信与集成｜Driver / Provider / Capability
Driver Providers</x:v>
      </x:c>
      <x:c r="C118" s="180" t="str">
        <x:v>MDPIWorker</x:v>
      </x:c>
      <x:c r="D118" s="179" t="str">
        <x:v>增构候选·待查重</x:v>
      </x:c>
      <x:c r="E118" s="180" t="str">
        <x:v>远端/本地Worker契约</x:v>
      </x:c>
      <x:c r="F118" s="180" t="str">
        <x:v>Submit；Cancel；Health；Metrics</x:v>
      </x:c>
      <x:c r="G118" s="180" t="str">
        <x:v>远端/本地Worker契约</x:v>
      </x:c>
      <x:c r="H118" s="180" t="str">
        <x:v>待逐对象核实</x:v>
      </x:c>
      <x:c r="I118" s="180" t="str">
        <x:v>IWorker</x:v>
      </x:c>
      <x:c r="J118" s="179" t="str">
        <x:v>接口候选</x:v>
      </x:c>
      <x:c r="K118" s="180" t="str">
        <x:v>生命周期：Runtime</x:v>
      </x:c>
      <x:c r="L118" s="183" t="str">
        <x:v>设计候选，尚待源码验证</x:v>
      </x:c>
      <x:c r="M118" s="183" t="str">
        <x:v>M15.IWorker</x:v>
      </x:c>
      <x:c r="N118" s="184"/>
      <x:c r="O118" s="183" t="str">
        <x:v>V4.9对象/属性/方法
V2.01：未匹配V2.01；处置=暂无可信对应
V7.8：V7.8未检出同名词法声明</x:v>
      </x:c>
      <x:c r="P118" s="136" t="str">
        <x:v>V4.9对象/属性/方法</x:v>
      </x:c>
    </x:row>
    <x:row r="119" ht="72" customHeight="1">
      <x:c r="A119" s="179" t="str">
        <x:v>M15</x:v>
      </x:c>
      <x:c r="B119" s="180" t="str">
        <x:v>通信与集成｜Driver / Provider / Capability
Driver Providers</x:v>
      </x:c>
      <x:c r="C119" s="180" t="str">
        <x:v>MDPProviderDescriptor</x:v>
      </x:c>
      <x:c r="D119" s="179" t="str">
        <x:v>增构候选·待查重</x:v>
      </x:c>
      <x:c r="E119" s="180" t="str">
        <x:v>Provider元数据</x:v>
      </x:c>
      <x:c r="F119" s="180" t="str">
        <x:v>ProviderId；Capabilities；ConfigSchema；Target</x:v>
      </x:c>
      <x:c r="G119" s="180" t="str">
        <x:v>Provider元数据</x:v>
      </x:c>
      <x:c r="H119" s="180" t="str">
        <x:v>待逐对象核实</x:v>
      </x:c>
      <x:c r="I119" s="180" t="str">
        <x:v>运行对象/模型</x:v>
      </x:c>
      <x:c r="J119" s="179" t="str">
        <x:v>类/实例候选</x:v>
      </x:c>
      <x:c r="K119" s="180" t="str">
        <x:v>生命周期：Definition</x:v>
      </x:c>
      <x:c r="L119" s="183" t="str">
        <x:v>设计候选，尚待源码验证</x:v>
      </x:c>
      <x:c r="M119" s="183" t="str">
        <x:v>M15.ProviderDescriptor</x:v>
      </x:c>
      <x:c r="N119" s="184" t="str">
        <x:v>03_能力对象!C132</x:v>
      </x:c>
      <x:c r="O119" s="183" t="str">
        <x:v>V4.9对象/属性/方法
V2.01：名称/子方面线索；处置=规划独立契约候选·未批准新增
V7.8：V7.8未检出同名词法声明</x:v>
      </x:c>
      <x:c r="P119" s="136" t="str">
        <x:v>V4.9对象/属性/方法</x:v>
      </x:c>
    </x:row>
    <x:row r="120" ht="72" customHeight="1">
      <x:c r="A120" s="179" t="str">
        <x:v>M15</x:v>
      </x:c>
      <x:c r="B120" s="180" t="str">
        <x:v>通信与集成｜Driver / Provider / Capability
Driver Providers</x:v>
      </x:c>
      <x:c r="C120" s="180" t="str">
        <x:v>MDPWorkerDescriptor</x:v>
      </x:c>
      <x:c r="D120" s="179" t="str">
        <x:v>增构候选·待查重</x:v>
      </x:c>
      <x:c r="E120" s="180" t="str">
        <x:v>Worker描述</x:v>
      </x:c>
      <x:c r="F120" s="180" t="str">
        <x:v>WorkerId；Capabilities；Resources；Version；Endpoint</x:v>
      </x:c>
      <x:c r="G120" s="180" t="str">
        <x:v>Worker描述</x:v>
      </x:c>
      <x:c r="H120" s="180" t="str">
        <x:v>待逐对象核实</x:v>
      </x:c>
      <x:c r="I120" s="180" t="str">
        <x:v>运行对象/模型</x:v>
      </x:c>
      <x:c r="J120" s="179" t="str">
        <x:v>类/实例候选</x:v>
      </x:c>
      <x:c r="K120" s="180" t="str">
        <x:v>生命周期：Resolved</x:v>
      </x:c>
      <x:c r="L120" s="183" t="str">
        <x:v>设计候选，尚待源码验证</x:v>
      </x:c>
      <x:c r="M120" s="183" t="str">
        <x:v>M15.WorkerDescriptor</x:v>
      </x:c>
      <x:c r="N120" s="184" t="str">
        <x:v>03_能力对象!C133</x:v>
      </x:c>
      <x:c r="O120" s="183" t="str">
        <x:v>V4.9对象/属性/方法
V2.01：名称/子方面线索；处置=规划独立契约候选·未批准新增
V7.8：V7.8未检出同名词法声明</x:v>
      </x:c>
      <x:c r="P120" s="136" t="str">
        <x:v>V4.9对象/属性/方法</x:v>
      </x:c>
    </x:row>
    <x:row r="121" ht="72" customHeight="1">
      <x:c r="A121" s="179" t="str">
        <x:v>M15</x:v>
      </x:c>
      <x:c r="B121" s="180" t="str">
        <x:v>通信与集成｜Driver / Provider / Capability
Driver Providers</x:v>
      </x:c>
      <x:c r="C121" s="180" t="str">
        <x:v>IMDPProvider</x:v>
      </x:c>
      <x:c r="D121" s="179" t="str">
        <x:v>增构候选·待查重</x:v>
      </x:c>
      <x:c r="E121" s="180" t="str">
        <x:v>专业能力运行入口</x:v>
      </x:c>
      <x:c r="F121" s="180" t="str">
        <x:v>Capabilities, Invoke, Read, Subscribe, Health</x:v>
      </x:c>
      <x:c r="G121" s="180" t="str">
        <x:v>专业能力运行入口</x:v>
      </x:c>
      <x:c r="H121" s="180" t="str">
        <x:v>—（待核）</x:v>
      </x:c>
      <x:c r="I121" s="180" t="str">
        <x:v>IProvider</x:v>
      </x:c>
      <x:c r="J121" s="179" t="str">
        <x:v>接口（候选）</x:v>
      </x:c>
      <x:c r="K121" s="180" t="str">
        <x:v>V1.19 S-0354；原实施方式：增构候选。迁移风险：专业能力运行入口</x:v>
      </x:c>
      <x:c r="L121" s="183" t="str">
        <x:v>V1.19设计候选·待核</x:v>
      </x:c>
      <x:c r="M121" s="183" t="str">
        <x:v>S-0354</x:v>
      </x:c>
      <x:c r="N121" s="184" t="str">
        <x:v>03_能力对象!C129</x:v>
      </x:c>
      <x:c r="O121" s="183" t="str">
        <x:v>V1.19旧规格候选
V2.01：来源ID对应；处置=规划独立契约候选·未批准新增
V7.8：V7.8未检出同名词法声明</x:v>
      </x:c>
      <x:c r="P121" s="136" t="str">
        <x:v>V1.19旧规格候选</x:v>
      </x:c>
    </x:row>
    <x:row r="122" ht="72" customHeight="1">
      <x:c r="A122" s="179" t="str">
        <x:v>M15</x:v>
      </x:c>
      <x:c r="B122" s="180" t="str">
        <x:v>通信与集成｜Driver / Provider / Capability
Driver Providers</x:v>
      </x:c>
      <x:c r="C122" s="180" t="str">
        <x:v>IMDPWorker</x:v>
      </x:c>
      <x:c r="D122" s="179" t="str">
        <x:v>增构候选·待查重</x:v>
      </x:c>
      <x:c r="E122" s="180" t="str">
        <x:v>远端/本地Worker契约</x:v>
      </x:c>
      <x:c r="F122" s="180" t="str">
        <x:v>Submit, Cancel, Health, Metrics</x:v>
      </x:c>
      <x:c r="G122" s="180" t="str">
        <x:v>远端/本地Worker契约</x:v>
      </x:c>
      <x:c r="H122" s="180" t="str">
        <x:v>—（待核）</x:v>
      </x:c>
      <x:c r="I122" s="180" t="str">
        <x:v>IWorker</x:v>
      </x:c>
      <x:c r="J122" s="179" t="str">
        <x:v>接口（候选）</x:v>
      </x:c>
      <x:c r="K122" s="180" t="str">
        <x:v>V1.19 S-0356；原实施方式：增构候选。迁移风险：远端/本地Worker契约</x:v>
      </x:c>
      <x:c r="L122" s="183" t="str">
        <x:v>V1.19设计候选·待核</x:v>
      </x:c>
      <x:c r="M122" s="183" t="str">
        <x:v>S-0356</x:v>
      </x:c>
      <x:c r="N122" s="184" t="str">
        <x:v>03_能力对象!C131</x:v>
      </x:c>
      <x:c r="O122" s="183" t="str">
        <x:v>V1.19旧规格候选
V2.01：来源ID对应；处置=规划独立契约候选·未批准新增
V7.8：V7.8未检出同名词法声明</x:v>
      </x:c>
      <x:c r="P122" s="136" t="str">
        <x:v>V1.19旧规格候选</x:v>
      </x:c>
    </x:row>
  </x:sheetData>
  <x:mergeCells>
    <x:mergeCell ref="A6:A51"/>
    <x:mergeCell ref="A52:A74"/>
    <x:mergeCell ref="A75:A122"/>
    <x:mergeCell ref="A1:P1"/>
    <x:mergeCell ref="A2:P2"/>
    <x:mergeCell ref="A3:P3"/>
    <x:mergeCell ref="A4:P4"/>
    <x:mergeCell ref="B6:B51"/>
    <x:mergeCell ref="B52:B74"/>
    <x:mergeCell ref="B75:B122"/>
  </x:mergeCells>
  <x:pageMargins left="0.7" right="0.7" top="0.75" bottom="0.75" header="0.3" footer="0.3"/>
</x:worksheet>
</file>

<file path=xl/worksheets/sheet1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CxVisual.Mechanism.Visual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子方面：M16、M17、M37｜来源：V1.19旧类型 + V4.9对象 + V7.8源码 + V5.0/R3架构裁决｜本项目 207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M16</x:v>
      </x:c>
      <x:c r="B6" s="180" t="str">
        <x:v>表现与编辑｜Drawing / Layer / Geometry
Drawing Layers</x:v>
      </x:c>
      <x:c r="C6" s="180" t="str">
        <x:v>IMDLCxCanvasRenderTarget</x:v>
      </x:c>
      <x:c r="D6" s="179" t="str">
        <x:v>原有·待核</x:v>
      </x:c>
      <x:c r="E6" s="180" t="str">
        <x:v>约定画布RenderTarget的操作入口、交互能力及调用方/实现方边界</x:v>
      </x:c>
      <x:c r="F6" s="180" t="str">
        <x:v>—（无公开声明或待核对）</x:v>
      </x:c>
      <x:c r="G6" s="180" t="str">
        <x:v>Render(CxCanvasFrame frame)</x:v>
      </x:c>
      <x:c r="H6" s="180" t="str">
        <x:v>—（待核）</x:v>
      </x:c>
      <x:c r="I6" s="180" t="str">
        <x:v>CxVisual.Core.ICxCanvasRenderTarget</x:v>
      </x:c>
      <x:c r="J6" s="179" t="str">
        <x:v>接口</x:v>
      </x:c>
      <x:c r="K6" s="180" t="str">
        <x:v>V1.19 C-0710；原实施方式：原有。迁移风险：约定画布RenderTarget的操作入口、交互能力及调用方/实现方边界</x:v>
      </x:c>
      <x:c r="L6" s="183" t="str">
        <x:v>源代码声明·待复核</x:v>
      </x:c>
      <x:c r="M6" s="183" t="str">
        <x:v>C-0710</x:v>
      </x:c>
      <x:c r="N6" s="184" t="str">
        <x:v>Platform/Workbench/Drawing/CxCanvasHost.cs</x:v>
      </x:c>
      <x:c r="O6" s="183" t="str">
        <x:v>V1.19旧源码类型（真实成员/实现仍待核）
V2.01：来源ID对应；处置=保留源码·公开契约复核
V7.8：V7.8同名且源文件对应；Platform/Workbench/Drawing/CxCanvasHost.cs</x:v>
      </x:c>
      <x:c r="P6" s="136" t="str">
        <x:v>V1.19旧源码类型（真实成员/实现仍待核）</x:v>
      </x:c>
      <x:c r="Q6"/>
      <x:c r="R6"/>
      <x:c r="S6"/>
    </x:row>
    <x:row r="7" ht="72" customHeight="1">
      <x:c r="A7" s="179" t="str">
        <x:v>M16</x:v>
      </x:c>
      <x:c r="B7" s="180" t="str">
        <x:v>表现与编辑｜Drawing / Layer / Geometry
Drawing Layers</x:v>
      </x:c>
      <x:c r="C7" s="180" t="str">
        <x:v>IMDLDrawingHitTester&lt;T&gt;</x:v>
      </x:c>
      <x:c r="D7" s="179" t="str">
        <x:v>原有·待核</x:v>
      </x:c>
      <x:c r="E7" s="180" t="str">
        <x:v>约定DrawingHitTesterT的操作入口、交互能力及调用方/实现方边界</x:v>
      </x:c>
      <x:c r="F7" s="180" t="str">
        <x:v>—（无公开声明或待核对）</x:v>
      </x:c>
      <x:c r="G7" s="180" t="str">
        <x:v>HitTest(Point2D position, double tolerance)</x:v>
      </x:c>
      <x:c r="H7" s="180" t="str">
        <x:v>—（待核）</x:v>
      </x:c>
      <x:c r="I7" s="180" t="str">
        <x:v>CxVisual.Platform.Presentation.Wpf.Drawing.IDrawingHitTester&lt;T&gt;</x:v>
      </x:c>
      <x:c r="J7" s="179" t="str">
        <x:v>接口</x:v>
      </x:c>
      <x:c r="K7" s="180" t="str">
        <x:v>V1.19 C-0756；原实施方式：原有。迁移风险：约定DrawingHitTesterT的操作入口、交互能力及调用方/实现方边界</x:v>
      </x:c>
      <x:c r="L7" s="183" t="str">
        <x:v>源代码声明·待复核</x:v>
      </x:c>
      <x:c r="M7" s="183" t="str">
        <x:v>C-0756</x:v>
      </x:c>
      <x:c r="N7" s="184" t="str">
        <x:v>D:\cyg\cx-visual-x2\Platform.Presentation.Wpf\Drawing\DrawingFoundation.cs:63</x:v>
      </x:c>
      <x:c r="O7"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7" s="136" t="str">
        <x:v>V1.19旧源码类型（真实成员/实现仍待核）</x:v>
      </x:c>
      <x:c r="Q7"/>
      <x:c r="R7"/>
      <x:c r="S7"/>
    </x:row>
    <x:row r="8" ht="72" customHeight="1">
      <x:c r="A8" s="179" t="str">
        <x:v>M16</x:v>
      </x:c>
      <x:c r="B8" s="180" t="str">
        <x:v>表现与编辑｜Drawing / Layer / Geometry
Drawing Layers</x:v>
      </x:c>
      <x:c r="C8" s="180" t="str">
        <x:v>IMDLEditorTool</x:v>
      </x:c>
      <x:c r="D8" s="179" t="str">
        <x:v>原有·待核</x:v>
      </x:c>
      <x:c r="E8" s="180" t="str">
        <x:v>约定编辑器Tool的操作入口、交互能力及调用方/实现方边界</x:v>
      </x:c>
      <x:c r="F8" s="180" t="str">
        <x:v>ToolId, Preview</x:v>
      </x:c>
      <x:c r="G8" s="180" t="str">
        <x:v>Activate(ToolContext context), Deactivate(), PointerDown(EditorPointerEvent pointerEvent), PointerMove(EditorPointerEvent pointerEvent), PointerUp(EditorPointerEvent pointerEvent), KeyDown(EditorKey key), Cancel()</x:v>
      </x:c>
      <x:c r="H8" s="180" t="str">
        <x:v>—（待核）</x:v>
      </x:c>
      <x:c r="I8" s="180" t="str">
        <x:v>CxVisual.Designer.Application.IEditorTool</x:v>
      </x:c>
      <x:c r="J8" s="179" t="str">
        <x:v>接口</x:v>
      </x:c>
      <x:c r="K8" s="180" t="str">
        <x:v>V1.19 C-0733；原实施方式：原有。迁移风险：约定编辑器Tool的操作入口、交互能力及调用方/实现方边界</x:v>
      </x:c>
      <x:c r="L8" s="183" t="str">
        <x:v>源代码声明·待复核</x:v>
      </x:c>
      <x:c r="M8" s="183" t="str">
        <x:v>C-0733</x:v>
      </x:c>
      <x:c r="N8" s="184" t="str">
        <x:v>Host/Studio/Application/EditorTools.cs</x:v>
      </x:c>
      <x:c r="O8" s="183" t="str">
        <x:v>V1.19旧源码类型（真实成员/实现仍待核）
V2.01：来源ID对应；处置=保留源码·公开契约复核
V7.8：V7.8同名且源文件对应；Host/Studio/Application/EditorTools.cs</x:v>
      </x:c>
      <x:c r="P8" s="136" t="str">
        <x:v>V1.19旧源码类型（真实成员/实现仍待核）</x:v>
      </x:c>
      <x:c r="Q8"/>
      <x:c r="R8"/>
      <x:c r="S8"/>
    </x:row>
    <x:row r="9" ht="72" customHeight="1">
      <x:c r="A9" s="179" t="str">
        <x:v>M16</x:v>
      </x:c>
      <x:c r="B9" s="180" t="str">
        <x:v>表现与编辑｜Drawing / Layer / Geometry
Drawing Layers</x:v>
      </x:c>
      <x:c r="C9" s="180" t="str">
        <x:v>IMDLElementRenderer</x:v>
      </x:c>
      <x:c r="D9" s="179" t="str">
        <x:v>原有·待核</x:v>
      </x:c>
      <x:c r="E9" s="180" t="str">
        <x:v>约定元素Renderer的操作入口、交互能力及调用方/实现方边界</x:v>
      </x:c>
      <x:c r="F9" s="180" t="str">
        <x:v>—（无公开声明或待核对）</x:v>
      </x:c>
      <x:c r="G9" s="180" t="str">
        <x:v>Render(ElementRenderContext context, ElementModel element)</x:v>
      </x:c>
      <x:c r="H9" s="180" t="str">
        <x:v>—（待核）</x:v>
      </x:c>
      <x:c r="I9" s="180" t="str">
        <x:v>CxVisual.Rendering.Wpf.IElementRenderer</x:v>
      </x:c>
      <x:c r="J9" s="179" t="str">
        <x:v>接口</x:v>
      </x:c>
      <x:c r="K9" s="180" t="str">
        <x:v>V1.19 C-0764；原实施方式：原有。迁移风险：约定元素Renderer的操作入口、交互能力及调用方/实现方边界</x:v>
      </x:c>
      <x:c r="L9" s="183" t="str">
        <x:v>源代码声明·待复核</x:v>
      </x:c>
      <x:c r="M9" s="183" t="str">
        <x:v>C-0764</x:v>
      </x:c>
      <x:c r="N9" s="184" t="str">
        <x:v>Platform.Presentation.Wpf/Rendering/ElementRendererRegistry.cs</x:v>
      </x:c>
      <x:c r="O9" s="183" t="str">
        <x:v>V1.19旧源码类型（真实成员/实现仍待核）
V2.01：来源ID对应；处置=保留源码·公开契约复核
V7.8：V7.8同名且源文件对应；Platform.Presentation.Wpf/Rendering/ElementRendererRegistry.cs
归属优先核查：WPF通用呈现迁入M_PresentationWpf；仅Studio专用窗口留Studio；具体UI类型不应归Core/无UI Visual</x:v>
      </x:c>
      <x:c r="P9" s="136" t="str">
        <x:v>V1.19旧源码类型（真实成员/实现仍待核）</x:v>
      </x:c>
      <x:c r="Q9"/>
      <x:c r="R9"/>
      <x:c r="S9"/>
    </x:row>
    <x:row r="10" ht="72" customHeight="1">
      <x:c r="A10" s="179" t="str">
        <x:v>M16</x:v>
      </x:c>
      <x:c r="B10" s="180" t="str">
        <x:v>表现与编辑｜Drawing / Layer / Geometry
Drawing Layers</x:v>
      </x:c>
      <x:c r="C10" s="180" t="str">
        <x:v>IMDLPreviewEditSession</x:v>
      </x:c>
      <x:c r="D10" s="179" t="str">
        <x:v>原有·待核</x:v>
      </x:c>
      <x:c r="E10" s="180" t="str">
        <x:v>约定PreviewEdit会话的操作入口、交互能力及调用方/实现方边界</x:v>
      </x:c>
      <x:c r="F10" s="180" t="str">
        <x:v>Snap</x:v>
      </x:c>
      <x:c r="G10" s="180" t="str">
        <x:v>Preview(Point2D current), Commit(), Cancel()</x:v>
      </x:c>
      <x:c r="H10" s="180" t="str">
        <x:v>—（待核）</x:v>
      </x:c>
      <x:c r="I10" s="180" t="str">
        <x:v>CxVisual.Designer.Application.IPreviewEditSession</x:v>
      </x:c>
      <x:c r="J10" s="179" t="str">
        <x:v>接口</x:v>
      </x:c>
      <x:c r="K10" s="180" t="str">
        <x:v>V1.19 C-0734；原实施方式：原有。迁移风险：约定PreviewEdit会话的操作入口、交互能力及调用方/实现方边界</x:v>
      </x:c>
      <x:c r="L10" s="183" t="str">
        <x:v>源代码声明·待复核</x:v>
      </x:c>
      <x:c r="M10" s="183" t="str">
        <x:v>C-0734</x:v>
      </x:c>
      <x:c r="N10" s="184" t="str">
        <x:v>Host/Studio/Application/EditorTools.cs</x:v>
      </x:c>
      <x:c r="O10" s="183" t="str">
        <x:v>V1.19旧源码类型（真实成员/实现仍待核）
V2.01：来源ID对应；处置=保留源码·公开契约复核
V7.8：V7.8同名且源文件对应；Host/Studio/Application/EditorTools.cs</x:v>
      </x:c>
      <x:c r="P10" s="136" t="str">
        <x:v>V1.19旧源码类型（真实成员/实现仍待核）</x:v>
      </x:c>
      <x:c r="Q10"/>
      <x:c r="R10"/>
      <x:c r="S10"/>
    </x:row>
    <x:row r="11" ht="72" customHeight="1">
      <x:c r="A11" s="179" t="str">
        <x:v>M16</x:v>
      </x:c>
      <x:c r="B11" s="180" t="str">
        <x:v>表现与编辑｜Drawing / Layer / Geometry
Drawing Layers</x:v>
      </x:c>
      <x:c r="C11" s="180" t="str">
        <x:v>MDLBezierTool</x:v>
      </x:c>
      <x:c r="D11" s="179" t="str">
        <x:v>原有·待核</x:v>
      </x:c>
      <x:c r="E11" s="180" t="str">
        <x:v>表达或管理BezierTool相关的数据及协作职责，具体行为待源码复核〔待核〕</x:v>
      </x:c>
      <x:c r="F11" s="180" t="str">
        <x:v>ToolId, Preview</x:v>
      </x:c>
      <x:c r="G11" s="180" t="str">
        <x:v>PointerDown(EditorPointerEvent pointerEvent), PointerMove(EditorPointerEvent pointerEvent), PointerUp(EditorPointerEvent pointerEvent), KeyDown(EditorKey key), Cancel()</x:v>
      </x:c>
      <x:c r="H11" s="180" t="str">
        <x:v>—（待核）</x:v>
      </x:c>
      <x:c r="I11" s="180" t="str">
        <x:v>CxVisual.Designer.Application.BezierTool</x:v>
      </x:c>
      <x:c r="J11" s="179" t="str">
        <x:v>类</x:v>
      </x:c>
      <x:c r="K11" s="180" t="str">
        <x:v>V1.19 C-0723；原实施方式：原有。迁移风险：表达或管理BezierTool相关的数据及协作职责，具体行为待源码复核〔待核〕</x:v>
      </x:c>
      <x:c r="L11" s="183" t="str">
        <x:v>源代码声明·待复核</x:v>
      </x:c>
      <x:c r="M11" s="183" t="str">
        <x:v>C-0723</x:v>
      </x:c>
      <x:c r="N11" s="184" t="str">
        <x:v>Host/Studio/Application/EditorTools.cs</x:v>
      </x:c>
      <x:c r="O11" s="183" t="str">
        <x:v>V1.19旧源码类型（真实成员/实现仍待核）
V2.01：来源ID对应；处置=保留源码·公开契约复核
V7.8：V7.8同名且源文件对应；Host/Studio/Application/EditorTools.cs</x:v>
      </x:c>
      <x:c r="P11" s="136" t="str">
        <x:v>V1.19旧源码类型（真实成员/实现仍待核）</x:v>
      </x:c>
      <x:c r="Q11"/>
      <x:c r="R11"/>
      <x:c r="S11"/>
    </x:row>
    <x:row r="12" ht="72" customHeight="1">
      <x:c r="A12" s="179" t="str">
        <x:v>M16</x:v>
      </x:c>
      <x:c r="B12" s="180" t="str">
        <x:v>表现与编辑｜Drawing / Layer / Geometry
Drawing Layers</x:v>
      </x:c>
      <x:c r="C12" s="180" t="str">
        <x:v>MDLBrushParser</x:v>
      </x:c>
      <x:c r="D12" s="179" t="str">
        <x:v>原有·待核</x:v>
      </x:c>
      <x:c r="E12" s="180" t="str">
        <x:v>解析画刷Parser输入内容，生成结构化表达</x:v>
      </x:c>
      <x:c r="F12" s="180" t="str">
        <x:v>—（无公开声明或待核对）</x:v>
      </x:c>
      <x:c r="G12" s="180" t="str">
        <x:v>Parse(string value, Brush fallback), ParsePaint(string fallbackColor, GradientPaintModel gradient, Brush fallback)</x:v>
      </x:c>
      <x:c r="H12" s="180" t="str">
        <x:v>—（待核）</x:v>
      </x:c>
      <x:c r="I12" s="180" t="str">
        <x:v>CxVisual.Rendering.Wpf.BrushParser</x:v>
      </x:c>
      <x:c r="J12" s="179" t="str">
        <x:v>静态类</x:v>
      </x:c>
      <x:c r="K12" s="180" t="str">
        <x:v>V1.19 C-0758；原实施方式：原有。迁移风险：解析画刷Parser输入内容，生成结构化表达</x:v>
      </x:c>
      <x:c r="L12" s="183" t="str">
        <x:v>源代码声明·待复核</x:v>
      </x:c>
      <x:c r="M12" s="183" t="str">
        <x:v>C-0758</x:v>
      </x:c>
      <x:c r="N12" s="184" t="str">
        <x:v>Platform.Presentation.Wpf/Rendering/ElementRendererRegistry.cs</x:v>
      </x:c>
      <x:c r="O12" s="183" t="str">
        <x:v>V1.19旧源码类型（真实成员/实现仍待核）
V2.01：来源ID对应；处置=保留源码·公开契约复核
V7.8：V7.8同名且源文件对应；Platform.Presentation.Wpf/Rendering/ElementRendererRegistry.cs
归属优先核查：WPF通用呈现迁入M_PresentationWpf；仅Studio专用窗口留Studio；具体UI类型不应归Core/无UI Visual</x:v>
      </x:c>
      <x:c r="P12" s="136" t="str">
        <x:v>V1.19旧源码类型（真实成员/实现仍待核）</x:v>
      </x:c>
      <x:c r="Q12"/>
      <x:c r="R12"/>
      <x:c r="S12"/>
    </x:row>
    <x:row r="13" ht="72" customHeight="1">
      <x:c r="A13" s="179" t="str">
        <x:v>M16</x:v>
      </x:c>
      <x:c r="B13" s="180" t="str">
        <x:v>表现与编辑｜Drawing / Layer / Geometry
Drawing Layers</x:v>
      </x:c>
      <x:c r="C13" s="180" t="str">
        <x:v>MDLBuiltInElementRenderers</x:v>
      </x:c>
      <x:c r="D13" s="179" t="str">
        <x:v>原有·待核</x:v>
      </x:c>
      <x:c r="E13" s="180" t="str">
        <x:v>提供BuiltIn元素Renderers相关基础操作或类型辅助处理</x:v>
      </x:c>
      <x:c r="F13" s="180" t="str">
        <x:v>—（无公开声明或待核对）</x:v>
      </x:c>
      <x:c r="G13" s="180" t="str">
        <x:v>CreateRegistry()</x:v>
      </x:c>
      <x:c r="H13" s="180" t="str">
        <x:v>—（待核）</x:v>
      </x:c>
      <x:c r="I13" s="180" t="str">
        <x:v>CxVisual.Rendering.Wpf.BuiltInElementRenderers</x:v>
      </x:c>
      <x:c r="J13" s="179" t="str">
        <x:v>静态类</x:v>
      </x:c>
      <x:c r="K13" s="180" t="str">
        <x:v>V1.19 C-0759；原实施方式：原有。迁移风险：提供BuiltIn元素Renderers相关基础操作或类型辅助处理</x:v>
      </x:c>
      <x:c r="L13" s="183" t="str">
        <x:v>源代码声明·待复核</x:v>
      </x:c>
      <x:c r="M13" s="183" t="str">
        <x:v>C-0759</x:v>
      </x:c>
      <x:c r="N13" s="184" t="str">
        <x:v>Platform.Presentation.Wpf/Rendering/ElementRendererRegistry.cs</x:v>
      </x:c>
      <x:c r="O13" s="183" t="str">
        <x:v>V1.19旧源码类型（真实成员/实现仍待核）
V2.01：来源ID对应；处置=保留源码·公开契约复核
V7.8：V7.8同名且源文件对应；Platform.Presentation.Wpf/Rendering/ElementRendererRegistry.cs
归属优先核查：WPF通用呈现迁入M_PresentationWpf；仅Studio专用窗口留Studio；具体UI类型不应归Core/无UI Visual</x:v>
      </x:c>
      <x:c r="P13" s="136" t="str">
        <x:v>V1.19旧源码类型（真实成员/实现仍待核）</x:v>
      </x:c>
      <x:c r="Q13"/>
      <x:c r="R13"/>
      <x:c r="S13"/>
    </x:row>
    <x:row r="14" ht="72" customHeight="1">
      <x:c r="A14" s="179" t="str">
        <x:v>M16</x:v>
      </x:c>
      <x:c r="B14" s="180" t="str">
        <x:v>表现与编辑｜Drawing / Layer / Geometry
Drawing Layers</x:v>
      </x:c>
      <x:c r="C14" s="180" t="str">
        <x:v>MDLButtonElementModel</x:v>
      </x:c>
      <x:c r="D14" s="179" t="str">
        <x:v>原有·待核</x:v>
      </x:c>
      <x:c r="E14" s="180" t="str">
        <x:v>表达Button元素模型相关的数据结构、配置及状态视图</x:v>
      </x:c>
      <x:c r="F14" s="180" t="str">
        <x:v>TypeId</x:v>
      </x:c>
      <x:c r="G14" s="180" t="str">
        <x:v>ButtonElementModel(), DeepClone(bool preserveId)</x:v>
      </x:c>
      <x:c r="H14" s="180" t="str">
        <x:v>—（待核）</x:v>
      </x:c>
      <x:c r="I14" s="180" t="str">
        <x:v>CxVisual.Core.ButtonElementModel</x:v>
      </x:c>
      <x:c r="J14" s="179" t="str">
        <x:v>类</x:v>
      </x:c>
      <x:c r="K14" s="180" t="str">
        <x:v>V1.19 C-0681；原实施方式：原有。迁移风险：表达Button元素模型相关的数据结构、配置及状态视图</x:v>
      </x:c>
      <x:c r="L14" s="183" t="str">
        <x:v>源代码声明·待复核</x:v>
      </x:c>
      <x:c r="M14" s="183" t="str">
        <x:v>C-0681</x:v>
      </x:c>
      <x:c r="N14" s="184" t="str">
        <x:v>Platform/Core/Elements.cs</x:v>
      </x:c>
      <x:c r="O14" s="183" t="str">
        <x:v>V1.19旧源码类型（真实成员/实现仍待核）
V2.01：来源ID对应；处置=保留源码·公开契约复核
V7.8：V7.8同名且源文件对应；Platform/Core/Elements.cs</x:v>
      </x:c>
      <x:c r="P14" s="136" t="str">
        <x:v>V1.19旧源码类型（真实成员/实现仍待核）</x:v>
      </x:c>
      <x:c r="Q14"/>
      <x:c r="R14"/>
      <x:c r="S14"/>
    </x:row>
    <x:row r="15" ht="72" customHeight="1">
      <x:c r="A15" s="179" t="str">
        <x:v>M16</x:v>
      </x:c>
      <x:c r="B15" s="180" t="str">
        <x:v>表现与编辑｜Drawing / Layer / Geometry
Drawing Layers</x:v>
      </x:c>
      <x:c r="C15" s="180" t="str">
        <x:v>MDLControlElementModel</x:v>
      </x:c>
      <x:c r="D15" s="179" t="str">
        <x:v>原有·待核</x:v>
      </x:c>
      <x:c r="E15" s="180" t="str">
        <x:v>表达Control元素模型相关的数据结构、配置及状态视图</x:v>
      </x:c>
      <x:c r="F15" s="180" t="str">
        <x:v>Text, Foreground, FontSize, IsChecked, IsReadOnly, IsIndeterminate, ToolTip, TabIndex, GroupName, Items, SelectedValue, SelectedIndex, Value, Minimum, Maximum, Step, Format, Orientation, …（另7项）</x:v>
      </x:c>
      <x:c r="G15" s="180" t="str">
        <x:v>ControlElementModel(), CopyControlTo(ControlElementModel target, bool preserveId)</x:v>
      </x:c>
      <x:c r="H15" s="180" t="str">
        <x:v>—（待核）</x:v>
      </x:c>
      <x:c r="I15" s="180" t="str">
        <x:v>CxVisual.Core.ControlElementModel</x:v>
      </x:c>
      <x:c r="J15" s="179" t="str">
        <x:v>类</x:v>
      </x:c>
      <x:c r="K15" s="180" t="str">
        <x:v>V1.19 C-0682；原实施方式：原有。迁移风险：表达Control元素模型相关的数据结构、配置及状态视图</x:v>
      </x:c>
      <x:c r="L15" s="183" t="str">
        <x:v>源代码声明·待复核</x:v>
      </x:c>
      <x:c r="M15" s="183" t="str">
        <x:v>C-0682</x:v>
      </x:c>
      <x:c r="N15" s="184" t="str">
        <x:v>Platform/Core/StandardControls.cs</x:v>
      </x:c>
      <x:c r="O15" s="183" t="str">
        <x:v>V1.19旧源码类型（真实成员/实现仍待核）
V2.01：来源ID对应；处置=保留源码·公开契约复核
V7.8：V7.8同名且源文件对应；Platform/Core/StandardControls.cs</x:v>
      </x:c>
      <x:c r="P15" s="136" t="str">
        <x:v>V1.19旧源码类型（真实成员/实现仍待核）</x:v>
      </x:c>
      <x:c r="Q15"/>
      <x:c r="R15"/>
      <x:c r="S15"/>
    </x:row>
    <x:row r="16" ht="72" customHeight="1">
      <x:c r="A16" s="179" t="str">
        <x:v>M16</x:v>
      </x:c>
      <x:c r="B16" s="180" t="str">
        <x:v>表现与编辑｜Drawing / Layer / Geometry
Drawing Layers</x:v>
      </x:c>
      <x:c r="C16" s="180" t="str">
        <x:v>MDLControlTag</x:v>
      </x:c>
      <x:c r="D16" s="179" t="str">
        <x:v>原有·待核</x:v>
      </x:c>
      <x:c r="E16" s="180" t="str">
        <x:v>表达或管理ControlTag相关的数据及协作职责，具体行为待源码复核〔待核〕</x:v>
      </x:c>
      <x:c r="F16" s="180" t="str">
        <x:v>ElementId, TypeId</x:v>
      </x:c>
      <x:c r="G16" s="180" t="str">
        <x:v>ControlTag(string elementId, string typeId)</x:v>
      </x:c>
      <x:c r="H16" s="180" t="str">
        <x:v>—（待核）</x:v>
      </x:c>
      <x:c r="I16" s="180" t="str">
        <x:v>CxVisual.Rendering.Wpf.StandardControlLayer.ControlTag</x:v>
      </x:c>
      <x:c r="J16" s="179" t="str">
        <x:v>类</x:v>
      </x:c>
      <x:c r="K16" s="180" t="str">
        <x:v>V1.19 C-0768；原实施方式：原有。迁移风险：表达或管理ControlTag相关的数据及协作职责，具体行为待源码复核〔待核〕</x:v>
      </x:c>
      <x:c r="L16" s="183" t="str">
        <x:v>源代码声明·待复核</x:v>
      </x:c>
      <x:c r="M16" s="183" t="str">
        <x:v>C-0768</x:v>
      </x:c>
      <x:c r="N16" s="184" t="str">
        <x:v>Platform.Presentation.Wpf/Rendering/StandardControlLayer.cs</x:v>
      </x:c>
      <x:c r="O16" s="183" t="str">
        <x:v>V1.19旧源码类型（真实成员/实现仍待核）
V2.01：来源ID对应；处置=保留源码·公开契约复核
V7.8：V7.8同名且源文件对应；Platform.Presentation.Wpf/Rendering/StandardControlLayer.cs
归属优先核查：WPF通用呈现迁入M_PresentationWpf；仅Studio专用窗口留Studio；具体UI类型不应归Core/无UI Visual</x:v>
      </x:c>
      <x:c r="P16" s="136" t="str">
        <x:v>V1.19旧源码类型（真实成员/实现仍待核）</x:v>
      </x:c>
      <x:c r="Q16"/>
      <x:c r="R16"/>
      <x:c r="S16"/>
    </x:row>
    <x:row r="17" ht="72" customHeight="1">
      <x:c r="A17" s="179" t="str">
        <x:v>M16</x:v>
      </x:c>
      <x:c r="B17" s="180" t="str">
        <x:v>表现与编辑｜Drawing / Layer / Geometry
Drawing Layers</x:v>
      </x:c>
      <x:c r="C17" s="180" t="str">
        <x:v>MDLCxCanvasDrawingTarget</x:v>
      </x:c>
      <x:c r="D17" s="179" t="str">
        <x:v>原有·待核</x:v>
      </x:c>
      <x:c r="E17" s="180" t="str">
        <x:v>表达或管理画布DrawingTarget相关的数据及协作职责，具体行为待源码复核〔待核〕</x:v>
      </x:c>
      <x:c r="F17" s="180" t="str">
        <x:v>Renderers, Factories, Drawing, PixelsPerDip</x:v>
      </x:c>
      <x:c r="G17" s="180" t="str">
        <x:v>CxCanvasDrawingTarget(ElementRendererRegistry renderers = null, ElementFactoryRegistry factories = null), Render(CxCanvasFrame frame)</x:v>
      </x:c>
      <x:c r="H17" s="180" t="str">
        <x:v>—（待核）</x:v>
      </x:c>
      <x:c r="I17" s="180" t="str">
        <x:v>CxVisual.Rendering.Wpf.CxCanvasDrawingTarget</x:v>
      </x:c>
      <x:c r="J17" s="179" t="str">
        <x:v>类</x:v>
      </x:c>
      <x:c r="K17" s="180" t="str">
        <x:v>V1.19 C-0760；原实施方式：原有。迁移风险：表达或管理画布DrawingTarget相关的数据及协作职责，具体行为待源码复核〔待核〕</x:v>
      </x:c>
      <x:c r="L17" s="183" t="str">
        <x:v>源代码声明·待复核</x:v>
      </x:c>
      <x:c r="M17" s="183" t="str">
        <x:v>C-0760</x:v>
      </x:c>
      <x:c r="N17" s="184" t="str">
        <x:v>Platform.Presentation.Wpf/Rendering/CxCanvasDrawingTarget.cs</x:v>
      </x:c>
      <x:c r="O17" s="183" t="str">
        <x:v>V1.19旧源码类型（真实成员/实现仍待核）
V2.01：来源ID对应；处置=保留源码·公开契约复核
V7.8：V7.8同名且源文件对应；Platform.Presentation.Wpf/Rendering/CxCanvasDrawingTarget.cs
归属优先核查：WPF通用呈现迁入M_PresentationWpf；仅Studio专用窗口留Studio；具体UI类型不应归Core/无UI Visual</x:v>
      </x:c>
      <x:c r="P17" s="136" t="str">
        <x:v>V1.19旧源码类型（真实成员/实现仍待核）</x:v>
      </x:c>
      <x:c r="Q17"/>
      <x:c r="R17"/>
      <x:c r="S17"/>
    </x:row>
    <x:row r="18" ht="72" customHeight="1">
      <x:c r="A18" s="179" t="str">
        <x:v>M16</x:v>
      </x:c>
      <x:c r="B18" s="180" t="str">
        <x:v>表现与编辑｜Drawing / Layer / Geometry
Drawing Layers</x:v>
      </x:c>
      <x:c r="C18" s="180" t="str">
        <x:v>MDLCxCanvasFrame</x:v>
      </x:c>
      <x:c r="D18" s="179" t="str">
        <x:v>原有·待核</x:v>
      </x:c>
      <x:c r="E18" s="180" t="str">
        <x:v>表达或管理画布帧相关的数据及协作职责，具体行为待源码复核〔待核〕</x:v>
      </x:c>
      <x:c r="F18" s="180" t="str">
        <x:v>PageAddress, Items, Overlay, CxViewport</x:v>
      </x:c>
      <x:c r="G18" s="180" t="str">
        <x:v>CxCanvasFrame(string page, IEnumerable&lt;CxCanvasItem&gt; items, IEnumerable&lt;CxOverlayItem&gt; overlay, CxViewport viewport)</x:v>
      </x:c>
      <x:c r="H18" s="180" t="str">
        <x:v>—（待核）</x:v>
      </x:c>
      <x:c r="I18" s="180" t="str">
        <x:v>CxVisual.Core.CxCanvasFrame</x:v>
      </x:c>
      <x:c r="J18" s="179" t="str">
        <x:v>类</x:v>
      </x:c>
      <x:c r="K18" s="180" t="str">
        <x:v>V1.19 C-0683；原实施方式：原有。迁移风险：表达或管理画布帧相关的数据及协作职责，具体行为待源码复核〔待核〕</x:v>
      </x:c>
      <x:c r="L18" s="183" t="str">
        <x:v>源代码声明·待复核</x:v>
      </x:c>
      <x:c r="M18" s="183" t="str">
        <x:v>C-0683</x:v>
      </x:c>
      <x:c r="N18" s="184" t="str">
        <x:v>Platform/Workbench/Drawing/CxCanvasHost.cs</x:v>
      </x:c>
      <x:c r="O18" s="183" t="str">
        <x:v>V1.19旧源码类型（真实成员/实现仍待核）
V2.01：来源ID对应；处置=保留源码·公开契约复核
V7.8：V7.8同名且源文件对应；Platform/Workbench/Drawing/CxCanvasHost.cs</x:v>
      </x:c>
      <x:c r="P18" s="136" t="str">
        <x:v>V1.19旧源码类型（真实成员/实现仍待核）</x:v>
      </x:c>
      <x:c r="Q18"/>
      <x:c r="R18"/>
      <x:c r="S18"/>
    </x:row>
    <x:row r="19" ht="72" customHeight="1">
      <x:c r="A19" s="179" t="str">
        <x:v>M16</x:v>
      </x:c>
      <x:c r="B19" s="180" t="str">
        <x:v>表现与编辑｜Drawing / Layer / Geometry
Drawing Layers</x:v>
      </x:c>
      <x:c r="C19" s="180" t="str">
        <x:v>MDLCxCanvasHost</x:v>
      </x:c>
      <x:c r="D19" s="179" t="str">
        <x:v>原有·待核</x:v>
      </x:c>
      <x:c r="E19" s="180" t="str">
        <x:v>负责画布宿主相关的画布与公共契约管理</x:v>
      </x:c>
      <x:c r="F19" s="180" t="str">
        <x:v>Viewport, Layers, Selection, Overlay, SnapSettings, Invalidated, Document, Page</x:v>
      </x:c>
      <x:c r="G19" s="180" t="str">
        <x:v>CxCanvasHost(CxDocumentContext document, PageModel page = null), Demand(), Invalidate(), Render(ICxCanvasRenderTarget target = null), HitTest(Point2D viewPoint, double tolerance = 3, bool includeContainers = false), ZoomToFit(Bounds2D viewBounds, double padding = 20, bool includePage = true), SaveViewState(), Entries(), Bounds(CxNode node), Transform(CxNode node), Layer(CxNode node)</x:v>
      </x:c>
      <x:c r="H19" s="180" t="str">
        <x:v>—（待核）</x:v>
      </x:c>
      <x:c r="I19" s="180" t="str">
        <x:v>CxVisual.Core.CxCanvasHost</x:v>
      </x:c>
      <x:c r="J19" s="179" t="str">
        <x:v>类</x:v>
      </x:c>
      <x:c r="K19" s="180" t="str">
        <x:v>V1.19 C-0684；原实施方式：原有。迁移风险：负责画布宿主相关的画布与公共契约管理</x:v>
      </x:c>
      <x:c r="L19" s="183" t="str">
        <x:v>源代码声明·待复核</x:v>
      </x:c>
      <x:c r="M19" s="183" t="str">
        <x:v>C-0684</x:v>
      </x:c>
      <x:c r="N19" s="184" t="str">
        <x:v>Platform/Workbench/Drawing/CxCanvasHost.cs</x:v>
      </x:c>
      <x:c r="O19" s="183" t="str">
        <x:v>V1.19旧源码类型（真实成员/实现仍待核）
V2.01：来源ID对应；处置=保留源码·公开契约复核
V7.8：V7.8同名且源文件对应；Platform/Workbench/Drawing/CxCanvasHost.cs</x:v>
      </x:c>
      <x:c r="P19" s="136" t="str">
        <x:v>V1.19旧源码类型（真实成员/实现仍待核）</x:v>
      </x:c>
      <x:c r="Q19"/>
      <x:c r="R19"/>
      <x:c r="S19"/>
    </x:row>
    <x:row r="20" ht="72" customHeight="1">
      <x:c r="A20" s="179" t="str">
        <x:v>M16</x:v>
      </x:c>
      <x:c r="B20" s="180" t="str">
        <x:v>表现与编辑｜Drawing / Layer / Geometry
Drawing Layers</x:v>
      </x:c>
      <x:c r="C20" s="180" t="str">
        <x:v>MDLCxCanvasItem</x:v>
      </x:c>
      <x:c r="D20" s="179" t="str">
        <x:v>原有·待核</x:v>
      </x:c>
      <x:c r="E20" s="180" t="str">
        <x:v>表达或管理画布Item相关的数据及协作职责，具体行为待源码复核〔待核〕</x:v>
      </x:c>
      <x:c r="F20" s="180" t="str">
        <x:v>NodeAddress, ParentAddress, TypeId, Bounds, Editable, IsContainer, WorldTransform</x:v>
      </x:c>
      <x:c r="G20" s="180" t="str">
        <x:v>CxCanvasItem(CxNode node, CxGeometry geometry, CxTransform transform, bool editable, bool container, IEnumerable&lt;CxGeome…); Clone(); FromMatrix(WorldTransform.Matrix(); Select(x =&gt; x.Clone(); CreateElementSnapshot(ElementFactoryRegistry factories = null)</x:v>
      </x:c>
      <x:c r="H20" s="180" t="str">
        <x:v>—（待核）</x:v>
      </x:c>
      <x:c r="I20" s="180" t="str">
        <x:v>CxVisual.Core.CxCanvasItem</x:v>
      </x:c>
      <x:c r="J20" s="179" t="str">
        <x:v>类</x:v>
      </x:c>
      <x:c r="K20" s="180" t="str">
        <x:v>V1.19 C-0686；原实施方式：原有。迁移风险：表达或管理画布Item相关的数据及协作职责，具体行为待源码复核〔待核〕</x:v>
      </x:c>
      <x:c r="L20" s="183" t="str">
        <x:v>源代码声明·待复核</x:v>
      </x:c>
      <x:c r="M20" s="183" t="str">
        <x:v>C-0686</x:v>
      </x:c>
      <x:c r="N20" s="184" t="str">
        <x:v>Platform/Workbench/Drawing/CxCanvasHost.cs</x:v>
      </x:c>
      <x:c r="O20" s="183" t="str">
        <x:v>V1.19旧源码类型（真实成员/实现仍待核）
V2.01：来源ID对应；处置=保留源码·公开契约复核
V7.8：V7.8同名且源文件对应；Platform/Workbench/Drawing/CxCanvasHost.cs</x:v>
      </x:c>
      <x:c r="P20" s="136" t="str">
        <x:v>V1.19旧源码类型（真实成员/实现仍待核）</x:v>
      </x:c>
      <x:c r="Q20"/>
      <x:c r="R20"/>
      <x:c r="S20"/>
    </x:row>
    <x:row r="21" ht="72" customHeight="1">
      <x:c r="A21" s="179" t="str">
        <x:v>M16</x:v>
      </x:c>
      <x:c r="B21" s="180" t="str">
        <x:v>表现与编辑｜Drawing / Layer / Geometry
Drawing Layers</x:v>
      </x:c>
      <x:c r="C21" s="180" t="str">
        <x:v>MDLCxCanvasMath</x:v>
      </x:c>
      <x:c r="D21" s="179" t="str">
        <x:v>原有·待核</x:v>
      </x:c>
      <x:c r="E21" s="180" t="str">
        <x:v>计算画布元素边界、并集及图形变换等通用编辑几何</x:v>
      </x:c>
      <x:c r="F21" s="180" t="str">
        <x:v>—（无公开声明或待核对）</x:v>
      </x:c>
      <x:c r="G21" s="180" t="str">
        <x:v>Copy(Bounds2D box), DemandBounds(Bounds2D box), Union(IEnumerable&lt;Bounds2D&gt; boxes)</x:v>
      </x:c>
      <x:c r="H21" s="180" t="str">
        <x:v>—（待核）</x:v>
      </x:c>
      <x:c r="I21" s="180" t="str">
        <x:v>CxVisual.Core.CxCanvasMath</x:v>
      </x:c>
      <x:c r="J21" s="179" t="str">
        <x:v>静态类</x:v>
      </x:c>
      <x:c r="K21" s="180" t="str">
        <x:v>V1.19 C-0687；原实施方式：原有。迁移风险：计算画布元素边界、并集及图形变换等通用编辑几何</x:v>
      </x:c>
      <x:c r="L21" s="183" t="str">
        <x:v>源代码声明·待复核</x:v>
      </x:c>
      <x:c r="M21" s="183" t="str">
        <x:v>C-0687</x:v>
      </x:c>
      <x:c r="N21" s="184" t="str">
        <x:v>Platform/Workbench/Drawing/CxCanvasDefinitions.cs</x:v>
      </x:c>
      <x:c r="O21" s="183" t="str">
        <x:v>V1.19旧源码类型（真实成员/实现仍待核）
V2.01：来源ID对应；处置=保留源码·公开契约复核
V7.8：V7.8同名且源文件对应；Platform/Workbench/Drawing/CxCanvasDefinitions.cs</x:v>
      </x:c>
      <x:c r="P21" s="136" t="str">
        <x:v>V1.19旧源码类型（真实成员/实现仍待核）</x:v>
      </x:c>
      <x:c r="Q21"/>
      <x:c r="R21"/>
      <x:c r="S21"/>
    </x:row>
    <x:row r="22" ht="72" customHeight="1">
      <x:c r="A22" s="179" t="str">
        <x:v>M16</x:v>
      </x:c>
      <x:c r="B22" s="180" t="str">
        <x:v>表现与编辑｜Drawing / Layer / Geometry
Drawing Layers</x:v>
      </x:c>
      <x:c r="C22" s="180" t="str">
        <x:v>MDLCxContentVisualDefinition</x:v>
      </x:c>
      <x:c r="D22" s="179" t="str">
        <x:v>原有·待核</x:v>
      </x:c>
      <x:c r="E22" s="180" t="str">
        <x:v>声明内容Visual定义可配置的工程定义、字段和校验约束</x:v>
      </x:c>
      <x:c r="F22" s="180" t="str">
        <x:v>Bounds, Transform, Layout, IsVisible, ClipToBounds, ZIndex</x:v>
      </x:c>
      <x:c r="G22" s="180" t="str">
        <x:v>CxContentVisualDefinition(ContentDefinition owner)</x:v>
      </x:c>
      <x:c r="H22" s="180" t="str">
        <x:v>—（待核）</x:v>
      </x:c>
      <x:c r="I22" s="180" t="str">
        <x:v>CxVisual.Core.CxContentVisualDefinition</x:v>
      </x:c>
      <x:c r="J22" s="179" t="str">
        <x:v>类</x:v>
      </x:c>
      <x:c r="K22" s="180" t="str">
        <x:v>V1.19 C-0688；原实施方式：原有。迁移风险：声明内容Visual定义可配置的工程定义、字段和校验约束</x:v>
      </x:c>
      <x:c r="L22" s="183" t="str">
        <x:v>源代码声明·待复核</x:v>
      </x:c>
      <x:c r="M22" s="183" t="str">
        <x:v>C-0688</x:v>
      </x:c>
      <x:c r="N22" s="184" t="str">
        <x:v>Platform/Core/CxDefinitionConfiguration.cs</x:v>
      </x:c>
      <x:c r="O22" s="183" t="str">
        <x:v>V1.19旧源码类型（真实成员/实现仍待核）
V2.01：来源ID对应；处置=保留源码·公开契约复核
V7.8：V7.8同名且源文件对应；Platform/Core/CxDefinitionConfiguration.cs</x:v>
      </x:c>
      <x:c r="P22" s="136" t="str">
        <x:v>V1.19旧源码类型（真实成员/实现仍待核）</x:v>
      </x:c>
      <x:c r="Q22"/>
      <x:c r="R22"/>
      <x:c r="S22"/>
    </x:row>
    <x:row r="23" ht="72" customHeight="1">
      <x:c r="A23" s="179" t="str">
        <x:v>M16</x:v>
      </x:c>
      <x:c r="B23" s="180" t="str">
        <x:v>表现与编辑｜Drawing / Layer / Geometry
Drawing Layers</x:v>
      </x:c>
      <x:c r="C23" s="180" t="str">
        <x:v>MDLCxLayerDefinition</x:v>
      </x:c>
      <x:c r="D23" s="179" t="str">
        <x:v>原有·待核</x:v>
      </x:c>
      <x:c r="E23" s="180" t="str">
        <x:v>负责图层定义相关的图层与公共契约管理</x:v>
      </x:c>
      <x:c r="F23" s="180" t="str">
        <x:v>Id, Name, ZIndex, Visible, Locked, Model</x:v>
      </x:c>
      <x:c r="G23" s="180" t="str">
        <x:v>LayerModel(), CxLayerDefinition(LayerModel model), Validate()</x:v>
      </x:c>
      <x:c r="H23" s="180" t="str">
        <x:v>—（待核）</x:v>
      </x:c>
      <x:c r="I23" s="180" t="str">
        <x:v>CxVisual.Core.CxLayerDefinition</x:v>
      </x:c>
      <x:c r="J23" s="179" t="str">
        <x:v>类</x:v>
      </x:c>
      <x:c r="K23" s="180" t="str">
        <x:v>V1.19 C-0689；原实施方式：原有。迁移风险：负责图层定义相关的图层与公共契约管理</x:v>
      </x:c>
      <x:c r="L23" s="183" t="str">
        <x:v>源代码声明·待复核</x:v>
      </x:c>
      <x:c r="M23" s="183" t="str">
        <x:v>C-0689</x:v>
      </x:c>
      <x:c r="N23" s="184" t="str">
        <x:v>Platform/Workbench/Drawing/CxCanvasDefinitions.cs</x:v>
      </x:c>
      <x:c r="O23" s="183" t="str">
        <x:v>V1.19旧源码类型（真实成员/实现仍待核）
V2.01：来源ID对应；处置=保留源码·公开契约复核
V7.8：V7.8同名且源文件对应；Platform/Workbench/Drawing/CxCanvasDefinitions.cs</x:v>
      </x:c>
      <x:c r="P23" s="136" t="str">
        <x:v>V1.19旧源码类型（真实成员/实现仍待核）</x:v>
      </x:c>
      <x:c r="Q23"/>
      <x:c r="R23"/>
      <x:c r="S23"/>
    </x:row>
    <x:row r="24" ht="72" customHeight="1">
      <x:c r="A24" s="179" t="str">
        <x:v>M16</x:v>
      </x:c>
      <x:c r="B24" s="180" t="str">
        <x:v>表现与编辑｜Drawing / Layer / Geometry
Drawing Layers</x:v>
      </x:c>
      <x:c r="C24" s="180" t="str">
        <x:v>MDLCxOverlay</x:v>
      </x:c>
      <x:c r="D24" s="179" t="str">
        <x:v>原有·待核</x:v>
      </x:c>
      <x:c r="E24" s="180" t="str">
        <x:v>负责Overlay相关的Overlay与公共契约管理</x:v>
      </x:c>
      <x:c r="F24" s="180" t="str">
        <x:v>Items</x:v>
      </x:c>
      <x:c r="G24" s="180" t="str">
        <x:v>Add(CxOverlayItem item), Remove(string id), Clear(), Render(CxViewport viewport = null)</x:v>
      </x:c>
      <x:c r="H24" s="180" t="str">
        <x:v>—（待核）</x:v>
      </x:c>
      <x:c r="I24" s="180" t="str">
        <x:v>CxVisual.Core.CxOverlay</x:v>
      </x:c>
      <x:c r="J24" s="179" t="str">
        <x:v>类</x:v>
      </x:c>
      <x:c r="K24" s="180" t="str">
        <x:v>V1.19 C-0690；原实施方式：原有。迁移风险：负责Overlay相关的Overlay与公共契约管理</x:v>
      </x:c>
      <x:c r="L24" s="183" t="str">
        <x:v>源代码声明·待复核</x:v>
      </x:c>
      <x:c r="M24" s="183" t="str">
        <x:v>C-0690</x:v>
      </x:c>
      <x:c r="N24" s="184" t="str">
        <x:v>Platform/Workbench/Drawing/CxOverlay.cs</x:v>
      </x:c>
      <x:c r="O24" s="183" t="str">
        <x:v>V1.19旧源码类型（真实成员/实现仍待核）
V2.01：来源ID对应；处置=保留源码·公开契约复核
V7.8：V7.8同名且源文件对应；Platform/Workbench/Drawing/CxOverlay.cs</x:v>
      </x:c>
      <x:c r="P24" s="136" t="str">
        <x:v>V1.19旧源码类型（真实成员/实现仍待核）</x:v>
      </x:c>
      <x:c r="Q24"/>
      <x:c r="R24"/>
      <x:c r="S24"/>
    </x:row>
    <x:row r="25" ht="72" customHeight="1">
      <x:c r="A25" s="179" t="str">
        <x:v>M16</x:v>
      </x:c>
      <x:c r="B25" s="180" t="str">
        <x:v>表现与编辑｜Drawing / Layer / Geometry
Drawing Layers</x:v>
      </x:c>
      <x:c r="C25" s="180" t="str">
        <x:v>MDLCxOverlayItem</x:v>
      </x:c>
      <x:c r="D25" s="179" t="str">
        <x:v>原有·待核</x:v>
      </x:c>
      <x:c r="E25" s="180" t="str">
        <x:v>表达或管理OverlayItem相关的数据及协作职责，具体行为待源码复核〔待核〕</x:v>
      </x:c>
      <x:c r="F25" s="180" t="str">
        <x:v>Id, Kind, Color, StrokeWidth</x:v>
      </x:c>
      <x:c r="G25" s="180" t="str">
        <x:v>CxOverlayItem(string id, CxOverlayKind kind, Bounds2D bounds, string color = , double strokeWidth = 1), Copy(_bounds)</x:v>
      </x:c>
      <x:c r="H25" s="180" t="str">
        <x:v>—（待核）</x:v>
      </x:c>
      <x:c r="I25" s="180" t="str">
        <x:v>CxVisual.Core.CxOverlayItem</x:v>
      </x:c>
      <x:c r="J25" s="179" t="str">
        <x:v>类</x:v>
      </x:c>
      <x:c r="K25" s="180" t="str">
        <x:v>V1.19 C-0691；原实施方式：原有。迁移风险：表达或管理OverlayItem相关的数据及协作职责，具体行为待源码复核〔待核〕</x:v>
      </x:c>
      <x:c r="L25" s="183" t="str">
        <x:v>源代码声明·待复核</x:v>
      </x:c>
      <x:c r="M25" s="183" t="str">
        <x:v>C-0691</x:v>
      </x:c>
      <x:c r="N25" s="184" t="str">
        <x:v>Platform/Workbench/Drawing/CxOverlay.cs</x:v>
      </x:c>
      <x:c r="O25" s="183" t="str">
        <x:v>V1.19旧源码类型（真实成员/实现仍待核）
V2.01：来源ID对应；处置=保留源码·公开契约复核
V7.8：V7.8同名且源文件对应；Platform/Workbench/Drawing/CxOverlay.cs</x:v>
      </x:c>
      <x:c r="P25" s="136" t="str">
        <x:v>V1.19旧源码类型（真实成员/实现仍待核）</x:v>
      </x:c>
      <x:c r="Q25"/>
      <x:c r="R25"/>
      <x:c r="S25"/>
    </x:row>
    <x:row r="26" ht="72" customHeight="1">
      <x:c r="A26" s="179" t="str">
        <x:v>M16</x:v>
      </x:c>
      <x:c r="B26" s="180" t="str">
        <x:v>表现与编辑｜Drawing / Layer / Geometry
Drawing Layers</x:v>
      </x:c>
      <x:c r="C26" s="180" t="str">
        <x:v>MDLCxOverlayKind</x:v>
      </x:c>
      <x:c r="D26" s="179" t="str">
        <x:v>原有·待核</x:v>
      </x:c>
      <x:c r="E26" s="180" t="str">
        <x:v>定义OverlayKind的候选取值、状态或模式，供相关流程作分支判断</x:v>
      </x:c>
      <x:c r="F26" s="180" t="str">
        <x:v>枚举值：Rectangle, Line, HorizontalGuide, VerticalGuide</x:v>
      </x:c>
      <x:c r="G26" s="180" t="str">
        <x:v>—(无公开声明或待核对)</x:v>
      </x:c>
      <x:c r="H26" s="180" t="str">
        <x:v>—（待核）</x:v>
      </x:c>
      <x:c r="I26" s="180" t="str">
        <x:v>CxVisual.Core.CxOverlayKind</x:v>
      </x:c>
      <x:c r="J26" s="179" t="str">
        <x:v>枚举</x:v>
      </x:c>
      <x:c r="K26" s="180" t="str">
        <x:v>V1.19 C-0692；原实施方式：原有。迁移风险：定义OverlayKind的候选取值、状态或模式，供相关流程作分支判断</x:v>
      </x:c>
      <x:c r="L26" s="183" t="str">
        <x:v>源代码声明·待复核</x:v>
      </x:c>
      <x:c r="M26" s="183" t="str">
        <x:v>C-0692</x:v>
      </x:c>
      <x:c r="N26" s="184" t="str">
        <x:v>Platform/Workbench/Drawing/CxOverlay.cs</x:v>
      </x:c>
      <x:c r="O26" s="183" t="str">
        <x:v>V1.19旧源码类型（真实成员/实现仍待核）
V2.01：来源ID对应；处置=保留源码·公开契约复核
V7.8：V7.8同名且源文件对应；Platform/Workbench/Drawing/CxOverlay.cs</x:v>
      </x:c>
      <x:c r="P26" s="136" t="str">
        <x:v>V1.19旧源码类型（真实成员/实现仍待核）</x:v>
      </x:c>
      <x:c r="Q26"/>
      <x:c r="R26"/>
      <x:c r="S26"/>
    </x:row>
    <x:row r="27" ht="72" customHeight="1">
      <x:c r="A27" s="179" t="str">
        <x:v>M16</x:v>
      </x:c>
      <x:c r="B27" s="180" t="str">
        <x:v>表现与编辑｜Drawing / Layer / Geometry
Drawing Layers</x:v>
      </x:c>
      <x:c r="C27" s="180" t="str">
        <x:v>MDLCxOverlayPrimitive</x:v>
      </x:c>
      <x:c r="D27" s="179" t="str">
        <x:v>原有·待核</x:v>
      </x:c>
      <x:c r="E27" s="180" t="str">
        <x:v>表达或管理OverlayPrimitive相关的数据及协作职责，具体行为待源码复核〔待核〕</x:v>
      </x:c>
      <x:c r="F27" s="180" t="str">
        <x:v>Item</x:v>
      </x:c>
      <x:c r="G27" s="180" t="str">
        <x:v>CxOverlayPrimitive(CxOverlayItem item, CxViewport viewport), Point2D(x.X, x.Y)</x:v>
      </x:c>
      <x:c r="H27" s="180" t="str">
        <x:v>—（待核）</x:v>
      </x:c>
      <x:c r="I27" s="180" t="str">
        <x:v>CxVisual.Core.CxOverlayPrimitive</x:v>
      </x:c>
      <x:c r="J27" s="179" t="str">
        <x:v>类</x:v>
      </x:c>
      <x:c r="K27" s="180" t="str">
        <x:v>V1.19 C-0693；原实施方式：原有。迁移风险：表达或管理OverlayPrimitive相关的数据及协作职责，具体行为待源码复核〔待核〕</x:v>
      </x:c>
      <x:c r="L27" s="183" t="str">
        <x:v>源代码声明·待复核</x:v>
      </x:c>
      <x:c r="M27" s="183" t="str">
        <x:v>C-0693</x:v>
      </x:c>
      <x:c r="N27" s="184" t="str">
        <x:v>Platform/Workbench/Drawing/CxOverlay.cs</x:v>
      </x:c>
      <x:c r="O27" s="183" t="str">
        <x:v>V1.19旧源码类型（真实成员/实现仍待核）
V2.01：来源ID对应；处置=保留源码·公开契约复核
V7.8：V7.8同名且源文件对应；Platform/Workbench/Drawing/CxOverlay.cs</x:v>
      </x:c>
      <x:c r="P27" s="136" t="str">
        <x:v>V1.19旧源码类型（真实成员/实现仍待核）</x:v>
      </x:c>
      <x:c r="Q27"/>
      <x:c r="R27"/>
      <x:c r="S27"/>
    </x:row>
    <x:row r="28" ht="72" customHeight="1">
      <x:c r="A28" s="179" t="str">
        <x:v>M16</x:v>
      </x:c>
      <x:c r="B28" s="180" t="str">
        <x:v>表现与编辑｜Drawing / Layer / Geometry
Drawing Layers</x:v>
      </x:c>
      <x:c r="C28" s="180" t="str">
        <x:v>MDLCxPageViewConfiguration</x:v>
      </x:c>
      <x:c r="D28" s="179" t="str">
        <x:v>原有·待核</x:v>
      </x:c>
      <x:c r="E28" s="180" t="str">
        <x:v>保存页面视图配置配置项及其默认值和生效范围</x:v>
      </x:c>
      <x:c r="F28" s="180" t="str">
        <x:v>Zoom, OffsetX, OffsetY, ShowGrid, GridSize, SnapToGrid, Rotation, SnapToObjects, SnapToGuides, SnapTolerance</x:v>
      </x:c>
      <x:c r="G28" s="180" t="str">
        <x:v>Validate(), Clone()</x:v>
      </x:c>
      <x:c r="H28" s="180" t="str">
        <x:v>—（待核）</x:v>
      </x:c>
      <x:c r="I28" s="180" t="str">
        <x:v>CxVisual.Core.CxPageViewConfiguration</x:v>
      </x:c>
      <x:c r="J28" s="179" t="str">
        <x:v>类</x:v>
      </x:c>
      <x:c r="K28" s="180" t="str">
        <x:v>V1.19 C-0694；原实施方式：原有。迁移风险：保存页面视图配置配置项及其默认值和生效范围</x:v>
      </x:c>
      <x:c r="L28" s="183" t="str">
        <x:v>源代码声明·待复核</x:v>
      </x:c>
      <x:c r="M28" s="183" t="str">
        <x:v>C-0694</x:v>
      </x:c>
      <x:c r="N28" s="184" t="str">
        <x:v>Platform/Core/CxDefinitionConfiguration.cs</x:v>
      </x:c>
      <x:c r="O28" s="183" t="str">
        <x:v>V1.19旧源码类型（真实成员/实现仍待核）
V2.01：来源ID对应；处置=保留源码·公开契约复核
V7.8：V7.8同名且源文件对应；Platform/Core/CxDefinitionConfiguration.cs</x:v>
      </x:c>
      <x:c r="P28" s="136" t="str">
        <x:v>V1.19旧源码类型（真实成员/实现仍待核）</x:v>
      </x:c>
      <x:c r="Q28"/>
      <x:c r="R28"/>
      <x:c r="S28"/>
    </x:row>
    <x:row r="29" ht="72" customHeight="1">
      <x:c r="A29" s="179" t="str">
        <x:v>M16</x:v>
      </x:c>
      <x:c r="B29" s="180" t="str">
        <x:v>表现与编辑｜Drawing / Layer / Geometry
Drawing Layers</x:v>
      </x:c>
      <x:c r="C29" s="180" t="str">
        <x:v>MDLCxSelectionAdorner</x:v>
      </x:c>
      <x:c r="D29" s="179" t="str">
        <x:v>原有·待核</x:v>
      </x:c>
      <x:c r="E29" s="180" t="str">
        <x:v>负责选中Adorner相关的选中装饰与公共契约管理</x:v>
      </x:c>
      <x:c r="F29" s="180" t="str">
        <x:v>Selection, IsDragging</x:v>
      </x:c>
      <x:c r="G29" s="180" t="str">
        <x:v>CxSelectionAdorner(CxCanvasHost canvas), Render(), BeginDrag(Point2D viewPoint), UpdateDrag(Point2D viewPoint, bool snap = true), EndDrag(bool commit = true)</x:v>
      </x:c>
      <x:c r="H29" s="180" t="str">
        <x:v>—（待核）</x:v>
      </x:c>
      <x:c r="I29" s="180" t="str">
        <x:v>CxVisual.Core.CxSelectionAdorner</x:v>
      </x:c>
      <x:c r="J29" s="179" t="str">
        <x:v>类</x:v>
      </x:c>
      <x:c r="K29" s="180" t="str">
        <x:v>V1.19 C-0695；原实施方式：原有。迁移风险：负责选中Adorner相关的选中装饰与公共契约管理</x:v>
      </x:c>
      <x:c r="L29" s="183" t="str">
        <x:v>源代码声明·待复核</x:v>
      </x:c>
      <x:c r="M29" s="183" t="str">
        <x:v>C-0695</x:v>
      </x:c>
      <x:c r="N29" s="184" t="str">
        <x:v>Platform/Workbench/Drawing/CxSelectionAdorner.cs</x:v>
      </x:c>
      <x:c r="O29" s="183" t="str">
        <x:v>V1.19旧源码类型（真实成员/实现仍待核）
V2.01：来源ID对应；处置=保留源码·公开契约复核
V7.8：V7.8同名且源文件对应；Platform/Workbench/Drawing/CxSelectionAdorner.cs</x:v>
      </x:c>
      <x:c r="P29" s="136" t="str">
        <x:v>V1.19旧源码类型（真实成员/实现仍待核）</x:v>
      </x:c>
      <x:c r="Q29"/>
      <x:c r="R29"/>
      <x:c r="S29"/>
    </x:row>
    <x:row r="30" ht="72" customHeight="1">
      <x:c r="A30" s="179" t="str">
        <x:v>M16</x:v>
      </x:c>
      <x:c r="B30" s="180" t="str">
        <x:v>表现与编辑｜Drawing / Layer / Geometry
Drawing Layers</x:v>
      </x:c>
      <x:c r="C30" s="180" t="str">
        <x:v>MDLCxSnapSettings</x:v>
      </x:c>
      <x:c r="D30" s="179" t="str">
        <x:v>原有·待核</x:v>
      </x:c>
      <x:c r="E30" s="180" t="str">
        <x:v>负责SnapSettings相关的吸附与公共契约管理</x:v>
      </x:c>
      <x:c r="F30" s="180" t="str">
        <x:v>GridEnabled, GridSize, SnapToObjects, SnapToGuides, Tolerance</x:v>
      </x:c>
      <x:c r="G30" s="180" t="str">
        <x:v>Snap(Point2D point, double scale, IEnumerable&lt;Bounds2D&gt; objects = null, IEnumerable&lt;CxOverlayItem&gt; guides = null)</x:v>
      </x:c>
      <x:c r="H30" s="180" t="str">
        <x:v>—（待核）</x:v>
      </x:c>
      <x:c r="I30" s="180" t="str">
        <x:v>CxVisual.Core.CxSnapSettings</x:v>
      </x:c>
      <x:c r="J30" s="179" t="str">
        <x:v>类</x:v>
      </x:c>
      <x:c r="K30" s="180" t="str">
        <x:v>V1.19 C-0698；原实施方式：原有。迁移风险：负责SnapSettings相关的吸附与公共契约管理</x:v>
      </x:c>
      <x:c r="L30" s="183" t="str">
        <x:v>源代码声明·待复核</x:v>
      </x:c>
      <x:c r="M30" s="183" t="str">
        <x:v>C-0698</x:v>
      </x:c>
      <x:c r="N30" s="184" t="str">
        <x:v>Platform/Workbench/Drawing/CxCanvasDefinitions.cs</x:v>
      </x:c>
      <x:c r="O30" s="183" t="str">
        <x:v>V1.19旧源码类型（真实成员/实现仍待核）
V2.01：来源ID对应；处置=保留源码·公开契约复核
V7.8：V7.8同名且源文件对应；Platform/Workbench/Drawing/CxCanvasDefinitions.cs</x:v>
      </x:c>
      <x:c r="P30" s="136" t="str">
        <x:v>V1.19旧源码类型（真实成员/实现仍待核）</x:v>
      </x:c>
      <x:c r="Q30"/>
      <x:c r="R30"/>
      <x:c r="S30"/>
    </x:row>
    <x:row r="31" ht="72" customHeight="1">
      <x:c r="A31" s="179" t="str">
        <x:v>M16</x:v>
      </x:c>
      <x:c r="B31" s="180" t="str">
        <x:v>表现与编辑｜Drawing / Layer / Geometry
Drawing Layers</x:v>
      </x:c>
      <x:c r="C31" s="180" t="str">
        <x:v>MDLCxSvgExporter</x:v>
      </x:c>
      <x:c r="D31" s="179" t="str">
        <x:v>原有·待核</x:v>
      </x:c>
      <x:c r="E31" s="180" t="str">
        <x:v>负责SvgExporter相关的SVG导出与公共契约管理</x:v>
      </x:c>
      <x:c r="F31" s="180" t="str">
        <x:v>Options</x:v>
      </x:c>
      <x:c r="G31" s="180" t="str">
        <x:v>Export(IEnumerable&lt;ElementModel&gt; elements, double width, double height, string path), ExportSelection(CxDocumentContext document, string path)</x:v>
      </x:c>
      <x:c r="H31" s="180" t="str">
        <x:v>—（待核）</x:v>
      </x:c>
      <x:c r="I31" s="180" t="str">
        <x:v>CxVisual.Core.CxSvgExporter</x:v>
      </x:c>
      <x:c r="J31" s="179" t="str">
        <x:v>类</x:v>
      </x:c>
      <x:c r="K31" s="180" t="str">
        <x:v>V1.19 C-0700；原实施方式：原有。迁移风险：负责SvgExporter相关的SVG导出与公共契约管理</x:v>
      </x:c>
      <x:c r="L31" s="183" t="str">
        <x:v>源代码声明·待复核</x:v>
      </x:c>
      <x:c r="M31" s="183" t="str">
        <x:v>C-0700</x:v>
      </x:c>
      <x:c r="N31" s="184" t="str">
        <x:v>Platform/Workbench/Drawing/CxSvgExporter.cs</x:v>
      </x:c>
      <x:c r="O31" s="183" t="str">
        <x:v>V1.19旧源码类型（真实成员/实现仍待核）
V2.01：来源ID对应；处置=保留源码·公开契约复核
V7.8：V7.8同名且源文件对应；Platform/Workbench/Drawing/CxSvgExporter.cs</x:v>
      </x:c>
      <x:c r="P31" s="136" t="str">
        <x:v>V1.19旧源码类型（真实成员/实现仍待核）</x:v>
      </x:c>
      <x:c r="Q31"/>
      <x:c r="R31"/>
      <x:c r="S31"/>
    </x:row>
    <x:row r="32" ht="72" customHeight="1">
      <x:c r="A32" s="179" t="str">
        <x:v>M16</x:v>
      </x:c>
      <x:c r="B32" s="180" t="str">
        <x:v>表现与编辑｜Drawing / Layer / Geometry
Drawing Layers</x:v>
      </x:c>
      <x:c r="C32" s="180" t="str">
        <x:v>MDLCxSvgExportOptions</x:v>
      </x:c>
      <x:c r="D32" s="179" t="str">
        <x:v>原有·待核</x:v>
      </x:c>
      <x:c r="E32" s="180" t="str">
        <x:v>承载SvgExportOptions操作时可选的执行参数与策略</x:v>
      </x:c>
      <x:c r="F32" s="180" t="str">
        <x:v>IncludeCxMetadata, MaxElements, MaxDepth</x:v>
      </x:c>
      <x:c r="G32" s="180" t="str">
        <x:v>—(无公开声明或待核对)</x:v>
      </x:c>
      <x:c r="H32" s="180" t="str">
        <x:v>—（待核）</x:v>
      </x:c>
      <x:c r="I32" s="180" t="str">
        <x:v>CxVisual.Core.CxSvgExportOptions</x:v>
      </x:c>
      <x:c r="J32" s="179" t="str">
        <x:v>类</x:v>
      </x:c>
      <x:c r="K32" s="180" t="str">
        <x:v>V1.19 C-0699；原实施方式：原有。迁移风险：承载SvgExportOptions操作时可选的执行参数与策略</x:v>
      </x:c>
      <x:c r="L32" s="183" t="str">
        <x:v>源代码声明·待复核</x:v>
      </x:c>
      <x:c r="M32" s="183" t="str">
        <x:v>C-0699</x:v>
      </x:c>
      <x:c r="N32" s="184" t="str">
        <x:v>Platform/Workbench/Drawing/CxSvgExporter.cs</x:v>
      </x:c>
      <x:c r="O32" s="183" t="str">
        <x:v>V1.19旧源码类型（真实成员/实现仍待核）
V2.01：来源ID对应；处置=保留源码·公开契约复核
V7.8：V7.8同名且源文件对应；Platform/Workbench/Drawing/CxSvgExporter.cs</x:v>
      </x:c>
      <x:c r="P32" s="136" t="str">
        <x:v>V1.19旧源码类型（真实成员/实现仍待核）</x:v>
      </x:c>
      <x:c r="Q32"/>
      <x:c r="R32"/>
      <x:c r="S32"/>
    </x:row>
    <x:row r="33" ht="72" customHeight="1">
      <x:c r="A33" s="179" t="str">
        <x:v>M16</x:v>
      </x:c>
      <x:c r="B33" s="180" t="str">
        <x:v>表现与编辑｜Drawing / Layer / Geometry
Drawing Layers</x:v>
      </x:c>
      <x:c r="C33" s="180" t="str">
        <x:v>MDLCxSvgImporter</x:v>
      </x:c>
      <x:c r="D33" s="179" t="str">
        <x:v>原有·待核</x:v>
      </x:c>
      <x:c r="E33" s="180" t="str">
        <x:v>负责SvgImporter相关的SVG导入与公共契约管理</x:v>
      </x:c>
      <x:c r="F33" s="180" t="str">
        <x:v>Options</x:v>
      </x:c>
      <x:c r="G33" s="180" t="str">
        <x:v>Import(string path), ImportXml(string xml), Import(Stream stream), ImportElement(string path, string elementId = null)</x:v>
      </x:c>
      <x:c r="H33" s="180" t="str">
        <x:v>—（待核）</x:v>
      </x:c>
      <x:c r="I33" s="180" t="str">
        <x:v>CxVisual.Core.CxSvgImporter</x:v>
      </x:c>
      <x:c r="J33" s="179" t="str">
        <x:v>类</x:v>
      </x:c>
      <x:c r="K33" s="180" t="str">
        <x:v>V1.19 C-0701；原实施方式：原有。迁移风险：负责SvgImporter相关的SVG导入与公共契约管理</x:v>
      </x:c>
      <x:c r="L33" s="183" t="str">
        <x:v>源代码声明·待复核</x:v>
      </x:c>
      <x:c r="M33" s="183" t="str">
        <x:v>C-0701</x:v>
      </x:c>
      <x:c r="N33" s="184" t="str">
        <x:v>Platform/Workbench/Drawing/CxSvgImporter.cs</x:v>
      </x:c>
      <x:c r="O33" s="183" t="str">
        <x:v>V1.19旧源码类型（真实成员/实现仍待核）
V2.01：来源ID对应；处置=保留源码·公开契约复核
V7.8：V7.8同名且源文件对应；Platform/Workbench/Drawing/CxSvgImporter.cs</x:v>
      </x:c>
      <x:c r="P33" s="136" t="str">
        <x:v>V1.19旧源码类型（真实成员/实现仍待核）</x:v>
      </x:c>
      <x:c r="Q33"/>
      <x:c r="R33"/>
      <x:c r="S33"/>
    </x:row>
    <x:row r="34" ht="72" customHeight="1">
      <x:c r="A34" s="179" t="str">
        <x:v>M16</x:v>
      </x:c>
      <x:c r="B34" s="180" t="str">
        <x:v>表现与编辑｜Drawing / Layer / Geometry
Drawing Layers</x:v>
      </x:c>
      <x:c r="C34" s="180" t="str">
        <x:v>MDLCxSymbolKind</x:v>
      </x:c>
      <x:c r="D34" s="179" t="str">
        <x:v>原有·待核</x:v>
      </x:c>
      <x:c r="E34" s="180" t="str">
        <x:v>负责符号Kind相关的Symbol语义与公共契约管理</x:v>
      </x:c>
      <x:c r="F34" s="180" t="str">
        <x:v>枚举值：Visual, Operation, CompositeOperation, Decision, Wait, Trigger, State, Resource, Adapter</x:v>
      </x:c>
      <x:c r="G34" s="180" t="str">
        <x:v>—(无公开声明或待核对)</x:v>
      </x:c>
      <x:c r="H34" s="180" t="str">
        <x:v>—（待核）</x:v>
      </x:c>
      <x:c r="I34" s="180" t="str">
        <x:v>CxVisual.Core.CxSymbolKind</x:v>
      </x:c>
      <x:c r="J34" s="179" t="str">
        <x:v>枚举</x:v>
      </x:c>
      <x:c r="K34" s="180" t="str">
        <x:v>V1.19 C-0702；原实施方式：原有。迁移风险：负责符号Kind相关的Symbol语义与公共契约管理</x:v>
      </x:c>
      <x:c r="L34" s="183" t="str">
        <x:v>源代码声明·待复核</x:v>
      </x:c>
      <x:c r="M34" s="183" t="str">
        <x:v>C-0702</x:v>
      </x:c>
      <x:c r="N34" s="184" t="str">
        <x:v>Platform/Core/CxDefinitionConfiguration.cs</x:v>
      </x:c>
      <x:c r="O34" s="183" t="str">
        <x:v>V1.19旧源码类型（真实成员/实现仍待核）
V2.01：来源ID对应；处置=保留源码·公开契约复核
V7.8：V7.8同名且源文件对应；Platform/Core/CxDefinitionConfiguration.cs</x:v>
      </x:c>
      <x:c r="P34" s="136" t="str">
        <x:v>V1.19旧源码类型（真实成员/实现仍待核）</x:v>
      </x:c>
      <x:c r="Q34"/>
      <x:c r="R34"/>
      <x:c r="S34"/>
    </x:row>
    <x:row r="35" ht="72" customHeight="1">
      <x:c r="A35" s="179" t="str">
        <x:v>M16</x:v>
      </x:c>
      <x:c r="B35" s="180" t="str">
        <x:v>表现与编辑｜Drawing / Layer / Geometry
Drawing Layers</x:v>
      </x:c>
      <x:c r="C35" s="180" t="str">
        <x:v>MDLCxViewport</x:v>
      </x:c>
      <x:c r="D35" s="179" t="str">
        <x:v>原有·待核</x:v>
      </x:c>
      <x:c r="E35" s="180" t="str">
        <x:v>负责Viewport相关的视口与公共契约管理</x:v>
      </x:c>
      <x:c r="F35" s="180" t="str">
        <x:v>Scale, Offset, Rotation, Bounds</x:v>
      </x:c>
      <x:c r="G35" s="180" t="str">
        <x:v>WorldToView(Point2D point), ViewToWorld(Point2D point), Zoom(double factor, Point2D anchorInView = null), Pan(double x, double y)</x:v>
      </x:c>
      <x:c r="H35" s="180" t="str">
        <x:v>—（待核）</x:v>
      </x:c>
      <x:c r="I35" s="180" t="str">
        <x:v>CxVisual.Core.CxViewport</x:v>
      </x:c>
      <x:c r="J35" s="179" t="str">
        <x:v>类</x:v>
      </x:c>
      <x:c r="K35" s="180" t="str">
        <x:v>V1.19 C-0703；原实施方式：原有。迁移风险：负责Viewport相关的视口与公共契约管理</x:v>
      </x:c>
      <x:c r="L35" s="183" t="str">
        <x:v>源代码声明·待复核</x:v>
      </x:c>
      <x:c r="M35" s="183" t="str">
        <x:v>C-0703</x:v>
      </x:c>
      <x:c r="N35" s="184" t="str">
        <x:v>Platform/Core/CxGeometry.cs</x:v>
      </x:c>
      <x:c r="O35" s="183" t="str">
        <x:v>V1.19旧源码类型（真实成员/实现仍待核）
V2.01：来源ID对应；处置=保留源码·公开契约复核
V7.8：V7.8同名且源文件对应；Platform/Core/CxGeometry.cs</x:v>
      </x:c>
      <x:c r="P35" s="136" t="str">
        <x:v>V1.19旧源码类型（真实成员/实现仍待核）</x:v>
      </x:c>
      <x:c r="Q35"/>
      <x:c r="R35"/>
      <x:c r="S35"/>
    </x:row>
    <x:row r="36" ht="72" customHeight="1">
      <x:c r="A36" s="179" t="str">
        <x:v>M16</x:v>
      </x:c>
      <x:c r="B36" s="180" t="str">
        <x:v>表现与编辑｜Drawing / Layer / Geometry
Drawing Layers</x:v>
      </x:c>
      <x:c r="C36" s="180" t="str">
        <x:v>MDLCxVisualCoordinates</x:v>
      </x:c>
      <x:c r="D36" s="179" t="str">
        <x:v>原有·待核</x:v>
      </x:c>
      <x:c r="E36" s="180" t="str">
        <x:v>转换元素局部坐标与画布/世界坐标</x:v>
      </x:c>
      <x:c r="F36" s="180" t="str">
        <x:v>—（无公开声明或待核对）</x:v>
      </x:c>
      <x:c r="G36" s="180" t="str">
        <x:v>ElementToWorld(ElementModel element)</x:v>
      </x:c>
      <x:c r="H36" s="180" t="str">
        <x:v>—（待核）</x:v>
      </x:c>
      <x:c r="I36" s="180" t="str">
        <x:v>CxVisual.Core.CxVisualCoordinates</x:v>
      </x:c>
      <x:c r="J36" s="179" t="str">
        <x:v>静态类</x:v>
      </x:c>
      <x:c r="K36" s="180" t="str">
        <x:v>V1.19 C-0704；原实施方式：原有。迁移风险：转换元素局部坐标与画布/世界坐标</x:v>
      </x:c>
      <x:c r="L36" s="183" t="str">
        <x:v>源代码声明·待复核</x:v>
      </x:c>
      <x:c r="M36" s="183" t="str">
        <x:v>C-0704</x:v>
      </x:c>
      <x:c r="N36" s="184" t="str">
        <x:v>Platform/Core/CxGeometry.cs</x:v>
      </x:c>
      <x:c r="O36" s="183" t="str">
        <x:v>V1.19旧源码类型（真实成员/实现仍待核）
V2.01：来源ID对应；处置=保留源码·公开契约复核
V7.8：V7.8同名且源文件对应；Platform/Core/CxGeometry.cs</x:v>
      </x:c>
      <x:c r="P36" s="136" t="str">
        <x:v>V1.19旧源码类型（真实成员/实现仍待核）</x:v>
      </x:c>
      <x:c r="Q36"/>
      <x:c r="R36"/>
      <x:c r="S36"/>
    </x:row>
    <x:row r="37" ht="72" customHeight="1">
      <x:c r="A37" s="179" t="str">
        <x:v>M16</x:v>
      </x:c>
      <x:c r="B37" s="180" t="str">
        <x:v>表现与编辑｜Drawing / Layer / Geometry
Drawing Layers</x:v>
      </x:c>
      <x:c r="C37" s="180" t="str">
        <x:v>MDLDelegateElementRenderer&lt;TElement&gt;</x:v>
      </x:c>
      <x:c r="D37" s="179" t="str">
        <x:v>原有·待核</x:v>
      </x:c>
      <x:c r="E37" s="180" t="str">
        <x:v>表达或管理Delegate元素RendererT元素相关的数据及协作职责，具体行为待源码复核〔待核〕</x:v>
      </x:c>
      <x:c r="F37" s="180" t="str">
        <x:v>—（无公开声明或待核对）</x:v>
      </x:c>
      <x:c r="G37" s="180" t="str">
        <x:v>DelegateElementRenderer(Action&lt;ElementRenderContext, TElement&gt; render), Render(ElementRenderContext context, ElementModel element)</x:v>
      </x:c>
      <x:c r="H37" s="180" t="str">
        <x:v>—（待核）</x:v>
      </x:c>
      <x:c r="I37" s="180" t="str">
        <x:v>CxVisual.Rendering.Wpf.DelegateElementRenderer&lt;TElement&gt;</x:v>
      </x:c>
      <x:c r="J37" s="179" t="str">
        <x:v>类</x:v>
      </x:c>
      <x:c r="K37" s="180" t="str">
        <x:v>V1.19 C-0761；原实施方式：原有。迁移风险：表达或管理Delegate元素RendererT元素相关的数据及协作职责，具体行为待源码复核〔待核〕</x:v>
      </x:c>
      <x:c r="L37" s="183" t="str">
        <x:v>源代码声明·待复核</x:v>
      </x:c>
      <x:c r="M37" s="183" t="str">
        <x:v>C-0761</x:v>
      </x:c>
      <x:c r="N37" s="184" t="str">
        <x:v>D:\cyg\cx-visual-x2\Platform.Presentation.Wpf\Rendering\ElementRendererRegistry.cs:664</x:v>
      </x:c>
      <x:c r="O37" s="183" t="str">
        <x:v>V1.19旧源码类型（真实成员/实现仍待核）
V2.01：来源ID对应；处置=保留源码·公开契约复核
V7.8：V7.8未检出同名词法声明
归属优先核查：WPF通用呈现迁入M_PresentationWpf；仅Studio专用窗口留Studio；具体UI类型不应归Core/无UI Visual</x:v>
      </x:c>
      <x:c r="P37" s="136" t="str">
        <x:v>V1.19旧源码类型（真实成员/实现仍待核）</x:v>
      </x:c>
      <x:c r="Q37"/>
      <x:c r="R37"/>
      <x:c r="S37"/>
    </x:row>
    <x:row r="38" ht="72" customHeight="1">
      <x:c r="A38" s="179" t="str">
        <x:v>M16</x:v>
      </x:c>
      <x:c r="B38" s="180" t="str">
        <x:v>表现与编辑｜Drawing / Layer / Geometry
Drawing Layers</x:v>
      </x:c>
      <x:c r="C38" s="180" t="str">
        <x:v>MDLDesignerCanvas</x:v>
      </x:c>
      <x:c r="D38" s="179" t="str">
        <x:v>原有·待核</x:v>
      </x:c>
      <x:c r="E38" s="180" t="str">
        <x:v>表达或管理Designer画布相关的数据及协作职责，具体行为待源码复核〔待核〕</x:v>
      </x:c>
      <x:c r="F38" s="180" t="str">
        <x:v>Document</x:v>
      </x:c>
      <x:c r="G38" s="180" t="str">
        <x:v>Register(nameof(Document); DesignerCanvas(); DrawDesignerOverlay(DrawingContext context); FitPageToViewport(); FocusSelection(); FocusElement(string elementId)</x:v>
      </x:c>
      <x:c r="H38" s="180" t="str">
        <x:v>—（待核）</x:v>
      </x:c>
      <x:c r="I38" s="180" t="str">
        <x:v>CxVisual.Designer.Wpf.DesignerCanvas</x:v>
      </x:c>
      <x:c r="J38" s="179" t="str">
        <x:v>类</x:v>
      </x:c>
      <x:c r="K38" s="180" t="str">
        <x:v>V1.19 C-0746；原实施方式：原有。迁移风险：表达或管理Designer画布相关的数据及协作职责，具体行为待源码复核〔待核〕</x:v>
      </x:c>
      <x:c r="L38" s="183" t="str">
        <x:v>源代码声明·待复核</x:v>
      </x:c>
      <x:c r="M38" s="183" t="str">
        <x:v>C-0746</x:v>
      </x:c>
      <x:c r="N38" s="184" t="str">
        <x:v>Host/Studio/Wpf/DesignerCanvas.cs</x:v>
      </x:c>
      <x:c r="O38" s="183" t="str">
        <x:v>V1.19旧源码类型（真实成员/实现仍待核）
V2.01：来源ID对应；处置=保留源码·公开契约复核
V7.8：V7.8同名且源文件对应；Host/Studio/Wpf/DesignerCanvas.cs</x:v>
      </x:c>
      <x:c r="P38" s="136" t="str">
        <x:v>V1.19旧源码类型（真实成员/实现仍待核）</x:v>
      </x:c>
      <x:c r="Q38"/>
      <x:c r="R38"/>
      <x:c r="S38"/>
    </x:row>
    <x:row r="39" ht="72" customHeight="1">
      <x:c r="A39" s="179" t="str">
        <x:v>M16</x:v>
      </x:c>
      <x:c r="B39" s="180" t="str">
        <x:v>表现与编辑｜Drawing / Layer / Geometry
Drawing Layers</x:v>
      </x:c>
      <x:c r="C39" s="180" t="str">
        <x:v>MDLDockPane</x:v>
      </x:c>
      <x:c r="D39" s="179" t="str">
        <x:v>原有·待核</x:v>
      </x:c>
      <x:c r="E39" s="180" t="str">
        <x:v>表达或管理DockPane相关的数据及协作职责，具体行为待源码复核〔待核〕</x:v>
      </x:c>
      <x:c r="F39" s="180" t="str">
        <x:v>Title, PaneContent, IsCollapsed</x:v>
      </x:c>
      <x:c r="G39" s="180" t="str">
        <x:v>Register(nameof(Title); Register(nameof(PaneContent); Register(nameof(IsCollapsed); DockPane()</x:v>
      </x:c>
      <x:c r="H39" s="180" t="str">
        <x:v>—（待核）</x:v>
      </x:c>
      <x:c r="I39" s="180" t="str">
        <x:v>CxVisual.Designer.Wpf.DockPane</x:v>
      </x:c>
      <x:c r="J39" s="179" t="str">
        <x:v>类</x:v>
      </x:c>
      <x:c r="K39" s="180" t="str">
        <x:v>V1.19 C-0747；原实施方式：原有。迁移风险：表达或管理DockPane相关的数据及协作职责，具体行为待源码复核〔待核〕</x:v>
      </x:c>
      <x:c r="L39" s="183" t="str">
        <x:v>源代码声明·待复核</x:v>
      </x:c>
      <x:c r="M39" s="183" t="str">
        <x:v>C-0747</x:v>
      </x:c>
      <x:c r="N39" s="184" t="str">
        <x:v>Platform.Presentation.Wpf/Workspace/DockPane.xaml.cs</x:v>
      </x:c>
      <x:c r="O39" s="183" t="str">
        <x:v>V1.19旧源码类型（真实成员/实现仍待核）
V2.01：来源ID对应；处置=保留源码·公开契约复核
V7.8：V7.8同名且源文件对应；Platform.Presentation.Wpf/Workspace/DockPane.xaml.cs
归属优先核查：WPF通用呈现迁入M_PresentationWpf；仅Studio专用窗口留Studio；具体UI类型不应归Core/无UI Visual</x:v>
      </x:c>
      <x:c r="P39" s="136" t="str">
        <x:v>V1.19旧源码类型（真实成员/实现仍待核）</x:v>
      </x:c>
      <x:c r="Q39"/>
      <x:c r="R39"/>
      <x:c r="S39"/>
    </x:row>
    <x:row r="40" ht="72" customHeight="1">
      <x:c r="A40" s="179" t="str">
        <x:v>M16</x:v>
      </x:c>
      <x:c r="B40" s="180" t="str">
        <x:v>表现与编辑｜Drawing / Layer / Geometry
Drawing Layers</x:v>
      </x:c>
      <x:c r="C40" s="180" t="str">
        <x:v>MDLDragCreateTool</x:v>
      </x:c>
      <x:c r="D40" s="179" t="str">
        <x:v>原有·待核</x:v>
      </x:c>
      <x:c r="E40" s="180" t="str">
        <x:v>表达或管理DragCreateTool相关的数据及协作职责，具体行为待源码复核〔待核〕</x:v>
      </x:c>
      <x:c r="F40" s="180" t="str">
        <x:v>ToolId, Preview</x:v>
      </x:c>
      <x:c r="G40" s="180" t="str">
        <x:v>DragCreateTool(string toolId, string typeId, ToolPreviewKind previewKind, Action&lt;ElementModel&gt; initializer = null, bool co…), PointerDown(EditorPointerEvent pointerEvent), PointerMove(EditorPointerEvent pointerEvent), PointerUp(EditorPointerEvent pointerEvent), Cancel(), ActiveLayerId(PageModel page)</x:v>
      </x:c>
      <x:c r="H40" s="180" t="str">
        <x:v>—（待核）</x:v>
      </x:c>
      <x:c r="I40" s="180" t="str">
        <x:v>CxVisual.Designer.Application.DragCreateTool</x:v>
      </x:c>
      <x:c r="J40" s="179" t="str">
        <x:v>类</x:v>
      </x:c>
      <x:c r="K40" s="180" t="str">
        <x:v>V1.19 C-0724；原实施方式：原有。迁移风险：表达或管理DragCreateTool相关的数据及协作职责，具体行为待源码复核〔待核〕</x:v>
      </x:c>
      <x:c r="L40" s="183" t="str">
        <x:v>源代码声明·待复核</x:v>
      </x:c>
      <x:c r="M40" s="183" t="str">
        <x:v>C-0724</x:v>
      </x:c>
      <x:c r="N40" s="184" t="str">
        <x:v>Host/Studio/Application/EditorTools.cs</x:v>
      </x:c>
      <x:c r="O40" s="183" t="str">
        <x:v>V1.19旧源码类型（真实成员/实现仍待核）
V2.01：来源ID对应；处置=保留源码·公开契约复核
V7.8：V7.8同名且源文件对应；Host/Studio/Application/EditorTools.cs</x:v>
      </x:c>
      <x:c r="P40" s="136" t="str">
        <x:v>V1.19旧源码类型（真实成员/实现仍待核）</x:v>
      </x:c>
      <x:c r="Q40"/>
      <x:c r="R40"/>
      <x:c r="S40"/>
    </x:row>
    <x:row r="41" ht="72" customHeight="1">
      <x:c r="A41" s="179" t="str">
        <x:v>M16</x:v>
      </x:c>
      <x:c r="B41" s="180" t="str">
        <x:v>表现与编辑｜Drawing / Layer / Geometry
Drawing Layers</x:v>
      </x:c>
      <x:c r="C41" s="180" t="str">
        <x:v>MDLDragItem</x:v>
      </x:c>
      <x:c r="D41" s="179" t="str">
        <x:v>原有·待核</x:v>
      </x:c>
      <x:c r="E41" s="180" t="str">
        <x:v>表达或管理DragItem相关的数据及协作职责，具体行为待源码复核〔待核〕</x:v>
      </x:c>
      <x:c r="F41" s="180" t="str">
        <x:v>—（无公开声明或待核对）</x:v>
      </x:c>
      <x:c r="G41" s="180" t="str">
        <x:v>—(无公开声明或待核对)</x:v>
      </x:c>
      <x:c r="H41" s="180" t="str">
        <x:v>—（待核）</x:v>
      </x:c>
      <x:c r="I41" s="180" t="str">
        <x:v>CxVisual.Core.CxSelectionAdorner.DragItem</x:v>
      </x:c>
      <x:c r="J41" s="179" t="str">
        <x:v>类</x:v>
      </x:c>
      <x:c r="K41" s="180" t="str">
        <x:v>V1.19 C-0696；原实施方式：原有。迁移风险：表达或管理DragItem相关的数据及协作职责，具体行为待源码复核〔待核〕</x:v>
      </x:c>
      <x:c r="L41" s="183" t="str">
        <x:v>源代码声明·待复核</x:v>
      </x:c>
      <x:c r="M41" s="183" t="str">
        <x:v>C-0696</x:v>
      </x:c>
      <x:c r="N41" s="184" t="str">
        <x:v>Platform/Workbench/Drawing/CxSelectionAdorner.cs</x:v>
      </x:c>
      <x:c r="O41" s="183" t="str">
        <x:v>V1.19旧源码类型（真实成员/实现仍待核）
V2.01：来源ID对应；处置=保留源码·公开契约复核
V7.8：V7.8同名且源文件对应；Platform/Workbench/Drawing/CxSelectionAdorner.cs</x:v>
      </x:c>
      <x:c r="P41" s="136" t="str">
        <x:v>V1.19旧源码类型（真实成员/实现仍待核）</x:v>
      </x:c>
      <x:c r="Q41"/>
      <x:c r="R41"/>
      <x:c r="S41"/>
    </x:row>
    <x:row r="42" ht="72" customHeight="1">
      <x:c r="A42" s="179" t="str">
        <x:v>M16</x:v>
      </x:c>
      <x:c r="B42" s="180" t="str">
        <x:v>表现与编辑｜Drawing / Layer / Geometry
Drawing Layers</x:v>
      </x:c>
      <x:c r="C42" s="180" t="str">
        <x:v>MDLDrawingAdornerDescriptor</x:v>
      </x:c>
      <x:c r="D42" s="179" t="str">
        <x:v>原有·待核</x:v>
      </x:c>
      <x:c r="E42" s="180" t="str">
        <x:v>描述DrawingAdorner描述符的类型、能力、元数据及可查询信息</x:v>
      </x:c>
      <x:c r="F42" s="180" t="str">
        <x:v>TargetId, Kind, Bounds, IsInteractive</x:v>
      </x:c>
      <x:c r="G42" s="180" t="str">
        <x:v>—(无公开声明或待核对)</x:v>
      </x:c>
      <x:c r="H42" s="180" t="str">
        <x:v>—（待核）</x:v>
      </x:c>
      <x:c r="I42" s="180" t="str">
        <x:v>CxVisual.Platform.Presentation.Wpf.Drawing.DrawingAdornerDescriptor</x:v>
      </x:c>
      <x:c r="J42" s="179" t="str">
        <x:v>类</x:v>
      </x:c>
      <x:c r="K42" s="180" t="str">
        <x:v>V1.19 C-0748；原实施方式：原有。迁移风险：描述DrawingAdorner描述符的类型、能力、元数据及可查询信息</x:v>
      </x:c>
      <x:c r="L42" s="183" t="str">
        <x:v>源代码声明·待复核</x:v>
      </x:c>
      <x:c r="M42" s="183" t="str">
        <x:v>C-0748</x:v>
      </x:c>
      <x:c r="N42" s="184" t="str">
        <x:v>Platform.Presentation.Wpf/Drawing/DrawingFoundation.cs</x:v>
      </x:c>
      <x:c r="O42"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2" s="136" t="str">
        <x:v>V1.19旧源码类型（真实成员/实现仍待核）</x:v>
      </x:c>
      <x:c r="Q42"/>
      <x:c r="R42"/>
      <x:c r="S42"/>
    </x:row>
    <x:row r="43" ht="72" customHeight="1">
      <x:c r="A43" s="179" t="str">
        <x:v>M16</x:v>
      </x:c>
      <x:c r="B43" s="180" t="str">
        <x:v>表现与编辑｜Drawing / Layer / Geometry
Drawing Layers</x:v>
      </x:c>
      <x:c r="C43" s="180" t="str">
        <x:v>MDLDrawingHitResult&lt;T&gt;</x:v>
      </x:c>
      <x:c r="D43" s="179" t="str">
        <x:v>原有·待核</x:v>
      </x:c>
      <x:c r="E43" s="180" t="str">
        <x:v>表达或管理DrawingHit结果T相关的数据及协作职责，具体行为待源码复核〔待核〕</x:v>
      </x:c>
      <x:c r="F43" s="180" t="str">
        <x:v>Item, Position, Distance, Part</x:v>
      </x:c>
      <x:c r="G43" s="180" t="str">
        <x:v>—(无公开声明或待核对)</x:v>
      </x:c>
      <x:c r="H43" s="180" t="str">
        <x:v>—（待核）</x:v>
      </x:c>
      <x:c r="I43" s="180" t="str">
        <x:v>CxVisual.Platform.Presentation.Wpf.Drawing.DrawingHitResult&lt;T&gt;</x:v>
      </x:c>
      <x:c r="J43" s="179" t="str">
        <x:v>类</x:v>
      </x:c>
      <x:c r="K43" s="180" t="str">
        <x:v>V1.19 C-0749；原实施方式：原有。迁移风险：表达或管理DrawingHit结果T相关的数据及协作职责，具体行为待源码复核〔待核〕</x:v>
      </x:c>
      <x:c r="L43" s="183" t="str">
        <x:v>源代码声明·待复核</x:v>
      </x:c>
      <x:c r="M43" s="183" t="str">
        <x:v>C-0749</x:v>
      </x:c>
      <x:c r="N43" s="184" t="str">
        <x:v>D:\cyg\cx-visual-x2\Platform.Presentation.Wpf\Drawing\DrawingFoundation.cs:55</x:v>
      </x:c>
      <x:c r="O43"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3" s="136" t="str">
        <x:v>V1.19旧源码类型（真实成员/实现仍待核）</x:v>
      </x:c>
      <x:c r="Q43"/>
      <x:c r="R43"/>
      <x:c r="S43"/>
    </x:row>
    <x:row r="44" ht="72" customHeight="1">
      <x:c r="A44" s="179" t="str">
        <x:v>M16</x:v>
      </x:c>
      <x:c r="B44" s="180" t="str">
        <x:v>表现与编辑｜Drawing / Layer / Geometry
Drawing Layers</x:v>
      </x:c>
      <x:c r="C44" s="180" t="str">
        <x:v>MDLDrawingSelection</x:v>
      </x:c>
      <x:c r="D44" s="179" t="str">
        <x:v>原有·待核</x:v>
      </x:c>
      <x:c r="E44" s="180" t="str">
        <x:v>表达或管理Drawing选中相关的数据及协作职责，具体行为待源码复核〔待核〕</x:v>
      </x:c>
      <x:c r="F44" s="180" t="str">
        <x:v>Changed, PrimaryId</x:v>
      </x:c>
      <x:c r="G44" s="180" t="str">
        <x:v>AsReadOnly(), Set(IEnumerable&lt;string&gt; ids, string primaryId = null), Clear()</x:v>
      </x:c>
      <x:c r="H44" s="180" t="str">
        <x:v>—（待核）</x:v>
      </x:c>
      <x:c r="I44" s="180" t="str">
        <x:v>CxVisual.Platform.Presentation.Wpf.Drawing.DrawingSelection</x:v>
      </x:c>
      <x:c r="J44" s="179" t="str">
        <x:v>类</x:v>
      </x:c>
      <x:c r="K44" s="180" t="str">
        <x:v>V1.19 C-0750；原实施方式：原有。迁移风险：表达或管理Drawing选中相关的数据及协作职责，具体行为待源码复核〔待核〕</x:v>
      </x:c>
      <x:c r="L44" s="183" t="str">
        <x:v>源代码声明·待复核</x:v>
      </x:c>
      <x:c r="M44" s="183" t="str">
        <x:v>C-0750</x:v>
      </x:c>
      <x:c r="N44" s="184" t="str">
        <x:v>Platform.Presentation.Wpf/Drawing/DrawingFoundation.cs</x:v>
      </x:c>
      <x:c r="O44"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4" s="136" t="str">
        <x:v>V1.19旧源码类型（真实成员/实现仍待核）</x:v>
      </x:c>
      <x:c r="Q44"/>
      <x:c r="R44"/>
      <x:c r="S44"/>
    </x:row>
    <x:row r="45" ht="72" customHeight="1">
      <x:c r="A45" s="179" t="str">
        <x:v>M16</x:v>
      </x:c>
      <x:c r="B45" s="180" t="str">
        <x:v>表现与编辑｜Drawing / Layer / Geometry
Drawing Layers</x:v>
      </x:c>
      <x:c r="C45" s="180" t="str">
        <x:v>MDLDrawingSnapPolicy</x:v>
      </x:c>
      <x:c r="D45" s="179" t="str">
        <x:v>原有·待核</x:v>
      </x:c>
      <x:c r="E45" s="180" t="str">
        <x:v>表达或管理DrawingSnap策略相关的数据及协作职责，具体行为待源码复核〔待核〕</x:v>
      </x:c>
      <x:c r="F45" s="180" t="str">
        <x:v>Enabled, GridSize, Tolerance</x:v>
      </x:c>
      <x:c r="G45" s="180" t="str">
        <x:v>—(无公开声明或待核对)</x:v>
      </x:c>
      <x:c r="H45" s="180" t="str">
        <x:v>—（待核）</x:v>
      </x:c>
      <x:c r="I45" s="180" t="str">
        <x:v>CxVisual.Platform.Presentation.Wpf.Drawing.DrawingSnapPolicy</x:v>
      </x:c>
      <x:c r="J45" s="179" t="str">
        <x:v>类</x:v>
      </x:c>
      <x:c r="K45" s="180" t="str">
        <x:v>V1.19 C-0751；原实施方式：原有。迁移风险：表达或管理DrawingSnap策略相关的数据及协作职责，具体行为待源码复核〔待核〕</x:v>
      </x:c>
      <x:c r="L45" s="183" t="str">
        <x:v>源代码声明·待复核</x:v>
      </x:c>
      <x:c r="M45" s="183" t="str">
        <x:v>C-0751</x:v>
      </x:c>
      <x:c r="N45" s="184" t="str">
        <x:v>Platform.Presentation.Wpf/Drawing/DrawingFoundation.cs</x:v>
      </x:c>
      <x:c r="O45"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5" s="136" t="str">
        <x:v>V1.19旧源码类型（真实成员/实现仍待核）</x:v>
      </x:c>
      <x:c r="Q45"/>
      <x:c r="R45"/>
      <x:c r="S45"/>
    </x:row>
    <x:row r="46" ht="72" customHeight="1">
      <x:c r="A46" s="179" t="str">
        <x:v>M16</x:v>
      </x:c>
      <x:c r="B46" s="180" t="str">
        <x:v>表现与编辑｜Drawing / Layer / Geometry
Drawing Layers</x:v>
      </x:c>
      <x:c r="C46" s="180" t="str">
        <x:v>MDLDrawingSnapResult</x:v>
      </x:c>
      <x:c r="D46" s="179" t="str">
        <x:v>原有·待核</x:v>
      </x:c>
      <x:c r="E46" s="180" t="str">
        <x:v>承载DrawingSnap结果操作结果、返回值、状态及错误说明</x:v>
      </x:c>
      <x:c r="F46" s="180" t="str">
        <x:v>Original, Snapped, SnappedX, SnappedY</x:v>
      </x:c>
      <x:c r="G46" s="180" t="str">
        <x:v>—(无公开声明或待核对)</x:v>
      </x:c>
      <x:c r="H46" s="180" t="str">
        <x:v>—（待核）</x:v>
      </x:c>
      <x:c r="I46" s="180" t="str">
        <x:v>CxVisual.Platform.Presentation.Wpf.Drawing.DrawingSnapResult</x:v>
      </x:c>
      <x:c r="J46" s="179" t="str">
        <x:v>类</x:v>
      </x:c>
      <x:c r="K46" s="180" t="str">
        <x:v>V1.19 C-0752；原实施方式：原有。迁移风险：承载DrawingSnap结果操作结果、返回值、状态及错误说明</x:v>
      </x:c>
      <x:c r="L46" s="183" t="str">
        <x:v>源代码声明·待复核</x:v>
      </x:c>
      <x:c r="M46" s="183" t="str">
        <x:v>C-0752</x:v>
      </x:c>
      <x:c r="N46" s="184" t="str">
        <x:v>Platform.Presentation.Wpf/Drawing/DrawingFoundation.cs</x:v>
      </x:c>
      <x:c r="O46"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6" s="136" t="str">
        <x:v>V1.19旧源码类型（真实成员/实现仍待核）</x:v>
      </x:c>
      <x:c r="Q46"/>
      <x:c r="R46"/>
      <x:c r="S46"/>
    </x:row>
    <x:row r="47" ht="72" customHeight="1">
      <x:c r="A47" s="179" t="str">
        <x:v>M16</x:v>
      </x:c>
      <x:c r="B47" s="180" t="str">
        <x:v>表现与编辑｜Drawing / Layer / Geometry
Drawing Layers</x:v>
      </x:c>
      <x:c r="C47" s="180" t="str">
        <x:v>MDLDrawingSnapService</x:v>
      </x:c>
      <x:c r="D47" s="179" t="str">
        <x:v>原有·待核</x:v>
      </x:c>
      <x:c r="E47" s="180" t="str">
        <x:v>封装DrawingSnap服务通用服务操作及其生命周期边界</x:v>
      </x:c>
      <x:c r="F47" s="180" t="str">
        <x:v>—（无公开声明或待核对）</x:v>
      </x:c>
      <x:c r="G47" s="180" t="str">
        <x:v>SnapToGrid(Point2D point, DrawingSnapPolicy policy)</x:v>
      </x:c>
      <x:c r="H47" s="180" t="str">
        <x:v>—（待核）</x:v>
      </x:c>
      <x:c r="I47" s="180" t="str">
        <x:v>CxVisual.Platform.Presentation.Wpf.Drawing.DrawingSnapService</x:v>
      </x:c>
      <x:c r="J47" s="179" t="str">
        <x:v>类</x:v>
      </x:c>
      <x:c r="K47" s="180" t="str">
        <x:v>V1.19 C-0753；原实施方式：原有。迁移风险：封装DrawingSnap服务通用服务操作及其生命周期边界</x:v>
      </x:c>
      <x:c r="L47" s="183" t="str">
        <x:v>源代码声明·待复核</x:v>
      </x:c>
      <x:c r="M47" s="183" t="str">
        <x:v>C-0753</x:v>
      </x:c>
      <x:c r="N47" s="184" t="str">
        <x:v>Platform.Presentation.Wpf/Drawing/DrawingFoundation.cs</x:v>
      </x:c>
      <x:c r="O47"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7" s="136" t="str">
        <x:v>V1.19旧源码类型（真实成员/实现仍待核）</x:v>
      </x:c>
      <x:c r="Q47"/>
      <x:c r="R47"/>
      <x:c r="S47"/>
    </x:row>
    <x:row r="48" ht="72" customHeight="1">
      <x:c r="A48" s="179" t="str">
        <x:v>M16</x:v>
      </x:c>
      <x:c r="B48" s="180" t="str">
        <x:v>表现与编辑｜Drawing / Layer / Geometry
Drawing Layers</x:v>
      </x:c>
      <x:c r="C48" s="180" t="str">
        <x:v>MDLDrawingTransform</x:v>
      </x:c>
      <x:c r="D48" s="179" t="str">
        <x:v>原有·待核</x:v>
      </x:c>
      <x:c r="E48" s="180" t="str">
        <x:v>表达或管理Drawing变换相关的数据及协作职责，具体行为待源码复核〔待核〕</x:v>
      </x:c>
      <x:c r="F48" s="180" t="str">
        <x:v>TranslateX, TranslateY, ScaleX, ScaleY, Rotation</x:v>
      </x:c>
      <x:c r="G48" s="180" t="str">
        <x:v>ToWpfTransform(Point center)</x:v>
      </x:c>
      <x:c r="H48" s="180" t="str">
        <x:v>—（待核）</x:v>
      </x:c>
      <x:c r="I48" s="180" t="str">
        <x:v>CxVisual.Platform.Presentation.Wpf.Drawing.DrawingTransform</x:v>
      </x:c>
      <x:c r="J48" s="179" t="str">
        <x:v>类</x:v>
      </x:c>
      <x:c r="K48" s="180" t="str">
        <x:v>V1.19 C-0754；原实施方式：原有。迁移风险：表达或管理Drawing变换相关的数据及协作职责，具体行为待源码复核〔待核〕</x:v>
      </x:c>
      <x:c r="L48" s="183" t="str">
        <x:v>源代码声明·待复核</x:v>
      </x:c>
      <x:c r="M48" s="183" t="str">
        <x:v>C-0754</x:v>
      </x:c>
      <x:c r="N48" s="184" t="str">
        <x:v>Platform.Presentation.Wpf/Drawing/DrawingFoundation.cs</x:v>
      </x:c>
      <x:c r="O48"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8" s="136" t="str">
        <x:v>V1.19旧源码类型（真实成员/实现仍待核）</x:v>
      </x:c>
      <x:c r="Q48"/>
      <x:c r="R48"/>
      <x:c r="S48"/>
    </x:row>
    <x:row r="49" ht="72" customHeight="1">
      <x:c r="A49" s="179" t="str">
        <x:v>M16</x:v>
      </x:c>
      <x:c r="B49" s="180" t="str">
        <x:v>表现与编辑｜Drawing / Layer / Geometry
Drawing Layers</x:v>
      </x:c>
      <x:c r="C49" s="180" t="str">
        <x:v>MDLDrawingViewport</x:v>
      </x:c>
      <x:c r="D49" s="179" t="str">
        <x:v>原有·待核</x:v>
      </x:c>
      <x:c r="E49" s="180" t="str">
        <x:v>表达或管理DrawingViewport相关的数据及协作职责，具体行为待源码复核〔待核〕</x:v>
      </x:c>
      <x:c r="F49" s="180" t="str">
        <x:v>Zoom, PanX, PanY, Padding</x:v>
      </x:c>
      <x:c r="G49" s="180" t="str">
        <x:v>ScreenToModel(Point point), ModelToScreen(Point2D point)</x:v>
      </x:c>
      <x:c r="H49" s="180" t="str">
        <x:v>—（待核）</x:v>
      </x:c>
      <x:c r="I49" s="180" t="str">
        <x:v>CxVisual.Platform.Presentation.Wpf.Drawing.DrawingViewport</x:v>
      </x:c>
      <x:c r="J49" s="179" t="str">
        <x:v>类</x:v>
      </x:c>
      <x:c r="K49" s="180" t="str">
        <x:v>V1.19 C-0755；原实施方式：原有。迁移风险：表达或管理DrawingViewport相关的数据及协作职责，具体行为待源码复核〔待核〕</x:v>
      </x:c>
      <x:c r="L49" s="183" t="str">
        <x:v>源代码声明·待复核</x:v>
      </x:c>
      <x:c r="M49" s="183" t="str">
        <x:v>C-0755</x:v>
      </x:c>
      <x:c r="N49" s="184" t="str">
        <x:v>Platform.Presentation.Wpf/Drawing/DrawingFoundation.cs</x:v>
      </x:c>
      <x:c r="O49" s="183" t="str">
        <x:v>V1.19旧源码类型（真实成员/实现仍待核）
V2.01：来源ID对应；处置=保留源码·公开契约复核
V7.8：V7.8同名且源文件对应；Platform.Presentation.Wpf/Drawing/DrawingFoundation.cs
归属优先核查：WPF通用呈现迁入M_PresentationWpf；仅Studio专用窗口留Studio；具体UI类型不应归Core/无UI Visual</x:v>
      </x:c>
      <x:c r="P49" s="136" t="str">
        <x:v>V1.19旧源码类型（真实成员/实现仍待核）</x:v>
      </x:c>
      <x:c r="Q49"/>
      <x:c r="R49"/>
      <x:c r="S49"/>
    </x:row>
    <x:row r="50" ht="72" customHeight="1">
      <x:c r="A50" s="179" t="str">
        <x:v>M16</x:v>
      </x:c>
      <x:c r="B50" s="180" t="str">
        <x:v>表现与编辑｜Drawing / Layer / Geometry
Drawing Layers</x:v>
      </x:c>
      <x:c r="C50" s="180" t="str">
        <x:v>MDLEditorHandleKind</x:v>
      </x:c>
      <x:c r="D50" s="179" t="str">
        <x:v>原有·待核</x:v>
      </x:c>
      <x:c r="E50" s="180" t="str">
        <x:v>定义编辑器HandleKind的候选取值、状态或模式，供相关流程作分支判断</x:v>
      </x:c>
      <x:c r="F50" s="180" t="str">
        <x:v>枚举值：None, Move, ResizeNorthWest, ResizeNorth, ResizeNorthEast, ResizeEast, ResizeSouthEast, ResizeSouth, ResizeSouthWest, ResizeWest, Rotate, GeometryNode, PathControlIn, PathControlOut</x:v>
      </x:c>
      <x:c r="G50" s="180" t="str">
        <x:v>—(无公开声明或待核对)</x:v>
      </x:c>
      <x:c r="H50" s="180" t="str">
        <x:v>—（待核）</x:v>
      </x:c>
      <x:c r="I50" s="180" t="str">
        <x:v>CxVisual.Designer.Application.EditorHandleKind</x:v>
      </x:c>
      <x:c r="J50" s="179" t="str">
        <x:v>枚举</x:v>
      </x:c>
      <x:c r="K50" s="180" t="str">
        <x:v>V1.19 C-0725；原实施方式：原有。迁移风险：定义编辑器HandleKind的候选取值、状态或模式，供相关流程作分支判断</x:v>
      </x:c>
      <x:c r="L50" s="183" t="str">
        <x:v>源代码声明·待复核</x:v>
      </x:c>
      <x:c r="M50" s="183" t="str">
        <x:v>C-0725</x:v>
      </x:c>
      <x:c r="N50" s="184" t="str">
        <x:v>Host/Studio/Application/EditorTools.cs</x:v>
      </x:c>
      <x:c r="O50" s="183" t="str">
        <x:v>V1.19旧源码类型（真实成员/实现仍待核）
V2.01：来源ID对应；处置=保留源码·公开契约复核
V7.8：V7.8同名且源文件对应；Host/Studio/Application/EditorTools.cs</x:v>
      </x:c>
      <x:c r="P50" s="136" t="str">
        <x:v>V1.19旧源码类型（真实成员/实现仍待核）</x:v>
      </x:c>
      <x:c r="Q50"/>
      <x:c r="R50"/>
      <x:c r="S50"/>
    </x:row>
    <x:row r="51" ht="72" customHeight="1">
      <x:c r="A51" s="179" t="str">
        <x:v>M16</x:v>
      </x:c>
      <x:c r="B51" s="180" t="str">
        <x:v>表现与编辑｜Drawing / Layer / Geometry
Drawing Layers</x:v>
      </x:c>
      <x:c r="C51" s="180" t="str">
        <x:v>MDLEditorHit</x:v>
      </x:c>
      <x:c r="D51" s="179" t="str">
        <x:v>原有·待核</x:v>
      </x:c>
      <x:c r="E51" s="180" t="str">
        <x:v>表达或管理编辑器Hit相关的数据及协作职责，具体行为待源码复核〔待核〕</x:v>
      </x:c>
      <x:c r="F51" s="180" t="str">
        <x:v>ElementId, Handle, NodeIndex</x:v>
      </x:c>
      <x:c r="G51" s="180" t="str">
        <x:v>—(无公开声明或待核对)</x:v>
      </x:c>
      <x:c r="H51" s="180" t="str">
        <x:v>—（待核）</x:v>
      </x:c>
      <x:c r="I51" s="180" t="str">
        <x:v>CxVisual.Designer.Application.EditorHit</x:v>
      </x:c>
      <x:c r="J51" s="179" t="str">
        <x:v>类</x:v>
      </x:c>
      <x:c r="K51" s="180" t="str">
        <x:v>V1.19 C-0726；原实施方式：原有。迁移风险：表达或管理编辑器Hit相关的数据及协作职责，具体行为待源码复核〔待核〕</x:v>
      </x:c>
      <x:c r="L51" s="183" t="str">
        <x:v>源代码声明·待复核</x:v>
      </x:c>
      <x:c r="M51" s="183" t="str">
        <x:v>C-0726</x:v>
      </x:c>
      <x:c r="N51" s="184" t="str">
        <x:v>Host/Studio/Application/EditorTools.cs</x:v>
      </x:c>
      <x:c r="O51" s="183" t="str">
        <x:v>V1.19旧源码类型（真实成员/实现仍待核）
V2.01：来源ID对应；处置=保留源码·公开契约复核
V7.8：V7.8同名且源文件对应；Host/Studio/Application/EditorTools.cs</x:v>
      </x:c>
      <x:c r="P51" s="136" t="str">
        <x:v>V1.19旧源码类型（真实成员/实现仍待核）</x:v>
      </x:c>
      <x:c r="Q51"/>
      <x:c r="R51"/>
      <x:c r="S51"/>
    </x:row>
    <x:row r="52" ht="72" customHeight="1">
      <x:c r="A52" s="179" t="str">
        <x:v>M16</x:v>
      </x:c>
      <x:c r="B52" s="180" t="str">
        <x:v>表现与编辑｜Drawing / Layer / Geometry
Drawing Layers</x:v>
      </x:c>
      <x:c r="C52" s="180" t="str">
        <x:v>MDLEditorKey</x:v>
      </x:c>
      <x:c r="D52" s="179" t="str">
        <x:v>原有·待核</x:v>
      </x:c>
      <x:c r="E52" s="180" t="str">
        <x:v>定义编辑器Key的候选取值、状态或模式，供相关流程作分支判断</x:v>
      </x:c>
      <x:c r="F52" s="180" t="str">
        <x:v>枚举值：Escape, Enter, Backspace, Delete</x:v>
      </x:c>
      <x:c r="G52" s="180" t="str">
        <x:v>—(无公开声明或待核对)</x:v>
      </x:c>
      <x:c r="H52" s="180" t="str">
        <x:v>—（待核）</x:v>
      </x:c>
      <x:c r="I52" s="180" t="str">
        <x:v>CxVisual.Designer.Application.EditorKey</x:v>
      </x:c>
      <x:c r="J52" s="179" t="str">
        <x:v>枚举</x:v>
      </x:c>
      <x:c r="K52" s="180" t="str">
        <x:v>V1.19 C-0727；原实施方式：原有。迁移风险：定义编辑器Key的候选取值、状态或模式，供相关流程作分支判断</x:v>
      </x:c>
      <x:c r="L52" s="183" t="str">
        <x:v>源代码声明·待复核</x:v>
      </x:c>
      <x:c r="M52" s="183" t="str">
        <x:v>C-0727</x:v>
      </x:c>
      <x:c r="N52" s="184" t="str">
        <x:v>Host/Studio/Application/EditorTools.cs</x:v>
      </x:c>
      <x:c r="O52" s="183" t="str">
        <x:v>V1.19旧源码类型（真实成员/实现仍待核）
V2.01：来源ID对应；处置=保留源码·公开契约复核
V7.8：V7.8同名且源文件对应；Host/Studio/Application/EditorTools.cs</x:v>
      </x:c>
      <x:c r="P52" s="136" t="str">
        <x:v>V1.19旧源码类型（真实成员/实现仍待核）</x:v>
      </x:c>
      <x:c r="Q52"/>
      <x:c r="R52"/>
      <x:c r="S52"/>
    </x:row>
    <x:row r="53" ht="72" customHeight="1">
      <x:c r="A53" s="179" t="str">
        <x:v>M16</x:v>
      </x:c>
      <x:c r="B53" s="180" t="str">
        <x:v>表现与编辑｜Drawing / Layer / Geometry
Drawing Layers</x:v>
      </x:c>
      <x:c r="C53" s="180" t="str">
        <x:v>MDLEditorModifiers</x:v>
      </x:c>
      <x:c r="D53" s="179" t="str">
        <x:v>原有·待核</x:v>
      </x:c>
      <x:c r="E53" s="180" t="str">
        <x:v>定义编辑器Modifiers的候选取值、状态或模式，供相关流程作分支判断</x:v>
      </x:c>
      <x:c r="F53" s="180" t="str">
        <x:v>枚举值：None, Control, Shift, Alt</x:v>
      </x:c>
      <x:c r="G53" s="180" t="str">
        <x:v>—(无公开声明或待核对)</x:v>
      </x:c>
      <x:c r="H53" s="180" t="str">
        <x:v>—（待核）</x:v>
      </x:c>
      <x:c r="I53" s="180" t="str">
        <x:v>CxVisual.Designer.Application.EditorModifiers</x:v>
      </x:c>
      <x:c r="J53" s="179" t="str">
        <x:v>枚举</x:v>
      </x:c>
      <x:c r="K53" s="180" t="str">
        <x:v>V1.19 C-0728；原实施方式：原有。迁移风险：定义编辑器Modifiers的候选取值、状态或模式，供相关流程作分支判断</x:v>
      </x:c>
      <x:c r="L53" s="183" t="str">
        <x:v>源代码声明·待复核</x:v>
      </x:c>
      <x:c r="M53" s="183" t="str">
        <x:v>C-0728</x:v>
      </x:c>
      <x:c r="N53" s="184" t="str">
        <x:v>Host/Studio/Application/EditorTools.cs</x:v>
      </x:c>
      <x:c r="O53" s="183" t="str">
        <x:v>V1.19旧源码类型（真实成员/实现仍待核）
V2.01：来源ID对应；处置=保留源码·公开契约复核
V7.8：V7.8同名且源文件对应；Host/Studio/Application/EditorTools.cs</x:v>
      </x:c>
      <x:c r="P53" s="136" t="str">
        <x:v>V1.19旧源码类型（真实成员/实现仍待核）</x:v>
      </x:c>
      <x:c r="Q53"/>
      <x:c r="R53"/>
      <x:c r="S53"/>
    </x:row>
    <x:row r="54" ht="72" customHeight="1">
      <x:c r="A54" s="179" t="str">
        <x:v>M16</x:v>
      </x:c>
      <x:c r="B54" s="180" t="str">
        <x:v>表现与编辑｜Drawing / Layer / Geometry
Drawing Layers</x:v>
      </x:c>
      <x:c r="C54" s="180" t="str">
        <x:v>MDLEditorPointerEvent</x:v>
      </x:c>
      <x:c r="D54" s="179" t="str">
        <x:v>原有·待核</x:v>
      </x:c>
      <x:c r="E54" s="180" t="str">
        <x:v>描述编辑器Pointer事件发生时的事件类型、来源及相关数据</x:v>
      </x:c>
      <x:c r="F54" s="180" t="str">
        <x:v>ModelPosition, ScreenPosition, Modifiers, Hit, ClickCount, LeftButtonPressed</x:v>
      </x:c>
      <x:c r="G54" s="180" t="str">
        <x:v>—(无公开声明或待核对)</x:v>
      </x:c>
      <x:c r="H54" s="180" t="str">
        <x:v>—（待核）</x:v>
      </x:c>
      <x:c r="I54" s="180" t="str">
        <x:v>CxVisual.Designer.Application.EditorPointerEvent</x:v>
      </x:c>
      <x:c r="J54" s="179" t="str">
        <x:v>类</x:v>
      </x:c>
      <x:c r="K54" s="180" t="str">
        <x:v>V1.19 C-0729；原实施方式：原有。迁移风险：描述编辑器Pointer事件发生时的事件类型、来源及相关数据</x:v>
      </x:c>
      <x:c r="L54" s="183" t="str">
        <x:v>源代码声明·待复核</x:v>
      </x:c>
      <x:c r="M54" s="183" t="str">
        <x:v>C-0729</x:v>
      </x:c>
      <x:c r="N54" s="184" t="str">
        <x:v>Host/Studio/Application/EditorTools.cs</x:v>
      </x:c>
      <x:c r="O54" s="183" t="str">
        <x:v>V1.19旧源码类型（真实成员/实现仍待核）
V2.01：来源ID对应；处置=保留源码·公开契约复核
V7.8：V7.8同名且源文件对应；Host/Studio/Application/EditorTools.cs</x:v>
      </x:c>
      <x:c r="P54" s="136" t="str">
        <x:v>V1.19旧源码类型（真实成员/实现仍待核）</x:v>
      </x:c>
      <x:c r="Q54"/>
      <x:c r="R54"/>
      <x:c r="S54"/>
    </x:row>
    <x:row r="55" ht="72" customHeight="1">
      <x:c r="A55" s="179" t="str">
        <x:v>M16</x:v>
      </x:c>
      <x:c r="B55" s="180" t="str">
        <x:v>表现与编辑｜Drawing / Layer / Geometry
Drawing Layers</x:v>
      </x:c>
      <x:c r="C55" s="180" t="str">
        <x:v>MDLEditorToolBase</x:v>
      </x:c>
      <x:c r="D55" s="179" t="str">
        <x:v>原有·待核</x:v>
      </x:c>
      <x:c r="E55" s="180" t="str">
        <x:v>表达或管理编辑器Tool相关的数据及协作职责，具体行为待源码复核〔待核〕</x:v>
      </x:c>
      <x:c r="F55" s="180" t="str">
        <x:v>Context, ToolId, Preview</x:v>
      </x:c>
      <x:c r="G55" s="180" t="str">
        <x:v>Activate(ToolContext context), Deactivate(), PointerDown(EditorPointerEvent pointerEvent), PointerMove(EditorPointerEvent pointerEvent), PointerUp(EditorPointerEvent pointerEvent), KeyDown(EditorKey key), Cancel()</x:v>
      </x:c>
      <x:c r="H55" s="180" t="str">
        <x:v>—（待核）</x:v>
      </x:c>
      <x:c r="I55" s="180" t="str">
        <x:v>CxVisual.Designer.Application.EditorToolBase</x:v>
      </x:c>
      <x:c r="J55" s="179" t="str">
        <x:v>类</x:v>
      </x:c>
      <x:c r="K55" s="180" t="str">
        <x:v>V1.19 C-0730；原实施方式：原有。迁移风险：表达或管理编辑器Tool相关的数据及协作职责，具体行为待源码复核〔待核〕</x:v>
      </x:c>
      <x:c r="L55" s="183" t="str">
        <x:v>源代码声明·待复核</x:v>
      </x:c>
      <x:c r="M55" s="183" t="str">
        <x:v>C-0730</x:v>
      </x:c>
      <x:c r="N55" s="184" t="str">
        <x:v>Host/Studio/Application/EditorTools.cs</x:v>
      </x:c>
      <x:c r="O55" s="183" t="str">
        <x:v>V1.19旧源码类型（真实成员/实现仍待核）
V2.01：来源ID对应；处置=保留源码·公开契约复核
V7.8：V7.8同名且源文件对应；Host/Studio/Application/EditorTools.cs</x:v>
      </x:c>
      <x:c r="P55" s="136" t="str">
        <x:v>V1.19旧源码类型（真实成员/实现仍待核）</x:v>
      </x:c>
      <x:c r="Q55"/>
      <x:c r="R55"/>
      <x:c r="S55"/>
    </x:row>
    <x:row r="56" ht="72" customHeight="1">
      <x:c r="A56" s="179" t="str">
        <x:v>M16</x:v>
      </x:c>
      <x:c r="B56" s="180" t="str">
        <x:v>表现与编辑｜Drawing / Layer / Geometry
Drawing Layers</x:v>
      </x:c>
      <x:c r="C56" s="180" t="str">
        <x:v>MDLElementDesignRoleIds</x:v>
      </x:c>
      <x:c r="D56" s="179" t="str">
        <x:v>原有·待核</x:v>
      </x:c>
      <x:c r="E56" s="180" t="str">
        <x:v>提供元素DesignRoleIds相关基础操作或类型辅助处理</x:v>
      </x:c>
      <x:c r="F56" s="180" t="str">
        <x:v>Auto, Background, Content, Decorative, SymbolPart, Interaction, Annotation, Ignore</x:v>
      </x:c>
      <x:c r="G56" s="180" t="str">
        <x:v>—(无公开声明或待核对)</x:v>
      </x:c>
      <x:c r="H56" s="180" t="str">
        <x:v>—（待核）</x:v>
      </x:c>
      <x:c r="I56" s="180" t="str">
        <x:v>CxVisual.Core.ElementDesignRoleIds</x:v>
      </x:c>
      <x:c r="J56" s="179" t="str">
        <x:v>静态类</x:v>
      </x:c>
      <x:c r="K56" s="180" t="str">
        <x:v>V1.19 C-0705；原实施方式：原有。迁移风险：提供元素DesignRoleIds相关基础操作或类型辅助处理</x:v>
      </x:c>
      <x:c r="L56" s="183" t="str">
        <x:v>源代码声明·待复核</x:v>
      </x:c>
      <x:c r="M56" s="183" t="str">
        <x:v>C-0705</x:v>
      </x:c>
      <x:c r="N56" s="184" t="str">
        <x:v>Platform/Core/ObjectSemantics.cs</x:v>
      </x:c>
      <x:c r="O56" s="183" t="str">
        <x:v>V1.19旧源码类型（真实成员/实现仍待核）
V2.01：来源ID对应；处置=保留源码·公开契约复核
V7.8：V7.8同名且源文件对应；Platform/Core/ObjectSemantics.cs</x:v>
      </x:c>
      <x:c r="P56" s="136" t="str">
        <x:v>V1.19旧源码类型（真实成员/实现仍待核）</x:v>
      </x:c>
    </x:row>
    <x:row r="57" ht="72" customHeight="1">
      <x:c r="A57" s="179" t="str">
        <x:v>M16</x:v>
      </x:c>
      <x:c r="B57" s="180" t="str">
        <x:v>表现与编辑｜Drawing / Layer / Geometry
Drawing Layers</x:v>
      </x:c>
      <x:c r="C57" s="180" t="str">
        <x:v>MDLElementModel</x:v>
      </x:c>
      <x:c r="D57" s="179" t="str">
        <x:v>原有·待核</x:v>
      </x:c>
      <x:c r="E57" s="180" t="str">
        <x:v>负责元素模型相关的最小原子定义与公共契约管理</x:v>
      </x:c>
      <x:c r="F57" s="180" t="str">
        <x:v>IsEnabled, ExecutionBinding, Bindings, NodeType, Id, TypeId, Name, LayerId, Bounds, Transform, Style, ZIndex, IsVisible, IsLocked, IsSelectable, Semantics, Behavior, Parameters, …（另1项）</x:v>
      </x:c>
      <x:c r="G57" s="180" t="str">
        <x:v>ShouldSerializeIsEnabled(), HitTest(Point2D point, double tolerance = 0), EnumerateOwnedChildrenCore(), CanAcceptChildCore(CxNode child), InsertOwnedChildCore(int index, CxNode child), RemoveOwnedChildCore(CxNode child), ElementModel(), DeepClone(bool preserveId), CopyCommonTo(ElementModel target, bool preserveId)</x:v>
      </x:c>
      <x:c r="H57" s="180" t="str">
        <x:v>—（待核）</x:v>
      </x:c>
      <x:c r="I57" s="180" t="str">
        <x:v>CxVisual.Core.ElementModel</x:v>
      </x:c>
      <x:c r="J57" s="179" t="str">
        <x:v>类</x:v>
      </x:c>
      <x:c r="K57" s="180" t="str">
        <x:v>V1.19 C-0706；原实施方式：原有。迁移风险：负责元素模型相关的最小原子定义与公共契约管理</x:v>
      </x:c>
      <x:c r="L57" s="183" t="str">
        <x:v>源代码声明·待复核</x:v>
      </x:c>
      <x:c r="M57" s="183" t="str">
        <x:v>C-0706</x:v>
      </x:c>
      <x:c r="N57" s="184" t="str">
        <x:v>Platform/Core/Elements.cs; Platform/Core/CxGeometry.cs; Platform/Core/CxNodeOwnership.cs; Platform/Core/CxDefinitionConfiguration.cs</x:v>
      </x:c>
      <x:c r="O57" s="183" t="str">
        <x:v>V1.19旧源码类型（真实成员/实现仍待核）
V2.01：来源ID对应；处置=保留源码·公开契约复核
V7.8：V7.8同名且源文件对应；Platform/Core/Elements.cs</x:v>
      </x:c>
      <x:c r="P57" s="136" t="str">
        <x:v>V1.19旧源码类型（真实成员/实现仍待核）</x:v>
      </x:c>
    </x:row>
    <x:row r="58" ht="135" customHeight="1">
      <x:c r="A58" s="179" t="str">
        <x:v>M16</x:v>
      </x:c>
      <x:c r="B58" s="180" t="str">
        <x:v>表现与编辑｜Drawing / Layer / Geometry
Drawing Layers</x:v>
      </x:c>
      <x:c r="C58" s="180" t="str">
        <x:v>MDLElementRenderContext</x:v>
      </x:c>
      <x:c r="D58" s="179" t="str">
        <x:v>原有·待核</x:v>
      </x:c>
      <x:c r="E58" s="180" t="str">
        <x:v>传递元素Render上下文执行或编辑过程中共享的上下文数据</x:v>
      </x:c>
      <x:c r="F58" s="180" t="str">
        <x:v>DrawingContext, Bounds, Fill, Stroke, Pen, PixelsPerDip, RuntimeElementId, RenderChild, SymbolDefinitionResolver, PropertyMetadata</x:v>
      </x:c>
      <x:c r="G58" s="180" t="str">
        <x:v>ElementRenderContext(DrawingContext drawingContext, Rect bounds, Brush fill, Brush stroke, Pen pen, double pixelsPerDip, string …), ResolveBoolean(ElementModel element, string propertyKey, bool fallback), ResolveDouble(ElementModel element, string propertyKey, double fallback), ResolveValue(ElementModel element, string propertyKey), DrawText(string text, string color, double fontSize, TextAlignment alignment), DrawText(string text, string color, double fontSize, Rect bounds, TextAlignment alignment)</x:v>
      </x:c>
      <x:c r="H58" s="180" t="str">
        <x:v>—（待核）</x:v>
      </x:c>
      <x:c r="I58" s="180" t="str">
        <x:v>CxVisual.Rendering.Wpf.ElementRenderContext</x:v>
      </x:c>
      <x:c r="J58" s="179" t="str">
        <x:v>类</x:v>
      </x:c>
      <x:c r="K58" s="180" t="str">
        <x:v>V1.19 C-0762；原实施方式：原有。迁移风险：传递元素Render上下文执行或编辑过程中共享的上下文数据</x:v>
      </x:c>
      <x:c r="L58" s="183" t="str">
        <x:v>源代码声明·待复核</x:v>
      </x:c>
      <x:c r="M58" s="183" t="str">
        <x:v>C-0762</x:v>
      </x:c>
      <x:c r="N58" s="184" t="str">
        <x:v>Platform.Presentation.Wpf/Rendering/ElementRendererRegistry.cs</x:v>
      </x:c>
      <x:c r="O58" s="183" t="str">
        <x:v>V1.19旧源码类型（真实成员/实现仍待核）
V2.01：来源ID对应；处置=保留源码·公开契约复核
V7.8：V7.8同名且源文件对应；Platform.Presentation.Wpf/Rendering/ElementRendererRegistry.cs
归属优先核查：WPF通用呈现迁入M_PresentationWpf；仅Studio专用窗口留Studio；具体UI类型不应归Core/无UI Visual</x:v>
      </x:c>
      <x:c r="P58" s="136" t="str">
        <x:v>V1.19旧源码类型（真实成员/实现仍待核）</x:v>
      </x:c>
    </x:row>
    <x:row r="59" ht="72" customHeight="1">
      <x:c r="A59" s="179" t="str">
        <x:v>M16</x:v>
      </x:c>
      <x:c r="B59" s="180" t="str">
        <x:v>表现与编辑｜Drawing / Layer / Geometry
Drawing Layers</x:v>
      </x:c>
      <x:c r="C59" s="180" t="str">
        <x:v>MDLElementRendererRegistry</x:v>
      </x:c>
      <x:c r="D59" s="179" t="str">
        <x:v>原有·待核</x:v>
      </x:c>
      <x:c r="E59" s="180" t="str">
        <x:v>注册、索引与查询元素Renderer注册表条目，并控制注册身份唯一性</x:v>
      </x:c>
      <x:c r="F59" s="180" t="str">
        <x:v>—（无公开声明或待核对）</x:v>
      </x:c>
      <x:c r="G59" s="180" t="str">
        <x:v>Register(string typeId, IElementRenderer renderer), TryGet(string typeId, out IElementRenderer renderer)</x:v>
      </x:c>
      <x:c r="H59" s="180" t="str">
        <x:v>—（待核）</x:v>
      </x:c>
      <x:c r="I59" s="180" t="str">
        <x:v>CxVisual.Rendering.Wpf.ElementRendererRegistry</x:v>
      </x:c>
      <x:c r="J59" s="179" t="str">
        <x:v>类</x:v>
      </x:c>
      <x:c r="K59" s="180" t="str">
        <x:v>V1.19 C-0763；原实施方式：原有。迁移风险：注册、索引与查询元素Renderer注册表条目，并控制注册身份唯一性</x:v>
      </x:c>
      <x:c r="L59" s="183" t="str">
        <x:v>源代码声明·待复核</x:v>
      </x:c>
      <x:c r="M59" s="183" t="str">
        <x:v>C-0763</x:v>
      </x:c>
      <x:c r="N59" s="184" t="str">
        <x:v>Platform.Presentation.Wpf/Rendering/ElementRendererRegistry.cs</x:v>
      </x:c>
      <x:c r="O59" s="183" t="str">
        <x:v>V1.19旧源码类型（真实成员/实现仍待核）
V2.01：来源ID对应；处置=保留源码·公开契约复核
V7.8：V7.8同名且源文件对应；Platform.Presentation.Wpf/Rendering/ElementRendererRegistry.cs
归属优先核查：WPF通用呈现迁入M_PresentationWpf；仅Studio专用窗口留Studio；具体UI类型不应归Core/无UI Visual</x:v>
      </x:c>
      <x:c r="P59" s="136" t="str">
        <x:v>V1.19旧源码类型（真实成员/实现仍待核）</x:v>
      </x:c>
    </x:row>
    <x:row r="60" ht="72" customHeight="1">
      <x:c r="A60" s="179" t="str">
        <x:v>M16</x:v>
      </x:c>
      <x:c r="B60" s="180" t="str">
        <x:v>表现与编辑｜Drawing / Layer / Geometry
Drawing Layers</x:v>
      </x:c>
      <x:c r="C60" s="180" t="str">
        <x:v>MDLElementSemanticClassification</x:v>
      </x:c>
      <x:c r="D60" s="179" t="str">
        <x:v>原有·待核</x:v>
      </x:c>
      <x:c r="E60" s="180" t="str">
        <x:v>表达或管理元素SemanticClassification相关的数据及协作职责，具体行为待源码复核〔待核〕</x:v>
      </x:c>
      <x:c r="F60" s="180" t="str">
        <x:v>Role, Confidence, Reasons</x:v>
      </x:c>
      <x:c r="G60" s="180" t="str">
        <x:v>—(无公开声明或待核对)</x:v>
      </x:c>
      <x:c r="H60" s="180" t="str">
        <x:v>—（待核）</x:v>
      </x:c>
      <x:c r="I60" s="180" t="str">
        <x:v>CxVisual.Core.ElementSemanticClassification</x:v>
      </x:c>
      <x:c r="J60" s="179" t="str">
        <x:v>类</x:v>
      </x:c>
      <x:c r="K60" s="180" t="str">
        <x:v>V1.19 C-0707；原实施方式：原有。迁移风险：表达或管理元素SemanticClassification相关的数据及协作职责，具体行为待源码复核〔待核〕</x:v>
      </x:c>
      <x:c r="L60" s="183" t="str">
        <x:v>源代码声明·待复核</x:v>
      </x:c>
      <x:c r="M60" s="183" t="str">
        <x:v>C-0707</x:v>
      </x:c>
      <x:c r="N60" s="184" t="str">
        <x:v>Platform/Core/ObjectSemantics.cs</x:v>
      </x:c>
      <x:c r="O60" s="183" t="str">
        <x:v>V1.19旧源码类型（真实成员/实现仍待核）
V2.01：来源ID对应；处置=保留源码·公开契约复核
V7.8：V7.8同名且源文件对应；Platform/Core/ObjectSemantics.cs</x:v>
      </x:c>
      <x:c r="P60" s="136" t="str">
        <x:v>V1.19旧源码类型（真实成员/实现仍待核）</x:v>
      </x:c>
    </x:row>
    <x:row r="61" ht="72" customHeight="1">
      <x:c r="A61" s="179" t="str">
        <x:v>M16</x:v>
      </x:c>
      <x:c r="B61" s="180" t="str">
        <x:v>表现与编辑｜Drawing / Layer / Geometry
Drawing Layers</x:v>
      </x:c>
      <x:c r="C61" s="180" t="str">
        <x:v>MDLElementSemanticClassifier</x:v>
      </x:c>
      <x:c r="D61" s="179" t="str">
        <x:v>原有·待核</x:v>
      </x:c>
      <x:c r="E61" s="180" t="str">
        <x:v>依据图层和元素信息判定其设计语义用途</x:v>
      </x:c>
      <x:c r="F61" s="180" t="str">
        <x:v>—（无公开声明或待核对）</x:v>
      </x:c>
      <x:c r="G61" s="180" t="str">
        <x:v>Classify(PageModel page, ElementModel element, LayerModel layer = null), HasRuntimeBehavior(ElementModel element), CanEnterSymbol(PageModel page, ElementModel element)</x:v>
      </x:c>
      <x:c r="H61" s="180" t="str">
        <x:v>—（待核）</x:v>
      </x:c>
      <x:c r="I61" s="180" t="str">
        <x:v>CxVisual.Core.ElementSemanticClassifier</x:v>
      </x:c>
      <x:c r="J61" s="179" t="str">
        <x:v>静态类</x:v>
      </x:c>
      <x:c r="K61" s="180" t="str">
        <x:v>V1.19 C-0708；原实施方式：原有。迁移风险：依据图层和元素信息判定其设计语义用途</x:v>
      </x:c>
      <x:c r="L61" s="183" t="str">
        <x:v>源代码声明·待复核</x:v>
      </x:c>
      <x:c r="M61" s="183" t="str">
        <x:v>C-0708</x:v>
      </x:c>
      <x:c r="N61" s="184" t="str">
        <x:v>Platform/Core/ObjectSemantics.cs</x:v>
      </x:c>
      <x:c r="O61" s="183" t="str">
        <x:v>V1.19旧源码类型（真实成员/实现仍待核）
V2.01：来源ID对应；处置=保留源码·公开契约复核
V7.8：V7.8同名且源文件对应；Platform/Core/ObjectSemantics.cs</x:v>
      </x:c>
      <x:c r="P61" s="136" t="str">
        <x:v>V1.19旧源码类型（真实成员/实现仍待核）</x:v>
      </x:c>
    </x:row>
    <x:row r="62" ht="72" customHeight="1">
      <x:c r="A62" s="179" t="str">
        <x:v>M16</x:v>
      </x:c>
      <x:c r="B62" s="180" t="str">
        <x:v>表现与编辑｜Drawing / Layer / Geometry
Drawing Layers</x:v>
      </x:c>
      <x:c r="C62" s="180" t="str">
        <x:v>MDLEllipseElementModel</x:v>
      </x:c>
      <x:c r="D62" s="179" t="str">
        <x:v>原有·待核</x:v>
      </x:c>
      <x:c r="E62" s="180" t="str">
        <x:v>表达Ellipse元素模型相关的数据结构、配置及状态视图</x:v>
      </x:c>
      <x:c r="F62" s="180" t="str">
        <x:v>TypeId</x:v>
      </x:c>
      <x:c r="G62" s="180" t="str">
        <x:v>DeepClone(bool preserveId)</x:v>
      </x:c>
      <x:c r="H62" s="180" t="str">
        <x:v>—（待核）</x:v>
      </x:c>
      <x:c r="I62" s="180" t="str">
        <x:v>CxVisual.Core.EllipseElementModel</x:v>
      </x:c>
      <x:c r="J62" s="179" t="str">
        <x:v>类</x:v>
      </x:c>
      <x:c r="K62" s="180" t="str">
        <x:v>V1.19 C-0709；原实施方式：原有。迁移风险：表达Ellipse元素模型相关的数据结构、配置及状态视图</x:v>
      </x:c>
      <x:c r="L62" s="183" t="str">
        <x:v>源代码声明·待复核</x:v>
      </x:c>
      <x:c r="M62" s="183" t="str">
        <x:v>C-0709</x:v>
      </x:c>
      <x:c r="N62" s="184" t="str">
        <x:v>Platform/Core/Elements.cs</x:v>
      </x:c>
      <x:c r="O62" s="183" t="str">
        <x:v>V1.19旧源码类型（真实成员/实现仍待核）
V2.01：来源ID对应；处置=保留源码·公开契约复核
V7.8：V7.8同名且源文件对应；Platform/Core/Elements.cs</x:v>
      </x:c>
      <x:c r="P62" s="136" t="str">
        <x:v>V1.19旧源码类型（真实成员/实现仍待核）</x:v>
      </x:c>
    </x:row>
    <x:row r="63" ht="72" customHeight="1">
      <x:c r="A63" s="179" t="str">
        <x:v>M16</x:v>
      </x:c>
      <x:c r="B63" s="180" t="str">
        <x:v>表现与编辑｜Drawing / Layer / Geometry
Drawing Layers</x:v>
      </x:c>
      <x:c r="C63" s="180" t="str">
        <x:v>MDLEntry</x:v>
      </x:c>
      <x:c r="D63" s="179" t="str">
        <x:v>原有·待核</x:v>
      </x:c>
      <x:c r="E63" s="180" t="str">
        <x:v>表达或管理Entry相关的数据及协作职责，具体行为待源码复核〔待核〕</x:v>
      </x:c>
      <x:c r="F63" s="180" t="str">
        <x:v>—（无公开声明或待核对）</x:v>
      </x:c>
      <x:c r="G63" s="180" t="str">
        <x:v>—(无公开声明或待核对)</x:v>
      </x:c>
      <x:c r="H63" s="180" t="str">
        <x:v>—（待核）</x:v>
      </x:c>
      <x:c r="I63" s="180" t="str">
        <x:v>CxVisual.Core.CxCanvasHost.Entry</x:v>
      </x:c>
      <x:c r="J63" s="179" t="str">
        <x:v>类</x:v>
      </x:c>
      <x:c r="K63" s="180" t="str">
        <x:v>V1.19 C-0685；原实施方式：原有。迁移风险：表达或管理Entry相关的数据及协作职责，具体行为待源码复核〔待核〕</x:v>
      </x:c>
      <x:c r="L63" s="183" t="str">
        <x:v>源代码声明·待复核</x:v>
      </x:c>
      <x:c r="M63" s="183" t="str">
        <x:v>C-0685</x:v>
      </x:c>
      <x:c r="N63" s="184" t="str">
        <x:v>Platform/Core/SpatialIndex.cs; Platform/Data/CxStreamHandle.cs; Platform/Simulation/CxSimulationRuntime.cs; Platform/Workbench/Drawing/CxCanvasHost.cs</x:v>
      </x:c>
      <x:c r="O63" s="183" t="str">
        <x:v>V1.19旧源码类型（真实成员/实现仍待核）
V2.01：来源ID对应；处置=保留源码·公开契约复核
V7.8：V7.8同名且源文件对应；Platform/Core/SpatialIndex.cs</x:v>
      </x:c>
      <x:c r="P63" s="136" t="str">
        <x:v>V1.19旧源码类型（真实成员/实现仍待核）</x:v>
      </x:c>
    </x:row>
    <x:row r="64" ht="72" customHeight="1">
      <x:c r="A64" s="179" t="str">
        <x:v>M16</x:v>
      </x:c>
      <x:c r="B64" s="180" t="str">
        <x:v>表现与编辑｜Drawing / Layer / Geometry
Drawing Layers</x:v>
      </x:c>
      <x:c r="C64" s="180" t="str">
        <x:v>MDLGeometryCommand</x:v>
      </x:c>
      <x:c r="D64" s="179" t="str">
        <x:v>原有·待核</x:v>
      </x:c>
      <x:c r="E64" s="180" t="str">
        <x:v>封装几何命令操作请求、参数与执行入口</x:v>
      </x:c>
      <x:c r="F64" s="180" t="str">
        <x:v>Name</x:v>
      </x:c>
      <x:c r="G64" s="180" t="str">
        <x:v>GeometryCommand(IEnumerable&lt;DragItem&gt; items), Execute(), Undo(), Redo(), CanMergeWith(ICxUndoableCommand next), Merge(ICxUndoableCommand next)</x:v>
      </x:c>
      <x:c r="H64" s="180" t="str">
        <x:v>—（待核）</x:v>
      </x:c>
      <x:c r="I64" s="180" t="str">
        <x:v>CxVisual.Core.CxSelectionAdorner.GeometryCommand</x:v>
      </x:c>
      <x:c r="J64" s="179" t="str">
        <x:v>类</x:v>
      </x:c>
      <x:c r="K64" s="180" t="str">
        <x:v>V1.19 C-0697；原实施方式：原有。迁移风险：封装几何命令操作请求、参数与执行入口</x:v>
      </x:c>
      <x:c r="L64" s="183" t="str">
        <x:v>源代码声明·待复核</x:v>
      </x:c>
      <x:c r="M64" s="183" t="str">
        <x:v>C-0697</x:v>
      </x:c>
      <x:c r="N64" s="184" t="str">
        <x:v>Platform/Workbench/Drawing/CxSelectionAdorner.cs</x:v>
      </x:c>
      <x:c r="O64" s="183" t="str">
        <x:v>V1.19旧源码类型（真实成员/实现仍待核）
V2.01：来源ID对应；处置=保留源码·公开契约复核
V7.8：V7.8同名且源文件对应；Platform/Workbench/Drawing/CxSelectionAdorner.cs</x:v>
      </x:c>
      <x:c r="P64" s="136" t="str">
        <x:v>V1.19旧源码类型（真实成员/实现仍待核）</x:v>
      </x:c>
    </x:row>
    <x:row r="65" ht="72" customHeight="1">
      <x:c r="A65" s="179" t="str">
        <x:v>M16</x:v>
      </x:c>
      <x:c r="B65" s="180" t="str">
        <x:v>表现与编辑｜Drawing / Layer / Geometry
Drawing Layers</x:v>
      </x:c>
      <x:c r="C65" s="180" t="str">
        <x:v>MDLGeometryNodePreviewEditSession</x:v>
      </x:c>
      <x:c r="D65" s="179" t="str">
        <x:v>原有·待核</x:v>
      </x:c>
      <x:c r="E65" s="180" t="str">
        <x:v>管理几何节点PreviewEdit会话会话、资源归属、连接及释放时机</x:v>
      </x:c>
      <x:c r="F65" s="180" t="str">
        <x:v>Snap</x:v>
      </x:c>
      <x:c r="G65" s="180" t="str">
        <x:v>GeometryNodePreviewEditSession(DesignerDocument document, ElementModel element, int nodeIndex, EditorHandleKind handle), Preview(Point2D current), Commit(), Cancel()</x:v>
      </x:c>
      <x:c r="H65" s="180" t="str">
        <x:v>—（待核）</x:v>
      </x:c>
      <x:c r="I65" s="180" t="str">
        <x:v>CxVisual.Designer.Application.GeometryNodePreviewEditSession</x:v>
      </x:c>
      <x:c r="J65" s="179" t="str">
        <x:v>类</x:v>
      </x:c>
      <x:c r="K65" s="180" t="str">
        <x:v>V1.19 C-0731；原实施方式：原有。迁移风险：管理几何节点PreviewEdit会话会话、资源归属、连接及释放时机</x:v>
      </x:c>
      <x:c r="L65" s="183" t="str">
        <x:v>源代码声明·待复核</x:v>
      </x:c>
      <x:c r="M65" s="183" t="str">
        <x:v>C-0731</x:v>
      </x:c>
      <x:c r="N65" s="184" t="str">
        <x:v>Host/Studio/Application/EditorTools.cs</x:v>
      </x:c>
      <x:c r="O65" s="183" t="str">
        <x:v>V1.19旧源码类型（真实成员/实现仍待核）
V2.01：来源ID对应；处置=保留源码·公开契约复核
V7.8：V7.8同名且源文件对应；Host/Studio/Application/EditorTools.cs</x:v>
      </x:c>
      <x:c r="P65" s="136" t="str">
        <x:v>V1.19旧源码类型（真实成员/实现仍待核）</x:v>
      </x:c>
    </x:row>
    <x:row r="66" ht="72" customHeight="1">
      <x:c r="A66" s="179" t="str">
        <x:v>M16</x:v>
      </x:c>
      <x:c r="B66" s="180" t="str">
        <x:v>表现与编辑｜Drawing / Layer / Geometry
Drawing Layers</x:v>
      </x:c>
      <x:c r="C66" s="180" t="str">
        <x:v>MDLGeometryNormalizer</x:v>
      </x:c>
      <x:c r="D66" s="179" t="str">
        <x:v>原有·待核</x:v>
      </x:c>
      <x:c r="E66" s="180" t="str">
        <x:v>提供几何Normalizer相关基础操作或类型辅助处理</x:v>
      </x:c>
      <x:c r="F66" s="180" t="str">
        <x:v>—（无公开声明或待核对）</x:v>
      </x:c>
      <x:c r="G66" s="180" t="str">
        <x:v>Normalize(ElementModel element)</x:v>
      </x:c>
      <x:c r="H66" s="180" t="str">
        <x:v>—（待核）</x:v>
      </x:c>
      <x:c r="I66" s="180" t="str">
        <x:v>CxVisual.Designer.Application.GeometryNormalizer</x:v>
      </x:c>
      <x:c r="J66" s="179" t="str">
        <x:v>静态类</x:v>
      </x:c>
      <x:c r="K66" s="180" t="str">
        <x:v>V1.19 C-0732；原实施方式：原有。迁移风险：提供几何Normalizer相关基础操作或类型辅助处理</x:v>
      </x:c>
      <x:c r="L66" s="183" t="str">
        <x:v>源代码声明·待复核</x:v>
      </x:c>
      <x:c r="M66" s="183" t="str">
        <x:v>C-0732</x:v>
      </x:c>
      <x:c r="N66" s="184" t="str">
        <x:v>Host/Studio/Application/EditorTools.cs</x:v>
      </x:c>
      <x:c r="O66" s="183" t="str">
        <x:v>V1.19旧源码类型（真实成员/实现仍待核）
V2.01：来源ID对应；处置=保留源码·公开契约复核
V7.8：V7.8同名且源文件对应；Host/Studio/Application/EditorTools.cs</x:v>
      </x:c>
      <x:c r="P66" s="136" t="str">
        <x:v>V1.19旧源码类型（真实成员/实现仍待核）</x:v>
      </x:c>
    </x:row>
    <x:row r="67" ht="72" customHeight="1">
      <x:c r="A67" s="179" t="str">
        <x:v>M16</x:v>
      </x:c>
      <x:c r="B67" s="180" t="str">
        <x:v>表现与编辑｜Drawing / Layer / Geometry
Drawing Layers</x:v>
      </x:c>
      <x:c r="C67" s="180" t="str">
        <x:v>MDLLampElementModel</x:v>
      </x:c>
      <x:c r="D67" s="179" t="str">
        <x:v>原有·待核</x:v>
      </x:c>
      <x:c r="E67" s="180" t="str">
        <x:v>表达Lamp元素模型相关的数据结构、配置及状态视图</x:v>
      </x:c>
      <x:c r="F67" s="180" t="str">
        <x:v>TypeId, DefaultState, OnColor, OffColor</x:v>
      </x:c>
      <x:c r="G67" s="180" t="str">
        <x:v>DeepClone(bool preserveId)</x:v>
      </x:c>
      <x:c r="H67" s="180" t="str">
        <x:v>—（待核）</x:v>
      </x:c>
      <x:c r="I67" s="180" t="str">
        <x:v>CxVisual.Core.LampElementModel</x:v>
      </x:c>
      <x:c r="J67" s="179" t="str">
        <x:v>类</x:v>
      </x:c>
      <x:c r="K67" s="180" t="str">
        <x:v>V1.19 C-0711；原实施方式：原有。迁移风险：表达Lamp元素模型相关的数据结构、配置及状态视图</x:v>
      </x:c>
      <x:c r="L67" s="183" t="str">
        <x:v>源代码声明·待复核</x:v>
      </x:c>
      <x:c r="M67" s="183" t="str">
        <x:v>C-0711</x:v>
      </x:c>
      <x:c r="N67" s="184" t="str">
        <x:v>Platform/Core/Elements.cs</x:v>
      </x:c>
      <x:c r="O67" s="183" t="str">
        <x:v>V1.19旧源码类型（真实成员/实现仍待核）
V2.01：来源ID对应；处置=保留源码·公开契约复核
V7.8：V7.8同名且源文件对应；Platform/Core/Elements.cs</x:v>
      </x:c>
      <x:c r="P67" s="136" t="str">
        <x:v>V1.19旧源码类型（真实成员/实现仍待核）</x:v>
      </x:c>
    </x:row>
    <x:row r="68" ht="72" customHeight="1">
      <x:c r="A68" s="179" t="str">
        <x:v>M16</x:v>
      </x:c>
      <x:c r="B68" s="180" t="str">
        <x:v>表现与编辑｜Drawing / Layer / Geometry
Drawing Layers</x:v>
      </x:c>
      <x:c r="C68" s="180" t="str">
        <x:v>MDLLineElementModel</x:v>
      </x:c>
      <x:c r="D68" s="179" t="str">
        <x:v>原有·待核</x:v>
      </x:c>
      <x:c r="E68" s="180" t="str">
        <x:v>表达Line元素模型相关的数据结构、配置及状态视图</x:v>
      </x:c>
      <x:c r="F68" s="180" t="str">
        <x:v>TypeId, Start, End</x:v>
      </x:c>
      <x:c r="G68" s="180" t="str">
        <x:v>DeepClone(bool preserveId)</x:v>
      </x:c>
      <x:c r="H68" s="180" t="str">
        <x:v>—（待核）</x:v>
      </x:c>
      <x:c r="I68" s="180" t="str">
        <x:v>CxVisual.Core.LineElementModel</x:v>
      </x:c>
      <x:c r="J68" s="179" t="str">
        <x:v>类</x:v>
      </x:c>
      <x:c r="K68" s="180" t="str">
        <x:v>V1.19 C-0712；原实施方式：原有。迁移风险：表达Line元素模型相关的数据结构、配置及状态视图</x:v>
      </x:c>
      <x:c r="L68" s="183" t="str">
        <x:v>源代码声明·待复核</x:v>
      </x:c>
      <x:c r="M68" s="183" t="str">
        <x:v>C-0712</x:v>
      </x:c>
      <x:c r="N68" s="184" t="str">
        <x:v>Platform/Core/Elements.cs</x:v>
      </x:c>
      <x:c r="O68" s="183" t="str">
        <x:v>V1.19旧源码类型（真实成员/实现仍待核）
V2.01：来源ID对应；处置=保留源码·公开契约复核
V7.8：V7.8同名且源文件对应；Platform/Core/Elements.cs</x:v>
      </x:c>
      <x:c r="P68" s="136" t="str">
        <x:v>V1.19旧源码类型（真实成员/实现仍待核）</x:v>
      </x:c>
    </x:row>
    <x:row r="69" ht="72" customHeight="1">
      <x:c r="A69" s="179" t="str">
        <x:v>M16</x:v>
      </x:c>
      <x:c r="B69" s="180" t="str">
        <x:v>表现与编辑｜Drawing / Layer / Geometry
Drawing Layers</x:v>
      </x:c>
      <x:c r="C69" s="180" t="str">
        <x:v>MDLMovePreviewEditSession</x:v>
      </x:c>
      <x:c r="D69" s="179" t="str">
        <x:v>原有·待核</x:v>
      </x:c>
      <x:c r="E69" s="180" t="str">
        <x:v>管理MovePreviewEdit会话会话、资源归属、连接及释放时机</x:v>
      </x:c>
      <x:c r="F69" s="180" t="str">
        <x:v>Snap</x:v>
      </x:c>
      <x:c r="G69" s="180" t="str">
        <x:v>MovePreviewEditSession(DesignerDocument document, Point2D start), Preview(Point2D current), Commit(), Cancel()</x:v>
      </x:c>
      <x:c r="H69" s="180" t="str">
        <x:v>—（待核）</x:v>
      </x:c>
      <x:c r="I69" s="180" t="str">
        <x:v>CxVisual.Designer.Application.MovePreviewEditSession</x:v>
      </x:c>
      <x:c r="J69" s="179" t="str">
        <x:v>类</x:v>
      </x:c>
      <x:c r="K69" s="180" t="str">
        <x:v>V1.19 C-0735；原实施方式：原有。迁移风险：管理MovePreviewEdit会话会话、资源归属、连接及释放时机</x:v>
      </x:c>
      <x:c r="L69" s="183" t="str">
        <x:v>源代码声明·待复核</x:v>
      </x:c>
      <x:c r="M69" s="183" t="str">
        <x:v>C-0735</x:v>
      </x:c>
      <x:c r="N69" s="184" t="str">
        <x:v>Host/Studio/Application/EditorTools.cs</x:v>
      </x:c>
      <x:c r="O69" s="183" t="str">
        <x:v>V1.19旧源码类型（真实成员/实现仍待核）
V2.01：来源ID对应；处置=保留源码·公开契约复核
V7.8：V7.8同名且源文件对应；Host/Studio/Application/EditorTools.cs</x:v>
      </x:c>
      <x:c r="P69" s="136" t="str">
        <x:v>V1.19旧源码类型（真实成员/实现仍待核）</x:v>
      </x:c>
    </x:row>
    <x:row r="70" ht="72" customHeight="1">
      <x:c r="A70" s="179" t="str">
        <x:v>M16</x:v>
      </x:c>
      <x:c r="B70" s="180" t="str">
        <x:v>表现与编辑｜Drawing / Layer / Geometry
Drawing Layers</x:v>
      </x:c>
      <x:c r="C70" s="180" t="str">
        <x:v>MDLMultiPointTool</x:v>
      </x:c>
      <x:c r="D70" s="179" t="str">
        <x:v>原有·待核</x:v>
      </x:c>
      <x:c r="E70" s="180" t="str">
        <x:v>表达或管理MultiPointTool相关的数据及协作职责，具体行为待源码复核〔待核〕</x:v>
      </x:c>
      <x:c r="F70" s="180" t="str">
        <x:v>ToolId, Preview</x:v>
      </x:c>
      <x:c r="G70" s="180" t="str">
        <x:v>MultiPointTool(string toolId, bool closed, bool pipe), PointerDown(EditorPointerEvent pointerEvent), PointerMove(EditorPointerEvent pointerEvent), KeyDown(EditorKey key), Cancel()</x:v>
      </x:c>
      <x:c r="H70" s="180" t="str">
        <x:v>—（待核）</x:v>
      </x:c>
      <x:c r="I70" s="180" t="str">
        <x:v>CxVisual.Designer.Application.MultiPointTool</x:v>
      </x:c>
      <x:c r="J70" s="179" t="str">
        <x:v>类</x:v>
      </x:c>
      <x:c r="K70" s="180" t="str">
        <x:v>V1.19 C-0736；原实施方式：原有。迁移风险：表达或管理MultiPointTool相关的数据及协作职责，具体行为待源码复核〔待核〕</x:v>
      </x:c>
      <x:c r="L70" s="183" t="str">
        <x:v>源代码声明·待复核</x:v>
      </x:c>
      <x:c r="M70" s="183" t="str">
        <x:v>C-0736</x:v>
      </x:c>
      <x:c r="N70" s="184" t="str">
        <x:v>Host/Studio/Application/EditorTools.cs</x:v>
      </x:c>
      <x:c r="O70" s="183" t="str">
        <x:v>V1.19旧源码类型（真实成员/实现仍待核）
V2.01：来源ID对应；处置=保留源码·公开契约复核
V7.8：V7.8同名且源文件对应；Host/Studio/Application/EditorTools.cs</x:v>
      </x:c>
      <x:c r="P70" s="136" t="str">
        <x:v>V1.19旧源码类型（真实成员/实现仍待核）</x:v>
      </x:c>
    </x:row>
    <x:row r="71" ht="72" customHeight="1">
      <x:c r="A71" s="179" t="str">
        <x:v>M16</x:v>
      </x:c>
      <x:c r="B71" s="180" t="str">
        <x:v>表现与编辑｜Drawing / Layer / Geometry
Drawing Layers</x:v>
      </x:c>
      <x:c r="C71" s="180" t="str">
        <x:v>MDLNumericInputControl</x:v>
      </x:c>
      <x:c r="D71" s="179" t="str">
        <x:v>原有·待核</x:v>
      </x:c>
      <x:c r="E71" s="180" t="str">
        <x:v>表达或管理数值InputControl相关的数据及协作职责，具体行为待源码复核〔待核〕</x:v>
      </x:c>
      <x:c r="F71" s="180" t="str">
        <x:v>ValueChanged, Minimum, Maximum, Step, Format, IsReadOnly, InputBackground, InputForeground, InputBorderBrush, InputFontSize, Value</x:v>
      </x:c>
      <x:c r="G71" s="180" t="str">
        <x:v>NumericInputControl()</x:v>
      </x:c>
      <x:c r="H71" s="180" t="str">
        <x:v>—（待核）</x:v>
      </x:c>
      <x:c r="I71" s="180" t="str">
        <x:v>CxVisual.Rendering.Wpf.NumericInputControl</x:v>
      </x:c>
      <x:c r="J71" s="179" t="str">
        <x:v>类</x:v>
      </x:c>
      <x:c r="K71" s="180" t="str">
        <x:v>V1.19 C-0765；原实施方式：原有。迁移风险：表达或管理数值InputControl相关的数据及协作职责，具体行为待源码复核〔待核〕</x:v>
      </x:c>
      <x:c r="L71" s="183" t="str">
        <x:v>源代码声明·待复核</x:v>
      </x:c>
      <x:c r="M71" s="183" t="str">
        <x:v>C-0765</x:v>
      </x:c>
      <x:c r="N71" s="184" t="str">
        <x:v>Platform.Presentation.Wpf/Rendering/StandardControlLayer.cs</x:v>
      </x:c>
      <x:c r="O71" s="183" t="str">
        <x:v>V1.19旧源码类型（真实成员/实现仍待核）
V2.01：来源ID对应；处置=保留源码·公开契约复核
V7.8：V7.8同名且源文件对应；Platform.Presentation.Wpf/Rendering/StandardControlLayer.cs
归属优先核查：WPF通用呈现迁入M_PresentationWpf；仅Studio专用窗口留Studio；具体UI类型不应归Core/无UI Visual</x:v>
      </x:c>
      <x:c r="P71" s="136" t="str">
        <x:v>V1.19旧源码类型（真实成员/实现仍待核）</x:v>
      </x:c>
    </x:row>
    <x:row r="72" ht="72" customHeight="1">
      <x:c r="A72" s="179" t="str">
        <x:v>M16</x:v>
      </x:c>
      <x:c r="B72" s="180" t="str">
        <x:v>表现与编辑｜Drawing / Layer / Geometry
Drawing Layers</x:v>
      </x:c>
      <x:c r="C72" s="180" t="str">
        <x:v>MDLPanTool</x:v>
      </x:c>
      <x:c r="D72" s="179" t="str">
        <x:v>原有·待核</x:v>
      </x:c>
      <x:c r="E72" s="180" t="str">
        <x:v>表达或管理PanTool相关的数据及协作职责，具体行为待源码复核〔待核〕</x:v>
      </x:c>
      <x:c r="F72" s="180" t="str">
        <x:v>ToolId</x:v>
      </x:c>
      <x:c r="G72" s="180" t="str">
        <x:v>PointerDown(EditorPointerEvent pointerEvent), PointerMove(EditorPointerEvent pointerEvent), PointerUp(EditorPointerEvent pointerEvent), Cancel()</x:v>
      </x:c>
      <x:c r="H72" s="180" t="str">
        <x:v>—（待核）</x:v>
      </x:c>
      <x:c r="I72" s="180" t="str">
        <x:v>CxVisual.Designer.Application.PanTool</x:v>
      </x:c>
      <x:c r="J72" s="179" t="str">
        <x:v>类</x:v>
      </x:c>
      <x:c r="K72" s="180" t="str">
        <x:v>V1.19 C-0737；原实施方式：原有。迁移风险：表达或管理PanTool相关的数据及协作职责，具体行为待源码复核〔待核〕</x:v>
      </x:c>
      <x:c r="L72" s="183" t="str">
        <x:v>源代码声明·待复核</x:v>
      </x:c>
      <x:c r="M72" s="183" t="str">
        <x:v>C-0737</x:v>
      </x:c>
      <x:c r="N72" s="184" t="str">
        <x:v>Host/Studio/Application/EditorTools.cs</x:v>
      </x:c>
      <x:c r="O72" s="183" t="str">
        <x:v>V1.19旧源码类型（真实成员/实现仍待核）
V2.01：来源ID对应；处置=保留源码·公开契约复核
V7.8：V7.8同名且源文件对应；Host/Studio/Application/EditorTools.cs</x:v>
      </x:c>
      <x:c r="P72" s="136" t="str">
        <x:v>V1.19旧源码类型（真实成员/实现仍待核）</x:v>
      </x:c>
    </x:row>
    <x:row r="73" ht="72" customHeight="1">
      <x:c r="A73" s="179" t="str">
        <x:v>M16</x:v>
      </x:c>
      <x:c r="B73" s="180" t="str">
        <x:v>表现与编辑｜Drawing / Layer / Geometry
Drawing Layers</x:v>
      </x:c>
      <x:c r="C73" s="180" t="str">
        <x:v>MDLPathElementModel</x:v>
      </x:c>
      <x:c r="D73" s="179" t="str">
        <x:v>原有·待核</x:v>
      </x:c>
      <x:c r="E73" s="180" t="str">
        <x:v>表达路径元素模型相关的数据结构、配置及状态视图</x:v>
      </x:c>
      <x:c r="F73" s="180" t="str">
        <x:v>TypeId, Data, DataOrigin, Nodes, IsClosed</x:v>
      </x:c>
      <x:c r="G73" s="180" t="str">
        <x:v>ShouldSerializeDataOrigin(), DeepClone(bool preserveId)</x:v>
      </x:c>
      <x:c r="H73" s="180" t="str">
        <x:v>—（待核）</x:v>
      </x:c>
      <x:c r="I73" s="180" t="str">
        <x:v>CxVisual.Core.PathElementModel</x:v>
      </x:c>
      <x:c r="J73" s="179" t="str">
        <x:v>类</x:v>
      </x:c>
      <x:c r="K73" s="180" t="str">
        <x:v>V1.19 C-0713；原实施方式：原有。迁移风险：表达路径元素模型相关的数据结构、配置及状态视图</x:v>
      </x:c>
      <x:c r="L73" s="183" t="str">
        <x:v>源代码声明·待复核</x:v>
      </x:c>
      <x:c r="M73" s="183" t="str">
        <x:v>C-0713</x:v>
      </x:c>
      <x:c r="N73" s="184" t="str">
        <x:v>Platform/Core/Elements.cs</x:v>
      </x:c>
      <x:c r="O73" s="183" t="str">
        <x:v>V1.19旧源码类型（真实成员/实现仍待核）
V2.01：来源ID对应；处置=保留源码·公开契约复核
V7.8：V7.8同名且源文件对应；Platform/Core/Elements.cs</x:v>
      </x:c>
      <x:c r="P73" s="136" t="str">
        <x:v>V1.19旧源码类型（真实成员/实现仍待核）</x:v>
      </x:c>
    </x:row>
    <x:row r="74" ht="72" customHeight="1">
      <x:c r="A74" s="179" t="str">
        <x:v>M16</x:v>
      </x:c>
      <x:c r="B74" s="180" t="str">
        <x:v>表现与编辑｜Drawing / Layer / Geometry
Drawing Layers</x:v>
      </x:c>
      <x:c r="C74" s="180" t="str">
        <x:v>MDLPathNodeModel</x:v>
      </x:c>
      <x:c r="D74" s="179" t="str">
        <x:v>原有·待核</x:v>
      </x:c>
      <x:c r="E74" s="180" t="str">
        <x:v>表达路径节点模型相关的数据结构、配置及状态视图</x:v>
      </x:c>
      <x:c r="F74" s="180" t="str">
        <x:v>Anchor, ControlIn, ControlOut</x:v>
      </x:c>
      <x:c r="G74" s="180" t="str">
        <x:v>Clone()</x:v>
      </x:c>
      <x:c r="H74" s="180" t="str">
        <x:v>—（待核）</x:v>
      </x:c>
      <x:c r="I74" s="180" t="str">
        <x:v>CxVisual.Core.PathNodeModel</x:v>
      </x:c>
      <x:c r="J74" s="179" t="str">
        <x:v>类</x:v>
      </x:c>
      <x:c r="K74" s="180" t="str">
        <x:v>V1.19 C-0714；原实施方式：原有。迁移风险：表达路径节点模型相关的数据结构、配置及状态视图</x:v>
      </x:c>
      <x:c r="L74" s="183" t="str">
        <x:v>源代码声明·待复核</x:v>
      </x:c>
      <x:c r="M74" s="183" t="str">
        <x:v>C-0714</x:v>
      </x:c>
      <x:c r="N74" s="184" t="str">
        <x:v>Platform/Core/Elements.cs</x:v>
      </x:c>
      <x:c r="O74" s="183" t="str">
        <x:v>V1.19旧源码类型（真实成员/实现仍待核）
V2.01：来源ID对应；处置=保留源码·公开契约复核
V7.8：V7.8同名且源文件对应；Platform/Core/Elements.cs</x:v>
      </x:c>
      <x:c r="P74" s="136" t="str">
        <x:v>V1.19旧源码类型（真实成员/实现仍待核）</x:v>
      </x:c>
    </x:row>
    <x:row r="75" ht="72" customHeight="1">
      <x:c r="A75" s="179" t="str">
        <x:v>M16</x:v>
      </x:c>
      <x:c r="B75" s="180" t="str">
        <x:v>表现与编辑｜Drawing / Layer / Geometry
Drawing Layers</x:v>
      </x:c>
      <x:c r="C75" s="180" t="str">
        <x:v>MDLPointerTool</x:v>
      </x:c>
      <x:c r="D75" s="179" t="str">
        <x:v>原有·待核</x:v>
      </x:c>
      <x:c r="E75" s="180" t="str">
        <x:v>表达或管理PointerTool相关的数据及协作职责，具体行为待源码复核〔待核〕</x:v>
      </x:c>
      <x:c r="F75" s="180" t="str">
        <x:v>ToolId, Preview</x:v>
      </x:c>
      <x:c r="G75" s="180" t="str">
        <x:v>PointerDown(EditorPointerEvent pointerEvent), PointerMove(EditorPointerEvent pointerEvent), PointerUp(EditorPointerEvent pointerEvent), KeyDown(EditorKey key), Cancel()</x:v>
      </x:c>
      <x:c r="H75" s="180" t="str">
        <x:v>—（待核）</x:v>
      </x:c>
      <x:c r="I75" s="180" t="str">
        <x:v>CxVisual.Designer.Application.PointerTool</x:v>
      </x:c>
      <x:c r="J75" s="179" t="str">
        <x:v>类</x:v>
      </x:c>
      <x:c r="K75" s="180" t="str">
        <x:v>V1.19 C-0738；原实施方式：原有。迁移风险：表达或管理PointerTool相关的数据及协作职责，具体行为待源码复核〔待核〕</x:v>
      </x:c>
      <x:c r="L75" s="183" t="str">
        <x:v>源代码声明·待复核</x:v>
      </x:c>
      <x:c r="M75" s="183" t="str">
        <x:v>C-0738</x:v>
      </x:c>
      <x:c r="N75" s="184" t="str">
        <x:v>Host/Studio/Application/EditorTools.cs</x:v>
      </x:c>
      <x:c r="O75" s="183" t="str">
        <x:v>V1.19旧源码类型（真实成员/实现仍待核）
V2.01：来源ID对应；处置=保留源码·公开契约复核
V7.8：V7.8同名且源文件对应；Host/Studio/Application/EditorTools.cs</x:v>
      </x:c>
      <x:c r="P75" s="136" t="str">
        <x:v>V1.19旧源码类型（真实成员/实现仍待核）</x:v>
      </x:c>
    </x:row>
    <x:row r="76" ht="72" customHeight="1">
      <x:c r="A76" s="179" t="str">
        <x:v>M16</x:v>
      </x:c>
      <x:c r="B76" s="180" t="str">
        <x:v>表现与编辑｜Drawing / Layer / Geometry
Drawing Layers</x:v>
      </x:c>
      <x:c r="C76" s="180" t="str">
        <x:v>MDLPolylineElementModel</x:v>
      </x:c>
      <x:c r="D76" s="179" t="str">
        <x:v>原有·待核</x:v>
      </x:c>
      <x:c r="E76" s="180" t="str">
        <x:v>表达Polyline元素模型相关的数据结构、配置及状态视图</x:v>
      </x:c>
      <x:c r="F76" s="180" t="str">
        <x:v>TypeId, Points, IsClosed</x:v>
      </x:c>
      <x:c r="G76" s="180" t="str">
        <x:v>DeepClone(bool preserveId)</x:v>
      </x:c>
      <x:c r="H76" s="180" t="str">
        <x:v>—（待核）</x:v>
      </x:c>
      <x:c r="I76" s="180" t="str">
        <x:v>CxVisual.Core.PolylineElementModel</x:v>
      </x:c>
      <x:c r="J76" s="179" t="str">
        <x:v>类</x:v>
      </x:c>
      <x:c r="K76" s="180" t="str">
        <x:v>V1.19 C-0715；原实施方式：原有。迁移风险：表达Polyline元素模型相关的数据结构、配置及状态视图</x:v>
      </x:c>
      <x:c r="L76" s="183" t="str">
        <x:v>源代码声明·待复核</x:v>
      </x:c>
      <x:c r="M76" s="183" t="str">
        <x:v>C-0715</x:v>
      </x:c>
      <x:c r="N76" s="184" t="str">
        <x:v>Platform/Core/Elements.cs</x:v>
      </x:c>
      <x:c r="O76" s="183" t="str">
        <x:v>V1.19旧源码类型（真实成员/实现仍待核）
V2.01：来源ID对应；处置=保留源码·公开契约复核
V7.8：V7.8同名且源文件对应；Platform/Core/Elements.cs</x:v>
      </x:c>
      <x:c r="P76" s="136" t="str">
        <x:v>V1.19旧源码类型（真实成员/实现仍待核）</x:v>
      </x:c>
    </x:row>
    <x:row r="77" ht="72" customHeight="1">
      <x:c r="A77" s="179" t="str">
        <x:v>M16</x:v>
      </x:c>
      <x:c r="B77" s="180" t="str">
        <x:v>表现与编辑｜Drawing / Layer / Geometry
Drawing Layers</x:v>
      </x:c>
      <x:c r="C77" s="180" t="str">
        <x:v>MDLRectangleElementModel</x:v>
      </x:c>
      <x:c r="D77" s="179" t="str">
        <x:v>原有·待核</x:v>
      </x:c>
      <x:c r="E77" s="180" t="str">
        <x:v>表达Rectangle元素模型相关的数据结构、配置及状态视图</x:v>
      </x:c>
      <x:c r="F77" s="180" t="str">
        <x:v>TypeId, RadiusX, RadiusY</x:v>
      </x:c>
      <x:c r="G77" s="180" t="str">
        <x:v>DeepClone(bool preserveId)</x:v>
      </x:c>
      <x:c r="H77" s="180" t="str">
        <x:v>—（待核）</x:v>
      </x:c>
      <x:c r="I77" s="180" t="str">
        <x:v>CxVisual.Core.RectangleElementModel</x:v>
      </x:c>
      <x:c r="J77" s="179" t="str">
        <x:v>类</x:v>
      </x:c>
      <x:c r="K77" s="180" t="str">
        <x:v>V1.19 C-0716；原实施方式：原有。迁移风险：表达Rectangle元素模型相关的数据结构、配置及状态视图</x:v>
      </x:c>
      <x:c r="L77" s="183" t="str">
        <x:v>源代码声明·待复核</x:v>
      </x:c>
      <x:c r="M77" s="183" t="str">
        <x:v>C-0716</x:v>
      </x:c>
      <x:c r="N77" s="184" t="str">
        <x:v>Platform/Core/Elements.cs</x:v>
      </x:c>
      <x:c r="O77" s="183" t="str">
        <x:v>V1.19旧源码类型（真实成员/实现仍待核）
V2.01：来源ID对应；处置=保留源码·公开契约复核
V7.8：V7.8同名且源文件对应；Platform/Core/Elements.cs</x:v>
      </x:c>
      <x:c r="P77" s="136" t="str">
        <x:v>V1.19旧源码类型（真实成员/实现仍待核）</x:v>
      </x:c>
    </x:row>
    <x:row r="78" ht="72" customHeight="1">
      <x:c r="A78" s="179" t="str">
        <x:v>M16</x:v>
      </x:c>
      <x:c r="B78" s="180" t="str">
        <x:v>表现与编辑｜Drawing / Layer / Geometry
Drawing Layers</x:v>
      </x:c>
      <x:c r="C78" s="180" t="str">
        <x:v>MDLResizePreviewEditSession</x:v>
      </x:c>
      <x:c r="D78" s="179" t="str">
        <x:v>原有·待核</x:v>
      </x:c>
      <x:c r="E78" s="180" t="str">
        <x:v>管理ResizePreviewEdit会话会话、资源归属、连接及释放时机</x:v>
      </x:c>
      <x:c r="F78" s="180" t="str">
        <x:v>Snap</x:v>
      </x:c>
      <x:c r="G78" s="180" t="str">
        <x:v>ResizePreviewEditSession(DesignerDocument document, ElementModel element, EditorHandleKind handle), Preview(Point2D current), Commit(), Cancel()</x:v>
      </x:c>
      <x:c r="H78" s="180" t="str">
        <x:v>—（待核）</x:v>
      </x:c>
      <x:c r="I78" s="180" t="str">
        <x:v>CxVisual.Designer.Application.ResizePreviewEditSession</x:v>
      </x:c>
      <x:c r="J78" s="179" t="str">
        <x:v>类</x:v>
      </x:c>
      <x:c r="K78" s="180" t="str">
        <x:v>V1.19 C-0739；原实施方式：原有。迁移风险：管理ResizePreviewEdit会话会话、资源归属、连接及释放时机</x:v>
      </x:c>
      <x:c r="L78" s="183" t="str">
        <x:v>源代码声明·待复核</x:v>
      </x:c>
      <x:c r="M78" s="183" t="str">
        <x:v>C-0739</x:v>
      </x:c>
      <x:c r="N78" s="184" t="str">
        <x:v>Host/Studio/Application/EditorTools.cs</x:v>
      </x:c>
      <x:c r="O78" s="183" t="str">
        <x:v>V1.19旧源码类型（真实成员/实现仍待核）
V2.01：来源ID对应；处置=保留源码·公开契约复核
V7.8：V7.8同名且源文件对应；Host/Studio/Application/EditorTools.cs</x:v>
      </x:c>
      <x:c r="P78" s="136" t="str">
        <x:v>V1.19旧源码类型（真实成员/实现仍待核）</x:v>
      </x:c>
    </x:row>
    <x:row r="79" ht="72" customHeight="1">
      <x:c r="A79" s="179" t="str">
        <x:v>M16</x:v>
      </x:c>
      <x:c r="B79" s="180" t="str">
        <x:v>表现与编辑｜Drawing / Layer / Geometry
Drawing Layers</x:v>
      </x:c>
      <x:c r="C79" s="180" t="str">
        <x:v>MDLRotatePreviewEditSession</x:v>
      </x:c>
      <x:c r="D79" s="179" t="str">
        <x:v>原有·待核</x:v>
      </x:c>
      <x:c r="E79" s="180" t="str">
        <x:v>管理RotatePreviewEdit会话会话、资源归属、连接及释放时机</x:v>
      </x:c>
      <x:c r="F79" s="180" t="str">
        <x:v>Snap</x:v>
      </x:c>
      <x:c r="G79" s="180" t="str">
        <x:v>RotatePreviewEditSession(DesignerDocument document, ElementModel element, Point2D start), Preview(Point2D current), Commit(), Cancel()</x:v>
      </x:c>
      <x:c r="H79" s="180" t="str">
        <x:v>—（待核）</x:v>
      </x:c>
      <x:c r="I79" s="180" t="str">
        <x:v>CxVisual.Designer.Application.RotatePreviewEditSession</x:v>
      </x:c>
      <x:c r="J79" s="179" t="str">
        <x:v>类</x:v>
      </x:c>
      <x:c r="K79" s="180" t="str">
        <x:v>V1.19 C-0740；原实施方式：原有。迁移风险：管理RotatePreviewEdit会话会话、资源归属、连接及释放时机</x:v>
      </x:c>
      <x:c r="L79" s="183" t="str">
        <x:v>源代码声明·待复核</x:v>
      </x:c>
      <x:c r="M79" s="183" t="str">
        <x:v>C-0740</x:v>
      </x:c>
      <x:c r="N79" s="184" t="str">
        <x:v>Host/Studio/Application/EditorTools.cs</x:v>
      </x:c>
      <x:c r="O79" s="183" t="str">
        <x:v>V1.19旧源码类型（真实成员/实现仍待核）
V2.01：来源ID对应；处置=保留源码·公开契约复核
V7.8：V7.8同名且源文件对应；Host/Studio/Application/EditorTools.cs</x:v>
      </x:c>
      <x:c r="P79" s="136" t="str">
        <x:v>V1.19旧源码类型（真实成员/实现仍待核）</x:v>
      </x:c>
    </x:row>
    <x:row r="80" ht="72" customHeight="1">
      <x:c r="A80" s="179" t="str">
        <x:v>M16</x:v>
      </x:c>
      <x:c r="B80" s="180" t="str">
        <x:v>表现与编辑｜Drawing / Layer / Geometry
Drawing Layers</x:v>
      </x:c>
      <x:c r="C80" s="180" t="str">
        <x:v>MDLRoundedRectangleElementModel</x:v>
      </x:c>
      <x:c r="D80" s="179" t="str">
        <x:v>原有·待核</x:v>
      </x:c>
      <x:c r="E80" s="180" t="str">
        <x:v>表达RoundedRectangle元素模型相关的数据结构、配置及状态视图</x:v>
      </x:c>
      <x:c r="F80" s="180" t="str">
        <x:v>TypeId</x:v>
      </x:c>
      <x:c r="G80" s="180" t="str">
        <x:v>RoundedRectangleElementModel(), DeepClone(bool preserveId)</x:v>
      </x:c>
      <x:c r="H80" s="180" t="str">
        <x:v>—（待核）</x:v>
      </x:c>
      <x:c r="I80" s="180" t="str">
        <x:v>CxVisual.Core.RoundedRectangleElementModel</x:v>
      </x:c>
      <x:c r="J80" s="179" t="str">
        <x:v>类</x:v>
      </x:c>
      <x:c r="K80" s="180" t="str">
        <x:v>V1.19 C-0717；原实施方式：原有。迁移风险：表达RoundedRectangle元素模型相关的数据结构、配置及状态视图</x:v>
      </x:c>
      <x:c r="L80" s="183" t="str">
        <x:v>源代码声明·待复核</x:v>
      </x:c>
      <x:c r="M80" s="183" t="str">
        <x:v>C-0717</x:v>
      </x:c>
      <x:c r="N80" s="184" t="str">
        <x:v>Platform/Core/Elements.cs</x:v>
      </x:c>
      <x:c r="O80" s="183" t="str">
        <x:v>V1.19旧源码类型（真实成员/实现仍待核）
V2.01：来源ID对应；处置=保留源码·公开契约复核
V7.8：V7.8同名且源文件对应；Platform/Core/Elements.cs</x:v>
      </x:c>
      <x:c r="P80" s="136" t="str">
        <x:v>V1.19旧源码类型（真实成员/实现仍待核）</x:v>
      </x:c>
    </x:row>
    <x:row r="81" ht="72" customHeight="1">
      <x:c r="A81" s="179" t="str">
        <x:v>M16</x:v>
      </x:c>
      <x:c r="B81" s="180" t="str">
        <x:v>表现与编辑｜Drawing / Layer / Geometry
Drawing Layers</x:v>
      </x:c>
      <x:c r="C81" s="180" t="str">
        <x:v>MDLSceneView</x:v>
      </x:c>
      <x:c r="D81" s="179" t="str">
        <x:v>原有·待核</x:v>
      </x:c>
      <x:c r="E81" s="180" t="str">
        <x:v>提供Scene视图可视组件和数据展示界面</x:v>
      </x:c>
      <x:c r="F81" s="180" t="str">
        <x:v>Page, Zoom, PanX, PanY, PagePadding, ShowGrid, ShowPageBoundary, GridSize, Renderers, PropertyMetadata, RuntimeValueAccessor, SymbolDefinitionResolver, ElementResolver, RenderStandardControls, SelectedIds</x:v>
      </x:c>
      <x:c r="G81" s="180" t="str">
        <x:v>SceneView(), SetPage(PageModel page), SetSelection(IEnumerable&lt;string&gt; selectedIds), FitToViewport(), ScreenToModel(Point point), ModelToScreen(Point2D point), HitTestElement(Point screenPoint), OnRender(DrawingContext context), DrawDesignerOverlay(DrawingContext context), DrawElement(DrawingContext context, ElementModel element)</x:v>
      </x:c>
      <x:c r="H81" s="180" t="str">
        <x:v>—（待核）</x:v>
      </x:c>
      <x:c r="I81" s="180" t="str">
        <x:v>CxVisual.Rendering.Wpf.SceneView</x:v>
      </x:c>
      <x:c r="J81" s="179" t="str">
        <x:v>类</x:v>
      </x:c>
      <x:c r="K81" s="180" t="str">
        <x:v>V1.19 C-0766；原实施方式：原有。迁移风险：提供Scene视图可视组件和数据展示界面</x:v>
      </x:c>
      <x:c r="L81" s="183" t="str">
        <x:v>源代码声明·待复核</x:v>
      </x:c>
      <x:c r="M81" s="183" t="str">
        <x:v>C-0766</x:v>
      </x:c>
      <x:c r="N81" s="184" t="str">
        <x:v>Platform.Presentation.Wpf/Rendering/SceneView.cs</x:v>
      </x:c>
      <x:c r="O81" s="183" t="str">
        <x:v>V1.19旧源码类型（真实成员/实现仍待核）
V2.01：来源ID对应；处置=保留源码·公开契约复核
V7.8：V7.8同名且源文件对应；Platform.Presentation.Wpf/Rendering/SceneView.cs
归属优先核查：WPF通用呈现迁入M_PresentationWpf；仅Studio专用窗口留Studio；具体UI类型不应归Core/无UI Visual</x:v>
      </x:c>
      <x:c r="P81" s="136" t="str">
        <x:v>V1.19旧源码类型（真实成员/实现仍待核）</x:v>
      </x:c>
    </x:row>
    <x:row r="82" ht="72" customHeight="1">
      <x:c r="A82" s="179" t="str">
        <x:v>M16</x:v>
      </x:c>
      <x:c r="B82" s="180" t="str">
        <x:v>表现与编辑｜Drawing / Layer / Geometry
Drawing Layers</x:v>
      </x:c>
      <x:c r="C82" s="180" t="str">
        <x:v>MDLStandardControlCatalog</x:v>
      </x:c>
      <x:c r="D82" s="179" t="str">
        <x:v>原有·待核</x:v>
      </x:c>
      <x:c r="E82" s="180" t="str">
        <x:v>组织与检索StandardControl目录列表及可发现的能力信息</x:v>
      </x:c>
      <x:c r="F82" s="180" t="str">
        <x:v>TypeIds</x:v>
      </x:c>
      <x:c r="G82" s="180" t="str">
        <x:v>Contains(string typeId)</x:v>
      </x:c>
      <x:c r="H82" s="180" t="str">
        <x:v>—（待核）</x:v>
      </x:c>
      <x:c r="I82" s="180" t="str">
        <x:v>CxVisual.Core.StandardControlCatalog</x:v>
      </x:c>
      <x:c r="J82" s="179" t="str">
        <x:v>静态类</x:v>
      </x:c>
      <x:c r="K82" s="180" t="str">
        <x:v>V1.19 C-0718；原实施方式：原有。迁移风险：组织与检索StandardControl目录列表及可发现的能力信息</x:v>
      </x:c>
      <x:c r="L82" s="183" t="str">
        <x:v>源代码声明·待复核</x:v>
      </x:c>
      <x:c r="M82" s="183" t="str">
        <x:v>C-0718</x:v>
      </x:c>
      <x:c r="N82" s="184" t="str">
        <x:v>Platform/Core/StandardControls.cs</x:v>
      </x:c>
      <x:c r="O82" s="183" t="str">
        <x:v>V1.19旧源码类型（真实成员/实现仍待核）
V2.01：来源ID对应；处置=保留源码·公开契约复核
V7.8：V7.8同名且源文件对应；Platform/Core/StandardControls.cs</x:v>
      </x:c>
      <x:c r="P82" s="136" t="str">
        <x:v>V1.19旧源码类型（真实成员/实现仍待核）</x:v>
      </x:c>
    </x:row>
    <x:row r="83" ht="72" customHeight="1">
      <x:c r="A83" s="179" t="str">
        <x:v>M16</x:v>
      </x:c>
      <x:c r="B83" s="180" t="str">
        <x:v>表现与编辑｜Drawing / Layer / Geometry
Drawing Layers</x:v>
      </x:c>
      <x:c r="C83" s="180" t="str">
        <x:v>MDLStandardControlLayer</x:v>
      </x:c>
      <x:c r="D83" s="179" t="str">
        <x:v>原有·待核</x:v>
      </x:c>
      <x:c r="E83" s="180" t="str">
        <x:v>表达或管理StandardControl图层相关的数据及协作职责，具体行为待源码复核〔待核〕</x:v>
      </x:c>
      <x:c r="F83" s="180" t="str">
        <x:v>ValueChanged, Invoked, Page, RuntimeValueAccessor, ElementResolver, ViewZoom, ViewPanX, ViewPanY, ViewPagePadding, ControlCount</x:v>
      </x:c>
      <x:c r="G83" s="180" t="str">
        <x:v>StandardControlLayer(), SetPage(PageModel page), SetViewport(double zoom, double panX, double panY, double pagePadding), SynchronizeControls(), RefreshAll(), RefreshElement(string elementId, string propertyKey = null), FindControl(string elementId)</x:v>
      </x:c>
      <x:c r="H83" s="180" t="str">
        <x:v>—（待核）</x:v>
      </x:c>
      <x:c r="I83" s="180" t="str">
        <x:v>CxVisual.Rendering.Wpf.StandardControlLayer</x:v>
      </x:c>
      <x:c r="J83" s="179" t="str">
        <x:v>类</x:v>
      </x:c>
      <x:c r="K83" s="180" t="str">
        <x:v>V1.19 C-0767；原实施方式：原有。迁移风险：表达或管理StandardControl图层相关的数据及协作职责，具体行为待源码复核〔待核〕</x:v>
      </x:c>
      <x:c r="L83" s="183" t="str">
        <x:v>源代码声明·待复核</x:v>
      </x:c>
      <x:c r="M83" s="183" t="str">
        <x:v>C-0767</x:v>
      </x:c>
      <x:c r="N83" s="184" t="str">
        <x:v>Platform.Presentation.Wpf/Rendering/StandardControlLayer.cs</x:v>
      </x:c>
      <x:c r="O83" s="183" t="str">
        <x:v>V1.19旧源码类型（真实成员/实现仍待核）
V2.01：来源ID对应；处置=保留源码·公开契约复核
V7.8：V7.8同名且源文件对应；Platform.Presentation.Wpf/Rendering/StandardControlLayer.cs
归属优先核查：WPF通用呈现迁入M_PresentationWpf；仅Studio专用窗口留Studio；具体UI类型不应归Core/无UI Visual</x:v>
      </x:c>
      <x:c r="P83" s="136" t="str">
        <x:v>V1.19旧源码类型（真实成员/实现仍待核）</x:v>
      </x:c>
    </x:row>
    <x:row r="84" ht="72" customHeight="1">
      <x:c r="A84" s="179" t="str">
        <x:v>M16</x:v>
      </x:c>
      <x:c r="B84" s="180" t="str">
        <x:v>表现与编辑｜Drawing / Layer / Geometry
Drawing Layers</x:v>
      </x:c>
      <x:c r="C84" s="180" t="str">
        <x:v>MDLStandardControlValueChangedEventArgs</x:v>
      </x:c>
      <x:c r="D84" s="179" t="str">
        <x:v>原有·待核</x:v>
      </x:c>
      <x:c r="E84" s="180" t="str">
        <x:v>表达或管理StandardControl值Changed事件Args相关的数据及协作职责，具体行为待源码复核〔待核〕</x:v>
      </x:c>
      <x:c r="F84" s="180" t="str">
        <x:v>Element, PropertyKey, Value</x:v>
      </x:c>
      <x:c r="G84" s="180" t="str">
        <x:v>StandardControlValueChangedEventArgs(ControlElementModel element, string propertyKey, object value)</x:v>
      </x:c>
      <x:c r="H84" s="180" t="str">
        <x:v>—（待核）</x:v>
      </x:c>
      <x:c r="I84" s="180" t="str">
        <x:v>CxVisual.Rendering.Wpf.StandardControlValueChangedEventArgs</x:v>
      </x:c>
      <x:c r="J84" s="179" t="str">
        <x:v>类</x:v>
      </x:c>
      <x:c r="K84" s="180" t="str">
        <x:v>V1.19 C-0769；原实施方式：原有。迁移风险：表达或管理StandardControl值Changed事件Args相关的数据及协作职责，具体行为待源码复核〔待核〕</x:v>
      </x:c>
      <x:c r="L84" s="183" t="str">
        <x:v>源代码声明·待复核</x:v>
      </x:c>
      <x:c r="M84" s="183" t="str">
        <x:v>C-0769</x:v>
      </x:c>
      <x:c r="N84" s="184" t="str">
        <x:v>Platform.Presentation.Wpf/Rendering/StandardControlLayer.cs</x:v>
      </x:c>
      <x:c r="O84" s="183" t="str">
        <x:v>V1.19旧源码类型（真实成员/实现仍待核）
V2.01：来源ID对应；处置=保留源码·公开契约复核
V7.8：V7.8同名且源文件对应；Platform.Presentation.Wpf/Rendering/StandardControlLayer.cs
归属优先核查：WPF通用呈现迁入M_PresentationWpf；仅Studio专用窗口留Studio；具体UI类型不应归Core/无UI Visual</x:v>
      </x:c>
      <x:c r="P84" s="136" t="str">
        <x:v>V1.19旧源码类型（真实成员/实现仍待核）</x:v>
      </x:c>
    </x:row>
    <x:row r="85" ht="72" customHeight="1">
      <x:c r="A85" s="179" t="str">
        <x:v>M16</x:v>
      </x:c>
      <x:c r="B85" s="180" t="str">
        <x:v>表现与编辑｜Drawing / Layer / Geometry
Drawing Layers</x:v>
      </x:c>
      <x:c r="C85" s="180" t="str">
        <x:v>MDLStandardUiElementModel</x:v>
      </x:c>
      <x:c r="D85" s="179" t="str">
        <x:v>原有·待核</x:v>
      </x:c>
      <x:c r="E85" s="180" t="str">
        <x:v>表达StandardUi元素模型相关的数据结构、配置及状态视图</x:v>
      </x:c>
      <x:c r="F85" s="180" t="str">
        <x:v>TypeId</x:v>
      </x:c>
      <x:c r="G85" s="180" t="str">
        <x:v>StandardUiElementModel(string typeId), DeepClone(bool preserveId)</x:v>
      </x:c>
      <x:c r="H85" s="180" t="str">
        <x:v>—（待核）</x:v>
      </x:c>
      <x:c r="I85" s="180" t="str">
        <x:v>CxVisual.Core.StandardUiElementModel</x:v>
      </x:c>
      <x:c r="J85" s="179" t="str">
        <x:v>类</x:v>
      </x:c>
      <x:c r="K85" s="180" t="str">
        <x:v>V1.19 C-0719；原实施方式：原有。迁移风险：表达StandardUi元素模型相关的数据结构、配置及状态视图</x:v>
      </x:c>
      <x:c r="L85" s="183" t="str">
        <x:v>源代码声明·待复核</x:v>
      </x:c>
      <x:c r="M85" s="183" t="str">
        <x:v>C-0719</x:v>
      </x:c>
      <x:c r="N85" s="184" t="str">
        <x:v>Platform/Core/StandardControls.cs</x:v>
      </x:c>
      <x:c r="O85" s="183" t="str">
        <x:v>V1.19旧源码类型（真实成员/实现仍待核）
V2.01：来源ID对应；处置=保留源码·公开契约复核
V7.8：V7.8同名且源文件对应；Platform/Core/StandardControls.cs</x:v>
      </x:c>
      <x:c r="P85" s="136" t="str">
        <x:v>V1.19旧源码类型（真实成员/实现仍待核）</x:v>
      </x:c>
    </x:row>
    <x:row r="86" ht="72" customHeight="1">
      <x:c r="A86" s="179" t="str">
        <x:v>M16</x:v>
      </x:c>
      <x:c r="B86" s="180" t="str">
        <x:v>表现与编辑｜Drawing / Layer / Geometry
Drawing Layers</x:v>
      </x:c>
      <x:c r="C86" s="180" t="str">
        <x:v>MDLSvgVectorElementModel</x:v>
      </x:c>
      <x:c r="D86" s="179" t="str">
        <x:v>原有·待核</x:v>
      </x:c>
      <x:c r="E86" s="180" t="str">
        <x:v>表达Svg向量元素模型相关的数据结构、配置及状态视图</x:v>
      </x:c>
      <x:c r="F86" s="180" t="str">
        <x:v>TypeId, SanitizedSvg, SourceResourceId, ViewBox, FeatureReport</x:v>
      </x:c>
      <x:c r="G86" s="180" t="str">
        <x:v>SvgVectorElementModel(), DeepClone(bool preserveId)</x:v>
      </x:c>
      <x:c r="H86" s="180" t="str">
        <x:v>—（待核）</x:v>
      </x:c>
      <x:c r="I86" s="180" t="str">
        <x:v>CxVisual.Core.SvgVectorElementModel</x:v>
      </x:c>
      <x:c r="J86" s="179" t="str">
        <x:v>类</x:v>
      </x:c>
      <x:c r="K86" s="180" t="str">
        <x:v>V1.19 C-0720；原实施方式：原有。迁移风险：表达Svg向量元素模型相关的数据结构、配置及状态视图</x:v>
      </x:c>
      <x:c r="L86" s="183" t="str">
        <x:v>源代码声明·待复核</x:v>
      </x:c>
      <x:c r="M86" s="183" t="str">
        <x:v>C-0720</x:v>
      </x:c>
      <x:c r="N86" s="184" t="str">
        <x:v>Platform/Core/Elements.cs</x:v>
      </x:c>
      <x:c r="O86" s="183" t="str">
        <x:v>V1.19旧源码类型（真实成员/实现仍待核）
V2.01：来源ID对应；处置=保留源码·公开契约复核
V7.8：V7.8同名且源文件对应；Platform/Core/Elements.cs</x:v>
      </x:c>
      <x:c r="P86" s="136" t="str">
        <x:v>V1.19旧源码类型（真实成员/实现仍待核）</x:v>
      </x:c>
    </x:row>
    <x:row r="87" ht="72" customHeight="1">
      <x:c r="A87" s="179" t="str">
        <x:v>M16</x:v>
      </x:c>
      <x:c r="B87" s="180" t="str">
        <x:v>表现与编辑｜Drawing / Layer / Geometry
Drawing Layers</x:v>
      </x:c>
      <x:c r="C87" s="180" t="str">
        <x:v>MDLTextElementModel</x:v>
      </x:c>
      <x:c r="D87" s="179" t="str">
        <x:v>原有·待核</x:v>
      </x:c>
      <x:c r="E87" s="180" t="str">
        <x:v>表达Text元素模型相关的数据结构、配置及状态视图</x:v>
      </x:c>
      <x:c r="F87" s="180" t="str">
        <x:v>TypeId, Text, FontSize, Foreground</x:v>
      </x:c>
      <x:c r="G87" s="180" t="str">
        <x:v>DeepClone(bool preserveId)</x:v>
      </x:c>
      <x:c r="H87" s="180" t="str">
        <x:v>—（待核）</x:v>
      </x:c>
      <x:c r="I87" s="180" t="str">
        <x:v>CxVisual.Core.TextElementModel</x:v>
      </x:c>
      <x:c r="J87" s="179" t="str">
        <x:v>类</x:v>
      </x:c>
      <x:c r="K87" s="180" t="str">
        <x:v>V1.19 C-0721；原实施方式：原有。迁移风险：表达Text元素模型相关的数据结构、配置及状态视图</x:v>
      </x:c>
      <x:c r="L87" s="183" t="str">
        <x:v>源代码声明·待复核</x:v>
      </x:c>
      <x:c r="M87" s="183" t="str">
        <x:v>C-0721</x:v>
      </x:c>
      <x:c r="N87" s="184" t="str">
        <x:v>Platform/Core/Elements.cs</x:v>
      </x:c>
      <x:c r="O87" s="183" t="str">
        <x:v>V1.19旧源码类型（真实成员/实现仍待核）
V2.01：来源ID对应；处置=保留源码·公开契约复核
V7.8：V7.8同名且源文件对应；Platform/Core/Elements.cs</x:v>
      </x:c>
      <x:c r="P87" s="136" t="str">
        <x:v>V1.19旧源码类型（真实成员/实现仍待核）</x:v>
      </x:c>
    </x:row>
    <x:row r="88" ht="72" customHeight="1">
      <x:c r="A88" s="179" t="str">
        <x:v>M16</x:v>
      </x:c>
      <x:c r="B88" s="180" t="str">
        <x:v>表现与编辑｜Drawing / Layer / Geometry
Drawing Layers</x:v>
      </x:c>
      <x:c r="C88" s="180" t="str">
        <x:v>MDLToolContext</x:v>
      </x:c>
      <x:c r="D88" s="179" t="str">
        <x:v>原有·待核</x:v>
      </x:c>
      <x:c r="E88" s="180" t="str">
        <x:v>传递Tool上下文执行或编辑过程中共享的上下文数据</x:v>
      </x:c>
      <x:c r="F88" s="180" t="str">
        <x:v>Document</x:v>
      </x:c>
      <x:c r="G88" s="180" t="str">
        <x:v>ToolContext(DesignerDocument document), Snap(Point2D point), CreateElement(string typeId)</x:v>
      </x:c>
      <x:c r="H88" s="180" t="str">
        <x:v>—（待核）</x:v>
      </x:c>
      <x:c r="I88" s="180" t="str">
        <x:v>CxVisual.Designer.Application.ToolContext</x:v>
      </x:c>
      <x:c r="J88" s="179" t="str">
        <x:v>类</x:v>
      </x:c>
      <x:c r="K88" s="180" t="str">
        <x:v>V1.19 C-0741；原实施方式：原有。迁移风险：传递Tool上下文执行或编辑过程中共享的上下文数据</x:v>
      </x:c>
      <x:c r="L88" s="183" t="str">
        <x:v>源代码声明·待复核</x:v>
      </x:c>
      <x:c r="M88" s="183" t="str">
        <x:v>C-0741</x:v>
      </x:c>
      <x:c r="N88" s="184" t="str">
        <x:v>Host/Studio/Application/EditorTools.cs</x:v>
      </x:c>
      <x:c r="O88" s="183" t="str">
        <x:v>V1.19旧源码类型（真实成员/实现仍待核）
V2.01：来源ID对应；处置=保留源码·公开契约复核
V7.8：V7.8同名且源文件对应；Host/Studio/Application/EditorTools.cs</x:v>
      </x:c>
      <x:c r="P88" s="136" t="str">
        <x:v>V1.19旧源码类型（真实成员/实现仍待核）</x:v>
      </x:c>
    </x:row>
    <x:row r="89" ht="72" customHeight="1">
      <x:c r="A89" s="179" t="str">
        <x:v>M16</x:v>
      </x:c>
      <x:c r="B89" s="180" t="str">
        <x:v>表现与编辑｜Drawing / Layer / Geometry
Drawing Layers</x:v>
      </x:c>
      <x:c r="C89" s="180" t="str">
        <x:v>MDLToolController</x:v>
      </x:c>
      <x:c r="D89" s="179" t="str">
        <x:v>原有·待核</x:v>
      </x:c>
      <x:c r="E89" s="180" t="str">
        <x:v>协调ToolController操作请求、状态更新与交互命令</x:v>
      </x:c>
      <x:c r="F89" s="180" t="str">
        <x:v>Preview</x:v>
      </x:c>
      <x:c r="G89" s="180" t="str">
        <x:v>ToolController(DesignerDocument document), SetActive(DesignerToolKind kind), PointerDown(EditorPointerEvent value), PointerMove(EditorPointerEvent value), PointerUp(EditorPointerEvent value), KeyDown(EditorKey value), Cancel()</x:v>
      </x:c>
      <x:c r="H89" s="180" t="str">
        <x:v>—（待核）</x:v>
      </x:c>
      <x:c r="I89" s="180" t="str">
        <x:v>CxVisual.Designer.Application.ToolController</x:v>
      </x:c>
      <x:c r="J89" s="179" t="str">
        <x:v>类</x:v>
      </x:c>
      <x:c r="K89" s="180" t="str">
        <x:v>V1.19 C-0742；原实施方式：原有。迁移风险：协调ToolController操作请求、状态更新与交互命令</x:v>
      </x:c>
      <x:c r="L89" s="183" t="str">
        <x:v>源代码声明·待复核</x:v>
      </x:c>
      <x:c r="M89" s="183" t="str">
        <x:v>C-0742</x:v>
      </x:c>
      <x:c r="N89" s="184" t="str">
        <x:v>Host/Studio/Application/EditorTools.cs</x:v>
      </x:c>
      <x:c r="O89" s="183" t="str">
        <x:v>V1.19旧源码类型（真实成员/实现仍待核）
V2.01：来源ID对应；处置=保留源码·公开契约复核
V7.8：V7.8同名且源文件对应；Host/Studio/Application/EditorTools.cs</x:v>
      </x:c>
      <x:c r="P89" s="136" t="str">
        <x:v>V1.19旧源码类型（真实成员/实现仍待核）</x:v>
      </x:c>
    </x:row>
    <x:row r="90" ht="72" customHeight="1">
      <x:c r="A90" s="179" t="str">
        <x:v>M16</x:v>
      </x:c>
      <x:c r="B90" s="180" t="str">
        <x:v>表现与编辑｜Drawing / Layer / Geometry
Drawing Layers</x:v>
      </x:c>
      <x:c r="C90" s="180" t="str">
        <x:v>MDLToolPreview</x:v>
      </x:c>
      <x:c r="D90" s="179" t="str">
        <x:v>原有·待核</x:v>
      </x:c>
      <x:c r="E90" s="180" t="str">
        <x:v>表达或管理ToolPreview相关的数据及协作职责，具体行为待源码复核〔待核〕</x:v>
      </x:c>
      <x:c r="F90" s="180" t="str">
        <x:v>Kind, Bounds, Points, PathNodes, CurrentPoint, IsClosed</x:v>
      </x:c>
      <x:c r="G90" s="180" t="str">
        <x:v>—(无公开声明或待核对)</x:v>
      </x:c>
      <x:c r="H90" s="180" t="str">
        <x:v>—（待核）</x:v>
      </x:c>
      <x:c r="I90" s="180" t="str">
        <x:v>CxVisual.Designer.Application.ToolPreview</x:v>
      </x:c>
      <x:c r="J90" s="179" t="str">
        <x:v>类</x:v>
      </x:c>
      <x:c r="K90" s="180" t="str">
        <x:v>V1.19 C-0743；原实施方式：原有。迁移风险：表达或管理ToolPreview相关的数据及协作职责，具体行为待源码复核〔待核〕</x:v>
      </x:c>
      <x:c r="L90" s="183" t="str">
        <x:v>源代码声明·待复核</x:v>
      </x:c>
      <x:c r="M90" s="183" t="str">
        <x:v>C-0743</x:v>
      </x:c>
      <x:c r="N90" s="184" t="str">
        <x:v>Host/Studio/Application/EditorTools.cs</x:v>
      </x:c>
      <x:c r="O90" s="183" t="str">
        <x:v>V1.19旧源码类型（真实成员/实现仍待核）
V2.01：来源ID对应；处置=保留源码·公开契约复核
V7.8：V7.8同名且源文件对应；Host/Studio/Application/EditorTools.cs</x:v>
      </x:c>
      <x:c r="P90" s="136" t="str">
        <x:v>V1.19旧源码类型（真实成员/实现仍待核）</x:v>
      </x:c>
    </x:row>
    <x:row r="91" ht="72" customHeight="1">
      <x:c r="A91" s="179" t="str">
        <x:v>M16</x:v>
      </x:c>
      <x:c r="B91" s="180" t="str">
        <x:v>表现与编辑｜Drawing / Layer / Geometry
Drawing Layers</x:v>
      </x:c>
      <x:c r="C91" s="180" t="str">
        <x:v>MDLToolPreviewKind</x:v>
      </x:c>
      <x:c r="D91" s="179" t="str">
        <x:v>原有·待核</x:v>
      </x:c>
      <x:c r="E91" s="180" t="str">
        <x:v>定义ToolPreviewKind的候选取值、状态或模式，供相关流程作分支判断</x:v>
      </x:c>
      <x:c r="F91" s="180" t="str">
        <x:v>枚举值：None, Rectangle, Ellipse, Line, Polyline, Bezier</x:v>
      </x:c>
      <x:c r="G91" s="180" t="str">
        <x:v>—(无公开声明或待核对)</x:v>
      </x:c>
      <x:c r="H91" s="180" t="str">
        <x:v>—（待核）</x:v>
      </x:c>
      <x:c r="I91" s="180" t="str">
        <x:v>CxVisual.Designer.Application.ToolPreviewKind</x:v>
      </x:c>
      <x:c r="J91" s="179" t="str">
        <x:v>枚举</x:v>
      </x:c>
      <x:c r="K91" s="180" t="str">
        <x:v>V1.19 C-0744；原实施方式：原有。迁移风险：定义ToolPreviewKind的候选取值、状态或模式，供相关流程作分支判断</x:v>
      </x:c>
      <x:c r="L91" s="183" t="str">
        <x:v>源代码声明·待复核</x:v>
      </x:c>
      <x:c r="M91" s="183" t="str">
        <x:v>C-0744</x:v>
      </x:c>
      <x:c r="N91" s="184" t="str">
        <x:v>Host/Studio/Application/EditorTools.cs</x:v>
      </x:c>
      <x:c r="O91" s="183" t="str">
        <x:v>V1.19旧源码类型（真实成员/实现仍待核）
V2.01：来源ID对应；处置=保留源码·公开契约复核
V7.8：V7.8同名且源文件对应；Host/Studio/Application/EditorTools.cs</x:v>
      </x:c>
      <x:c r="P91" s="136" t="str">
        <x:v>V1.19旧源码类型（真实成员/实现仍待核）</x:v>
      </x:c>
    </x:row>
    <x:row r="92" ht="72" customHeight="1">
      <x:c r="A92" s="179" t="str">
        <x:v>M16</x:v>
      </x:c>
      <x:c r="B92" s="180" t="str">
        <x:v>表现与编辑｜Drawing / Layer / Geometry
Drawing Layers</x:v>
      </x:c>
      <x:c r="C92" s="180" t="str">
        <x:v>MDLToolResponse</x:v>
      </x:c>
      <x:c r="D92" s="179" t="str">
        <x:v>原有·待核</x:v>
      </x:c>
      <x:c r="E92" s="180" t="str">
        <x:v>定义Tool响应操作返回的数据、状态与错误信息</x:v>
      </x:c>
      <x:c r="F92" s="180" t="str">
        <x:v>Handled, CapturePointer, ReleasePointer, Invalidate</x:v>
      </x:c>
      <x:c r="G92" s="180" t="str">
        <x:v>Ignore(), Update(bool capture = false, bool release = false)</x:v>
      </x:c>
      <x:c r="H92" s="180" t="str">
        <x:v>—（待核）</x:v>
      </x:c>
      <x:c r="I92" s="180" t="str">
        <x:v>CxVisual.Designer.Application.ToolResponse</x:v>
      </x:c>
      <x:c r="J92" s="179" t="str">
        <x:v>类</x:v>
      </x:c>
      <x:c r="K92" s="180" t="str">
        <x:v>V1.19 C-0745；原实施方式：原有。迁移风险：定义Tool响应操作返回的数据、状态与错误信息</x:v>
      </x:c>
      <x:c r="L92" s="183" t="str">
        <x:v>源代码声明·待复核</x:v>
      </x:c>
      <x:c r="M92" s="183" t="str">
        <x:v>C-0745</x:v>
      </x:c>
      <x:c r="N92" s="184" t="str">
        <x:v>Host/Studio/Application/EditorTools.cs</x:v>
      </x:c>
      <x:c r="O92" s="183" t="str">
        <x:v>V1.19旧源码类型（真实成员/实现仍待核）
V2.01：来源ID对应；处置=保留源码·公开契约复核
V7.8：V7.8同名且源文件对应；Host/Studio/Application/EditorTools.cs</x:v>
      </x:c>
      <x:c r="P92" s="136" t="str">
        <x:v>V1.19旧源码类型（真实成员/实现仍待核）</x:v>
      </x:c>
    </x:row>
    <x:row r="93" ht="72" customHeight="1">
      <x:c r="A93" s="179" t="str">
        <x:v>M16</x:v>
      </x:c>
      <x:c r="B93" s="180" t="str">
        <x:v>表现与编辑｜Drawing / Layer / Geometry
Drawing Layers</x:v>
      </x:c>
      <x:c r="C93" s="180" t="str">
        <x:v>MDLUnknownElementModel</x:v>
      </x:c>
      <x:c r="D93" s="179" t="str">
        <x:v>原有·待核</x:v>
      </x:c>
      <x:c r="E93" s="180" t="str">
        <x:v>表达Unknown元素模型相关的数据结构、配置及状态视图</x:v>
      </x:c>
      <x:c r="F93" s="180" t="str">
        <x:v>TypeId, OriginalTypeId, RawJson</x:v>
      </x:c>
      <x:c r="G93" s="180" t="str">
        <x:v>TryRehydrate(ElementFactoryRegistry factories, out ElementModel node, out string error), TryRehydrate(ElementFactoryRegistry factories, out ElementModel node), DeepClone(bool preserveId)</x:v>
      </x:c>
      <x:c r="H93" s="180" t="str">
        <x:v>—（待核）</x:v>
      </x:c>
      <x:c r="I93" s="180" t="str">
        <x:v>CxVisual.Core.UnknownElementModel</x:v>
      </x:c>
      <x:c r="J93" s="179" t="str">
        <x:v>类</x:v>
      </x:c>
      <x:c r="K93" s="180" t="str">
        <x:v>V1.19 C-0722；原实施方式：原有。迁移风险：表达Unknown元素模型相关的数据结构、配置及状态视图</x:v>
      </x:c>
      <x:c r="L93" s="183" t="str">
        <x:v>源代码声明·待复核</x:v>
      </x:c>
      <x:c r="M93" s="183" t="str">
        <x:v>C-0722</x:v>
      </x:c>
      <x:c r="N93" s="184" t="str">
        <x:v>Platform/Core/Elements.cs</x:v>
      </x:c>
      <x:c r="O93" s="183" t="str">
        <x:v>V1.19旧源码类型（真实成员/实现仍待核）
V2.01：来源ID对应；处置=保留源码·公开契约复核
V7.8：V7.8同名且源文件对应；Platform/Core/Elements.cs</x:v>
      </x:c>
      <x:c r="P93" s="136" t="str">
        <x:v>V1.19旧源码类型（真实成员/实现仍待核）</x:v>
      </x:c>
    </x:row>
    <x:row r="94" ht="72" customHeight="1">
      <x:c r="A94" s="179" t="str">
        <x:v>M16</x:v>
      </x:c>
      <x:c r="B94" s="180" t="str">
        <x:v>表现与编辑｜Drawing / Layer / Geometry
Drawing Layers</x:v>
      </x:c>
      <x:c r="C94" s="180" t="str">
        <x:v>MDLUnknownElementRenderer</x:v>
      </x:c>
      <x:c r="D94" s="179" t="str">
        <x:v>原有·待核</x:v>
      </x:c>
      <x:c r="E94" s="180" t="str">
        <x:v>表达或管理Unknown元素Renderer相关的数据及协作职责，具体行为待源码复核〔待核〕</x:v>
      </x:c>
      <x:c r="F94" s="180" t="str">
        <x:v>—（无公开声明或待核对）</x:v>
      </x:c>
      <x:c r="G94" s="180" t="str">
        <x:v>Render(ElementRenderContext context, ElementModel element)</x:v>
      </x:c>
      <x:c r="H94" s="180" t="str">
        <x:v>—（待核）</x:v>
      </x:c>
      <x:c r="I94" s="180" t="str">
        <x:v>CxVisual.Rendering.Wpf.UnknownElementRenderer</x:v>
      </x:c>
      <x:c r="J94" s="179" t="str">
        <x:v>类</x:v>
      </x:c>
      <x:c r="K94" s="180" t="str">
        <x:v>V1.19 C-0770；原实施方式：原有。迁移风险：表达或管理Unknown元素Renderer相关的数据及协作职责，具体行为待源码复核〔待核〕</x:v>
      </x:c>
      <x:c r="L94" s="183" t="str">
        <x:v>源代码声明·待复核</x:v>
      </x:c>
      <x:c r="M94" s="183" t="str">
        <x:v>C-0770</x:v>
      </x:c>
      <x:c r="N94" s="184" t="str">
        <x:v>Platform.Presentation.Wpf/Rendering/ElementRendererRegistry.cs</x:v>
      </x:c>
      <x:c r="O94" s="183" t="str">
        <x:v>V1.19旧源码类型（真实成员/实现仍待核）
V2.01：来源ID对应；处置=保留源码·公开契约复核
V7.8：V7.8同名且源文件对应；Platform.Presentation.Wpf/Rendering/ElementRendererRegistry.cs
归属优先核查：WPF通用呈现迁入M_PresentationWpf；仅Studio专用窗口留Studio；具体UI类型不应归Core/无UI Visual</x:v>
      </x:c>
      <x:c r="P94" s="136" t="str">
        <x:v>V1.19旧源码类型（真实成员/实现仍待核）</x:v>
      </x:c>
    </x:row>
    <x:row r="95" ht="72" customHeight="1">
      <x:c r="A95" s="179" t="str">
        <x:v>M16</x:v>
      </x:c>
      <x:c r="B95" s="180" t="str">
        <x:v>表现与编辑｜Drawing / Layer / Geometry
Drawing Layers</x:v>
      </x:c>
      <x:c r="C95" s="180" t="str">
        <x:v>MDLViewerHost</x:v>
      </x:c>
      <x:c r="D95" s="179" t="str">
        <x:v>原有·待核</x:v>
      </x:c>
      <x:c r="E95" s="180" t="str">
        <x:v>表达或管理查看器宿主相关的数据及协作职责，具体行为待源码复核〔待核〕</x:v>
      </x:c>
      <x:c r="F95" s="180" t="str">
        <x:v>ViewerId</x:v>
      </x:c>
      <x:c r="G95" s="180" t="str">
        <x:v>Register(, typeof(string)</x:v>
      </x:c>
      <x:c r="H95" s="180" t="str">
        <x:v>—（待核）</x:v>
      </x:c>
      <x:c r="I95" s="180" t="str">
        <x:v>CxVisual.Platform.Presentation.Wpf.ViewerHost</x:v>
      </x:c>
      <x:c r="J95" s="179" t="str">
        <x:v>类</x:v>
      </x:c>
      <x:c r="K95" s="180" t="str">
        <x:v>V1.19 C-0757；原实施方式：原有。迁移风险：表达或管理查看器宿主相关的数据及协作职责，具体行为待源码复核〔待核〕</x:v>
      </x:c>
      <x:c r="L95" s="183" t="str">
        <x:v>源代码声明·待复核</x:v>
      </x:c>
      <x:c r="M95" s="183" t="str">
        <x:v>C-0757</x:v>
      </x:c>
      <x:c r="N95" s="184" t="str">
        <x:v>Platform.Presentation.Wpf/Viewer/ViewerHost.cs</x:v>
      </x:c>
      <x:c r="O95" s="183" t="str">
        <x:v>V1.19旧源码类型（真实成员/实现仍待核）
V2.01：来源ID对应；处置=保留源码·公开契约复核
V7.8：V7.8同名且源文件对应；Platform.Presentation.Wpf/Viewer/ViewerHost.cs
归属优先核查：WPF通用呈现迁入M_PresentationWpf；仅Studio专用窗口留Studio；具体UI类型不应归Core/无UI Visual</x:v>
      </x:c>
      <x:c r="P95" s="136" t="str">
        <x:v>V1.19旧源码类型（真实成员/实现仍待核）</x:v>
      </x:c>
    </x:row>
    <x:row r="96" ht="72" customHeight="1">
      <x:c r="A96" s="179" t="str">
        <x:v>M16</x:v>
      </x:c>
      <x:c r="B96" s="180" t="str">
        <x:v>表现与编辑｜Drawing / Layer / Geometry
Drawing Layers</x:v>
      </x:c>
      <x:c r="C96" s="180" t="str">
        <x:v>MDLCanvasHost</x:v>
      </x:c>
      <x:c r="D96" s="179" t="str">
        <x:v>增构候选·待查重</x:v>
      </x:c>
      <x:c r="E96" s="180" t="str">
        <x:v>Content/Page到可视帧的唯一投影入口</x:v>
      </x:c>
      <x:c r="F96" s="180" t="str">
        <x:v>Viewport；Scene；OverlayLayers</x:v>
      </x:c>
      <x:c r="G96" s="180" t="str">
        <x:v>统一画布</x:v>
      </x:c>
      <x:c r="H96" s="180" t="str">
        <x:v>不可持有WPF控件</x:v>
      </x:c>
      <x:c r="I96" s="180" t="str">
        <x:v>目标：CxCanvasHost；不得与旧名同时生成2个类型</x:v>
      </x:c>
      <x:c r="J96" s="179" t="str">
        <x:v>class</x:v>
      </x:c>
      <x:c r="K96" s="180" t="str">
        <x:v>生命周期：Studio</x:v>
      </x:c>
      <x:c r="L96" s="183" t="str">
        <x:v>设计候选，尚待源码验证</x:v>
      </x:c>
      <x:c r="M96" s="183" t="str">
        <x:v>M16.CanvasHost</x:v>
      </x:c>
      <x:c r="N96" s="184" t="str">
        <x:v>03_能力对象!C134</x:v>
      </x:c>
      <x:c r="O96" s="183" t="str">
        <x:v>V4.9对象/属性/方法
V2.01：名称/子方面线索；处置=规划独立契约候选·未批准新增
V7.8：V7.8未检出同名词法声明</x:v>
      </x:c>
      <x:c r="P96" s="136" t="str">
        <x:v>V4.9对象/属性/方法</x:v>
      </x:c>
    </x:row>
    <x:row r="97" ht="72" customHeight="1">
      <x:c r="A97" s="179" t="str">
        <x:v>M16</x:v>
      </x:c>
      <x:c r="B97" s="180" t="str">
        <x:v>表现与编辑｜Drawing / Layer / Geometry
Drawing Layers</x:v>
      </x:c>
      <x:c r="C97" s="180" t="str">
        <x:v>MDLCoordinateTransform</x:v>
      </x:c>
      <x:c r="D97" s="179" t="str">
        <x:v>增构候选·待查重</x:v>
      </x:c>
      <x:c r="E97" s="180" t="str">
        <x:v>坐标转换</x:v>
      </x:c>
      <x:c r="F97" s="180" t="str">
        <x:v>SourceSpace；TargetSpace；Matrix</x:v>
      </x:c>
      <x:c r="G97" s="180" t="str">
        <x:v>坐标转换</x:v>
      </x:c>
      <x:c r="H97" s="180" t="str">
        <x:v>重叠风险：纯几何/坐标变换归Foundation.Geometry；Visual只做工程投影及显示转换</x:v>
      </x:c>
      <x:c r="I97" s="180" t="str">
        <x:v>CoordinateTransform</x:v>
      </x:c>
      <x:c r="J97" s="179" t="str">
        <x:v>枚举</x:v>
      </x:c>
      <x:c r="K97" s="180" t="str">
        <x:v>生命周期：Definition</x:v>
      </x:c>
      <x:c r="L97" s="183" t="str">
        <x:v>设计候选，尚待源码验证</x:v>
      </x:c>
      <x:c r="M97" s="183" t="str">
        <x:v>M16.CoordinateTransform</x:v>
      </x:c>
      <x:c r="N97" s="184" t="str">
        <x:v>03_能力对象!C135</x:v>
      </x:c>
      <x:c r="O97" s="183" t="str">
        <x:v>V4.9对象/属性/方法
V2.01：名称/子方面线索；处置=规划独立契约候选·未批准新增
V7.8：V7.8未检出同名词法声明
归属优先核查：只保留可视投影适配；几何与坐标运算统一引用Foundation.Geometry；可能重复Foundation.Geometry</x:v>
      </x:c>
      <x:c r="P97" s="136" t="str">
        <x:v>V4.9对象/属性/方法</x:v>
      </x:c>
    </x:row>
    <x:row r="98" ht="72" customHeight="1">
      <x:c r="A98" s="179" t="str">
        <x:v>M16</x:v>
      </x:c>
      <x:c r="B98" s="180" t="str">
        <x:v>表现与编辑｜Drawing / Layer / Geometry
Drawing Layers</x:v>
      </x:c>
      <x:c r="C98" s="180" t="str">
        <x:v>MDLGeometryModel</x:v>
      </x:c>
      <x:c r="D98" s="179" t="str">
        <x:v>增构候选·待查重</x:v>
      </x:c>
      <x:c r="E98" s="180" t="str">
        <x:v>基础几何</x:v>
      </x:c>
      <x:c r="F98" s="180" t="str">
        <x:v>GeometryKind；Points；Path</x:v>
      </x:c>
      <x:c r="G98" s="180" t="str">
        <x:v>基础几何</x:v>
      </x:c>
      <x:c r="H98" s="180" t="str">
        <x:v>重叠风险：纯几何/坐标变换归Foundation.Geometry；Visual只做工程投影及显示转换</x:v>
      </x:c>
      <x:c r="I98" s="180" t="str">
        <x:v>GeometryModel</x:v>
      </x:c>
      <x:c r="J98" s="179" t="str">
        <x:v>类/实例候选</x:v>
      </x:c>
      <x:c r="K98" s="180" t="str">
        <x:v>生命周期：Definition</x:v>
      </x:c>
      <x:c r="L98" s="183" t="str">
        <x:v>设计候选，尚待源码验证</x:v>
      </x:c>
      <x:c r="M98" s="183" t="str">
        <x:v>M16.GeometryModel</x:v>
      </x:c>
      <x:c r="N98" s="184" t="str">
        <x:v>03_能力对象!C136</x:v>
      </x:c>
      <x:c r="O98" s="183" t="str">
        <x:v>V4.9对象/属性/方法
V2.01：名称/子方面线索；处置=规划独立契约候选·未批准新增
V7.8：V7.8未检出同名词法声明
归属优先核查：只保留可视投影适配；几何与坐标运算统一引用Foundation.Geometry；可能重复Foundation.Geometry</x:v>
      </x:c>
      <x:c r="P98" s="136" t="str">
        <x:v>V4.9对象/属性/方法</x:v>
      </x:c>
    </x:row>
    <x:row r="99" ht="72" customHeight="1">
      <x:c r="A99" s="179" t="str">
        <x:v>M16</x:v>
      </x:c>
      <x:c r="B99" s="180" t="str">
        <x:v>表现与编辑｜Drawing / Layer / Geometry
Drawing Layers</x:v>
      </x:c>
      <x:c r="C99" s="180" t="str">
        <x:v>MDLHitTestService</x:v>
      </x:c>
      <x:c r="D99" s="179" t="str">
        <x:v>增构候选·待查重</x:v>
      </x:c>
      <x:c r="E99" s="180" t="str">
        <x:v>画布坐标/几何命中与优先级</x:v>
      </x:c>
      <x:c r="F99" s="180" t="str">
        <x:v>Providers；Tolerance；Result</x:v>
      </x:c>
      <x:c r="G99" s="180" t="str">
        <x:v>统一命中</x:v>
      </x:c>
      <x:c r="H99" s="180" t="str">
        <x:v>消除SceneView第二套HitTest</x:v>
      </x:c>
      <x:c r="I99" s="180" t="str">
        <x:v>目标：CxHitTestService；不得与旧名同时生成2个类型</x:v>
      </x:c>
      <x:c r="J99" s="179" t="str">
        <x:v>class</x:v>
      </x:c>
      <x:c r="K99" s="180" t="str">
        <x:v>生命周期：Studio</x:v>
      </x:c>
      <x:c r="L99" s="183" t="str">
        <x:v>设计候选，尚待源码验证</x:v>
      </x:c>
      <x:c r="M99" s="183" t="str">
        <x:v>M16.HitTestService</x:v>
      </x:c>
      <x:c r="N99" s="184" t="str">
        <x:v>03_能力对象!C137</x:v>
      </x:c>
      <x:c r="O99" s="183" t="str">
        <x:v>V4.9对象/属性/方法
V2.01：名称/子方面线索；处置=规划独立契约候选·未批准新增
V7.8：V7.8未检出同名词法声明</x:v>
      </x:c>
      <x:c r="P99" s="136" t="str">
        <x:v>V4.9对象/属性/方法</x:v>
      </x:c>
    </x:row>
    <x:row r="100" ht="72" customHeight="1">
      <x:c r="A100" s="179" t="str">
        <x:v>M16</x:v>
      </x:c>
      <x:c r="B100" s="180" t="str">
        <x:v>表现与编辑｜Drawing / Layer / Geometry
Drawing Layers</x:v>
      </x:c>
      <x:c r="C100" s="180" t="str">
        <x:v>MDLLayerManager</x:v>
      </x:c>
      <x:c r="D100" s="179" t="str">
        <x:v>增构候选·待查重</x:v>
      </x:c>
      <x:c r="E100" s="180" t="str">
        <x:v>工程图层的投影排序和显示控制</x:v>
      </x:c>
      <x:c r="F100" s="180" t="str">
        <x:v>Layers；Visibility；Lock；ZOrder</x:v>
      </x:c>
      <x:c r="G100" s="180" t="str">
        <x:v>管理呈现层</x:v>
      </x:c>
      <x:c r="H100" s="180" t="str">
        <x:v>持久Layer仍Core</x:v>
      </x:c>
      <x:c r="I100" s="180" t="str">
        <x:v>目标：CxLayerProjection；不得与旧名同时生成2个类型</x:v>
      </x:c>
      <x:c r="J100" s="179" t="str">
        <x:v>class</x:v>
      </x:c>
      <x:c r="K100" s="180" t="str">
        <x:v>生命周期：Definition</x:v>
      </x:c>
      <x:c r="L100" s="183" t="str">
        <x:v>设计候选，尚待源码验证</x:v>
      </x:c>
      <x:c r="M100" s="183" t="str">
        <x:v>M16.LayerManager</x:v>
      </x:c>
      <x:c r="N100" s="184" t="str">
        <x:v>03_能力对象!C138</x:v>
      </x:c>
      <x:c r="O100" s="183" t="str">
        <x:v>V4.9对象/属性/方法
V2.01：名称/子方面线索；处置=规划独立契约候选·未批准新增
V7.8：V7.8未检出同名词法声明</x:v>
      </x:c>
      <x:c r="P100" s="136" t="str">
        <x:v>V4.9对象/属性/方法</x:v>
      </x:c>
    </x:row>
    <x:row r="101" ht="72" customHeight="1">
      <x:c r="A101" s="179" t="str">
        <x:v>M16</x:v>
      </x:c>
      <x:c r="B101" s="180" t="str">
        <x:v>表现与编辑｜Drawing / Layer / Geometry
Drawing Layers</x:v>
      </x:c>
      <x:c r="C101" s="180" t="str">
        <x:v>MDLOverlayDefinition</x:v>
      </x:c>
      <x:c r="D101" s="179" t="str">
        <x:v>增构候选·待查重</x:v>
      </x:c>
      <x:c r="E101" s="180" t="str">
        <x:v>专业叠加</x:v>
      </x:c>
      <x:c r="F101" s="180" t="str">
        <x:v>Kind；Geometry；Style；DataRef</x:v>
      </x:c>
      <x:c r="G101" s="180" t="str">
        <x:v>专业叠加</x:v>
      </x:c>
      <x:c r="H101" s="180" t="str">
        <x:v>待逐对象核实</x:v>
      </x:c>
      <x:c r="I101" s="180" t="str">
        <x:v>运行对象/模型</x:v>
      </x:c>
      <x:c r="J101" s="179" t="str">
        <x:v>类/实例候选</x:v>
      </x:c>
      <x:c r="K101" s="180" t="str">
        <x:v>生命周期：Studio</x:v>
      </x:c>
      <x:c r="L101" s="183" t="str">
        <x:v>设计候选，尚待源码验证</x:v>
      </x:c>
      <x:c r="M101" s="183" t="str">
        <x:v>M16.OverlayDefinition</x:v>
      </x:c>
      <x:c r="N101" s="184" t="str">
        <x:v>03_能力对象!C139</x:v>
      </x:c>
      <x:c r="O101" s="183" t="str">
        <x:v>V4.9对象/属性/方法
V2.01：名称/子方面线索；处置=规划独立契约候选·未批准新增
V7.8：V7.8未检出同名词法声明</x:v>
      </x:c>
      <x:c r="P101" s="136" t="str">
        <x:v>V4.9对象/属性/方法</x:v>
      </x:c>
    </x:row>
    <x:row r="102" ht="72" customHeight="1">
      <x:c r="A102" s="179" t="str">
        <x:v>M16</x:v>
      </x:c>
      <x:c r="B102" s="180" t="str">
        <x:v>表现与编辑｜Drawing / Layer / Geometry
Drawing Layers</x:v>
      </x:c>
      <x:c r="C102" s="180" t="str">
        <x:v>MDLSelectionService</x:v>
      </x:c>
      <x:c r="D102" s="179" t="str">
        <x:v>复用待核</x:v>
      </x:c>
      <x:c r="E102" s="180" t="str">
        <x:v>按画布会话记录Selection/Hover</x:v>
      </x:c>
      <x:c r="F102" s="180" t="str">
        <x:v>SelectedItems；Primary；Context</x:v>
      </x:c>
      <x:c r="G102" s="180" t="str">
        <x:v>统一选择</x:v>
      </x:c>
      <x:c r="H102" s="180" t="str">
        <x:v>不能被DocumentContext全局单例选择代替</x:v>
      </x:c>
      <x:c r="I102" s="180" t="str">
        <x:v>目标：CxSelectionState；不得与旧名同时生成2个类型</x:v>
      </x:c>
      <x:c r="J102" s="179" t="str">
        <x:v>class</x:v>
      </x:c>
      <x:c r="K102" s="180" t="str">
        <x:v>生命周期：Studio</x:v>
      </x:c>
      <x:c r="L102" s="183" t="str">
        <x:v>V7.8源码词法匹配，尚未验收</x:v>
      </x:c>
      <x:c r="M102" s="183" t="str">
        <x:v>M16.SelectionService</x:v>
      </x:c>
      <x:c r="N102" s="184" t="str">
        <x:v>Host/Studio/Application/DesignerServices.cs</x:v>
      </x:c>
      <x:c r="O102" s="183" t="str">
        <x:v>V4.9对象/属性/方法
V2.01：名称/子方面线索；处置=规划复用待核：不独立新增
V7.8：V7.8未检出同名词法声明</x:v>
      </x:c>
      <x:c r="P102" s="136" t="str">
        <x:v>V4.9对象/属性/方法</x:v>
      </x:c>
    </x:row>
    <x:row r="103" ht="72" customHeight="1">
      <x:c r="A103" s="179" t="str">
        <x:v>M16</x:v>
      </x:c>
      <x:c r="B103" s="180" t="str">
        <x:v>表现与编辑｜Drawing / Layer / Geometry
Drawing Layers</x:v>
      </x:c>
      <x:c r="C103" s="180" t="str">
        <x:v>MDLStyleDescriptor</x:v>
      </x:c>
      <x:c r="D103" s="179" t="str">
        <x:v>增构候选·待查重</x:v>
      </x:c>
      <x:c r="E103" s="180" t="str">
        <x:v>统一样式</x:v>
      </x:c>
      <x:c r="F103" s="180" t="str">
        <x:v>Pen；Brush；Font；Opacity；Theme</x:v>
      </x:c>
      <x:c r="G103" s="180" t="str">
        <x:v>统一样式</x:v>
      </x:c>
      <x:c r="H103" s="180" t="str">
        <x:v>待逐对象核实</x:v>
      </x:c>
      <x:c r="I103" s="180" t="str">
        <x:v>StyleDescriptor</x:v>
      </x:c>
      <x:c r="J103" s="179" t="str">
        <x:v>类/实例候选</x:v>
      </x:c>
      <x:c r="K103" s="180" t="str">
        <x:v>生命周期：Definition</x:v>
      </x:c>
      <x:c r="L103" s="183" t="str">
        <x:v>设计候选，尚待源码验证</x:v>
      </x:c>
      <x:c r="M103" s="183" t="str">
        <x:v>M16.StyleDescriptor</x:v>
      </x:c>
      <x:c r="N103" s="184" t="str">
        <x:v>03_能力对象!C141</x:v>
      </x:c>
      <x:c r="O103" s="183" t="str">
        <x:v>V4.9对象/属性/方法
V2.01：名称/子方面线索；处置=规划独立契约候选·未批准新增
V7.8：V7.8未检出同名词法声明</x:v>
      </x:c>
      <x:c r="P103" s="136" t="str">
        <x:v>V4.9对象/属性/方法</x:v>
      </x:c>
    </x:row>
    <x:row r="104" ht="72" customHeight="1">
      <x:c r="A104" s="179" t="str">
        <x:v>M16</x:v>
      </x:c>
      <x:c r="B104" s="180" t="str">
        <x:v>表现与编辑｜Drawing / Layer / Geometry
Drawing Layers</x:v>
      </x:c>
      <x:c r="C104" s="180" t="str">
        <x:v>MDLViewTransform</x:v>
      </x:c>
      <x:c r="D104" s="179" t="str">
        <x:v>增构候选·待查重</x:v>
      </x:c>
      <x:c r="E104" s="180" t="str">
        <x:v>每画布视口的Zoom/Pan/Rotation</x:v>
      </x:c>
      <x:c r="F104" s="180" t="str">
        <x:v>Scale；Offset；Rotation</x:v>
      </x:c>
      <x:c r="G104" s="180" t="str">
        <x:v>视图变换</x:v>
      </x:c>
      <x:c r="H104" s="180" t="str">
        <x:v>原候选Enum不合适；模型状态</x:v>
      </x:c>
      <x:c r="I104" s="180" t="str">
        <x:v>目标：CxViewportState；不得与旧名同时生成2个类型</x:v>
      </x:c>
      <x:c r="J104" s="179" t="str">
        <x:v>class</x:v>
      </x:c>
      <x:c r="K104" s="180" t="str">
        <x:v>生命周期：Studio</x:v>
      </x:c>
      <x:c r="L104" s="183" t="str">
        <x:v>设计候选，尚待源码验证</x:v>
      </x:c>
      <x:c r="M104" s="183" t="str">
        <x:v>M16.ViewTransform</x:v>
      </x:c>
      <x:c r="N104" s="184" t="str">
        <x:v>03_能力对象!C142</x:v>
      </x:c>
      <x:c r="O104" s="183" t="str">
        <x:v>V4.9对象/属性/方法
V2.01：名称/子方面线索；处置=规划独立契约候选·未批准新增
V7.8：V7.8未检出同名词法声明</x:v>
      </x:c>
      <x:c r="P104" s="136" t="str">
        <x:v>V4.9对象/属性/方法</x:v>
      </x:c>
    </x:row>
    <x:row r="105" ht="72" customHeight="1">
      <x:c r="A105" s="179" t="str">
        <x:v>M16</x:v>
      </x:c>
      <x:c r="B105" s="180" t="str">
        <x:v>表现与编辑｜Drawing / Layer / Geometry
Drawing Layers</x:v>
      </x:c>
      <x:c r="C105" s="180" t="str">
        <x:v>CxDrawPrimitive</x:v>
      </x:c>
      <x:c r="D105" s="179" t="str">
        <x:v>增构候选·待查重</x:v>
      </x:c>
      <x:c r="E105" s="180" t="str">
        <x:v>UI无关绘制原语（Shape/Text/Image等），不包含WPF类型</x:v>
      </x:c>
      <x:c r="F105" s="180" t="str">
        <x:v>PrimitiveKind · Geometry · Style · ZOrder</x:v>
      </x:c>
      <x:c r="G105" s="180" t="str">
        <x:v>创建与校验只读数据</x:v>
      </x:c>
      <x:c r="H105" s="180" t="str">
        <x:v>待逐对象核实</x:v>
      </x:c>
      <x:c r="I105" s="180" t="str">
        <x:v>R3-B深化建议</x:v>
      </x:c>
      <x:c r="J105" s="179" t="str">
        <x:v>readonly struct</x:v>
      </x:c>
      <x:c r="K105" s="180" t="str">
        <x:v>生命周期：Session/Immutable/View；审核：补充类型字典</x:v>
      </x:c>
      <x:c r="L105" s="183" t="str">
        <x:v>设计候选，尚待源码验证</x:v>
      </x:c>
      <x:c r="M105" s="183" t="str">
        <x:v>R3B.M16.CxDrawPrimitive</x:v>
      </x:c>
      <x:c r="N105" s="184"/>
      <x:c r="O105" s="183" t="str">
        <x:v>补充类型字典
V2.01：未匹配V2.01；处置=暂无可信对应
V7.8：V7.8未检出同名词法声明</x:v>
      </x:c>
      <x:c r="P105" s="136" t="str">
        <x:v>补充类型字典</x:v>
      </x:c>
    </x:row>
    <x:row r="106" ht="72" customHeight="1">
      <x:c r="A106" s="179" t="str">
        <x:v>M16</x:v>
      </x:c>
      <x:c r="B106" s="180" t="str">
        <x:v>表现与编辑｜Drawing / Layer / Geometry
Drawing Layers</x:v>
      </x:c>
      <x:c r="C106" s="180" t="str">
        <x:v>CxHitTestResult</x:v>
      </x:c>
      <x:c r="D106" s="179" t="str">
        <x:v>增构候选·待查重</x:v>
      </x:c>
      <x:c r="E106" s="180" t="str">
        <x:v>命中结果：对象ID、部件、视图位置和坐标信息</x:v>
      </x:c>
      <x:c r="F106" s="180" t="str">
        <x:v>TargetId · HitPart · Distance · Point</x:v>
      </x:c>
      <x:c r="G106" s="180" t="str">
        <x:v>只读结果</x:v>
      </x:c>
      <x:c r="H106" s="180" t="str">
        <x:v>待逐对象核实</x:v>
      </x:c>
      <x:c r="I106" s="180" t="str">
        <x:v>R3-B深化建议</x:v>
      </x:c>
      <x:c r="J106" s="179" t="str">
        <x:v>readonly struct</x:v>
      </x:c>
      <x:c r="K106" s="180" t="str">
        <x:v>生命周期：Session/Immutable/View；审核：补充类型字典</x:v>
      </x:c>
      <x:c r="L106" s="183" t="str">
        <x:v>设计候选，尚待源码验证</x:v>
      </x:c>
      <x:c r="M106" s="183" t="str">
        <x:v>R3B.M16.CxHitTestResult</x:v>
      </x:c>
      <x:c r="N106" s="184"/>
      <x:c r="O106" s="183" t="str">
        <x:v>补充类型字典
V2.01：未匹配V2.01；处置=暂无可信对应
V7.8：V7.8未检出同名词法声明</x:v>
      </x:c>
      <x:c r="P106" s="136" t="str">
        <x:v>补充类型字典</x:v>
      </x:c>
    </x:row>
    <x:row r="107" ht="72" customHeight="1">
      <x:c r="A107" s="179" t="str">
        <x:v>M16</x:v>
      </x:c>
      <x:c r="B107" s="180" t="str">
        <x:v>表现与编辑｜Drawing / Layer / Geometry
Drawing Layers</x:v>
      </x:c>
      <x:c r="C107" s="180" t="str">
        <x:v>CxViewportState</x:v>
      </x:c>
      <x:c r="D107" s="179" t="str">
        <x:v>增构候选·待查重</x:v>
      </x:c>
      <x:c r="E107" s="180" t="str">
        <x:v>每视图的Zoom/Pan/Rotation、可见域和坐标映射</x:v>
      </x:c>
      <x:c r="F107" s="180" t="str">
        <x:v>Zoom · Pan · Rotation · ViewSize</x:v>
      </x:c>
      <x:c r="G107" s="180" t="str">
        <x:v>SetView · WorldToView · ViewToWorld</x:v>
      </x:c>
      <x:c r="H107" s="180" t="str">
        <x:v>待逐对象核实</x:v>
      </x:c>
      <x:c r="I107" s="180" t="str">
        <x:v>R3-B深化建议</x:v>
      </x:c>
      <x:c r="J107" s="179" t="str">
        <x:v>sealed class</x:v>
      </x:c>
      <x:c r="K107" s="180" t="str">
        <x:v>生命周期：Session/Immutable/View；审核：补充类型字典</x:v>
      </x:c>
      <x:c r="L107" s="183" t="str">
        <x:v>设计候选，尚待源码验证</x:v>
      </x:c>
      <x:c r="M107" s="183" t="str">
        <x:v>R3B.M16.CxViewportState</x:v>
      </x:c>
      <x:c r="N107" s="184"/>
      <x:c r="O107" s="183" t="str">
        <x:v>补充类型字典
V2.01：未匹配V2.01；处置=暂无可信对应
V7.8：V7.8未检出同名词法声明</x:v>
      </x:c>
      <x:c r="P107" s="136" t="str">
        <x:v>补充类型字典</x:v>
      </x:c>
    </x:row>
    <x:row r="108" ht="72" customHeight="1">
      <x:c r="A108" s="179" t="str">
        <x:v>M16</x:v>
      </x:c>
      <x:c r="B108" s="180" t="str">
        <x:v>表现与编辑｜Drawing / Layer / Geometry
Drawing Layers</x:v>
      </x:c>
      <x:c r="C108" s="180" t="str">
        <x:v>CxVisualFrame</x:v>
      </x:c>
      <x:c r="D108" s="179" t="str">
        <x:v>增构候选·待查重</x:v>
      </x:c>
      <x:c r="E108" s="180" t="str">
        <x:v>UI无关绘制帧快照；只表达实际绘制结果和源Revision</x:v>
      </x:c>
      <x:c r="F108" s="180" t="str">
        <x:v>DocumentId · SourceRevision · ViewRevision · Primitives</x:v>
      </x:c>
      <x:c r="G108" s="180" t="str">
        <x:v>快照创建/交给WPF绘制</x:v>
      </x:c>
      <x:c r="H108" s="180" t="str">
        <x:v>待逐对象核实</x:v>
      </x:c>
      <x:c r="I108" s="180" t="str">
        <x:v>R3-B深化建议</x:v>
      </x:c>
      <x:c r="J108" s="179" t="str">
        <x:v>sealed class</x:v>
      </x:c>
      <x:c r="K108" s="180" t="str">
        <x:v>生命周期：Session/Immutable/View；审核：补充类型字典</x:v>
      </x:c>
      <x:c r="L108" s="183" t="str">
        <x:v>设计候选，尚待源码验证</x:v>
      </x:c>
      <x:c r="M108" s="183" t="str">
        <x:v>R3B.M16.CxVisualFrame</x:v>
      </x:c>
      <x:c r="N108" s="184"/>
      <x:c r="O108" s="183" t="str">
        <x:v>补充类型字典
V2.01：未匹配V2.01；处置=暂无可信对应
V7.8：V7.8未检出同名词法声明</x:v>
      </x:c>
      <x:c r="P108" s="136" t="str">
        <x:v>补充类型字典</x:v>
      </x:c>
    </x:row>
    <x:row r="109" ht="72" customHeight="1">
      <x:c r="A109" s="179" t="str">
        <x:v>M16</x:v>
      </x:c>
      <x:c r="B109" s="180" t="str">
        <x:v>表现与编辑｜Drawing / Layer / Geometry
Drawing Layers</x:v>
      </x:c>
      <x:c r="C109" s="180" t="str">
        <x:v>CxVisualSession</x:v>
      </x:c>
      <x:c r="D109" s="179" t="str">
        <x:v>增构候选·待查重</x:v>
      </x:c>
      <x:c r="E109" s="180" t="str">
        <x:v>一个View会话的视口、选择、编辑预览和变更订阅</x:v>
      </x:c>
      <x:c r="F109" s="180" t="str">
        <x:v>SessionId · DocumentId · Viewport · Selection</x:v>
      </x:c>
      <x:c r="G109" s="180" t="str">
        <x:v>SetViewport · Select · ClearSelection · Dispose</x:v>
      </x:c>
      <x:c r="H109" s="180" t="str">
        <x:v>待逐对象核实</x:v>
      </x:c>
      <x:c r="I109" s="180" t="str">
        <x:v>R3-B深化建议</x:v>
      </x:c>
      <x:c r="J109" s="179" t="str">
        <x:v>sealed class</x:v>
      </x:c>
      <x:c r="K109" s="180" t="str">
        <x:v>生命周期：Session/Immutable/View；审核：补充类型字典</x:v>
      </x:c>
      <x:c r="L109" s="183" t="str">
        <x:v>设计候选，尚待源码验证</x:v>
      </x:c>
      <x:c r="M109" s="183" t="str">
        <x:v>R3B.M16.CxVisualSession</x:v>
      </x:c>
      <x:c r="N109" s="184"/>
      <x:c r="O109" s="183" t="str">
        <x:v>补充类型字典
V2.01：未匹配V2.01；处置=暂无可信对应
V7.8：V7.8未检出同名词法声明</x:v>
      </x:c>
      <x:c r="P109" s="136" t="str">
        <x:v>补充类型字典</x:v>
      </x:c>
    </x:row>
    <x:row r="110" ht="72" customHeight="1">
      <x:c r="A110" s="179" t="str">
        <x:v>M17</x:v>
      </x:c>
      <x:c r="B110" s="180" t="str">
        <x:v>表现与编辑｜Diagram / Node Visual
Diagram Visuals</x:v>
      </x:c>
      <x:c r="C110" s="180" t="str">
        <x:v>IMDVCxDiagramRenderTarget</x:v>
      </x:c>
      <x:c r="D110" s="179" t="str">
        <x:v>原有·待核</x:v>
      </x:c>
      <x:c r="E110" s="180" t="str">
        <x:v>约定DiagramRenderTarget的操作入口、交互能力及调用方/实现方边界</x:v>
      </x:c>
      <x:c r="F110" s="180" t="str">
        <x:v>—（无公开声明或待核对）</x:v>
      </x:c>
      <x:c r="G110" s="180" t="str">
        <x:v>Render(CxDiagramFrame frame)</x:v>
      </x:c>
      <x:c r="H110" s="180" t="str">
        <x:v>—（待核）</x:v>
      </x:c>
      <x:c r="I110" s="180" t="str">
        <x:v>CxVisual.Core.ICxDiagramRenderTarget</x:v>
      </x:c>
      <x:c r="J110" s="179" t="str">
        <x:v>接口</x:v>
      </x:c>
      <x:c r="K110" s="180" t="str">
        <x:v>V1.19 C-0795；原实施方式：原有。迁移风险：约定DiagramRenderTarget的操作入口、交互能力及调用方/实现方边界</x:v>
      </x:c>
      <x:c r="L110" s="183" t="str">
        <x:v>源代码声明·待复核</x:v>
      </x:c>
      <x:c r="M110" s="183" t="str">
        <x:v>C-0795</x:v>
      </x:c>
      <x:c r="N110" s="184" t="str">
        <x:v>Platform/Workbench/Drawing/CxDiagramCanvas.cs</x:v>
      </x:c>
      <x:c r="O110" s="183" t="str">
        <x:v>V1.19旧源码类型（真实成员/实现仍待核）
V2.01：来源ID对应；处置=保留源码·公开契约复核
V7.8：V7.8同名且源文件对应；Platform/Workbench/Drawing/CxDiagramCanvas.cs</x:v>
      </x:c>
      <x:c r="P110" s="136" t="str">
        <x:v>V1.19旧源码类型（真实成员/实现仍待核）</x:v>
      </x:c>
    </x:row>
    <x:row r="111" ht="72" customHeight="1">
      <x:c r="A111" s="179" t="str">
        <x:v>M17</x:v>
      </x:c>
      <x:c r="B111" s="180" t="str">
        <x:v>表现与编辑｜Diagram / Node Visual
Diagram Visuals</x:v>
      </x:c>
      <x:c r="C111" s="180" t="str">
        <x:v>IMDVPortCompatibilityService</x:v>
      </x:c>
      <x:c r="D111" s="179" t="str">
        <x:v>原有·待核</x:v>
      </x:c>
      <x:c r="E111" s="180" t="str">
        <x:v>约定端口Compatibility服务的操作入口、交互能力及调用方/实现方边界</x:v>
      </x:c>
      <x:c r="F111" s="180" t="str">
        <x:v>—（无公开声明或待核对）</x:v>
      </x:c>
      <x:c r="G111" s="180" t="str">
        <x:v>CanConnect(DiagramPortViewModel source, DiagramPortViewModel target)</x:v>
      </x:c>
      <x:c r="H111" s="180" t="str">
        <x:v>—（待核）</x:v>
      </x:c>
      <x:c r="I111" s="180" t="str">
        <x:v>CxVisual.Platform.Presentation.Wpf.Diagram.IPortCompatibilityService</x:v>
      </x:c>
      <x:c r="J111" s="179" t="str">
        <x:v>接口</x:v>
      </x:c>
      <x:c r="K111" s="180" t="str">
        <x:v>V1.19 C-0803；原实施方式：原有。迁移风险：约定端口Compatibility服务的操作入口、交互能力及调用方/实现方边界</x:v>
      </x:c>
      <x:c r="L111" s="183" t="str">
        <x:v>源代码声明·待复核</x:v>
      </x:c>
      <x:c r="M111" s="183" t="str">
        <x:v>C-0803</x:v>
      </x:c>
      <x:c r="N111" s="184" t="str">
        <x:v>Platform.Presentation.Wpf/Diagram/DiagramFoundation.cs</x:v>
      </x:c>
      <x:c r="O111"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11" s="136" t="str">
        <x:v>V1.19旧源码类型（真实成员/实现仍待核）</x:v>
      </x:c>
    </x:row>
    <x:row r="112" ht="72" customHeight="1">
      <x:c r="A112" s="179" t="str">
        <x:v>M17</x:v>
      </x:c>
      <x:c r="B112" s="180" t="str">
        <x:v>表现与编辑｜Diagram / Node Visual
Diagram Visuals</x:v>
      </x:c>
      <x:c r="C112" s="180" t="str">
        <x:v>MDVConnectionInteraction</x:v>
      </x:c>
      <x:c r="D112" s="179" t="str">
        <x:v>原有·待核</x:v>
      </x:c>
      <x:c r="E112" s="180" t="str">
        <x:v>表达或管理连接Interaction相关的数据及协作职责，具体行为待源码复核〔待核〕</x:v>
      </x:c>
      <x:c r="F112" s="180" t="str">
        <x:v>Source, IsActive</x:v>
      </x:c>
      <x:c r="G112" s="180" t="str">
        <x:v>ConnectionInteraction(IPortCompatibilityService compatibility), Begin(DiagramPortViewModel source), CanComplete(DiagramPortViewModel target), Cancel(), Complete(DiagramPortViewModel target)</x:v>
      </x:c>
      <x:c r="H112" s="180" t="str">
        <x:v>—（待核）</x:v>
      </x:c>
      <x:c r="I112" s="180" t="str">
        <x:v>CxVisual.Platform.Presentation.Wpf.Diagram.ConnectionInteraction</x:v>
      </x:c>
      <x:c r="J112" s="179" t="str">
        <x:v>类</x:v>
      </x:c>
      <x:c r="K112" s="180" t="str">
        <x:v>V1.19 C-0796；原实施方式：原有。迁移风险：表达或管理连接Interaction相关的数据及协作职责，具体行为待源码复核〔待核〕</x:v>
      </x:c>
      <x:c r="L112" s="183" t="str">
        <x:v>源代码声明·待复核</x:v>
      </x:c>
      <x:c r="M112" s="183" t="str">
        <x:v>C-0796</x:v>
      </x:c>
      <x:c r="N112" s="184" t="str">
        <x:v>Platform.Presentation.Wpf/Diagram/DiagramFoundation.cs</x:v>
      </x:c>
      <x:c r="O112"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12" s="136" t="str">
        <x:v>V1.19旧源码类型（真实成员/实现仍待核）</x:v>
      </x:c>
    </x:row>
    <x:row r="113" ht="72" customHeight="1">
      <x:c r="A113" s="179" t="str">
        <x:v>M17</x:v>
      </x:c>
      <x:c r="B113" s="180" t="str">
        <x:v>表现与编辑｜Diagram / Node Visual
Diagram Visuals</x:v>
      </x:c>
      <x:c r="C113" s="180" t="str">
        <x:v>MDVCxAutoLayoutService</x:v>
      </x:c>
      <x:c r="D113" s="179" t="str">
        <x:v>原有·待核</x:v>
      </x:c>
      <x:c r="E113" s="180" t="str">
        <x:v>负责Auto布局服务相关的自动布局与公共契约管理</x:v>
      </x:c>
      <x:c r="F113" s="180" t="str">
        <x:v>Algorithm, Options</x:v>
      </x:c>
      <x:c r="G113" s="180" t="str">
        <x:v>Layout(IEnumerable&lt;CxNodePresenter&gt; nodes, IEnumerable&lt;CxEdgePresenter&gt; edges = null)</x:v>
      </x:c>
      <x:c r="H113" s="180" t="str">
        <x:v>—（待核）</x:v>
      </x:c>
      <x:c r="I113" s="180" t="str">
        <x:v>CxVisual.Core.CxAutoLayoutService</x:v>
      </x:c>
      <x:c r="J113" s="179" t="str">
        <x:v>类</x:v>
      </x:c>
      <x:c r="K113" s="180" t="str">
        <x:v>V1.19 C-0771；原实施方式：原有。迁移风险：负责Auto布局服务相关的自动布局与公共契约管理</x:v>
      </x:c>
      <x:c r="L113" s="183" t="str">
        <x:v>源代码声明·待复核</x:v>
      </x:c>
      <x:c r="M113" s="183" t="str">
        <x:v>C-0771</x:v>
      </x:c>
      <x:c r="N113" s="184" t="str">
        <x:v>Platform/Workbench/Drawing/CxAutoLayoutService.cs</x:v>
      </x:c>
      <x:c r="O113" s="183" t="str">
        <x:v>V1.19旧源码类型（真实成员/实现仍待核）
V2.01：来源ID对应；处置=保留源码·公开契约复核
V7.8：V7.8同名且源文件对应；Platform/Workbench/Drawing/CxAutoLayoutService.cs</x:v>
      </x:c>
      <x:c r="P113" s="136" t="str">
        <x:v>V1.19旧源码类型（真实成员/实现仍待核）</x:v>
      </x:c>
    </x:row>
    <x:row r="114" ht="72" customHeight="1">
      <x:c r="A114" s="179" t="str">
        <x:v>M17</x:v>
      </x:c>
      <x:c r="B114" s="180" t="str">
        <x:v>表现与编辑｜Diagram / Node Visual
Diagram Visuals</x:v>
      </x:c>
      <x:c r="C114" s="180" t="str">
        <x:v>MDVCxDiagramCanvas</x:v>
      </x:c>
      <x:c r="D114" s="179" t="str">
        <x:v>原有·待核</x:v>
      </x:c>
      <x:c r="E114" s="180" t="str">
        <x:v>负责Diagram画布相关的编排图与公共契约管理</x:v>
      </x:c>
      <x:c r="F114" s="180" t="str">
        <x:v>Canvas, Viewport, Nodes, Edges, Router, Layout, Minimap, HiddenConnectionIds, RuntimeAdornment</x:v>
      </x:c>
      <x:c r="G114" s="180" t="str">
        <x:v>CxDiagramCanvas(CxDocumentContext document, ContentDefinition scope = null, bool logicView = false), Refresh(), AddNodePresenter(CxNodePresenter node), AddEdgePresenter(CxEdgePresenter edge), Render(ICxDiagramRenderTarget target = null), AutoLayout(bool routeEdges = true), RouteEdges()</x:v>
      </x:c>
      <x:c r="H114" s="180" t="str">
        <x:v>—（待核）</x:v>
      </x:c>
      <x:c r="I114" s="180" t="str">
        <x:v>CxVisual.Core.CxDiagramCanvas</x:v>
      </x:c>
      <x:c r="J114" s="179" t="str">
        <x:v>类</x:v>
      </x:c>
      <x:c r="K114" s="180" t="str">
        <x:v>V1.19 C-0772；原实施方式：原有。迁移风险：负责Diagram画布相关的编排图与公共契约管理</x:v>
      </x:c>
      <x:c r="L114" s="183" t="str">
        <x:v>源代码声明·待复核</x:v>
      </x:c>
      <x:c r="M114" s="183" t="str">
        <x:v>C-0772</x:v>
      </x:c>
      <x:c r="N114" s="184" t="str">
        <x:v>Platform/Workbench/Drawing/CxDiagramCanvas.cs</x:v>
      </x:c>
      <x:c r="O114" s="183" t="str">
        <x:v>V1.19旧源码类型（真实成员/实现仍待核）
V2.01：来源ID对应；处置=保留源码·公开契约复核
V7.8：V7.8同名且源文件对应；Platform/Workbench/Drawing/CxDiagramCanvas.cs</x:v>
      </x:c>
      <x:c r="P114" s="136" t="str">
        <x:v>V1.19旧源码类型（真实成员/实现仍待核）</x:v>
      </x:c>
    </x:row>
    <x:row r="115" ht="72" customHeight="1">
      <x:c r="A115" s="179" t="str">
        <x:v>M17</x:v>
      </x:c>
      <x:c r="B115" s="180" t="str">
        <x:v>表现与编辑｜Diagram / Node Visual
Diagram Visuals</x:v>
      </x:c>
      <x:c r="C115" s="180" t="str">
        <x:v>MDVCxDiagramDrawingTarget</x:v>
      </x:c>
      <x:c r="D115" s="179" t="str">
        <x:v>原有·待核</x:v>
      </x:c>
      <x:c r="E115" s="180" t="str">
        <x:v>表达或管理DiagramDrawingTarget相关的数据及协作职责，具体行为待源码复核〔待核〕</x:v>
      </x:c>
      <x:c r="F115" s="180" t="str">
        <x:v>Drawing, PixelsPerDip</x:v>
      </x:c>
      <x:c r="G115" s="180" t="str">
        <x:v>Render(CxDiagramFrame frame)</x:v>
      </x:c>
      <x:c r="H115" s="180" t="str">
        <x:v>—（待核）</x:v>
      </x:c>
      <x:c r="I115" s="180" t="str">
        <x:v>CxVisual.Rendering.Wpf.CxDiagramDrawingTarget</x:v>
      </x:c>
      <x:c r="J115" s="179" t="str">
        <x:v>类</x:v>
      </x:c>
      <x:c r="K115" s="180" t="str">
        <x:v>V1.19 C-0806；原实施方式：原有。迁移风险：表达或管理DiagramDrawingTarget相关的数据及协作职责，具体行为待源码复核〔待核〕</x:v>
      </x:c>
      <x:c r="L115" s="183" t="str">
        <x:v>源代码声明·待复核</x:v>
      </x:c>
      <x:c r="M115" s="183" t="str">
        <x:v>C-0806</x:v>
      </x:c>
      <x:c r="N115" s="184" t="str">
        <x:v>Platform.Presentation.Wpf/Rendering/CxDiagramDrawingTarget.cs</x:v>
      </x:c>
      <x:c r="O115" s="183" t="str">
        <x:v>V1.19旧源码类型（真实成员/实现仍待核）
V2.01：来源ID对应；处置=保留源码·公开契约复核
V7.8：V7.8同名且源文件对应；Platform.Presentation.Wpf/Rendering/CxDiagramDrawingTarget.cs
归属优先核查：WPF通用呈现迁入M_PresentationWpf；仅Studio专用窗口留Studio；具体UI类型不应归Core/无UI Visual</x:v>
      </x:c>
      <x:c r="P115" s="136" t="str">
        <x:v>V1.19旧源码类型（真实成员/实现仍待核）</x:v>
      </x:c>
    </x:row>
    <x:row r="116" ht="72" customHeight="1">
      <x:c r="A116" s="179" t="str">
        <x:v>M17</x:v>
      </x:c>
      <x:c r="B116" s="180" t="str">
        <x:v>表现与编辑｜Diagram / Node Visual
Diagram Visuals</x:v>
      </x:c>
      <x:c r="C116" s="180" t="str">
        <x:v>MDVCxDiagramEdgeStyle</x:v>
      </x:c>
      <x:c r="D116" s="179" t="str">
        <x:v>原有·待核</x:v>
      </x:c>
      <x:c r="E116" s="180" t="str">
        <x:v>表达或管理DiagramEdge样式相关的数据及协作职责，具体行为待源码复核〔待核〕</x:v>
      </x:c>
      <x:c r="F116" s="180" t="str">
        <x:v>Color, Width, Dashed, Arrow</x:v>
      </x:c>
      <x:c r="G116" s="180" t="str">
        <x:v>Clone(), Validate()</x:v>
      </x:c>
      <x:c r="H116" s="180" t="str">
        <x:v>—（待核）</x:v>
      </x:c>
      <x:c r="I116" s="180" t="str">
        <x:v>CxVisual.Core.CxDiagramEdgeStyle</x:v>
      </x:c>
      <x:c r="J116" s="179" t="str">
        <x:v>类</x:v>
      </x:c>
      <x:c r="K116" s="180" t="str">
        <x:v>V1.19 C-0775；原实施方式：原有。迁移风险：表达或管理DiagramEdge样式相关的数据及协作职责，具体行为待源码复核〔待核〕</x:v>
      </x:c>
      <x:c r="L116" s="183" t="str">
        <x:v>源代码声明·待复核</x:v>
      </x:c>
      <x:c r="M116" s="183" t="str">
        <x:v>C-0775</x:v>
      </x:c>
      <x:c r="N116" s="184" t="str">
        <x:v>Platform/Workbench/Drawing/CxDiagramPresenters.cs</x:v>
      </x:c>
      <x:c r="O116" s="183" t="str">
        <x:v>V1.19旧源码类型（真实成员/实现仍待核）
V2.01：来源ID对应；处置=保留源码·公开契约复核
V7.8：V7.8同名且源文件对应；Platform/Workbench/Drawing/CxDiagramPresenters.cs</x:v>
      </x:c>
      <x:c r="P116" s="136" t="str">
        <x:v>V1.19旧源码类型（真实成员/实现仍待核）</x:v>
      </x:c>
    </x:row>
    <x:row r="117" ht="72" customHeight="1">
      <x:c r="A117" s="179" t="str">
        <x:v>M17</x:v>
      </x:c>
      <x:c r="B117" s="180" t="str">
        <x:v>表现与编辑｜Diagram / Node Visual
Diagram Visuals</x:v>
      </x:c>
      <x:c r="C117" s="180" t="str">
        <x:v>MDVCxDiagramEdgeVisual</x:v>
      </x:c>
      <x:c r="D117" s="179" t="str">
        <x:v>原有·待核</x:v>
      </x:c>
      <x:c r="E117" s="180" t="str">
        <x:v>表达或管理DiagramEdgeVisual相关的数据及协作职责，具体行为待源码复核〔待核〕</x:v>
      </x:c>
      <x:c r="F117" s="180" t="str">
        <x:v>ConnectionId, SourceNodeAddress, TargetNodeAddress, Label, RuntimeState</x:v>
      </x:c>
      <x:c r="G117" s="180" t="str">
        <x:v>CxDiagramEdgeVisual(CxEdgePresenter edge), Point2D(x.X, x.Y), Clone()</x:v>
      </x:c>
      <x:c r="H117" s="180" t="str">
        <x:v>—（待核）</x:v>
      </x:c>
      <x:c r="I117" s="180" t="str">
        <x:v>CxVisual.Core.CxDiagramEdgeVisual</x:v>
      </x:c>
      <x:c r="J117" s="179" t="str">
        <x:v>类</x:v>
      </x:c>
      <x:c r="K117" s="180" t="str">
        <x:v>V1.19 C-0776；原实施方式：原有。迁移风险：表达或管理DiagramEdgeVisual相关的数据及协作职责，具体行为待源码复核〔待核〕</x:v>
      </x:c>
      <x:c r="L117" s="183" t="str">
        <x:v>源代码声明·待复核</x:v>
      </x:c>
      <x:c r="M117" s="183" t="str">
        <x:v>C-0776</x:v>
      </x:c>
      <x:c r="N117" s="184" t="str">
        <x:v>Platform/Workbench/Drawing/CxDiagramPresenters.cs</x:v>
      </x:c>
      <x:c r="O117" s="183" t="str">
        <x:v>V1.19旧源码类型（真实成员/实现仍待核）
V2.01：来源ID对应；处置=保留源码·公开契约复核
V7.8：V7.8同名且源文件对应；Platform/Workbench/Drawing/CxDiagramPresenters.cs</x:v>
      </x:c>
      <x:c r="P117" s="136" t="str">
        <x:v>V1.19旧源码类型（真实成员/实现仍待核）</x:v>
      </x:c>
    </x:row>
    <x:row r="118" ht="72" customHeight="1">
      <x:c r="A118" s="179" t="str">
        <x:v>M17</x:v>
      </x:c>
      <x:c r="B118" s="180" t="str">
        <x:v>表现与编辑｜Diagram / Node Visual
Diagram Visuals</x:v>
      </x:c>
      <x:c r="C118" s="180" t="str">
        <x:v>MDVCxDiagramFrame</x:v>
      </x:c>
      <x:c r="D118" s="179" t="str">
        <x:v>原有·待核</x:v>
      </x:c>
      <x:c r="E118" s="180" t="str">
        <x:v>表达或管理Diagram帧相关的数据及协作职责，具体行为待源码复核〔待核〕</x:v>
      </x:c>
      <x:c r="F118" s="180" t="str">
        <x:v>ScopeAddress, Nodes, Edges</x:v>
      </x:c>
      <x:c r="G118" s="180" t="str">
        <x:v>CxDiagramFrame(string scope, IEnumerable&lt;CxDiagramNodeVisual&gt; nodes, IEnumerable&lt;CxDiagramEdgeVisual&gt; edges, CxViewport vi…), Copy(_viewport)</x:v>
      </x:c>
      <x:c r="H118" s="180" t="str">
        <x:v>—（待核）</x:v>
      </x:c>
      <x:c r="I118" s="180" t="str">
        <x:v>CxVisual.Core.CxDiagramFrame</x:v>
      </x:c>
      <x:c r="J118" s="179" t="str">
        <x:v>类</x:v>
      </x:c>
      <x:c r="K118" s="180" t="str">
        <x:v>V1.19 C-0777；原实施方式：原有。迁移风险：表达或管理Diagram帧相关的数据及协作职责，具体行为待源码复核〔待核〕</x:v>
      </x:c>
      <x:c r="L118" s="183" t="str">
        <x:v>源代码声明·待复核</x:v>
      </x:c>
      <x:c r="M118" s="183" t="str">
        <x:v>C-0777</x:v>
      </x:c>
      <x:c r="N118" s="184" t="str">
        <x:v>Platform/Workbench/Drawing/CxDiagramCanvas.cs</x:v>
      </x:c>
      <x:c r="O118" s="183" t="str">
        <x:v>V1.19旧源码类型（真实成员/实现仍待核）
V2.01：来源ID对应；处置=保留源码·公开契约复核
V7.8：V7.8同名且源文件对应；Platform/Workbench/Drawing/CxDiagramCanvas.cs</x:v>
      </x:c>
      <x:c r="P118" s="136" t="str">
        <x:v>V1.19旧源码类型（真实成员/实现仍待核）</x:v>
      </x:c>
    </x:row>
    <x:row r="119" ht="72" customHeight="1">
      <x:c r="A119" s="179" t="str">
        <x:v>M17</x:v>
      </x:c>
      <x:c r="B119" s="180" t="str">
        <x:v>表现与编辑｜Diagram / Node Visual
Diagram Visuals</x:v>
      </x:c>
      <x:c r="C119" s="180" t="str">
        <x:v>MDVCxDiagramLayoutAlgorithm</x:v>
      </x:c>
      <x:c r="D119" s="179" t="str">
        <x:v>原有·待核</x:v>
      </x:c>
      <x:c r="E119" s="180" t="str">
        <x:v>定义Diagram布局Algorithm的候选取值、状态或模式，供相关流程作分支判断</x:v>
      </x:c>
      <x:c r="F119" s="180" t="str">
        <x:v>枚举值：Hierarchical, Grid</x:v>
      </x:c>
      <x:c r="G119" s="180" t="str">
        <x:v>—(无公开声明或待核对)</x:v>
      </x:c>
      <x:c r="H119" s="180" t="str">
        <x:v>—（待核）</x:v>
      </x:c>
      <x:c r="I119" s="180" t="str">
        <x:v>CxVisual.Core.CxDiagramLayoutAlgorithm</x:v>
      </x:c>
      <x:c r="J119" s="179" t="str">
        <x:v>枚举</x:v>
      </x:c>
      <x:c r="K119" s="180" t="str">
        <x:v>V1.19 C-0778；原实施方式：原有。迁移风险：定义Diagram布局Algorithm的候选取值、状态或模式，供相关流程作分支判断</x:v>
      </x:c>
      <x:c r="L119" s="183" t="str">
        <x:v>源代码声明·待复核</x:v>
      </x:c>
      <x:c r="M119" s="183" t="str">
        <x:v>C-0778</x:v>
      </x:c>
      <x:c r="N119" s="184" t="str">
        <x:v>Platform/Workbench/Drawing/CxAutoLayoutService.cs</x:v>
      </x:c>
      <x:c r="O119" s="183" t="str">
        <x:v>V1.19旧源码类型（真实成员/实现仍待核）
V2.01：来源ID对应；处置=保留源码·公开契约复核
V7.8：V7.8同名且源文件对应；Platform/Workbench/Drawing/CxAutoLayoutService.cs</x:v>
      </x:c>
      <x:c r="P119" s="136" t="str">
        <x:v>V1.19旧源码类型（真实成员/实现仍待核）</x:v>
      </x:c>
    </x:row>
    <x:row r="120" ht="72" customHeight="1">
      <x:c r="A120" s="179" t="str">
        <x:v>M17</x:v>
      </x:c>
      <x:c r="B120" s="180" t="str">
        <x:v>表现与编辑｜Diagram / Node Visual
Diagram Visuals</x:v>
      </x:c>
      <x:c r="C120" s="180" t="str">
        <x:v>MDVCxDiagramLayoutDirection</x:v>
      </x:c>
      <x:c r="D120" s="179" t="str">
        <x:v>原有·待核</x:v>
      </x:c>
      <x:c r="E120" s="180" t="str">
        <x:v>定义Diagram布局Direction的候选取值、状态或模式，供相关流程作分支判断</x:v>
      </x:c>
      <x:c r="F120" s="180" t="str">
        <x:v>枚举值：LeftToRight, TopToBottom</x:v>
      </x:c>
      <x:c r="G120" s="180" t="str">
        <x:v>—(无公开声明或待核对)</x:v>
      </x:c>
      <x:c r="H120" s="180" t="str">
        <x:v>—（待核）</x:v>
      </x:c>
      <x:c r="I120" s="180" t="str">
        <x:v>CxVisual.Core.CxDiagramLayoutDirection</x:v>
      </x:c>
      <x:c r="J120" s="179" t="str">
        <x:v>枚举</x:v>
      </x:c>
      <x:c r="K120" s="180" t="str">
        <x:v>V1.19 C-0779；原实施方式：原有。迁移风险：定义Diagram布局Direction的候选取值、状态或模式，供相关流程作分支判断</x:v>
      </x:c>
      <x:c r="L120" s="183" t="str">
        <x:v>源代码声明·待复核</x:v>
      </x:c>
      <x:c r="M120" s="183" t="str">
        <x:v>C-0779</x:v>
      </x:c>
      <x:c r="N120" s="184" t="str">
        <x:v>Platform/Workbench/Drawing/CxAutoLayoutService.cs</x:v>
      </x:c>
      <x:c r="O120" s="183" t="str">
        <x:v>V1.19旧源码类型（真实成员/实现仍待核）
V2.01：来源ID对应；处置=保留源码·公开契约复核
V7.8：V7.8同名且源文件对应；Platform/Workbench/Drawing/CxAutoLayoutService.cs</x:v>
      </x:c>
      <x:c r="P120" s="136" t="str">
        <x:v>V1.19旧源码类型（真实成员/实现仍待核）</x:v>
      </x:c>
    </x:row>
    <x:row r="121" ht="72" customHeight="1">
      <x:c r="A121" s="179" t="str">
        <x:v>M17</x:v>
      </x:c>
      <x:c r="B121" s="180" t="str">
        <x:v>表现与编辑｜Diagram / Node Visual
Diagram Visuals</x:v>
      </x:c>
      <x:c r="C121" s="180" t="str">
        <x:v>MDVCxDiagramLayoutOptions</x:v>
      </x:c>
      <x:c r="D121" s="179" t="str">
        <x:v>原有·待核</x:v>
      </x:c>
      <x:c r="E121" s="180" t="str">
        <x:v>承载Diagram布局Options操作时可选的执行参数与策略</x:v>
      </x:c>
      <x:c r="F121" s="180" t="str">
        <x:v>Origin, LayerSpacing, NodeSpacing, Columns, Direction, CxDiagramLayoutOptions</x:v>
      </x:c>
      <x:c r="G121" s="180" t="str">
        <x:v>Validate()</x:v>
      </x:c>
      <x:c r="H121" s="180" t="str">
        <x:v>—（待核）</x:v>
      </x:c>
      <x:c r="I121" s="180" t="str">
        <x:v>CxVisual.Core.CxDiagramLayoutOptions</x:v>
      </x:c>
      <x:c r="J121" s="179" t="str">
        <x:v>类</x:v>
      </x:c>
      <x:c r="K121" s="180" t="str">
        <x:v>V1.19 C-0780；原实施方式：原有。迁移风险：承载Diagram布局Options操作时可选的执行参数与策略</x:v>
      </x:c>
      <x:c r="L121" s="183" t="str">
        <x:v>源代码声明·待复核</x:v>
      </x:c>
      <x:c r="M121" s="183" t="str">
        <x:v>C-0780</x:v>
      </x:c>
      <x:c r="N121" s="184" t="str">
        <x:v>Platform/Workbench/Drawing/CxAutoLayoutService.cs</x:v>
      </x:c>
      <x:c r="O121" s="183" t="str">
        <x:v>V1.19旧源码类型（真实成员/实现仍待核）
V2.01：来源ID对应；处置=保留源码·公开契约复核
V7.8：V7.8同名且源文件对应；Platform/Workbench/Drawing/CxAutoLayoutService.cs</x:v>
      </x:c>
      <x:c r="P121" s="136" t="str">
        <x:v>V1.19旧源码类型（真实成员/实现仍待核）</x:v>
      </x:c>
    </x:row>
    <x:row r="122" ht="72" customHeight="1">
      <x:c r="A122" s="179" t="str">
        <x:v>M17</x:v>
      </x:c>
      <x:c r="B122" s="180" t="str">
        <x:v>表现与编辑｜Diagram / Node Visual
Diagram Visuals</x:v>
      </x:c>
      <x:c r="C122" s="180" t="str">
        <x:v>MDVCxDiagramLayoutResult</x:v>
      </x:c>
      <x:c r="D122" s="179" t="str">
        <x:v>原有·待核</x:v>
      </x:c>
      <x:c r="E122" s="180" t="str">
        <x:v>承载Diagram布局结果操作结果、返回值、状态及错误说明</x:v>
      </x:c>
      <x:c r="F122" s="180" t="str">
        <x:v>—（无公开声明或待核对）</x:v>
      </x:c>
      <x:c r="G122" s="180" t="str">
        <x:v>CxDiagramLayoutResult(Dictionary&lt;string, Bounds2D&gt; bounds), ToDictionary(x =&gt; x.Key, x =&gt; CxCanvasMath.Copy(x.Value)</x:v>
      </x:c>
      <x:c r="H122" s="180" t="str">
        <x:v>—（待核）</x:v>
      </x:c>
      <x:c r="I122" s="180" t="str">
        <x:v>CxVisual.Core.CxDiagramLayoutResult</x:v>
      </x:c>
      <x:c r="J122" s="179" t="str">
        <x:v>类</x:v>
      </x:c>
      <x:c r="K122" s="180" t="str">
        <x:v>V1.19 C-0781；原实施方式：原有。迁移风险：承载Diagram布局结果操作结果、返回值、状态及错误说明</x:v>
      </x:c>
      <x:c r="L122" s="183" t="str">
        <x:v>源代码声明·待复核</x:v>
      </x:c>
      <x:c r="M122" s="183" t="str">
        <x:v>C-0781</x:v>
      </x:c>
      <x:c r="N122" s="184" t="str">
        <x:v>Platform/Workbench/Drawing/CxAutoLayoutService.cs</x:v>
      </x:c>
      <x:c r="O122" s="183" t="str">
        <x:v>V1.19旧源码类型（真实成员/实现仍待核）
V2.01：来源ID对应；处置=保留源码·公开契约复核
V7.8：V7.8同名且源文件对应；Platform/Workbench/Drawing/CxAutoLayoutService.cs</x:v>
      </x:c>
      <x:c r="P122" s="136" t="str">
        <x:v>V1.19旧源码类型（真实成员/实现仍待核）</x:v>
      </x:c>
    </x:row>
    <x:row r="123" ht="72" customHeight="1">
      <x:c r="A123" s="179" t="str">
        <x:v>M17</x:v>
      </x:c>
      <x:c r="B123" s="180" t="str">
        <x:v>表现与编辑｜Diagram / Node Visual
Diagram Visuals</x:v>
      </x:c>
      <x:c r="C123" s="180" t="str">
        <x:v>MDVCxDiagramNodeVisual</x:v>
      </x:c>
      <x:c r="D123" s="179" t="str">
        <x:v>原有·待核</x:v>
      </x:c>
      <x:c r="E123" s="180" t="str">
        <x:v>表达或管理Diagram节点Visual相关的数据及协作职责，具体行为待源码复核〔待核〕</x:v>
      </x:c>
      <x:c r="F123" s="180" t="str">
        <x:v>NodeAddress, Label, Category, Operation, Ports, StateAdornment</x:v>
      </x:c>
      <x:c r="G123" s="180" t="str">
        <x:v>CxDiagramNodeVisual(CxNodePresenter node), Copy(_bounds)</x:v>
      </x:c>
      <x:c r="H123" s="180" t="str">
        <x:v>—（待核）</x:v>
      </x:c>
      <x:c r="I123" s="180" t="str">
        <x:v>CxVisual.Core.CxDiagramNodeVisual</x:v>
      </x:c>
      <x:c r="J123" s="179" t="str">
        <x:v>类</x:v>
      </x:c>
      <x:c r="K123" s="180" t="str">
        <x:v>V1.19 C-0782；原实施方式：原有。迁移风险：表达或管理Diagram节点Visual相关的数据及协作职责，具体行为待源码复核〔待核〕</x:v>
      </x:c>
      <x:c r="L123" s="183" t="str">
        <x:v>源代码声明·待复核</x:v>
      </x:c>
      <x:c r="M123" s="183" t="str">
        <x:v>C-0782</x:v>
      </x:c>
      <x:c r="N123" s="184" t="str">
        <x:v>Platform/Workbench/Drawing/CxDiagramPresenters.cs</x:v>
      </x:c>
      <x:c r="O123" s="183" t="str">
        <x:v>V1.19旧源码类型（真实成员/实现仍待核）
V2.01：来源ID对应；处置=保留源码·公开契约复核
V7.8：V7.8同名且源文件对应；Platform/Workbench/Drawing/CxDiagramPresenters.cs</x:v>
      </x:c>
      <x:c r="P123" s="136" t="str">
        <x:v>V1.19旧源码类型（真实成员/实现仍待核）</x:v>
      </x:c>
    </x:row>
    <x:row r="124" ht="72" customHeight="1">
      <x:c r="A124" s="179" t="str">
        <x:v>M17</x:v>
      </x:c>
      <x:c r="B124" s="180" t="str">
        <x:v>表现与编辑｜Diagram / Node Visual
Diagram Visuals</x:v>
      </x:c>
      <x:c r="C124" s="180" t="str">
        <x:v>MDVCxDiagramPortSide</x:v>
      </x:c>
      <x:c r="D124" s="179" t="str">
        <x:v>原有·待核</x:v>
      </x:c>
      <x:c r="E124" s="180" t="str">
        <x:v>定义Diagram端口Side的候选取值、状态或模式，供相关流程作分支判断</x:v>
      </x:c>
      <x:c r="F124" s="180" t="str">
        <x:v>枚举值：Left, Right, Top, Bottom</x:v>
      </x:c>
      <x:c r="G124" s="180" t="str">
        <x:v>—(无公开声明或待核对)</x:v>
      </x:c>
      <x:c r="H124" s="180" t="str">
        <x:v>—（待核）</x:v>
      </x:c>
      <x:c r="I124" s="180" t="str">
        <x:v>CxVisual.Core.CxDiagramPortSide</x:v>
      </x:c>
      <x:c r="J124" s="179" t="str">
        <x:v>枚举</x:v>
      </x:c>
      <x:c r="K124" s="180" t="str">
        <x:v>V1.19 C-0783；原实施方式：原有。迁移风险：定义Diagram端口Side的候选取值、状态或模式，供相关流程作分支判断</x:v>
      </x:c>
      <x:c r="L124" s="183" t="str">
        <x:v>源代码声明·待复核</x:v>
      </x:c>
      <x:c r="M124" s="183" t="str">
        <x:v>C-0783</x:v>
      </x:c>
      <x:c r="N124" s="184" t="str">
        <x:v>Platform/Workbench/Drawing/CxDiagramPresenters.cs</x:v>
      </x:c>
      <x:c r="O124" s="183" t="str">
        <x:v>V1.19旧源码类型（真实成员/实现仍待核）
V2.01：来源ID对应；处置=保留源码·公开契约复核
V7.8：V7.8同名且源文件对应；Platform/Workbench/Drawing/CxDiagramPresenters.cs</x:v>
      </x:c>
      <x:c r="P124" s="136" t="str">
        <x:v>V1.19旧源码类型（真实成员/实现仍待核）</x:v>
      </x:c>
    </x:row>
    <x:row r="125" ht="72" customHeight="1">
      <x:c r="A125" s="179" t="str">
        <x:v>M17</x:v>
      </x:c>
      <x:c r="B125" s="180" t="str">
        <x:v>表现与编辑｜Diagram / Node Visual
Diagram Visuals</x:v>
      </x:c>
      <x:c r="C125" s="180" t="str">
        <x:v>MDVCxDiagramPortVisual</x:v>
      </x:c>
      <x:c r="D125" s="179" t="str">
        <x:v>原有·待核</x:v>
      </x:c>
      <x:c r="E125" s="180" t="str">
        <x:v>表达或管理Diagram端口Visual相关的数据及协作职责，具体行为待源码复核〔待核〕</x:v>
      </x:c>
      <x:c r="F125" s="180" t="str">
        <x:v>PortAddress, Direction, Kind</x:v>
      </x:c>
      <x:c r="G125" s="180" t="str">
        <x:v>CxDiagramPortVisual(CxPortPresenter port), Point2D(_anchor.X, _anchor.Y)</x:v>
      </x:c>
      <x:c r="H125" s="180" t="str">
        <x:v>—（待核）</x:v>
      </x:c>
      <x:c r="I125" s="180" t="str">
        <x:v>CxVisual.Core.CxDiagramPortVisual</x:v>
      </x:c>
      <x:c r="J125" s="179" t="str">
        <x:v>类</x:v>
      </x:c>
      <x:c r="K125" s="180" t="str">
        <x:v>V1.19 C-0784；原实施方式：原有。迁移风险：表达或管理Diagram端口Visual相关的数据及协作职责，具体行为待源码复核〔待核〕</x:v>
      </x:c>
      <x:c r="L125" s="183" t="str">
        <x:v>源代码声明·待复核</x:v>
      </x:c>
      <x:c r="M125" s="183" t="str">
        <x:v>C-0784</x:v>
      </x:c>
      <x:c r="N125" s="184" t="str">
        <x:v>Platform/Workbench/Drawing/CxDiagramPresenters.cs</x:v>
      </x:c>
      <x:c r="O125" s="183" t="str">
        <x:v>V1.19旧源码类型（真实成员/实现仍待核）
V2.01：来源ID对应；处置=保留源码·公开契约复核
V7.8：V7.8同名且源文件对应；Platform/Workbench/Drawing/CxDiagramPresenters.cs</x:v>
      </x:c>
      <x:c r="P125" s="136" t="str">
        <x:v>V1.19旧源码类型（真实成员/实现仍待核）</x:v>
      </x:c>
    </x:row>
    <x:row r="126" ht="72" customHeight="1">
      <x:c r="A126" s="179" t="str">
        <x:v>M17</x:v>
      </x:c>
      <x:c r="B126" s="180" t="str">
        <x:v>表现与编辑｜Diagram / Node Visual
Diagram Visuals</x:v>
      </x:c>
      <x:c r="C126" s="180" t="str">
        <x:v>MDVCxDiagramRuntimeState</x:v>
      </x:c>
      <x:c r="D126" s="179" t="str">
        <x:v>原有·待核</x:v>
      </x:c>
      <x:c r="E126" s="180" t="str">
        <x:v>表示Diagram运行时状态当前运行状态和必要的状态转换数据</x:v>
      </x:c>
      <x:c r="F126" s="180" t="str">
        <x:v>State, Progress, Error</x:v>
      </x:c>
      <x:c r="G126" s="180" t="str">
        <x:v>CxDiagramRuntimeState(string state, double? progress = null, string error = null)</x:v>
      </x:c>
      <x:c r="H126" s="180" t="str">
        <x:v>—（待核）</x:v>
      </x:c>
      <x:c r="I126" s="180" t="str">
        <x:v>CxVisual.Core.CxDiagramRuntimeState</x:v>
      </x:c>
      <x:c r="J126" s="179" t="str">
        <x:v>类</x:v>
      </x:c>
      <x:c r="K126" s="180" t="str">
        <x:v>V1.19 C-0785；原实施方式：原有。迁移风险：表示Diagram运行时状态当前运行状态和必要的状态转换数据</x:v>
      </x:c>
      <x:c r="L126" s="183" t="str">
        <x:v>源代码声明·待复核</x:v>
      </x:c>
      <x:c r="M126" s="183" t="str">
        <x:v>C-0785</x:v>
      </x:c>
      <x:c r="N126" s="184" t="str">
        <x:v>Platform/Workbench/Drawing/CxDiagramPresenters.cs</x:v>
      </x:c>
      <x:c r="O126" s="183" t="str">
        <x:v>V1.19旧源码类型（真实成员/实现仍待核）
V2.01：来源ID对应；处置=保留源码·公开契约复核
V7.8：V7.8同名且源文件对应；Platform/Workbench/Drawing/CxDiagramPresenters.cs</x:v>
      </x:c>
      <x:c r="P126" s="136" t="str">
        <x:v>V1.19旧源码类型（真实成员/实现仍待核）</x:v>
      </x:c>
    </x:row>
    <x:row r="127" ht="72" customHeight="1">
      <x:c r="A127" s="179" t="str">
        <x:v>M17</x:v>
      </x:c>
      <x:c r="B127" s="180" t="str">
        <x:v>表现与编辑｜Diagram / Node Visual
Diagram Visuals</x:v>
      </x:c>
      <x:c r="C127" s="180" t="str">
        <x:v>MDVCxEdgePresenter</x:v>
      </x:c>
      <x:c r="D127" s="179" t="str">
        <x:v>原有·待核</x:v>
      </x:c>
      <x:c r="E127" s="180" t="str">
        <x:v>负责EdgePresenter相关的Edge视觉与公共契约管理</x:v>
      </x:c>
      <x:c r="F127" s="180" t="str">
        <x:v>Connection, Scope, Link, RouteKey, ConnectionId, Source, Target, Label, Route, Style, RuntimeState</x:v>
      </x:c>
      <x:c r="G127" s="180" t="str">
        <x:v>CxEdgePresenter(CxConnection connection, CxPortPresenter source, CxPortPresenter target), CxEdgePresenter(ContentDefinition scope, LogicLink link, CxPortPresenter source, CxPortPresenter target), Demand(), Point2DStoredRoute(), Point2DCopyRoute(IEnumerable&lt;Point2D&gt; route), SetStoredRoute(Point2Droute), Render(), HitTest(Point2D point, double tolerance = 5), UpdateRuntimeState(CxDiagramRuntimeState state)</x:v>
      </x:c>
      <x:c r="H127" s="180" t="str">
        <x:v>—（待核）</x:v>
      </x:c>
      <x:c r="I127" s="180" t="str">
        <x:v>CxVisual.Core.CxEdgePresenter</x:v>
      </x:c>
      <x:c r="J127" s="179" t="str">
        <x:v>类</x:v>
      </x:c>
      <x:c r="K127" s="180" t="str">
        <x:v>V1.19 C-0786；原实施方式：原有。迁移风险：负责EdgePresenter相关的Edge视觉与公共契约管理</x:v>
      </x:c>
      <x:c r="L127" s="183" t="str">
        <x:v>源代码声明·待复核</x:v>
      </x:c>
      <x:c r="M127" s="183" t="str">
        <x:v>C-0786</x:v>
      </x:c>
      <x:c r="N127" s="184" t="str">
        <x:v>Platform/Workbench/Drawing/CxDiagramPresenters.cs</x:v>
      </x:c>
      <x:c r="O127" s="183" t="str">
        <x:v>V1.19旧源码类型（真实成员/实现仍待核）
V2.01：来源ID对应；处置=保留源码·公开契约复核
V7.8：V7.8同名且源文件对应；Platform/Workbench/Drawing/CxDiagramPresenters.cs</x:v>
      </x:c>
      <x:c r="P127" s="136" t="str">
        <x:v>V1.19旧源码类型（真实成员/实现仍待核）</x:v>
      </x:c>
    </x:row>
    <x:row r="128" ht="72" customHeight="1">
      <x:c r="A128" s="179" t="str">
        <x:v>M17</x:v>
      </x:c>
      <x:c r="B128" s="180" t="str">
        <x:v>表现与编辑｜Diagram / Node Visual
Diagram Visuals</x:v>
      </x:c>
      <x:c r="C128" s="180" t="str">
        <x:v>MDVCxEdgeRouter</x:v>
      </x:c>
      <x:c r="D128" s="179" t="str">
        <x:v>原有·待核</x:v>
      </x:c>
      <x:c r="E128" s="180" t="str">
        <x:v>负责EdgeRouter相关的连线路由与公共契约管理</x:v>
      </x:c>
      <x:c r="F128" s="180" t="str">
        <x:v>Strategy, Obstacles, Clearance, BendPenalty</x:v>
      </x:c>
      <x:c r="G128" s="180" t="str">
        <x:v>Route(Point2D source, Point2D target), Route(CxPortPresenter source, CxPortPresenter target), Reroute(CxEdgePresenter edge), CrossesInterior(Point2D a, Point2D b, Bounds2D box)</x:v>
      </x:c>
      <x:c r="H128" s="180" t="str">
        <x:v>—（待核）</x:v>
      </x:c>
      <x:c r="I128" s="180" t="str">
        <x:v>CxVisual.Core.CxEdgeRouter</x:v>
      </x:c>
      <x:c r="J128" s="179" t="str">
        <x:v>类</x:v>
      </x:c>
      <x:c r="K128" s="180" t="str">
        <x:v>V1.19 C-0787；原实施方式：原有。迁移风险：负责EdgeRouter相关的连线路由与公共契约管理</x:v>
      </x:c>
      <x:c r="L128" s="183" t="str">
        <x:v>源代码声明·待复核</x:v>
      </x:c>
      <x:c r="M128" s="183" t="str">
        <x:v>C-0787</x:v>
      </x:c>
      <x:c r="N128" s="184" t="str">
        <x:v>Platform/Workbench/Drawing/CxEdgeRouter.cs</x:v>
      </x:c>
      <x:c r="O128" s="183" t="str">
        <x:v>V1.19旧源码类型（真实成员/实现仍待核）
V2.01：来源ID对应；处置=保留源码·公开契约复核
V7.8：V7.8同名且源文件对应；Platform/Workbench/Drawing/CxEdgeRouter.cs</x:v>
      </x:c>
      <x:c r="P128" s="136" t="str">
        <x:v>V1.19旧源码类型（真实成员/实现仍待核）</x:v>
      </x:c>
    </x:row>
    <x:row r="129" ht="72" customHeight="1">
      <x:c r="A129" s="179" t="str">
        <x:v>M17</x:v>
      </x:c>
      <x:c r="B129" s="180" t="str">
        <x:v>表现与编辑｜Diagram / Node Visual
Diagram Visuals</x:v>
      </x:c>
      <x:c r="C129" s="180" t="str">
        <x:v>MDVCxEdgeRoutingStrategy</x:v>
      </x:c>
      <x:c r="D129" s="179" t="str">
        <x:v>原有·待核</x:v>
      </x:c>
      <x:c r="E129" s="180" t="str">
        <x:v>定义EdgeRoutingStrategy的候选取值、状态或模式，供相关流程作分支判断</x:v>
      </x:c>
      <x:c r="F129" s="180" t="str">
        <x:v>枚举值：Orthogonal, Direct</x:v>
      </x:c>
      <x:c r="G129" s="180" t="str">
        <x:v>—(无公开声明或待核对)</x:v>
      </x:c>
      <x:c r="H129" s="180" t="str">
        <x:v>—（待核）</x:v>
      </x:c>
      <x:c r="I129" s="180" t="str">
        <x:v>CxVisual.Core.CxEdgeRoutingStrategy</x:v>
      </x:c>
      <x:c r="J129" s="179" t="str">
        <x:v>枚举</x:v>
      </x:c>
      <x:c r="K129" s="180" t="str">
        <x:v>V1.19 C-0790；原实施方式：原有。迁移风险：定义EdgeRoutingStrategy的候选取值、状态或模式，供相关流程作分支判断</x:v>
      </x:c>
      <x:c r="L129" s="183" t="str">
        <x:v>源代码声明·待复核</x:v>
      </x:c>
      <x:c r="M129" s="183" t="str">
        <x:v>C-0790</x:v>
      </x:c>
      <x:c r="N129" s="184" t="str">
        <x:v>Platform/Workbench/Drawing/CxEdgeRouter.cs</x:v>
      </x:c>
      <x:c r="O129" s="183" t="str">
        <x:v>V1.19旧源码类型（真实成员/实现仍待核）
V2.01：来源ID对应；处置=保留源码·公开契约复核
V7.8：V7.8同名且源文件对应；Platform/Workbench/Drawing/CxEdgeRouter.cs</x:v>
      </x:c>
      <x:c r="P129" s="136" t="str">
        <x:v>V1.19旧源码类型（真实成员/实现仍待核）</x:v>
      </x:c>
    </x:row>
    <x:row r="130" ht="72" customHeight="1">
      <x:c r="A130" s="179" t="str">
        <x:v>M17</x:v>
      </x:c>
      <x:c r="B130" s="180" t="str">
        <x:v>表现与编辑｜Diagram / Node Visual
Diagram Visuals</x:v>
      </x:c>
      <x:c r="C130" s="180" t="str">
        <x:v>MDVCxMinimapModel</x:v>
      </x:c>
      <x:c r="D130" s="179" t="str">
        <x:v>原有·待核</x:v>
      </x:c>
      <x:c r="E130" s="180" t="str">
        <x:v>负责Minimap模型相关的小地图与公共契约管理</x:v>
      </x:c>
      <x:c r="F130" s="180" t="str">
        <x:v>—（无公开声明或待核对）</x:v>
      </x:c>
      <x:c r="G130" s="180" t="str">
        <x:v>Copy(_viewportRect), Copy(_worldBounds), Update(Bounds2D worldBounds, CxViewport viewport), NavigateTo(Point2D worldPoint), NavigateTo(Point2D minimapPoint, Bounds2D minimapBounds)</x:v>
      </x:c>
      <x:c r="H130" s="180" t="str">
        <x:v>—（待核）</x:v>
      </x:c>
      <x:c r="I130" s="180" t="str">
        <x:v>CxVisual.Core.CxMinimapModel</x:v>
      </x:c>
      <x:c r="J130" s="179" t="str">
        <x:v>类</x:v>
      </x:c>
      <x:c r="K130" s="180" t="str">
        <x:v>V1.19 C-0791；原实施方式：原有。迁移风险：负责Minimap模型相关的小地图与公共契约管理</x:v>
      </x:c>
      <x:c r="L130" s="183" t="str">
        <x:v>源代码声明·待复核</x:v>
      </x:c>
      <x:c r="M130" s="183" t="str">
        <x:v>C-0791</x:v>
      </x:c>
      <x:c r="N130" s="184" t="str">
        <x:v>Platform/Workbench/Drawing/CxMinimapModel.cs</x:v>
      </x:c>
      <x:c r="O130" s="183" t="str">
        <x:v>V1.19旧源码类型（真实成员/实现仍待核）
V2.01：来源ID对应；处置=保留源码·公开契约复核
V7.8：V7.8同名且源文件对应；Platform/Workbench/Drawing/CxMinimapModel.cs</x:v>
      </x:c>
      <x:c r="P130" s="136" t="str">
        <x:v>V1.19旧源码类型（真实成员/实现仍待核）</x:v>
      </x:c>
    </x:row>
    <x:row r="131" ht="72" customHeight="1">
      <x:c r="A131" s="179" t="str">
        <x:v>M17</x:v>
      </x:c>
      <x:c r="B131" s="180" t="str">
        <x:v>表现与编辑｜Diagram / Node Visual
Diagram Visuals</x:v>
      </x:c>
      <x:c r="C131" s="180" t="str">
        <x:v>MDVCxNodePresenter</x:v>
      </x:c>
      <x:c r="D131" s="179" t="str">
        <x:v>原有·待核</x:v>
      </x:c>
      <x:c r="E131" s="180" t="str">
        <x:v>负责节点Presenter相关的Node视觉与公共契约管理</x:v>
      </x:c>
      <x:c r="F131" s="180" t="str">
        <x:v>Node, Unit, Scope, Bounds, Label, Operation, StateAdornment, Ports</x:v>
      </x:c>
      <x:c r="G131" s="180" t="str">
        <x:v>CxNodePresenter(CxNode node), CxNodePresenter(ContentDefinition scope, LogicUnit unit), Demand(), EscapeDataString(Scope.Logic.Id), ToString(), Render(), HitTest(Point2D point, double tolerance = 0), UpdateRuntimeState(CxDiagramRuntimeState state), GeometryState(Bounds), SetGeometry(GeometryState state)</x:v>
      </x:c>
      <x:c r="H131" s="180" t="str">
        <x:v>—（待核）</x:v>
      </x:c>
      <x:c r="I131" s="180" t="str">
        <x:v>CxVisual.Core.CxNodePresenter</x:v>
      </x:c>
      <x:c r="J131" s="179" t="str">
        <x:v>类</x:v>
      </x:c>
      <x:c r="K131" s="180" t="str">
        <x:v>V1.19 C-0792；原实施方式：原有。迁移风险：负责节点Presenter相关的Node视觉与公共契约管理</x:v>
      </x:c>
      <x:c r="L131" s="183" t="str">
        <x:v>源代码声明·待复核</x:v>
      </x:c>
      <x:c r="M131" s="183" t="str">
        <x:v>C-0792</x:v>
      </x:c>
      <x:c r="N131" s="184" t="str">
        <x:v>Platform/Workbench/Drawing/CxDiagramPresenters.cs</x:v>
      </x:c>
      <x:c r="O131" s="183" t="str">
        <x:v>V1.19旧源码类型（真实成员/实现仍待核）
V2.01：来源ID对应；处置=保留源码·公开契约复核
V7.8：V7.8同名且源文件对应；Platform/Workbench/Drawing/CxDiagramPresenters.cs</x:v>
      </x:c>
      <x:c r="P131" s="136" t="str">
        <x:v>V1.19旧源码类型（真实成员/实现仍待核）</x:v>
      </x:c>
    </x:row>
    <x:row r="132" ht="135" customHeight="1">
      <x:c r="A132" s="179" t="str">
        <x:v>M17</x:v>
      </x:c>
      <x:c r="B132" s="180" t="str">
        <x:v>表现与编辑｜Diagram / Node Visual
Diagram Visuals</x:v>
      </x:c>
      <x:c r="C132" s="180" t="str">
        <x:v>MDVCxPortPresenter</x:v>
      </x:c>
      <x:c r="D132" s="179" t="str">
        <x:v>原有·待核</x:v>
      </x:c>
      <x:c r="E132" s="180" t="str">
        <x:v>负责端口Presenter相关的Port视觉与公共契约管理</x:v>
      </x:c>
      <x:c r="F132" s="180" t="str">
        <x:v>Node, Port, LogicPort, Owner, Direction, Anchor</x:v>
      </x:c>
      <x:c r="G132" s="180" t="str">
        <x:v>CxPortPresenter(CxNodePresenter node, CxPort port), CxPortPresenter(CxNodePresenter node, LogicPortDefinition port, CxPortDirection direction), CxPortPresenter(CxNodePresenter node, CxPortDirection direction), CxPortPresenter(CxNodePresenter node, string portId), Demand(), SameDefinition(CxPort current), Address(Port), ClosestSide(Port.VisualInfo.RelativeX, Port.VisualInfo.RelativeY), Point2D(-1, 0), Render(), HitTest(Point2D point, double radius = 6)</x:v>
      </x:c>
      <x:c r="H132" s="180" t="str">
        <x:v>—（待核）</x:v>
      </x:c>
      <x:c r="I132" s="180" t="str">
        <x:v>CxVisual.Core.CxPortPresenter</x:v>
      </x:c>
      <x:c r="J132" s="179" t="str">
        <x:v>类</x:v>
      </x:c>
      <x:c r="K132" s="180" t="str">
        <x:v>V1.19 C-0794；原实施方式：原有。迁移风险：负责端口Presenter相关的Port视觉与公共契约管理</x:v>
      </x:c>
      <x:c r="L132" s="183" t="str">
        <x:v>源代码声明·待复核</x:v>
      </x:c>
      <x:c r="M132" s="183" t="str">
        <x:v>C-0794</x:v>
      </x:c>
      <x:c r="N132" s="184" t="str">
        <x:v>Platform/Workbench/Drawing/CxDiagramPresenters.cs</x:v>
      </x:c>
      <x:c r="O132" s="183" t="str">
        <x:v>V1.19旧源码类型（真实成员/实现仍待核）
V2.01：来源ID对应；处置=保留源码·公开契约复核
V7.8：V7.8同名且源文件对应；Platform/Workbench/Drawing/CxDiagramPresenters.cs</x:v>
      </x:c>
      <x:c r="P132" s="136" t="str">
        <x:v>V1.19旧源码类型（真实成员/实现仍待核）</x:v>
      </x:c>
    </x:row>
    <x:row r="133" ht="72" customHeight="1">
      <x:c r="A133" s="179" t="str">
        <x:v>M17</x:v>
      </x:c>
      <x:c r="B133" s="180" t="str">
        <x:v>表现与编辑｜Diagram / Node Visual
Diagram Visuals</x:v>
      </x:c>
      <x:c r="C133" s="180" t="str">
        <x:v>MDVDefaultPortCompatibilityService</x:v>
      </x:c>
      <x:c r="D133" s="179" t="str">
        <x:v>原有·待核</x:v>
      </x:c>
      <x:c r="E133" s="180" t="str">
        <x:v>封装Default端口Compatibility服务通用服务操作及其生命周期边界</x:v>
      </x:c>
      <x:c r="F133" s="180" t="str">
        <x:v>—（无公开声明或待核对）</x:v>
      </x:c>
      <x:c r="G133" s="180" t="str">
        <x:v>CanConnect(DiagramPortViewModel source, DiagramPortViewModel target)</x:v>
      </x:c>
      <x:c r="H133" s="180" t="str">
        <x:v>—（待核）</x:v>
      </x:c>
      <x:c r="I133" s="180" t="str">
        <x:v>CxVisual.Platform.Presentation.Wpf.Diagram.DefaultPortCompatibilityService</x:v>
      </x:c>
      <x:c r="J133" s="179" t="str">
        <x:v>类</x:v>
      </x:c>
      <x:c r="K133" s="180" t="str">
        <x:v>V1.19 C-0797；原实施方式：原有。迁移风险：封装Default端口Compatibility服务通用服务操作及其生命周期边界</x:v>
      </x:c>
      <x:c r="L133" s="183" t="str">
        <x:v>源代码声明·待复核</x:v>
      </x:c>
      <x:c r="M133" s="183" t="str">
        <x:v>C-0797</x:v>
      </x:c>
      <x:c r="N133" s="184" t="str">
        <x:v>Platform.Presentation.Wpf/Diagram/DiagramFoundation.cs</x:v>
      </x:c>
      <x:c r="O133"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33" s="136" t="str">
        <x:v>V1.19旧源码类型（真实成员/实现仍待核）</x:v>
      </x:c>
    </x:row>
    <x:row r="134" ht="72" customHeight="1">
      <x:c r="A134" s="179" t="str">
        <x:v>M17</x:v>
      </x:c>
      <x:c r="B134" s="180" t="str">
        <x:v>表现与编辑｜Diagram / Node Visual
Diagram Visuals</x:v>
      </x:c>
      <x:c r="C134" s="180" t="str">
        <x:v>MDVDiagramCanvas</x:v>
      </x:c>
      <x:c r="D134" s="179" t="str">
        <x:v>原有·待核</x:v>
      </x:c>
      <x:c r="E134" s="180" t="str">
        <x:v>表达或管理Diagram画布相关的数据及协作职责，具体行为待源码复核〔待核〕</x:v>
      </x:c>
      <x:c r="F134" s="180" t="str">
        <x:v>Selection, Connection, NodeMoveCompleted</x:v>
      </x:c>
      <x:c r="G134" s="180" t="str">
        <x:v>DiagramCanvas(), SetDocument(IEnumerable&lt;DiagramNodeViewModel&gt; nodes, IEnumerable&lt;DiagramEdgeViewModel&gt; edges), Refresh(), OfType()</x:v>
      </x:c>
      <x:c r="H134" s="180" t="str">
        <x:v>—（待核）</x:v>
      </x:c>
      <x:c r="I134" s="180" t="str">
        <x:v>CxVisual.Platform.Presentation.Wpf.Diagram.DiagramCanvas</x:v>
      </x:c>
      <x:c r="J134" s="179" t="str">
        <x:v>类</x:v>
      </x:c>
      <x:c r="K134" s="180" t="str">
        <x:v>V1.19 C-0798；原实施方式：原有。迁移风险：表达或管理Diagram画布相关的数据及协作职责，具体行为待源码复核〔待核〕</x:v>
      </x:c>
      <x:c r="L134" s="183" t="str">
        <x:v>源代码声明·待复核</x:v>
      </x:c>
      <x:c r="M134" s="183" t="str">
        <x:v>C-0798</x:v>
      </x:c>
      <x:c r="N134" s="184" t="str">
        <x:v>Platform.Presentation.Wpf/Diagram/DiagramFoundation.cs</x:v>
      </x:c>
      <x:c r="O134"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34" s="136" t="str">
        <x:v>V1.19旧源码类型（真实成员/实现仍待核）</x:v>
      </x:c>
    </x:row>
    <x:row r="135" ht="72" customHeight="1">
      <x:c r="A135" s="179" t="str">
        <x:v>M17</x:v>
      </x:c>
      <x:c r="B135" s="180" t="str">
        <x:v>表现与编辑｜Diagram / Node Visual
Diagram Visuals</x:v>
      </x:c>
      <x:c r="C135" s="180" t="str">
        <x:v>MDVDiagramEdgeViewModel</x:v>
      </x:c>
      <x:c r="D135" s="179" t="str">
        <x:v>原有·待核</x:v>
      </x:c>
      <x:c r="E135" s="180" t="str">
        <x:v>表达DiagramEdge视图模型相关的数据结构、配置及状态视图</x:v>
      </x:c>
      <x:c r="F135" s="180" t="str">
        <x:v>Id, SourceNodeId, SourcePortKey, TargetNodeId, TargetPortKey</x:v>
      </x:c>
      <x:c r="G135" s="180" t="str">
        <x:v>—(无公开声明或待核对)</x:v>
      </x:c>
      <x:c r="H135" s="180" t="str">
        <x:v>—（待核）</x:v>
      </x:c>
      <x:c r="I135" s="180" t="str">
        <x:v>CxVisual.Platform.Presentation.Wpf.Diagram.DiagramEdgeViewModel</x:v>
      </x:c>
      <x:c r="J135" s="179" t="str">
        <x:v>类</x:v>
      </x:c>
      <x:c r="K135" s="180" t="str">
        <x:v>V1.19 C-0799；原实施方式：原有。迁移风险：表达DiagramEdge视图模型相关的数据结构、配置及状态视图</x:v>
      </x:c>
      <x:c r="L135" s="183" t="str">
        <x:v>源代码声明·待复核</x:v>
      </x:c>
      <x:c r="M135" s="183" t="str">
        <x:v>C-0799</x:v>
      </x:c>
      <x:c r="N135" s="184" t="str">
        <x:v>Platform.Presentation.Wpf/Diagram/DiagramFoundation.cs</x:v>
      </x:c>
      <x:c r="O135"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35" s="136" t="str">
        <x:v>V1.19旧源码类型（真实成员/实现仍待核）</x:v>
      </x:c>
    </x:row>
    <x:row r="136" ht="72" customHeight="1">
      <x:c r="A136" s="179" t="str">
        <x:v>M17</x:v>
      </x:c>
      <x:c r="B136" s="180" t="str">
        <x:v>表现与编辑｜Diagram / Node Visual
Diagram Visuals</x:v>
      </x:c>
      <x:c r="C136" s="180" t="str">
        <x:v>MDVDiagramEdit</x:v>
      </x:c>
      <x:c r="D136" s="179" t="str">
        <x:v>原有·待核</x:v>
      </x:c>
      <x:c r="E136" s="180" t="str">
        <x:v>表达或管理DiagramEdit相关的数据及协作职责，具体行为待源码复核〔待核〕</x:v>
      </x:c>
      <x:c r="F136" s="180" t="str">
        <x:v>Name</x:v>
      </x:c>
      <x:c r="G136" s="180" t="str">
        <x:v>DiagramEdit(string name, Editedits), Execute(), Undo(), Redo(), CanMergeWith(ICxUndoableCommand next), Merge(ICxUndoableCommand next)</x:v>
      </x:c>
      <x:c r="H136" s="180" t="str">
        <x:v>—（待核）</x:v>
      </x:c>
      <x:c r="I136" s="180" t="str">
        <x:v>CxVisual.Core.CxDiagramCanvas.DiagramEdit</x:v>
      </x:c>
      <x:c r="J136" s="179" t="str">
        <x:v>类</x:v>
      </x:c>
      <x:c r="K136" s="180" t="str">
        <x:v>V1.19 C-0773；原实施方式：原有。迁移风险：表达或管理DiagramEdit相关的数据及协作职责，具体行为待源码复核〔待核〕</x:v>
      </x:c>
      <x:c r="L136" s="183" t="str">
        <x:v>源代码声明·待复核</x:v>
      </x:c>
      <x:c r="M136" s="183" t="str">
        <x:v>C-0773</x:v>
      </x:c>
      <x:c r="N136" s="184" t="str">
        <x:v>Platform/Workbench/Drawing/CxDiagramCanvas.cs</x:v>
      </x:c>
      <x:c r="O136" s="183" t="str">
        <x:v>V1.19旧源码类型（真实成员/实现仍待核）
V2.01：来源ID对应；处置=保留源码·公开契约复核
V7.8：V7.8同名且源文件对应；Platform/Workbench/Drawing/CxDiagramCanvas.cs</x:v>
      </x:c>
      <x:c r="P136" s="136" t="str">
        <x:v>V1.19旧源码类型（真实成员/实现仍待核）</x:v>
      </x:c>
    </x:row>
    <x:row r="137" ht="72" customHeight="1">
      <x:c r="A137" s="179" t="str">
        <x:v>M17</x:v>
      </x:c>
      <x:c r="B137" s="180" t="str">
        <x:v>表现与编辑｜Diagram / Node Visual
Diagram Visuals</x:v>
      </x:c>
      <x:c r="C137" s="180" t="str">
        <x:v>MDVDiagramNodeViewModel</x:v>
      </x:c>
      <x:c r="D137" s="179" t="str">
        <x:v>原有·待核</x:v>
      </x:c>
      <x:c r="E137" s="180" t="str">
        <x:v>表达Diagram节点视图模型相关的数据结构、配置及状态视图</x:v>
      </x:c>
      <x:c r="F137" s="180" t="str">
        <x:v>Id, Title, X, Y, Width, Height, Ports</x:v>
      </x:c>
      <x:c r="G137" s="180" t="str">
        <x:v>DiagramNodeViewModel()</x:v>
      </x:c>
      <x:c r="H137" s="180" t="str">
        <x:v>—（待核）</x:v>
      </x:c>
      <x:c r="I137" s="180" t="str">
        <x:v>CxVisual.Platform.Presentation.Wpf.Diagram.DiagramNodeViewModel</x:v>
      </x:c>
      <x:c r="J137" s="179" t="str">
        <x:v>类</x:v>
      </x:c>
      <x:c r="K137" s="180" t="str">
        <x:v>V1.19 C-0800；原实施方式：原有。迁移风险：表达Diagram节点视图模型相关的数据结构、配置及状态视图</x:v>
      </x:c>
      <x:c r="L137" s="183" t="str">
        <x:v>源代码声明·待复核</x:v>
      </x:c>
      <x:c r="M137" s="183" t="str">
        <x:v>C-0800</x:v>
      </x:c>
      <x:c r="N137" s="184" t="str">
        <x:v>Platform.Presentation.Wpf/Diagram/DiagramFoundation.cs</x:v>
      </x:c>
      <x:c r="O137"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37" s="136" t="str">
        <x:v>V1.19旧源码类型（真实成员/实现仍待核）</x:v>
      </x:c>
    </x:row>
    <x:row r="138" ht="72" customHeight="1">
      <x:c r="A138" s="179" t="str">
        <x:v>M17</x:v>
      </x:c>
      <x:c r="B138" s="180" t="str">
        <x:v>表现与编辑｜Diagram / Node Visual
Diagram Visuals</x:v>
      </x:c>
      <x:c r="C138" s="180" t="str">
        <x:v>MDVDiagramPortViewModel</x:v>
      </x:c>
      <x:c r="D138" s="179" t="str">
        <x:v>原有·待核</x:v>
      </x:c>
      <x:c r="E138" s="180" t="str">
        <x:v>表达Diagram端口视图模型相关的数据结构、配置及状态视图</x:v>
      </x:c>
      <x:c r="F138" s="180" t="str">
        <x:v>Key, Direction, DataType</x:v>
      </x:c>
      <x:c r="G138" s="180" t="str">
        <x:v>—(无公开声明或待核对)</x:v>
      </x:c>
      <x:c r="H138" s="180" t="str">
        <x:v>—（待核）</x:v>
      </x:c>
      <x:c r="I138" s="180" t="str">
        <x:v>CxVisual.Platform.Presentation.Wpf.Diagram.DiagramPortViewModel</x:v>
      </x:c>
      <x:c r="J138" s="179" t="str">
        <x:v>类</x:v>
      </x:c>
      <x:c r="K138" s="180" t="str">
        <x:v>V1.19 C-0801；原实施方式：原有。迁移风险：表达Diagram端口视图模型相关的数据结构、配置及状态视图</x:v>
      </x:c>
      <x:c r="L138" s="183" t="str">
        <x:v>源代码声明·待复核</x:v>
      </x:c>
      <x:c r="M138" s="183" t="str">
        <x:v>C-0801</x:v>
      </x:c>
      <x:c r="N138" s="184" t="str">
        <x:v>Platform.Presentation.Wpf/Diagram/DiagramFoundation.cs</x:v>
      </x:c>
      <x:c r="O138"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38" s="136" t="str">
        <x:v>V1.19旧源码类型（真实成员/实现仍待核）</x:v>
      </x:c>
    </x:row>
    <x:row r="139" ht="72" customHeight="1">
      <x:c r="A139" s="179" t="str">
        <x:v>M17</x:v>
      </x:c>
      <x:c r="B139" s="180" t="str">
        <x:v>表现与编辑｜Diagram / Node Visual
Diagram Visuals</x:v>
      </x:c>
      <x:c r="C139" s="180" t="str">
        <x:v>MDVEdgePresenter</x:v>
      </x:c>
      <x:c r="D139" s="179" t="str">
        <x:v>原有·待核</x:v>
      </x:c>
      <x:c r="E139" s="180" t="str">
        <x:v>表达或管理EdgePresenter相关的数据及协作职责，具体行为待源码复核〔待核〕</x:v>
      </x:c>
      <x:c r="F139" s="180" t="str">
        <x:v>Source, Target</x:v>
      </x:c>
      <x:c r="G139" s="180" t="str">
        <x:v>OnRender(DrawingContext drawingContext)</x:v>
      </x:c>
      <x:c r="H139" s="180" t="str">
        <x:v>—（待核）</x:v>
      </x:c>
      <x:c r="I139" s="180" t="str">
        <x:v>CxVisual.Platform.Presentation.Wpf.Diagram.EdgePresenter</x:v>
      </x:c>
      <x:c r="J139" s="179" t="str">
        <x:v>类</x:v>
      </x:c>
      <x:c r="K139" s="180" t="str">
        <x:v>V1.19 C-0802；原实施方式：原有。迁移风险：表达或管理EdgePresenter相关的数据及协作职责，具体行为待源码复核〔待核〕</x:v>
      </x:c>
      <x:c r="L139" s="183" t="str">
        <x:v>源代码声明·待复核</x:v>
      </x:c>
      <x:c r="M139" s="183" t="str">
        <x:v>C-0802</x:v>
      </x:c>
      <x:c r="N139" s="184" t="str">
        <x:v>Platform.Presentation.Wpf/Diagram/DiagramFoundation.cs</x:v>
      </x:c>
      <x:c r="O139"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39" s="136" t="str">
        <x:v>V1.19旧源码类型（真实成员/实现仍待核）</x:v>
      </x:c>
    </x:row>
    <x:row r="140" ht="72" customHeight="1">
      <x:c r="A140" s="179" t="str">
        <x:v>M17</x:v>
      </x:c>
      <x:c r="B140" s="180" t="str">
        <x:v>表现与编辑｜Diagram / Node Visual
Diagram Visuals</x:v>
      </x:c>
      <x:c r="C140" s="180" t="str">
        <x:v>MDVEdit</x:v>
      </x:c>
      <x:c r="D140" s="179" t="str">
        <x:v>原有·待核</x:v>
      </x:c>
      <x:c r="E140" s="180" t="str">
        <x:v>表达或管理Edit相关的数据及协作职责，具体行为待源码复核〔待核〕</x:v>
      </x:c>
      <x:c r="F140" s="180" t="str">
        <x:v>—（无公开声明或待核对）</x:v>
      </x:c>
      <x:c r="G140" s="180" t="str">
        <x:v>—(无公开声明或待核对)</x:v>
      </x:c>
      <x:c r="H140" s="180" t="str">
        <x:v>—（待核）</x:v>
      </x:c>
      <x:c r="I140" s="180" t="str">
        <x:v>CxVisual.Core.CxDiagramCanvas.Edit</x:v>
      </x:c>
      <x:c r="J140" s="179" t="str">
        <x:v>类</x:v>
      </x:c>
      <x:c r="K140" s="180" t="str">
        <x:v>V1.19 C-0774；原实施方式：原有。迁移风险：表达或管理Edit相关的数据及协作职责，具体行为待源码复核〔待核〕</x:v>
      </x:c>
      <x:c r="L140" s="183" t="str">
        <x:v>源代码声明·待复核</x:v>
      </x:c>
      <x:c r="M140" s="183" t="str">
        <x:v>C-0774</x:v>
      </x:c>
      <x:c r="N140" s="184" t="str">
        <x:v>Platform/Workbench/Drawing/CxDiagramCanvas.cs</x:v>
      </x:c>
      <x:c r="O140" s="183" t="str">
        <x:v>V1.19旧源码类型（真实成员/实现仍待核）
V2.01：来源ID对应；处置=保留源码·公开契约复核
V7.8：V7.8同名且源文件对应；Platform/Workbench/Drawing/CxDiagramCanvas.cs</x:v>
      </x:c>
      <x:c r="P140" s="136" t="str">
        <x:v>V1.19旧源码类型（真实成员/实现仍待核）</x:v>
      </x:c>
    </x:row>
    <x:row r="141" ht="72" customHeight="1">
      <x:c r="A141" s="179" t="str">
        <x:v>M17</x:v>
      </x:c>
      <x:c r="B141" s="180" t="str">
        <x:v>表现与编辑｜Diagram / Node Visual
Diagram Visuals</x:v>
      </x:c>
      <x:c r="C141" s="180" t="str">
        <x:v>MDVGeometryState</x:v>
      </x:c>
      <x:c r="D141" s="179" t="str">
        <x:v>原有·待核</x:v>
      </x:c>
      <x:c r="E141" s="180" t="str">
        <x:v>表示几何状态当前运行状态和必要的状态转换数据</x:v>
      </x:c>
      <x:c r="F141" s="180" t="str">
        <x:v>Bounds, Size</x:v>
      </x:c>
      <x:c r="G141" s="180" t="str">
        <x:v>GeometryState(Bounds2D bounds), GeometryState(LogicUnit unit)</x:v>
      </x:c>
      <x:c r="H141" s="180" t="str">
        <x:v>—（待核）</x:v>
      </x:c>
      <x:c r="I141" s="180" t="str">
        <x:v>CxVisual.Core.CxNodePresenter.GeometryState</x:v>
      </x:c>
      <x:c r="J141" s="179" t="str">
        <x:v>类</x:v>
      </x:c>
      <x:c r="K141" s="180" t="str">
        <x:v>V1.19 C-0793；原实施方式：原有。迁移风险：表示几何状态当前运行状态和必要的状态转换数据</x:v>
      </x:c>
      <x:c r="L141" s="183" t="str">
        <x:v>源代码声明·待复核</x:v>
      </x:c>
      <x:c r="M141" s="183" t="str">
        <x:v>C-0793</x:v>
      </x:c>
      <x:c r="N141" s="184" t="str">
        <x:v>Platform/Workbench/Drawing/CxDiagramPresenters.cs</x:v>
      </x:c>
      <x:c r="O141" s="183" t="str">
        <x:v>V1.19旧源码类型（真实成员/实现仍待核）
V2.01：来源ID对应；处置=保留源码·公开契约复核
V7.8：V7.8同名且源文件对应；Platform/Workbench/Drawing/CxDiagramPresenters.cs</x:v>
      </x:c>
      <x:c r="P141" s="136" t="str">
        <x:v>V1.19旧源码类型（真实成员/实现仍待核）</x:v>
      </x:c>
    </x:row>
    <x:row r="142" ht="72" customHeight="1">
      <x:c r="A142" s="179" t="str">
        <x:v>M17</x:v>
      </x:c>
      <x:c r="B142" s="180" t="str">
        <x:v>表现与编辑｜Diagram / Node Visual
Diagram Visuals</x:v>
      </x:c>
      <x:c r="C142" s="180" t="str">
        <x:v>MDVNodePresenter</x:v>
      </x:c>
      <x:c r="D142" s="179" t="str">
        <x:v>原有·待核</x:v>
      </x:c>
      <x:c r="E142" s="180" t="str">
        <x:v>表达或管理节点Presenter相关的数据及协作职责，具体行为待源码复核〔待核〕</x:v>
      </x:c>
      <x:c r="F142" s="180" t="str">
        <x:v>Node, MoveCompleted</x:v>
      </x:c>
      <x:c r="G142" s="180" t="str">
        <x:v>NodePresenter(DiagramNodeViewModel node)</x:v>
      </x:c>
      <x:c r="H142" s="180" t="str">
        <x:v>—（待核）</x:v>
      </x:c>
      <x:c r="I142" s="180" t="str">
        <x:v>CxVisual.Platform.Presentation.Wpf.Diagram.NodePresenter</x:v>
      </x:c>
      <x:c r="J142" s="179" t="str">
        <x:v>类</x:v>
      </x:c>
      <x:c r="K142" s="180" t="str">
        <x:v>V1.19 C-0804；原实施方式：原有。迁移风险：表达或管理节点Presenter相关的数据及协作职责，具体行为待源码复核〔待核〕</x:v>
      </x:c>
      <x:c r="L142" s="183" t="str">
        <x:v>源代码声明·待复核</x:v>
      </x:c>
      <x:c r="M142" s="183" t="str">
        <x:v>C-0804</x:v>
      </x:c>
      <x:c r="N142" s="184" t="str">
        <x:v>Platform.Presentation.Wpf/Diagram/DiagramFoundation.cs</x:v>
      </x:c>
      <x:c r="O142"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42" s="136" t="str">
        <x:v>V1.19旧源码类型（真实成员/实现仍待核）</x:v>
      </x:c>
    </x:row>
    <x:row r="143" ht="72" customHeight="1">
      <x:c r="A143" s="179" t="str">
        <x:v>M17</x:v>
      </x:c>
      <x:c r="B143" s="180" t="str">
        <x:v>表现与编辑｜Diagram / Node Visual
Diagram Visuals</x:v>
      </x:c>
      <x:c r="C143" s="180" t="str">
        <x:v>MDVPortPresenter</x:v>
      </x:c>
      <x:c r="D143" s="179" t="str">
        <x:v>原有·待核</x:v>
      </x:c>
      <x:c r="E143" s="180" t="str">
        <x:v>表达或管理端口Presenter相关的数据及协作职责，具体行为待源码复核〔待核〕</x:v>
      </x:c>
      <x:c r="F143" s="180" t="str">
        <x:v>Port</x:v>
      </x:c>
      <x:c r="G143" s="180" t="str">
        <x:v>PortPresenter(DiagramPortViewModel port)</x:v>
      </x:c>
      <x:c r="H143" s="180" t="str">
        <x:v>—（待核）</x:v>
      </x:c>
      <x:c r="I143" s="180" t="str">
        <x:v>CxVisual.Platform.Presentation.Wpf.Diagram.PortPresenter</x:v>
      </x:c>
      <x:c r="J143" s="179" t="str">
        <x:v>类</x:v>
      </x:c>
      <x:c r="K143" s="180" t="str">
        <x:v>V1.19 C-0805；原实施方式：原有。迁移风险：表达或管理端口Presenter相关的数据及协作职责，具体行为待源码复核〔待核〕</x:v>
      </x:c>
      <x:c r="L143" s="183" t="str">
        <x:v>源代码声明·待复核</x:v>
      </x:c>
      <x:c r="M143" s="183" t="str">
        <x:v>C-0805</x:v>
      </x:c>
      <x:c r="N143" s="184" t="str">
        <x:v>Platform.Presentation.Wpf/Diagram/DiagramFoundation.cs</x:v>
      </x:c>
      <x:c r="O143" s="183" t="str">
        <x:v>V1.19旧源码类型（真实成员/实现仍待核）
V2.01：来源ID对应；处置=保留源码·公开契约复核
V7.8：V7.8同名且源文件对应；Platform.Presentation.Wpf/Diagram/DiagramFoundation.cs
归属优先核查：WPF通用呈现迁入M_PresentationWpf；仅Studio专用窗口留Studio；具体UI类型不应归Core/无UI Visual</x:v>
      </x:c>
      <x:c r="P143" s="136" t="str">
        <x:v>V1.19旧源码类型（真实成员/实现仍待核）</x:v>
      </x:c>
    </x:row>
    <x:row r="144" ht="72" customHeight="1">
      <x:c r="A144" s="179" t="str">
        <x:v>M17</x:v>
      </x:c>
      <x:c r="B144" s="180" t="str">
        <x:v>表现与编辑｜Diagram / Node Visual
Diagram Visuals</x:v>
      </x:c>
      <x:c r="C144" s="180" t="str">
        <x:v>MDVSearchNode</x:v>
      </x:c>
      <x:c r="D144" s="179" t="str">
        <x:v>原有·待核</x:v>
      </x:c>
      <x:c r="E144" s="180" t="str">
        <x:v>表达或管理Search节点相关的数据及协作职责，具体行为待源码复核〔待核〕</x:v>
      </x:c>
      <x:c r="F144" s="180" t="str">
        <x:v>Key</x:v>
      </x:c>
      <x:c r="G144" s="180" t="str">
        <x:v>—(无公开声明或待核对)</x:v>
      </x:c>
      <x:c r="H144" s="180" t="str">
        <x:v>—（待核）</x:v>
      </x:c>
      <x:c r="I144" s="180" t="str">
        <x:v>CxVisual.Core.CxEdgeRouter.SearchNode</x:v>
      </x:c>
      <x:c r="J144" s="179" t="str">
        <x:v>类</x:v>
      </x:c>
      <x:c r="K144" s="180" t="str">
        <x:v>V1.19 C-0788；原实施方式：原有。迁移风险：表达或管理Search节点相关的数据及协作职责，具体行为待源码复核〔待核〕</x:v>
      </x:c>
      <x:c r="L144" s="183" t="str">
        <x:v>源代码声明·待复核</x:v>
      </x:c>
      <x:c r="M144" s="183" t="str">
        <x:v>C-0788</x:v>
      </x:c>
      <x:c r="N144" s="184" t="str">
        <x:v>Platform/Workbench/Drawing/CxEdgeRouter.cs</x:v>
      </x:c>
      <x:c r="O144" s="183" t="str">
        <x:v>V1.19旧源码类型（真实成员/实现仍待核）
V2.01：来源ID对应；处置=保留源码·公开契约复核
V7.8：V7.8同名且源文件对应；Platform/Workbench/Drawing/CxEdgeRouter.cs</x:v>
      </x:c>
      <x:c r="P144" s="136" t="str">
        <x:v>V1.19旧源码类型（真实成员/实现仍待核）</x:v>
      </x:c>
    </x:row>
    <x:row r="145" ht="72" customHeight="1">
      <x:c r="A145" s="179" t="str">
        <x:v>M17</x:v>
      </x:c>
      <x:c r="B145" s="180" t="str">
        <x:v>表现与编辑｜Diagram / Node Visual
Diagram Visuals</x:v>
      </x:c>
      <x:c r="C145" s="180" t="str">
        <x:v>MDVSearchOrder</x:v>
      </x:c>
      <x:c r="D145" s="179" t="str">
        <x:v>原有·待核</x:v>
      </x:c>
      <x:c r="E145" s="180" t="str">
        <x:v>表达或管理SearchOrder相关的数据及协作职责，具体行为待源码复核〔待核〕</x:v>
      </x:c>
      <x:c r="F145" s="180" t="str">
        <x:v>—（无公开声明或待核对）</x:v>
      </x:c>
      <x:c r="G145" s="180" t="str">
        <x:v>Compare(SearchNode a, SearchNode b)</x:v>
      </x:c>
      <x:c r="H145" s="180" t="str">
        <x:v>—（待核）</x:v>
      </x:c>
      <x:c r="I145" s="180" t="str">
        <x:v>CxVisual.Core.CxEdgeRouter.SearchOrder</x:v>
      </x:c>
      <x:c r="J145" s="179" t="str">
        <x:v>类</x:v>
      </x:c>
      <x:c r="K145" s="180" t="str">
        <x:v>V1.19 C-0789；原实施方式：原有。迁移风险：表达或管理SearchOrder相关的数据及协作职责，具体行为待源码复核〔待核〕</x:v>
      </x:c>
      <x:c r="L145" s="183" t="str">
        <x:v>源代码声明·待复核</x:v>
      </x:c>
      <x:c r="M145" s="183" t="str">
        <x:v>C-0789</x:v>
      </x:c>
      <x:c r="N145" s="184" t="str">
        <x:v>Platform/Workbench/Drawing/CxEdgeRouter.cs</x:v>
      </x:c>
      <x:c r="O145" s="183" t="str">
        <x:v>V1.19旧源码类型（真实成员/实现仍待核）
V2.01：来源ID对应；处置=保留源码·公开契约复核
V7.8：V7.8同名且源文件对应；Platform/Workbench/Drawing/CxEdgeRouter.cs</x:v>
      </x:c>
      <x:c r="P145" s="136" t="str">
        <x:v>V1.19旧源码类型（真实成员/实现仍待核）</x:v>
      </x:c>
    </x:row>
    <x:row r="146" ht="72" customHeight="1">
      <x:c r="A146" s="179" t="str">
        <x:v>M17</x:v>
      </x:c>
      <x:c r="B146" s="180" t="str">
        <x:v>表现与编辑｜Diagram / Node Visual
Diagram Visuals</x:v>
      </x:c>
      <x:c r="C146" s="180" t="str">
        <x:v>MDVGraphCanvas</x:v>
      </x:c>
      <x:c r="D146" s="179" t="str">
        <x:v>增构候选·待查重</x:v>
      </x:c>
      <x:c r="E146" s="180" t="str">
        <x:v>Diagram节点端口连线的非UI投影</x:v>
      </x:c>
      <x:c r="F146" s="180" t="str">
        <x:v>Viewport；Presenters；Routing；Layout</x:v>
      </x:c>
      <x:c r="G146" s="180" t="str">
        <x:v>图编辑根</x:v>
      </x:c>
      <x:c r="H146" s="180" t="str">
        <x:v>GraphCanvas是原候选名，不做第二个Canvas</x:v>
      </x:c>
      <x:c r="I146" s="180" t="str">
        <x:v>目标：CxDiagramCanvas；不得与旧名同时生成2个类型</x:v>
      </x:c>
      <x:c r="J146" s="179" t="str">
        <x:v>class</x:v>
      </x:c>
      <x:c r="K146" s="180" t="str">
        <x:v>生命周期：Studio</x:v>
      </x:c>
      <x:c r="L146" s="183" t="str">
        <x:v>设计候选，尚待源码验证</x:v>
      </x:c>
      <x:c r="M146" s="183" t="str">
        <x:v>M17.GraphCanvas</x:v>
      </x:c>
      <x:c r="N146" s="184" t="str">
        <x:v>03_能力对象!C143</x:v>
      </x:c>
      <x:c r="O146" s="183" t="str">
        <x:v>V4.9对象/属性/方法
V2.01：名称/子方面线索；处置=规划独立契约候选·未批准新增
V7.8：V7.8未检出同名词法声明</x:v>
      </x:c>
      <x:c r="P146" s="136" t="str">
        <x:v>V4.9对象/属性/方法</x:v>
      </x:c>
    </x:row>
    <x:row r="147" ht="72" customHeight="1">
      <x:c r="A147" s="179" t="str">
        <x:v>M17</x:v>
      </x:c>
      <x:c r="B147" s="180" t="str">
        <x:v>表现与编辑｜Diagram / Node Visual
Diagram Visuals</x:v>
      </x:c>
      <x:c r="C147" s="180" t="str">
        <x:v>MDVGraphEdgePresenter</x:v>
      </x:c>
      <x:c r="D147" s="179" t="str">
        <x:v>增构候选·待查重</x:v>
      </x:c>
      <x:c r="E147" s="180" t="str">
        <x:v>Edge外观和路由</x:v>
      </x:c>
      <x:c r="F147" s="180" t="str">
        <x:v>EdgeRef；Route；Style；RuntimeState</x:v>
      </x:c>
      <x:c r="G147" s="180" t="str">
        <x:v>Edge外观</x:v>
      </x:c>
      <x:c r="H147" s="180" t="str">
        <x:v>LogicLink才是逻辑关系</x:v>
      </x:c>
      <x:c r="I147" s="180" t="str">
        <x:v>目标：CxEdgePresenter；不得与旧名同时生成2个类型</x:v>
      </x:c>
      <x:c r="J147" s="179" t="str">
        <x:v>class</x:v>
      </x:c>
      <x:c r="K147" s="180" t="str">
        <x:v>生命周期：Studio</x:v>
      </x:c>
      <x:c r="L147" s="183" t="str">
        <x:v>设计候选，尚待源码验证</x:v>
      </x:c>
      <x:c r="M147" s="183" t="str">
        <x:v>M17.GraphEdgePresenter</x:v>
      </x:c>
      <x:c r="N147" s="184" t="str">
        <x:v>03_能力对象!C144</x:v>
      </x:c>
      <x:c r="O147" s="183" t="str">
        <x:v>V4.9对象/属性/方法
V2.01：名称/子方面线索；处置=规划独立契约候选·未批准新增
V7.8：V7.8未检出同名词法声明</x:v>
      </x:c>
      <x:c r="P147" s="136" t="str">
        <x:v>V4.9对象/属性/方法</x:v>
      </x:c>
    </x:row>
    <x:row r="148" ht="72" customHeight="1">
      <x:c r="A148" s="179" t="str">
        <x:v>M17</x:v>
      </x:c>
      <x:c r="B148" s="180" t="str">
        <x:v>表现与编辑｜Diagram / Node Visual
Diagram Visuals</x:v>
      </x:c>
      <x:c r="C148" s="180" t="str">
        <x:v>MDVGraphNavigator</x:v>
      </x:c>
      <x:c r="D148" s="179" t="str">
        <x:v>增构候选·待查重</x:v>
      </x:c>
      <x:c r="E148" s="180" t="str">
        <x:v>大图导航</x:v>
      </x:c>
      <x:c r="F148" s="180" t="str">
        <x:v>Search；History；Reveal</x:v>
      </x:c>
      <x:c r="G148" s="180" t="str">
        <x:v>大图导航</x:v>
      </x:c>
      <x:c r="H148" s="180" t="str">
        <x:v>待逐对象核实</x:v>
      </x:c>
      <x:c r="I148" s="180" t="str">
        <x:v>运行对象/模型</x:v>
      </x:c>
      <x:c r="J148" s="179" t="str">
        <x:v>类/实例候选</x:v>
      </x:c>
      <x:c r="K148" s="180" t="str">
        <x:v>生命周期：Studio</x:v>
      </x:c>
      <x:c r="L148" s="183" t="str">
        <x:v>设计候选，尚待源码验证</x:v>
      </x:c>
      <x:c r="M148" s="183" t="str">
        <x:v>M17.GraphNavigator</x:v>
      </x:c>
      <x:c r="N148" s="184" t="str">
        <x:v>03_能力对象!C145</x:v>
      </x:c>
      <x:c r="O148" s="183" t="str">
        <x:v>V4.9对象/属性/方法
V2.01：名称/子方面线索；处置=规划独立契约候选·未批准新增
V7.8：V7.8未检出同名词法声明</x:v>
      </x:c>
      <x:c r="P148" s="136" t="str">
        <x:v>V4.9对象/属性/方法</x:v>
      </x:c>
    </x:row>
    <x:row r="149" ht="72" customHeight="1">
      <x:c r="A149" s="179" t="str">
        <x:v>M17</x:v>
      </x:c>
      <x:c r="B149" s="180" t="str">
        <x:v>表现与编辑｜Diagram / Node Visual
Diagram Visuals</x:v>
      </x:c>
      <x:c r="C149" s="180" t="str">
        <x:v>MDVGraphNodePresenter</x:v>
      </x:c>
      <x:c r="D149" s="179" t="str">
        <x:v>增构候选·待查重</x:v>
      </x:c>
      <x:c r="E149" s="180" t="str">
        <x:v>Node外观信息与DrawPrimitive</x:v>
      </x:c>
      <x:c r="F149" s="180" t="str">
        <x:v>Template；NodeRef；Adornments</x:v>
      </x:c>
      <x:c r="G149" s="180" t="str">
        <x:v>Node外观</x:v>
      </x:c>
      <x:c r="H149" s="180" t="str">
        <x:v>无执行语义</x:v>
      </x:c>
      <x:c r="I149" s="180" t="str">
        <x:v>目标：CxNodePresenter；不得与旧名同时生成2个类型</x:v>
      </x:c>
      <x:c r="J149" s="179" t="str">
        <x:v>class</x:v>
      </x:c>
      <x:c r="K149" s="180" t="str">
        <x:v>生命周期：Studio</x:v>
      </x:c>
      <x:c r="L149" s="183" t="str">
        <x:v>设计候选，尚待源码验证</x:v>
      </x:c>
      <x:c r="M149" s="183" t="str">
        <x:v>M17.GraphNodePresenter</x:v>
      </x:c>
      <x:c r="N149" s="184" t="str">
        <x:v>03_能力对象!C146</x:v>
      </x:c>
      <x:c r="O149" s="183" t="str">
        <x:v>V4.9对象/属性/方法
V2.01：名称/子方面线索；处置=规划独立契约候选·未批准新增
V7.8：V7.8未检出同名词法声明</x:v>
      </x:c>
      <x:c r="P149" s="136" t="str">
        <x:v>V4.9对象/属性/方法</x:v>
      </x:c>
    </x:row>
    <x:row r="150" ht="72" customHeight="1">
      <x:c r="A150" s="179" t="str">
        <x:v>M17</x:v>
      </x:c>
      <x:c r="B150" s="180" t="str">
        <x:v>表现与编辑｜Diagram / Node Visual
Diagram Visuals</x:v>
      </x:c>
      <x:c r="C150" s="180" t="str">
        <x:v>MDVGraphPortPresenter</x:v>
      </x:c>
      <x:c r="D150" s="179" t="str">
        <x:v>增构候选·待查重</x:v>
      </x:c>
      <x:c r="E150" s="180" t="str">
        <x:v>Port外观</x:v>
      </x:c>
      <x:c r="F150" s="180" t="str">
        <x:v>PortRef；Orientation；State</x:v>
      </x:c>
      <x:c r="G150" s="180" t="str">
        <x:v>Port外观</x:v>
      </x:c>
      <x:c r="H150" s="180" t="str">
        <x:v>待逐对象核实</x:v>
      </x:c>
      <x:c r="I150" s="180" t="str">
        <x:v>运行对象/模型</x:v>
      </x:c>
      <x:c r="J150" s="179" t="str">
        <x:v>类/实例候选</x:v>
      </x:c>
      <x:c r="K150" s="180" t="str">
        <x:v>生命周期：Studio</x:v>
      </x:c>
      <x:c r="L150" s="183" t="str">
        <x:v>设计候选，尚待源码验证</x:v>
      </x:c>
      <x:c r="M150" s="183" t="str">
        <x:v>M17.GraphPortPresenter</x:v>
      </x:c>
      <x:c r="N150" s="184" t="str">
        <x:v>03_能力对象!C147</x:v>
      </x:c>
      <x:c r="O150" s="183" t="str">
        <x:v>V4.9对象/属性/方法
V2.01：名称/子方面线索；处置=规划独立契约候选·未批准新增
V7.8：V7.8未检出同名词法声明</x:v>
      </x:c>
      <x:c r="P150" s="136" t="str">
        <x:v>V4.9对象/属性/方法</x:v>
      </x:c>
    </x:row>
    <x:row r="151" ht="72" customHeight="1">
      <x:c r="A151" s="179" t="str">
        <x:v>M17</x:v>
      </x:c>
      <x:c r="B151" s="180" t="str">
        <x:v>表现与编辑｜Diagram / Node Visual
Diagram Visuals</x:v>
      </x:c>
      <x:c r="C151" s="180" t="str">
        <x:v>MDVIEdgeRouter</x:v>
      </x:c>
      <x:c r="D151" s="179" t="str">
        <x:v>增构候选·待查重</x:v>
      </x:c>
      <x:c r="E151" s="180" t="str">
        <x:v>连线路由算法可替换接口</x:v>
      </x:c>
      <x:c r="F151" s="180" t="str">
        <x:v>RoutingOptions</x:v>
      </x:c>
      <x:c r="G151" s="180" t="str">
        <x:v>边路由</x:v>
      </x:c>
      <x:c r="H151" s="180" t="str">
        <x:v>边路由属于布局，不修改逻辑关系</x:v>
      </x:c>
      <x:c r="I151" s="180" t="str">
        <x:v>目标：ICxEdgeRouter；不得与旧名同时生成2个类型</x:v>
      </x:c>
      <x:c r="J151" s="179" t="str">
        <x:v>interface</x:v>
      </x:c>
      <x:c r="K151" s="180" t="str">
        <x:v>生命周期：Studio</x:v>
      </x:c>
      <x:c r="L151" s="183" t="str">
        <x:v>设计候选，尚待源码验证</x:v>
      </x:c>
      <x:c r="M151" s="183" t="str">
        <x:v>M17.IEdgeRouter</x:v>
      </x:c>
      <x:c r="N151" s="184"/>
      <x:c r="O151" s="183" t="str">
        <x:v>V4.9对象/属性/方法
V2.01：未匹配V2.01；处置=暂无可信对应
V7.8：V7.8未检出同名词法声明</x:v>
      </x:c>
      <x:c r="P151" s="136" t="str">
        <x:v>V4.9对象/属性/方法</x:v>
      </x:c>
    </x:row>
    <x:row r="152" ht="72" customHeight="1">
      <x:c r="A152" s="179" t="str">
        <x:v>M17</x:v>
      </x:c>
      <x:c r="B152" s="180" t="str">
        <x:v>表现与编辑｜Diagram / Node Visual
Diagram Visuals</x:v>
      </x:c>
      <x:c r="C152" s="180" t="str">
        <x:v>MDVIGraphLayout</x:v>
      </x:c>
      <x:c r="D152" s="179" t="str">
        <x:v>增构候选·待查重</x:v>
      </x:c>
      <x:c r="E152" s="180" t="str">
        <x:v>Diagram的UI无关自动布局</x:v>
      </x:c>
      <x:c r="F152" s="180" t="str">
        <x:v>LayoutOptions</x:v>
      </x:c>
      <x:c r="G152" s="180" t="str">
        <x:v>自动布局</x:v>
      </x:c>
      <x:c r="H152" s="180" t="str">
        <x:v>只读拓扑生成布局，保存交Core事务</x:v>
      </x:c>
      <x:c r="I152" s="180" t="str">
        <x:v>目标：ICxDiagramLayout；不得与旧名同时生成2个类型</x:v>
      </x:c>
      <x:c r="J152" s="179" t="str">
        <x:v>interface</x:v>
      </x:c>
      <x:c r="K152" s="180" t="str">
        <x:v>生命周期：Studio</x:v>
      </x:c>
      <x:c r="L152" s="183" t="str">
        <x:v>设计候选，尚待源码验证</x:v>
      </x:c>
      <x:c r="M152" s="183" t="str">
        <x:v>M17.IGraphLayout</x:v>
      </x:c>
      <x:c r="N152" s="184"/>
      <x:c r="O152" s="183" t="str">
        <x:v>V4.9对象/属性/方法
V2.01：未匹配V2.01；处置=暂无可信对应
V7.8：V7.8未检出同名词法声明</x:v>
      </x:c>
      <x:c r="P152" s="136" t="str">
        <x:v>V4.9对象/属性/方法</x:v>
      </x:c>
    </x:row>
    <x:row r="153" ht="72" customHeight="1">
      <x:c r="A153" s="179" t="str">
        <x:v>M17</x:v>
      </x:c>
      <x:c r="B153" s="180" t="str">
        <x:v>表现与编辑｜Diagram / Node Visual
Diagram Visuals</x:v>
      </x:c>
      <x:c r="C153" s="180" t="str">
        <x:v>MDVVisibilityProfile</x:v>
      </x:c>
      <x:c r="D153" s="179" t="str">
        <x:v>增构候选·待查重</x:v>
      </x:c>
      <x:c r="E153" s="180" t="str">
        <x:v>分层可见</x:v>
      </x:c>
      <x:c r="F153" s="180" t="str">
        <x:v>ShowMain；Fault；Data；Event；Resource；Policy</x:v>
      </x:c>
      <x:c r="G153" s="180" t="str">
        <x:v>分层可见</x:v>
      </x:c>
      <x:c r="H153" s="180" t="str">
        <x:v>待逐对象核实</x:v>
      </x:c>
      <x:c r="I153" s="180" t="str">
        <x:v>运行对象/模型</x:v>
      </x:c>
      <x:c r="J153" s="179" t="str">
        <x:v>类/实例候选</x:v>
      </x:c>
      <x:c r="K153" s="180" t="str">
        <x:v>生命周期：Studio</x:v>
      </x:c>
      <x:c r="L153" s="183" t="str">
        <x:v>设计候选，尚待源码验证</x:v>
      </x:c>
      <x:c r="M153" s="183" t="str">
        <x:v>M17.VisibilityProfile</x:v>
      </x:c>
      <x:c r="N153" s="184" t="str">
        <x:v>03_能力对象!C150</x:v>
      </x:c>
      <x:c r="O153" s="183" t="str">
        <x:v>V4.9对象/属性/方法
V2.01：名称/子方面线索；处置=规划独立契约候选·未批准新增
V7.8：V7.8未检出同名词法声明</x:v>
      </x:c>
      <x:c r="P153" s="136" t="str">
        <x:v>V4.9对象/属性/方法</x:v>
      </x:c>
    </x:row>
    <x:row r="154" ht="72" customHeight="1">
      <x:c r="A154" s="179" t="str">
        <x:v>M17</x:v>
      </x:c>
      <x:c r="B154" s="180" t="str">
        <x:v>表现与编辑｜Diagram / Node Visual
Diagram Visuals</x:v>
      </x:c>
      <x:c r="C154" s="180" t="str">
        <x:v>IMDVEdgeRouter</x:v>
      </x:c>
      <x:c r="D154" s="179" t="str">
        <x:v>增构候选·待查重</x:v>
      </x:c>
      <x:c r="E154" s="180" t="str">
        <x:v>边路由</x:v>
      </x:c>
      <x:c r="F154" s="180" t="str">
        <x:v>RoutingOptions</x:v>
      </x:c>
      <x:c r="G154" s="180" t="str">
        <x:v>边路由</x:v>
      </x:c>
      <x:c r="H154" s="180" t="str">
        <x:v>—（待核）</x:v>
      </x:c>
      <x:c r="I154" s="180" t="str">
        <x:v>IEdgeRouter</x:v>
      </x:c>
      <x:c r="J154" s="179" t="str">
        <x:v>接口（候选）</x:v>
      </x:c>
      <x:c r="K154" s="180" t="str">
        <x:v>V1.19 S-0373；原实施方式：增构候选。迁移风险：边路由</x:v>
      </x:c>
      <x:c r="L154" s="183" t="str">
        <x:v>V1.19设计候选·待核</x:v>
      </x:c>
      <x:c r="M154" s="183" t="str">
        <x:v>S-0373</x:v>
      </x:c>
      <x:c r="N154" s="184" t="str">
        <x:v>03_能力对象!C148</x:v>
      </x:c>
      <x:c r="O154" s="183" t="str">
        <x:v>V1.19旧规格候选
V2.01：来源ID对应；处置=规划独立契约候选·未批准新增
V7.8：V7.8未检出同名词法声明</x:v>
      </x:c>
      <x:c r="P154" s="136" t="str">
        <x:v>V1.19旧规格候选</x:v>
      </x:c>
    </x:row>
    <x:row r="155" ht="72" customHeight="1">
      <x:c r="A155" s="179" t="str">
        <x:v>M17</x:v>
      </x:c>
      <x:c r="B155" s="180" t="str">
        <x:v>表现与编辑｜Diagram / Node Visual
Diagram Visuals</x:v>
      </x:c>
      <x:c r="C155" s="180" t="str">
        <x:v>IMDVGraphLayout</x:v>
      </x:c>
      <x:c r="D155" s="179" t="str">
        <x:v>增构候选·待查重</x:v>
      </x:c>
      <x:c r="E155" s="180" t="str">
        <x:v>自动布局</x:v>
      </x:c>
      <x:c r="F155" s="180" t="str">
        <x:v>LayoutOptions</x:v>
      </x:c>
      <x:c r="G155" s="180" t="str">
        <x:v>自动布局</x:v>
      </x:c>
      <x:c r="H155" s="180" t="str">
        <x:v>—（待核）</x:v>
      </x:c>
      <x:c r="I155" s="180" t="str">
        <x:v>IGraphLayout</x:v>
      </x:c>
      <x:c r="J155" s="179" t="str">
        <x:v>接口（候选）</x:v>
      </x:c>
      <x:c r="K155" s="180" t="str">
        <x:v>V1.19 S-0374；原实施方式：增构候选。迁移风险：自动布局</x:v>
      </x:c>
      <x:c r="L155" s="183" t="str">
        <x:v>V1.19设计候选·待核</x:v>
      </x:c>
      <x:c r="M155" s="183" t="str">
        <x:v>S-0374</x:v>
      </x:c>
      <x:c r="N155" s="184" t="str">
        <x:v>03_能力对象!C149</x:v>
      </x:c>
      <x:c r="O155" s="183" t="str">
        <x:v>V1.19旧规格候选
V2.01：来源ID对应；处置=规划独立契约候选·未批准新增
V7.8：V7.8未检出同名词法声明</x:v>
      </x:c>
      <x:c r="P155" s="136" t="str">
        <x:v>V1.19旧规格候选</x:v>
      </x:c>
    </x:row>
    <x:row r="156" ht="72" customHeight="1">
      <x:c r="A156" s="179" t="str">
        <x:v>M17</x:v>
      </x:c>
      <x:c r="B156" s="180" t="str">
        <x:v>表现与编辑｜Diagram / Node Visual
Diagram Visuals</x:v>
      </x:c>
      <x:c r="C156" s="180" t="str">
        <x:v>CxDiagramProjection</x:v>
      </x:c>
      <x:c r="D156" s="179" t="str">
        <x:v>增构候选·待查重</x:v>
      </x:c>
      <x:c r="E156" s="180" t="str">
        <x:v>由外部逻辑快照投影可视节点端口连线，不持有流程语义</x:v>
      </x:c>
      <x:c r="F156" s="180" t="str">
        <x:v>Nodes · Edges · LayoutId · SourceRevision</x:v>
      </x:c>
      <x:c r="G156" s="180" t="str">
        <x:v>BuildFrame</x:v>
      </x:c>
      <x:c r="H156" s="180" t="str">
        <x:v>待逐对象核实</x:v>
      </x:c>
      <x:c r="I156" s="180" t="str">
        <x:v>R3-B深化建议</x:v>
      </x:c>
      <x:c r="J156" s="179" t="str">
        <x:v>sealed class</x:v>
      </x:c>
      <x:c r="K156" s="180" t="str">
        <x:v>生命周期：Session/Immutable/View；审核：补充类型字典</x:v>
      </x:c>
      <x:c r="L156" s="183" t="str">
        <x:v>设计候选，尚待源码验证</x:v>
      </x:c>
      <x:c r="M156" s="183" t="str">
        <x:v>R3B.M17.CxDiagramProjection</x:v>
      </x:c>
      <x:c r="N156" s="184"/>
      <x:c r="O156" s="183" t="str">
        <x:v>补充类型字典
V2.01：未匹配V2.01；处置=暂无可信对应
V7.8：V7.8未检出同名词法声明</x:v>
      </x:c>
      <x:c r="P156" s="136" t="str">
        <x:v>补充类型字典</x:v>
      </x:c>
    </x:row>
    <x:row r="157" ht="72" customHeight="1">
      <x:c r="A157" s="179" t="str">
        <x:v>M37</x:v>
      </x:c>
      <x:c r="B157" s="180" t="str">
        <x:v>工程与Studio｜Editing / Studio Contribution
Studio Editing</x:v>
      </x:c>
      <x:c r="C157" s="180" t="str">
        <x:v>IMSEUiDispatcher</x:v>
      </x:c>
      <x:c r="D157" s="179" t="str">
        <x:v>原有·待核</x:v>
      </x:c>
      <x:c r="E157" s="180" t="str">
        <x:v>约定UiDispatcher的操作入口、交互能力及调用方/实现方边界</x:v>
      </x:c>
      <x:c r="F157" s="180" t="str">
        <x:v>—（无公开声明或待核对）</x:v>
      </x:c>
      <x:c r="G157" s="180" t="str">
        <x:v>CheckAccess(), Post(Action action)</x:v>
      </x:c>
      <x:c r="H157" s="180" t="str">
        <x:v>—（待核）</x:v>
      </x:c>
      <x:c r="I157" s="180" t="str">
        <x:v>CxVisual.Abstractions.IUiDispatcher</x:v>
      </x:c>
      <x:c r="J157" s="179" t="str">
        <x:v>接口</x:v>
      </x:c>
      <x:c r="K157" s="180" t="str">
        <x:v>V1.19 C-1254；原实施方式：原有。迁移风险：约定UiDispatcher的操作入口、交互能力及调用方/实现方边界</x:v>
      </x:c>
      <x:c r="L157" s="183" t="str">
        <x:v>源代码声明·待复核</x:v>
      </x:c>
      <x:c r="M157" s="183" t="str">
        <x:v>C-1254</x:v>
      </x:c>
      <x:c r="N157" s="184" t="str">
        <x:v>Platform/Core/Abstractions/RuntimeBoundaries.cs</x:v>
      </x:c>
      <x:c r="O157" s="183" t="str">
        <x:v>V1.19旧源码类型（真实成员/实现仍待核）
V2.01：来源ID对应；处置=保留源码·公开契约复核
V7.8：V7.8同名且源文件对应；Platform/Core/Abstractions/RuntimeBoundaries.cs</x:v>
      </x:c>
      <x:c r="P157" s="136" t="str">
        <x:v>V1.19旧源码类型（真实成员/实现仍待核）</x:v>
      </x:c>
    </x:row>
    <x:row r="158" ht="72" customHeight="1">
      <x:c r="A158" s="179" t="str">
        <x:v>M37</x:v>
      </x:c>
      <x:c r="B158" s="180" t="str">
        <x:v>工程与Studio｜Editing / Studio Contribution
Studio Editing</x:v>
      </x:c>
      <x:c r="C158" s="180" t="str">
        <x:v>MSEAddAnimationCommand</x:v>
      </x:c>
      <x:c r="D158" s="179" t="str">
        <x:v>原有·待核</x:v>
      </x:c>
      <x:c r="E158" s="180" t="str">
        <x:v>封装AddAnimation命令操作请求、参数与执行入口</x:v>
      </x:c>
      <x:c r="F158" s="180" t="str">
        <x:v>Description</x:v>
      </x:c>
      <x:c r="G158" s="180" t="str">
        <x:v>AddAnimationCommand(ElementModel element, AnimationDefinition animation), Execute(), Undo(), TryMerge(IEditorCommand next)</x:v>
      </x:c>
      <x:c r="H158" s="180" t="str">
        <x:v>—（待核）</x:v>
      </x:c>
      <x:c r="I158" s="180" t="str">
        <x:v>CxVisual.Commands.AddAnimationCommand</x:v>
      </x:c>
      <x:c r="J158" s="179" t="str">
        <x:v>类</x:v>
      </x:c>
      <x:c r="K158" s="180" t="str">
        <x:v>V1.19 C-1255；原实施方式：原有。迁移风险：封装AddAnimation命令操作请求、参数与执行入口</x:v>
      </x:c>
      <x:c r="L158" s="183" t="str">
        <x:v>源代码声明·待复核</x:v>
      </x:c>
      <x:c r="M158" s="183" t="str">
        <x:v>C-1255</x:v>
      </x:c>
      <x:c r="N158" s="184" t="str">
        <x:v>Host/Studio/Application/Commands/LayoutCommands.cs</x:v>
      </x:c>
      <x:c r="O158" s="183" t="str">
        <x:v>V1.19旧源码类型（真实成员/实现仍待核）
V2.01：来源ID对应；处置=保留源码·公开契约复核
V7.8：V7.8同名且源文件对应；Host/Studio/Application/Commands/LayoutCommands.cs</x:v>
      </x:c>
      <x:c r="P158" s="136" t="str">
        <x:v>V1.19旧源码类型（真实成员/实现仍待核）</x:v>
      </x:c>
    </x:row>
    <x:row r="159" ht="72" customHeight="1">
      <x:c r="A159" s="179" t="str">
        <x:v>M37</x:v>
      </x:c>
      <x:c r="B159" s="180" t="str">
        <x:v>工程与Studio｜Editing / Studio Contribution
Studio Editing</x:v>
      </x:c>
      <x:c r="C159" s="180" t="str">
        <x:v>MSEAddElementCommand</x:v>
      </x:c>
      <x:c r="D159" s="179" t="str">
        <x:v>原有·待核</x:v>
      </x:c>
      <x:c r="E159" s="180" t="str">
        <x:v>封装Add元素命令操作请求、参数与执行入口</x:v>
      </x:c>
      <x:c r="F159" s="180" t="str">
        <x:v>Description</x:v>
      </x:c>
      <x:c r="G159" s="180" t="str">
        <x:v>AddElementCommand(PageModel page, ElementModel element, int index = -1), Execute(), Undo(), TryMerge(IEditorCommand next), ApplyIndexMutation(ProjectObjectIndex index, CommandApplicationKind kind)</x:v>
      </x:c>
      <x:c r="H159" s="180" t="str">
        <x:v>—（待核）</x:v>
      </x:c>
      <x:c r="I159" s="180" t="str">
        <x:v>CxVisual.Commands.AddElementCommand</x:v>
      </x:c>
      <x:c r="J159" s="179" t="str">
        <x:v>类</x:v>
      </x:c>
      <x:c r="K159" s="180" t="str">
        <x:v>V1.19 C-1256；原实施方式：原有。迁移风险：封装Add元素命令操作请求、参数与执行入口</x:v>
      </x:c>
      <x:c r="L159" s="183" t="str">
        <x:v>源代码声明·待复核</x:v>
      </x:c>
      <x:c r="M159" s="183" t="str">
        <x:v>C-1256</x:v>
      </x:c>
      <x:c r="N159" s="184" t="str">
        <x:v>Host/Studio/Application/Commands/EditorCommands.cs</x:v>
      </x:c>
      <x:c r="O159" s="183" t="str">
        <x:v>V1.19旧源码类型（真实成员/实现仍待核）
V2.01：来源ID对应；处置=保留源码·公开契约复核
V7.8：V7.8同名且源文件对应；Host/Studio/Application/Commands/EditorCommands.cs</x:v>
      </x:c>
      <x:c r="P159" s="136" t="str">
        <x:v>V1.19旧源码类型（真实成员/实现仍待核）</x:v>
      </x:c>
    </x:row>
    <x:row r="160" ht="72" customHeight="1">
      <x:c r="A160" s="179" t="str">
        <x:v>M37</x:v>
      </x:c>
      <x:c r="B160" s="180" t="str">
        <x:v>工程与Studio｜Editing / Studio Contribution
Studio Editing</x:v>
      </x:c>
      <x:c r="C160" s="180" t="str">
        <x:v>MSEAddEventActionCommand</x:v>
      </x:c>
      <x:c r="D160" s="179" t="str">
        <x:v>原有·待核</x:v>
      </x:c>
      <x:c r="E160" s="180" t="str">
        <x:v>封装Add事件Action命令操作请求、参数与执行入口</x:v>
      </x:c>
      <x:c r="F160" s="180" t="str">
        <x:v>Description</x:v>
      </x:c>
      <x:c r="G160" s="180" t="str">
        <x:v>AddEventActionCommand(EventBindingModel eventBinding, ActionModel action), Execute(), Undo(), TryMerge(IEditorCommand next)</x:v>
      </x:c>
      <x:c r="H160" s="180" t="str">
        <x:v>—（待核）</x:v>
      </x:c>
      <x:c r="I160" s="180" t="str">
        <x:v>CxVisual.Commands.AddEventActionCommand</x:v>
      </x:c>
      <x:c r="J160" s="179" t="str">
        <x:v>类</x:v>
      </x:c>
      <x:c r="K160" s="180" t="str">
        <x:v>V1.19 C-1257；原实施方式：原有。迁移风险：封装Add事件Action命令操作请求、参数与执行入口</x:v>
      </x:c>
      <x:c r="L160" s="183" t="str">
        <x:v>源代码声明·待复核</x:v>
      </x:c>
      <x:c r="M160" s="183" t="str">
        <x:v>C-1257</x:v>
      </x:c>
      <x:c r="N160" s="184" t="str">
        <x:v>Host/Studio/Application/Commands/LayoutCommands.cs</x:v>
      </x:c>
      <x:c r="O160" s="183" t="str">
        <x:v>V1.19旧源码类型（真实成员/实现仍待核）
V2.01：来源ID对应；处置=保留源码·公开契约复核
V7.8：V7.8同名且源文件对应；Host/Studio/Application/Commands/LayoutCommands.cs</x:v>
      </x:c>
      <x:c r="P160" s="136" t="str">
        <x:v>V1.19旧源码类型（真实成员/实现仍待核）</x:v>
      </x:c>
    </x:row>
    <x:row r="161" ht="72" customHeight="1">
      <x:c r="A161" s="179" t="str">
        <x:v>M37</x:v>
      </x:c>
      <x:c r="B161" s="180" t="str">
        <x:v>工程与Studio｜Editing / Studio Contribution
Studio Editing</x:v>
      </x:c>
      <x:c r="C161" s="180" t="str">
        <x:v>MSEAddLayerCommand</x:v>
      </x:c>
      <x:c r="D161" s="179" t="str">
        <x:v>原有·待核</x:v>
      </x:c>
      <x:c r="E161" s="180" t="str">
        <x:v>封装Add图层命令操作请求、参数与执行入口</x:v>
      </x:c>
      <x:c r="F161" s="180" t="str">
        <x:v>Description</x:v>
      </x:c>
      <x:c r="G161" s="180" t="str">
        <x:v>AddLayerCommand(PageModel page, LayerModel layer), Execute(), Undo(), TryMerge(IEditorCommand next), NormalizeOrder(IList&lt;LayerModel&gt; layers)</x:v>
      </x:c>
      <x:c r="H161" s="180" t="str">
        <x:v>—（待核）</x:v>
      </x:c>
      <x:c r="I161" s="180" t="str">
        <x:v>CxVisual.Commands.AddLayerCommand</x:v>
      </x:c>
      <x:c r="J161" s="179" t="str">
        <x:v>类</x:v>
      </x:c>
      <x:c r="K161" s="180" t="str">
        <x:v>V1.19 C-1258；原实施方式：原有。迁移风险：封装Add图层命令操作请求、参数与执行入口</x:v>
      </x:c>
      <x:c r="L161" s="183" t="str">
        <x:v>源代码声明·待复核</x:v>
      </x:c>
      <x:c r="M161" s="183" t="str">
        <x:v>C-1258</x:v>
      </x:c>
      <x:c r="N161" s="184" t="str">
        <x:v>Host/Studio/Application/Commands/LayerCommands.cs</x:v>
      </x:c>
      <x:c r="O161" s="183" t="str">
        <x:v>V1.19旧源码类型（真实成员/实现仍待核）
V2.01：来源ID对应；处置=保留源码·公开契约复核
V7.8：V7.8同名且源文件对应；Host/Studio/Application/Commands/LayerCommands.cs</x:v>
      </x:c>
      <x:c r="P161" s="136" t="str">
        <x:v>V1.19旧源码类型（真实成员/实现仍待核）</x:v>
      </x:c>
    </x:row>
    <x:row r="162" ht="72" customHeight="1">
      <x:c r="A162" s="179" t="str">
        <x:v>M37</x:v>
      </x:c>
      <x:c r="B162" s="180" t="str">
        <x:v>工程与Studio｜Editing / Studio Contribution
Studio Editing</x:v>
      </x:c>
      <x:c r="C162" s="180" t="str">
        <x:v>MSEAddPageCommand</x:v>
      </x:c>
      <x:c r="D162" s="179" t="str">
        <x:v>原有·待核</x:v>
      </x:c>
      <x:c r="E162" s="180" t="str">
        <x:v>封装Add页面命令操作请求、参数与执行入口</x:v>
      </x:c>
      <x:c r="F162" s="180" t="str">
        <x:v>Page, Description</x:v>
      </x:c>
      <x:c r="G162" s="180" t="str">
        <x:v>AddPageCommand(ProjectModel project, PageModel page, int index = -1), Execute(), Undo(), TryMerge(IEditorCommand next), ApplyIndexMutation(ProjectObjectIndex index, CommandApplicationKind kind)</x:v>
      </x:c>
      <x:c r="H162" s="180" t="str">
        <x:v>—（待核）</x:v>
      </x:c>
      <x:c r="I162" s="180" t="str">
        <x:v>CxVisual.Commands.AddPageCommand</x:v>
      </x:c>
      <x:c r="J162" s="179" t="str">
        <x:v>类</x:v>
      </x:c>
      <x:c r="K162" s="180" t="str">
        <x:v>V1.19 C-1259；原实施方式：原有。迁移风险：封装Add页面命令操作请求、参数与执行入口</x:v>
      </x:c>
      <x:c r="L162" s="183" t="str">
        <x:v>源代码声明·待复核</x:v>
      </x:c>
      <x:c r="M162" s="183" t="str">
        <x:v>C-1259</x:v>
      </x:c>
      <x:c r="N162" s="184" t="str">
        <x:v>Host/Studio/Application/Commands/PageCommands.cs</x:v>
      </x:c>
      <x:c r="O162" s="183" t="str">
        <x:v>V1.19旧源码类型（真实成员/实现仍待核）
V2.01：来源ID对应；处置=保留源码·公开契约复核
V7.8：V7.8同名且源文件对应；Host/Studio/Application/Commands/PageCommands.cs</x:v>
      </x:c>
      <x:c r="P162" s="136" t="str">
        <x:v>V1.19旧源码类型（真实成员/实现仍待核）</x:v>
      </x:c>
    </x:row>
    <x:row r="163" ht="72" customHeight="1">
      <x:c r="A163" s="179" t="str">
        <x:v>M37</x:v>
      </x:c>
      <x:c r="B163" s="180" t="str">
        <x:v>工程与Studio｜Editing / Studio Contribution
Studio Editing</x:v>
      </x:c>
      <x:c r="C163" s="180" t="str">
        <x:v>MSEAddVariableCommand</x:v>
      </x:c>
      <x:c r="D163" s="179" t="str">
        <x:v>原有·待核</x:v>
      </x:c>
      <x:c r="E163" s="180" t="str">
        <x:v>封装Add变量命令操作请求、参数与执行入口</x:v>
      </x:c>
      <x:c r="F163" s="180" t="str">
        <x:v>Description</x:v>
      </x:c>
      <x:c r="G163" s="180" t="str">
        <x:v>AddVariableCommand(ProjectModel project, VariableReference variable), Execute(), Undo(), TryMerge(IEditorCommand next)</x:v>
      </x:c>
      <x:c r="H163" s="180" t="str">
        <x:v>—（待核）</x:v>
      </x:c>
      <x:c r="I163" s="180" t="str">
        <x:v>CxVisual.Commands.AddVariableCommand</x:v>
      </x:c>
      <x:c r="J163" s="179" t="str">
        <x:v>类</x:v>
      </x:c>
      <x:c r="K163" s="180" t="str">
        <x:v>V1.19 C-1260；原实施方式：原有。迁移风险：封装Add变量命令操作请求、参数与执行入口</x:v>
      </x:c>
      <x:c r="L163" s="183" t="str">
        <x:v>源代码声明·待复核</x:v>
      </x:c>
      <x:c r="M163" s="183" t="str">
        <x:v>C-1260</x:v>
      </x:c>
      <x:c r="N163" s="184" t="str">
        <x:v>Host/Studio/Application/Commands/EditorCommands.cs</x:v>
      </x:c>
      <x:c r="O163" s="183" t="str">
        <x:v>V1.19旧源码类型（真实成员/实现仍待核）
V2.01：来源ID对应；处置=保留源码·公开契约复核
V7.8：V7.8同名且源文件对应；Host/Studio/Application/Commands/EditorCommands.cs</x:v>
      </x:c>
      <x:c r="P163" s="136" t="str">
        <x:v>V1.19旧源码类型（真实成员/实现仍待核）</x:v>
      </x:c>
    </x:row>
    <x:row r="164" ht="72" customHeight="1">
      <x:c r="A164" s="179" t="str">
        <x:v>M37</x:v>
      </x:c>
      <x:c r="B164" s="180" t="str">
        <x:v>工程与Studio｜Editing / Studio Contribution
Studio Editing</x:v>
      </x:c>
      <x:c r="C164" s="180" t="str">
        <x:v>MSEAlignElementsCommand</x:v>
      </x:c>
      <x:c r="D164" s="179" t="str">
        <x:v>原有·待核</x:v>
      </x:c>
      <x:c r="E164" s="180" t="str">
        <x:v>封装AlignElements命令操作请求、参数与执行入口</x:v>
      </x:c>
      <x:c r="F164" s="180" t="str">
        <x:v>Description</x:v>
      </x:c>
      <x:c r="G164" s="180" t="str">
        <x:v>AlignElementsCommand(PageModel page, IEnumerable&lt;string&gt; elementIds, string anchorElementId, ElementAlignMode mode), Execute(), Undo(), TryMerge(IEditorCommand next), ApplyIndexMutation(ProjectObjectIndex index, CommandApplicationKind kind)</x:v>
      </x:c>
      <x:c r="H164" s="180" t="str">
        <x:v>—（待核）</x:v>
      </x:c>
      <x:c r="I164" s="180" t="str">
        <x:v>CxVisual.Commands.AlignElementsCommand</x:v>
      </x:c>
      <x:c r="J164" s="179" t="str">
        <x:v>类</x:v>
      </x:c>
      <x:c r="K164" s="180" t="str">
        <x:v>V1.19 C-1261；原实施方式：原有。迁移风险：封装AlignElements命令操作请求、参数与执行入口</x:v>
      </x:c>
      <x:c r="L164" s="183" t="str">
        <x:v>源代码声明·待复核</x:v>
      </x:c>
      <x:c r="M164" s="183" t="str">
        <x:v>C-1261</x:v>
      </x:c>
      <x:c r="N164" s="184" t="str">
        <x:v>Host/Studio/Application/Commands/LayoutCommands.cs</x:v>
      </x:c>
      <x:c r="O164" s="183" t="str">
        <x:v>V1.19旧源码类型（真实成员/实现仍待核）
V2.01：来源ID对应；处置=保留源码·公开契约复核
V7.8：V7.8同名且源文件对应；Host/Studio/Application/Commands/LayoutCommands.cs</x:v>
      </x:c>
      <x:c r="P164" s="136" t="str">
        <x:v>V1.19旧源码类型（真实成员/实现仍待核）</x:v>
      </x:c>
    </x:row>
    <x:row r="165" ht="72" customHeight="1">
      <x:c r="A165" s="179" t="str">
        <x:v>M37</x:v>
      </x:c>
      <x:c r="B165" s="180" t="str">
        <x:v>工程与Studio｜Editing / Studio Contribution
Studio Editing</x:v>
      </x:c>
      <x:c r="C165" s="180" t="str">
        <x:v>MSEBuiltInOutlineProviders</x:v>
      </x:c>
      <x:c r="D165" s="179" t="str">
        <x:v>原有·待核</x:v>
      </x:c>
      <x:c r="E165" s="180" t="str">
        <x:v>提供BuiltInOutlineProviders相关基础操作或类型辅助处理</x:v>
      </x:c>
      <x:c r="F165" s="180" t="str">
        <x:v>—（无公开声明或待核对）</x:v>
      </x:c>
      <x:c r="G165" s="180" t="str">
        <x:v>Register(ContextContributionRegistry registry)</x:v>
      </x:c>
      <x:c r="H165" s="180" t="str">
        <x:v>—（待核）</x:v>
      </x:c>
      <x:c r="I165" s="180" t="str">
        <x:v>CxVisual.Designer.Wpf.Studio.Editors.BuiltInOutlineProviders</x:v>
      </x:c>
      <x:c r="J165" s="179" t="str">
        <x:v>静态类</x:v>
      </x:c>
      <x:c r="K165" s="180" t="str">
        <x:v>V1.19 C-1404；原实施方式：原有。迁移风险：提供BuiltInOutlineProviders相关基础操作或类型辅助处理</x:v>
      </x:c>
      <x:c r="L165" s="183" t="str">
        <x:v>源代码声明·待复核</x:v>
      </x:c>
      <x:c r="M165" s="183" t="str">
        <x:v>C-1404</x:v>
      </x:c>
      <x:c r="N165" s="184" t="str">
        <x:v>Host/Studio/Wpf/Studio/Editors/StudioOutlineProviders.cs</x:v>
      </x:c>
      <x:c r="O165" s="183" t="str">
        <x:v>V1.19旧源码类型（真实成员/实现仍待核）
V2.01：来源ID对应；处置=保留源码·公开契约复核
V7.8：V7.8同名且源文件对应；Host/Studio/Wpf/Studio/Editors/StudioOutlineProviders.cs</x:v>
      </x:c>
      <x:c r="P165" s="136" t="str">
        <x:v>V1.19旧源码类型（真实成员/实现仍待核）</x:v>
      </x:c>
    </x:row>
    <x:row r="166" ht="72" customHeight="1">
      <x:c r="A166" s="179" t="str">
        <x:v>M37</x:v>
      </x:c>
      <x:c r="B166" s="180" t="str">
        <x:v>工程与Studio｜Editing / Studio Contribution
Studio Editing</x:v>
      </x:c>
      <x:c r="C166" s="180" t="str">
        <x:v>MSEBuiltInPropertyProviders</x:v>
      </x:c>
      <x:c r="D166" s="179" t="str">
        <x:v>原有·待核</x:v>
      </x:c>
      <x:c r="E166" s="180" t="str">
        <x:v>提供BuiltIn属性Providers相关基础操作或类型辅助处理</x:v>
      </x:c>
      <x:c r="F166" s="180" t="str">
        <x:v>—（无公开声明或待核对）</x:v>
      </x:c>
      <x:c r="G166" s="180" t="str">
        <x:v>Register(ContextContributionRegistry registry)</x:v>
      </x:c>
      <x:c r="H166" s="180" t="str">
        <x:v>—（待核）</x:v>
      </x:c>
      <x:c r="I166" s="180" t="str">
        <x:v>CxVisual.Designer.Wpf.Studio.Editors.BuiltInPropertyProviders</x:v>
      </x:c>
      <x:c r="J166" s="179" t="str">
        <x:v>静态类</x:v>
      </x:c>
      <x:c r="K166" s="180" t="str">
        <x:v>V1.19 C-1405；原实施方式：原有。迁移风险：提供BuiltIn属性Providers相关基础操作或类型辅助处理</x:v>
      </x:c>
      <x:c r="L166" s="183" t="str">
        <x:v>源代码声明·待复核</x:v>
      </x:c>
      <x:c r="M166" s="183" t="str">
        <x:v>C-1405</x:v>
      </x:c>
      <x:c r="N166" s="184" t="str">
        <x:v>Host/Studio/Wpf/Studio/Editors/StudioPropertyProviders.cs</x:v>
      </x:c>
      <x:c r="O166" s="183" t="str">
        <x:v>V1.19旧源码类型（真实成员/实现仍待核）
V2.01：来源ID对应；处置=保留源码·公开契约复核
V7.8：V7.8同名且源文件对应；Host/Studio/Wpf/Studio/Editors/StudioPropertyProviders.cs</x:v>
      </x:c>
      <x:c r="P166" s="136" t="str">
        <x:v>V1.19旧源码类型（真实成员/实现仍待核）</x:v>
      </x:c>
    </x:row>
    <x:row r="167" ht="72" customHeight="1">
      <x:c r="A167" s="179" t="str">
        <x:v>M37</x:v>
      </x:c>
      <x:c r="B167" s="180" t="str">
        <x:v>工程与Studio｜Editing / Studio Contribution
Studio Editing</x:v>
      </x:c>
      <x:c r="C167" s="180" t="str">
        <x:v>MSEBuiltInRibbonCatalog</x:v>
      </x:c>
      <x:c r="D167" s="179" t="str">
        <x:v>原有·待核</x:v>
      </x:c>
      <x:c r="E167" s="180" t="str">
        <x:v>组织与检索BuiltIn功能区目录列表及可发现的能力信息</x:v>
      </x:c>
      <x:c r="F167" s="180" t="str">
        <x:v>—（无公开声明或待核对）</x:v>
      </x:c>
      <x:c r="G167" s="180" t="str">
        <x:v>CreateFixed(), CreateContextualProviders()</x:v>
      </x:c>
      <x:c r="H167" s="180" t="str">
        <x:v>—（待核）</x:v>
      </x:c>
      <x:c r="I167" s="180" t="str">
        <x:v>CxVisual.Designer.Application.StudioShell.BuiltInRibbonCatalog</x:v>
      </x:c>
      <x:c r="J167" s="179" t="str">
        <x:v>静态类</x:v>
      </x:c>
      <x:c r="K167" s="180" t="str">
        <x:v>V1.19 C-1348；原实施方式：原有。迁移风险：组织与检索BuiltIn功能区目录列表及可发现的能力信息</x:v>
      </x:c>
      <x:c r="L167" s="183" t="str">
        <x:v>源代码声明·待复核</x:v>
      </x:c>
      <x:c r="M167" s="183" t="str">
        <x:v>C-1348</x:v>
      </x:c>
      <x:c r="N167" s="184" t="str">
        <x:v>Host/Studio/Application/StudioShell/Ribbon/BuiltInRibbonCatalog.cs</x:v>
      </x:c>
      <x:c r="O167" s="183" t="str">
        <x:v>V1.19旧源码类型（真实成员/实现仍待核）
V2.01：来源ID对应；处置=保留源码·公开契约复核
V7.8：V7.8同名且源文件对应；Host/Studio/Application/StudioShell/Ribbon/BuiltInRibbonCatalog.cs</x:v>
      </x:c>
      <x:c r="P167" s="136" t="str">
        <x:v>V1.19旧源码类型（真实成员/实现仍待核）</x:v>
      </x:c>
    </x:row>
    <x:row r="168" ht="72" customHeight="1">
      <x:c r="A168" s="179" t="str">
        <x:v>M37</x:v>
      </x:c>
      <x:c r="B168" s="180" t="str">
        <x:v>工程与Studio｜Editing / Studio Contribution
Studio Editing</x:v>
      </x:c>
      <x:c r="C168" s="180" t="str">
        <x:v>MSEBuiltInStudioEditorProviders</x:v>
      </x:c>
      <x:c r="D168" s="179" t="str">
        <x:v>原有·待核</x:v>
      </x:c>
      <x:c r="E168" s="180" t="str">
        <x:v>提供BuiltInStudio编辑器Providers相关基础操作或类型辅助处理</x:v>
      </x:c>
      <x:c r="F168" s="180" t="str">
        <x:v>—（无公开声明或待核对）</x:v>
      </x:c>
      <x:c r="G168" s="180" t="str">
        <x:v>Register(EditorRegistry registry, Func&lt;DesignerDocument&gt; hmiDocument)</x:v>
      </x:c>
      <x:c r="H168" s="180" t="str">
        <x:v>—（待核）</x:v>
      </x:c>
      <x:c r="I168" s="180" t="str">
        <x:v>CxVisual.Designer.Wpf.Studio.Editors.BuiltInStudioEditorProviders</x:v>
      </x:c>
      <x:c r="J168" s="179" t="str">
        <x:v>静态类</x:v>
      </x:c>
      <x:c r="K168" s="180" t="str">
        <x:v>V1.19 C-1406；原实施方式：原有。迁移风险：提供BuiltInStudio编辑器Providers相关基础操作或类型辅助处理</x:v>
      </x:c>
      <x:c r="L168" s="183" t="str">
        <x:v>源代码声明·待复核</x:v>
      </x:c>
      <x:c r="M168" s="183" t="str">
        <x:v>C-1406</x:v>
      </x:c>
      <x:c r="N168" s="184" t="str">
        <x:v>Host/Studio/Wpf/Studio/Editors/StudioResourceEditors.cs</x:v>
      </x:c>
      <x:c r="O168" s="183" t="str">
        <x:v>V1.19旧源码类型（真实成员/实现仍待核）
V2.01：来源ID对应；处置=保留源码·公开契约复核
V7.8：V7.8同名且源文件对应；Host/Studio/Wpf/Studio/Editors/StudioResourceEditors.cs</x:v>
      </x:c>
      <x:c r="P168" s="136" t="str">
        <x:v>V1.19旧源码类型（真实成员/实现仍待核）</x:v>
      </x:c>
    </x:row>
    <x:row r="169" ht="72" customHeight="1">
      <x:c r="A169" s="179" t="str">
        <x:v>M37</x:v>
      </x:c>
      <x:c r="B169" s="180" t="str">
        <x:v>工程与Studio｜Editing / Studio Contribution
Studio Editing</x:v>
      </x:c>
      <x:c r="C169" s="180" t="str">
        <x:v>MSEChangePropertyCommand&lt;T&gt;</x:v>
      </x:c>
      <x:c r="D169" s="179" t="str">
        <x:v>原有·待核</x:v>
      </x:c>
      <x:c r="E169" s="180" t="str">
        <x:v>表达或管理Change属性命令T相关的数据及协作职责，具体行为待源码复核〔待核〕</x:v>
      </x:c>
      <x:c r="F169" s="180" t="str">
        <x:v>Description</x:v>
      </x:c>
      <x:c r="G169" s="180" t="str">
        <x:v>ChangePropertyCommand(string description, T before, T after, Action&lt;T&gt; setter), Execute(), Undo(), TryMerge(IEditorCommand next)</x:v>
      </x:c>
      <x:c r="H169" s="180" t="str">
        <x:v>—（待核）</x:v>
      </x:c>
      <x:c r="I169" s="180" t="str">
        <x:v>CxVisual.Commands.ChangePropertyCommand&lt;T&gt;</x:v>
      </x:c>
      <x:c r="J169" s="179" t="str">
        <x:v>类</x:v>
      </x:c>
      <x:c r="K169" s="180" t="str">
        <x:v>V1.19 C-1262；原实施方式：原有。迁移风险：表达或管理Change属性命令T相关的数据及协作职责，具体行为待源码复核〔待核〕</x:v>
      </x:c>
      <x:c r="L169" s="183" t="str">
        <x:v>源代码声明·待复核</x:v>
      </x:c>
      <x:c r="M169" s="183" t="str">
        <x:v>C-1262</x:v>
      </x:c>
      <x:c r="N169" s="184" t="str">
        <x:v>D:\cyg\cx-visual-x2\Host\Studio\Application\Commands\EditorCommands.cs:433</x:v>
      </x:c>
      <x:c r="O169" s="183" t="str">
        <x:v>V1.19旧源码类型（真实成员/实现仍待核）
V2.01：来源ID对应；处置=保留源码·公开契约复核
V7.8：V7.8同名且源文件对应；Host/Studio/Application/Commands/EditorCommands.cs</x:v>
      </x:c>
      <x:c r="P169" s="136" t="str">
        <x:v>V1.19旧源码类型（真实成员/实现仍待核）</x:v>
      </x:c>
    </x:row>
    <x:row r="170" ht="72" customHeight="1">
      <x:c r="A170" s="179" t="str">
        <x:v>M37</x:v>
      </x:c>
      <x:c r="B170" s="180" t="str">
        <x:v>工程与Studio｜Editing / Studio Contribution
Studio Editing</x:v>
      </x:c>
      <x:c r="C170" s="180" t="str">
        <x:v>MSECommandApplicationKind</x:v>
      </x:c>
      <x:c r="D170" s="179" t="str">
        <x:v>原有·待核</x:v>
      </x:c>
      <x:c r="E170" s="180" t="str">
        <x:v>定义命令ApplicationKind的候选取值、状态或模式，供相关流程作分支判断</x:v>
      </x:c>
      <x:c r="F170" s="180" t="str">
        <x:v>枚举值：Execute, Undo, Redo</x:v>
      </x:c>
      <x:c r="G170" s="180" t="str">
        <x:v>—(无公开声明或待核对)</x:v>
      </x:c>
      <x:c r="H170" s="180" t="str">
        <x:v>—（待核）</x:v>
      </x:c>
      <x:c r="I170" s="180" t="str">
        <x:v>CxVisual.Commands.CommandApplicationKind</x:v>
      </x:c>
      <x:c r="J170" s="179" t="str">
        <x:v>枚举</x:v>
      </x:c>
      <x:c r="K170" s="180" t="str">
        <x:v>V1.19 C-1263；原实施方式：原有。迁移风险：定义命令ApplicationKind的候选取值、状态或模式，供相关流程作分支判断</x:v>
      </x:c>
      <x:c r="L170" s="183" t="str">
        <x:v>源代码声明·待复核</x:v>
      </x:c>
      <x:c r="M170" s="183" t="str">
        <x:v>C-1263</x:v>
      </x:c>
      <x:c r="N170" s="184" t="str">
        <x:v>Host/Studio/Application/Commands/EditorCommands.cs</x:v>
      </x:c>
      <x:c r="O170" s="183" t="str">
        <x:v>V1.19旧源码类型（真实成员/实现仍待核）
V2.01：未匹配V2.01；处置=暂无可信对应
V7.8：V7.8同名且源文件对应；Host/Studio/Application/Commands/EditorCommands.cs</x:v>
      </x:c>
      <x:c r="P170" s="136" t="str">
        <x:v>V1.19旧源码类型（真实成员/实现仍待核）</x:v>
      </x:c>
    </x:row>
    <x:row r="171" ht="72" customHeight="1">
      <x:c r="A171" s="179" t="str">
        <x:v>M37</x:v>
      </x:c>
      <x:c r="B171" s="180" t="str">
        <x:v>工程与Studio｜Editing / Studio Contribution
Studio Editing</x:v>
      </x:c>
      <x:c r="C171" s="180" t="str">
        <x:v>MSECommandAppliedEventArgs</x:v>
      </x:c>
      <x:c r="D171" s="179" t="str">
        <x:v>原有·待核</x:v>
      </x:c>
      <x:c r="E171" s="180" t="str">
        <x:v>表达或管理命令Applied事件Args相关的数据及协作职责，具体行为待源码复核〔待核〕</x:v>
      </x:c>
      <x:c r="F171" s="180" t="str">
        <x:v>Command, Kind</x:v>
      </x:c>
      <x:c r="G171" s="180" t="str">
        <x:v>CommandAppliedEventArgs(IEditorCommand command, CommandApplicationKind kind)</x:v>
      </x:c>
      <x:c r="H171" s="180" t="str">
        <x:v>—（待核）</x:v>
      </x:c>
      <x:c r="I171" s="180" t="str">
        <x:v>CxVisual.Commands.CommandAppliedEventArgs</x:v>
      </x:c>
      <x:c r="J171" s="179" t="str">
        <x:v>类</x:v>
      </x:c>
      <x:c r="K171" s="180" t="str">
        <x:v>V1.19 C-1264；原实施方式：原有。迁移风险：表达或管理命令Applied事件Args相关的数据及协作职责，具体行为待源码复核〔待核〕</x:v>
      </x:c>
      <x:c r="L171" s="183" t="str">
        <x:v>源代码声明·待复核</x:v>
      </x:c>
      <x:c r="M171" s="183" t="str">
        <x:v>C-1264</x:v>
      </x:c>
      <x:c r="N171" s="184" t="str">
        <x:v>Host/Studio/Application/Commands/EditorCommands.cs</x:v>
      </x:c>
      <x:c r="O171" s="183" t="str">
        <x:v>V1.19旧源码类型（真实成员/实现仍待核）
V2.01：未匹配V2.01；处置=暂无可信对应
V7.8：V7.8同名且源文件对应；Host/Studio/Application/Commands/EditorCommands.cs</x:v>
      </x:c>
      <x:c r="P171" s="136" t="str">
        <x:v>V1.19旧源码类型（真实成员/实现仍待核）</x:v>
      </x:c>
    </x:row>
    <x:row r="172" ht="72" customHeight="1">
      <x:c r="A172" s="179" t="str">
        <x:v>M37</x:v>
      </x:c>
      <x:c r="B172" s="180" t="str">
        <x:v>工程与Studio｜Editing / Studio Contribution
Studio Editing</x:v>
      </x:c>
      <x:c r="C172" s="180" t="str">
        <x:v>MSECommandHistory</x:v>
      </x:c>
      <x:c r="D172" s="179" t="str">
        <x:v>原有·待核</x:v>
      </x:c>
      <x:c r="E172" s="180" t="str">
        <x:v>表达或管理命令历史相关的数据及协作职责，具体行为待源码复核〔待核〕</x:v>
      </x:c>
      <x:c r="F172" s="180" t="str">
        <x:v>Changed, CommandApplied, CanUndo, CanRedo, StateId</x:v>
      </x:c>
      <x:c r="G172" s="180" t="str">
        <x:v>Execute(IEditorCommand command), Undo(), Redo(), Clear()</x:v>
      </x:c>
      <x:c r="H172" s="180" t="str">
        <x:v>—（待核）</x:v>
      </x:c>
      <x:c r="I172" s="180" t="str">
        <x:v>CxVisual.Commands.CommandHistory</x:v>
      </x:c>
      <x:c r="J172" s="179" t="str">
        <x:v>类</x:v>
      </x:c>
      <x:c r="K172" s="180" t="str">
        <x:v>V1.19 C-1265；原实施方式：原有。迁移风险：表达或管理命令历史相关的数据及协作职责，具体行为待源码复核〔待核〕</x:v>
      </x:c>
      <x:c r="L172" s="183" t="str">
        <x:v>源代码声明·待复核</x:v>
      </x:c>
      <x:c r="M172" s="183" t="str">
        <x:v>C-1265</x:v>
      </x:c>
      <x:c r="N172" s="184" t="str">
        <x:v>Host/Studio/Application/Commands/EditorCommands.cs</x:v>
      </x:c>
      <x:c r="O172" s="183" t="str">
        <x:v>V1.19旧源码类型（真实成员/实现仍待核）
V2.01：未匹配V2.01；处置=暂无可信对应
V7.8：V7.8同名且源文件对应；Host/Studio/Application/Commands/EditorCommands.cs</x:v>
      </x:c>
      <x:c r="P172" s="136" t="str">
        <x:v>V1.19旧源码类型（真实成员/实现仍待核）</x:v>
      </x:c>
    </x:row>
    <x:row r="173" ht="72" customHeight="1">
      <x:c r="A173" s="179" t="str">
        <x:v>M37</x:v>
      </x:c>
      <x:c r="B173" s="180" t="str">
        <x:v>工程与Studio｜Editing / Studio Contribution
Studio Editing</x:v>
      </x:c>
      <x:c r="C173" s="180" t="str">
        <x:v>MSECompositeCommand</x:v>
      </x:c>
      <x:c r="D173" s="179" t="str">
        <x:v>原有·待核</x:v>
      </x:c>
      <x:c r="E173" s="180" t="str">
        <x:v>封装Composite命令操作请求、参数与执行入口</x:v>
      </x:c>
      <x:c r="F173" s="180" t="str">
        <x:v>Description</x:v>
      </x:c>
      <x:c r="G173" s="180" t="str">
        <x:v>CompositeCommand(string description, IEnumerable&lt;IEditorCommand&gt; commands), Execute(), Undo(), TryMerge(IEditorCommand next), ApplyIndexMutation(ProjectObjectIndex index, CommandApplicationKind kind)</x:v>
      </x:c>
      <x:c r="H173" s="180" t="str">
        <x:v>—（待核）</x:v>
      </x:c>
      <x:c r="I173" s="180" t="str">
        <x:v>CxVisual.Commands.CompositeCommand</x:v>
      </x:c>
      <x:c r="J173" s="179" t="str">
        <x:v>类</x:v>
      </x:c>
      <x:c r="K173" s="180" t="str">
        <x:v>V1.19 C-1267；原实施方式：原有。迁移风险：封装Composite命令操作请求、参数与执行入口</x:v>
      </x:c>
      <x:c r="L173" s="183" t="str">
        <x:v>源代码声明·待复核</x:v>
      </x:c>
      <x:c r="M173" s="183" t="str">
        <x:v>C-1267</x:v>
      </x:c>
      <x:c r="N173" s="184" t="str">
        <x:v>Host/Studio/Application/Commands/EditorCommands.cs</x:v>
      </x:c>
      <x:c r="O173" s="183" t="str">
        <x:v>V1.19旧源码类型（真实成员/实现仍待核）
V2.01：未匹配V2.01；处置=暂无可信对应
V7.8：V7.8同名且源文件对应；Host/Studio/Application/Commands/EditorCommands.cs</x:v>
      </x:c>
      <x:c r="P173" s="136" t="str">
        <x:v>V1.19旧源码类型（真实成员/实现仍待核）</x:v>
      </x:c>
    </x:row>
    <x:row r="174" ht="72" customHeight="1">
      <x:c r="A174" s="179" t="str">
        <x:v>M37</x:v>
      </x:c>
      <x:c r="B174" s="180" t="str">
        <x:v>工程与Studio｜Editing / Studio Contribution
Studio Editing</x:v>
      </x:c>
      <x:c r="C174" s="180" t="str">
        <x:v>MSECreateSymbolCommand</x:v>
      </x:c>
      <x:c r="D174" s="179" t="str">
        <x:v>原有·待核</x:v>
      </x:c>
      <x:c r="E174" s="180" t="str">
        <x:v>封装Create符号命令操作请求、参数与执行入口</x:v>
      </x:c>
      <x:c r="F174" s="180" t="str">
        <x:v>Description, Definition, Instance, Reference</x:v>
      </x:c>
      <x:c r="G174" s="180" t="str">
        <x:v>CreateSymbolCommand(ProjectModel project, PageModel page, IEnumerable&lt;string&gt; elementIds, string symbolName), Execute(), Undo(), TryMerge(IEditorCommand next), ApplyIndexMutation(ProjectObjectIndex index, CommandApplicationKind kind)</x:v>
      </x:c>
      <x:c r="H174" s="180" t="str">
        <x:v>—（待核）</x:v>
      </x:c>
      <x:c r="I174" s="180" t="str">
        <x:v>CxVisual.Commands.CreateSymbolCommand</x:v>
      </x:c>
      <x:c r="J174" s="179" t="str">
        <x:v>类</x:v>
      </x:c>
      <x:c r="K174" s="180" t="str">
        <x:v>V1.19 C-1268；原实施方式：原有。迁移风险：封装Create符号命令操作请求、参数与执行入口</x:v>
      </x:c>
      <x:c r="L174" s="183" t="str">
        <x:v>源代码声明·待复核</x:v>
      </x:c>
      <x:c r="M174" s="183" t="str">
        <x:v>C-1268</x:v>
      </x:c>
      <x:c r="N174" s="184" t="str">
        <x:v>Host/Studio/Application/Commands/EditorCommands.cs</x:v>
      </x:c>
      <x:c r="O174" s="183" t="str">
        <x:v>V1.19旧源码类型（真实成员/实现仍待核）
V2.01：未匹配V2.01；处置=暂无可信对应
V7.8：V7.8同名且源文件对应；Host/Studio/Application/Commands/EditorCommands.cs</x:v>
      </x:c>
      <x:c r="P174" s="136" t="str">
        <x:v>V1.19旧源码类型（真实成员/实现仍待核）</x:v>
      </x:c>
    </x:row>
    <x:row r="175" ht="72" customHeight="1">
      <x:c r="A175" s="179" t="str">
        <x:v>M37</x:v>
      </x:c>
      <x:c r="B175" s="180" t="str">
        <x:v>工程与Studio｜Editing / Studio Contribution
Studio Editing</x:v>
      </x:c>
      <x:c r="C175" s="180" t="str">
        <x:v>MSECxEditorNodeMutation</x:v>
      </x:c>
      <x:c r="D175" s="179" t="str">
        <x:v>原有·待核</x:v>
      </x:c>
      <x:c r="E175" s="180" t="str">
        <x:v>提供编辑器节点Mutation相关基础操作或类型辅助处理</x:v>
      </x:c>
      <x:c r="F175" s="180" t="str">
        <x:v>—（无公开声明或待核对）</x:v>
      </x:c>
      <x:c r="G175" s="180" t="str">
        <x:v>BindForEdit(PageModel page, IEnumerable&lt;ElementModel&gt; expectedChildren), InsertVisual(PageModel page, ElementModel element, int index), RemoveVisual(PageModel page, ElementModel element)</x:v>
      </x:c>
      <x:c r="H175" s="180" t="str">
        <x:v>—（待核）</x:v>
      </x:c>
      <x:c r="I175" s="180" t="str">
        <x:v>CxVisual.Commands.CxEditorNodeMutation</x:v>
      </x:c>
      <x:c r="J175" s="179" t="str">
        <x:v>静态类</x:v>
      </x:c>
      <x:c r="K175" s="180" t="str">
        <x:v>V1.19 C-1269；原实施方式：原有。迁移风险：提供编辑器节点Mutation相关基础操作或类型辅助处理</x:v>
      </x:c>
      <x:c r="L175" s="183" t="str">
        <x:v>源代码声明·待复核</x:v>
      </x:c>
      <x:c r="M175" s="183" t="str">
        <x:v>C-1269</x:v>
      </x:c>
      <x:c r="N175" s="184" t="str">
        <x:v>Host/Studio/Application/Commands/GroupCommands.cs</x:v>
      </x:c>
      <x:c r="O175" s="183" t="str">
        <x:v>V1.19旧源码类型（真实成员/实现仍待核）
V2.01：来源ID对应；处置=保留源码·公开契约复核
V7.8：V7.8同名且源文件对应；Host/Studio/Application/Commands/GroupCommands.cs</x:v>
      </x:c>
      <x:c r="P175" s="136" t="str">
        <x:v>V1.19旧源码类型（真实成员/实现仍待核）</x:v>
      </x:c>
    </x:row>
    <x:row r="176" ht="72" customHeight="1">
      <x:c r="A176" s="179" t="str">
        <x:v>M37</x:v>
      </x:c>
      <x:c r="B176" s="180" t="str">
        <x:v>工程与Studio｜Editing / Studio Contribution
Studio Editing</x:v>
      </x:c>
      <x:c r="C176" s="180" t="str">
        <x:v>MSECxProjectCommandTree</x:v>
      </x:c>
      <x:c r="D176" s="179" t="str">
        <x:v>原有·待核</x:v>
      </x:c>
      <x:c r="E176" s="180" t="str">
        <x:v>提供工程命令Tree相关基础操作或类型辅助处理</x:v>
      </x:c>
      <x:c r="F176" s="180" t="str">
        <x:v>—（无公开声明或待核对）</x:v>
      </x:c>
      <x:c r="G176" s="180" t="str">
        <x:v>InsertPage(ProjectModel project, PageModel page, int index), RemovePage(ProjectModel project, PageModel page)</x:v>
      </x:c>
      <x:c r="H176" s="180" t="str">
        <x:v>—（待核）</x:v>
      </x:c>
      <x:c r="I176" s="180" t="str">
        <x:v>CxVisual.Commands.CxProjectCommandTree</x:v>
      </x:c>
      <x:c r="J176" s="179" t="str">
        <x:v>静态类</x:v>
      </x:c>
      <x:c r="K176" s="180" t="str">
        <x:v>V1.19 C-1270；原实施方式：原有。迁移风险：提供工程命令Tree相关基础操作或类型辅助处理</x:v>
      </x:c>
      <x:c r="L176" s="183" t="str">
        <x:v>源代码声明·待复核</x:v>
      </x:c>
      <x:c r="M176" s="183" t="str">
        <x:v>C-1270</x:v>
      </x:c>
      <x:c r="N176" s="184" t="str">
        <x:v>Host/Studio/Application/Commands/PageCommands.cs</x:v>
      </x:c>
      <x:c r="O176" s="183" t="str">
        <x:v>V1.19旧源码类型（真实成员/实现仍待核）
V2.01：来源ID对应；处置=保留源码·公开契约复核
V7.8：V7.8同名且源文件对应；Host/Studio/Application/Commands/PageCommands.cs</x:v>
      </x:c>
      <x:c r="P176" s="136" t="str">
        <x:v>V1.19旧源码类型（真实成员/实现仍待核）</x:v>
      </x:c>
    </x:row>
    <x:row r="177" ht="72" customHeight="1">
      <x:c r="A177" s="179" t="str">
        <x:v>M37</x:v>
      </x:c>
      <x:c r="B177" s="180" t="str">
        <x:v>工程与Studio｜Editing / Studio Contribution
Studio Editing</x:v>
      </x:c>
      <x:c r="C177" s="180" t="str">
        <x:v>MSEDeleteAnimationCommand</x:v>
      </x:c>
      <x:c r="D177" s="179" t="str">
        <x:v>原有·待核</x:v>
      </x:c>
      <x:c r="E177" s="180" t="str">
        <x:v>封装DeleteAnimation命令操作请求、参数与执行入口</x:v>
      </x:c>
      <x:c r="F177" s="180" t="str">
        <x:v>Description</x:v>
      </x:c>
      <x:c r="G177" s="180" t="str">
        <x:v>DeleteAnimationCommand(ElementModel element, AnimationDefinition animation), Execute(), Undo(), TryMerge(IEditorCommand next)</x:v>
      </x:c>
      <x:c r="H177" s="180" t="str">
        <x:v>—（待核）</x:v>
      </x:c>
      <x:c r="I177" s="180" t="str">
        <x:v>CxVisual.Commands.DeleteAnimationCommand</x:v>
      </x:c>
      <x:c r="J177" s="179" t="str">
        <x:v>类</x:v>
      </x:c>
      <x:c r="K177" s="180" t="str">
        <x:v>V1.19 C-1271；原实施方式：原有。迁移风险：封装DeleteAnimation命令操作请求、参数与执行入口</x:v>
      </x:c>
      <x:c r="L177" s="183" t="str">
        <x:v>源代码声明·待复核</x:v>
      </x:c>
      <x:c r="M177" s="183" t="str">
        <x:v>C-1271</x:v>
      </x:c>
      <x:c r="N177" s="184" t="str">
        <x:v>Host/Studio/Application/Commands/LayoutCommands.cs</x:v>
      </x:c>
      <x:c r="O177" s="183" t="str">
        <x:v>V1.19旧源码类型（真实成员/实现仍待核）
V2.01：未匹配V2.01；处置=暂无可信对应
V7.8：V7.8同名且源文件对应；Host/Studio/Application/Commands/LayoutCommands.cs</x:v>
      </x:c>
      <x:c r="P177" s="136" t="str">
        <x:v>V1.19旧源码类型（真实成员/实现仍待核）</x:v>
      </x:c>
    </x:row>
    <x:row r="178" ht="72" customHeight="1">
      <x:c r="A178" s="179" t="str">
        <x:v>M37</x:v>
      </x:c>
      <x:c r="B178" s="180" t="str">
        <x:v>工程与Studio｜Editing / Studio Contribution
Studio Editing</x:v>
      </x:c>
      <x:c r="C178" s="180" t="str">
        <x:v>MSEDeleteElementsCommand</x:v>
      </x:c>
      <x:c r="D178" s="179" t="str">
        <x:v>原有·待核</x:v>
      </x:c>
      <x:c r="E178" s="180" t="str">
        <x:v>封装DeleteElements命令操作请求、参数与执行入口</x:v>
      </x:c>
      <x:c r="F178" s="180" t="str">
        <x:v>Description</x:v>
      </x:c>
      <x:c r="G178" s="180" t="str">
        <x:v>DeleteElementsCommand(PageModel page, IEnumerable&lt;string&gt; elementIds), Execute(), Undo(), TryMerge(IEditorCommand next), ApplyIndexMutation(ProjectObjectIndex index, CommandApplicationKind kind)</x:v>
      </x:c>
      <x:c r="H178" s="180" t="str">
        <x:v>—（待核）</x:v>
      </x:c>
      <x:c r="I178" s="180" t="str">
        <x:v>CxVisual.Commands.DeleteElementsCommand</x:v>
      </x:c>
      <x:c r="J178" s="179" t="str">
        <x:v>类</x:v>
      </x:c>
      <x:c r="K178" s="180" t="str">
        <x:v>V1.19 C-1272；原实施方式：原有。迁移风险：封装DeleteElements命令操作请求、参数与执行入口</x:v>
      </x:c>
      <x:c r="L178" s="183" t="str">
        <x:v>源代码声明·待复核</x:v>
      </x:c>
      <x:c r="M178" s="183" t="str">
        <x:v>C-1272</x:v>
      </x:c>
      <x:c r="N178" s="184" t="str">
        <x:v>Host/Studio/Application/Commands/EditorCommands.cs</x:v>
      </x:c>
      <x:c r="O178" s="183" t="str">
        <x:v>V1.19旧源码类型（真实成员/实现仍待核）
V2.01：未匹配V2.01；处置=暂无可信对应
V7.8：V7.8同名且源文件对应；Host/Studio/Application/Commands/EditorCommands.cs</x:v>
      </x:c>
      <x:c r="P178" s="136" t="str">
        <x:v>V1.19旧源码类型（真实成员/实现仍待核）</x:v>
      </x:c>
    </x:row>
    <x:row r="179" ht="72" customHeight="1">
      <x:c r="A179" s="179" t="str">
        <x:v>M37</x:v>
      </x:c>
      <x:c r="B179" s="180" t="str">
        <x:v>工程与Studio｜Editing / Studio Contribution
Studio Editing</x:v>
      </x:c>
      <x:c r="C179" s="180" t="str">
        <x:v>MSEDeleteLayerCommand</x:v>
      </x:c>
      <x:c r="D179" s="179" t="str">
        <x:v>原有·待核</x:v>
      </x:c>
      <x:c r="E179" s="180" t="str">
        <x:v>封装Delete图层命令操作请求、参数与执行入口</x:v>
      </x:c>
      <x:c r="F179" s="180" t="str">
        <x:v>Description</x:v>
      </x:c>
      <x:c r="G179" s="180" t="str">
        <x:v>DeleteLayerCommand(PageModel page, LayerModel layer), Execute(), Undo(), TryMerge(IEditorCommand next)</x:v>
      </x:c>
      <x:c r="H179" s="180" t="str">
        <x:v>—（待核）</x:v>
      </x:c>
      <x:c r="I179" s="180" t="str">
        <x:v>CxVisual.Commands.DeleteLayerCommand</x:v>
      </x:c>
      <x:c r="J179" s="179" t="str">
        <x:v>类</x:v>
      </x:c>
      <x:c r="K179" s="180" t="str">
        <x:v>V1.19 C-1273；原实施方式：原有。迁移风险：封装Delete图层命令操作请求、参数与执行入口</x:v>
      </x:c>
      <x:c r="L179" s="183" t="str">
        <x:v>源代码声明·待复核</x:v>
      </x:c>
      <x:c r="M179" s="183" t="str">
        <x:v>C-1273</x:v>
      </x:c>
      <x:c r="N179" s="184" t="str">
        <x:v>Host/Studio/Application/Commands/LayerCommands.cs</x:v>
      </x:c>
      <x:c r="O179" s="183" t="str">
        <x:v>V1.19旧源码类型（真实成员/实现仍待核）
V2.01：未匹配V2.01；处置=暂无可信对应
V7.8：V7.8同名且源文件对应；Host/Studio/Application/Commands/LayerCommands.cs</x:v>
      </x:c>
      <x:c r="P179" s="136" t="str">
        <x:v>V1.19旧源码类型（真实成员/实现仍待核）</x:v>
      </x:c>
    </x:row>
    <x:row r="180" ht="72" customHeight="1">
      <x:c r="A180" s="179" t="str">
        <x:v>M37</x:v>
      </x:c>
      <x:c r="B180" s="180" t="str">
        <x:v>工程与Studio｜Editing / Studio Contribution
Studio Editing</x:v>
      </x:c>
      <x:c r="C180" s="180" t="str">
        <x:v>MSEDeletePageCommand</x:v>
      </x:c>
      <x:c r="D180" s="179" t="str">
        <x:v>原有·待核</x:v>
      </x:c>
      <x:c r="E180" s="180" t="str">
        <x:v>封装Delete页面命令操作请求、参数与执行入口</x:v>
      </x:c>
      <x:c r="F180" s="180" t="str">
        <x:v>Description</x:v>
      </x:c>
      <x:c r="G180" s="180" t="str">
        <x:v>DeletePageCommand(ProjectModel project, PageModel page), Execute(), Undo(), TryMerge(IEditorCommand next), ApplyIndexMutation(ProjectObjectIndex index, CommandApplicationKind kind)</x:v>
      </x:c>
      <x:c r="H180" s="180" t="str">
        <x:v>—（待核）</x:v>
      </x:c>
      <x:c r="I180" s="180" t="str">
        <x:v>CxVisual.Commands.DeletePageCommand</x:v>
      </x:c>
      <x:c r="J180" s="179" t="str">
        <x:v>类</x:v>
      </x:c>
      <x:c r="K180" s="180" t="str">
        <x:v>V1.19 C-1274；原实施方式：原有。迁移风险：封装Delete页面命令操作请求、参数与执行入口</x:v>
      </x:c>
      <x:c r="L180" s="183" t="str">
        <x:v>源代码声明·待复核</x:v>
      </x:c>
      <x:c r="M180" s="183" t="str">
        <x:v>C-1274</x:v>
      </x:c>
      <x:c r="N180" s="184" t="str">
        <x:v>Host/Studio/Application/Commands/PageCommands.cs</x:v>
      </x:c>
      <x:c r="O180" s="183" t="str">
        <x:v>V1.19旧源码类型（真实成员/实现仍待核）
V2.01：未匹配V2.01；处置=暂无可信对应
V7.8：V7.8同名且源文件对应；Host/Studio/Application/Commands/PageCommands.cs</x:v>
      </x:c>
      <x:c r="P180" s="136" t="str">
        <x:v>V1.19旧源码类型（真实成员/实现仍待核）</x:v>
      </x:c>
    </x:row>
    <x:row r="181" ht="72" customHeight="1">
      <x:c r="A181" s="179" t="str">
        <x:v>M37</x:v>
      </x:c>
      <x:c r="B181" s="180" t="str">
        <x:v>工程与Studio｜Editing / Studio Contribution
Studio Editing</x:v>
      </x:c>
      <x:c r="C181" s="180" t="str">
        <x:v>MSEDeleteVariableCommand</x:v>
      </x:c>
      <x:c r="D181" s="179" t="str">
        <x:v>原有·待核</x:v>
      </x:c>
      <x:c r="E181" s="180" t="str">
        <x:v>封装Delete变量命令操作请求、参数与执行入口</x:v>
      </x:c>
      <x:c r="F181" s="180" t="str">
        <x:v>Description</x:v>
      </x:c>
      <x:c r="G181" s="180" t="str">
        <x:v>DeleteVariableCommand(ProjectModel project, VariableReference variable), Execute(), Undo(), TryMerge(IEditorCommand next)</x:v>
      </x:c>
      <x:c r="H181" s="180" t="str">
        <x:v>—（待核）</x:v>
      </x:c>
      <x:c r="I181" s="180" t="str">
        <x:v>CxVisual.Commands.DeleteVariableCommand</x:v>
      </x:c>
      <x:c r="J181" s="179" t="str">
        <x:v>类</x:v>
      </x:c>
      <x:c r="K181" s="180" t="str">
        <x:v>V1.19 C-1275；原实施方式：原有。迁移风险：封装Delete变量命令操作请求、参数与执行入口</x:v>
      </x:c>
      <x:c r="L181" s="183" t="str">
        <x:v>源代码声明·待复核</x:v>
      </x:c>
      <x:c r="M181" s="183" t="str">
        <x:v>C-1275</x:v>
      </x:c>
      <x:c r="N181" s="184" t="str">
        <x:v>Host/Studio/Application/Commands/LayoutCommands.cs</x:v>
      </x:c>
      <x:c r="O181" s="183" t="str">
        <x:v>V1.19旧源码类型（真实成员/实现仍待核）
V2.01：未匹配V2.01；处置=暂无可信对应
V7.8：V7.8同名且源文件对应；Host/Studio/Application/Commands/LayoutCommands.cs</x:v>
      </x:c>
      <x:c r="P181" s="136" t="str">
        <x:v>V1.19旧源码类型（真实成员/实现仍待核）</x:v>
      </x:c>
    </x:row>
    <x:row r="182" ht="72" customHeight="1">
      <x:c r="A182" s="179" t="str">
        <x:v>M37</x:v>
      </x:c>
      <x:c r="B182" s="180" t="str">
        <x:v>工程与Studio｜Editing / Studio Contribution
Studio Editing</x:v>
      </x:c>
      <x:c r="C182" s="180" t="str">
        <x:v>MSEDesignerToolTypeMap</x:v>
      </x:c>
      <x:c r="D182" s="179" t="str">
        <x:v>原有·待核</x:v>
      </x:c>
      <x:c r="E182" s="180" t="str">
        <x:v>提供DesignerTool类型Map相关基础操作或类型辅助处理</x:v>
      </x:c>
      <x:c r="F182" s="180" t="str">
        <x:v>TypeIds</x:v>
      </x:c>
      <x:c r="G182" s="180" t="str">
        <x:v>TryGetTypeId(DesignerToolKind tool, out string typeId), GetTypeId(DesignerToolKind tool)</x:v>
      </x:c>
      <x:c r="H182" s="180" t="str">
        <x:v>—（待核）</x:v>
      </x:c>
      <x:c r="I182" s="180" t="str">
        <x:v>CxVisual.Designer.Application.DesignerToolTypeMap</x:v>
      </x:c>
      <x:c r="J182" s="179" t="str">
        <x:v>静态类</x:v>
      </x:c>
      <x:c r="K182" s="180" t="str">
        <x:v>V1.19 C-1319；原实施方式：原有。迁移风险：提供DesignerTool类型Map相关基础操作或类型辅助处理</x:v>
      </x:c>
      <x:c r="L182" s="183" t="str">
        <x:v>源代码声明·待复核</x:v>
      </x:c>
      <x:c r="M182" s="183" t="str">
        <x:v>C-1319</x:v>
      </x:c>
      <x:c r="N182" s="184" t="str">
        <x:v>Host/Studio/Application/DesignerToolTypeMap.cs</x:v>
      </x:c>
      <x:c r="O182" s="183" t="str">
        <x:v>V1.19旧源码类型（真实成员/实现仍待核）
V2.01：来源ID对应；处置=保留源码·公开契约复核
V7.8：V7.8同名且源文件对应；Host/Studio/Application/DesignerToolTypeMap.cs</x:v>
      </x:c>
      <x:c r="P182" s="136" t="str">
        <x:v>V1.19旧源码类型（真实成员/实现仍待核）</x:v>
      </x:c>
    </x:row>
    <x:row r="183" ht="72" customHeight="1">
      <x:c r="A183" s="179" t="str">
        <x:v>M37</x:v>
      </x:c>
      <x:c r="B183" s="180" t="str">
        <x:v>工程与Studio｜Editing / Studio Contribution
Studio Editing</x:v>
      </x:c>
      <x:c r="C183" s="180" t="str">
        <x:v>MSEDistributeElementsCommand</x:v>
      </x:c>
      <x:c r="D183" s="179" t="str">
        <x:v>原有·待核</x:v>
      </x:c>
      <x:c r="E183" s="180" t="str">
        <x:v>封装DistributeElements命令操作请求、参数与执行入口</x:v>
      </x:c>
      <x:c r="F183" s="180" t="str">
        <x:v>Description</x:v>
      </x:c>
      <x:c r="G183" s="180" t="str">
        <x:v>DistributeElementsCommand(PageModel page, IEnumerable&lt;string&gt; elementIds, ElementDistributeMode mode), Execute(), Undo(), TryMerge(IEditorCommand next), ApplyIndexMutation(ProjectObjectIndex index, CommandApplicationKind kind)</x:v>
      </x:c>
      <x:c r="H183" s="180" t="str">
        <x:v>—（待核）</x:v>
      </x:c>
      <x:c r="I183" s="180" t="str">
        <x:v>CxVisual.Commands.DistributeElementsCommand</x:v>
      </x:c>
      <x:c r="J183" s="179" t="str">
        <x:v>类</x:v>
      </x:c>
      <x:c r="K183" s="180" t="str">
        <x:v>V1.19 C-1276；原实施方式：原有。迁移风险：封装DistributeElements命令操作请求、参数与执行入口</x:v>
      </x:c>
      <x:c r="L183" s="183" t="str">
        <x:v>源代码声明·待复核</x:v>
      </x:c>
      <x:c r="M183" s="183" t="str">
        <x:v>C-1276</x:v>
      </x:c>
      <x:c r="N183" s="184" t="str">
        <x:v>Host/Studio/Application/Commands/LayoutCommands.cs</x:v>
      </x:c>
      <x:c r="O183" s="183" t="str">
        <x:v>V1.19旧源码类型（真实成员/实现仍待核）
V2.01：未匹配V2.01；处置=暂无可信对应
V7.8：V7.8同名且源文件对应；Host/Studio/Application/Commands/LayoutCommands.cs</x:v>
      </x:c>
      <x:c r="P183" s="136" t="str">
        <x:v>V1.19旧源码类型（真实成员/实现仍待核）</x:v>
      </x:c>
    </x:row>
    <x:row r="184" ht="72" customHeight="1">
      <x:c r="A184" s="179" t="str">
        <x:v>M37</x:v>
      </x:c>
      <x:c r="B184" s="180" t="str">
        <x:v>工程与Studio｜Editing / Studio Contribution
Studio Editing</x:v>
      </x:c>
      <x:c r="C184" s="180" t="str">
        <x:v>MSEDomainWorkbenchLauncher</x:v>
      </x:c>
      <x:c r="D184" s="179" t="str">
        <x:v>原有·待核</x:v>
      </x:c>
      <x:c r="E184" s="180" t="str">
        <x:v>提供Domain专业工作台Launcher相关基础操作或类型辅助处理</x:v>
      </x:c>
      <x:c r="F184" s="180" t="str">
        <x:v>—（无公开声明或待核对）</x:v>
      </x:c>
      <x:c r="G184" s="180" t="str">
        <x:v>OpenMotion(ProjectModel project, Action changed), OpenVision(ProjectModel project, Action changed), OpenRobot(ProjectModel project, Action changed), OpenCt3D(ProjectModel project, Action changed), CreateEmbedded(StudioWorkspaceKind workspace, ProjectModel project, Action changed)</x:v>
      </x:c>
      <x:c r="H184" s="180" t="str">
        <x:v>—（待核）</x:v>
      </x:c>
      <x:c r="I184" s="180" t="str">
        <x:v>CxVisual.Designer.Wpf.DomainWorkbenchLauncher</x:v>
      </x:c>
      <x:c r="J184" s="179" t="str">
        <x:v>静态类</x:v>
      </x:c>
      <x:c r="K184" s="180" t="str">
        <x:v>V1.19 C-1394；原实施方式：原有。迁移风险：提供Domain专业工作台Launcher相关基础操作或类型辅助处理</x:v>
      </x:c>
      <x:c r="L184" s="183" t="str">
        <x:v>源代码声明·待复核</x:v>
      </x:c>
      <x:c r="M184" s="183" t="str">
        <x:v>C-1394</x:v>
      </x:c>
      <x:c r="N184" s="184" t="str">
        <x:v>Host/Studio/Wpf/DomainWorkbenchEditors.cs</x:v>
      </x:c>
      <x:c r="O184" s="183" t="str">
        <x:v>V1.19旧源码类型（真实成员/实现仍待核）
V2.01：来源ID对应；处置=保留源码·公开契约复核
V7.8：V7.8同名且源文件对应；Host/Studio/Wpf/DomainWorkbenchEditors.cs</x:v>
      </x:c>
      <x:c r="P184" s="136" t="str">
        <x:v>V1.19旧源码类型（真实成员/实现仍待核）</x:v>
      </x:c>
    </x:row>
    <x:row r="185" ht="72" customHeight="1">
      <x:c r="A185" s="179" t="str">
        <x:v>M37</x:v>
      </x:c>
      <x:c r="B185" s="180" t="str">
        <x:v>工程与Studio｜Editing / Studio Contribution
Studio Editing</x:v>
      </x:c>
      <x:c r="C185" s="180" t="str">
        <x:v>MSEDuplicatePageCommand</x:v>
      </x:c>
      <x:c r="D185" s="179" t="str">
        <x:v>原有·待核</x:v>
      </x:c>
      <x:c r="E185" s="180" t="str">
        <x:v>封装Duplicate页面命令操作请求、参数与执行入口</x:v>
      </x:c>
      <x:c r="F185" s="180" t="str">
        <x:v>Copy, Description</x:v>
      </x:c>
      <x:c r="G185" s="180" t="str">
        <x:v>DuplicatePageCommand(ProjectModel project, PageModel source), Execute(), Undo(), TryMerge(IEditorCommand next), ApplyIndexMutation(ProjectObjectIndex index, CommandApplicationKind kind)</x:v>
      </x:c>
      <x:c r="H185" s="180" t="str">
        <x:v>—（待核）</x:v>
      </x:c>
      <x:c r="I185" s="180" t="str">
        <x:v>CxVisual.Commands.DuplicatePageCommand</x:v>
      </x:c>
      <x:c r="J185" s="179" t="str">
        <x:v>类</x:v>
      </x:c>
      <x:c r="K185" s="180" t="str">
        <x:v>V1.19 C-1277；原实施方式：原有。迁移风险：封装Duplicate页面命令操作请求、参数与执行入口</x:v>
      </x:c>
      <x:c r="L185" s="183" t="str">
        <x:v>源代码声明·待复核</x:v>
      </x:c>
      <x:c r="M185" s="183" t="str">
        <x:v>C-1277</x:v>
      </x:c>
      <x:c r="N185" s="184" t="str">
        <x:v>Host/Studio/Application/Commands/PageCommands.cs</x:v>
      </x:c>
      <x:c r="O185" s="183" t="str">
        <x:v>V1.19旧源码类型（真实成员/实现仍待核）
V2.01：未匹配V2.01；处置=暂无可信对应
V7.8：V7.8同名且源文件对应；Host/Studio/Application/Commands/PageCommands.cs</x:v>
      </x:c>
      <x:c r="P185" s="136" t="str">
        <x:v>V1.19旧源码类型（真实成员/实现仍待核）</x:v>
      </x:c>
    </x:row>
    <x:row r="186" ht="72" customHeight="1">
      <x:c r="A186" s="179" t="str">
        <x:v>M37</x:v>
      </x:c>
      <x:c r="B186" s="180" t="str">
        <x:v>工程与Studio｜Editing / Studio Contribution
Studio Editing</x:v>
      </x:c>
      <x:c r="C186" s="180" t="str">
        <x:v>MSEEditAnimationDefinitionCommand</x:v>
      </x:c>
      <x:c r="D186" s="179" t="str">
        <x:v>原有·待核</x:v>
      </x:c>
      <x:c r="E186" s="180" t="str">
        <x:v>封装EditAnimation定义命令操作请求、参数与执行入口</x:v>
      </x:c>
      <x:c r="F186" s="180" t="str">
        <x:v>Description</x:v>
      </x:c>
      <x:c r="G186" s="180" t="str">
        <x:v>EditAnimationDefinitionCommand(AnimationDefinition target, AnimationDefinition before, AnimationDefinition after), Execute(), Undo(), TryMerge(IEditorCommand next)</x:v>
      </x:c>
      <x:c r="H186" s="180" t="str">
        <x:v>—（待核）</x:v>
      </x:c>
      <x:c r="I186" s="180" t="str">
        <x:v>CxVisual.Commands.EditAnimationDefinitionCommand</x:v>
      </x:c>
      <x:c r="J186" s="179" t="str">
        <x:v>类</x:v>
      </x:c>
      <x:c r="K186" s="180" t="str">
        <x:v>V1.19 C-1278；原实施方式：原有。迁移风险：封装EditAnimation定义命令操作请求、参数与执行入口</x:v>
      </x:c>
      <x:c r="L186" s="183" t="str">
        <x:v>源代码声明·待复核</x:v>
      </x:c>
      <x:c r="M186" s="183" t="str">
        <x:v>C-1278</x:v>
      </x:c>
      <x:c r="N186" s="184" t="str">
        <x:v>Host/Studio/Application/Commands/M5ClosureCommands.cs</x:v>
      </x:c>
      <x:c r="O186" s="183" t="str">
        <x:v>V1.19旧源码类型（真实成员/实现仍待核）
V2.01：未匹配V2.01；处置=暂无可信对应
V7.8：V7.8同名且源文件对应；Host/Studio/Application/Commands/M5ClosureCommands.cs</x:v>
      </x:c>
      <x:c r="P186" s="136" t="str">
        <x:v>V1.19旧源码类型（真实成员/实现仍待核）</x:v>
      </x:c>
    </x:row>
    <x:row r="187" ht="72" customHeight="1">
      <x:c r="A187" s="179" t="str">
        <x:v>M37</x:v>
      </x:c>
      <x:c r="B187" s="180" t="str">
        <x:v>工程与Studio｜Editing / Studio Contribution
Studio Editing</x:v>
      </x:c>
      <x:c r="C187" s="180" t="str">
        <x:v>MSEEditChartConfigurationCommand</x:v>
      </x:c>
      <x:c r="D187" s="179" t="str">
        <x:v>原有·待核</x:v>
      </x:c>
      <x:c r="E187" s="180" t="str">
        <x:v>封装EditChart配置命令操作请求、参数与执行入口</x:v>
      </x:c>
      <x:c r="F187" s="180" t="str">
        <x:v>Description</x:v>
      </x:c>
      <x:c r="G187" s="180" t="str">
        <x:v>EditChartConfigurationCommand(ChartElementModel target, ChartElementModel before, ChartElementModel after), Execute(), Undo(), TryMerge(IEditorCommand next)</x:v>
      </x:c>
      <x:c r="H187" s="180" t="str">
        <x:v>—（待核）</x:v>
      </x:c>
      <x:c r="I187" s="180" t="str">
        <x:v>CxVisual.Commands.EditChartConfigurationCommand</x:v>
      </x:c>
      <x:c r="J187" s="179" t="str">
        <x:v>类</x:v>
      </x:c>
      <x:c r="K187" s="180" t="str">
        <x:v>V1.19 C-1279；原实施方式：原有。迁移风险：封装EditChart配置命令操作请求、参数与执行入口</x:v>
      </x:c>
      <x:c r="L187" s="183" t="str">
        <x:v>源代码声明·待复核</x:v>
      </x:c>
      <x:c r="M187" s="183" t="str">
        <x:v>C-1279</x:v>
      </x:c>
      <x:c r="N187" s="184" t="str">
        <x:v>Host/Studio/Application/Commands/M5ClosureCommands.cs</x:v>
      </x:c>
      <x:c r="O187" s="183" t="str">
        <x:v>V1.19旧源码类型（真实成员/实现仍待核）
V2.01：未匹配V2.01；处置=暂无可信对应
V7.8：V7.8同名且源文件对应；Host/Studio/Application/Commands/M5ClosureCommands.cs</x:v>
      </x:c>
      <x:c r="P187" s="136" t="str">
        <x:v>V1.19旧源码类型（真实成员/实现仍待核）</x:v>
      </x:c>
    </x:row>
    <x:row r="188" ht="72" customHeight="1">
      <x:c r="A188" s="179" t="str">
        <x:v>M37</x:v>
      </x:c>
      <x:c r="B188" s="180" t="str">
        <x:v>工程与Studio｜Editing / Studio Contribution
Studio Editing</x:v>
      </x:c>
      <x:c r="C188" s="180" t="str">
        <x:v>MSEEditElementGeometryCommand</x:v>
      </x:c>
      <x:c r="D188" s="179" t="str">
        <x:v>原有·待核</x:v>
      </x:c>
      <x:c r="E188" s="180" t="str">
        <x:v>封装Edit元素几何命令操作请求、参数与执行入口</x:v>
      </x:c>
      <x:c r="F188" s="180" t="str">
        <x:v>Description</x:v>
      </x:c>
      <x:c r="G188" s="180" t="str">
        <x:v>EditElementGeometryCommand(ElementModel element, ElementGeometrySnapshot before, ElementGeometrySnapshot after), Execute(), Undo(), TryMerge(IEditorCommand next), ApplyIndexMutation(ProjectObjectIndex index, CommandApplicationKind kind)</x:v>
      </x:c>
      <x:c r="H188" s="180" t="str">
        <x:v>—（待核）</x:v>
      </x:c>
      <x:c r="I188" s="180" t="str">
        <x:v>CxVisual.Commands.EditElementGeometryCommand</x:v>
      </x:c>
      <x:c r="J188" s="179" t="str">
        <x:v>类</x:v>
      </x:c>
      <x:c r="K188" s="180" t="str">
        <x:v>V1.19 C-1280；原实施方式：原有。迁移风险：封装Edit元素几何命令操作请求、参数与执行入口</x:v>
      </x:c>
      <x:c r="L188" s="183" t="str">
        <x:v>源代码声明·待复核</x:v>
      </x:c>
      <x:c r="M188" s="183" t="str">
        <x:v>C-1280</x:v>
      </x:c>
      <x:c r="N188" s="184" t="str">
        <x:v>Host/Studio/Application/Commands/EditorCommands.cs</x:v>
      </x:c>
      <x:c r="O188" s="183" t="str">
        <x:v>V1.19旧源码类型（真实成员/实现仍待核）
V2.01：未匹配V2.01；处置=暂无可信对应
V7.8：V7.8同名且源文件对应；Host/Studio/Application/Commands/EditorCommands.cs</x:v>
      </x:c>
      <x:c r="P188" s="136" t="str">
        <x:v>V1.19旧源码类型（真实成员/实现仍待核）</x:v>
      </x:c>
    </x:row>
    <x:row r="189" ht="72" customHeight="1">
      <x:c r="A189" s="179" t="str">
        <x:v>M37</x:v>
      </x:c>
      <x:c r="B189" s="180" t="str">
        <x:v>工程与Studio｜Editing / Studio Contribution
Studio Editing</x:v>
      </x:c>
      <x:c r="C189" s="180" t="str">
        <x:v>MSEEditSymbolDefinitionCommand</x:v>
      </x:c>
      <x:c r="D189" s="179" t="str">
        <x:v>原有·待核</x:v>
      </x:c>
      <x:c r="E189" s="180" t="str">
        <x:v>封装Edit符号定义命令操作请求、参数与执行入口</x:v>
      </x:c>
      <x:c r="F189" s="180" t="str">
        <x:v>Description</x:v>
      </x:c>
      <x:c r="G189" s="180" t="str">
        <x:v>EditSymbolDefinitionCommand(SymbolDefinition target, SymbolDefinition before, SymbolDefinition after), Execute(), Undo(), TryMerge(IEditorCommand next), ApplyIndexMutation(ProjectObjectIndex index, CommandApplicationKind kind)</x:v>
      </x:c>
      <x:c r="H189" s="180" t="str">
        <x:v>—（待核）</x:v>
      </x:c>
      <x:c r="I189" s="180" t="str">
        <x:v>CxVisual.Commands.EditSymbolDefinitionCommand</x:v>
      </x:c>
      <x:c r="J189" s="179" t="str">
        <x:v>类</x:v>
      </x:c>
      <x:c r="K189" s="180" t="str">
        <x:v>V1.19 C-1281；原实施方式：原有。迁移风险：封装Edit符号定义命令操作请求、参数与执行入口</x:v>
      </x:c>
      <x:c r="L189" s="183" t="str">
        <x:v>源代码声明·待复核</x:v>
      </x:c>
      <x:c r="M189" s="183" t="str">
        <x:v>C-1281</x:v>
      </x:c>
      <x:c r="N189" s="184" t="str">
        <x:v>Host/Studio/Application/Commands/EditorCommands.cs</x:v>
      </x:c>
      <x:c r="O189" s="183" t="str">
        <x:v>V1.19旧源码类型（真实成员/实现仍待核）
V2.01：未匹配V2.01；处置=暂无可信对应
V7.8：V7.8同名且源文件对应；Host/Studio/Application/Commands/EditorCommands.cs</x:v>
      </x:c>
      <x:c r="P189" s="136" t="str">
        <x:v>V1.19旧源码类型（真实成员/实现仍待核）</x:v>
      </x:c>
    </x:row>
    <x:row r="190" ht="72" customHeight="1">
      <x:c r="A190" s="179" t="str">
        <x:v>M37</x:v>
      </x:c>
      <x:c r="B190" s="180" t="str">
        <x:v>工程与Studio｜Editing / Studio Contribution
Studio Editing</x:v>
      </x:c>
      <x:c r="C190" s="180" t="str">
        <x:v>MSEElementAlignMode</x:v>
      </x:c>
      <x:c r="D190" s="179" t="str">
        <x:v>原有·待核</x:v>
      </x:c>
      <x:c r="E190" s="180" t="str">
        <x:v>定义元素AlignMode的候选取值、状态或模式，供相关流程作分支判断</x:v>
      </x:c>
      <x:c r="F190" s="180" t="str">
        <x:v>枚举值：Left, Right, Top, Bottom, HorizontalCenter, VerticalCenter, Center</x:v>
      </x:c>
      <x:c r="G190" s="180" t="str">
        <x:v>—(无公开声明或待核对)</x:v>
      </x:c>
      <x:c r="H190" s="180" t="str">
        <x:v>—（待核）</x:v>
      </x:c>
      <x:c r="I190" s="180"/>
      <x:c r="J190" s="179" t="str">
        <x:v>枚举</x:v>
      </x:c>
      <x:c r="K190" s="180" t="str">
        <x:v>V1.19 C-1282；原实施方式：原有。</x:v>
      </x:c>
      <x:c r="L190" s="183" t="str">
        <x:v>源代码声明·待复核</x:v>
      </x:c>
      <x:c r="M190" s="183" t="str">
        <x:v>C-1282</x:v>
      </x:c>
      <x:c r="N190" s="184"/>
      <x:c r="O190" s="183" t="str">
        <x:v>V1.19旧源码类型（真实成员/实现仍待核）
V2.01：未匹配V2.01；处置=暂无可信对应
V7.8：无原始类型名</x:v>
      </x:c>
      <x:c r="P190" s="136" t="str">
        <x:v>V1.19旧源码类型（真实成员/实现仍待核）</x:v>
      </x:c>
    </x:row>
    <x:row r="191" ht="72" customHeight="1">
      <x:c r="A191" s="179" t="str">
        <x:v>M37</x:v>
      </x:c>
      <x:c r="B191" s="180" t="str">
        <x:v>工程与Studio｜Editing / Studio Contribution
Studio Editing</x:v>
      </x:c>
      <x:c r="C191" s="180" t="str">
        <x:v>MSEEnumerableCompatExtensions</x:v>
      </x:c>
      <x:c r="D191" s="179" t="str">
        <x:v>原有·待核</x:v>
      </x:c>
      <x:c r="E191" s="180" t="str">
        <x:v>提供EnumerableCompatExtensions相关基础操作或类型辅助处理</x:v>
      </x:c>
      <x:c r="F191" s="180" t="str">
        <x:v>—（无公开声明或待核对）</x:v>
      </x:c>
      <x:c r="G191" s="180" t="str">
        <x:v>IEnumerable(this IEnumerable&lt;T&gt; source, int count)</x:v>
      </x:c>
      <x:c r="H191" s="180" t="str">
        <x:v>—（待核）</x:v>
      </x:c>
      <x:c r="I191" s="180" t="str">
        <x:v>CxVisual.Designer.Wpf.EnumerableCompatExtensions</x:v>
      </x:c>
      <x:c r="J191" s="179" t="str">
        <x:v>静态类</x:v>
      </x:c>
      <x:c r="K191" s="180" t="str">
        <x:v>V1.19 C-1395；原实施方式：原有。迁移风险：提供EnumerableCompatExtensions相关基础操作或类型辅助处理</x:v>
      </x:c>
      <x:c r="L191" s="183" t="str">
        <x:v>源代码声明·待复核</x:v>
      </x:c>
      <x:c r="M191" s="183" t="str">
        <x:v>C-1395</x:v>
      </x:c>
      <x:c r="N191" s="184" t="str">
        <x:v>Host/Studio/Wpf/M3Editors.cs</x:v>
      </x:c>
      <x:c r="O191" s="183" t="str">
        <x:v>V1.19旧源码类型（真实成员/实现仍待核）
V2.01：来源ID对应；处置=保留源码·公开契约复核
V7.8：V7.8同名且源文件对应；Host/Studio/Wpf/M3Editors.cs</x:v>
      </x:c>
      <x:c r="P191" s="136" t="str">
        <x:v>V1.19旧源码类型（真实成员/实现仍待核）</x:v>
      </x:c>
    </x:row>
    <x:row r="192" ht="72" customHeight="1">
      <x:c r="A192" s="179" t="str">
        <x:v>M37</x:v>
      </x:c>
      <x:c r="B192" s="180" t="str">
        <x:v>工程与Studio｜Editing / Studio Contribution
Studio Editing</x:v>
      </x:c>
      <x:c r="C192" s="180" t="str">
        <x:v>MSEHistoryEntry</x:v>
      </x:c>
      <x:c r="D192" s="179" t="str">
        <x:v>原有·待核</x:v>
      </x:c>
      <x:c r="E192" s="180" t="str">
        <x:v>表达或管理历史Entry相关的数据及协作职责，具体行为待源码复核〔待核〕</x:v>
      </x:c>
      <x:c r="F192" s="180" t="str">
        <x:v>Command, BeforeStateId, AfterStateId</x:v>
      </x:c>
      <x:c r="G192" s="180" t="str">
        <x:v>HistoryEntry(IEditorCommand command, long beforeStateId, long afterStateId)</x:v>
      </x:c>
      <x:c r="H192" s="180" t="str">
        <x:v>—（待核）</x:v>
      </x:c>
      <x:c r="I192" s="180" t="str">
        <x:v>CxVisual.Commands.CommandHistory.HistoryEntry</x:v>
      </x:c>
      <x:c r="J192" s="179" t="str">
        <x:v>类</x:v>
      </x:c>
      <x:c r="K192" s="180" t="str">
        <x:v>V1.19 C-1266；原实施方式：原有。迁移风险：表达或管理历史Entry相关的数据及协作职责，具体行为待源码复核〔待核〕</x:v>
      </x:c>
      <x:c r="L192" s="183" t="str">
        <x:v>源代码声明·待复核</x:v>
      </x:c>
      <x:c r="M192" s="183" t="str">
        <x:v>C-1266</x:v>
      </x:c>
      <x:c r="N192" s="184" t="str">
        <x:v>Host/Studio/Application/Commands/EditorCommands.cs</x:v>
      </x:c>
      <x:c r="O192" s="183" t="str">
        <x:v>V1.19旧源码类型（真实成员/实现仍待核）
V2.01：未匹配V2.01；处置=暂无可信对应
V7.8：V7.8同名且源文件对应；Host/Studio/Application/Commands/EditorCommands.cs</x:v>
      </x:c>
      <x:c r="P192" s="136" t="str">
        <x:v>V1.19旧源码类型（真实成员/实现仍待核）</x:v>
      </x:c>
    </x:row>
    <x:row r="193" ht="72" customHeight="1">
      <x:c r="A193" s="179" t="str">
        <x:v>M37</x:v>
      </x:c>
      <x:c r="B193" s="180" t="str">
        <x:v>工程与Studio｜Editing / Studio Contribution
Studio Editing</x:v>
      </x:c>
      <x:c r="C193" s="180" t="str">
        <x:v>MSELegacyStudioAdapters</x:v>
      </x:c>
      <x:c r="D193" s="179" t="str">
        <x:v>原有·待核</x:v>
      </x:c>
      <x:c r="E193" s="180" t="str">
        <x:v>提供LegacyStudioAdapters相关基础操作或类型辅助处理</x:v>
      </x:c>
      <x:c r="F193" s="180" t="str">
        <x:v>—（无公开声明或待核对）</x:v>
      </x:c>
      <x:c r="G193" s="180" t="str">
        <x:v>ToLegacy(ResourceDescriptor resource), ToLegacy(SelectionDescriptor selection), MapWorkspace(string domainId), MapDocument(string resourceTypeId), MapResourceKind(string resourceTypeId)</x:v>
      </x:c>
      <x:c r="H193" s="180" t="str">
        <x:v>—（待核）</x:v>
      </x:c>
      <x:c r="I193" s="180" t="str">
        <x:v>CxVisual.Designer.Application.Studio.LegacyStudioAdapters</x:v>
      </x:c>
      <x:c r="J193" s="179" t="str">
        <x:v>静态类</x:v>
      </x:c>
      <x:c r="K193" s="180" t="str">
        <x:v>V1.19 C-1337；原实施方式：原有。迁移风险：提供LegacyStudioAdapters相关基础操作或类型辅助处理</x:v>
      </x:c>
      <x:c r="L193" s="183" t="str">
        <x:v>源代码声明·待复核</x:v>
      </x:c>
      <x:c r="M193" s="183" t="str">
        <x:v>C-1337</x:v>
      </x:c>
      <x:c r="N193" s="184" t="str">
        <x:v>Host/Studio/Application/Studio/Context/StudioContextV35.cs</x:v>
      </x:c>
      <x:c r="O193" s="183" t="str">
        <x:v>V1.19旧源码类型（真实成员/实现仍待核）
V2.01：来源ID对应；处置=保留源码·公开契约复核
V7.8：V7.8同名且源文件对应；Host/Studio/Application/Studio/Context/StudioContextV35.cs</x:v>
      </x:c>
      <x:c r="P193" s="136" t="str">
        <x:v>V1.19旧源码类型（真实成员/实现仍待核）</x:v>
      </x:c>
    </x:row>
    <x:row r="194" ht="72" customHeight="1">
      <x:c r="A194" s="179" t="str">
        <x:v>M37</x:v>
      </x:c>
      <x:c r="B194" s="180" t="str">
        <x:v>工程与Studio｜Editing / Studio Contribution
Studio Editing</x:v>
      </x:c>
      <x:c r="C194" s="180" t="str">
        <x:v>MSEM5EditorValue</x:v>
      </x:c>
      <x:c r="D194" s="179" t="str">
        <x:v>原有·待核</x:v>
      </x:c>
      <x:c r="E194" s="180" t="str">
        <x:v>提供5编辑器值相关基础操作或类型辅助处理</x:v>
      </x:c>
      <x:c r="F194" s="180" t="str">
        <x:v>—（无公开声明或待核对）</x:v>
      </x:c>
      <x:c r="G194" s="180" t="str">
        <x:v>ParseScalar(string value), Text(object value), Int(string value, int fallback, int minimum), Double(string value, double fallback)</x:v>
      </x:c>
      <x:c r="H194" s="180" t="str">
        <x:v>—（待核）</x:v>
      </x:c>
      <x:c r="I194" s="180" t="str">
        <x:v>CxVisual.Designer.Wpf.M5EditorValue</x:v>
      </x:c>
      <x:c r="J194" s="179" t="str">
        <x:v>静态类</x:v>
      </x:c>
      <x:c r="K194" s="180" t="str">
        <x:v>V1.19 C-1397；原实施方式：原有。迁移风险：提供5编辑器值相关基础操作或类型辅助处理</x:v>
      </x:c>
      <x:c r="L194" s="183" t="str">
        <x:v>源代码声明·待复核</x:v>
      </x:c>
      <x:c r="M194" s="183" t="str">
        <x:v>C-1397</x:v>
      </x:c>
      <x:c r="N194" s="184" t="str">
        <x:v>Host/Studio/Wpf/M5ClosureEditors.cs</x:v>
      </x:c>
      <x:c r="O194" s="183" t="str">
        <x:v>V1.19旧源码类型（真实成员/实现仍待核）
V2.01：来源ID对应；处置=保留源码·公开契约复核
V7.8：V7.8同名且源文件对应；Host/Studio/Wpf/M5ClosureEditors.cs</x:v>
      </x:c>
      <x:c r="P194" s="136" t="str">
        <x:v>V1.19旧源码类型（真实成员/实现仍待核）</x:v>
      </x:c>
    </x:row>
    <x:row r="195" ht="72" customHeight="1">
      <x:c r="A195" s="179" t="str">
        <x:v>M37</x:v>
      </x:c>
      <x:c r="B195" s="180" t="str">
        <x:v>工程与Studio｜Editing / Studio Contribution
Studio Editing</x:v>
      </x:c>
      <x:c r="C195" s="180" t="str">
        <x:v>MSEPageReferenceInspector</x:v>
      </x:c>
      <x:c r="D195" s="179" t="str">
        <x:v>原有·待核</x:v>
      </x:c>
      <x:c r="E195" s="180" t="str">
        <x:v>提供页面引用Inspector相关基础操作或类型辅助处理</x:v>
      </x:c>
      <x:c r="F195" s="180" t="str">
        <x:v>—（无公开声明或待核对）</x:v>
      </x:c>
      <x:c r="G195" s="180" t="str">
        <x:v>FindReferences(ProjectModel project, string pageId)</x:v>
      </x:c>
      <x:c r="H195" s="180" t="str">
        <x:v>—（待核）</x:v>
      </x:c>
      <x:c r="I195" s="180" t="str">
        <x:v>CxVisual.Commands.PageReferenceInspector</x:v>
      </x:c>
      <x:c r="J195" s="179" t="str">
        <x:v>静态类</x:v>
      </x:c>
      <x:c r="K195" s="180" t="str">
        <x:v>V1.19 C-1295；原实施方式：原有。迁移风险：提供页面引用Inspector相关基础操作或类型辅助处理</x:v>
      </x:c>
      <x:c r="L195" s="183" t="str">
        <x:v>源代码声明·待复核</x:v>
      </x:c>
      <x:c r="M195" s="183" t="str">
        <x:v>C-1295</x:v>
      </x:c>
      <x:c r="N195" s="184" t="str">
        <x:v>Host/Studio/Application/Commands/PageCommands.cs</x:v>
      </x:c>
      <x:c r="O195" s="183" t="str">
        <x:v>V1.19旧源码类型（真实成员/实现仍待核）
V2.01：来源ID对应；处置=保留源码·公开契约复核
V7.8：V7.8同名且源文件对应；Host/Studio/Application/Commands/PageCommands.cs</x:v>
      </x:c>
      <x:c r="P195" s="136" t="str">
        <x:v>V1.19旧源码类型（真实成员/实现仍待核）</x:v>
      </x:c>
    </x:row>
    <x:row r="196" ht="72" customHeight="1">
      <x:c r="A196" s="179" t="str">
        <x:v>M37</x:v>
      </x:c>
      <x:c r="B196" s="180" t="str">
        <x:v>工程与Studio｜Editing / Studio Contribution
Studio Editing</x:v>
      </x:c>
      <x:c r="C196" s="180" t="str">
        <x:v>MSEStudioCommandIds</x:v>
      </x:c>
      <x:c r="D196" s="179" t="str">
        <x:v>原有·待核</x:v>
      </x:c>
      <x:c r="E196" s="180" t="str">
        <x:v>提供Studio命令Ids相关基础操作或类型辅助处理</x:v>
      </x:c>
      <x:c r="F196" s="180" t="str">
        <x:v>FileNew, FileOpen, FileSave, FileSaveAs, EditUndo, EditRedo, ProjectProperties, ProjectValidate, DebugStart, DebugPause, DebugContinue, DebugStop, DebugStep, DebugWatch, DebugReplay, DebugDiagnostics, RunPreview, RunStart, …（另12项）</x:v>
      </x:c>
      <x:c r="G196" s="180" t="str">
        <x:v>—(无公开声明或待核对)</x:v>
      </x:c>
      <x:c r="H196" s="180" t="str">
        <x:v>—（待核）</x:v>
      </x:c>
      <x:c r="I196" s="180" t="str">
        <x:v>CxVisual.Designer.Application.StudioShell.StudioCommandIds</x:v>
      </x:c>
      <x:c r="J196" s="179" t="str">
        <x:v>静态类</x:v>
      </x:c>
      <x:c r="K196" s="180" t="str">
        <x:v>V1.19 C-1365；原实施方式：原有。迁移风险：提供Studio命令Ids相关基础操作或类型辅助处理</x:v>
      </x:c>
      <x:c r="L196" s="183" t="str">
        <x:v>源代码声明·待复核</x:v>
      </x:c>
      <x:c r="M196" s="183" t="str">
        <x:v>C-1365</x:v>
      </x:c>
      <x:c r="N196" s="184" t="str">
        <x:v>Host/Studio/Application/StudioShell/Commands/StudioCommandModel.cs</x:v>
      </x:c>
      <x:c r="O196" s="183" t="str">
        <x:v>V1.19旧源码类型（真实成员/实现仍待核）
V2.01：来源ID对应；处置=保留源码·公开契约复核
V7.8：V7.8同名且源文件对应；Host/Studio/Application/StudioShell/Commands/StudioCommandModel.cs</x:v>
      </x:c>
      <x:c r="P196" s="136" t="str">
        <x:v>V1.19旧源码类型（真实成员/实现仍待核）</x:v>
      </x:c>
    </x:row>
    <x:row r="197" ht="72" customHeight="1">
      <x:c r="A197" s="179" t="str">
        <x:v>M37</x:v>
      </x:c>
      <x:c r="B197" s="180" t="str">
        <x:v>工程与Studio｜Editing / Studio Contribution
Studio Editing</x:v>
      </x:c>
      <x:c r="C197" s="180" t="str">
        <x:v>MSEStudioResourceClassifier</x:v>
      </x:c>
      <x:c r="D197" s="179" t="str">
        <x:v>原有·待核</x:v>
      </x:c>
      <x:c r="E197" s="180" t="str">
        <x:v>提供Studio资源Classifier相关基础操作或类型辅助处理</x:v>
      </x:c>
      <x:c r="F197" s="180" t="str">
        <x:v>—（无公开声明或待核对）</x:v>
      </x:c>
      <x:c r="G197" s="180" t="str">
        <x:v>FromAssetKind(string kind), ToDocumentKind(StudioResourceKind kind)</x:v>
      </x:c>
      <x:c r="H197" s="180" t="str">
        <x:v>—（待核）</x:v>
      </x:c>
      <x:c r="I197" s="180" t="str">
        <x:v>CxVisual.Designer.Application.StudioShell.StudioResourceClassifier</x:v>
      </x:c>
      <x:c r="J197" s="179" t="str">
        <x:v>静态类</x:v>
      </x:c>
      <x:c r="K197" s="180" t="str">
        <x:v>V1.19 C-1372；原实施方式：原有。迁移风险：提供Studio资源Classifier相关基础操作或类型辅助处理</x:v>
      </x:c>
      <x:c r="L197" s="183" t="str">
        <x:v>源代码声明·待复核</x:v>
      </x:c>
      <x:c r="M197" s="183" t="str">
        <x:v>C-1372</x:v>
      </x:c>
      <x:c r="N197" s="184" t="str">
        <x:v>Host/Studio/Application/StudioShell/Context/ResourceDocumentContextV34.cs</x:v>
      </x:c>
      <x:c r="O197" s="183" t="str">
        <x:v>V1.19旧源码类型（真实成员/实现仍待核）
V2.01：来源ID对应；处置=保留源码·公开契约复核
V7.8：V7.8同名且源文件对应；Host/Studio/Application/StudioShell/Context/ResourceDocumentContextV34.cs</x:v>
      </x:c>
      <x:c r="P197" s="136" t="str">
        <x:v>V1.19旧源码类型（真实成员/实现仍待核）</x:v>
      </x:c>
    </x:row>
    <x:row r="198" ht="72" customHeight="1">
      <x:c r="A198" s="179" t="str">
        <x:v>M37</x:v>
      </x:c>
      <x:c r="B198" s="180" t="str">
        <x:v>工程与Studio｜Editing / Studio Contribution
Studio Editing</x:v>
      </x:c>
      <x:c r="C198" s="180" t="str">
        <x:v>CxEditHistoryEntry</x:v>
      </x:c>
      <x:c r="D198" s="179" t="str">
        <x:v>增构候选·待查重</x:v>
      </x:c>
      <x:c r="E198" s="180" t="str">
        <x:v>设计：Visual历史条目</x:v>
      </x:c>
      <x:c r="F198" s="180" t="str">
        <x:v>DocumentId,BeforeRevision,AfterRevision,ChangeSet,SemanticLabel</x:v>
      </x:c>
      <x:c r="G198" s="180" t="str">
        <x:v>—</x:v>
      </x:c>
      <x:c r="H198" s="180" t="str">
        <x:v>待逐对象核实</x:v>
      </x:c>
      <x:c r="I198" s="180" t="str">
        <x:v>CxEditHistoryEntry</x:v>
      </x:c>
      <x:c r="J198" s="179" t="str">
        <x:v>sealed class</x:v>
      </x:c>
      <x:c r="K198" s="180" t="str">
        <x:v>生命周期：需定案；审核：补充类型字典</x:v>
      </x:c>
      <x:c r="L198" s="183" t="str">
        <x:v>设计候选，尚待源码验证</x:v>
      </x:c>
      <x:c r="M198" s="183" t="str">
        <x:v>R3A.M37.CxEditHistoryEntry</x:v>
      </x:c>
      <x:c r="N198" s="184"/>
      <x:c r="O198" s="183" t="str">
        <x:v>补充类型字典
V2.01：未匹配V2.01；处置=暂无可信对应
V7.8：V7.8未检出同名词法声明</x:v>
      </x:c>
      <x:c r="P198" s="136" t="str">
        <x:v>补充类型字典</x:v>
      </x:c>
    </x:row>
    <x:row r="199" ht="72" customHeight="1">
      <x:c r="A199" s="179" t="str">
        <x:v>M37</x:v>
      </x:c>
      <x:c r="B199" s="180" t="str">
        <x:v>工程与Studio｜Editing / Studio Contribution
Studio Editing</x:v>
      </x:c>
      <x:c r="C199" s="180" t="str">
        <x:v>MSEClipboardService</x:v>
      </x:c>
      <x:c r="D199" s="179" t="str">
        <x:v>增构候选·待查重</x:v>
      </x:c>
      <x:c r="E199" s="180" t="str">
        <x:v>复制粘贴</x:v>
      </x:c>
      <x:c r="F199" s="180" t="str">
        <x:v>Copy；PasteFormats；IdRewrite</x:v>
      </x:c>
      <x:c r="G199" s="180" t="str">
        <x:v>复制粘贴</x:v>
      </x:c>
      <x:c r="H199" s="180" t="str">
        <x:v>待逐对象核实</x:v>
      </x:c>
      <x:c r="I199" s="180" t="str">
        <x:v>运行对象/模型</x:v>
      </x:c>
      <x:c r="J199" s="179" t="str">
        <x:v>类/实例候选</x:v>
      </x:c>
      <x:c r="K199" s="180" t="str">
        <x:v>生命周期：Studio</x:v>
      </x:c>
      <x:c r="L199" s="183" t="str">
        <x:v>设计候选，尚待源码验证</x:v>
      </x:c>
      <x:c r="M199" s="183" t="str">
        <x:v>M37.ClipboardService</x:v>
      </x:c>
      <x:c r="N199" s="184" t="str">
        <x:v>03_能力对象!C296</x:v>
      </x:c>
      <x:c r="O199" s="183" t="str">
        <x:v>V4.9对象/属性/方法
V2.01：名称/子方面线索；处置=规划独立契约候选·未批准新增
V7.8：V7.8未检出同名词法声明</x:v>
      </x:c>
      <x:c r="P199" s="136" t="str">
        <x:v>V4.9对象/属性/方法</x:v>
      </x:c>
    </x:row>
    <x:row r="200" ht="72" customHeight="1">
      <x:c r="A200" s="179" t="str">
        <x:v>M37</x:v>
      </x:c>
      <x:c r="B200" s="180" t="str">
        <x:v>工程与Studio｜Editing / Studio Contribution
Studio Editing</x:v>
      </x:c>
      <x:c r="C200" s="180" t="str">
        <x:v>MSEContextContributionRegistry</x:v>
      </x:c>
      <x:c r="D200" s="179" t="str">
        <x:v>复用待核</x:v>
      </x:c>
      <x:c r="E200" s="180" t="str">
        <x:v>动态UI贡献</x:v>
      </x:c>
      <x:c r="F200" s="180" t="str">
        <x:v>Ribbon；Toolbox；Outline；Property；Dock Contributions</x:v>
      </x:c>
      <x:c r="G200" s="180" t="str">
        <x:v>动态UI贡献</x:v>
      </x:c>
      <x:c r="H200" s="180" t="str">
        <x:v>待逐对象核实</x:v>
      </x:c>
      <x:c r="I200" s="180" t="str">
        <x:v>运行对象/模型</x:v>
      </x:c>
      <x:c r="J200" s="179" t="str">
        <x:v>类/实例候选</x:v>
      </x:c>
      <x:c r="K200" s="180" t="str">
        <x:v>生命周期：Studio</x:v>
      </x:c>
      <x:c r="L200" s="183" t="str">
        <x:v>V7.8源码词法匹配，尚未验收</x:v>
      </x:c>
      <x:c r="M200" s="183" t="str">
        <x:v>M37.ContextContributionRegistry</x:v>
      </x:c>
      <x:c r="N200" s="184" t="str">
        <x:v>Host/Studio/Application/Studio/Contributions/ContextContributionPlatform.cs</x:v>
      </x:c>
      <x:c r="O200" s="183" t="str">
        <x:v>V4.9对象/属性/方法
V2.01：名称/子方面线索；处置=规划复用待核：不独立新增
V7.8：V7.8未检出同名词法声明</x:v>
      </x:c>
      <x:c r="P200" s="136" t="str">
        <x:v>V4.9对象/属性/方法</x:v>
      </x:c>
    </x:row>
    <x:row r="201" ht="72" customHeight="1">
      <x:c r="A201" s="179" t="str">
        <x:v>M37</x:v>
      </x:c>
      <x:c r="B201" s="180" t="str">
        <x:v>工程与Studio｜Editing / Studio Contribution
Studio Editing</x:v>
      </x:c>
      <x:c r="C201" s="180" t="str">
        <x:v>MSEDocumentHost</x:v>
      </x:c>
      <x:c r="D201" s="179" t="str">
        <x:v>增构候选·待查重</x:v>
      </x:c>
      <x:c r="E201" s="180" t="str">
        <x:v>文档宿主</x:v>
      </x:c>
      <x:c r="F201" s="180" t="str">
        <x:v>Documents；Active；Dirty；Close</x:v>
      </x:c>
      <x:c r="G201" s="180" t="str">
        <x:v>文档宿主</x:v>
      </x:c>
      <x:c r="H201" s="180" t="str">
        <x:v>待逐对象核实</x:v>
      </x:c>
      <x:c r="I201" s="180" t="str">
        <x:v>运行对象/模型</x:v>
      </x:c>
      <x:c r="J201" s="179" t="str">
        <x:v>类/实例候选</x:v>
      </x:c>
      <x:c r="K201" s="180" t="str">
        <x:v>生命周期：Studio</x:v>
      </x:c>
      <x:c r="L201" s="183" t="str">
        <x:v>设计候选，尚待源码验证</x:v>
      </x:c>
      <x:c r="M201" s="183" t="str">
        <x:v>M37.DocumentHost</x:v>
      </x:c>
      <x:c r="N201" s="184"/>
      <x:c r="O201" s="183" t="str">
        <x:v>V4.9对象/属性/方法
V2.01：未匹配V2.01；处置=暂无可信对应
V7.8：V7.8未检出同名词法声明</x:v>
      </x:c>
      <x:c r="P201" s="136" t="str">
        <x:v>V4.9对象/属性/方法</x:v>
      </x:c>
    </x:row>
    <x:row r="202" ht="72" customHeight="1">
      <x:c r="A202" s="179" t="str">
        <x:v>M37</x:v>
      </x:c>
      <x:c r="B202" s="180" t="str">
        <x:v>工程与Studio｜Editing / Studio Contribution
Studio Editing</x:v>
      </x:c>
      <x:c r="C202" s="180" t="str">
        <x:v>MSEEditorDescriptor</x:v>
      </x:c>
      <x:c r="D202" s="179" t="str">
        <x:v>增构候选·待查重</x:v>
      </x:c>
      <x:c r="E202" s="180" t="str">
        <x:v>资源→Editor</x:v>
      </x:c>
      <x:c r="F202" s="180" t="str">
        <x:v>ResourceType；EditorType；Views；Capabilities</x:v>
      </x:c>
      <x:c r="G202" s="180" t="str">
        <x:v>资源→Editor</x:v>
      </x:c>
      <x:c r="H202" s="180" t="str">
        <x:v>待逐对象核实</x:v>
      </x:c>
      <x:c r="I202" s="180" t="str">
        <x:v>运行对象/模型</x:v>
      </x:c>
      <x:c r="J202" s="179" t="str">
        <x:v>类/实例候选</x:v>
      </x:c>
      <x:c r="K202" s="180" t="str">
        <x:v>生命周期：Studio</x:v>
      </x:c>
      <x:c r="L202" s="183" t="str">
        <x:v>设计候选，尚待源码验证</x:v>
      </x:c>
      <x:c r="M202" s="183" t="str">
        <x:v>M37.EditorDescriptor</x:v>
      </x:c>
      <x:c r="N202" s="184"/>
      <x:c r="O202" s="183" t="str">
        <x:v>V4.9对象/属性/方法
V2.01：未匹配V2.01；处置=暂无可信对应
V7.8：V7.8未检出同名词法声明</x:v>
      </x:c>
      <x:c r="P202" s="136" t="str">
        <x:v>V4.9对象/属性/方法</x:v>
      </x:c>
    </x:row>
    <x:row r="203" ht="72" customHeight="1">
      <x:c r="A203" s="179" t="str">
        <x:v>M37</x:v>
      </x:c>
      <x:c r="B203" s="180" t="str">
        <x:v>工程与Studio｜Editing / Studio Contribution
Studio Editing</x:v>
      </x:c>
      <x:c r="C203" s="180" t="str">
        <x:v>MSEIEditHistorySink</x:v>
      </x:c>
      <x:c r="D203" s="179" t="str">
        <x:v>增构候选·待查重</x:v>
      </x:c>
      <x:c r="E203" s="180" t="str">
        <x:v>跨项目建议：实际历史Owner在Visual，不应由Core定义具体历史行为</x:v>
      </x:c>
      <x:c r="F203" s="180" t="str">
        <x:v>Record(DocumentId,HistoryEntry)</x:v>
      </x:c>
      <x:c r="G203" s="180" t="str">
        <x:v>—</x:v>
      </x:c>
      <x:c r="H203" s="180" t="str">
        <x:v>待逐对象核实</x:v>
      </x:c>
      <x:c r="I203" s="180" t="str">
        <x:v>IEditHistorySink</x:v>
      </x:c>
      <x:c r="J203" s="179" t="str">
        <x:v>interface</x:v>
      </x:c>
      <x:c r="K203" s="180" t="str">
        <x:v>生命周期：需定案；审核：补充类型字典</x:v>
      </x:c>
      <x:c r="L203" s="183" t="str">
        <x:v>设计候选，尚待源码验证</x:v>
      </x:c>
      <x:c r="M203" s="183" t="str">
        <x:v>R3A.M37.IEditHistorySink</x:v>
      </x:c>
      <x:c r="N203" s="184"/>
      <x:c r="O203" s="183" t="str">
        <x:v>补充类型字典
V2.01：未匹配V2.01；处置=暂无可信对应
V7.8：V7.8未检出同名词法声明</x:v>
      </x:c>
      <x:c r="P203" s="136" t="str">
        <x:v>补充类型字典</x:v>
      </x:c>
    </x:row>
    <x:row r="204" ht="72" customHeight="1">
      <x:c r="A204" s="179" t="str">
        <x:v>M37</x:v>
      </x:c>
      <x:c r="B204" s="180" t="str">
        <x:v>工程与Studio｜Editing / Studio Contribution
Studio Editing</x:v>
      </x:c>
      <x:c r="C204" s="180" t="str">
        <x:v>MSEIUndoService</x:v>
      </x:c>
      <x:c r="D204" s="179" t="str">
        <x:v>增构候选·待查重</x:v>
      </x:c>
      <x:c r="E204" s="180" t="str">
        <x:v>Undo/Redo</x:v>
      </x:c>
      <x:c r="F204" s="180" t="str">
        <x:v>Transactions；Undo；Redo</x:v>
      </x:c>
      <x:c r="G204" s="180" t="str">
        <x:v>Undo/Redo</x:v>
      </x:c>
      <x:c r="H204" s="180" t="str">
        <x:v>待逐对象核实</x:v>
      </x:c>
      <x:c r="I204" s="180" t="str">
        <x:v>IUndoService</x:v>
      </x:c>
      <x:c r="J204" s="179" t="str">
        <x:v>接口候选</x:v>
      </x:c>
      <x:c r="K204" s="180" t="str">
        <x:v>生命周期：Studio</x:v>
      </x:c>
      <x:c r="L204" s="183" t="str">
        <x:v>设计候选，尚待源码验证</x:v>
      </x:c>
      <x:c r="M204" s="183" t="str">
        <x:v>M37.IUndoService</x:v>
      </x:c>
      <x:c r="N204" s="184"/>
      <x:c r="O204" s="183" t="str">
        <x:v>V4.9对象/属性/方法
V2.01：未匹配V2.01；处置=暂无可信对应
V7.8：V7.8未检出同名词法声明</x:v>
      </x:c>
      <x:c r="P204" s="136" t="str">
        <x:v>V4.9对象/属性/方法</x:v>
      </x:c>
    </x:row>
    <x:row r="205" ht="72" customHeight="1">
      <x:c r="A205" s="179" t="str">
        <x:v>M37</x:v>
      </x:c>
      <x:c r="B205" s="180" t="str">
        <x:v>工程与Studio｜Editing / Studio Contribution
Studio Editing</x:v>
      </x:c>
      <x:c r="C205" s="180" t="str">
        <x:v>MSEStudioCommandRouter</x:v>
      </x:c>
      <x:c r="D205" s="179" t="str">
        <x:v>复用待核</x:v>
      </x:c>
      <x:c r="E205" s="180" t="str">
        <x:v>命令路由</x:v>
      </x:c>
      <x:c r="F205" s="180" t="str">
        <x:v>Commands；Bindings；CanExecute</x:v>
      </x:c>
      <x:c r="G205" s="180" t="str">
        <x:v>命令路由</x:v>
      </x:c>
      <x:c r="H205" s="180" t="str">
        <x:v>待逐对象核实</x:v>
      </x:c>
      <x:c r="I205" s="180" t="str">
        <x:v>运行对象/模型</x:v>
      </x:c>
      <x:c r="J205" s="179" t="str">
        <x:v>类/实例候选</x:v>
      </x:c>
      <x:c r="K205" s="180" t="str">
        <x:v>生命周期：Studio</x:v>
      </x:c>
      <x:c r="L205" s="183" t="str">
        <x:v>V7.8源码词法匹配，尚未验收</x:v>
      </x:c>
      <x:c r="M205" s="183" t="str">
        <x:v>M37.StudioCommandRouter</x:v>
      </x:c>
      <x:c r="N205" s="184" t="str">
        <x:v>Host/Studio/Application/StudioShell/Commands/StudioCommandModel.cs</x:v>
      </x:c>
      <x:c r="O205" s="183" t="str">
        <x:v>V4.9对象/属性/方法
V2.01：未匹配V2.01；处置=暂无可信对应
V7.8：V7.8未检出同名词法声明</x:v>
      </x:c>
      <x:c r="P205" s="136" t="str">
        <x:v>V4.9对象/属性/方法</x:v>
      </x:c>
    </x:row>
    <x:row r="206" ht="72" customHeight="1">
      <x:c r="A206" s="179" t="str">
        <x:v>M37</x:v>
      </x:c>
      <x:c r="B206" s="180" t="str">
        <x:v>工程与Studio｜Editing / Studio Contribution
Studio Editing</x:v>
      </x:c>
      <x:c r="C206" s="180" t="str">
        <x:v>MSEStudioContext</x:v>
      </x:c>
      <x:c r="D206" s="179" t="str">
        <x:v>增构候选·待查重</x:v>
      </x:c>
      <x:c r="E206" s="180" t="str">
        <x:v>统一上下文</x:v>
      </x:c>
      <x:c r="F206" s="180" t="str">
        <x:v>Project；Workbench；Resource；Selection；RunMode</x:v>
      </x:c>
      <x:c r="G206" s="180" t="str">
        <x:v>统一上下文</x:v>
      </x:c>
      <x:c r="H206" s="180" t="str">
        <x:v>待逐对象核实</x:v>
      </x:c>
      <x:c r="I206" s="180" t="str">
        <x:v>运行对象/模型</x:v>
      </x:c>
      <x:c r="J206" s="179" t="str">
        <x:v>类/实例候选</x:v>
      </x:c>
      <x:c r="K206" s="180" t="str">
        <x:v>生命周期：Studio</x:v>
      </x:c>
      <x:c r="L206" s="183" t="str">
        <x:v>设计候选，尚待源码验证</x:v>
      </x:c>
      <x:c r="M206" s="183" t="str">
        <x:v>M37.StudioContext</x:v>
      </x:c>
      <x:c r="N206" s="184"/>
      <x:c r="O206" s="183" t="str">
        <x:v>V4.9对象/属性/方法
V2.01：未匹配V2.01；处置=暂无可信对应
V7.8：V7.8未检出同名词法声明</x:v>
      </x:c>
      <x:c r="P206" s="136" t="str">
        <x:v>V4.9对象/属性/方法</x:v>
      </x:c>
    </x:row>
    <x:row r="207" ht="72" customHeight="1">
      <x:c r="A207" s="179" t="str">
        <x:v>M37</x:v>
      </x:c>
      <x:c r="B207" s="180" t="str">
        <x:v>工程与Studio｜Editing / Studio Contribution
Studio Editing</x:v>
      </x:c>
      <x:c r="C207" s="180" t="str">
        <x:v>MSEWorkspaceLayout</x:v>
      </x:c>
      <x:c r="D207" s="179" t="str">
        <x:v>增构候选·待查重</x:v>
      </x:c>
      <x:c r="E207" s="180" t="str">
        <x:v>布局保存</x:v>
      </x:c>
      <x:c r="F207" s="180" t="str">
        <x:v>DockPositions；Visibility；Size</x:v>
      </x:c>
      <x:c r="G207" s="180" t="str">
        <x:v>布局保存</x:v>
      </x:c>
      <x:c r="H207" s="180" t="str">
        <x:v>待逐对象核实</x:v>
      </x:c>
      <x:c r="I207" s="180" t="str">
        <x:v>运行对象/模型</x:v>
      </x:c>
      <x:c r="J207" s="179" t="str">
        <x:v>类/实例候选</x:v>
      </x:c>
      <x:c r="K207" s="180" t="str">
        <x:v>生命周期：Studio</x:v>
      </x:c>
      <x:c r="L207" s="183" t="str">
        <x:v>设计候选，尚待源码验证</x:v>
      </x:c>
      <x:c r="M207" s="183" t="str">
        <x:v>M37.WorkspaceLayout</x:v>
      </x:c>
      <x:c r="N207" s="184"/>
      <x:c r="O207" s="183" t="str">
        <x:v>V4.9对象/属性/方法
V2.01：未匹配V2.01；处置=暂无可信对应
V7.8：V7.8未检出同名词法声明</x:v>
      </x:c>
      <x:c r="P207" s="136" t="str">
        <x:v>V4.9对象/属性/方法</x:v>
      </x:c>
    </x:row>
    <x:row r="208" ht="72" customHeight="1">
      <x:c r="A208" s="179" t="str">
        <x:v>M37</x:v>
      </x:c>
      <x:c r="B208" s="180" t="str">
        <x:v>工程与Studio｜Editing / Studio Contribution
Studio Editing</x:v>
      </x:c>
      <x:c r="C208" s="180" t="str">
        <x:v>CxPointerInput</x:v>
      </x:c>
      <x:c r="D208" s="179" t="str">
        <x:v>增构候选·待查重</x:v>
      </x:c>
      <x:c r="E208" s="180" t="str">
        <x:v>归一化鼠标/触控输入；避免WPF类型泄漏Visual</x:v>
      </x:c>
      <x:c r="F208" s="180" t="str">
        <x:v>Kind · Position · Buttons · Modifiers</x:v>
      </x:c>
      <x:c r="G208" s="180" t="str">
        <x:v>只读输入值</x:v>
      </x:c>
      <x:c r="H208" s="180" t="str">
        <x:v>待逐对象核实</x:v>
      </x:c>
      <x:c r="I208" s="180" t="str">
        <x:v>R3-B深化建议</x:v>
      </x:c>
      <x:c r="J208" s="179" t="str">
        <x:v>readonly struct</x:v>
      </x:c>
      <x:c r="K208" s="180" t="str">
        <x:v>生命周期：Session/Immutable/View；审核：补充类型字典</x:v>
      </x:c>
      <x:c r="L208" s="183" t="str">
        <x:v>设计候选，尚待源码验证</x:v>
      </x:c>
      <x:c r="M208" s="183" t="str">
        <x:v>R3B.M37.CxPointerInput</x:v>
      </x:c>
      <x:c r="N208" s="184"/>
      <x:c r="O208" s="183" t="str">
        <x:v>补充类型字典
V2.01：未匹配V2.01；处置=暂无可信对应
V7.8：V7.8未检出同名词法声明</x:v>
      </x:c>
      <x:c r="P208" s="136" t="str">
        <x:v>补充类型字典</x:v>
      </x:c>
    </x:row>
    <x:row r="209" ht="72" customHeight="1">
      <x:c r="A209" s="179" t="str">
        <x:v>M37</x:v>
      </x:c>
      <x:c r="B209" s="180" t="str">
        <x:v>工程与Studio｜Editing / Studio Contribution
Studio Editing</x:v>
      </x:c>
      <x:c r="C209" s="180" t="str">
        <x:v>CxVisualEditContext</x:v>
      </x:c>
      <x:c r="D209" s="179" t="str">
        <x:v>增构候选·待查重</x:v>
      </x:c>
      <x:c r="E209" s="180" t="str">
        <x:v>编辑命令执行上下文；持有Core数据变更门面及视图会话引用</x:v>
      </x:c>
      <x:c r="F209" s="180" t="str">
        <x:v>DocumentId · ExpectedRevision · Selection</x:v>
      </x:c>
      <x:c r="G209" s="180" t="str">
        <x:v>Apply</x:v>
      </x:c>
      <x:c r="H209" s="180" t="str">
        <x:v>待逐对象核实</x:v>
      </x:c>
      <x:c r="I209" s="180" t="str">
        <x:v>R3-B深化建议</x:v>
      </x:c>
      <x:c r="J209" s="179" t="str">
        <x:v>sealed class</x:v>
      </x:c>
      <x:c r="K209" s="180" t="str">
        <x:v>生命周期：Session/Immutable/View；审核：补充类型字典</x:v>
      </x:c>
      <x:c r="L209" s="183" t="str">
        <x:v>设计候选，尚待源码验证</x:v>
      </x:c>
      <x:c r="M209" s="183" t="str">
        <x:v>R3B.M37.CxVisualEditContext</x:v>
      </x:c>
      <x:c r="N209" s="184"/>
      <x:c r="O209" s="183" t="str">
        <x:v>补充类型字典
V2.01：未匹配V2.01；处置=暂无可信对应
V7.8：V7.8未检出同名词法声明</x:v>
      </x:c>
      <x:c r="P209" s="136" t="str">
        <x:v>补充类型字典</x:v>
      </x:c>
    </x:row>
    <x:row r="210" ht="72" customHeight="1">
      <x:c r="A210" s="179" t="str">
        <x:v>M37</x:v>
      </x:c>
      <x:c r="B210" s="180" t="str">
        <x:v>工程与Studio｜Editing / Studio Contribution
Studio Editing</x:v>
      </x:c>
      <x:c r="C210" s="180" t="str">
        <x:v>CxVisualEditSession</x:v>
      </x:c>
      <x:c r="D210" s="179" t="str">
        <x:v>增构候选·待查重</x:v>
      </x:c>
      <x:c r="E210" s="180" t="str">
        <x:v>可视编辑手势、拖动预览、操作提交与取消</x:v>
      </x:c>
      <x:c r="F210" s="180" t="str">
        <x:v>Tool · Interaction · PendingCommand</x:v>
      </x:c>
      <x:c r="G210" s="180" t="str">
        <x:v>Begin · Update · Commit · Cancel</x:v>
      </x:c>
      <x:c r="H210" s="180" t="str">
        <x:v>待逐对象核实</x:v>
      </x:c>
      <x:c r="I210" s="180" t="str">
        <x:v>R3-B深化建议</x:v>
      </x:c>
      <x:c r="J210" s="179" t="str">
        <x:v>sealed class</x:v>
      </x:c>
      <x:c r="K210" s="180" t="str">
        <x:v>生命周期：Session/Immutable/View；审核：补充类型字典</x:v>
      </x:c>
      <x:c r="L210" s="183" t="str">
        <x:v>设计候选，尚待源码验证</x:v>
      </x:c>
      <x:c r="M210" s="183" t="str">
        <x:v>R3B.M37.CxVisualEditSession</x:v>
      </x:c>
      <x:c r="N210" s="184"/>
      <x:c r="O210" s="183" t="str">
        <x:v>补充类型字典
V2.01：未匹配V2.01；处置=暂无可信对应
V7.8：V7.8未检出同名词法声明</x:v>
      </x:c>
      <x:c r="P210" s="136" t="str">
        <x:v>补充类型字典</x:v>
      </x:c>
    </x:row>
    <x:row r="211" ht="72" customHeight="1">
      <x:c r="A211" s="179" t="str">
        <x:v>M37</x:v>
      </x:c>
      <x:c r="B211" s="180" t="str">
        <x:v>工程与Studio｜Editing / Studio Contribution
Studio Editing</x:v>
      </x:c>
      <x:c r="C211" s="180" t="str">
        <x:v>CxVisualUndoHistory</x:v>
      </x:c>
      <x:c r="D211" s="179" t="str">
        <x:v>增构候选·待查重</x:v>
      </x:c>
      <x:c r="E211" s="180" t="str">
        <x:v>每文档编辑历史、跨对象复合变更撤销重做及Revision冲突处理</x:v>
      </x:c>
      <x:c r="F211" s="180" t="str">
        <x:v>CanUndo · CanRedo · Entries</x:v>
      </x:c>
      <x:c r="G211" s="180" t="str">
        <x:v>Record · TryUndo · TryRedo</x:v>
      </x:c>
      <x:c r="H211" s="180" t="str">
        <x:v>待逐对象核实</x:v>
      </x:c>
      <x:c r="I211" s="180" t="str">
        <x:v>R3-B深化建议</x:v>
      </x:c>
      <x:c r="J211" s="179" t="str">
        <x:v>sealed class</x:v>
      </x:c>
      <x:c r="K211" s="180" t="str">
        <x:v>生命周期：Session/Immutable/View；审核：补充类型字典</x:v>
      </x:c>
      <x:c r="L211" s="183" t="str">
        <x:v>设计候选，尚待源码验证</x:v>
      </x:c>
      <x:c r="M211" s="183" t="str">
        <x:v>R3B.M37.CxVisualUndoHistory</x:v>
      </x:c>
      <x:c r="N211" s="184"/>
      <x:c r="O211" s="183" t="str">
        <x:v>补充类型字典
V2.01：未匹配V2.01；处置=暂无可信对应
V7.8：V7.8未检出同名词法声明</x:v>
      </x:c>
      <x:c r="P211" s="136" t="str">
        <x:v>补充类型字典</x:v>
      </x:c>
    </x:row>
    <x:row r="212" ht="72" customHeight="1">
      <x:c r="A212" s="179" t="str">
        <x:v>M37</x:v>
      </x:c>
      <x:c r="B212" s="180" t="str">
        <x:v>工程与Studio｜Editing / Studio Contribution
Studio Editing</x:v>
      </x:c>
      <x:c r="C212" s="180" t="str">
        <x:v>ICxVisualEditCommand</x:v>
      </x:c>
      <x:c r="D212" s="179" t="str">
        <x:v>增构候选·待查重</x:v>
      </x:c>
      <x:c r="E212" s="180" t="str">
        <x:v>可视编辑语义以及正反变更计划，不处理WPF事件</x:v>
      </x:c>
      <x:c r="F212" s="180" t="str">
        <x:v>CommandId · SemanticLabel</x:v>
      </x:c>
      <x:c r="G212" s="180" t="str">
        <x:v>Prepare · CreateForwardBatch · CreateInverseBatch</x:v>
      </x:c>
      <x:c r="H212" s="180" t="str">
        <x:v>待逐对象核实</x:v>
      </x:c>
      <x:c r="I212" s="180" t="str">
        <x:v>R3-B深化建议</x:v>
      </x:c>
      <x:c r="J212" s="179" t="str">
        <x:v>interface</x:v>
      </x:c>
      <x:c r="K212" s="180" t="str">
        <x:v>生命周期：Session/Immutable/View；审核：补充类型字典</x:v>
      </x:c>
      <x:c r="L212" s="183" t="str">
        <x:v>设计候选，尚待源码验证</x:v>
      </x:c>
      <x:c r="M212" s="183" t="str">
        <x:v>R3B.M37.ICxVisualEditCommand</x:v>
      </x:c>
      <x:c r="N212" s="184"/>
      <x:c r="O212" s="183" t="str">
        <x:v>补充类型字典
V2.01：未匹配V2.01；处置=暂无可信对应
V7.8：V7.8未检出同名词法声明</x:v>
      </x:c>
      <x:c r="P212" s="136" t="str">
        <x:v>补充类型字典</x:v>
      </x:c>
    </x:row>
  </x:sheetData>
  <x:mergeCells>
    <x:mergeCell ref="A6:A109"/>
    <x:mergeCell ref="A110:A156"/>
    <x:mergeCell ref="A157:A212"/>
    <x:mergeCell ref="A1:P1"/>
    <x:mergeCell ref="A2:P2"/>
    <x:mergeCell ref="A3:P3"/>
    <x:mergeCell ref="A4:P4"/>
    <x:mergeCell ref="B6:B109"/>
    <x:mergeCell ref="B110:B156"/>
    <x:mergeCell ref="B157:B212"/>
  </x:mergeCells>
  <x:pageMargins left="0.7" right="0.7" top="0.75" bottom="0.75" header="0.3" footer="0.3"/>
</x:worksheet>
</file>

<file path=xl/worksheets/sheet1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CxVisual.Mechanism.Orchestration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子方面：M18、M19、M20、M21、M22、M23、M24、M25｜来源：V1.19旧类型 + V4.9对象 + V7.8源码 + V5.0/R3架构裁决｜本项目 68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M18</x:v>
      </x:c>
      <x:c r="B6" s="180" t="str">
        <x:v>编排与执行｜统一节点拓扑与编排关系
Node Topology</x:v>
      </x:c>
      <x:c r="C6" s="180" t="str">
        <x:v>MNTContentInvocationTopology</x:v>
      </x:c>
      <x:c r="D6" s="179" t="str">
        <x:v>增构候选·待查重</x:v>
      </x:c>
      <x:c r="E6" s="180" t="str">
        <x:v>嵌套复用通过Content/ContentRef/Invocation而不是SubGraphDefinition</x:v>
      </x:c>
      <x:c r="F6" s="180" t="str">
        <x:v>InnerGraph；PublicMapping</x:v>
      </x:c>
      <x:c r="G6" s="180" t="str">
        <x:v>子图</x:v>
      </x:c>
      <x:c r="H6" s="180" t="str">
        <x:v>待逐对象核实</x:v>
      </x:c>
      <x:c r="I6" s="180" t="str">
        <x:v>ContentInvocationTopology</x:v>
      </x:c>
      <x:c r="J6" s="179" t="str">
        <x:v>类/实例候选</x:v>
      </x:c>
      <x:c r="K6" s="180" t="str">
        <x:v>生命周期：Resolved</x:v>
      </x:c>
      <x:c r="L6" s="183" t="str">
        <x:v>设计候选，尚待源码验证</x:v>
      </x:c>
      <x:c r="M6" s="183" t="str">
        <x:v>M18.ContentInvocationTopology</x:v>
      </x:c>
      <x:c r="N6" s="184"/>
      <x:c r="O6" s="183" t="str">
        <x:v>V4.9对象/属性/方法
V2.01：未匹配V2.01；处置=暂无可信对应
V7.8：V7.8未检出同名词法声明</x:v>
      </x:c>
      <x:c r="P6" s="136" t="str">
        <x:v>V4.9对象/属性/方法</x:v>
      </x:c>
      <x:c r="Q6"/>
      <x:c r="R6"/>
      <x:c r="S6"/>
    </x:row>
    <x:row r="7" ht="72" customHeight="1">
      <x:c r="A7" s="179" t="str">
        <x:v>M18</x:v>
      </x:c>
      <x:c r="B7" s="180" t="str">
        <x:v>编排与执行｜统一节点拓扑与编排关系
Node Topology</x:v>
      </x:c>
      <x:c r="C7" s="180" t="str">
        <x:v>MNTDiagramConnectionProjection</x:v>
      </x:c>
      <x:c r="D7" s="179" t="str">
        <x:v>增构候选·待查重</x:v>
      </x:c>
      <x:c r="E7" s="180" t="str">
        <x:v>连线显示投影引用统一Connection，不再有独立GraphEdge持久化真源</x:v>
      </x:c>
      <x:c r="F7" s="180" t="str">
        <x:v>Source；Target；Metadata；Condition</x:v>
      </x:c>
      <x:c r="G7" s="180" t="str">
        <x:v>节点连线</x:v>
      </x:c>
      <x:c r="H7" s="180" t="str">
        <x:v>待逐对象核实</x:v>
      </x:c>
      <x:c r="I7" s="180" t="str">
        <x:v>DiagramConnectionProjection</x:v>
      </x:c>
      <x:c r="J7" s="179" t="str">
        <x:v>类/实例候选</x:v>
      </x:c>
      <x:c r="K7" s="180" t="str">
        <x:v>生命周期：Studio</x:v>
      </x:c>
      <x:c r="L7" s="183" t="str">
        <x:v>设计候选，尚待源码验证</x:v>
      </x:c>
      <x:c r="M7" s="183" t="str">
        <x:v>M18.DiagramConnectionProjection</x:v>
      </x:c>
      <x:c r="N7" s="184"/>
      <x:c r="O7" s="183" t="str">
        <x:v>V4.9对象/属性/方法
V2.01：未匹配V2.01；处置=暂无可信对应
V7.8：V7.8未检出同名词法声明</x:v>
      </x:c>
      <x:c r="P7" s="136" t="str">
        <x:v>V4.9对象/属性/方法</x:v>
      </x:c>
      <x:c r="Q7"/>
      <x:c r="R7"/>
      <x:c r="S7"/>
    </x:row>
    <x:row r="8" ht="72" customHeight="1">
      <x:c r="A8" s="179" t="str">
        <x:v>M18</x:v>
      </x:c>
      <x:c r="B8" s="180" t="str">
        <x:v>编排与执行｜统一节点拓扑与编排关系
Node Topology</x:v>
      </x:c>
      <x:c r="C8" s="180" t="str">
        <x:v>MNTDiagramNodeProjection</x:v>
      </x:c>
      <x:c r="D8" s="179" t="str">
        <x:v>增构候选·待查重</x:v>
      </x:c>
      <x:c r="E8" s="180" t="str">
        <x:v>仅为可视化节点；真实定义仍为Content/Element/Port</x:v>
      </x:c>
      <x:c r="F8" s="180" t="str">
        <x:v>NodeTypeId；Properties；Ports；Layout</x:v>
      </x:c>
      <x:c r="G8" s="180" t="str">
        <x:v>节点实例</x:v>
      </x:c>
      <x:c r="H8" s="180" t="str">
        <x:v>待逐对象核实</x:v>
      </x:c>
      <x:c r="I8" s="180" t="str">
        <x:v>DiagramNodeProjection</x:v>
      </x:c>
      <x:c r="J8" s="179" t="str">
        <x:v>类/实例候选</x:v>
      </x:c>
      <x:c r="K8" s="180" t="str">
        <x:v>生命周期：Studio</x:v>
      </x:c>
      <x:c r="L8" s="183" t="str">
        <x:v>设计候选，尚待源码验证</x:v>
      </x:c>
      <x:c r="M8" s="183" t="str">
        <x:v>M18.DiagramNodeProjection</x:v>
      </x:c>
      <x:c r="N8" s="184"/>
      <x:c r="O8" s="183" t="str">
        <x:v>V4.9对象/属性/方法
V2.01：未匹配V2.01；处置=暂无可信对应
V7.8：V7.8未检出同名词法声明</x:v>
      </x:c>
      <x:c r="P8" s="136" t="str">
        <x:v>V4.9对象/属性/方法</x:v>
      </x:c>
      <x:c r="Q8"/>
      <x:c r="R8"/>
      <x:c r="S8"/>
    </x:row>
    <x:row r="9" ht="72" customHeight="1">
      <x:c r="A9" s="179" t="str">
        <x:v>M18</x:v>
      </x:c>
      <x:c r="B9" s="180" t="str">
        <x:v>编排与执行｜统一节点拓扑与编排关系
Node Topology</x:v>
      </x:c>
      <x:c r="C9" s="180" t="str">
        <x:v>MNTDiagramPortProjection</x:v>
      </x:c>
      <x:c r="D9" s="179" t="str">
        <x:v>增构候选·待查重</x:v>
      </x:c>
      <x:c r="E9" s="180" t="str">
        <x:v>仅渲染公共Port契约，不新增第二套Port模型</x:v>
      </x:c>
      <x:c r="F9" s="180" t="str">
        <x:v>PortDescriptorRef；Overrides</x:v>
      </x:c>
      <x:c r="G9" s="180" t="str">
        <x:v>Node端口</x:v>
      </x:c>
      <x:c r="H9" s="180" t="str">
        <x:v>待逐对象核实</x:v>
      </x:c>
      <x:c r="I9" s="180" t="str">
        <x:v>DiagramPortProjection</x:v>
      </x:c>
      <x:c r="J9" s="179" t="str">
        <x:v>类/实例候选</x:v>
      </x:c>
      <x:c r="K9" s="180" t="str">
        <x:v>生命周期：Studio</x:v>
      </x:c>
      <x:c r="L9" s="183" t="str">
        <x:v>设计候选，尚待源码验证</x:v>
      </x:c>
      <x:c r="M9" s="183" t="str">
        <x:v>M18.DiagramPortProjection</x:v>
      </x:c>
      <x:c r="N9" s="184"/>
      <x:c r="O9" s="183" t="str">
        <x:v>V4.9对象/属性/方法
V2.01：未匹配V2.01；处置=暂无可信对应
V7.8：V7.8未检出同名词法声明</x:v>
      </x:c>
      <x:c r="P9" s="136" t="str">
        <x:v>V4.9对象/属性/方法</x:v>
      </x:c>
      <x:c r="Q9"/>
      <x:c r="R9"/>
      <x:c r="S9"/>
    </x:row>
    <x:row r="10" ht="72" customHeight="1">
      <x:c r="A10" s="179" t="str">
        <x:v>M18</x:v>
      </x:c>
      <x:c r="B10" s="180" t="str">
        <x:v>编排与执行｜统一节点拓扑与编排关系
Node Topology</x:v>
      </x:c>
      <x:c r="C10" s="180" t="str">
        <x:v>MNTFlowTopologyProjection</x:v>
      </x:c>
      <x:c r="D10" s="179" t="str">
        <x:v>增构候选·待查重</x:v>
      </x:c>
      <x:c r="E10" s="180" t="str">
        <x:v>仅从CxNode/Content结构生成编辑投影，非独立持久化Graph定义</x:v>
      </x:c>
      <x:c r="F10" s="180" t="str">
        <x:v>Id；ExecutionModel；Nodes；Edges；Inputs；Outputs；Parameters；Version</x:v>
      </x:c>
      <x:c r="G10" s="180" t="str">
        <x:v>静态图</x:v>
      </x:c>
      <x:c r="H10" s="180" t="str">
        <x:v>待逐对象核实</x:v>
      </x:c>
      <x:c r="I10" s="180" t="str">
        <x:v>FlowTopologyProjection</x:v>
      </x:c>
      <x:c r="J10" s="179" t="str">
        <x:v>类/实例候选</x:v>
      </x:c>
      <x:c r="K10" s="180" t="str">
        <x:v>生命周期：Studio</x:v>
      </x:c>
      <x:c r="L10" s="183" t="str">
        <x:v>设计候选，尚待源码验证</x:v>
      </x:c>
      <x:c r="M10" s="183" t="str">
        <x:v>M18.FlowTopologyProjection</x:v>
      </x:c>
      <x:c r="N10" s="184"/>
      <x:c r="O10" s="183" t="str">
        <x:v>V4.9对象/属性/方法
V2.01：未匹配V2.01；处置=暂无可信对应
V7.8：V7.8未检出同名词法声明</x:v>
      </x:c>
      <x:c r="P10" s="136" t="str">
        <x:v>V4.9对象/属性/方法</x:v>
      </x:c>
      <x:c r="Q10"/>
      <x:c r="R10"/>
      <x:c r="S10"/>
    </x:row>
    <x:row r="11" ht="72" customHeight="1">
      <x:c r="A11" s="179" t="str">
        <x:v>M18</x:v>
      </x:c>
      <x:c r="B11" s="180" t="str">
        <x:v>编排与执行｜统一节点拓扑与编排关系
Node Topology</x:v>
      </x:c>
      <x:c r="C11" s="180" t="str">
        <x:v>MNTIOperationDescriptorFactory</x:v>
      </x:c>
      <x:c r="D11" s="179" t="str">
        <x:v>增构候选·待查重</x:v>
      </x:c>
      <x:c r="E11" s="180" t="str">
        <x:v>只提供专业Descriptor注册与Editor创建，不拥有业务Graph定义</x:v>
      </x:c>
      <x:c r="F11" s="180" t="str">
        <x:v>Create；Deserialize</x:v>
      </x:c>
      <x:c r="G11" s="180" t="str">
        <x:v>Node创建</x:v>
      </x:c>
      <x:c r="H11" s="180" t="str">
        <x:v>待逐对象核实</x:v>
      </x:c>
      <x:c r="I11" s="180" t="str">
        <x:v>IOperationDescriptorFactory</x:v>
      </x:c>
      <x:c r="J11" s="179" t="str">
        <x:v>接口候选</x:v>
      </x:c>
      <x:c r="K11" s="180" t="str">
        <x:v>生命周期：Studio</x:v>
      </x:c>
      <x:c r="L11" s="183" t="str">
        <x:v>设计候选，尚待源码验证</x:v>
      </x:c>
      <x:c r="M11" s="183" t="str">
        <x:v>M18.IOperationDescriptorFactory</x:v>
      </x:c>
      <x:c r="N11" s="184"/>
      <x:c r="O11" s="183" t="str">
        <x:v>V4.9对象/属性/方法
V2.01：未匹配V2.01；处置=暂无可信对应
V7.8：V7.8未检出同名词法声明</x:v>
      </x:c>
      <x:c r="P11" s="136" t="str">
        <x:v>V4.9对象/属性/方法</x:v>
      </x:c>
      <x:c r="Q11"/>
      <x:c r="R11"/>
      <x:c r="S11"/>
    </x:row>
    <x:row r="12" ht="72" customHeight="1">
      <x:c r="A12" s="179" t="str">
        <x:v>M18</x:v>
      </x:c>
      <x:c r="B12" s="180" t="str">
        <x:v>编排与执行｜统一节点拓扑与编排关系
Node Topology</x:v>
      </x:c>
      <x:c r="C12" s="180" t="str">
        <x:v>MNTOperationNodeDescriptor</x:v>
      </x:c>
      <x:c r="D12" s="179" t="str">
        <x:v>增构候选·待查重</x:v>
      </x:c>
      <x:c r="E12" s="180" t="str">
        <x:v>对应具体专业Operation描述，非万能GraphNode模型</x:v>
      </x:c>
      <x:c r="F12" s="180" t="str">
        <x:v>NodeTypeId；Category；Ports；Properties；Icon；Compiler；Runtime</x:v>
      </x:c>
      <x:c r="G12" s="180" t="str">
        <x:v>专业Node元数据</x:v>
      </x:c>
      <x:c r="H12" s="180" t="str">
        <x:v>待逐对象核实</x:v>
      </x:c>
      <x:c r="I12" s="180" t="str">
        <x:v>运行对象/模型</x:v>
      </x:c>
      <x:c r="J12" s="179" t="str">
        <x:v>类/实例候选</x:v>
      </x:c>
      <x:c r="K12" s="180" t="str">
        <x:v>生命周期：Definition</x:v>
      </x:c>
      <x:c r="L12" s="183" t="str">
        <x:v>设计候选，尚待源码验证</x:v>
      </x:c>
      <x:c r="M12" s="183" t="str">
        <x:v>M18.OperationNodeDescriptor</x:v>
      </x:c>
      <x:c r="N12" s="184"/>
      <x:c r="O12" s="183" t="str">
        <x:v>V4.9对象/属性/方法
V2.01：未匹配V2.01；处置=暂无可信对应
V7.8：V7.8未检出同名词法声明</x:v>
      </x:c>
      <x:c r="P12" s="136" t="str">
        <x:v>V4.9对象/属性/方法</x:v>
      </x:c>
      <x:c r="Q12"/>
      <x:c r="R12"/>
      <x:c r="S12"/>
    </x:row>
    <x:row r="13" ht="72" customHeight="1">
      <x:c r="A13" s="179" t="str">
        <x:v>M19</x:v>
      </x:c>
      <x:c r="B13" s="180" t="str">
        <x:v>编排与执行｜ControlFlow
Control Flow</x:v>
      </x:c>
      <x:c r="C13" s="180" t="str">
        <x:v>MCFBranchDefinition</x:v>
      </x:c>
      <x:c r="D13" s="179" t="str">
        <x:v>增构候选·待查重</x:v>
      </x:c>
      <x:c r="E13" s="180" t="str">
        <x:v>条件分支</x:v>
      </x:c>
      <x:c r="F13" s="180" t="str">
        <x:v>Condition；True；False</x:v>
      </x:c>
      <x:c r="G13" s="180" t="str">
        <x:v>条件分支</x:v>
      </x:c>
      <x:c r="H13" s="180" t="str">
        <x:v>待逐对象核实</x:v>
      </x:c>
      <x:c r="I13" s="180" t="str">
        <x:v>BranchDefinition</x:v>
      </x:c>
      <x:c r="J13" s="179" t="str">
        <x:v>类/实例候选</x:v>
      </x:c>
      <x:c r="K13" s="180" t="str">
        <x:v>生命周期：Definition</x:v>
      </x:c>
      <x:c r="L13" s="183" t="str">
        <x:v>设计候选，尚待源码验证</x:v>
      </x:c>
      <x:c r="M13" s="183" t="str">
        <x:v>M19.BranchDefinition</x:v>
      </x:c>
      <x:c r="N13" s="184"/>
      <x:c r="O13" s="183" t="str">
        <x:v>V4.9对象/属性/方法
V2.01：未匹配V2.01；处置=暂无可信对应
V7.8：V7.8未检出同名词法声明</x:v>
      </x:c>
      <x:c r="P13" s="136" t="str">
        <x:v>V4.9对象/属性/方法</x:v>
      </x:c>
      <x:c r="Q13"/>
      <x:c r="R13"/>
      <x:c r="S13"/>
    </x:row>
    <x:row r="14" ht="72" customHeight="1">
      <x:c r="A14" s="179" t="str">
        <x:v>M19</x:v>
      </x:c>
      <x:c r="B14" s="180" t="str">
        <x:v>编排与执行｜ControlFlow
Control Flow</x:v>
      </x:c>
      <x:c r="C14" s="180" t="str">
        <x:v>MCFControlFlowDefinition</x:v>
      </x:c>
      <x:c r="D14" s="179" t="str">
        <x:v>增构候选·待查重</x:v>
      </x:c>
      <x:c r="E14" s="180" t="str">
        <x:v>控制流ExecutionModel</x:v>
      </x:c>
      <x:c r="F14" s="180" t="str">
        <x:v>Entry；Exit；ControlNodes</x:v>
      </x:c>
      <x:c r="G14" s="180" t="str">
        <x:v>控制流ExecutionModel</x:v>
      </x:c>
      <x:c r="H14" s="180" t="str">
        <x:v>待逐对象核实</x:v>
      </x:c>
      <x:c r="I14" s="180" t="str">
        <x:v>ControlFlowDefinition</x:v>
      </x:c>
      <x:c r="J14" s="179" t="str">
        <x:v>类/实例候选</x:v>
      </x:c>
      <x:c r="K14" s="180" t="str">
        <x:v>生命周期：Definition</x:v>
      </x:c>
      <x:c r="L14" s="183" t="str">
        <x:v>设计候选，尚待源码验证</x:v>
      </x:c>
      <x:c r="M14" s="183" t="str">
        <x:v>M19.ControlFlowDefinition</x:v>
      </x:c>
      <x:c r="N14" s="184"/>
      <x:c r="O14" s="183" t="str">
        <x:v>V4.9对象/属性/方法
V2.01：未匹配V2.01；处置=暂无可信对应
V7.8：V7.8未检出同名词法声明</x:v>
      </x:c>
      <x:c r="P14" s="136" t="str">
        <x:v>V4.9对象/属性/方法</x:v>
      </x:c>
      <x:c r="Q14"/>
      <x:c r="R14"/>
      <x:c r="S14"/>
    </x:row>
    <x:row r="15" ht="72" customHeight="1">
      <x:c r="A15" s="179" t="str">
        <x:v>M19</x:v>
      </x:c>
      <x:c r="B15" s="180" t="str">
        <x:v>编排与执行｜ControlFlow
Control Flow</x:v>
      </x:c>
      <x:c r="C15" s="180" t="str">
        <x:v>MCFLoopDefinition</x:v>
      </x:c>
      <x:c r="D15" s="179" t="str">
        <x:v>增构候选·待查重</x:v>
      </x:c>
      <x:c r="E15" s="180" t="str">
        <x:v>循环</x:v>
      </x:c>
      <x:c r="F15" s="180" t="str">
        <x:v>Kind；Condition；Iterator；MaxIterations</x:v>
      </x:c>
      <x:c r="G15" s="180" t="str">
        <x:v>循环</x:v>
      </x:c>
      <x:c r="H15" s="180" t="str">
        <x:v>待逐对象核实</x:v>
      </x:c>
      <x:c r="I15" s="180" t="str">
        <x:v>LoopDefinition</x:v>
      </x:c>
      <x:c r="J15" s="179" t="str">
        <x:v>类/实例候选</x:v>
      </x:c>
      <x:c r="K15" s="180" t="str">
        <x:v>生命周期：Definition</x:v>
      </x:c>
      <x:c r="L15" s="183" t="str">
        <x:v>设计候选，尚待源码验证</x:v>
      </x:c>
      <x:c r="M15" s="183" t="str">
        <x:v>M19.LoopDefinition</x:v>
      </x:c>
      <x:c r="N15" s="184"/>
      <x:c r="O15" s="183" t="str">
        <x:v>V4.9对象/属性/方法
V2.01：未匹配V2.01；处置=暂无可信对应
V7.8：V7.8未检出同名词法声明</x:v>
      </x:c>
      <x:c r="P15" s="136" t="str">
        <x:v>V4.9对象/属性/方法</x:v>
      </x:c>
      <x:c r="Q15"/>
      <x:c r="R15"/>
      <x:c r="S15"/>
    </x:row>
    <x:row r="16" ht="72" customHeight="1">
      <x:c r="A16" s="179" t="str">
        <x:v>M19</x:v>
      </x:c>
      <x:c r="B16" s="180" t="str">
        <x:v>编排与执行｜ControlFlow
Control Flow</x:v>
      </x:c>
      <x:c r="C16" s="180" t="str">
        <x:v>MCFParallelDefinition</x:v>
      </x:c>
      <x:c r="D16" s="179" t="str">
        <x:v>增构候选·待查重</x:v>
      </x:c>
      <x:c r="E16" s="180" t="str">
        <x:v>并行范围</x:v>
      </x:c>
      <x:c r="F16" s="180" t="str">
        <x:v>Branches；JoinPolicy</x:v>
      </x:c>
      <x:c r="G16" s="180" t="str">
        <x:v>并行范围</x:v>
      </x:c>
      <x:c r="H16" s="180" t="str">
        <x:v>待逐对象核实</x:v>
      </x:c>
      <x:c r="I16" s="180" t="str">
        <x:v>ParallelDefinition</x:v>
      </x:c>
      <x:c r="J16" s="179" t="str">
        <x:v>类/实例候选</x:v>
      </x:c>
      <x:c r="K16" s="180" t="str">
        <x:v>生命周期：Definition</x:v>
      </x:c>
      <x:c r="L16" s="183" t="str">
        <x:v>设计候选，尚待源码验证</x:v>
      </x:c>
      <x:c r="M16" s="183" t="str">
        <x:v>M19.ParallelDefinition</x:v>
      </x:c>
      <x:c r="N16" s="184"/>
      <x:c r="O16" s="183" t="str">
        <x:v>V4.9对象/属性/方法
V2.01：未匹配V2.01；处置=暂无可信对应
V7.8：V7.8未检出同名词法声明</x:v>
      </x:c>
      <x:c r="P16" s="136" t="str">
        <x:v>V4.9对象/属性/方法</x:v>
      </x:c>
      <x:c r="Q16"/>
      <x:c r="R16"/>
      <x:c r="S16"/>
    </x:row>
    <x:row r="17" ht="72" customHeight="1">
      <x:c r="A17" s="179" t="str">
        <x:v>M19</x:v>
      </x:c>
      <x:c r="B17" s="180" t="str">
        <x:v>编排与执行｜ControlFlow
Control Flow</x:v>
      </x:c>
      <x:c r="C17" s="180" t="str">
        <x:v>MCFTryScopeDefinition</x:v>
      </x:c>
      <x:c r="D17" s="179" t="str">
        <x:v>增构候选·待查重</x:v>
      </x:c>
      <x:c r="E17" s="180" t="str">
        <x:v>错误作用域</x:v>
      </x:c>
      <x:c r="F17" s="180" t="str">
        <x:v>Body；Catches；Finally</x:v>
      </x:c>
      <x:c r="G17" s="180" t="str">
        <x:v>错误作用域</x:v>
      </x:c>
      <x:c r="H17" s="180" t="str">
        <x:v>待逐对象核实</x:v>
      </x:c>
      <x:c r="I17" s="180" t="str">
        <x:v>TryScopeDefinition</x:v>
      </x:c>
      <x:c r="J17" s="179" t="str">
        <x:v>类/实例候选</x:v>
      </x:c>
      <x:c r="K17" s="180" t="str">
        <x:v>生命周期：Definition</x:v>
      </x:c>
      <x:c r="L17" s="183" t="str">
        <x:v>设计候选，尚待源码验证</x:v>
      </x:c>
      <x:c r="M17" s="183" t="str">
        <x:v>M19.TryScopeDefinition</x:v>
      </x:c>
      <x:c r="N17" s="184"/>
      <x:c r="O17" s="183" t="str">
        <x:v>V4.9对象/属性/方法
V2.01：未匹配V2.01；处置=暂无可信对应
V7.8：V7.8未检出同名词法声明</x:v>
      </x:c>
      <x:c r="P17" s="136" t="str">
        <x:v>V4.9对象/属性/方法</x:v>
      </x:c>
      <x:c r="Q17"/>
      <x:c r="R17"/>
      <x:c r="S17"/>
    </x:row>
    <x:row r="18" ht="72" customHeight="1">
      <x:c r="A18" s="179" t="str">
        <x:v>M19</x:v>
      </x:c>
      <x:c r="B18" s="180" t="str">
        <x:v>编排与执行｜ControlFlow
Control Flow</x:v>
      </x:c>
      <x:c r="C18" s="180" t="str">
        <x:v>MCFWaitDefinition</x:v>
      </x:c>
      <x:c r="D18" s="179" t="str">
        <x:v>增构候选·待查重</x:v>
      </x:c>
      <x:c r="E18" s="180" t="str">
        <x:v>等待</x:v>
      </x:c>
      <x:c r="F18" s="180" t="str">
        <x:v>Kind；Condition；Event；Result；Timeout</x:v>
      </x:c>
      <x:c r="G18" s="180" t="str">
        <x:v>等待</x:v>
      </x:c>
      <x:c r="H18" s="180" t="str">
        <x:v>待逐对象核实</x:v>
      </x:c>
      <x:c r="I18" s="180" t="str">
        <x:v>WaitDefinition</x:v>
      </x:c>
      <x:c r="J18" s="179" t="str">
        <x:v>类/实例候选</x:v>
      </x:c>
      <x:c r="K18" s="180" t="str">
        <x:v>生命周期：Definition</x:v>
      </x:c>
      <x:c r="L18" s="183" t="str">
        <x:v>设计候选，尚待源码验证</x:v>
      </x:c>
      <x:c r="M18" s="183" t="str">
        <x:v>M19.WaitDefinition</x:v>
      </x:c>
      <x:c r="N18" s="184"/>
      <x:c r="O18" s="183" t="str">
        <x:v>V4.9对象/属性/方法
V2.01：未匹配V2.01；处置=暂无可信对应
V7.8：V7.8未检出同名词法声明</x:v>
      </x:c>
      <x:c r="P18" s="136" t="str">
        <x:v>V4.9对象/属性/方法</x:v>
      </x:c>
      <x:c r="Q18"/>
      <x:c r="R18"/>
      <x:c r="S18"/>
    </x:row>
    <x:row r="19" ht="72" customHeight="1">
      <x:c r="A19" s="179" t="str">
        <x:v>M20</x:v>
      </x:c>
      <x:c r="B19" s="180" t="str">
        <x:v>编排与执行｜DataFlow / Streaming
Data Flow</x:v>
      </x:c>
      <x:c r="C19" s="180" t="str">
        <x:v>MDFBackpressureController</x:v>
      </x:c>
      <x:c r="D19" s="179" t="str">
        <x:v>增构候选·待查重</x:v>
      </x:c>
      <x:c r="E19" s="180" t="str">
        <x:v>背压协调器：Throttle、Resume</x:v>
      </x:c>
      <x:c r="F19" s="180" t="str">
        <x:v>QueueDepth；Rate；ResourcePressure</x:v>
      </x:c>
      <x:c r="G19" s="180" t="str">
        <x:v>Throttle；Resume</x:v>
      </x:c>
      <x:c r="H19" s="180" t="str">
        <x:v>待逐对象核实</x:v>
      </x:c>
      <x:c r="I19" s="180" t="str">
        <x:v>BackpressureController</x:v>
      </x:c>
      <x:c r="J19" s="179" t="str">
        <x:v>类/实例候选</x:v>
      </x:c>
      <x:c r="K19" s="180" t="str">
        <x:v>生命周期：Runtime</x:v>
      </x:c>
      <x:c r="L19" s="183" t="str">
        <x:v>设计候选，尚待源码验证</x:v>
      </x:c>
      <x:c r="M19" s="183" t="str">
        <x:v>M20.BackpressureController</x:v>
      </x:c>
      <x:c r="N19" s="184" t="str">
        <x:v>03_能力对象!C164</x:v>
      </x:c>
      <x:c r="O19" s="183" t="str">
        <x:v>V4.9对象/属性/方法
V2.01：名称/子方面线索；处置=规划独立契约候选·未批准新增
V7.8：V7.8未检出同名词法声明</x:v>
      </x:c>
      <x:c r="P19" s="136" t="str">
        <x:v>V4.9对象/属性/方法</x:v>
      </x:c>
      <x:c r="Q19"/>
      <x:c r="R19"/>
      <x:c r="S19"/>
    </x:row>
    <x:row r="20" ht="72" customHeight="1">
      <x:c r="A20" s="179" t="str">
        <x:v>M20</x:v>
      </x:c>
      <x:c r="B20" s="180" t="str">
        <x:v>编排与执行｜DataFlow / Streaming
Data Flow</x:v>
      </x:c>
      <x:c r="C20" s="180" t="str">
        <x:v>MDFDataFlowDefinition</x:v>
      </x:c>
      <x:c r="D20" s="179" t="str">
        <x:v>增构候选·待查重</x:v>
      </x:c>
      <x:c r="E20" s="180" t="str">
        <x:v>DataFlow主语义</x:v>
      </x:c>
      <x:c r="F20" s="180" t="str">
        <x:v>DataNodes；DataEdges；Policies</x:v>
      </x:c>
      <x:c r="G20" s="180" t="str">
        <x:v>DataFlow主语义</x:v>
      </x:c>
      <x:c r="H20" s="180" t="str">
        <x:v>待逐对象核实</x:v>
      </x:c>
      <x:c r="I20" s="180" t="str">
        <x:v>DataFlowDefinition</x:v>
      </x:c>
      <x:c r="J20" s="179" t="str">
        <x:v>类/实例候选</x:v>
      </x:c>
      <x:c r="K20" s="180" t="str">
        <x:v>生命周期：Definition</x:v>
      </x:c>
      <x:c r="L20" s="183" t="str">
        <x:v>设计候选，尚待源码验证</x:v>
      </x:c>
      <x:c r="M20" s="183" t="str">
        <x:v>M20.DataFlowDefinition</x:v>
      </x:c>
      <x:c r="N20" s="184" t="str">
        <x:v>03_能力对象!C165</x:v>
      </x:c>
      <x:c r="O20" s="183" t="str">
        <x:v>V4.9对象/属性/方法
V2.01：名称/子方面线索；处置=规划独立契约候选·未批准新增
V7.8：V7.8未检出同名词法声明</x:v>
      </x:c>
      <x:c r="P20" s="136" t="str">
        <x:v>V4.9对象/属性/方法</x:v>
      </x:c>
      <x:c r="Q20"/>
      <x:c r="R20"/>
      <x:c r="S20"/>
    </x:row>
    <x:row r="21" ht="72" customHeight="1">
      <x:c r="A21" s="179" t="str">
        <x:v>M20</x:v>
      </x:c>
      <x:c r="B21" s="180" t="str">
        <x:v>编排与执行｜DataFlow / Streaming
Data Flow</x:v>
      </x:c>
      <x:c r="C21" s="180" t="str">
        <x:v>MDFDataJoinDefinition</x:v>
      </x:c>
      <x:c r="D21" s="179" t="str">
        <x:v>增构候选·待查重</x:v>
      </x:c>
      <x:c r="E21" s="180" t="str">
        <x:v>数据汇合</x:v>
      </x:c>
      <x:c r="F21" s="180" t="str">
        <x:v>Inputs；Key；Window；Timeout；Aggregation</x:v>
      </x:c>
      <x:c r="G21" s="180" t="str">
        <x:v>数据汇合</x:v>
      </x:c>
      <x:c r="H21" s="180" t="str">
        <x:v>待逐对象核实</x:v>
      </x:c>
      <x:c r="I21" s="180" t="str">
        <x:v>DataJoinDefinition</x:v>
      </x:c>
      <x:c r="J21" s="179" t="str">
        <x:v>类/实例候选</x:v>
      </x:c>
      <x:c r="K21" s="180" t="str">
        <x:v>生命周期：Definition</x:v>
      </x:c>
      <x:c r="L21" s="183" t="str">
        <x:v>设计候选，尚待源码验证</x:v>
      </x:c>
      <x:c r="M21" s="183" t="str">
        <x:v>M20.DataJoinDefinition</x:v>
      </x:c>
      <x:c r="N21" s="184" t="str">
        <x:v>03_能力对象!C166</x:v>
      </x:c>
      <x:c r="O21" s="183" t="str">
        <x:v>V4.9对象/属性/方法
V2.01：名称/子方面线索；处置=规划独立契约候选·未批准新增
V7.8：V7.8未检出同名词法声明</x:v>
      </x:c>
      <x:c r="P21" s="136" t="str">
        <x:v>V4.9对象/属性/方法</x:v>
      </x:c>
      <x:c r="Q21"/>
      <x:c r="R21"/>
      <x:c r="S21"/>
    </x:row>
    <x:row r="22" ht="72" customHeight="1">
      <x:c r="A22" s="179" t="str">
        <x:v>M20</x:v>
      </x:c>
      <x:c r="B22" s="180" t="str">
        <x:v>编排与执行｜DataFlow / Streaming
Data Flow</x:v>
      </x:c>
      <x:c r="C22" s="180" t="str">
        <x:v>MDFFanOutDefinition</x:v>
      </x:c>
      <x:c r="D22" s="179" t="str">
        <x:v>增构候选·待查重</x:v>
      </x:c>
      <x:c r="E22" s="180" t="str">
        <x:v>并行数据分发</x:v>
      </x:c>
      <x:c r="F22" s="180" t="str">
        <x:v>Outputs；Policy</x:v>
      </x:c>
      <x:c r="G22" s="180" t="str">
        <x:v>并行数据分发</x:v>
      </x:c>
      <x:c r="H22" s="180" t="str">
        <x:v>待逐对象核实</x:v>
      </x:c>
      <x:c r="I22" s="180" t="str">
        <x:v>FanOutDefinition</x:v>
      </x:c>
      <x:c r="J22" s="179" t="str">
        <x:v>类/实例候选</x:v>
      </x:c>
      <x:c r="K22" s="180" t="str">
        <x:v>生命周期：Definition</x:v>
      </x:c>
      <x:c r="L22" s="183" t="str">
        <x:v>设计候选，尚待源码验证</x:v>
      </x:c>
      <x:c r="M22" s="183" t="str">
        <x:v>M20.FanOutDefinition</x:v>
      </x:c>
      <x:c r="N22" s="184" t="str">
        <x:v>03_能力对象!C167</x:v>
      </x:c>
      <x:c r="O22" s="183" t="str">
        <x:v>V4.9对象/属性/方法
V2.01：名称/子方面线索；处置=规划独立契约候选·未批准新增
V7.8：V7.8未检出同名词法声明</x:v>
      </x:c>
      <x:c r="P22" s="136" t="str">
        <x:v>V4.9对象/属性/方法</x:v>
      </x:c>
      <x:c r="Q22"/>
      <x:c r="R22"/>
      <x:c r="S22"/>
    </x:row>
    <x:row r="23" ht="72" customHeight="1">
      <x:c r="A23" s="179" t="str">
        <x:v>M20</x:v>
      </x:c>
      <x:c r="B23" s="180" t="str">
        <x:v>编排与执行｜DataFlow / Streaming
Data Flow</x:v>
      </x:c>
      <x:c r="C23" s="180" t="str">
        <x:v>MDFStreamDefinition</x:v>
      </x:c>
      <x:c r="D23" s="179" t="str">
        <x:v>增构候选·待查重</x:v>
      </x:c>
      <x:c r="E23" s="180" t="str">
        <x:v>流定义</x:v>
      </x:c>
      <x:c r="F23" s="180" t="str">
        <x:v>ElementType；BufferPolicy；Ordering；Partition</x:v>
      </x:c>
      <x:c r="G23" s="180" t="str">
        <x:v>流定义</x:v>
      </x:c>
      <x:c r="H23" s="180" t="str">
        <x:v>待逐对象核实</x:v>
      </x:c>
      <x:c r="I23" s="180" t="str">
        <x:v>StreamDefinition</x:v>
      </x:c>
      <x:c r="J23" s="179" t="str">
        <x:v>类/实例候选</x:v>
      </x:c>
      <x:c r="K23" s="180" t="str">
        <x:v>生命周期：Definition</x:v>
      </x:c>
      <x:c r="L23" s="183" t="str">
        <x:v>设计候选，尚待源码验证</x:v>
      </x:c>
      <x:c r="M23" s="183" t="str">
        <x:v>M20.StreamDefinition</x:v>
      </x:c>
      <x:c r="N23" s="184" t="str">
        <x:v>03_能力对象!C168</x:v>
      </x:c>
      <x:c r="O23" s="183" t="str">
        <x:v>V4.9对象/属性/方法
V2.01：名称/子方面线索；处置=规划独立契约候选·未批准新增
V7.8：V7.8未检出同名词法声明</x:v>
      </x:c>
      <x:c r="P23" s="136" t="str">
        <x:v>V4.9对象/属性/方法</x:v>
      </x:c>
      <x:c r="Q23"/>
      <x:c r="R23"/>
      <x:c r="S23"/>
    </x:row>
    <x:row r="24" ht="72" customHeight="1">
      <x:c r="A24" s="179" t="str">
        <x:v>M20</x:v>
      </x:c>
      <x:c r="B24" s="180" t="str">
        <x:v>编排与执行｜DataFlow / Streaming
Data Flow</x:v>
      </x:c>
      <x:c r="C24" s="180" t="str">
        <x:v>MDFStreamRuntimeState</x:v>
      </x:c>
      <x:c r="D24" s="179" t="str">
        <x:v>增构候选·待查重</x:v>
      </x:c>
      <x:c r="E24" s="180" t="str">
        <x:v>流运行状态</x:v>
      </x:c>
      <x:c r="F24" s="180" t="str">
        <x:v>Rate；Latency；Queue；Dropped；Backpressure</x:v>
      </x:c>
      <x:c r="G24" s="180" t="str">
        <x:v>流运行状态</x:v>
      </x:c>
      <x:c r="H24" s="180" t="str">
        <x:v>待逐对象核实</x:v>
      </x:c>
      <x:c r="I24" s="180" t="str">
        <x:v>运行对象/模型</x:v>
      </x:c>
      <x:c r="J24" s="179" t="str">
        <x:v>类/实例候选</x:v>
      </x:c>
      <x:c r="K24" s="180" t="str">
        <x:v>生命周期：Runtime</x:v>
      </x:c>
      <x:c r="L24" s="183" t="str">
        <x:v>设计候选，尚待源码验证</x:v>
      </x:c>
      <x:c r="M24" s="183" t="str">
        <x:v>M20.StreamRuntimeState</x:v>
      </x:c>
      <x:c r="N24" s="184" t="str">
        <x:v>03_能力对象!C169</x:v>
      </x:c>
      <x:c r="O24" s="183" t="str">
        <x:v>V4.9对象/属性/方法
V2.01：名称/子方面线索；处置=规划独立契约候选·未批准新增
V7.8：V7.8未检出同名词法声明</x:v>
      </x:c>
      <x:c r="P24" s="136" t="str">
        <x:v>V4.9对象/属性/方法</x:v>
      </x:c>
      <x:c r="Q24"/>
      <x:c r="R24"/>
      <x:c r="S24"/>
    </x:row>
    <x:row r="25" ht="72" customHeight="1">
      <x:c r="A25" s="179" t="str">
        <x:v>M20</x:v>
      </x:c>
      <x:c r="B25" s="180" t="str">
        <x:v>编排与执行｜DataFlow / Streaming
Data Flow</x:v>
      </x:c>
      <x:c r="C25" s="180" t="str">
        <x:v>MDFWorkerPoolDefinition</x:v>
      </x:c>
      <x:c r="D25" s="179" t="str">
        <x:v>增构候选·待查重</x:v>
      </x:c>
      <x:c r="E25" s="180" t="str">
        <x:v>Worker池</x:v>
      </x:c>
      <x:c r="F25" s="180" t="str">
        <x:v>Capability；Concurrency；Affinity</x:v>
      </x:c>
      <x:c r="G25" s="180" t="str">
        <x:v>Worker池</x:v>
      </x:c>
      <x:c r="H25" s="180" t="str">
        <x:v>待逐对象核实</x:v>
      </x:c>
      <x:c r="I25" s="180" t="str">
        <x:v>运行对象/模型</x:v>
      </x:c>
      <x:c r="J25" s="179" t="str">
        <x:v>类/实例候选</x:v>
      </x:c>
      <x:c r="K25" s="180" t="str">
        <x:v>生命周期：Plan</x:v>
      </x:c>
      <x:c r="L25" s="183" t="str">
        <x:v>设计候选，尚待源码验证</x:v>
      </x:c>
      <x:c r="M25" s="183" t="str">
        <x:v>M20.WorkerPoolDefinition</x:v>
      </x:c>
      <x:c r="N25" s="184" t="str">
        <x:v>03_能力对象!C170</x:v>
      </x:c>
      <x:c r="O25" s="183" t="str">
        <x:v>V4.9对象/属性/方法
V2.01：名称/子方面线索；处置=规划独立契约候选·未批准新增
V7.8：V7.8未检出同名词法声明</x:v>
      </x:c>
      <x:c r="P25" s="136" t="str">
        <x:v>V4.9对象/属性/方法</x:v>
      </x:c>
      <x:c r="Q25"/>
      <x:c r="R25"/>
      <x:c r="S25"/>
    </x:row>
    <x:row r="26" ht="72" customHeight="1">
      <x:c r="A26" s="179" t="str">
        <x:v>M21</x:v>
      </x:c>
      <x:c r="B26" s="180" t="str">
        <x:v>编排与执行｜StateMachine
State Machines</x:v>
      </x:c>
      <x:c r="C26" s="180" t="str">
        <x:v>MSMCxStateActionException</x:v>
      </x:c>
      <x:c r="D26" s="179" t="str">
        <x:v>原有·待核</x:v>
      </x:c>
      <x:c r="E26" s="180" t="str">
        <x:v>表示状态Action异常异常并传递异常原因及诊断上下文</x:v>
      </x:c>
      <x:c r="F26" s="180" t="str">
        <x:v>ActionId, Result</x:v>
      </x:c>
      <x:c r="G26" s="180" t="str">
        <x:v>CxStateActionException(string id, CxCommandResult result)</x:v>
      </x:c>
      <x:c r="H26" s="180" t="str">
        <x:v>—（待核）</x:v>
      </x:c>
      <x:c r="I26" s="180" t="str">
        <x:v>CxVisual.Platform.Orchestration.CxStateActionException</x:v>
      </x:c>
      <x:c r="J26" s="179" t="str">
        <x:v>类</x:v>
      </x:c>
      <x:c r="K26" s="180" t="str">
        <x:v>V1.19 C-0857；原实施方式：原有。迁移风险：表示状态Action异常异常并传递异常原因及诊断上下文</x:v>
      </x:c>
      <x:c r="L26" s="183" t="str">
        <x:v>源代码声明·待复核</x:v>
      </x:c>
      <x:c r="M26" s="183" t="str">
        <x:v>C-0857</x:v>
      </x:c>
      <x:c r="N26" s="184" t="str">
        <x:v>Platform/Orchestration/Runtime/CxStateMachineRuntime.cs</x:v>
      </x:c>
      <x:c r="O26" s="183" t="str">
        <x:v>V1.19旧源码类型（真实成员/实现仍待核）
V2.01：来源ID对应；处置=保留源码·公开契约复核
V7.8：V7.8同名且源文件对应；Platform/Orchestration/Runtime/CxStateMachineRuntime.cs</x:v>
      </x:c>
      <x:c r="P26" s="136" t="str">
        <x:v>V1.19旧源码类型（真实成员/实现仍待核）</x:v>
      </x:c>
      <x:c r="Q26"/>
      <x:c r="R26"/>
      <x:c r="S26"/>
    </x:row>
    <x:row r="27" ht="72" customHeight="1">
      <x:c r="A27" s="179" t="str">
        <x:v>M21</x:v>
      </x:c>
      <x:c r="B27" s="180" t="str">
        <x:v>编排与执行｜StateMachine
State Machines</x:v>
      </x:c>
      <x:c r="C27" s="180" t="str">
        <x:v>MSMCxStateDefinition</x:v>
      </x:c>
      <x:c r="D27" s="179" t="str">
        <x:v>原有·待核</x:v>
      </x:c>
      <x:c r="E27" s="180" t="str">
        <x:v>声明状态机中的状态、动作及其合法性要求</x:v>
      </x:c>
      <x:c r="F27" s="180" t="str">
        <x:v>Id, Name, EntryActions, ExitActions, IsInitial, IsFinal, CxStateDefinition</x:v>
      </x:c>
      <x:c r="G27" s="180" t="str">
        <x:v>Validate()</x:v>
      </x:c>
      <x:c r="H27" s="180" t="str">
        <x:v>—（待核）</x:v>
      </x:c>
      <x:c r="I27" s="180" t="str">
        <x:v>CxVisual.Core.CxStateDefinition</x:v>
      </x:c>
      <x:c r="J27" s="179" t="str">
        <x:v>类</x:v>
      </x:c>
      <x:c r="K27" s="180" t="str">
        <x:v>V1.19 C-0855；原实施方式：原有。迁移风险：状态机状态定义属于M21，当前EntryActions/ExitActions是公开可写List。</x:v>
      </x:c>
      <x:c r="L27" s="183" t="str">
        <x:v>源代码声明·待复核</x:v>
      </x:c>
      <x:c r="M27" s="183" t="str">
        <x:v>C-0855</x:v>
      </x:c>
      <x:c r="N27" s="184" t="str">
        <x:v>Platform/Core/CxLogicAspect.cs</x:v>
      </x:c>
      <x:c r="O27" s="183" t="str">
        <x:v>V1.19旧源码类型（真实成员/实现仍待核）
V2.01：来源ID对应；处置=保留源码·公开契约复核
V7.8：V7.8同名且源文件对应；Platform/Core/CxLogicAspect.cs</x:v>
      </x:c>
      <x:c r="P27" s="136" t="str">
        <x:v>V1.19旧源码类型（真实成员/实现仍待核）</x:v>
      </x:c>
      <x:c r="Q27"/>
      <x:c r="R27"/>
      <x:c r="S27"/>
    </x:row>
    <x:row r="28" ht="72" customHeight="1">
      <x:c r="A28" s="179" t="str">
        <x:v>M21</x:v>
      </x:c>
      <x:c r="B28" s="180" t="str">
        <x:v>编排与执行｜StateMachine
State Machines</x:v>
      </x:c>
      <x:c r="C28" s="180" t="str">
        <x:v>MSMCxStateMachinePlan</x:v>
      </x:c>
      <x:c r="D28" s="179" t="str">
        <x:v>原有·待核</x:v>
      </x:c>
      <x:c r="E28" s="180" t="str">
        <x:v>编译节点状态与迁移规则形成可运行的状态机计划</x:v>
      </x:c>
      <x:c r="F28" s="180" t="str">
        <x:v>Guards, Id</x:v>
      </x:c>
      <x:c r="G28" s="180" t="str">
        <x:v>Clone(), Compile(string id, CxLogicAspect definition)</x:v>
      </x:c>
      <x:c r="H28" s="180" t="str">
        <x:v>—（待核）</x:v>
      </x:c>
      <x:c r="I28" s="180" t="str">
        <x:v>CxVisual.Platform.Orchestration.CxStateMachinePlan</x:v>
      </x:c>
      <x:c r="J28" s="179" t="str">
        <x:v>类</x:v>
      </x:c>
      <x:c r="K28" s="180" t="str">
        <x:v>V1.19 C-0858；原实施方式：原有。迁移风险：编译节点状态与迁移规则形成可运行的状态机计划</x:v>
      </x:c>
      <x:c r="L28" s="183" t="str">
        <x:v>源代码声明·待复核</x:v>
      </x:c>
      <x:c r="M28" s="183" t="str">
        <x:v>C-0858</x:v>
      </x:c>
      <x:c r="N28" s="184" t="str">
        <x:v>Platform/Orchestration/Runtime/CxStateMachineRuntime.cs</x:v>
      </x:c>
      <x:c r="O28" s="183" t="str">
        <x:v>V1.19旧源码类型（真实成员/实现仍待核）
V2.01：来源ID对应；处置=保留源码·公开契约复核
V7.8：V7.8同名且源文件对应；Platform/Orchestration/Runtime/CxStateMachineRuntime.cs</x:v>
      </x:c>
      <x:c r="P28" s="136" t="str">
        <x:v>V1.19旧源码类型（真实成员/实现仍待核）</x:v>
      </x:c>
      <x:c r="Q28"/>
      <x:c r="R28"/>
      <x:c r="S28"/>
    </x:row>
    <x:row r="29" ht="72" customHeight="1">
      <x:c r="A29" s="179" t="str">
        <x:v>M21</x:v>
      </x:c>
      <x:c r="B29" s="180" t="str">
        <x:v>编排与执行｜StateMachine
State Machines</x:v>
      </x:c>
      <x:c r="C29" s="180" t="str">
        <x:v>MSMCxStateMachineRuntime</x:v>
      </x:c>
      <x:c r="D29" s="179" t="str">
        <x:v>原有·待核</x:v>
      </x:c>
      <x:c r="E29" s="180" t="str">
        <x:v>管理状态机运行实例、迁移与当前活动状态</x:v>
      </x:c>
      <x:c r="F29" s="180" t="str">
        <x:v>MachineId, CurrentStateId, Status, Fault</x:v>
      </x:c>
      <x:c r="G29" s="180" t="str">
        <x:v>CxStateMachineRuntime(CxStateMachinePlan plan, RuntimeContext context, CxActionExecutor actions, CxNodeAddress target), AsReadOnly(_triggerHosts.Values.ToArray(); Snapshot(); StartAsync(CancellationToken cancellationToken = default(CancellationToken); SignalAsync(string triggerId, CancellationToken cancellationToken = default(CancellationToken); StopAsync(CancellationToken cancellationToken = default(CancellationToken)</x:v>
      </x:c>
      <x:c r="H29" s="180" t="str">
        <x:v>—（待核）</x:v>
      </x:c>
      <x:c r="I29" s="180" t="str">
        <x:v>CxVisual.Platform.Orchestration.CxStateMachineRuntime</x:v>
      </x:c>
      <x:c r="J29" s="179" t="str">
        <x:v>类</x:v>
      </x:c>
      <x:c r="K29" s="180" t="str">
        <x:v>V1.19 C-0859；原实施方式：原有。迁移风险：管理状态机运行实例、迁移与当前活动状态</x:v>
      </x:c>
      <x:c r="L29" s="183" t="str">
        <x:v>源代码声明·待复核</x:v>
      </x:c>
      <x:c r="M29" s="183" t="str">
        <x:v>C-0859</x:v>
      </x:c>
      <x:c r="N29" s="184" t="str">
        <x:v>Platform/Orchestration/Runtime/CxStateMachineRuntime.cs</x:v>
      </x:c>
      <x:c r="O29" s="183" t="str">
        <x:v>V1.19旧源码类型（真实成员/实现仍待核）
V2.01：来源ID对应；处置=保留源码·公开契约复核
V7.8：V7.8同名且源文件对应；Platform/Orchestration/Runtime/CxStateMachineRuntime.cs</x:v>
      </x:c>
      <x:c r="P29" s="136" t="str">
        <x:v>V1.19旧源码类型（真实成员/实现仍待核）</x:v>
      </x:c>
      <x:c r="Q29"/>
      <x:c r="R29"/>
      <x:c r="S29"/>
    </x:row>
    <x:row r="30" ht="72" customHeight="1">
      <x:c r="A30" s="179" t="str">
        <x:v>M21</x:v>
      </x:c>
      <x:c r="B30" s="180" t="str">
        <x:v>编排与执行｜StateMachine
State Machines</x:v>
      </x:c>
      <x:c r="C30" s="180" t="str">
        <x:v>MSMCxStateTransitionDefinition</x:v>
      </x:c>
      <x:c r="D30" s="179" t="str">
        <x:v>原有·待核</x:v>
      </x:c>
      <x:c r="E30" s="180" t="str">
        <x:v>声明状态机的迁移条件、触发与目标状态</x:v>
      </x:c>
      <x:c r="F30" s="180" t="str">
        <x:v>Id, FromState, ToState, TriggerId, GuardConditionId, Actions, Priority, CxStateTransitionDefinition</x:v>
      </x:c>
      <x:c r="G30" s="180" t="str">
        <x:v>Validate()</x:v>
      </x:c>
      <x:c r="H30" s="180" t="str">
        <x:v>—（待核）</x:v>
      </x:c>
      <x:c r="I30" s="180" t="str">
        <x:v>CxVisual.Core.CxStateTransitionDefinition</x:v>
      </x:c>
      <x:c r="J30" s="179" t="str">
        <x:v>类</x:v>
      </x:c>
      <x:c r="K30" s="180" t="str">
        <x:v>V1.19 C-0856；原实施方式：原有。迁移风险：声明状态机的迁移条件、触发与目标状态</x:v>
      </x:c>
      <x:c r="L30" s="183" t="str">
        <x:v>源代码声明·待复核</x:v>
      </x:c>
      <x:c r="M30" s="183" t="str">
        <x:v>C-0856</x:v>
      </x:c>
      <x:c r="N30" s="184" t="str">
        <x:v>Platform/Core/CxLogicAspect.cs</x:v>
      </x:c>
      <x:c r="O30" s="183" t="str">
        <x:v>V1.19旧源码类型（真实成员/实现仍待核）
V2.01：来源ID对应；处置=保留源码·公开契约复核
V7.8：V7.8同名且源文件对应；Platform/Core/CxLogicAspect.cs</x:v>
      </x:c>
      <x:c r="P30" s="136" t="str">
        <x:v>V1.19旧源码类型（真实成员/实现仍待核）</x:v>
      </x:c>
      <x:c r="Q30"/>
      <x:c r="R30"/>
      <x:c r="S30"/>
    </x:row>
    <x:row r="31" ht="72" customHeight="1">
      <x:c r="A31" s="179" t="str">
        <x:v>M21</x:v>
      </x:c>
      <x:c r="B31" s="180" t="str">
        <x:v>编排与执行｜StateMachine
State Machines</x:v>
      </x:c>
      <x:c r="C31" s="180" t="str">
        <x:v>MSMHistoryStateDefinition</x:v>
      </x:c>
      <x:c r="D31" s="179" t="str">
        <x:v>增构候选·待查重</x:v>
      </x:c>
      <x:c r="E31" s="180" t="str">
        <x:v>历史状态</x:v>
      </x:c>
      <x:c r="F31" s="180" t="str">
        <x:v>Kind；Default</x:v>
      </x:c>
      <x:c r="G31" s="180" t="str">
        <x:v>历史状态</x:v>
      </x:c>
      <x:c r="H31" s="180" t="str">
        <x:v>待逐对象核实</x:v>
      </x:c>
      <x:c r="I31" s="180" t="str">
        <x:v>HistoryStateDefinition</x:v>
      </x:c>
      <x:c r="J31" s="179" t="str">
        <x:v>类/实例候选</x:v>
      </x:c>
      <x:c r="K31" s="180" t="str">
        <x:v>生命周期：Definition</x:v>
      </x:c>
      <x:c r="L31" s="183" t="str">
        <x:v>设计候选，尚待源码验证</x:v>
      </x:c>
      <x:c r="M31" s="183" t="str">
        <x:v>M21.HistoryStateDefinition</x:v>
      </x:c>
      <x:c r="N31" s="184" t="str">
        <x:v>03_能力对象!C171</x:v>
      </x:c>
      <x:c r="O31" s="183" t="str">
        <x:v>V4.9对象/属性/方法
V2.01：名称/子方面线索；处置=规划独立契约候选·未批准新增
V7.8：V7.8未检出同名词法声明</x:v>
      </x:c>
      <x:c r="P31" s="136" t="str">
        <x:v>V4.9对象/属性/方法</x:v>
      </x:c>
      <x:c r="Q31"/>
      <x:c r="R31"/>
      <x:c r="S31"/>
    </x:row>
    <x:row r="32" ht="72" customHeight="1">
      <x:c r="A32" s="179" t="str">
        <x:v>M21</x:v>
      </x:c>
      <x:c r="B32" s="180" t="str">
        <x:v>编排与执行｜StateMachine
State Machines</x:v>
      </x:c>
      <x:c r="C32" s="180" t="str">
        <x:v>MSMStateDefinitionEx</x:v>
      </x:c>
      <x:c r="D32" s="179" t="str">
        <x:v>增构候选·待查重</x:v>
      </x:c>
      <x:c r="E32" s="180" t="str">
        <x:v>状态</x:v>
      </x:c>
      <x:c r="F32" s="180" t="str">
        <x:v>Entry；Main；Exit；SubStates；Regions</x:v>
      </x:c>
      <x:c r="G32" s="180" t="str">
        <x:v>状态</x:v>
      </x:c>
      <x:c r="H32" s="180" t="str">
        <x:v>待逐对象核实</x:v>
      </x:c>
      <x:c r="I32" s="180" t="str">
        <x:v>StateDefinitionEx</x:v>
      </x:c>
      <x:c r="J32" s="179" t="str">
        <x:v>类/实例候选</x:v>
      </x:c>
      <x:c r="K32" s="180" t="str">
        <x:v>生命周期：Definition</x:v>
      </x:c>
      <x:c r="L32" s="183" t="str">
        <x:v>设计候选，尚待源码验证</x:v>
      </x:c>
      <x:c r="M32" s="183" t="str">
        <x:v>M21.StateDefinitionEx</x:v>
      </x:c>
      <x:c r="N32" s="184" t="str">
        <x:v>03_能力对象!C172</x:v>
      </x:c>
      <x:c r="O32" s="183" t="str">
        <x:v>V4.9对象/属性/方法
V2.01：名称/子方面线索；处置=规划独立契约候选·未批准新增
V7.8：V7.8未检出同名词法声明</x:v>
      </x:c>
      <x:c r="P32" s="136" t="str">
        <x:v>V4.9对象/属性/方法</x:v>
      </x:c>
      <x:c r="Q32"/>
      <x:c r="R32"/>
      <x:c r="S32"/>
    </x:row>
    <x:row r="33" ht="72" customHeight="1">
      <x:c r="A33" s="179" t="str">
        <x:v>M21</x:v>
      </x:c>
      <x:c r="B33" s="180" t="str">
        <x:v>编排与执行｜StateMachine
State Machines</x:v>
      </x:c>
      <x:c r="C33" s="180" t="str">
        <x:v>MSMStateMachineDefinition</x:v>
      </x:c>
      <x:c r="D33" s="179" t="str">
        <x:v>增构候选·待查重</x:v>
      </x:c>
      <x:c r="E33" s="180" t="str">
        <x:v>状态机</x:v>
      </x:c>
      <x:c r="F33" s="180" t="str">
        <x:v>States；Transitions；Initial；Regions</x:v>
      </x:c>
      <x:c r="G33" s="180" t="str">
        <x:v>状态机</x:v>
      </x:c>
      <x:c r="H33" s="180" t="str">
        <x:v>待逐对象核实</x:v>
      </x:c>
      <x:c r="I33" s="180" t="str">
        <x:v>StateMachineDefinition</x:v>
      </x:c>
      <x:c r="J33" s="179" t="str">
        <x:v>类/实例候选</x:v>
      </x:c>
      <x:c r="K33" s="180" t="str">
        <x:v>生命周期：Definition</x:v>
      </x:c>
      <x:c r="L33" s="183" t="str">
        <x:v>设计候选，尚待源码验证</x:v>
      </x:c>
      <x:c r="M33" s="183" t="str">
        <x:v>M21.StateMachineDefinition</x:v>
      </x:c>
      <x:c r="N33" s="184" t="str">
        <x:v>03_能力对象!C173</x:v>
      </x:c>
      <x:c r="O33" s="183" t="str">
        <x:v>V4.9对象/属性/方法
V2.01：名称/子方面线索；处置=规划独立契约候选·未批准新增
V7.8：V7.8未检出同名词法声明</x:v>
      </x:c>
      <x:c r="P33" s="136" t="str">
        <x:v>V4.9对象/属性/方法</x:v>
      </x:c>
      <x:c r="Q33"/>
      <x:c r="R33"/>
      <x:c r="S33"/>
    </x:row>
    <x:row r="34" ht="72" customHeight="1">
      <x:c r="A34" s="179" t="str">
        <x:v>M21</x:v>
      </x:c>
      <x:c r="B34" s="180" t="str">
        <x:v>编排与执行｜StateMachine
State Machines</x:v>
      </x:c>
      <x:c r="C34" s="180" t="str">
        <x:v>MSMStateRuntimeState</x:v>
      </x:c>
      <x:c r="D34" s="179" t="str">
        <x:v>增构候选·待查重</x:v>
      </x:c>
      <x:c r="E34" s="180" t="str">
        <x:v>活动状态集</x:v>
      </x:c>
      <x:c r="F34" s="180" t="str">
        <x:v>ActiveStates；History；DeferredEvents</x:v>
      </x:c>
      <x:c r="G34" s="180" t="str">
        <x:v>活动状态集</x:v>
      </x:c>
      <x:c r="H34" s="180" t="str">
        <x:v>待逐对象核实</x:v>
      </x:c>
      <x:c r="I34" s="180" t="str">
        <x:v>运行对象/模型</x:v>
      </x:c>
      <x:c r="J34" s="179" t="str">
        <x:v>类/实例候选</x:v>
      </x:c>
      <x:c r="K34" s="180" t="str">
        <x:v>生命周期：Runtime</x:v>
      </x:c>
      <x:c r="L34" s="183" t="str">
        <x:v>设计候选，尚待源码验证</x:v>
      </x:c>
      <x:c r="M34" s="183" t="str">
        <x:v>M21.StateRuntimeState</x:v>
      </x:c>
      <x:c r="N34" s="184" t="str">
        <x:v>03_能力对象!C174</x:v>
      </x:c>
      <x:c r="O34" s="183" t="str">
        <x:v>V4.9对象/属性/方法
V2.01：名称/子方面线索；处置=规划独立契约候选·未批准新增
V7.8：V7.8未检出同名词法声明</x:v>
      </x:c>
      <x:c r="P34" s="136" t="str">
        <x:v>V4.9对象/属性/方法</x:v>
      </x:c>
      <x:c r="Q34"/>
      <x:c r="R34"/>
      <x:c r="S34"/>
    </x:row>
    <x:row r="35" ht="72" customHeight="1">
      <x:c r="A35" s="179" t="str">
        <x:v>M21</x:v>
      </x:c>
      <x:c r="B35" s="180" t="str">
        <x:v>编排与执行｜StateMachine
State Machines</x:v>
      </x:c>
      <x:c r="C35" s="180" t="str">
        <x:v>MSMTransitionDefinition</x:v>
      </x:c>
      <x:c r="D35" s="179" t="str">
        <x:v>增构候选·待查重</x:v>
      </x:c>
      <x:c r="E35" s="180" t="str">
        <x:v>迁移</x:v>
      </x:c>
      <x:c r="F35" s="180" t="str">
        <x:v>Source；Target；Event；Guard；Action；Priority</x:v>
      </x:c>
      <x:c r="G35" s="180" t="str">
        <x:v>迁移</x:v>
      </x:c>
      <x:c r="H35" s="180" t="str">
        <x:v>待逐对象核实</x:v>
      </x:c>
      <x:c r="I35" s="180" t="str">
        <x:v>TransitionDefinition</x:v>
      </x:c>
      <x:c r="J35" s="179" t="str">
        <x:v>类/实例候选</x:v>
      </x:c>
      <x:c r="K35" s="180" t="str">
        <x:v>生命周期：Definition</x:v>
      </x:c>
      <x:c r="L35" s="183" t="str">
        <x:v>设计候选，尚待源码验证</x:v>
      </x:c>
      <x:c r="M35" s="183" t="str">
        <x:v>M21.TransitionDefinition</x:v>
      </x:c>
      <x:c r="N35" s="184" t="str">
        <x:v>03_能力对象!C175</x:v>
      </x:c>
      <x:c r="O35" s="183" t="str">
        <x:v>V4.9对象/属性/方法
V2.01：名称/子方面线索；处置=规划独立契约候选·未批准新增
V7.8：V7.8未检出同名词法声明</x:v>
      </x:c>
      <x:c r="P35" s="136" t="str">
        <x:v>V4.9对象/属性/方法</x:v>
      </x:c>
      <x:c r="Q35"/>
      <x:c r="R35"/>
      <x:c r="S35"/>
    </x:row>
    <x:row r="36" ht="135" customHeight="1">
      <x:c r="A36" s="179" t="str">
        <x:v>M22</x:v>
      </x:c>
      <x:c r="B36" s="180" t="str">
        <x:v>编排与执行｜Durable Workflow / ExternalTask
Durable Workflows</x:v>
      </x:c>
      <x:c r="C36" s="180" t="str">
        <x:v>MDWCxCheckpointManager</x:v>
      </x:c>
      <x:c r="D36" s="179" t="str">
        <x:v>原有·待核</x:v>
      </x:c>
      <x:c r="E36" s="180" t="str">
        <x:v>保存、恢复运行检查点，支持中断恢复和状态追踪</x:v>
      </x:c>
      <x:c r="F36" s="180" t="str">
        <x:v>Store</x:v>
      </x:c>
      <x:c r="G36" s="180" t="str">
        <x:v>CxCheckpointManager(CxSnapshotStore store), SaveAsync(CxProjectRuntimeHost host, CancellationToken cancellationToken = default(CancellationToken); SaveAsync(CxRuntimeSnapshot snapshot, CancellationToken cancellationToken = default(CancellationToken); LoadAsync(string snapshotId, CancellationToken cancellationToken = default(CancellationToken); LoadAsync(string snapshotId, CxRuntimePlan expectedPlan, CancellationToken cancellationToken = default(CancellationToken); DeleteAsync(string snapshotId, CancellationToken cancellationToken = default(CancellationToken); ListAsync(CancellationToken cancellationToken = default(CancellationToken)</x:v>
      </x:c>
      <x:c r="H36" s="180" t="str">
        <x:v>—（待核）</x:v>
      </x:c>
      <x:c r="I36" s="180" t="str">
        <x:v>CxVisual.Platform.Orchestration.CxCheckpointManager</x:v>
      </x:c>
      <x:c r="J36" s="179" t="str">
        <x:v>类</x:v>
      </x:c>
      <x:c r="K36" s="180" t="str">
        <x:v>V1.19 C-0860；原实施方式：原有。迁移风险：保存、恢复运行检查点，支持中断恢复和状态追踪</x:v>
      </x:c>
      <x:c r="L36" s="183" t="str">
        <x:v>源代码声明·待复核</x:v>
      </x:c>
      <x:c r="M36" s="183" t="str">
        <x:v>C-0860</x:v>
      </x:c>
      <x:c r="N36" s="184" t="str">
        <x:v>Platform/Orchestration/Runtime/CxCheckpointManager.cs</x:v>
      </x:c>
      <x:c r="O36" s="183" t="str">
        <x:v>V1.19旧源码类型（真实成员/实现仍待核）
V2.01：来源ID对应；处置=保留源码·公开契约复核
V7.8：V7.8同名且源文件对应；Platform/Orchestration/Runtime/CxCheckpointManager.cs</x:v>
      </x:c>
      <x:c r="P36" s="136" t="str">
        <x:v>V1.19旧源码类型（真实成员/实现仍待核）</x:v>
      </x:c>
      <x:c r="Q36"/>
      <x:c r="R36"/>
      <x:c r="S36"/>
    </x:row>
    <x:row r="37" ht="72" customHeight="1">
      <x:c r="A37" s="179" t="str">
        <x:v>M22</x:v>
      </x:c>
      <x:c r="B37" s="180" t="str">
        <x:v>编排与执行｜Durable Workflow / ExternalTask
Durable Workflows</x:v>
      </x:c>
      <x:c r="C37" s="180" t="str">
        <x:v>MDWDurableWorkflowDefinition</x:v>
      </x:c>
      <x:c r="D37" s="179" t="str">
        <x:v>增构候选·待查重</x:v>
      </x:c>
      <x:c r="E37" s="180" t="str">
        <x:v>可恢复Workflow</x:v>
      </x:c>
      <x:c r="F37" s="180" t="str">
        <x:v>Steps；Boundaries；PersistencePolicy</x:v>
      </x:c>
      <x:c r="G37" s="180" t="str">
        <x:v>可恢复Workflow</x:v>
      </x:c>
      <x:c r="H37" s="180" t="str">
        <x:v>待逐对象核实</x:v>
      </x:c>
      <x:c r="I37" s="180" t="str">
        <x:v>DurableWorkflowDefinition</x:v>
      </x:c>
      <x:c r="J37" s="179" t="str">
        <x:v>类/实例候选</x:v>
      </x:c>
      <x:c r="K37" s="180" t="str">
        <x:v>生命周期：Definition</x:v>
      </x:c>
      <x:c r="L37" s="183" t="str">
        <x:v>设计候选，尚待源码验证</x:v>
      </x:c>
      <x:c r="M37" s="183" t="str">
        <x:v>M22.DurableWorkflowDefinition</x:v>
      </x:c>
      <x:c r="N37" s="184" t="str">
        <x:v>03_能力对象!C176</x:v>
      </x:c>
      <x:c r="O37" s="183" t="str">
        <x:v>V4.9对象/属性/方法
V2.01：名称/子方面线索；处置=规划独立契约候选·未批准新增
V7.8：V7.8未检出同名词法声明</x:v>
      </x:c>
      <x:c r="P37" s="136" t="str">
        <x:v>V4.9对象/属性/方法</x:v>
      </x:c>
      <x:c r="Q37"/>
      <x:c r="R37"/>
      <x:c r="S37"/>
    </x:row>
    <x:row r="38" ht="72" customHeight="1">
      <x:c r="A38" s="179" t="str">
        <x:v>M22</x:v>
      </x:c>
      <x:c r="B38" s="180" t="str">
        <x:v>编排与执行｜Durable Workflow / ExternalTask
Durable Workflows</x:v>
      </x:c>
      <x:c r="C38" s="180" t="str">
        <x:v>MDWExecutionCheckpoint</x:v>
      </x:c>
      <x:c r="D38" s="179" t="str">
        <x:v>增构候选·待查重</x:v>
      </x:c>
      <x:c r="E38" s="180" t="str">
        <x:v>检查点</x:v>
      </x:c>
      <x:c r="F38" s="180" t="str">
        <x:v>DefinitionVersion；State；Data；Correlation；ResumeToken</x:v>
      </x:c>
      <x:c r="G38" s="180" t="str">
        <x:v>检查点</x:v>
      </x:c>
      <x:c r="H38" s="180" t="str">
        <x:v>待逐对象核实</x:v>
      </x:c>
      <x:c r="I38" s="180" t="str">
        <x:v>运行对象/模型</x:v>
      </x:c>
      <x:c r="J38" s="179" t="str">
        <x:v>类/实例候选</x:v>
      </x:c>
      <x:c r="K38" s="180" t="str">
        <x:v>生命周期：Runtime</x:v>
      </x:c>
      <x:c r="L38" s="183" t="str">
        <x:v>设计候选，尚待源码验证</x:v>
      </x:c>
      <x:c r="M38" s="183" t="str">
        <x:v>M22.ExecutionCheckpoint</x:v>
      </x:c>
      <x:c r="N38" s="184" t="str">
        <x:v>03_能力对象!C177</x:v>
      </x:c>
      <x:c r="O38" s="183" t="str">
        <x:v>V4.9对象/属性/方法
V2.01：名称/子方面线索；处置=规划独立契约候选·未批准新增
V7.8：V7.8未检出同名词法声明</x:v>
      </x:c>
      <x:c r="P38" s="136" t="str">
        <x:v>V4.9对象/属性/方法</x:v>
      </x:c>
      <x:c r="Q38"/>
      <x:c r="R38"/>
      <x:c r="S38"/>
    </x:row>
    <x:row r="39" ht="72" customHeight="1">
      <x:c r="A39" s="179" t="str">
        <x:v>M22</x:v>
      </x:c>
      <x:c r="B39" s="180" t="str">
        <x:v>编排与执行｜Durable Workflow / ExternalTask
Durable Workflows</x:v>
      </x:c>
      <x:c r="C39" s="180" t="str">
        <x:v>MDWExternalTaskDefinition</x:v>
      </x:c>
      <x:c r="D39" s="179" t="str">
        <x:v>增构候选·待查重</x:v>
      </x:c>
      <x:c r="E39" s="180" t="str">
        <x:v>外部任务</x:v>
      </x:c>
      <x:c r="F39" s="180" t="str">
        <x:v>TaskType；Input；Correlation；Timeout；Retry</x:v>
      </x:c>
      <x:c r="G39" s="180" t="str">
        <x:v>外部任务</x:v>
      </x:c>
      <x:c r="H39" s="180" t="str">
        <x:v>待逐对象核实</x:v>
      </x:c>
      <x:c r="I39" s="180" t="str">
        <x:v>ExternalTaskDefinition</x:v>
      </x:c>
      <x:c r="J39" s="179" t="str">
        <x:v>类/实例候选</x:v>
      </x:c>
      <x:c r="K39" s="180" t="str">
        <x:v>生命周期：Definition</x:v>
      </x:c>
      <x:c r="L39" s="183" t="str">
        <x:v>设计候选，尚待源码验证</x:v>
      </x:c>
      <x:c r="M39" s="183" t="str">
        <x:v>M22.ExternalTaskDefinition</x:v>
      </x:c>
      <x:c r="N39" s="184" t="str">
        <x:v>03_能力对象!C178</x:v>
      </x:c>
      <x:c r="O39" s="183" t="str">
        <x:v>V4.9对象/属性/方法
V2.01：名称/子方面线索；处置=规划独立契约候选·未批准新增
V7.8：V7.8未检出同名词法声明</x:v>
      </x:c>
      <x:c r="P39" s="136" t="str">
        <x:v>V4.9对象/属性/方法</x:v>
      </x:c>
      <x:c r="Q39"/>
      <x:c r="R39"/>
      <x:c r="S39"/>
    </x:row>
    <x:row r="40" ht="72" customHeight="1">
      <x:c r="A40" s="179" t="str">
        <x:v>M22</x:v>
      </x:c>
      <x:c r="B40" s="180" t="str">
        <x:v>编排与执行｜Durable Workflow / ExternalTask
Durable Workflows</x:v>
      </x:c>
      <x:c r="C40" s="180" t="str">
        <x:v>MDWExternalTaskHandle</x:v>
      </x:c>
      <x:c r="D40" s="179" t="str">
        <x:v>增构候选·待查重</x:v>
      </x:c>
      <x:c r="E40" s="180" t="str">
        <x:v>等待外部完成</x:v>
      </x:c>
      <x:c r="F40" s="180" t="str">
        <x:v>Token；State；Assigned；Deadline；Correlation</x:v>
      </x:c>
      <x:c r="G40" s="180" t="str">
        <x:v>等待外部完成</x:v>
      </x:c>
      <x:c r="H40" s="180" t="str">
        <x:v>待逐对象核实</x:v>
      </x:c>
      <x:c r="I40" s="180" t="str">
        <x:v>运行对象/模型</x:v>
      </x:c>
      <x:c r="J40" s="179" t="str">
        <x:v>类/实例候选</x:v>
      </x:c>
      <x:c r="K40" s="180" t="str">
        <x:v>生命周期：Runtime</x:v>
      </x:c>
      <x:c r="L40" s="183" t="str">
        <x:v>设计候选，尚待源码验证</x:v>
      </x:c>
      <x:c r="M40" s="183" t="str">
        <x:v>M22.ExternalTaskHandle</x:v>
      </x:c>
      <x:c r="N40" s="184" t="str">
        <x:v>03_能力对象!C179</x:v>
      </x:c>
      <x:c r="O40" s="183" t="str">
        <x:v>V4.9对象/属性/方法
V2.01：名称/子方面线索；处置=规划独立契约候选·未批准新增
V7.8：V7.8未检出同名词法声明</x:v>
      </x:c>
      <x:c r="P40" s="136" t="str">
        <x:v>V4.9对象/属性/方法</x:v>
      </x:c>
      <x:c r="Q40"/>
      <x:c r="R40"/>
      <x:c r="S40"/>
    </x:row>
    <x:row r="41" ht="72" customHeight="1">
      <x:c r="A41" s="179" t="str">
        <x:v>M22</x:v>
      </x:c>
      <x:c r="B41" s="180" t="str">
        <x:v>编排与执行｜Durable Workflow / ExternalTask
Durable Workflows</x:v>
      </x:c>
      <x:c r="C41" s="180" t="str">
        <x:v>MDWHumanTaskDefinition</x:v>
      </x:c>
      <x:c r="D41" s="179" t="str">
        <x:v>增构候选·待查重</x:v>
      </x:c>
      <x:c r="E41" s="180" t="str">
        <x:v>人工任务</x:v>
      </x:c>
      <x:c r="F41" s="180" t="str">
        <x:v>Queue；Assignee；Permissions；DecisionSchema</x:v>
      </x:c>
      <x:c r="G41" s="180" t="str">
        <x:v>人工任务</x:v>
      </x:c>
      <x:c r="H41" s="180" t="str">
        <x:v>待逐对象核实</x:v>
      </x:c>
      <x:c r="I41" s="180" t="str">
        <x:v>HumanTaskDefinition</x:v>
      </x:c>
      <x:c r="J41" s="179" t="str">
        <x:v>类/实例候选</x:v>
      </x:c>
      <x:c r="K41" s="180" t="str">
        <x:v>生命周期：Definition</x:v>
      </x:c>
      <x:c r="L41" s="183" t="str">
        <x:v>设计候选，尚待源码验证</x:v>
      </x:c>
      <x:c r="M41" s="183" t="str">
        <x:v>M22.HumanTaskDefinition</x:v>
      </x:c>
      <x:c r="N41" s="184" t="str">
        <x:v>03_能力对象!C180</x:v>
      </x:c>
      <x:c r="O41" s="183" t="str">
        <x:v>V4.9对象/属性/方法
V2.01：名称/子方面线索；处置=规划独立契约候选·未批准新增
V7.8：V7.8未检出同名词法声明</x:v>
      </x:c>
      <x:c r="P41" s="136" t="str">
        <x:v>V4.9对象/属性/方法</x:v>
      </x:c>
      <x:c r="Q41"/>
      <x:c r="R41"/>
      <x:c r="S41"/>
    </x:row>
    <x:row r="42" ht="72" customHeight="1">
      <x:c r="A42" s="179" t="str">
        <x:v>M22</x:v>
      </x:c>
      <x:c r="B42" s="180" t="str">
        <x:v>编排与执行｜Durable Workflow / ExternalTask
Durable Workflows</x:v>
      </x:c>
      <x:c r="C42" s="180" t="str">
        <x:v>MDWIExecutionJournal</x:v>
      </x:c>
      <x:c r="D42" s="179" t="str">
        <x:v>增构候选·待查重</x:v>
      </x:c>
      <x:c r="E42" s="180" t="str">
        <x:v>持久事实日志</x:v>
      </x:c>
      <x:c r="F42" s="180" t="str">
        <x:v>Append；Read</x:v>
      </x:c>
      <x:c r="G42" s="180" t="str">
        <x:v>持久事实日志</x:v>
      </x:c>
      <x:c r="H42" s="180" t="str">
        <x:v>待逐对象核实</x:v>
      </x:c>
      <x:c r="I42" s="180" t="str">
        <x:v>IExecutionJournal</x:v>
      </x:c>
      <x:c r="J42" s="179" t="str">
        <x:v>接口候选</x:v>
      </x:c>
      <x:c r="K42" s="180" t="str">
        <x:v>生命周期：Runtime</x:v>
      </x:c>
      <x:c r="L42" s="183" t="str">
        <x:v>设计候选，尚待源码验证</x:v>
      </x:c>
      <x:c r="M42" s="183" t="str">
        <x:v>M22.IExecutionJournal</x:v>
      </x:c>
      <x:c r="N42" s="184"/>
      <x:c r="O42" s="183" t="str">
        <x:v>V4.9对象/属性/方法
V2.01：未匹配V2.01；处置=暂无可信对应
V7.8：V7.8未检出同名词法声明</x:v>
      </x:c>
      <x:c r="P42" s="136" t="str">
        <x:v>V4.9对象/属性/方法</x:v>
      </x:c>
      <x:c r="Q42"/>
      <x:c r="R42"/>
      <x:c r="S42"/>
    </x:row>
    <x:row r="43" ht="72" customHeight="1">
      <x:c r="A43" s="179" t="str">
        <x:v>M22</x:v>
      </x:c>
      <x:c r="B43" s="180" t="str">
        <x:v>编排与执行｜Durable Workflow / ExternalTask
Durable Workflows</x:v>
      </x:c>
      <x:c r="C43" s="180" t="str">
        <x:v>MDWIExecutionStateStore</x:v>
      </x:c>
      <x:c r="D43" s="179" t="str">
        <x:v>增构候选·待查重</x:v>
      </x:c>
      <x:c r="E43" s="180" t="str">
        <x:v>Durable状态存储</x:v>
      </x:c>
      <x:c r="F43" s="180" t="str">
        <x:v>Save；Load；Delete Checkpoint；State</x:v>
      </x:c>
      <x:c r="G43" s="180" t="str">
        <x:v>Durable状态存储</x:v>
      </x:c>
      <x:c r="H43" s="180" t="str">
        <x:v>待逐对象核实</x:v>
      </x:c>
      <x:c r="I43" s="180" t="str">
        <x:v>IExecutionStateStore</x:v>
      </x:c>
      <x:c r="J43" s="179" t="str">
        <x:v>接口候选</x:v>
      </x:c>
      <x:c r="K43" s="180" t="str">
        <x:v>生命周期：Runtime</x:v>
      </x:c>
      <x:c r="L43" s="183" t="str">
        <x:v>设计候选，尚待源码验证</x:v>
      </x:c>
      <x:c r="M43" s="183" t="str">
        <x:v>M22.IExecutionStateStore</x:v>
      </x:c>
      <x:c r="N43" s="184"/>
      <x:c r="O43" s="183" t="str">
        <x:v>V4.9对象/属性/方法
V2.01：未匹配V2.01；处置=暂无可信对应
V7.8：V7.8未检出同名词法声明</x:v>
      </x:c>
      <x:c r="P43" s="136" t="str">
        <x:v>V4.9对象/属性/方法</x:v>
      </x:c>
      <x:c r="Q43"/>
      <x:c r="R43"/>
      <x:c r="S43"/>
    </x:row>
    <x:row r="44" ht="72" customHeight="1">
      <x:c r="A44" s="179" t="str">
        <x:v>M22</x:v>
      </x:c>
      <x:c r="B44" s="180" t="str">
        <x:v>编排与执行｜Durable Workflow / ExternalTask
Durable Workflows</x:v>
      </x:c>
      <x:c r="C44" s="180" t="str">
        <x:v>IMDWExecutionJournal</x:v>
      </x:c>
      <x:c r="D44" s="179" t="str">
        <x:v>增构候选·待查重</x:v>
      </x:c>
      <x:c r="E44" s="180" t="str">
        <x:v>持久事实日志</x:v>
      </x:c>
      <x:c r="F44" s="180" t="str">
        <x:v>Append, Read</x:v>
      </x:c>
      <x:c r="G44" s="180" t="str">
        <x:v>持久事实日志</x:v>
      </x:c>
      <x:c r="H44" s="180" t="str">
        <x:v>—（待核）</x:v>
      </x:c>
      <x:c r="I44" s="180" t="str">
        <x:v>IExecutionJournal</x:v>
      </x:c>
      <x:c r="J44" s="179" t="str">
        <x:v>接口（候选）</x:v>
      </x:c>
      <x:c r="K44" s="180" t="str">
        <x:v>V1.19 S-0406；原实施方式：增构候选。迁移风险：持久事实日志</x:v>
      </x:c>
      <x:c r="L44" s="183" t="str">
        <x:v>V1.19设计候选·待核</x:v>
      </x:c>
      <x:c r="M44" s="183" t="str">
        <x:v>S-0406</x:v>
      </x:c>
      <x:c r="N44" s="184" t="str">
        <x:v>03_能力对象!C181</x:v>
      </x:c>
      <x:c r="O44" s="183" t="str">
        <x:v>V1.19旧规格候选
V2.01：来源ID对应；处置=规划独立契约候选·未批准新增
V7.8：V7.8未检出同名词法声明</x:v>
      </x:c>
      <x:c r="P44" s="136" t="str">
        <x:v>V1.19旧规格候选</x:v>
      </x:c>
      <x:c r="Q44"/>
      <x:c r="R44"/>
      <x:c r="S44"/>
    </x:row>
    <x:row r="45" ht="72" customHeight="1">
      <x:c r="A45" s="179" t="str">
        <x:v>M22</x:v>
      </x:c>
      <x:c r="B45" s="180" t="str">
        <x:v>编排与执行｜Durable Workflow / ExternalTask
Durable Workflows</x:v>
      </x:c>
      <x:c r="C45" s="180" t="str">
        <x:v>IMDWExecutionStateStore</x:v>
      </x:c>
      <x:c r="D45" s="179" t="str">
        <x:v>增构候选·待查重</x:v>
      </x:c>
      <x:c r="E45" s="180" t="str">
        <x:v>Durable状态存储</x:v>
      </x:c>
      <x:c r="F45" s="180" t="str">
        <x:v>Save, Load, Delete Checkpoint, State</x:v>
      </x:c>
      <x:c r="G45" s="180" t="str">
        <x:v>Durable状态存储()</x:v>
      </x:c>
      <x:c r="H45" s="180" t="str">
        <x:v>—（待核）</x:v>
      </x:c>
      <x:c r="I45" s="180" t="str">
        <x:v>IExecutionStateStore</x:v>
      </x:c>
      <x:c r="J45" s="179" t="str">
        <x:v>接口（候选）</x:v>
      </x:c>
      <x:c r="K45" s="180" t="str">
        <x:v>V1.19 S-0407；原实施方式：增构候选。迁移风险：Durable状态存储</x:v>
      </x:c>
      <x:c r="L45" s="183" t="str">
        <x:v>V1.19设计候选·待核</x:v>
      </x:c>
      <x:c r="M45" s="183" t="str">
        <x:v>S-0407</x:v>
      </x:c>
      <x:c r="N45" s="184" t="str">
        <x:v>03_能力对象!C182</x:v>
      </x:c>
      <x:c r="O45" s="183" t="str">
        <x:v>V1.19旧规格候选
V2.01：来源ID对应；处置=规划独立契约候选·未批准新增
V7.8：V7.8未检出同名词法声明</x:v>
      </x:c>
      <x:c r="P45" s="136" t="str">
        <x:v>V1.19旧规格候选</x:v>
      </x:c>
      <x:c r="Q45"/>
      <x:c r="R45"/>
      <x:c r="S45"/>
    </x:row>
    <x:row r="46" ht="72" customHeight="1">
      <x:c r="A46" s="179" t="str">
        <x:v>M23</x:v>
      </x:c>
      <x:c r="B46" s="180" t="str">
        <x:v>编排与执行｜Trigger / Subscription / Reactive
Triggers Subscriptions</x:v>
      </x:c>
      <x:c r="C46" s="180" t="str">
        <x:v>MTSCxTriggerDefinition</x:v>
      </x:c>
      <x:c r="D46" s="179" t="str">
        <x:v>原有·待核</x:v>
      </x:c>
      <x:c r="E46" s="180" t="str">
        <x:v>定义运行触发源、触发条件与事件响应规则</x:v>
      </x:c>
      <x:c r="F46" s="180" t="str">
        <x:v>Id, TriggerType, SourceRef, EventContract, Debounce, Throttle, Interval, PollInterval, Edge, Delay, CxTriggerDefinition</x:v>
      </x:c>
      <x:c r="G46" s="180" t="str">
        <x:v>Validate()</x:v>
      </x:c>
      <x:c r="H46" s="180" t="str">
        <x:v>—（待核）</x:v>
      </x:c>
      <x:c r="I46" s="180" t="str">
        <x:v>CxVisual.Core.CxTriggerDefinition</x:v>
      </x:c>
      <x:c r="J46" s="179" t="str">
        <x:v>类</x:v>
      </x:c>
      <x:c r="K46" s="180" t="str">
        <x:v>V1.19 C-0861；原实施方式：原有。迁移风险：定义运行触发源、触发条件与事件响应规则</x:v>
      </x:c>
      <x:c r="L46" s="183" t="str">
        <x:v>源代码声明·待复核</x:v>
      </x:c>
      <x:c r="M46" s="183" t="str">
        <x:v>C-0861</x:v>
      </x:c>
      <x:c r="N46" s="184" t="str">
        <x:v>Platform/Core/CxLogicAspect.cs</x:v>
      </x:c>
      <x:c r="O46" s="183" t="str">
        <x:v>V1.19旧源码类型（真实成员/实现仍待核）
V2.01：来源ID对应；处置=保留源码·公开契约复核
V7.8：V7.8同名且源文件对应；Platform/Core/CxLogicAspect.cs</x:v>
      </x:c>
      <x:c r="P46" s="136" t="str">
        <x:v>V1.19旧源码类型（真实成员/实现仍待核）</x:v>
      </x:c>
      <x:c r="Q46"/>
      <x:c r="R46"/>
      <x:c r="S46"/>
    </x:row>
    <x:row r="47" ht="72" customHeight="1">
      <x:c r="A47" s="179" t="str">
        <x:v>M23</x:v>
      </x:c>
      <x:c r="B47" s="180" t="str">
        <x:v>编排与执行｜Trigger / Subscription / Reactive
Triggers Subscriptions</x:v>
      </x:c>
      <x:c r="C47" s="180" t="str">
        <x:v>MTSCxTriggerEdge</x:v>
      </x:c>
      <x:c r="D47" s="179" t="str">
        <x:v>原有·待核</x:v>
      </x:c>
      <x:c r="E47" s="180" t="str">
        <x:v>定义触发Edge的候选取值、状态或模式，供相关流程作分支判断</x:v>
      </x:c>
      <x:c r="F47" s="180" t="str">
        <x:v>枚举值：Rising, Falling, Both, Level</x:v>
      </x:c>
      <x:c r="G47" s="180" t="str">
        <x:v>—(无公开声明或待核对)</x:v>
      </x:c>
      <x:c r="H47" s="180" t="str">
        <x:v>—（待核）</x:v>
      </x:c>
      <x:c r="I47" s="180" t="str">
        <x:v>CxVisual.Core.CxTriggerEdge</x:v>
      </x:c>
      <x:c r="J47" s="179" t="str">
        <x:v>枚举</x:v>
      </x:c>
      <x:c r="K47" s="180" t="str">
        <x:v>V1.19 C-0862；原实施方式：原有。迁移风险：定义触发Edge的候选取值、状态或模式，供相关流程作分支判断</x:v>
      </x:c>
      <x:c r="L47" s="183" t="str">
        <x:v>源代码声明·待复核</x:v>
      </x:c>
      <x:c r="M47" s="183" t="str">
        <x:v>C-0862</x:v>
      </x:c>
      <x:c r="N47" s="184" t="str">
        <x:v>Platform/Core/CxTriggerProfile.cs</x:v>
      </x:c>
      <x:c r="O47" s="183" t="str">
        <x:v>V1.19旧源码类型（真实成员/实现仍待核）
V2.01：来源ID对应；处置=保留源码·公开契约复核
V7.8：V7.8同名且源文件对应；Platform/Core/CxTriggerProfile.cs</x:v>
      </x:c>
      <x:c r="P47" s="136" t="str">
        <x:v>V1.19旧源码类型（真实成员/实现仍待核）</x:v>
      </x:c>
      <x:c r="Q47"/>
      <x:c r="R47"/>
      <x:c r="S47"/>
    </x:row>
    <x:row r="48" ht="72" customHeight="1">
      <x:c r="A48" s="179" t="str">
        <x:v>M23</x:v>
      </x:c>
      <x:c r="B48" s="180" t="str">
        <x:v>编排与执行｜Trigger / Subscription / Reactive
Triggers Subscriptions</x:v>
      </x:c>
      <x:c r="C48" s="180" t="str">
        <x:v>MTSCxTriggerMode</x:v>
      </x:c>
      <x:c r="D48" s="179" t="str">
        <x:v>原有·待核</x:v>
      </x:c>
      <x:c r="E48" s="180" t="str">
        <x:v>定义触发Mode的候选取值、状态或模式，供相关流程作分支判断</x:v>
      </x:c>
      <x:c r="F48" s="180" t="str">
        <x:v>枚举值：Software, Timer, Event, Condition, Hardware</x:v>
      </x:c>
      <x:c r="G48" s="180" t="str">
        <x:v>—(无公开声明或待核对)</x:v>
      </x:c>
      <x:c r="H48" s="180" t="str">
        <x:v>—（待核）</x:v>
      </x:c>
      <x:c r="I48" s="180" t="str">
        <x:v>CxVisual.Core.CxTriggerMode</x:v>
      </x:c>
      <x:c r="J48" s="179" t="str">
        <x:v>枚举</x:v>
      </x:c>
      <x:c r="K48" s="180" t="str">
        <x:v>V1.19 C-0863；原实施方式：原有。迁移风险：定义触发Mode的候选取值、状态或模式，供相关流程作分支判断</x:v>
      </x:c>
      <x:c r="L48" s="183" t="str">
        <x:v>源代码声明·待复核</x:v>
      </x:c>
      <x:c r="M48" s="183" t="str">
        <x:v>C-0863</x:v>
      </x:c>
      <x:c r="N48" s="184" t="str">
        <x:v>Platform/Core/CxTriggerProfile.cs</x:v>
      </x:c>
      <x:c r="O48" s="183" t="str">
        <x:v>V1.19旧源码类型（真实成员/实现仍待核）
V2.01：来源ID对应；处置=保留源码·公开契约复核
V7.8：V7.8同名且源文件对应；Platform/Core/CxTriggerProfile.cs</x:v>
      </x:c>
      <x:c r="P48" s="136" t="str">
        <x:v>V1.19旧源码类型（真实成员/实现仍待核）</x:v>
      </x:c>
      <x:c r="Q48"/>
      <x:c r="R48"/>
      <x:c r="S48"/>
    </x:row>
    <x:row r="49" ht="72" customHeight="1">
      <x:c r="A49" s="179" t="str">
        <x:v>M23</x:v>
      </x:c>
      <x:c r="B49" s="180" t="str">
        <x:v>编排与执行｜Trigger / Subscription / Reactive
Triggers Subscriptions</x:v>
      </x:c>
      <x:c r="C49" s="180" t="str">
        <x:v>MTSCxTriggerProfile</x:v>
      </x:c>
      <x:c r="D49" s="179" t="str">
        <x:v>原有·待核</x:v>
      </x:c>
      <x:c r="E49" s="180" t="str">
        <x:v>负责触发配置档案相关的触发与公共契约管理</x:v>
      </x:c>
      <x:c r="F49" s="180" t="str">
        <x:v>Mode, SourceRef, Edge, Delay, Debounce, Interval</x:v>
      </x:c>
      <x:c r="G49" s="180" t="str">
        <x:v>Validate(), Clone(), ToSoftwareDefinition(string id, CxEventContract eventContract = null)</x:v>
      </x:c>
      <x:c r="H49" s="180" t="str">
        <x:v>—（待核）</x:v>
      </x:c>
      <x:c r="I49" s="180" t="str">
        <x:v>CxVisual.Core.CxTriggerProfile</x:v>
      </x:c>
      <x:c r="J49" s="179" t="str">
        <x:v>类</x:v>
      </x:c>
      <x:c r="K49" s="180" t="str">
        <x:v>V1.19 C-0864；原实施方式：原有。迁移风险：负责触发配置档案相关的触发与公共契约管理</x:v>
      </x:c>
      <x:c r="L49" s="183" t="str">
        <x:v>源代码声明·待复核</x:v>
      </x:c>
      <x:c r="M49" s="183" t="str">
        <x:v>C-0864</x:v>
      </x:c>
      <x:c r="N49" s="184" t="str">
        <x:v>Platform/Core/CxTriggerProfile.cs</x:v>
      </x:c>
      <x:c r="O49" s="183" t="str">
        <x:v>V1.19旧源码类型（真实成员/实现仍待核）
V2.01：来源ID对应；处置=保留源码·公开契约复核
V7.8：V7.8同名且源文件对应；Platform/Core/CxTriggerProfile.cs</x:v>
      </x:c>
      <x:c r="P49" s="136" t="str">
        <x:v>V1.19旧源码类型（真实成员/实现仍待核）</x:v>
      </x:c>
      <x:c r="Q49"/>
      <x:c r="R49"/>
      <x:c r="S49"/>
    </x:row>
    <x:row r="50" ht="72" customHeight="1">
      <x:c r="A50" s="179" t="str">
        <x:v>M23</x:v>
      </x:c>
      <x:c r="B50" s="180" t="str">
        <x:v>编排与执行｜Trigger / Subscription / Reactive
Triggers Subscriptions</x:v>
      </x:c>
      <x:c r="C50" s="180" t="str">
        <x:v>MTSCxTriggerPulse</x:v>
      </x:c>
      <x:c r="D50" s="179" t="str">
        <x:v>原有·待核</x:v>
      </x:c>
      <x:c r="E50" s="180" t="str">
        <x:v>表达或管理触发Pulse相关的数据及协作职责，具体行为待源码复核〔待核〕</x:v>
      </x:c>
      <x:c r="F50" s="180" t="str">
        <x:v>TriggerId, Kind, Sequence, Timestamp, MonotonicTimestamp, EventId, EventSequence, Source, CorrelationId, CausationId</x:v>
      </x:c>
      <x:c r="G50" s="180" t="str">
        <x:v>CxTriggerPulse(string id, CxTriggerType kind, long sequence, long timestamp, DateTime utc, JToken payload, CxRuntimeEvent …), DeepClone()</x:v>
      </x:c>
      <x:c r="H50" s="180" t="str">
        <x:v>—（待核）</x:v>
      </x:c>
      <x:c r="I50" s="180" t="str">
        <x:v>CxVisual.Platform.Orchestration.CxTriggerPulse</x:v>
      </x:c>
      <x:c r="J50" s="179" t="str">
        <x:v>类</x:v>
      </x:c>
      <x:c r="K50" s="180" t="str">
        <x:v>V1.19 C-0866；原实施方式：原有。迁移风险：表达或管理触发Pulse相关的数据及协作职责，具体行为待源码复核〔待核〕</x:v>
      </x:c>
      <x:c r="L50" s="183" t="str">
        <x:v>源代码声明·待复核</x:v>
      </x:c>
      <x:c r="M50" s="183" t="str">
        <x:v>C-0866</x:v>
      </x:c>
      <x:c r="N50" s="184" t="str">
        <x:v>Platform/Orchestration/Runtime/CxTriggerRuntime.cs</x:v>
      </x:c>
      <x:c r="O50" s="183" t="str">
        <x:v>V1.19旧源码类型（真实成员/实现仍待核）
V2.01：来源ID对应；处置=保留源码·公开契约复核
V7.8：V7.8同名且源文件对应；Platform/Orchestration/Runtime/CxTriggerRuntime.cs</x:v>
      </x:c>
      <x:c r="P50" s="136" t="str">
        <x:v>V1.19旧源码类型（真实成员/实现仍待核）</x:v>
      </x:c>
      <x:c r="Q50"/>
      <x:c r="R50"/>
      <x:c r="S50"/>
    </x:row>
    <x:row r="51" ht="135" customHeight="1">
      <x:c r="A51" s="179" t="str">
        <x:v>M23</x:v>
      </x:c>
      <x:c r="B51" s="180" t="str">
        <x:v>编排与执行｜Trigger / Subscription / Reactive
Triggers Subscriptions</x:v>
      </x:c>
      <x:c r="C51" s="180" t="str">
        <x:v>MTSCxTriggerRuntime</x:v>
      </x:c>
      <x:c r="D51" s="179" t="str">
        <x:v>原有·待核</x:v>
      </x:c>
      <x:c r="E51" s="180" t="str">
        <x:v>承担触发运行时执行期状态维护与处理，和工程定义分离</x:v>
      </x:c>
      <x:c r="F51" s="180" t="str">
        <x:v>TriggerId, Status, Fault, Accepted, Dispatched, Suppressed, Failed, PhysicalCompletion</x:v>
      </x:c>
      <x:c r="G51" s="180" t="str">
        <x:v>CxTriggerRuntime(CxTriggerDefinition definition, RuntimeContext context, Func&lt;CxTriggerPulse, CancellationToken, Task&lt;bool&gt;&gt;…), Clone(), DemandStart(), StartAsync(CancellationToken cancellationToken = default(CancellationToken); FireAsync(JToken payload = null, CancellationToken cancellationToken = default(CancellationToken); RequestStopFromOwner(); StopAsync(CancellationToken cancellationToken = default(CancellationToken); DrainAsync(CancellationToken cancellationToken = default(CancellationToken)</x:v>
      </x:c>
      <x:c r="H51" s="180" t="str">
        <x:v>—（待核）</x:v>
      </x:c>
      <x:c r="I51" s="180" t="str">
        <x:v>CxVisual.Platform.Orchestration.CxTriggerRuntime</x:v>
      </x:c>
      <x:c r="J51" s="179" t="str">
        <x:v>类</x:v>
      </x:c>
      <x:c r="K51" s="180" t="str">
        <x:v>V1.19 C-0867；原实施方式：原有。迁移风险：承担触发运行时执行期状态维护与处理，和工程定义分离</x:v>
      </x:c>
      <x:c r="L51" s="183" t="str">
        <x:v>源代码声明·待复核</x:v>
      </x:c>
      <x:c r="M51" s="183" t="str">
        <x:v>C-0867</x:v>
      </x:c>
      <x:c r="N51" s="184" t="str">
        <x:v>Platform/Orchestration/Runtime/CxTriggerRuntime.cs</x:v>
      </x:c>
      <x:c r="O51" s="183" t="str">
        <x:v>V1.19旧源码类型（真实成员/实现仍待核）
V2.01：来源ID对应；处置=保留源码·公开契约复核
V7.8：V7.8同名且源文件对应；Platform/Orchestration/Runtime/CxTriggerRuntime.cs</x:v>
      </x:c>
      <x:c r="P51" s="136" t="str">
        <x:v>V1.19旧源码类型（真实成员/实现仍待核）</x:v>
      </x:c>
      <x:c r="Q51"/>
      <x:c r="R51"/>
      <x:c r="S51"/>
    </x:row>
    <x:row r="52" ht="72" customHeight="1">
      <x:c r="A52" s="179" t="str">
        <x:v>M23</x:v>
      </x:c>
      <x:c r="B52" s="180" t="str">
        <x:v>编排与执行｜Trigger / Subscription / Reactive
Triggers Subscriptions</x:v>
      </x:c>
      <x:c r="C52" s="180" t="str">
        <x:v>MTSCxTriggerRuntimeStatus</x:v>
      </x:c>
      <x:c r="D52" s="179" t="str">
        <x:v>原有·待核</x:v>
      </x:c>
      <x:c r="E52" s="180" t="str">
        <x:v>定义触发运行时状态的候选取值、状态或模式，供相关流程作分支判断</x:v>
      </x:c>
      <x:c r="F52" s="180" t="str">
        <x:v>枚举值：Created, Running, Stopping, Closed, Faulted</x:v>
      </x:c>
      <x:c r="G52" s="180" t="str">
        <x:v>—(无公开声明或待核对)</x:v>
      </x:c>
      <x:c r="H52" s="180" t="str">
        <x:v>—（待核）</x:v>
      </x:c>
      <x:c r="I52" s="180" t="str">
        <x:v>CxVisual.Platform.Orchestration.CxTriggerRuntimeStatus</x:v>
      </x:c>
      <x:c r="J52" s="179" t="str">
        <x:v>枚举</x:v>
      </x:c>
      <x:c r="K52" s="180" t="str">
        <x:v>V1.19 C-0869；原实施方式：原有。迁移风险：定义触发运行时状态的候选取值、状态或模式，供相关流程作分支判断</x:v>
      </x:c>
      <x:c r="L52" s="183" t="str">
        <x:v>源代码声明·待复核</x:v>
      </x:c>
      <x:c r="M52" s="183" t="str">
        <x:v>C-0869</x:v>
      </x:c>
      <x:c r="N52" s="184" t="str">
        <x:v>Platform/Orchestration/Runtime/CxTriggerRuntime.cs</x:v>
      </x:c>
      <x:c r="O52" s="183" t="str">
        <x:v>V1.19旧源码类型（真实成员/实现仍待核）
V2.01：来源ID对应；处置=保留源码·公开契约复核
V7.8：V7.8同名且源文件对应；Platform/Orchestration/Runtime/CxTriggerRuntime.cs</x:v>
      </x:c>
      <x:c r="P52" s="136" t="str">
        <x:v>V1.19旧源码类型（真实成员/实现仍待核）</x:v>
      </x:c>
      <x:c r="Q52"/>
      <x:c r="R52"/>
      <x:c r="S52"/>
    </x:row>
    <x:row r="53" ht="72" customHeight="1">
      <x:c r="A53" s="179" t="str">
        <x:v>M23</x:v>
      </x:c>
      <x:c r="B53" s="180" t="str">
        <x:v>编排与执行｜Trigger / Subscription / Reactive
Triggers Subscriptions</x:v>
      </x:c>
      <x:c r="C53" s="180" t="str">
        <x:v>MTSCxTriggerType</x:v>
      </x:c>
      <x:c r="D53" s="179" t="str">
        <x:v>原有·待核</x:v>
      </x:c>
      <x:c r="E53" s="180" t="str">
        <x:v>定义触发类型的候选取值、状态或模式，供相关流程作分支判断</x:v>
      </x:c>
      <x:c r="F53" s="180" t="str">
        <x:v>枚举值：Manual, Event, Timer, Condition</x:v>
      </x:c>
      <x:c r="G53" s="180" t="str">
        <x:v>—(无公开声明或待核对)</x:v>
      </x:c>
      <x:c r="H53" s="180" t="str">
        <x:v>—（待核）</x:v>
      </x:c>
      <x:c r="I53" s="180" t="str">
        <x:v>CxVisual.Core.CxTriggerType</x:v>
      </x:c>
      <x:c r="J53" s="179" t="str">
        <x:v>枚举</x:v>
      </x:c>
      <x:c r="K53" s="180" t="str">
        <x:v>V1.19 C-0865；原实施方式：原有。迁移风险：定义触发类型的候选取值、状态或模式，供相关流程作分支判断</x:v>
      </x:c>
      <x:c r="L53" s="183" t="str">
        <x:v>源代码声明·待复核</x:v>
      </x:c>
      <x:c r="M53" s="183" t="str">
        <x:v>C-0865</x:v>
      </x:c>
      <x:c r="N53" s="184" t="str">
        <x:v>Platform/Core/CxLogicAspect.cs</x:v>
      </x:c>
      <x:c r="O53" s="183" t="str">
        <x:v>V1.19旧源码类型（真实成员/实现仍待核）
V2.01：来源ID对应；处置=保留源码·公开契约复核
V7.8：V7.8同名且源文件对应；Platform/Core/CxLogicAspect.cs</x:v>
      </x:c>
      <x:c r="P53" s="136" t="str">
        <x:v>V1.19旧源码类型（真实成员/实现仍待核）</x:v>
      </x:c>
      <x:c r="Q53"/>
      <x:c r="R53"/>
      <x:c r="S53"/>
    </x:row>
    <x:row r="54" ht="72" customHeight="1">
      <x:c r="A54" s="179" t="str">
        <x:v>M23</x:v>
      </x:c>
      <x:c r="B54" s="180" t="str">
        <x:v>编排与执行｜Trigger / Subscription / Reactive
Triggers Subscriptions</x:v>
      </x:c>
      <x:c r="C54" s="180" t="str">
        <x:v>MTSEntry</x:v>
      </x:c>
      <x:c r="D54" s="179" t="str">
        <x:v>原有·待核</x:v>
      </x:c>
      <x:c r="E54" s="180" t="str">
        <x:v>表达或管理Entry相关的数据及协作职责，具体行为待源码复核〔待核〕</x:v>
      </x:c>
      <x:c r="F54" s="180" t="str">
        <x:v>—（无公开声明或待核对）</x:v>
      </x:c>
      <x:c r="G54" s="180" t="str">
        <x:v>—(无公开声明或待核对)</x:v>
      </x:c>
      <x:c r="H54" s="180" t="str">
        <x:v>—（待核）</x:v>
      </x:c>
      <x:c r="I54" s="180" t="str">
        <x:v>CxVisual.Platform.Orchestration.CxTriggerRuntime.Entry</x:v>
      </x:c>
      <x:c r="J54" s="179" t="str">
        <x:v>类</x:v>
      </x:c>
      <x:c r="K54" s="180" t="str">
        <x:v>V1.19 C-0868；原实施方式：原有。迁移风险：表达或管理Entry相关的数据及协作职责，具体行为待源码复核〔待核〕</x:v>
      </x:c>
      <x:c r="L54" s="183" t="str">
        <x:v>源代码声明·待复核</x:v>
      </x:c>
      <x:c r="M54" s="183" t="str">
        <x:v>C-0868</x:v>
      </x:c>
      <x:c r="N54" s="184" t="str">
        <x:v>Platform/Core/SpatialIndex.cs; Platform/Data/CxStreamHandle.cs; Platform/Simulation/CxSimulationRuntime.cs; Platform/Workbench/Drawing/CxCanvasHost.cs</x:v>
      </x:c>
      <x:c r="O54" s="183" t="str">
        <x:v>V1.19旧源码类型（真实成员/实现仍待核）
V2.01：来源ID对应；处置=保留源码·公开契约复核
V7.8：V7.8同名且源文件对应；Platform/Core/SpatialIndex.cs</x:v>
      </x:c>
      <x:c r="P54" s="136" t="str">
        <x:v>V1.19旧源码类型（真实成员/实现仍待核）</x:v>
      </x:c>
      <x:c r="Q54"/>
      <x:c r="R54"/>
      <x:c r="S54"/>
    </x:row>
    <x:row r="55" ht="72" customHeight="1">
      <x:c r="A55" s="179" t="str">
        <x:v>M23</x:v>
      </x:c>
      <x:c r="B55" s="180" t="str">
        <x:v>编排与执行｜Trigger / Subscription / Reactive
Triggers Subscriptions</x:v>
      </x:c>
      <x:c r="C55" s="180" t="str">
        <x:v>MTSEventFilterDefinition</x:v>
      </x:c>
      <x:c r="D55" s="179" t="str">
        <x:v>增构候选·待查重</x:v>
      </x:c>
      <x:c r="E55" s="180" t="str">
        <x:v>过滤/去抖</x:v>
      </x:c>
      <x:c r="F55" s="180" t="str">
        <x:v>Expression；Debounce；Throttle</x:v>
      </x:c>
      <x:c r="G55" s="180" t="str">
        <x:v>过滤/去抖</x:v>
      </x:c>
      <x:c r="H55" s="180" t="str">
        <x:v>待逐对象核实</x:v>
      </x:c>
      <x:c r="I55" s="180" t="str">
        <x:v>EventFilterDefinition</x:v>
      </x:c>
      <x:c r="J55" s="179" t="str">
        <x:v>类/实例候选</x:v>
      </x:c>
      <x:c r="K55" s="180" t="str">
        <x:v>生命周期：Definition</x:v>
      </x:c>
      <x:c r="L55" s="183" t="str">
        <x:v>设计候选，尚待源码验证</x:v>
      </x:c>
      <x:c r="M55" s="183" t="str">
        <x:v>M23.EventFilterDefinition</x:v>
      </x:c>
      <x:c r="N55" s="184" t="str">
        <x:v>03_能力对象!C183</x:v>
      </x:c>
      <x:c r="O55" s="183" t="str">
        <x:v>V4.9对象/属性/方法
V2.01：名称/子方面线索；处置=规划独立契约候选·未批准新增
V7.8：V7.8未检出同名词法声明</x:v>
      </x:c>
      <x:c r="P55" s="136" t="str">
        <x:v>V4.9对象/属性/方法</x:v>
      </x:c>
      <x:c r="Q55"/>
      <x:c r="R55"/>
      <x:c r="S55"/>
    </x:row>
    <x:row r="56" ht="72" customHeight="1">
      <x:c r="A56" s="179" t="str">
        <x:v>M23</x:v>
      </x:c>
      <x:c r="B56" s="180" t="str">
        <x:v>编排与执行｜Trigger / Subscription / Reactive
Triggers Subscriptions</x:v>
      </x:c>
      <x:c r="C56" s="180" t="str">
        <x:v>MTSReactiveFlowDefinition</x:v>
      </x:c>
      <x:c r="D56" s="179" t="str">
        <x:v>增构候选·待查重</x:v>
      </x:c>
      <x:c r="E56" s="180" t="str">
        <x:v>响应式网络</x:v>
      </x:c>
      <x:c r="F56" s="180" t="str">
        <x:v>Subscriptions；Rules；Actions</x:v>
      </x:c>
      <x:c r="G56" s="180" t="str">
        <x:v>响应式网络</x:v>
      </x:c>
      <x:c r="H56" s="180" t="str">
        <x:v>待逐对象核实</x:v>
      </x:c>
      <x:c r="I56" s="180" t="str">
        <x:v>ReactiveFlowDefinition</x:v>
      </x:c>
      <x:c r="J56" s="179" t="str">
        <x:v>类/实例候选</x:v>
      </x:c>
      <x:c r="K56" s="180" t="str">
        <x:v>生命周期：Definition</x:v>
      </x:c>
      <x:c r="L56" s="183" t="str">
        <x:v>设计候选，尚待源码验证</x:v>
      </x:c>
      <x:c r="M56" s="183" t="str">
        <x:v>M23.ReactiveFlowDefinition</x:v>
      </x:c>
      <x:c r="N56" s="184" t="str">
        <x:v>03_能力对象!C184</x:v>
      </x:c>
      <x:c r="O56" s="183" t="str">
        <x:v>V4.9对象/属性/方法
V2.01：名称/子方面线索；处置=规划独立契约候选·未批准新增
V7.8：V7.8未检出同名词法声明</x:v>
      </x:c>
      <x:c r="P56" s="136" t="str">
        <x:v>V4.9对象/属性/方法</x:v>
      </x:c>
      <x:c r="Q56"/>
      <x:c r="R56"/>
      <x:c r="S56"/>
    </x:row>
    <x:row r="57" ht="72" customHeight="1">
      <x:c r="A57" s="179" t="str">
        <x:v>M23</x:v>
      </x:c>
      <x:c r="B57" s="180" t="str">
        <x:v>编排与执行｜Trigger / Subscription / Reactive
Triggers Subscriptions</x:v>
      </x:c>
      <x:c r="C57" s="180" t="str">
        <x:v>MTSSubscriptionHandle</x:v>
      </x:c>
      <x:c r="D57" s="179" t="str">
        <x:v>增构候选·待查重</x:v>
      </x:c>
      <x:c r="E57" s="180" t="str">
        <x:v>订阅生命周期</x:v>
      </x:c>
      <x:c r="F57" s="180" t="str">
        <x:v>Source；Filter；Dispose</x:v>
      </x:c>
      <x:c r="G57" s="180" t="str">
        <x:v>订阅生命周期</x:v>
      </x:c>
      <x:c r="H57" s="180" t="str">
        <x:v>待逐对象核实</x:v>
      </x:c>
      <x:c r="I57" s="180" t="str">
        <x:v>运行对象/模型</x:v>
      </x:c>
      <x:c r="J57" s="179" t="str">
        <x:v>类/实例候选</x:v>
      </x:c>
      <x:c r="K57" s="180" t="str">
        <x:v>生命周期：Runtime</x:v>
      </x:c>
      <x:c r="L57" s="183" t="str">
        <x:v>设计候选，尚待源码验证</x:v>
      </x:c>
      <x:c r="M57" s="183" t="str">
        <x:v>M23.SubscriptionHandle</x:v>
      </x:c>
      <x:c r="N57" s="184" t="str">
        <x:v>03_能力对象!C185</x:v>
      </x:c>
      <x:c r="O57" s="183" t="str">
        <x:v>V4.9对象/属性/方法
V2.01：名称/子方面线索；处置=规划独立契约候选·未批准新增
V7.8：V7.8未检出同名词法声明</x:v>
      </x:c>
      <x:c r="P57" s="136" t="str">
        <x:v>V4.9对象/属性/方法</x:v>
      </x:c>
      <x:c r="Q57"/>
      <x:c r="R57"/>
      <x:c r="S57"/>
    </x:row>
    <x:row r="58" ht="72" customHeight="1">
      <x:c r="A58" s="179" t="str">
        <x:v>M23</x:v>
      </x:c>
      <x:c r="B58" s="180" t="str">
        <x:v>编排与执行｜Trigger / Subscription / Reactive
Triggers Subscriptions</x:v>
      </x:c>
      <x:c r="C58" s="180" t="str">
        <x:v>MTSTriggerDefinition</x:v>
      </x:c>
      <x:c r="D58" s="179" t="str">
        <x:v>增构候选·待查重</x:v>
      </x:c>
      <x:c r="E58" s="180" t="str">
        <x:v>事件触发</x:v>
      </x:c>
      <x:c r="F58" s="180" t="str">
        <x:v>SourceKind；SourceRef；Filter；Target</x:v>
      </x:c>
      <x:c r="G58" s="180" t="str">
        <x:v>事件触发</x:v>
      </x:c>
      <x:c r="H58" s="180" t="str">
        <x:v>待逐对象核实</x:v>
      </x:c>
      <x:c r="I58" s="180" t="str">
        <x:v>TriggerDefinition</x:v>
      </x:c>
      <x:c r="J58" s="179" t="str">
        <x:v>类/实例候选</x:v>
      </x:c>
      <x:c r="K58" s="180" t="str">
        <x:v>生命周期：Definition</x:v>
      </x:c>
      <x:c r="L58" s="183" t="str">
        <x:v>设计候选，尚待源码验证</x:v>
      </x:c>
      <x:c r="M58" s="183" t="str">
        <x:v>M23.TriggerDefinition</x:v>
      </x:c>
      <x:c r="N58" s="184" t="str">
        <x:v>03_能力对象!C186</x:v>
      </x:c>
      <x:c r="O58" s="183" t="str">
        <x:v>V4.9对象/属性/方法
V2.01：名称/子方面线索；处置=规划独立契约候选·未批准新增
V7.8：V7.8未检出同名词法声明</x:v>
      </x:c>
      <x:c r="P58" s="136" t="str">
        <x:v>V4.9对象/属性/方法</x:v>
      </x:c>
      <x:c r="Q58"/>
      <x:c r="R58"/>
      <x:c r="S58"/>
    </x:row>
    <x:row r="59" ht="72" customHeight="1">
      <x:c r="A59" s="179" t="str">
        <x:v>M24</x:v>
      </x:c>
      <x:c r="B59" s="180" t="str">
        <x:v>编排与执行｜Invocation / Composition / MultiInstance
Invocation Composition</x:v>
      </x:c>
      <x:c r="C59" s="180" t="str">
        <x:v>MICAggregationPolicy</x:v>
      </x:c>
      <x:c r="D59" s="179" t="str">
        <x:v>增构候选·待查重</x:v>
      </x:c>
      <x:c r="E59" s="180" t="str">
        <x:v>结果聚合</x:v>
      </x:c>
      <x:c r="F59" s="180" t="str">
        <x:v>Mode；Key；Timeout；Partial；Reducer</x:v>
      </x:c>
      <x:c r="G59" s="180" t="str">
        <x:v>结果聚合</x:v>
      </x:c>
      <x:c r="H59" s="180" t="str">
        <x:v>待逐对象核实</x:v>
      </x:c>
      <x:c r="I59" s="180" t="str">
        <x:v>AggregationPolicy</x:v>
      </x:c>
      <x:c r="J59" s="179" t="str">
        <x:v>类/实例候选</x:v>
      </x:c>
      <x:c r="K59" s="180" t="str">
        <x:v>生命周期：Definition</x:v>
      </x:c>
      <x:c r="L59" s="183" t="str">
        <x:v>设计候选，尚待源码验证</x:v>
      </x:c>
      <x:c r="M59" s="183" t="str">
        <x:v>M24.AggregationPolicy</x:v>
      </x:c>
      <x:c r="N59" s="184"/>
      <x:c r="O59" s="183" t="str">
        <x:v>V4.9对象/属性/方法
V2.01：未匹配V2.01；处置=暂无可信对应
V7.8：V7.8未检出同名词法声明</x:v>
      </x:c>
      <x:c r="P59" s="136" t="str">
        <x:v>V4.9对象/属性/方法</x:v>
      </x:c>
      <x:c r="Q59"/>
      <x:c r="R59"/>
      <x:c r="S59"/>
    </x:row>
    <x:row r="60" ht="72" customHeight="1">
      <x:c r="A60" s="179" t="str">
        <x:v>M24</x:v>
      </x:c>
      <x:c r="B60" s="180" t="str">
        <x:v>编排与执行｜Invocation / Composition / MultiInstance
Invocation Composition</x:v>
      </x:c>
      <x:c r="C60" s="180" t="str">
        <x:v>MICInvocationHandle</x:v>
      </x:c>
      <x:c r="D60" s="179" t="str">
        <x:v>增构候选·待查重</x:v>
      </x:c>
      <x:c r="E60" s="180" t="str">
        <x:v>异步调用</x:v>
      </x:c>
      <x:c r="F60" s="180" t="str">
        <x:v>InvocationId；ChildInstance；State；Progress；Cancel</x:v>
      </x:c>
      <x:c r="G60" s="180" t="str">
        <x:v>异步调用</x:v>
      </x:c>
      <x:c r="H60" s="180" t="str">
        <x:v>待逐对象核实</x:v>
      </x:c>
      <x:c r="I60" s="180" t="str">
        <x:v>运行对象/模型</x:v>
      </x:c>
      <x:c r="J60" s="179" t="str">
        <x:v>类/实例候选</x:v>
      </x:c>
      <x:c r="K60" s="180" t="str">
        <x:v>生命周期：Runtime</x:v>
      </x:c>
      <x:c r="L60" s="183" t="str">
        <x:v>设计候选，尚待源码验证</x:v>
      </x:c>
      <x:c r="M60" s="183" t="str">
        <x:v>M24.InvocationHandle</x:v>
      </x:c>
      <x:c r="N60" s="184"/>
      <x:c r="O60" s="183" t="str">
        <x:v>V4.9对象/属性/方法
V2.01：未匹配V2.01；处置=暂无可信对应
V7.8：V7.8未检出同名词法声明</x:v>
      </x:c>
      <x:c r="P60" s="136" t="str">
        <x:v>V4.9对象/属性/方法</x:v>
      </x:c>
      <x:c r="Q60"/>
      <x:c r="R60"/>
      <x:c r="S60"/>
    </x:row>
    <x:row r="61" ht="72" customHeight="1">
      <x:c r="A61" s="179" t="str">
        <x:v>M24</x:v>
      </x:c>
      <x:c r="B61" s="180" t="str">
        <x:v>编排与执行｜Invocation / Composition / MultiInstance
Invocation Composition</x:v>
      </x:c>
      <x:c r="C61" s="180" t="str">
        <x:v>MICInvocationResult</x:v>
      </x:c>
      <x:c r="D61" s="179" t="str">
        <x:v>增构候选·待查重</x:v>
      </x:c>
      <x:c r="E61" s="180" t="str">
        <x:v>调用结果</x:v>
      </x:c>
      <x:c r="F61" s="180" t="str">
        <x:v>Status；Outputs；Fault；Diagnostics</x:v>
      </x:c>
      <x:c r="G61" s="180" t="str">
        <x:v>调用结果</x:v>
      </x:c>
      <x:c r="H61" s="180" t="str">
        <x:v>待逐对象核实</x:v>
      </x:c>
      <x:c r="I61" s="180" t="str">
        <x:v>运行对象/模型</x:v>
      </x:c>
      <x:c r="J61" s="179" t="str">
        <x:v>类/实例候选</x:v>
      </x:c>
      <x:c r="K61" s="180" t="str">
        <x:v>生命周期：Runtime</x:v>
      </x:c>
      <x:c r="L61" s="183" t="str">
        <x:v>设计候选，尚待源码验证</x:v>
      </x:c>
      <x:c r="M61" s="183" t="str">
        <x:v>M24.InvocationResult</x:v>
      </x:c>
      <x:c r="N61" s="184"/>
      <x:c r="O61" s="183" t="str">
        <x:v>V4.9对象/属性/方法
V2.01：未匹配V2.01；处置=暂无可信对应
V7.8：V7.8未检出同名词法声明</x:v>
      </x:c>
      <x:c r="P61" s="136" t="str">
        <x:v>V4.9对象/属性/方法</x:v>
      </x:c>
    </x:row>
    <x:row r="62" ht="72" customHeight="1">
      <x:c r="A62" s="179" t="str">
        <x:v>M24</x:v>
      </x:c>
      <x:c r="B62" s="180" t="str">
        <x:v>编排与执行｜Invocation / Composition / MultiInstance
Invocation Composition</x:v>
      </x:c>
      <x:c r="C62" s="180" t="str">
        <x:v>MICInvocationSpec</x:v>
      </x:c>
      <x:c r="D62" s="179" t="str">
        <x:v>复用待核</x:v>
      </x:c>
      <x:c r="E62" s="180" t="str">
        <x:v>调用定义</x:v>
      </x:c>
      <x:c r="F62" s="180" t="str">
        <x:v>TargetRef；Version；InputMap；OutputMap；Placement；Policy</x:v>
      </x:c>
      <x:c r="G62" s="180" t="str">
        <x:v>调用定义</x:v>
      </x:c>
      <x:c r="H62" s="180" t="str">
        <x:v>待逐对象核实</x:v>
      </x:c>
      <x:c r="I62" s="180" t="str">
        <x:v>InvocationSpec</x:v>
      </x:c>
      <x:c r="J62" s="179" t="str">
        <x:v>类/实例候选</x:v>
      </x:c>
      <x:c r="K62" s="180" t="str">
        <x:v>生命周期：Definition</x:v>
      </x:c>
      <x:c r="L62" s="183" t="str">
        <x:v>V7.8源码词法匹配，尚未验收</x:v>
      </x:c>
      <x:c r="M62" s="183" t="str">
        <x:v>M24.InvocationSpec</x:v>
      </x:c>
      <x:c r="N62" s="184" t="str">
        <x:v>Platform/Orchestration/Invocation/InvocationContracts.cs</x:v>
      </x:c>
      <x:c r="O62" s="183" t="str">
        <x:v>V4.9对象/属性/方法
V2.01：未匹配V2.01；处置=暂无可信对应
V7.8：V7.8同名且源文件对应；Platform/Orchestration/Invocation/InvocationContracts.cs</x:v>
      </x:c>
      <x:c r="P62" s="136" t="str">
        <x:v>V4.9对象/属性/方法</x:v>
      </x:c>
    </x:row>
    <x:row r="63" ht="72" customHeight="1">
      <x:c r="A63" s="179" t="str">
        <x:v>M24</x:v>
      </x:c>
      <x:c r="B63" s="180" t="str">
        <x:v>编排与执行｜Invocation / Composition / MultiInstance
Invocation Composition</x:v>
      </x:c>
      <x:c r="C63" s="180" t="str">
        <x:v>MICJobHandle</x:v>
      </x:c>
      <x:c r="D63" s="179" t="str">
        <x:v>增构候选·待查重</x:v>
      </x:c>
      <x:c r="E63" s="180" t="str">
        <x:v>长任务</x:v>
      </x:c>
      <x:c r="F63" s="180" t="str">
        <x:v>JobId；Progress；State；Cancel；Result</x:v>
      </x:c>
      <x:c r="G63" s="180" t="str">
        <x:v>长任务</x:v>
      </x:c>
      <x:c r="H63" s="180" t="str">
        <x:v>待逐对象核实</x:v>
      </x:c>
      <x:c r="I63" s="180" t="str">
        <x:v>运行对象/模型</x:v>
      </x:c>
      <x:c r="J63" s="179" t="str">
        <x:v>类/实例候选</x:v>
      </x:c>
      <x:c r="K63" s="180" t="str">
        <x:v>生命周期：Runtime</x:v>
      </x:c>
      <x:c r="L63" s="183" t="str">
        <x:v>设计候选，尚待源码验证</x:v>
      </x:c>
      <x:c r="M63" s="183" t="str">
        <x:v>M24.JobHandle</x:v>
      </x:c>
      <x:c r="N63" s="184"/>
      <x:c r="O63" s="183" t="str">
        <x:v>V4.9对象/属性/方法
V2.01：未匹配V2.01；处置=暂无可信对应
V7.8：V7.8未检出同名词法声明</x:v>
      </x:c>
      <x:c r="P63" s="136" t="str">
        <x:v>V4.9对象/属性/方法</x:v>
      </x:c>
    </x:row>
    <x:row r="64" ht="72" customHeight="1">
      <x:c r="A64" s="179" t="str">
        <x:v>M24</x:v>
      </x:c>
      <x:c r="B64" s="180" t="str">
        <x:v>编排与执行｜Invocation / Composition / MultiInstance
Invocation Composition</x:v>
      </x:c>
      <x:c r="C64" s="180" t="str">
        <x:v>MICMultiInstanceDefinition</x:v>
      </x:c>
      <x:c r="D64" s="179" t="str">
        <x:v>复用待核</x:v>
      </x:c>
      <x:c r="E64" s="180" t="str">
        <x:v>动态多实例</x:v>
      </x:c>
      <x:c r="F64" s="180" t="str">
        <x:v>Collection；ItemVar；Concurrency；CompletionPolicy</x:v>
      </x:c>
      <x:c r="G64" s="180" t="str">
        <x:v>动态多实例</x:v>
      </x:c>
      <x:c r="H64" s="180" t="str">
        <x:v>待逐对象核实</x:v>
      </x:c>
      <x:c r="I64" s="180" t="str">
        <x:v>MultiInstanceDefinition</x:v>
      </x:c>
      <x:c r="J64" s="179" t="str">
        <x:v>类/实例候选</x:v>
      </x:c>
      <x:c r="K64" s="180" t="str">
        <x:v>生命周期：Definition</x:v>
      </x:c>
      <x:c r="L64" s="183" t="str">
        <x:v>V7.8源码词法匹配，尚未验收</x:v>
      </x:c>
      <x:c r="M64" s="183" t="str">
        <x:v>M24.MultiInstanceDefinition</x:v>
      </x:c>
      <x:c r="N64" s="184" t="str">
        <x:v>Platform/Orchestration/Invocation/InvocationContracts.cs</x:v>
      </x:c>
      <x:c r="O64" s="183" t="str">
        <x:v>V4.9对象/属性/方法
V2.01：未匹配V2.01；处置=暂无可信对应
V7.8：V7.8同名且源文件对应；Platform/Orchestration/Invocation/InvocationContracts.cs</x:v>
      </x:c>
      <x:c r="P64" s="136" t="str">
        <x:v>V4.9对象/属性/方法</x:v>
      </x:c>
    </x:row>
    <x:row r="65" ht="72" customHeight="1">
      <x:c r="A65" s="179" t="str">
        <x:v>M24</x:v>
      </x:c>
      <x:c r="B65" s="180" t="str">
        <x:v>编排与执行｜Invocation / Composition / MultiInstance
Invocation Composition</x:v>
      </x:c>
      <x:c r="C65" s="180" t="str">
        <x:v>MICPlacementPolicy</x:v>
      </x:c>
      <x:c r="D65" s="179" t="str">
        <x:v>增构候选·待查重</x:v>
      </x:c>
      <x:c r="E65" s="180" t="str">
        <x:v>执行位置</x:v>
      </x:c>
      <x:c r="F65" s="180" t="str">
        <x:v>TargetKind；Affinity；Constraints；Fallback</x:v>
      </x:c>
      <x:c r="G65" s="180" t="str">
        <x:v>执行位置</x:v>
      </x:c>
      <x:c r="H65" s="180" t="str">
        <x:v>待逐对象核实</x:v>
      </x:c>
      <x:c r="I65" s="180" t="str">
        <x:v>PlacementPolicy</x:v>
      </x:c>
      <x:c r="J65" s="179" t="str">
        <x:v>类/实例候选</x:v>
      </x:c>
      <x:c r="K65" s="180" t="str">
        <x:v>生命周期：Definition</x:v>
      </x:c>
      <x:c r="L65" s="183" t="str">
        <x:v>设计候选，尚待源码验证</x:v>
      </x:c>
      <x:c r="M65" s="183" t="str">
        <x:v>M24.PlacementPolicy</x:v>
      </x:c>
      <x:c r="N65" s="184"/>
      <x:c r="O65" s="183" t="str">
        <x:v>V4.9对象/属性/方法
V2.01：未匹配V2.01；处置=暂无可信对应
V7.8：V7.8未检出同名词法声明</x:v>
      </x:c>
      <x:c r="P65" s="136" t="str">
        <x:v>V4.9对象/属性/方法</x:v>
      </x:c>
    </x:row>
    <x:row r="66" ht="72" customHeight="1">
      <x:c r="A66" s="179" t="str">
        <x:v>M25</x:v>
      </x:c>
      <x:c r="B66" s="180" t="str">
        <x:v>编排与执行｜Time / Scheduler / Queue
Scheduling Queues</x:v>
      </x:c>
      <x:c r="C66" s="180" t="str">
        <x:v>MSQConcurrencyPolicy</x:v>
      </x:c>
      <x:c r="D66" s="179" t="str">
        <x:v>增构候选·待查重</x:v>
      </x:c>
      <x:c r="E66" s="180" t="str">
        <x:v>并发策略</x:v>
      </x:c>
      <x:c r="F66" s="180" t="str">
        <x:v>MaxConcurrency；Key；Affinity</x:v>
      </x:c>
      <x:c r="G66" s="180" t="str">
        <x:v>并发策略</x:v>
      </x:c>
      <x:c r="H66" s="180" t="str">
        <x:v>待逐对象核实</x:v>
      </x:c>
      <x:c r="I66" s="180" t="str">
        <x:v>ConcurrencyPolicy</x:v>
      </x:c>
      <x:c r="J66" s="179" t="str">
        <x:v>类/实例候选</x:v>
      </x:c>
      <x:c r="K66" s="180" t="str">
        <x:v>生命周期：Definition</x:v>
      </x:c>
      <x:c r="L66" s="183" t="str">
        <x:v>设计候选，尚待源码验证</x:v>
      </x:c>
      <x:c r="M66" s="183" t="str">
        <x:v>M25.ConcurrencyPolicy</x:v>
      </x:c>
      <x:c r="N66" s="184"/>
      <x:c r="O66" s="183" t="str">
        <x:v>V4.9对象/属性/方法
V2.01：未匹配V2.01；处置=暂无可信对应
V7.8：V7.8未检出同名词法声明</x:v>
      </x:c>
      <x:c r="P66" s="136" t="str">
        <x:v>V4.9对象/属性/方法</x:v>
      </x:c>
    </x:row>
    <x:row r="67" ht="72" customHeight="1">
      <x:c r="A67" s="179" t="str">
        <x:v>M25</x:v>
      </x:c>
      <x:c r="B67" s="180" t="str">
        <x:v>编排与执行｜Time / Scheduler / Queue
Scheduling Queues</x:v>
      </x:c>
      <x:c r="C67" s="180" t="str">
        <x:v>MSQCyclicTaskDefinition</x:v>
      </x:c>
      <x:c r="D67" s="179" t="str">
        <x:v>增构候选·待查重</x:v>
      </x:c>
      <x:c r="E67" s="180" t="str">
        <x:v>软实时周期</x:v>
      </x:c>
      <x:c r="F67" s="180" t="str">
        <x:v>Period；Phase；Deadline；JitterPolicy</x:v>
      </x:c>
      <x:c r="G67" s="180" t="str">
        <x:v>软实时周期</x:v>
      </x:c>
      <x:c r="H67" s="180" t="str">
        <x:v>待逐对象核实</x:v>
      </x:c>
      <x:c r="I67" s="180" t="str">
        <x:v>CyclicTaskDefinition</x:v>
      </x:c>
      <x:c r="J67" s="179" t="str">
        <x:v>类/实例候选</x:v>
      </x:c>
      <x:c r="K67" s="180" t="str">
        <x:v>生命周期：Definition</x:v>
      </x:c>
      <x:c r="L67" s="183" t="str">
        <x:v>设计候选，尚待源码验证</x:v>
      </x:c>
      <x:c r="M67" s="183" t="str">
        <x:v>M25.CyclicTaskDefinition</x:v>
      </x:c>
      <x:c r="N67" s="184"/>
      <x:c r="O67" s="183" t="str">
        <x:v>V4.9对象/属性/方法
V2.01：未匹配V2.01；处置=暂无可信对应
V7.8：V7.8未检出同名词法声明</x:v>
      </x:c>
      <x:c r="P67" s="136" t="str">
        <x:v>V4.9对象/属性/方法</x:v>
      </x:c>
    </x:row>
    <x:row r="68" ht="72" customHeight="1">
      <x:c r="A68" s="179" t="str">
        <x:v>M25</x:v>
      </x:c>
      <x:c r="B68" s="180" t="str">
        <x:v>编排与执行｜Time / Scheduler / Queue
Scheduling Queues</x:v>
      </x:c>
      <x:c r="C68" s="180" t="str">
        <x:v>MSQIClock</x:v>
      </x:c>
      <x:c r="D68" s="179" t="str">
        <x:v>复用待核</x:v>
      </x:c>
      <x:c r="E68" s="180" t="str">
        <x:v>统一时钟</x:v>
      </x:c>
      <x:c r="F68" s="180" t="str">
        <x:v>Now；Delay；CreateTimer</x:v>
      </x:c>
      <x:c r="G68" s="180" t="str">
        <x:v>统一时钟</x:v>
      </x:c>
      <x:c r="H68" s="180" t="str">
        <x:v>待逐对象核实</x:v>
      </x:c>
      <x:c r="I68" s="180" t="str">
        <x:v>IClock</x:v>
      </x:c>
      <x:c r="J68" s="179" t="str">
        <x:v>接口候选</x:v>
      </x:c>
      <x:c r="K68" s="180" t="str">
        <x:v>生命周期：Runtime</x:v>
      </x:c>
      <x:c r="L68" s="183" t="str">
        <x:v>V7.8源码词法匹配，尚未验收</x:v>
      </x:c>
      <x:c r="M68" s="183" t="str">
        <x:v>M25.IClock</x:v>
      </x:c>
      <x:c r="N68" s="184" t="str">
        <x:v>Platform/Core/Abstractions/RuntimeBoundaries.cs</x:v>
      </x:c>
      <x:c r="O68" s="183" t="str">
        <x:v>V4.9对象/属性/方法
V2.01：未匹配V2.01；处置=暂无可信对应
V7.8：V7.8同名且源文件对应；Platform/Core/Abstractions/RuntimeBoundaries.cs</x:v>
      </x:c>
      <x:c r="P68" s="136" t="str">
        <x:v>V4.9对象/属性/方法</x:v>
      </x:c>
    </x:row>
    <x:row r="69" ht="72" customHeight="1">
      <x:c r="A69" s="179" t="str">
        <x:v>M25</x:v>
      </x:c>
      <x:c r="B69" s="180" t="str">
        <x:v>编排与执行｜Time / Scheduler / Queue
Scheduling Queues</x:v>
      </x:c>
      <x:c r="C69" s="180" t="str">
        <x:v>MSQQueuePolicy</x:v>
      </x:c>
      <x:c r="D69" s="179" t="str">
        <x:v>增构候选·待查重</x:v>
      </x:c>
      <x:c r="E69" s="180" t="str">
        <x:v>队列策略</x:v>
      </x:c>
      <x:c r="F69" s="180" t="str">
        <x:v>Capacity；Priority；Drop；Batch</x:v>
      </x:c>
      <x:c r="G69" s="180" t="str">
        <x:v>队列策略</x:v>
      </x:c>
      <x:c r="H69" s="180" t="str">
        <x:v>待逐对象核实</x:v>
      </x:c>
      <x:c r="I69" s="180" t="str">
        <x:v>QueuePolicy</x:v>
      </x:c>
      <x:c r="J69" s="179" t="str">
        <x:v>类/实例候选</x:v>
      </x:c>
      <x:c r="K69" s="180" t="str">
        <x:v>生命周期：Definition</x:v>
      </x:c>
      <x:c r="L69" s="183" t="str">
        <x:v>设计候选，尚待源码验证</x:v>
      </x:c>
      <x:c r="M69" s="183" t="str">
        <x:v>M25.QueuePolicy</x:v>
      </x:c>
      <x:c r="N69" s="184"/>
      <x:c r="O69" s="183" t="str">
        <x:v>V4.9对象/属性/方法
V2.01：未匹配V2.01；处置=暂无可信对应
V7.8：V7.8未检出同名词法声明</x:v>
      </x:c>
      <x:c r="P69" s="136" t="str">
        <x:v>V4.9对象/属性/方法</x:v>
      </x:c>
    </x:row>
    <x:row r="70" ht="72" customHeight="1">
      <x:c r="A70" s="179" t="str">
        <x:v>M25</x:v>
      </x:c>
      <x:c r="B70" s="180" t="str">
        <x:v>编排与执行｜Time / Scheduler / Queue
Scheduling Queues</x:v>
      </x:c>
      <x:c r="C70" s="180" t="str">
        <x:v>MSQReplayClock</x:v>
      </x:c>
      <x:c r="D70" s="179" t="str">
        <x:v>增构候选·待查重</x:v>
      </x:c>
      <x:c r="E70" s="180" t="str">
        <x:v>回放时钟</x:v>
      </x:c>
      <x:c r="F70" s="180" t="str">
        <x:v>Current；Seek；Speed</x:v>
      </x:c>
      <x:c r="G70" s="180" t="str">
        <x:v>回放时钟</x:v>
      </x:c>
      <x:c r="H70" s="180" t="str">
        <x:v>待逐对象核实</x:v>
      </x:c>
      <x:c r="I70" s="180" t="str">
        <x:v>ReplayClock</x:v>
      </x:c>
      <x:c r="J70" s="179" t="str">
        <x:v>类/实例候选</x:v>
      </x:c>
      <x:c r="K70" s="180" t="str">
        <x:v>生命周期：Runtime</x:v>
      </x:c>
      <x:c r="L70" s="183" t="str">
        <x:v>设计候选，尚待源码验证</x:v>
      </x:c>
      <x:c r="M70" s="183" t="str">
        <x:v>M25.ReplayClock</x:v>
      </x:c>
      <x:c r="N70" s="184"/>
      <x:c r="O70" s="183" t="str">
        <x:v>V4.9对象/属性/方法
V2.01：未匹配V2.01；处置=暂无可信对应
V7.8：V7.8未检出同名词法声明</x:v>
      </x:c>
      <x:c r="P70" s="136" t="str">
        <x:v>V4.9对象/属性/方法</x:v>
      </x:c>
    </x:row>
    <x:row r="71" ht="72" customHeight="1">
      <x:c r="A71" s="179" t="str">
        <x:v>M25</x:v>
      </x:c>
      <x:c r="B71" s="180" t="str">
        <x:v>编排与执行｜Time / Scheduler / Queue
Scheduling Queues</x:v>
      </x:c>
      <x:c r="C71" s="180" t="str">
        <x:v>MSQScheduleDefinition</x:v>
      </x:c>
      <x:c r="D71" s="179" t="str">
        <x:v>增构候选·待查重</x:v>
      </x:c>
      <x:c r="E71" s="180" t="str">
        <x:v>计划任务</x:v>
      </x:c>
      <x:c r="F71" s="180" t="str">
        <x:v>Trigger；Calendar；Timezone；Policy</x:v>
      </x:c>
      <x:c r="G71" s="180" t="str">
        <x:v>计划任务</x:v>
      </x:c>
      <x:c r="H71" s="180" t="str">
        <x:v>待逐对象核实</x:v>
      </x:c>
      <x:c r="I71" s="180" t="str">
        <x:v>ScheduleDefinition</x:v>
      </x:c>
      <x:c r="J71" s="179" t="str">
        <x:v>类/实例候选</x:v>
      </x:c>
      <x:c r="K71" s="180" t="str">
        <x:v>生命周期：Definition</x:v>
      </x:c>
      <x:c r="L71" s="183" t="str">
        <x:v>设计候选，尚待源码验证</x:v>
      </x:c>
      <x:c r="M71" s="183" t="str">
        <x:v>M25.ScheduleDefinition</x:v>
      </x:c>
      <x:c r="N71" s="184"/>
      <x:c r="O71" s="183" t="str">
        <x:v>V4.9对象/属性/方法
V2.01：未匹配V2.01；处置=暂无可信对应
V7.8：V7.8未检出同名词法声明</x:v>
      </x:c>
      <x:c r="P71" s="136" t="str">
        <x:v>V4.9对象/属性/方法</x:v>
      </x:c>
    </x:row>
    <x:row r="72" ht="72" customHeight="1">
      <x:c r="A72" s="179" t="str">
        <x:v>M25</x:v>
      </x:c>
      <x:c r="B72" s="180" t="str">
        <x:v>编排与执行｜Time / Scheduler / Queue
Scheduling Queues</x:v>
      </x:c>
      <x:c r="C72" s="180" t="str">
        <x:v>MSQSimulationClock</x:v>
      </x:c>
      <x:c r="D72" s="179" t="str">
        <x:v>增构候选·待查重</x:v>
      </x:c>
      <x:c r="E72" s="180" t="str">
        <x:v>仿真时钟</x:v>
      </x:c>
      <x:c r="F72" s="180" t="str">
        <x:v>Now；Speed；Pause；Step</x:v>
      </x:c>
      <x:c r="G72" s="180" t="str">
        <x:v>仿真时钟</x:v>
      </x:c>
      <x:c r="H72" s="180" t="str">
        <x:v>待逐对象核实</x:v>
      </x:c>
      <x:c r="I72" s="180" t="str">
        <x:v>SimulationClock</x:v>
      </x:c>
      <x:c r="J72" s="179" t="str">
        <x:v>类/实例候选</x:v>
      </x:c>
      <x:c r="K72" s="180" t="str">
        <x:v>生命周期：Runtime</x:v>
      </x:c>
      <x:c r="L72" s="183" t="str">
        <x:v>设计候选，尚待源码验证</x:v>
      </x:c>
      <x:c r="M72" s="183" t="str">
        <x:v>M25.SimulationClock</x:v>
      </x:c>
      <x:c r="N72" s="184"/>
      <x:c r="O72" s="183" t="str">
        <x:v>V4.9对象/属性/方法
V2.01：未匹配V2.01；处置=暂无可信对应
V7.8：V7.8未检出同名词法声明</x:v>
      </x:c>
      <x:c r="P72" s="136" t="str">
        <x:v>V4.9对象/属性/方法</x:v>
      </x:c>
    </x:row>
    <x:row r="73" ht="72" customHeight="1">
      <x:c r="A73" s="179" t="str">
        <x:v>M25</x:v>
      </x:c>
      <x:c r="B73" s="180" t="str">
        <x:v>编排与执行｜Time / Scheduler / Queue
Scheduling Queues</x:v>
      </x:c>
      <x:c r="C73" s="180" t="str">
        <x:v>MSQSystemClock</x:v>
      </x:c>
      <x:c r="D73" s="179" t="str">
        <x:v>复用待核</x:v>
      </x:c>
      <x:c r="E73" s="180" t="str">
        <x:v>生产时钟</x:v>
      </x:c>
      <x:c r="F73" s="180" t="str">
        <x:v>UtcNow；Timers</x:v>
      </x:c>
      <x:c r="G73" s="180" t="str">
        <x:v>生产时钟</x:v>
      </x:c>
      <x:c r="H73" s="180" t="str">
        <x:v>待逐对象核实</x:v>
      </x:c>
      <x:c r="I73" s="180" t="str">
        <x:v>SystemClock</x:v>
      </x:c>
      <x:c r="J73" s="179" t="str">
        <x:v>类/实例候选</x:v>
      </x:c>
      <x:c r="K73" s="180" t="str">
        <x:v>生命周期：Runtime</x:v>
      </x:c>
      <x:c r="L73" s="183" t="str">
        <x:v>V7.8源码词法匹配，尚未验收</x:v>
      </x:c>
      <x:c r="M73" s="183" t="str">
        <x:v>M25.SystemClock</x:v>
      </x:c>
      <x:c r="N73" s="184" t="str">
        <x:v>Platform/Core/Abstractions/RuntimeBoundaries.cs</x:v>
      </x:c>
      <x:c r="O73" s="183" t="str">
        <x:v>V4.9对象/属性/方法
V2.01：未匹配V2.01；处置=暂无可信对应
V7.8：V7.8同名且源文件对应；Platform/Core/Abstractions/RuntimeBoundaries.cs</x:v>
      </x:c>
      <x:c r="P73" s="136" t="str">
        <x:v>V4.9对象/属性/方法</x:v>
      </x:c>
    </x:row>
  </x:sheetData>
  <x:mergeCells>
    <x:mergeCell ref="A6:A12"/>
    <x:mergeCell ref="A13:A18"/>
    <x:mergeCell ref="A19:A25"/>
    <x:mergeCell ref="A26:A35"/>
    <x:mergeCell ref="A36:A45"/>
    <x:mergeCell ref="A46:A58"/>
    <x:mergeCell ref="A59:A65"/>
    <x:mergeCell ref="A66:A73"/>
    <x:mergeCell ref="A1:P1"/>
    <x:mergeCell ref="A2:P2"/>
    <x:mergeCell ref="A3:P3"/>
    <x:mergeCell ref="A4:P4"/>
    <x:mergeCell ref="B6:B12"/>
    <x:mergeCell ref="B13:B18"/>
    <x:mergeCell ref="B19:B25"/>
    <x:mergeCell ref="B26:B35"/>
    <x:mergeCell ref="B36:B45"/>
    <x:mergeCell ref="B46:B58"/>
    <x:mergeCell ref="B59:B65"/>
    <x:mergeCell ref="B66:B73"/>
  </x:mergeCells>
  <x:pageMargins left="0.7" right="0.7" top="0.75" bottom="0.75" header="0.3" footer="0.3"/>
</x:worksheet>
</file>

<file path=xl/worksheets/sheet1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CxVisual.Mechanism.Runtime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子方面：M26、M27、M28、M29、M30、M31、M32、M33、M34｜来源：V1.19旧类型 + V4.9对象 + V7.8源码 + V5.0/R3架构裁决｜本项目 227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135" customHeight="1">
      <x:c r="A6" s="179" t="str">
        <x:v>M26</x:v>
      </x:c>
      <x:c r="B6" s="180" t="str">
        <x:v>资源与治理｜Runtime Resource / Lease / Placement
Resource Leasing</x:v>
      </x:c>
      <x:c r="C6" s="180" t="str">
        <x:v>IMRLCxResourceProvider</x:v>
      </x:c>
      <x:c r="D6" s="179" t="str">
        <x:v>原有·待核</x:v>
      </x:c>
      <x:c r="E6" s="180" t="str">
        <x:v>资源Provider</x:v>
      </x:c>
      <x:c r="F6" s="180" t="str">
        <x:v>ProviderId</x:v>
      </x:c>
      <x:c r="G6" s="180" t="str">
        <x:v>OpenAsync(CxResourceDefinition definition, CancellationToken cancellationToken = default(CancellationToken); CloseAsync(string resourceId, CancellationToken cancellationToken = default(CancellationToken); AcquireAsync(CxResourceLeaseRequest request, CancellationToken cancellationToken = default(CancellationToken); ReleaseAsync(CxLeaseHandle lease, CancellationToken cancellationToken = default(CancellationToken); GetHealthAsync(string resourceId = null, CancellationToken cancellationToken = default(CancellationToken)</x:v>
      </x:c>
      <x:c r="H6" s="180" t="str">
        <x:v>—（待核）</x:v>
      </x:c>
      <x:c r="I6" s="180" t="str">
        <x:v>CxVisual.Platform.Orchestration.Resources.ICxResourceProvider</x:v>
      </x:c>
      <x:c r="J6" s="179" t="str">
        <x:v>接口</x:v>
      </x:c>
      <x:c r="K6" s="180" t="str">
        <x:v>V1.19 C-0962；原实施方式：原有。迁移风险：资源Provider</x:v>
      </x:c>
      <x:c r="L6" s="183" t="str">
        <x:v>源代码声明·待复核</x:v>
      </x:c>
      <x:c r="M6" s="183" t="str">
        <x:v>C-0962</x:v>
      </x:c>
      <x:c r="N6" s="184" t="str">
        <x:v>Platform/Orchestration/Resources/CxResourceProvider.cs</x:v>
      </x:c>
      <x:c r="O6" s="183" t="str">
        <x:v>V1.19旧源码类型（真实成员/实现仍待核）
V2.01：来源ID对应；处置=保留源码·公开契约复核
V7.8：V7.8同名且源文件对应；Platform/Orchestration/Resources/CxResourceProvider.cs</x:v>
      </x:c>
      <x:c r="P6" s="136" t="str">
        <x:v>V1.19旧源码类型（真实成员/实现仍待核）</x:v>
      </x:c>
      <x:c r="Q6"/>
      <x:c r="R6"/>
      <x:c r="S6"/>
    </x:row>
    <x:row r="7" ht="72" customHeight="1">
      <x:c r="A7" s="179" t="str">
        <x:v>M26</x:v>
      </x:c>
      <x:c r="B7" s="180" t="str">
        <x:v>资源与治理｜Runtime Resource / Lease / Placement
Resource Leasing</x:v>
      </x:c>
      <x:c r="C7" s="180" t="str">
        <x:v>MRLCxLeaseHandle</x:v>
      </x:c>
      <x:c r="D7" s="179" t="str">
        <x:v>原有·待核</x:v>
      </x:c>
      <x:c r="E7" s="180" t="str">
        <x:v>负责租约Handle相关的Lease与公共契约管理</x:v>
      </x:c>
      <x:c r="F7" s="180" t="str">
        <x:v>new, LeaseId, ResourceId, OwnerExecutionId, ProviderId, ResourceType, Capability, Quantity, Exclusive, AcquiredAt, ExpiresAt, Clock, LastError, CancellationToken, State, IsActive, IsReleased, ReleaseCompletion</x:v>
      </x:c>
      <x:c r="G7" s="180" t="str">
        <x:v>CaptureSnapshot(), GetValue(), RenewAsync(TimeSpan duration, CancellationToken cancellationToken = default(CancellationToken); ReleaseAsync(CancellationToken cancellationToken = default(CancellationToken); Dispose()</x:v>
      </x:c>
      <x:c r="H7" s="180" t="str">
        <x:v>—（待核）</x:v>
      </x:c>
      <x:c r="I7" s="180" t="str">
        <x:v>CxVisual.Platform.Orchestration.Resources.CxLeaseHandle</x:v>
      </x:c>
      <x:c r="J7" s="179" t="str">
        <x:v>类</x:v>
      </x:c>
      <x:c r="K7" s="180" t="str">
        <x:v>V1.19 C-0954；原实施方式：原有。迁移风险：负责租约Handle相关的Lease与公共契约管理</x:v>
      </x:c>
      <x:c r="L7" s="183" t="str">
        <x:v>源代码声明·待复核</x:v>
      </x:c>
      <x:c r="M7" s="183" t="str">
        <x:v>C-0954</x:v>
      </x:c>
      <x:c r="N7" s="184" t="str">
        <x:v>Platform/Orchestration/Resources/CxLeaseHandle.cs</x:v>
      </x:c>
      <x:c r="O7" s="183" t="str">
        <x:v>V1.19旧源码类型（真实成员/实现仍待核）
V2.01：来源ID对应；处置=保留源码·公开契约复核
V7.8：V7.8同名且源文件对应；Platform/Orchestration/Resources/CxLeaseHandle.cs</x:v>
      </x:c>
      <x:c r="P7" s="136" t="str">
        <x:v>V1.19旧源码类型（真实成员/实现仍待核）</x:v>
      </x:c>
      <x:c r="Q7"/>
      <x:c r="R7"/>
      <x:c r="S7"/>
    </x:row>
    <x:row r="8" ht="72" customHeight="1">
      <x:c r="A8" s="179" t="str">
        <x:v>M26</x:v>
      </x:c>
      <x:c r="B8" s="180" t="str">
        <x:v>资源与治理｜Runtime Resource / Lease / Placement
Resource Leasing</x:v>
      </x:c>
      <x:c r="C8" s="180" t="str">
        <x:v>MRLCxLeaseState</x:v>
      </x:c>
      <x:c r="D8" s="179" t="str">
        <x:v>原有·待核</x:v>
      </x:c>
      <x:c r="E8" s="180" t="str">
        <x:v>定义租约状态的候选取值、状态或模式，供相关流程作分支判断</x:v>
      </x:c>
      <x:c r="F8" s="180" t="str">
        <x:v>枚举值：Active, Releasing, Released, ReleaseFailed</x:v>
      </x:c>
      <x:c r="G8" s="180" t="str">
        <x:v>—(无公开声明或待核对)</x:v>
      </x:c>
      <x:c r="H8" s="180" t="str">
        <x:v>—（待核）</x:v>
      </x:c>
      <x:c r="I8" s="180" t="str">
        <x:v>CxVisual.Platform.Orchestration.Resources.CxLeaseState</x:v>
      </x:c>
      <x:c r="J8" s="179" t="str">
        <x:v>枚举</x:v>
      </x:c>
      <x:c r="K8" s="180" t="str">
        <x:v>V1.19 C-0955；原实施方式：原有。迁移风险：定义租约状态的候选取值、状态或模式，供相关流程作分支判断</x:v>
      </x:c>
      <x:c r="L8" s="183" t="str">
        <x:v>源代码声明·待复核</x:v>
      </x:c>
      <x:c r="M8" s="183" t="str">
        <x:v>C-0955</x:v>
      </x:c>
      <x:c r="N8" s="184" t="str">
        <x:v>Platform/Orchestration/Resources/CxLeaseHandle.cs</x:v>
      </x:c>
      <x:c r="O8" s="183" t="str">
        <x:v>V1.19旧源码类型（真实成员/实现仍待核）
V2.01：来源ID对应；处置=保留源码·公开契约复核
V7.8：V7.8同名且源文件对应；Platform/Orchestration/Resources/CxLeaseHandle.cs</x:v>
      </x:c>
      <x:c r="P8" s="136" t="str">
        <x:v>V1.19旧源码类型（真实成员/实现仍待核）</x:v>
      </x:c>
      <x:c r="Q8"/>
      <x:c r="R8"/>
      <x:c r="S8"/>
    </x:row>
    <x:row r="9" ht="135" customHeight="1">
      <x:c r="A9" s="179" t="str">
        <x:v>M26</x:v>
      </x:c>
      <x:c r="B9" s="180" t="str">
        <x:v>资源与治理｜Runtime Resource / Lease / Placement
Resource Leasing</x:v>
      </x:c>
      <x:c r="C9" s="180" t="str">
        <x:v>MRLCxLocalResourceProvider</x:v>
      </x:c>
      <x:c r="D9" s="179" t="str">
        <x:v>原有·待核</x:v>
      </x:c>
      <x:c r="E9" s="180" t="str">
        <x:v>提供Local资源提供器的访问、创建、加载或运行扩展入口</x:v>
      </x:c>
      <x:c r="F9" s="180" t="str">
        <x:v>ProviderId, Clock</x:v>
      </x:c>
      <x:c r="G9" s="180" t="str">
        <x:v>CxLocalResourceProvider(string providerId, Func&lt;CxResourceDefinition, CancellationToken, Task&lt;object&gt;&gt; open, Func&lt;object, Cancellat…); GetDiagnostics(); OpenAsync(CxResourceDefinition definition, CancellationToken cancellationToken = default(CancellationToken); CloseAsync(string resourceId, CancellationToken cancellationToken = default(CancellationToken); AcquireAsync(CxResourceLeaseRequest request, CancellationToken cancellationToken = default(CancellationToken); ReleaseAsync(CxLeaseHandle lease, CancellationToken cancellationToken = default(CancellationToken); GetHealthAsync(string resourceId = null, CancellationToken cancellationToken = default(CancellationToken)</x:v>
      </x:c>
      <x:c r="H9" s="180" t="str">
        <x:v>—（待核）</x:v>
      </x:c>
      <x:c r="I9" s="180" t="str">
        <x:v>CxVisual.Platform.Orchestration.Resources.CxLocalResourceProvider</x:v>
      </x:c>
      <x:c r="J9" s="179" t="str">
        <x:v>类</x:v>
      </x:c>
      <x:c r="K9" s="180" t="str">
        <x:v>V1.19 C-0956；原实施方式：原有。迁移风险：提供Local资源提供器的访问、创建、加载或运行扩展入口</x:v>
      </x:c>
      <x:c r="L9" s="183" t="str">
        <x:v>源代码声明·待复核</x:v>
      </x:c>
      <x:c r="M9" s="183" t="str">
        <x:v>C-0956</x:v>
      </x:c>
      <x:c r="N9" s="184" t="str">
        <x:v>Platform/Orchestration/Resources/CxResourceProvider.cs</x:v>
      </x:c>
      <x:c r="O9" s="183" t="str">
        <x:v>V1.19旧源码类型（真实成员/实现仍待核）
V2.01：来源ID对应；处置=保留源码·公开契约复核
V7.8：V7.8同名且源文件对应；Platform/Orchestration/Resources/CxResourceProvider.cs</x:v>
      </x:c>
      <x:c r="P9" s="136" t="str">
        <x:v>V1.19旧源码类型（真实成员/实现仍待核）</x:v>
      </x:c>
      <x:c r="Q9"/>
      <x:c r="R9"/>
      <x:c r="S9"/>
    </x:row>
    <x:row r="10" ht="72" customHeight="1">
      <x:c r="A10" s="179" t="str">
        <x:v>M26</x:v>
      </x:c>
      <x:c r="B10" s="180" t="str">
        <x:v>资源与治理｜Runtime Resource / Lease / Placement
Resource Leasing</x:v>
      </x:c>
      <x:c r="C10" s="180" t="str">
        <x:v>MRLCxPlacement</x:v>
      </x:c>
      <x:c r="D10" s="179" t="str">
        <x:v>原有·待核</x:v>
      </x:c>
      <x:c r="E10" s="180" t="str">
        <x:v>负责Placement相关的运行位置与公共契约管理</x:v>
      </x:c>
      <x:c r="F10" s="180" t="str">
        <x:v>Kind, TargetId, Process, Machine, WorkerPool, Tags</x:v>
      </x:c>
      <x:c r="G10" s="180" t="str">
        <x:v>Clone(), Matches(CxPlacement constraint), Validate()</x:v>
      </x:c>
      <x:c r="H10" s="180" t="str">
        <x:v>—（待核）</x:v>
      </x:c>
      <x:c r="I10" s="180" t="str">
        <x:v>CxVisual.Core.CxPlacement</x:v>
      </x:c>
      <x:c r="J10" s="179" t="str">
        <x:v>类</x:v>
      </x:c>
      <x:c r="K10" s="180" t="str">
        <x:v>V1.19 C-0950；原实施方式：原有。迁移风险：负责Placement相关的运行位置与公共契约管理</x:v>
      </x:c>
      <x:c r="L10" s="183" t="str">
        <x:v>源代码声明·待复核</x:v>
      </x:c>
      <x:c r="M10" s="183" t="str">
        <x:v>C-0950</x:v>
      </x:c>
      <x:c r="N10" s="184" t="str">
        <x:v>Platform/Core/CxRuntimeProfiles.cs</x:v>
      </x:c>
      <x:c r="O10" s="183" t="str">
        <x:v>V1.19旧源码类型（真实成员/实现仍待核）
V2.01：来源ID对应；处置=保留源码·公开契约复核
V7.8：V7.8同名且源文件对应；Platform/Core/CxRuntimeProfiles.cs</x:v>
      </x:c>
      <x:c r="P10" s="136" t="str">
        <x:v>V1.19旧源码类型（真实成员/实现仍待核）</x:v>
      </x:c>
      <x:c r="Q10"/>
      <x:c r="R10"/>
      <x:c r="S10"/>
    </x:row>
    <x:row r="11" ht="72" customHeight="1">
      <x:c r="A11" s="179" t="str">
        <x:v>M26</x:v>
      </x:c>
      <x:c r="B11" s="180" t="str">
        <x:v>资源与治理｜Runtime Resource / Lease / Placement
Resource Leasing</x:v>
      </x:c>
      <x:c r="C11" s="180" t="str">
        <x:v>MRLCxPlacementResolver</x:v>
      </x:c>
      <x:c r="D11" s="179" t="str">
        <x:v>原有·待核</x:v>
      </x:c>
      <x:c r="E11" s="180" t="str">
        <x:v>负责PlacementResolver相关的Placement与公共契约管理</x:v>
      </x:c>
      <x:c r="F11" s="180" t="str">
        <x:v>Targets</x:v>
      </x:c>
      <x:c r="G11" s="180" t="str">
        <x:v>Resolve(CxPlacement constraint), CanPlace(CxPlacement constraint), Explain(CxPlacement constraint)</x:v>
      </x:c>
      <x:c r="H11" s="180" t="str">
        <x:v>—（待核）</x:v>
      </x:c>
      <x:c r="I11" s="180" t="str">
        <x:v>CxVisual.Core.CxPlacementResolver</x:v>
      </x:c>
      <x:c r="J11" s="179" t="str">
        <x:v>类</x:v>
      </x:c>
      <x:c r="K11" s="180" t="str">
        <x:v>V1.19 C-0951；原实施方式：原有。迁移风险：负责PlacementResolver相关的Placement与公共契约管理</x:v>
      </x:c>
      <x:c r="L11" s="183" t="str">
        <x:v>源代码声明·待复核</x:v>
      </x:c>
      <x:c r="M11" s="183" t="str">
        <x:v>C-0951</x:v>
      </x:c>
      <x:c r="N11" s="184" t="str">
        <x:v>Platform/Core/CxRuntimeProfiles.cs</x:v>
      </x:c>
      <x:c r="O11" s="183" t="str">
        <x:v>V1.19旧源码类型（真实成员/实现仍待核）
V2.01：来源ID对应；处置=保留源码·公开契约复核
V7.8：V7.8同名且源文件对应；Platform/Core/CxRuntimeProfiles.cs</x:v>
      </x:c>
      <x:c r="P11" s="136" t="str">
        <x:v>V1.19旧源码类型（真实成员/实现仍待核）</x:v>
      </x:c>
      <x:c r="Q11"/>
      <x:c r="R11"/>
      <x:c r="S11"/>
    </x:row>
    <x:row r="12" ht="72" customHeight="1">
      <x:c r="A12" s="179" t="str">
        <x:v>M26</x:v>
      </x:c>
      <x:c r="B12" s="180" t="str">
        <x:v>资源与治理｜Runtime Resource / Lease / Placement
Resource Leasing</x:v>
      </x:c>
      <x:c r="C12" s="180" t="str">
        <x:v>MRLCxResourceAwait</x:v>
      </x:c>
      <x:c r="D12" s="179" t="str">
        <x:v>原有·待核</x:v>
      </x:c>
      <x:c r="E12" s="180" t="str">
        <x:v>提供资源Await相关基础操作或类型辅助处理</x:v>
      </x:c>
      <x:c r="F12" s="180" t="str">
        <x:v>—（无公开声明或待核对）</x:v>
      </x:c>
      <x:c r="G12" s="180" t="str">
        <x:v>Task(Task&lt;T&gt; task, CancellationToken token), WaitAsync(Task task, CancellationToken token)</x:v>
      </x:c>
      <x:c r="H12" s="180" t="str">
        <x:v>—（待核）</x:v>
      </x:c>
      <x:c r="I12" s="180" t="str">
        <x:v>CxVisual.Platform.Orchestration.Resources.CxResourceAwait</x:v>
      </x:c>
      <x:c r="J12" s="179" t="str">
        <x:v>静态类</x:v>
      </x:c>
      <x:c r="K12" s="180" t="str">
        <x:v>V1.19 C-0959；原实施方式：原有。迁移风险：提供资源Await相关基础操作或类型辅助处理</x:v>
      </x:c>
      <x:c r="L12" s="183" t="str">
        <x:v>源代码声明·待复核</x:v>
      </x:c>
      <x:c r="M12" s="183" t="str">
        <x:v>C-0959</x:v>
      </x:c>
      <x:c r="N12" s="184" t="str">
        <x:v>Platform/Orchestration/Resources/CxLeaseHandle.cs</x:v>
      </x:c>
      <x:c r="O12" s="183" t="str">
        <x:v>V1.19旧源码类型（真实成员/实现仍待核）
V2.01：来源ID对应；处置=保留源码·公开契约复核
V7.8：V7.8同名且源文件对应；Platform/Orchestration/Resources/CxLeaseHandle.cs</x:v>
      </x:c>
      <x:c r="P12" s="136" t="str">
        <x:v>V1.19旧源码类型（真实成员/实现仍待核）</x:v>
      </x:c>
      <x:c r="Q12"/>
      <x:c r="R12"/>
      <x:c r="S12"/>
    </x:row>
    <x:row r="13" ht="72" customHeight="1">
      <x:c r="A13" s="179" t="str">
        <x:v>M26</x:v>
      </x:c>
      <x:c r="B13" s="180" t="str">
        <x:v>资源与治理｜Runtime Resource / Lease / Placement
Resource Leasing</x:v>
      </x:c>
      <x:c r="C13" s="180" t="str">
        <x:v>MRLCxResourceLeaseRequest</x:v>
      </x:c>
      <x:c r="D13" s="179" t="str">
        <x:v>原有·待核</x:v>
      </x:c>
      <x:c r="E13" s="180" t="str">
        <x:v>定义资源租约请求操作所需的请求参数、标识与约束</x:v>
      </x:c>
      <x:c r="F13" s="180" t="str">
        <x:v>ResourceId, OwnerExecutionId, ResourceType, Capability, Quantity, Exclusive, WaitTimeout, LeaseDuration</x:v>
      </x:c>
      <x:c r="G13" s="180" t="str">
        <x:v>Copy()</x:v>
      </x:c>
      <x:c r="H13" s="180" t="str">
        <x:v>—（待核）</x:v>
      </x:c>
      <x:c r="I13" s="180" t="str">
        <x:v>CxVisual.Platform.Orchestration.Resources.CxResourceLeaseRequest</x:v>
      </x:c>
      <x:c r="J13" s="179" t="str">
        <x:v>类</x:v>
      </x:c>
      <x:c r="K13" s="180" t="str">
        <x:v>V1.19 C-0960；原实施方式：原有。迁移风险：定义资源租约请求操作所需的请求参数、标识与约束</x:v>
      </x:c>
      <x:c r="L13" s="183" t="str">
        <x:v>源代码声明·待复核</x:v>
      </x:c>
      <x:c r="M13" s="183" t="str">
        <x:v>C-0960</x:v>
      </x:c>
      <x:c r="N13" s="184" t="str">
        <x:v>Platform/Orchestration/Resources/CxResourceProvider.cs</x:v>
      </x:c>
      <x:c r="O13" s="183" t="str">
        <x:v>V1.19旧源码类型（真实成员/实现仍待核）
V2.01：来源ID对应；处置=保留源码·公开契约复核
V7.8：V7.8同名且源文件对应；Platform/Orchestration/Resources/CxResourceProvider.cs</x:v>
      </x:c>
      <x:c r="P13" s="136" t="str">
        <x:v>V1.19旧源码类型（真实成员/实现仍待核）</x:v>
      </x:c>
      <x:c r="Q13"/>
      <x:c r="R13"/>
      <x:c r="S13"/>
    </x:row>
    <x:row r="14" ht="135" customHeight="1">
      <x:c r="A14" s="179" t="str">
        <x:v>M26</x:v>
      </x:c>
      <x:c r="B14" s="180" t="str">
        <x:v>资源与治理｜Runtime Resource / Lease / Placement
Resource Leasing</x:v>
      </x:c>
      <x:c r="C14" s="180" t="str">
        <x:v>MRLCxResourceScope</x:v>
      </x:c>
      <x:c r="D14" s="179" t="str">
        <x:v>原有·待核</x:v>
      </x:c>
      <x:c r="E14" s="180" t="str">
        <x:v>负责资源Scope相关的运行资源Scope与公共契约管理</x:v>
      </x:c>
      <x:c r="F14" s="180" t="str">
        <x:v>OwnerExecutionId, Clock, Parent, Lifetime, LastError, IsClosed, CancellationToken, Leases, Children</x:v>
      </x:c>
      <x:c r="G14" s="180" t="str">
        <x:v>CxResourceScope(string ownerExecutionId, IEnumerable&lt;ICxResourceProvider&gt; providers, ICxClock clock = null, DataLifetime li…), CaptureSnapshot(out CxResourceScopechildren), CreateChild(string ownerExecutionId = null, DataLifetime lifetime = DataLifetime.Execution), AcquireAsync(string providerId, CxResourceLeaseRequest request, CancellationToken cancellationToken = default(Cancellati…); FindLease(string resourceId, string providerId = null, bool includeParent = true); KeyNotFoundException(+ resourceId); Release(CxLeaseHandle lease, CancellationToken cancellationToken = default(CancellationToken); DisposeAsync(CancellationToken cancellationToken = default(CancellationToken); Dispose()</x:v>
      </x:c>
      <x:c r="H14" s="180" t="str">
        <x:v>—（待核）</x:v>
      </x:c>
      <x:c r="I14" s="180" t="str">
        <x:v>CxVisual.Platform.Orchestration.Resources.CxResourceScope</x:v>
      </x:c>
      <x:c r="J14" s="179" t="str">
        <x:v>类</x:v>
      </x:c>
      <x:c r="K14" s="180" t="str">
        <x:v>V1.19 C-0961；原实施方式：原有。迁移风险：负责资源Scope相关的运行资源Scope与公共契约管理</x:v>
      </x:c>
      <x:c r="L14" s="183" t="str">
        <x:v>源代码声明·待复核</x:v>
      </x:c>
      <x:c r="M14" s="183" t="str">
        <x:v>C-0961</x:v>
      </x:c>
      <x:c r="N14" s="184" t="str">
        <x:v>Platform/Orchestration/Resources/CxResourceScope.cs</x:v>
      </x:c>
      <x:c r="O14" s="183" t="str">
        <x:v>V1.19旧源码类型（真实成员/实现仍待核）
V2.01：来源ID对应；处置=保留源码·公开契约复核
V7.8：V7.8同名且源文件对应；Platform/Orchestration/Resources/CxResourceScope.cs</x:v>
      </x:c>
      <x:c r="P14" s="136" t="str">
        <x:v>V1.19旧源码类型（真实成员/实现仍待核）</x:v>
      </x:c>
      <x:c r="Q14"/>
      <x:c r="R14"/>
      <x:c r="S14"/>
    </x:row>
    <x:row r="15" ht="72" customHeight="1">
      <x:c r="A15" s="179" t="str">
        <x:v>M26</x:v>
      </x:c>
      <x:c r="B15" s="180" t="str">
        <x:v>资源与治理｜Runtime Resource / Lease / Placement
Resource Leasing</x:v>
      </x:c>
      <x:c r="C15" s="180" t="str">
        <x:v>MRLCxRuntimeProfile</x:v>
      </x:c>
      <x:c r="D15" s="179" t="str">
        <x:v>原有·待核</x:v>
      </x:c>
      <x:c r="E15" s="180" t="str">
        <x:v>负责运行时配置档案相关的运行Profile与公共契约管理</x:v>
      </x:c>
      <x:c r="F15" s="180" t="str">
        <x:v>Id, Name, Placements, ResourceBindings, Environment, Policies</x:v>
      </x:c>
      <x:c r="G15" s="180" t="str">
        <x:v>Validate(ProjectModel project = null)</x:v>
      </x:c>
      <x:c r="H15" s="180" t="str">
        <x:v>—（待核）</x:v>
      </x:c>
      <x:c r="I15" s="180" t="str">
        <x:v>CxVisual.Core.CxRuntimeProfile</x:v>
      </x:c>
      <x:c r="J15" s="179" t="str">
        <x:v>类</x:v>
      </x:c>
      <x:c r="K15" s="180" t="str">
        <x:v>V1.19 C-0953；原实施方式：原有。迁移风险：负责运行时配置档案相关的运行Profile与公共契约管理</x:v>
      </x:c>
      <x:c r="L15" s="183" t="str">
        <x:v>源代码声明·待复核</x:v>
      </x:c>
      <x:c r="M15" s="183" t="str">
        <x:v>C-0953</x:v>
      </x:c>
      <x:c r="N15" s="184" t="str">
        <x:v>Platform/Core/CxRuntimeProfiles.cs</x:v>
      </x:c>
      <x:c r="O15" s="183" t="str">
        <x:v>V1.19旧源码类型（真实成员/实现仍待核）
V2.01：来源ID对应；处置=保留源码·公开契约复核
V7.8：V7.8同名且源文件对应；Platform/Core/CxRuntimeProfiles.cs</x:v>
      </x:c>
      <x:c r="P15" s="136" t="str">
        <x:v>V1.19旧源码类型（真实成员/实现仍待核）</x:v>
      </x:c>
      <x:c r="Q15"/>
      <x:c r="R15"/>
      <x:c r="S15"/>
    </x:row>
    <x:row r="16" ht="72" customHeight="1">
      <x:c r="A16" s="179" t="str">
        <x:v>M26</x:v>
      </x:c>
      <x:c r="B16" s="180" t="str">
        <x:v>资源与治理｜Runtime Resource / Lease / Placement
Resource Leasing</x:v>
      </x:c>
      <x:c r="C16" s="180" t="str">
        <x:v>MRLEntry</x:v>
      </x:c>
      <x:c r="D16" s="179" t="str">
        <x:v>原有·待核</x:v>
      </x:c>
      <x:c r="E16" s="180" t="str">
        <x:v>表达或管理Entry相关的数据及协作职责，具体行为待源码复核〔待核〕</x:v>
      </x:c>
      <x:c r="F16" s="180" t="str">
        <x:v>—（无公开声明或待核对）</x:v>
      </x:c>
      <x:c r="G16" s="180" t="str">
        <x:v>Dictionary(StringComparer.Ordinal)</x:v>
      </x:c>
      <x:c r="H16" s="180" t="str">
        <x:v>—（待核）</x:v>
      </x:c>
      <x:c r="I16" s="180" t="str">
        <x:v>CxVisual.Platform.Orchestration.Resources.CxLocalResourceProvider.Entry</x:v>
      </x:c>
      <x:c r="J16" s="179" t="str">
        <x:v>类</x:v>
      </x:c>
      <x:c r="K16" s="180" t="str">
        <x:v>V1.19 C-0969：原有；V1.19 C-0957；原实施方式：原有。迁移风险：表达或管理Entry相关的数据及协作职责，具体行为待源码复核〔待核〕</x:v>
      </x:c>
      <x:c r="L16" s="183" t="str">
        <x:v>源代码声明·待复核</x:v>
      </x:c>
      <x:c r="M16" s="183" t="str">
        <x:v>C-0957</x:v>
      </x:c>
      <x:c r="N16" s="184" t="str">
        <x:v>Platform/Core/SpatialIndex.cs; Platform/Data/CxStreamHandle.cs; Platform/Simulation/CxSimulationRuntime.cs; Platform/Workbench/Drawing/CxCanvasHost.cs</x:v>
      </x:c>
      <x:c r="O16" s="183" t="str">
        <x:v>V1.19旧源码类型（真实成员/实现仍待核）
V2.01：来源ID对应；处置=保留不同FQN·修复前缀命名碰撞
V7.8：V7.8同名且源文件对应；Platform/Core/SpatialIndex.cs</x:v>
      </x:c>
      <x:c r="P16" s="136" t="str">
        <x:v>V1.19旧源码类型（真实成员/实现仍待核）</x:v>
      </x:c>
      <x:c r="Q16"/>
      <x:c r="R16"/>
      <x:c r="S16"/>
    </x:row>
    <x:row r="17" ht="72" customHeight="1">
      <x:c r="A17" s="179" t="str">
        <x:v>M26</x:v>
      </x:c>
      <x:c r="B17" s="180" t="str">
        <x:v>资源与治理｜Runtime Resource / Lease / Placement
Resource Leasing</x:v>
      </x:c>
      <x:c r="C17" s="180" t="str">
        <x:v>MRLEntryState</x:v>
      </x:c>
      <x:c r="D17" s="179" t="str">
        <x:v>原有·待核</x:v>
      </x:c>
      <x:c r="E17" s="180" t="str">
        <x:v>定义Entry状态的候选取值、状态或模式，供相关流程作分支判断</x:v>
      </x:c>
      <x:c r="F17" s="180" t="str">
        <x:v>枚举值：Opening, Open, Closing, Failed</x:v>
      </x:c>
      <x:c r="G17" s="180" t="str">
        <x:v>—(无公开声明或待核对)</x:v>
      </x:c>
      <x:c r="H17" s="180" t="str">
        <x:v>—（待核）</x:v>
      </x:c>
      <x:c r="I17" s="180" t="str">
        <x:v>CxVisual.Platform.Orchestration.Resources.CxLocalResourceProvider.EntryState</x:v>
      </x:c>
      <x:c r="J17" s="179" t="str">
        <x:v>枚举</x:v>
      </x:c>
      <x:c r="K17" s="180" t="str">
        <x:v>V1.19 C-0958；原实施方式：原有。迁移风险：定义Entry状态的候选取值、状态或模式，供相关流程作分支判断</x:v>
      </x:c>
      <x:c r="L17" s="183" t="str">
        <x:v>源代码声明·待复核</x:v>
      </x:c>
      <x:c r="M17" s="183" t="str">
        <x:v>C-0958</x:v>
      </x:c>
      <x:c r="N17" s="184" t="str">
        <x:v>Platform/Orchestration/Resources/CxResourceProvider.cs</x:v>
      </x:c>
      <x:c r="O17" s="183" t="str">
        <x:v>V1.19旧源码类型（真实成员/实现仍待核）
V2.01：来源ID对应；处置=保留源码·公开契约复核
V7.8：V7.8同名且源文件对应；Platform/Orchestration/Resources/CxResourceProvider.cs</x:v>
      </x:c>
      <x:c r="P17" s="136" t="str">
        <x:v>V1.19旧源码类型（真实成员/实现仍待核）</x:v>
      </x:c>
      <x:c r="Q17"/>
      <x:c r="R17"/>
      <x:c r="S17"/>
    </x:row>
    <x:row r="18" ht="72" customHeight="1">
      <x:c r="A18" s="179" t="str">
        <x:v>M26</x:v>
      </x:c>
      <x:c r="B18" s="180" t="str">
        <x:v>资源与治理｜Runtime Resource / Lease / Placement
Resource Leasing</x:v>
      </x:c>
      <x:c r="C18" s="180" t="str">
        <x:v>MRLResourceAccessMode</x:v>
      </x:c>
      <x:c r="D18" s="179" t="str">
        <x:v>原有·待核</x:v>
      </x:c>
      <x:c r="E18" s="180" t="str">
        <x:v>定义资源AccessMode的候选取值、状态或模式，供相关流程作分支判断</x:v>
      </x:c>
      <x:c r="F18" s="180" t="str">
        <x:v>枚举值：Exclusive, SharedRead, Capacity</x:v>
      </x:c>
      <x:c r="G18" s="180" t="str">
        <x:v>—(无公开声明或待核对)</x:v>
      </x:c>
      <x:c r="H18" s="180" t="str">
        <x:v>—（待核）</x:v>
      </x:c>
      <x:c r="I18" s="180" t="str">
        <x:v>CxVisual.Platform.Orchestration.Resources.ResourceAccessMode</x:v>
      </x:c>
      <x:c r="J18" s="179" t="str">
        <x:v>枚举</x:v>
      </x:c>
      <x:c r="K18" s="180" t="str">
        <x:v>V1.19 C-0963；原实施方式：原有。迁移风险：定义资源AccessMode的候选取值、状态或模式，供相关流程作分支判断</x:v>
      </x:c>
      <x:c r="L18" s="183" t="str">
        <x:v>源代码声明·待复核</x:v>
      </x:c>
      <x:c r="M18" s="183" t="str">
        <x:v>C-0963</x:v>
      </x:c>
      <x:c r="N18" s="184" t="str">
        <x:v>Platform/Orchestration/Resources/ResourceManagement.cs</x:v>
      </x:c>
      <x:c r="O18" s="183" t="str">
        <x:v>V1.19旧源码类型（真实成员/实现仍待核）
V2.01：来源ID对应；处置=保留源码·公开契约复核
V7.8：V7.8同名且源文件对应；Platform/Orchestration/Resources/ResourceManagement.cs</x:v>
      </x:c>
      <x:c r="P18" s="136" t="str">
        <x:v>V1.19旧源码类型（真实成员/实现仍待核）</x:v>
      </x:c>
      <x:c r="Q18"/>
      <x:c r="R18"/>
      <x:c r="S18"/>
    </x:row>
    <x:row r="19" ht="72" customHeight="1">
      <x:c r="A19" s="179" t="str">
        <x:v>M26</x:v>
      </x:c>
      <x:c r="B19" s="180" t="str">
        <x:v>资源与治理｜Runtime Resource / Lease / Placement
Resource Leasing</x:v>
      </x:c>
      <x:c r="C19" s="180" t="str">
        <x:v>MRLResourceDefinition</x:v>
      </x:c>
      <x:c r="D19" s="179" t="str">
        <x:v>原有·待核</x:v>
      </x:c>
      <x:c r="E19" s="180" t="str">
        <x:v>声明资源定义可配置的工程定义、字段和校验约束</x:v>
      </x:c>
      <x:c r="F19" s="180" t="str">
        <x:v>ResourceId, Kind, Capacity, OwnerScope, Capabilities</x:v>
      </x:c>
      <x:c r="G19" s="180" t="str">
        <x:v>ResourceDefinition()</x:v>
      </x:c>
      <x:c r="H19" s="180" t="str">
        <x:v>—（待核）</x:v>
      </x:c>
      <x:c r="I19" s="180" t="str">
        <x:v>CxVisual.Platform.Orchestration.Resources.ResourceDefinition</x:v>
      </x:c>
      <x:c r="J19" s="179" t="str">
        <x:v>类</x:v>
      </x:c>
      <x:c r="K19" s="180" t="str">
        <x:v>V1.19 C-0964；原实施方式：原有。迁移风险：声明资源定义可配置的工程定义、字段和校验约束</x:v>
      </x:c>
      <x:c r="L19" s="183" t="str">
        <x:v>源代码声明·待复核</x:v>
      </x:c>
      <x:c r="M19" s="183" t="str">
        <x:v>C-0964</x:v>
      </x:c>
      <x:c r="N19" s="184" t="str">
        <x:v>Platform/Orchestration/Resources/ResourceManagement.cs</x:v>
      </x:c>
      <x:c r="O19" s="183" t="str">
        <x:v>V1.19旧源码类型（真实成员/实现仍待核）
V2.01：来源ID对应；处置=保留源码·公开契约复核
V7.8：V7.8同名且源文件对应；Platform/Orchestration/Resources/ResourceManagement.cs</x:v>
      </x:c>
      <x:c r="P19" s="136" t="str">
        <x:v>V1.19旧源码类型（真实成员/实现仍待核）</x:v>
      </x:c>
      <x:c r="Q19"/>
      <x:c r="R19"/>
      <x:c r="S19"/>
    </x:row>
    <x:row r="20" ht="72" customHeight="1">
      <x:c r="A20" s="179" t="str">
        <x:v>M26</x:v>
      </x:c>
      <x:c r="B20" s="180" t="str">
        <x:v>资源与治理｜Runtime Resource / Lease / Placement
Resource Leasing</x:v>
      </x:c>
      <x:c r="C20" s="180" t="str">
        <x:v>MRLResourceDiagnosticsSnapshot</x:v>
      </x:c>
      <x:c r="D20" s="179" t="str">
        <x:v>原有·待核</x:v>
      </x:c>
      <x:c r="E20" s="180" t="str">
        <x:v>保存资源Diagnostics快照在特定时间点的不可变状态快照</x:v>
      </x:c>
      <x:c r="F20" s="180" t="str">
        <x:v>ContentionCount, Resources, ActiveLeases, Waiters</x:v>
      </x:c>
      <x:c r="G20" s="180" t="str">
        <x:v>ResourceDiagnosticsSnapshot()</x:v>
      </x:c>
      <x:c r="H20" s="180" t="str">
        <x:v>—（待核）</x:v>
      </x:c>
      <x:c r="I20" s="180" t="str">
        <x:v>CxVisual.Platform.Orchestration.Resources.ResourceDiagnosticsSnapshot</x:v>
      </x:c>
      <x:c r="J20" s="179" t="str">
        <x:v>类</x:v>
      </x:c>
      <x:c r="K20" s="180" t="str">
        <x:v>V1.19 C-0965；原实施方式：原有。迁移风险：保存资源Diagnostics快照在特定时间点的不可变状态快照</x:v>
      </x:c>
      <x:c r="L20" s="183" t="str">
        <x:v>源代码声明·待复核</x:v>
      </x:c>
      <x:c r="M20" s="183" t="str">
        <x:v>C-0965</x:v>
      </x:c>
      <x:c r="N20" s="184" t="str">
        <x:v>Platform/Orchestration/Resources/ResourceManagement.cs</x:v>
      </x:c>
      <x:c r="O20" s="183" t="str">
        <x:v>V1.19旧源码类型（真实成员/实现仍待核）
V2.01：来源ID对应；处置=保留源码·公开契约复核
V7.8：V7.8同名且源文件对应；Platform/Orchestration/Resources/ResourceManagement.cs</x:v>
      </x:c>
      <x:c r="P20" s="136" t="str">
        <x:v>V1.19旧源码类型（真实成员/实现仍待核）</x:v>
      </x:c>
      <x:c r="Q20"/>
      <x:c r="R20"/>
      <x:c r="S20"/>
    </x:row>
    <x:row r="21" ht="72" customHeight="1">
      <x:c r="A21" s="179" t="str">
        <x:v>M26</x:v>
      </x:c>
      <x:c r="B21" s="180" t="str">
        <x:v>资源与治理｜Runtime Resource / Lease / Placement
Resource Leasing</x:v>
      </x:c>
      <x:c r="C21" s="180" t="str">
        <x:v>MRLResourceLease</x:v>
      </x:c>
      <x:c r="D21" s="179" t="str">
        <x:v>原有·待核</x:v>
      </x:c>
      <x:c r="E21" s="180" t="str">
        <x:v>表达或管理资源租约相关的数据及协作职责，具体行为待源码复核〔待核〕</x:v>
      </x:c>
      <x:c r="F21" s="180" t="str">
        <x:v>LeaseId, ResourceId, Units, OwnerId, AccessMode, AcquiredAtUtc</x:v>
      </x:c>
      <x:c r="G21" s="180" t="str">
        <x:v>ResourceLease(string id, int units, string owner, ResourceAccessMode mode, Action release), ResourceLease(string id, int units, string owner, ResourceAccessMode mode, Action release, DateTime acquiredAtUtc), Dispose()</x:v>
      </x:c>
      <x:c r="H21" s="180" t="str">
        <x:v>—（待核）</x:v>
      </x:c>
      <x:c r="I21" s="180" t="str">
        <x:v>CxVisual.Platform.Orchestration.Resources.ResourceLease</x:v>
      </x:c>
      <x:c r="J21" s="179" t="str">
        <x:v>类</x:v>
      </x:c>
      <x:c r="K21" s="180" t="str">
        <x:v>V1.19 C-0966；原实施方式：原有。迁移风险：表达或管理资源租约相关的数据及协作职责，具体行为待源码复核〔待核〕</x:v>
      </x:c>
      <x:c r="L21" s="183" t="str">
        <x:v>源代码声明·待复核</x:v>
      </x:c>
      <x:c r="M21" s="183" t="str">
        <x:v>C-0966</x:v>
      </x:c>
      <x:c r="N21" s="184" t="str">
        <x:v>Platform/Orchestration/Resources/ResourceManagement.cs</x:v>
      </x:c>
      <x:c r="O21" s="183" t="str">
        <x:v>V1.19旧源码类型（真实成员/实现仍待核）
V2.01：来源ID对应；处置=保留源码·公开契约复核
V7.8：V7.8同名且源文件对应；Platform/Orchestration/Resources/ResourceManagement.cs</x:v>
      </x:c>
      <x:c r="P21" s="136" t="str">
        <x:v>V1.19旧源码类型（真实成员/实现仍待核）</x:v>
      </x:c>
      <x:c r="Q21"/>
      <x:c r="R21"/>
      <x:c r="S21"/>
    </x:row>
    <x:row r="22" ht="72" customHeight="1">
      <x:c r="A22" s="179" t="str">
        <x:v>M26</x:v>
      </x:c>
      <x:c r="B22" s="180" t="str">
        <x:v>资源与治理｜Runtime Resource / Lease / Placement
Resource Leasing</x:v>
      </x:c>
      <x:c r="C22" s="180" t="str">
        <x:v>MRLResourceLeaseSnapshot</x:v>
      </x:c>
      <x:c r="D22" s="179" t="str">
        <x:v>原有·待核</x:v>
      </x:c>
      <x:c r="E22" s="180" t="str">
        <x:v>保存资源租约快照在特定时间点的不可变状态快照</x:v>
      </x:c>
      <x:c r="F22" s="180" t="str">
        <x:v>LeaseId, ResourceId, Units, OwnerId, AccessMode, AcquiredAtUtc</x:v>
      </x:c>
      <x:c r="G22" s="180" t="str">
        <x:v>—(无公开声明或待核对)</x:v>
      </x:c>
      <x:c r="H22" s="180" t="str">
        <x:v>—（待核）</x:v>
      </x:c>
      <x:c r="I22" s="180" t="str">
        <x:v>CxVisual.Platform.Orchestration.Resources.ResourceLeaseSnapshot</x:v>
      </x:c>
      <x:c r="J22" s="179" t="str">
        <x:v>类</x:v>
      </x:c>
      <x:c r="K22" s="180" t="str">
        <x:v>V1.19 C-0967；原实施方式：原有。迁移风险：保存资源租约快照在特定时间点的不可变状态快照</x:v>
      </x:c>
      <x:c r="L22" s="183" t="str">
        <x:v>源代码声明·待复核</x:v>
      </x:c>
      <x:c r="M22" s="183" t="str">
        <x:v>C-0967</x:v>
      </x:c>
      <x:c r="N22" s="184" t="str">
        <x:v>Platform/Orchestration/Resources/ResourceManagement.cs</x:v>
      </x:c>
      <x:c r="O22" s="183" t="str">
        <x:v>V1.19旧源码类型（真实成员/实现仍待核）
V2.01：来源ID对应；处置=保留源码·公开契约复核
V7.8：V7.8同名且源文件对应；Platform/Orchestration/Resources/ResourceManagement.cs</x:v>
      </x:c>
      <x:c r="P22" s="136" t="str">
        <x:v>V1.19旧源码类型（真实成员/实现仍待核）</x:v>
      </x:c>
      <x:c r="Q22"/>
      <x:c r="R22"/>
      <x:c r="S22"/>
    </x:row>
    <x:row r="23" ht="135" customHeight="1">
      <x:c r="A23" s="179" t="str">
        <x:v>M26</x:v>
      </x:c>
      <x:c r="B23" s="180" t="str">
        <x:v>资源与治理｜Runtime Resource / Lease / Placement
Resource Leasing</x:v>
      </x:c>
      <x:c r="C23" s="180" t="str">
        <x:v>MRLResourceManager</x:v>
      </x:c>
      <x:c r="D23" s="179" t="str">
        <x:v>原有·待核</x:v>
      </x:c>
      <x:c r="E23" s="180" t="str">
        <x:v>维护资源管理器运行资源或状态的创建、管理和释放</x:v>
      </x:c>
      <x:c r="F23" s="180" t="str">
        <x:v>Clock, ContentionCount</x:v>
      </x:c>
      <x:c r="G23" s="180" t="str">
        <x:v>ResourceManager(), ResourceManager(ICxClock clock), Register(ResourceDefinition definition), Unregister(string resourceId), AcquireAsync(ResourceRequirement requirement, TimeSpan timeout, CancellationToken token), AcquireAllAsync(IEnumerable&lt;ResourceRequirement&gt; requirements, TimeSpan timeout, CancellationToken token), IsHeldBy(string resourceId, string ownerId, ResourceAccessMode requiredMode = ResourceAccessMode.Exclusive), GetDiagnostics()</x:v>
      </x:c>
      <x:c r="H23" s="180" t="str">
        <x:v>—（待核）</x:v>
      </x:c>
      <x:c r="I23" s="180" t="str">
        <x:v>CxVisual.Platform.Orchestration.Resources.ResourceManager</x:v>
      </x:c>
      <x:c r="J23" s="179" t="str">
        <x:v>类</x:v>
      </x:c>
      <x:c r="K23" s="180" t="str">
        <x:v>V1.19 C-0968；原实施方式：原有。迁移风险：维护资源管理器运行资源或状态的创建、管理和释放</x:v>
      </x:c>
      <x:c r="L23" s="183" t="str">
        <x:v>源代码声明·待复核</x:v>
      </x:c>
      <x:c r="M23" s="183" t="str">
        <x:v>C-0968</x:v>
      </x:c>
      <x:c r="N23" s="184" t="str">
        <x:v>Platform/Orchestration/Resources/ResourceManagement.cs</x:v>
      </x:c>
      <x:c r="O23" s="183" t="str">
        <x:v>V1.19旧源码类型（真实成员/实现仍待核）
V2.01：来源ID对应；处置=保留源码·公开契约复核
V7.8：V7.8同名且源文件对应；Platform/Orchestration/Resources/ResourceManagement.cs</x:v>
      </x:c>
      <x:c r="P23" s="136" t="str">
        <x:v>V1.19旧源码类型（真实成员/实现仍待核）</x:v>
      </x:c>
      <x:c r="Q23"/>
      <x:c r="R23"/>
      <x:c r="S23"/>
    </x:row>
    <x:row r="24" ht="72" customHeight="1">
      <x:c r="A24" s="179" t="str">
        <x:v>M26</x:v>
      </x:c>
      <x:c r="B24" s="180" t="str">
        <x:v>资源与治理｜Runtime Resource / Lease / Placement
Resource Leasing</x:v>
      </x:c>
      <x:c r="C24" s="180" t="str">
        <x:v>MRLResourceRequirement</x:v>
      </x:c>
      <x:c r="D24" s="179" t="str">
        <x:v>原有·待核</x:v>
      </x:c>
      <x:c r="E24" s="180" t="str">
        <x:v>表达或管理资源Requirement相关的数据及协作职责，具体行为待源码复核〔待核〕</x:v>
      </x:c>
      <x:c r="F24" s="180" t="str">
        <x:v>ResourceId, Capability, Units, AccessMode, OwnerId</x:v>
      </x:c>
      <x:c r="G24" s="180" t="str">
        <x:v>—(无公开声明或待核对)</x:v>
      </x:c>
      <x:c r="H24" s="180" t="str">
        <x:v>—（待核）</x:v>
      </x:c>
      <x:c r="I24" s="180" t="str">
        <x:v>CxVisual.Platform.Orchestration.Resources.ResourceRequirement</x:v>
      </x:c>
      <x:c r="J24" s="179" t="str">
        <x:v>类</x:v>
      </x:c>
      <x:c r="K24" s="180" t="str">
        <x:v>V1.19 C-0971；原实施方式：原有。迁移风险：表达或管理资源Requirement相关的数据及协作职责，具体行为待源码复核〔待核〕</x:v>
      </x:c>
      <x:c r="L24" s="183" t="str">
        <x:v>源代码声明·待复核</x:v>
      </x:c>
      <x:c r="M24" s="183" t="str">
        <x:v>C-0971</x:v>
      </x:c>
      <x:c r="N24" s="184" t="str">
        <x:v>Platform/Orchestration/Resources/ResourceManagement.cs</x:v>
      </x:c>
      <x:c r="O24" s="183" t="str">
        <x:v>V1.19旧源码类型（真实成员/实现仍待核）
V2.01：来源ID对应；处置=保留源码·公开契约复核
V7.8：V7.8同名且源文件对应；Platform/Orchestration/Resources/ResourceManagement.cs</x:v>
      </x:c>
      <x:c r="P24" s="136" t="str">
        <x:v>V1.19旧源码类型（真实成员/实现仍待核）</x:v>
      </x:c>
      <x:c r="Q24"/>
      <x:c r="R24"/>
      <x:c r="S24"/>
    </x:row>
    <x:row r="25" ht="72" customHeight="1">
      <x:c r="A25" s="179" t="str">
        <x:v>M26</x:v>
      </x:c>
      <x:c r="B25" s="180" t="str">
        <x:v>资源与治理｜Runtime Resource / Lease / Placement
Resource Leasing</x:v>
      </x:c>
      <x:c r="C25" s="180" t="str">
        <x:v>MRLResourceWaitSnapshot</x:v>
      </x:c>
      <x:c r="D25" s="179" t="str">
        <x:v>原有·待核</x:v>
      </x:c>
      <x:c r="E25" s="180" t="str">
        <x:v>保存资源Wait快照在特定时间点的不可变状态快照</x:v>
      </x:c>
      <x:c r="F25" s="180" t="str">
        <x:v>WaitId, ResourceId, Units, OwnerId, WaitingSinceUtc</x:v>
      </x:c>
      <x:c r="G25" s="180" t="str">
        <x:v>—(无公开声明或待核对)</x:v>
      </x:c>
      <x:c r="H25" s="180" t="str">
        <x:v>—（待核）</x:v>
      </x:c>
      <x:c r="I25" s="180" t="str">
        <x:v>CxVisual.Platform.Orchestration.Resources.ResourceWaitSnapshot</x:v>
      </x:c>
      <x:c r="J25" s="179" t="str">
        <x:v>类</x:v>
      </x:c>
      <x:c r="K25" s="180" t="str">
        <x:v>V1.19 C-0972；原实施方式：原有。迁移风险：保存资源Wait快照在特定时间点的不可变状态快照</x:v>
      </x:c>
      <x:c r="L25" s="183" t="str">
        <x:v>源代码声明·待复核</x:v>
      </x:c>
      <x:c r="M25" s="183" t="str">
        <x:v>C-0972</x:v>
      </x:c>
      <x:c r="N25" s="184" t="str">
        <x:v>Platform/Orchestration/Resources/ResourceManagement.cs</x:v>
      </x:c>
      <x:c r="O25" s="183" t="str">
        <x:v>V1.19旧源码类型（真实成员/实现仍待核）
V2.01：来源ID对应；处置=保留源码·公开契约复核
V7.8：V7.8同名且源文件对应；Platform/Orchestration/Resources/ResourceManagement.cs</x:v>
      </x:c>
      <x:c r="P25" s="136" t="str">
        <x:v>V1.19旧源码类型（真实成员/实现仍待核）</x:v>
      </x:c>
      <x:c r="Q25"/>
      <x:c r="R25"/>
      <x:c r="S25"/>
    </x:row>
    <x:row r="26" ht="72" customHeight="1">
      <x:c r="A26" s="179" t="str">
        <x:v>M26</x:v>
      </x:c>
      <x:c r="B26" s="180" t="str">
        <x:v>资源与治理｜Runtime Resource / Lease / Placement
Resource Leasing</x:v>
      </x:c>
      <x:c r="C26" s="180" t="str">
        <x:v>MRLWaiter</x:v>
      </x:c>
      <x:c r="D26" s="179" t="str">
        <x:v>原有·待核</x:v>
      </x:c>
      <x:c r="E26" s="180" t="str">
        <x:v>表达或管理Waiter相关的数据及协作职责，具体行为待源码复核〔待核〕</x:v>
      </x:c>
      <x:c r="F26" s="180" t="str">
        <x:v>—（无公开声明或待核对）</x:v>
      </x:c>
      <x:c r="G26" s="180" t="str">
        <x:v>TaskCompletionSource(TaskCreationOptions.RunContinuationsAsynchronously)</x:v>
      </x:c>
      <x:c r="H26" s="180" t="str">
        <x:v>—（待核）</x:v>
      </x:c>
      <x:c r="I26" s="180" t="str">
        <x:v>CxVisual.Platform.Orchestration.Resources.ResourceManager.Waiter</x:v>
      </x:c>
      <x:c r="J26" s="179" t="str">
        <x:v>类</x:v>
      </x:c>
      <x:c r="K26" s="180" t="str">
        <x:v>V1.19 C-0970；原实施方式：原有。迁移风险：表达或管理Waiter相关的数据及协作职责，具体行为待源码复核〔待核〕</x:v>
      </x:c>
      <x:c r="L26" s="183" t="str">
        <x:v>源代码声明·待复核</x:v>
      </x:c>
      <x:c r="M26" s="183" t="str">
        <x:v>C-0970</x:v>
      </x:c>
      <x:c r="N26" s="184" t="str">
        <x:v>Platform/Orchestration/Resources/ResourceManagement.cs</x:v>
      </x:c>
      <x:c r="O26" s="183" t="str">
        <x:v>V1.19旧源码类型（真实成员/实现仍待核）
V2.01：来源ID对应；处置=保留源码·公开契约复核
V7.8：V7.8同名且源文件对应；Platform/Orchestration/Resources/ResourceManagement.cs</x:v>
      </x:c>
      <x:c r="P26" s="136" t="str">
        <x:v>V1.19旧源码类型（真实成员/实现仍待核）</x:v>
      </x:c>
      <x:c r="Q26"/>
      <x:c r="R26"/>
      <x:c r="S26"/>
    </x:row>
    <x:row r="27" ht="72" customHeight="1">
      <x:c r="A27" s="179" t="str">
        <x:v>M26</x:v>
      </x:c>
      <x:c r="B27" s="180" t="str">
        <x:v>资源与治理｜Runtime Resource / Lease / Placement
Resource Leasing</x:v>
      </x:c>
      <x:c r="C27" s="180" t="str">
        <x:v>CxResourceDefinition</x:v>
      </x:c>
      <x:c r="D27" s="179" t="str">
        <x:v>复用待核</x:v>
      </x:c>
      <x:c r="E27" s="180" t="str">
        <x:v>运行资源Definition</x:v>
      </x:c>
      <x:c r="F27" s="180" t="str">
        <x:v>ResourceType；Capabilities；ProviderRef；Properties</x:v>
      </x:c>
      <x:c r="G27" s="180" t="str">
        <x:v>运行资源Definition</x:v>
      </x:c>
      <x:c r="H27" s="180" t="str">
        <x:v>待逐对象核实</x:v>
      </x:c>
      <x:c r="I27" s="180" t="str">
        <x:v>CxResourceDefinition</x:v>
      </x:c>
      <x:c r="J27" s="179" t="str">
        <x:v>类/实例候选</x:v>
      </x:c>
      <x:c r="K27" s="180" t="str">
        <x:v>生命周期：Definition</x:v>
      </x:c>
      <x:c r="L27" s="183" t="str">
        <x:v>V7.8源码词法匹配，尚未验收</x:v>
      </x:c>
      <x:c r="M27" s="183" t="str">
        <x:v>M26.CxResourceDefinition</x:v>
      </x:c>
      <x:c r="N27" s="184" t="str">
        <x:v>Platform/Core/CxResources.cs</x:v>
      </x:c>
      <x:c r="O27" s="183" t="str">
        <x:v>V4.9对象/属性/方法
V2.01：未匹配V2.01；处置=暂无可信对应
V7.8：V7.8同名且源文件对应；Platform/Core/CxResources.cs</x:v>
      </x:c>
      <x:c r="P27" s="136" t="str">
        <x:v>V4.9对象/属性/方法</x:v>
      </x:c>
      <x:c r="Q27"/>
      <x:c r="R27"/>
      <x:c r="S27"/>
    </x:row>
    <x:row r="28" ht="72" customHeight="1">
      <x:c r="A28" s="179" t="str">
        <x:v>M26</x:v>
      </x:c>
      <x:c r="B28" s="180" t="str">
        <x:v>资源与治理｜Runtime Resource / Lease / Placement
Resource Leasing</x:v>
      </x:c>
      <x:c r="C28" s="180" t="str">
        <x:v>CxResourceRef</x:v>
      </x:c>
      <x:c r="D28" s="179" t="str">
        <x:v>复用待核</x:v>
      </x:c>
      <x:c r="E28" s="180" t="str">
        <x:v>稳定资源引用</x:v>
      </x:c>
      <x:c r="F28" s="180" t="str">
        <x:v>TargetResourceId；RequirementHints</x:v>
      </x:c>
      <x:c r="G28" s="180" t="str">
        <x:v>稳定资源引用</x:v>
      </x:c>
      <x:c r="H28" s="180" t="str">
        <x:v>待逐对象核实</x:v>
      </x:c>
      <x:c r="I28" s="180" t="str">
        <x:v>CxResourceRef</x:v>
      </x:c>
      <x:c r="J28" s="179" t="str">
        <x:v>类/实例候选</x:v>
      </x:c>
      <x:c r="K28" s="180" t="str">
        <x:v>生命周期：Definition</x:v>
      </x:c>
      <x:c r="L28" s="183" t="str">
        <x:v>V7.8源码词法匹配，尚未验收</x:v>
      </x:c>
      <x:c r="M28" s="183" t="str">
        <x:v>M26.CxResourceRef</x:v>
      </x:c>
      <x:c r="N28" s="184" t="str">
        <x:v>Platform/Core/CxNodeReferences.cs</x:v>
      </x:c>
      <x:c r="O28" s="183" t="str">
        <x:v>V4.9对象/属性/方法
V2.01：未匹配V2.01；处置=暂无可信对应
V7.8：V7.8同名且源文件对应；Platform/Core/CxNodeReferences.cs</x:v>
      </x:c>
      <x:c r="P28" s="136" t="str">
        <x:v>V4.9对象/属性/方法</x:v>
      </x:c>
      <x:c r="Q28"/>
      <x:c r="R28"/>
      <x:c r="S28"/>
    </x:row>
    <x:row r="29" ht="72" customHeight="1">
      <x:c r="A29" s="179" t="str">
        <x:v>M26</x:v>
      </x:c>
      <x:c r="B29" s="180" t="str">
        <x:v>资源与治理｜Runtime Resource / Lease / Placement
Resource Leasing</x:v>
      </x:c>
      <x:c r="C29" s="180" t="str">
        <x:v>CxResourceRequirement</x:v>
      </x:c>
      <x:c r="D29" s="179" t="str">
        <x:v>原有·待核</x:v>
      </x:c>
      <x:c r="E29" s="180" t="str">
        <x:v>资源需求</x:v>
      </x:c>
      <x:c r="F29" s="180" t="str">
        <x:v>Type；Capabilities；Mode；Count；Constraints</x:v>
      </x:c>
      <x:c r="G29" s="180" t="str">
        <x:v>资源需求</x:v>
      </x:c>
      <x:c r="H29" s="180" t="str">
        <x:v>待逐对象核实</x:v>
      </x:c>
      <x:c r="I29" s="180" t="str">
        <x:v>CxVisual.Core.CxResourceRequirement</x:v>
      </x:c>
      <x:c r="J29" s="179" t="str">
        <x:v>类/实例候选</x:v>
      </x:c>
      <x:c r="K29" s="180" t="str">
        <x:v>V1.19 C-0952：原有；生命周期：Definition</x:v>
      </x:c>
      <x:c r="L29" s="183" t="str">
        <x:v>V7.8源码词法匹配，尚未验收</x:v>
      </x:c>
      <x:c r="M29" s="183" t="str">
        <x:v>M26.CxResourceRequirement</x:v>
      </x:c>
      <x:c r="N29" s="184" t="str">
        <x:v>Platform/Core/CxDescriptorContracts.cs</x:v>
      </x:c>
      <x:c r="O29" s="183" t="str">
        <x:v>V4.9对象/属性/方法
V2.01：未匹配V2.01；处置=暂无可信对应
V7.8：V7.8同名且源文件对应；Platform/Core/CxDescriptorContracts.cs</x:v>
      </x:c>
      <x:c r="P29" s="136" t="str">
        <x:v>V4.9对象/属性/方法</x:v>
      </x:c>
      <x:c r="Q29"/>
      <x:c r="R29"/>
      <x:c r="S29"/>
    </x:row>
    <x:row r="30" ht="72" customHeight="1">
      <x:c r="A30" s="179" t="str">
        <x:v>M26</x:v>
      </x:c>
      <x:c r="B30" s="180" t="str">
        <x:v>资源与治理｜Runtime Resource / Lease / Placement
Resource Leasing</x:v>
      </x:c>
      <x:c r="C30" s="180" t="str">
        <x:v>MRLLeaseHandle</x:v>
      </x:c>
      <x:c r="D30" s="179" t="str">
        <x:v>增构候选·待查重</x:v>
      </x:c>
      <x:c r="E30" s="180" t="str">
        <x:v>资源租约</x:v>
      </x:c>
      <x:c r="F30" s="180" t="str">
        <x:v>ResourceId；Owner；Mode；AcquiredAt；Expires</x:v>
      </x:c>
      <x:c r="G30" s="180" t="str">
        <x:v>资源租约</x:v>
      </x:c>
      <x:c r="H30" s="180" t="str">
        <x:v>待逐对象核实</x:v>
      </x:c>
      <x:c r="I30" s="180" t="str">
        <x:v>运行对象/模型</x:v>
      </x:c>
      <x:c r="J30" s="179" t="str">
        <x:v>类/实例候选</x:v>
      </x:c>
      <x:c r="K30" s="180" t="str">
        <x:v>生命周期：Runtime</x:v>
      </x:c>
      <x:c r="L30" s="183" t="str">
        <x:v>设计候选，尚待源码验证</x:v>
      </x:c>
      <x:c r="M30" s="183" t="str">
        <x:v>M26.LeaseHandle</x:v>
      </x:c>
      <x:c r="N30" s="184" t="str">
        <x:v>03_能力对象!C205</x:v>
      </x:c>
      <x:c r="O30" s="183" t="str">
        <x:v>V4.9对象/属性/方法
V2.01：名称/子方面线索；处置=规划独立契约候选·未批准新增
V7.8：V7.8未检出同名词法声明</x:v>
      </x:c>
      <x:c r="P30" s="136" t="str">
        <x:v>V4.9对象/属性/方法</x:v>
      </x:c>
      <x:c r="Q30"/>
      <x:c r="R30"/>
      <x:c r="S30"/>
    </x:row>
    <x:row r="31" ht="72" customHeight="1">
      <x:c r="A31" s="179" t="str">
        <x:v>M26</x:v>
      </x:c>
      <x:c r="B31" s="180" t="str">
        <x:v>资源与治理｜Runtime Resource / Lease / Placement
Resource Leasing</x:v>
      </x:c>
      <x:c r="C31" s="180" t="str">
        <x:v>MRLMutexPolicy</x:v>
      </x:c>
      <x:c r="D31" s="179" t="str">
        <x:v>增构候选·待查重</x:v>
      </x:c>
      <x:c r="E31" s="180" t="str">
        <x:v>互斥</x:v>
      </x:c>
      <x:c r="F31" s="180" t="str">
        <x:v>Key；Fairness；Timeout</x:v>
      </x:c>
      <x:c r="G31" s="180" t="str">
        <x:v>互斥</x:v>
      </x:c>
      <x:c r="H31" s="180" t="str">
        <x:v>待逐对象核实</x:v>
      </x:c>
      <x:c r="I31" s="180" t="str">
        <x:v>MutexPolicy</x:v>
      </x:c>
      <x:c r="J31" s="179" t="str">
        <x:v>类/实例候选</x:v>
      </x:c>
      <x:c r="K31" s="180" t="str">
        <x:v>生命周期：Definition</x:v>
      </x:c>
      <x:c r="L31" s="183" t="str">
        <x:v>设计候选，尚待源码验证</x:v>
      </x:c>
      <x:c r="M31" s="183" t="str">
        <x:v>M26.MutexPolicy</x:v>
      </x:c>
      <x:c r="N31" s="184" t="str">
        <x:v>03_能力对象!C206</x:v>
      </x:c>
      <x:c r="O31" s="183" t="str">
        <x:v>V4.9对象/属性/方法
V2.01：名称/子方面线索；处置=规划独立契约候选·未批准新增
V7.8：V7.8未检出同名词法声明</x:v>
      </x:c>
      <x:c r="P31" s="136" t="str">
        <x:v>V4.9对象/属性/方法</x:v>
      </x:c>
      <x:c r="Q31"/>
      <x:c r="R31"/>
      <x:c r="S31"/>
    </x:row>
    <x:row r="32" ht="72" customHeight="1">
      <x:c r="A32" s="179" t="str">
        <x:v>M26</x:v>
      </x:c>
      <x:c r="B32" s="180" t="str">
        <x:v>资源与治理｜Runtime Resource / Lease / Placement
Resource Leasing</x:v>
      </x:c>
      <x:c r="C32" s="180" t="str">
        <x:v>MRLPlacementTarget</x:v>
      </x:c>
      <x:c r="D32" s="179" t="str">
        <x:v>增构候选·待查重</x:v>
      </x:c>
      <x:c r="E32" s="180" t="str">
        <x:v>执行位置</x:v>
      </x:c>
      <x:c r="F32" s="180" t="str">
        <x:v>TargetKind；Endpoint；Resources；Health</x:v>
      </x:c>
      <x:c r="G32" s="180" t="str">
        <x:v>执行位置</x:v>
      </x:c>
      <x:c r="H32" s="180" t="str">
        <x:v>待逐对象核实</x:v>
      </x:c>
      <x:c r="I32" s="180" t="str">
        <x:v>运行对象/模型</x:v>
      </x:c>
      <x:c r="J32" s="179" t="str">
        <x:v>类/实例候选</x:v>
      </x:c>
      <x:c r="K32" s="180" t="str">
        <x:v>生命周期：Resolved</x:v>
      </x:c>
      <x:c r="L32" s="183" t="str">
        <x:v>设计候选，尚待源码验证</x:v>
      </x:c>
      <x:c r="M32" s="183" t="str">
        <x:v>M26.PlacementTarget</x:v>
      </x:c>
      <x:c r="N32" s="184" t="str">
        <x:v>03_能力对象!C207</x:v>
      </x:c>
      <x:c r="O32" s="183" t="str">
        <x:v>V4.9对象/属性/方法
V2.01：名称/子方面线索；处置=规划独立契约候选·未批准新增
V7.8：V7.8未检出同名词法声明</x:v>
      </x:c>
      <x:c r="P32" s="136" t="str">
        <x:v>V4.9对象/属性/方法</x:v>
      </x:c>
      <x:c r="Q32"/>
      <x:c r="R32"/>
      <x:c r="S32"/>
    </x:row>
    <x:row r="33" ht="72" customHeight="1">
      <x:c r="A33" s="179" t="str">
        <x:v>M26</x:v>
      </x:c>
      <x:c r="B33" s="180" t="str">
        <x:v>资源与治理｜Runtime Resource / Lease / Placement
Resource Leasing</x:v>
      </x:c>
      <x:c r="C33" s="180" t="str">
        <x:v>MRLRamVramQuotaManager</x:v>
      </x:c>
      <x:c r="D33" s="179" t="str">
        <x:v>增构候选·待查重</x:v>
      </x:c>
      <x:c r="E33" s="180" t="str">
        <x:v>内存与显存配额管理器：Reserve、Release</x:v>
      </x:c>
      <x:c r="F33" s="180" t="str">
        <x:v>RamBudget；VramBudget；Leases</x:v>
      </x:c>
      <x:c r="G33" s="180" t="str">
        <x:v>Reserve；Release</x:v>
      </x:c>
      <x:c r="H33" s="180" t="str">
        <x:v>待逐对象核实</x:v>
      </x:c>
      <x:c r="I33" s="180" t="str">
        <x:v>RamVramQuotaManager</x:v>
      </x:c>
      <x:c r="J33" s="179" t="str">
        <x:v>类/实例候选</x:v>
      </x:c>
      <x:c r="K33" s="180" t="str">
        <x:v>生命周期：Runtime</x:v>
      </x:c>
      <x:c r="L33" s="183" t="str">
        <x:v>设计候选，尚待源码验证</x:v>
      </x:c>
      <x:c r="M33" s="183" t="str">
        <x:v>M26.RamVramQuotaManager</x:v>
      </x:c>
      <x:c r="N33" s="184" t="str">
        <x:v>03_能力对象!C208</x:v>
      </x:c>
      <x:c r="O33" s="183" t="str">
        <x:v>V4.9对象/属性/方法
V2.01：名称/子方面线索；处置=规划独立契约候选·未批准新增
V7.8：V7.8未检出同名词法声明</x:v>
      </x:c>
      <x:c r="P33" s="136" t="str">
        <x:v>V4.9对象/属性/方法</x:v>
      </x:c>
      <x:c r="Q33"/>
      <x:c r="R33"/>
      <x:c r="S33"/>
    </x:row>
    <x:row r="34" ht="72" customHeight="1">
      <x:c r="A34" s="179" t="str">
        <x:v>M26</x:v>
      </x:c>
      <x:c r="B34" s="180" t="str">
        <x:v>资源与治理｜Runtime Resource / Lease / Placement
Resource Leasing</x:v>
      </x:c>
      <x:c r="C34" s="180" t="str">
        <x:v>MRLResourcePressureSignal</x:v>
      </x:c>
      <x:c r="D34" s="179" t="str">
        <x:v>增构候选·待查重</x:v>
      </x:c>
      <x:c r="E34" s="180" t="str">
        <x:v>资源压力信号：Publish、Observe</x:v>
      </x:c>
      <x:c r="F34" s="180" t="str">
        <x:v>Usage；Limit；Severity</x:v>
      </x:c>
      <x:c r="G34" s="180" t="str">
        <x:v>Publish；Observe</x:v>
      </x:c>
      <x:c r="H34" s="180" t="str">
        <x:v>待逐对象核实</x:v>
      </x:c>
      <x:c r="I34" s="180" t="str">
        <x:v>运行对象</x:v>
      </x:c>
      <x:c r="J34" s="179" t="str">
        <x:v>类/实例候选</x:v>
      </x:c>
      <x:c r="K34" s="180" t="str">
        <x:v>生命周期：Runtime</x:v>
      </x:c>
      <x:c r="L34" s="183" t="str">
        <x:v>设计候选，尚待源码验证</x:v>
      </x:c>
      <x:c r="M34" s="183" t="str">
        <x:v>M26.ResourcePressureSignal</x:v>
      </x:c>
      <x:c r="N34" s="184" t="str">
        <x:v>03_能力对象!C209</x:v>
      </x:c>
      <x:c r="O34" s="183" t="str">
        <x:v>V4.9对象/属性/方法
V2.01：名称/子方面线索；处置=规划独立契约候选·未批准新增
V7.8：V7.8未检出同名词法声明</x:v>
      </x:c>
      <x:c r="P34" s="136" t="str">
        <x:v>V4.9对象/属性/方法</x:v>
      </x:c>
      <x:c r="Q34"/>
      <x:c r="R34"/>
      <x:c r="S34"/>
    </x:row>
    <x:row r="35" ht="72" customHeight="1">
      <x:c r="A35" s="179" t="str">
        <x:v>M26</x:v>
      </x:c>
      <x:c r="B35" s="180" t="str">
        <x:v>资源与治理｜Runtime Resource / Lease / Placement
Resource Leasing</x:v>
      </x:c>
      <x:c r="C35" s="180" t="str">
        <x:v>MRLResourceScope</x:v>
      </x:c>
      <x:c r="D35" s="179" t="str">
        <x:v>复用待核</x:v>
      </x:c>
      <x:c r="E35" s="180" t="str">
        <x:v>运行资源作用域</x:v>
      </x:c>
      <x:c r="F35" s="180" t="str">
        <x:v>Available；Inherited；Leases；Waiters</x:v>
      </x:c>
      <x:c r="G35" s="180" t="str">
        <x:v>运行资源作用域</x:v>
      </x:c>
      <x:c r="H35" s="180" t="str">
        <x:v>待逐对象核实</x:v>
      </x:c>
      <x:c r="I35" s="180" t="str">
        <x:v>ResourceScope</x:v>
      </x:c>
      <x:c r="J35" s="179" t="str">
        <x:v>类/实例候选</x:v>
      </x:c>
      <x:c r="K35" s="180" t="str">
        <x:v>生命周期：Runtime</x:v>
      </x:c>
      <x:c r="L35" s="183" t="str">
        <x:v>V7.8源码词法匹配，尚未验收</x:v>
      </x:c>
      <x:c r="M35" s="183" t="str">
        <x:v>M26.ResourceScope</x:v>
      </x:c>
      <x:c r="N35" s="184" t="str">
        <x:v>Platform/Orchestration/Runtime/ExecutionRuntime.cs</x:v>
      </x:c>
      <x:c r="O35" s="183" t="str">
        <x:v>V4.9对象/属性/方法
V2.01：名称/子方面线索；处置=规划复用待核：不独立新增
V7.8：V7.8同名且源文件对应；Platform/Orchestration/Runtime/ExecutionRuntime.cs</x:v>
      </x:c>
      <x:c r="P35" s="136" t="str">
        <x:v>V4.9对象/属性/方法</x:v>
      </x:c>
      <x:c r="Q35"/>
      <x:c r="R35"/>
      <x:c r="S35"/>
    </x:row>
    <x:row r="36" ht="72" customHeight="1">
      <x:c r="A36" s="179" t="str">
        <x:v>M26</x:v>
      </x:c>
      <x:c r="B36" s="180" t="str">
        <x:v>资源与治理｜Runtime Resource / Lease / Placement
Resource Leasing</x:v>
      </x:c>
      <x:c r="C36" s="180" t="str">
        <x:v>MRLResourceWaitEntry</x:v>
      </x:c>
      <x:c r="D36" s="179" t="str">
        <x:v>增构候选·待查重</x:v>
      </x:c>
      <x:c r="E36" s="180" t="str">
        <x:v>等待队列项</x:v>
      </x:c>
      <x:c r="F36" s="180" t="str">
        <x:v>Instance；Requirement；Priority；WaitSince；Timeout</x:v>
      </x:c>
      <x:c r="G36" s="180" t="str">
        <x:v>等待队列项</x:v>
      </x:c>
      <x:c r="H36" s="180" t="str">
        <x:v>待逐对象核实</x:v>
      </x:c>
      <x:c r="I36" s="180" t="str">
        <x:v>运行对象/模型</x:v>
      </x:c>
      <x:c r="J36" s="179" t="str">
        <x:v>类/实例候选</x:v>
      </x:c>
      <x:c r="K36" s="180" t="str">
        <x:v>生命周期：Runtime</x:v>
      </x:c>
      <x:c r="L36" s="183" t="str">
        <x:v>设计候选，尚待源码验证</x:v>
      </x:c>
      <x:c r="M36" s="183" t="str">
        <x:v>M26.ResourceWaitEntry</x:v>
      </x:c>
      <x:c r="N36" s="184" t="str">
        <x:v>03_能力对象!C211</x:v>
      </x:c>
      <x:c r="O36" s="183" t="str">
        <x:v>V4.9对象/属性/方法
V2.01：名称/子方面线索；处置=规划独立契约候选·未批准新增
V7.8：V7.8未检出同名词法声明</x:v>
      </x:c>
      <x:c r="P36" s="136" t="str">
        <x:v>V4.9对象/属性/方法</x:v>
      </x:c>
      <x:c r="Q36"/>
      <x:c r="R36"/>
      <x:c r="S36"/>
    </x:row>
    <x:row r="37" ht="72" customHeight="1">
      <x:c r="A37" s="179" t="str">
        <x:v>M26</x:v>
      </x:c>
      <x:c r="B37" s="180" t="str">
        <x:v>资源与治理｜Runtime Resource / Lease / Placement
Resource Leasing</x:v>
      </x:c>
      <x:c r="C37" s="180" t="str">
        <x:v>MRLSemaphorePolicy</x:v>
      </x:c>
      <x:c r="D37" s="179" t="str">
        <x:v>增构候选·待查重</x:v>
      </x:c>
      <x:c r="E37" s="180" t="str">
        <x:v>数量资源</x:v>
      </x:c>
      <x:c r="F37" s="180" t="str">
        <x:v>Capacity；Fairness</x:v>
      </x:c>
      <x:c r="G37" s="180" t="str">
        <x:v>数量资源</x:v>
      </x:c>
      <x:c r="H37" s="180" t="str">
        <x:v>待逐对象核实</x:v>
      </x:c>
      <x:c r="I37" s="180" t="str">
        <x:v>SemaphorePolicy</x:v>
      </x:c>
      <x:c r="J37" s="179" t="str">
        <x:v>类/实例候选</x:v>
      </x:c>
      <x:c r="K37" s="180" t="str">
        <x:v>生命周期：Definition</x:v>
      </x:c>
      <x:c r="L37" s="183" t="str">
        <x:v>设计候选，尚待源码验证</x:v>
      </x:c>
      <x:c r="M37" s="183" t="str">
        <x:v>M26.SemaphorePolicy</x:v>
      </x:c>
      <x:c r="N37" s="184" t="str">
        <x:v>03_能力对象!C212</x:v>
      </x:c>
      <x:c r="O37" s="183" t="str">
        <x:v>V4.9对象/属性/方法
V2.01：名称/子方面线索；处置=规划独立契约候选·未批准新增
V7.8：V7.8未检出同名词法声明</x:v>
      </x:c>
      <x:c r="P37" s="136" t="str">
        <x:v>V4.9对象/属性/方法</x:v>
      </x:c>
      <x:c r="Q37"/>
      <x:c r="R37"/>
      <x:c r="S37"/>
    </x:row>
    <x:row r="38" ht="72" customHeight="1">
      <x:c r="A38" s="179" t="str">
        <x:v>M27</x:v>
      </x:c>
      <x:c r="B38" s="180" t="str">
        <x:v>资源与治理｜Policy / Fault / Recovery
Fault Recovery</x:v>
      </x:c>
      <x:c r="C38" s="180" t="str">
        <x:v>MFRConditionalTransition</x:v>
      </x:c>
      <x:c r="D38" s="179" t="str">
        <x:v>原有·待核</x:v>
      </x:c>
      <x:c r="E38" s="180" t="str">
        <x:v>负责ConditionalTransition相关的条件迁移与公共契约管理</x:v>
      </x:c>
      <x:c r="F38" s="180" t="str">
        <x:v>Condition</x:v>
      </x:c>
      <x:c r="G38" s="180" t="str">
        <x:v>ConditionalTransition(ExecutionStep sourceStep, ExecutionStep targetStep, string condition, int priority = 0, IExpressionEngine e…), EvaluateAsync(IDictionary&lt;string, object&gt; values, RuntimeContext context = null, CancellationToken cancellationToken = de…), CanTransit()</x:v>
      </x:c>
      <x:c r="H38" s="180" t="str">
        <x:v>—（待核）</x:v>
      </x:c>
      <x:c r="I38" s="180" t="str">
        <x:v>CxVisual.Platform.Orchestration.ConditionalTransition</x:v>
      </x:c>
      <x:c r="J38" s="179" t="str">
        <x:v>类</x:v>
      </x:c>
      <x:c r="K38" s="180" t="str">
        <x:v>V1.19 C-0973；原实施方式：原有。迁移风险：负责ConditionalTransition相关的条件迁移与公共契约管理</x:v>
      </x:c>
      <x:c r="L38" s="183" t="str">
        <x:v>源代码声明·待复核</x:v>
      </x:c>
      <x:c r="M38" s="183" t="str">
        <x:v>C-0973</x:v>
      </x:c>
      <x:c r="N38" s="184" t="str">
        <x:v>Platform/Orchestration/Runtime/ExecutionStep.cs</x:v>
      </x:c>
      <x:c r="O38" s="183" t="str">
        <x:v>V1.19旧源码类型（真实成员/实现仍待核）
V2.01：来源ID对应；处置=保留源码·公开契约复核
V7.8：V7.8同名且源文件对应；Platform/Orchestration/Runtime/ExecutionStep.cs</x:v>
      </x:c>
      <x:c r="P38" s="136" t="str">
        <x:v>V1.19旧源码类型（真实成员/实现仍待核）</x:v>
      </x:c>
      <x:c r="Q38"/>
      <x:c r="R38"/>
      <x:c r="S38"/>
    </x:row>
    <x:row r="39" ht="72" customHeight="1">
      <x:c r="A39" s="179" t="str">
        <x:v>M27</x:v>
      </x:c>
      <x:c r="B39" s="180" t="str">
        <x:v>资源与治理｜Policy / Fault / Recovery
Fault Recovery</x:v>
      </x:c>
      <x:c r="C39" s="180" t="str">
        <x:v>MFRCxCancellationPolicy</x:v>
      </x:c>
      <x:c r="D39" s="179" t="str">
        <x:v>原有·待核</x:v>
      </x:c>
      <x:c r="E39" s="180" t="str">
        <x:v>负责Cancellation策略相关的取消与公共契约管理</x:v>
      </x:c>
      <x:c r="F39" s="180" t="str">
        <x:v>PropagateToChildren, GracePeriod, ForceAfter</x:v>
      </x:c>
      <x:c r="G39" s="180" t="str">
        <x:v>Validate(), Clone()</x:v>
      </x:c>
      <x:c r="H39" s="180" t="str">
        <x:v>—（待核）</x:v>
      </x:c>
      <x:c r="I39" s="180" t="str">
        <x:v>CxVisual.Platform.Orchestration.Policies.CxCancellationPolicy</x:v>
      </x:c>
      <x:c r="J39" s="179" t="str">
        <x:v>类</x:v>
      </x:c>
      <x:c r="K39" s="180" t="str">
        <x:v>V1.19 C-0982；原实施方式：原有。迁移风险：负责Cancellation策略相关的取消与公共契约管理</x:v>
      </x:c>
      <x:c r="L39" s="183" t="str">
        <x:v>源代码声明·待复核</x:v>
      </x:c>
      <x:c r="M39" s="183" t="str">
        <x:v>C-0982</x:v>
      </x:c>
      <x:c r="N39" s="184" t="str">
        <x:v>Platform/Orchestration/Policies/CxExecutionPolicy.cs</x:v>
      </x:c>
      <x:c r="O39" s="183" t="str">
        <x:v>V1.19旧源码类型（真实成员/实现仍待核）
V2.01：来源ID对应；处置=保留源码·公开契约复核
V7.8：V7.8同名且源文件对应；Platform/Orchestration/Policies/CxExecutionPolicy.cs</x:v>
      </x:c>
      <x:c r="P39" s="136" t="str">
        <x:v>V1.19旧源码类型（真实成员/实现仍待核）</x:v>
      </x:c>
      <x:c r="Q39"/>
      <x:c r="R39"/>
      <x:c r="S39"/>
    </x:row>
    <x:row r="40" ht="72" customHeight="1">
      <x:c r="A40" s="179" t="str">
        <x:v>M27</x:v>
      </x:c>
      <x:c r="B40" s="180" t="str">
        <x:v>资源与治理｜Policy / Fault / Recovery
Fault Recovery</x:v>
      </x:c>
      <x:c r="C40" s="180" t="str">
        <x:v>MFRCxCheckpointMode</x:v>
      </x:c>
      <x:c r="D40" s="179" t="str">
        <x:v>原有·待核</x:v>
      </x:c>
      <x:c r="E40" s="180" t="str">
        <x:v>定义检查点Mode的候选取值、状态或模式，供相关流程作分支判断</x:v>
      </x:c>
      <x:c r="F40" s="180" t="str">
        <x:v>枚举值：None, BeforeAndAfterStep, Manual</x:v>
      </x:c>
      <x:c r="G40" s="180" t="str">
        <x:v>—(无公开声明或待核对)</x:v>
      </x:c>
      <x:c r="H40" s="180" t="str">
        <x:v>—（待核）</x:v>
      </x:c>
      <x:c r="I40" s="180" t="str">
        <x:v>CxVisual.Platform.Orchestration.Policies.CxCheckpointMode</x:v>
      </x:c>
      <x:c r="J40" s="179" t="str">
        <x:v>枚举</x:v>
      </x:c>
      <x:c r="K40" s="180" t="str">
        <x:v>V1.19 C-0983；原实施方式：原有。迁移风险：定义检查点Mode的候选取值、状态或模式，供相关流程作分支判断</x:v>
      </x:c>
      <x:c r="L40" s="183" t="str">
        <x:v>源代码声明·待复核</x:v>
      </x:c>
      <x:c r="M40" s="183" t="str">
        <x:v>C-0983</x:v>
      </x:c>
      <x:c r="N40" s="184" t="str">
        <x:v>Platform/Orchestration/Policies/CxExecutionPolicy.cs</x:v>
      </x:c>
      <x:c r="O40" s="183" t="str">
        <x:v>V1.19旧源码类型（真实成员/实现仍待核）
V2.01：来源ID对应；处置=保留源码·公开契约复核
V7.8：V7.8同名且源文件对应；Platform/Orchestration/Policies/CxExecutionPolicy.cs</x:v>
      </x:c>
      <x:c r="P40" s="136" t="str">
        <x:v>V1.19旧源码类型（真实成员/实现仍待核）</x:v>
      </x:c>
      <x:c r="Q40"/>
      <x:c r="R40"/>
      <x:c r="S40"/>
    </x:row>
    <x:row r="41" ht="72" customHeight="1">
      <x:c r="A41" s="179" t="str">
        <x:v>M27</x:v>
      </x:c>
      <x:c r="B41" s="180" t="str">
        <x:v>资源与治理｜Policy / Fault / Recovery
Fault Recovery</x:v>
      </x:c>
      <x:c r="C41" s="180" t="str">
        <x:v>MFRCxCompensationDefinition</x:v>
      </x:c>
      <x:c r="D41" s="179" t="str">
        <x:v>原有·待核</x:v>
      </x:c>
      <x:c r="E41" s="180" t="str">
        <x:v>负责Compensation定义相关的补偿与公共契约管理</x:v>
      </x:c>
      <x:c r="F41" s="180" t="str">
        <x:v>OperationRef, InputMappings, TriggerOn, CxCompensationDefinition</x:v>
      </x:c>
      <x:c r="G41" s="180" t="str">
        <x:v>Validate()</x:v>
      </x:c>
      <x:c r="H41" s="180" t="str">
        <x:v>—（待核）</x:v>
      </x:c>
      <x:c r="I41" s="180" t="str">
        <x:v>CxVisual.Platform.Orchestration.Policies.CxCompensationDefinition</x:v>
      </x:c>
      <x:c r="J41" s="179" t="str">
        <x:v>类</x:v>
      </x:c>
      <x:c r="K41" s="180" t="str">
        <x:v>V1.19 C-0984；原实施方式：原有。迁移风险：负责Compensation定义相关的补偿与公共契约管理</x:v>
      </x:c>
      <x:c r="L41" s="183" t="str">
        <x:v>源代码声明·待复核</x:v>
      </x:c>
      <x:c r="M41" s="183" t="str">
        <x:v>C-0984</x:v>
      </x:c>
      <x:c r="N41" s="184" t="str">
        <x:v>Platform/Orchestration/Policies/CxExecutionPolicy.cs</x:v>
      </x:c>
      <x:c r="O41" s="183" t="str">
        <x:v>V1.19旧源码类型（真实成员/实现仍待核）
V2.01：来源ID对应；处置=保留源码·公开契约复核
V7.8：V7.8同名且源文件对应；Platform/Orchestration/Policies/CxExecutionPolicy.cs</x:v>
      </x:c>
      <x:c r="P41" s="136" t="str">
        <x:v>V1.19旧源码类型（真实成员/实现仍待核）</x:v>
      </x:c>
      <x:c r="Q41"/>
      <x:c r="R41"/>
      <x:c r="S41"/>
    </x:row>
    <x:row r="42" ht="72" customHeight="1">
      <x:c r="A42" s="179" t="str">
        <x:v>M27</x:v>
      </x:c>
      <x:c r="B42" s="180" t="str">
        <x:v>资源与治理｜Policy / Fault / Recovery
Fault Recovery</x:v>
      </x:c>
      <x:c r="C42" s="180" t="str">
        <x:v>MFRCxCompensationTrigger</x:v>
      </x:c>
      <x:c r="D42" s="179" t="str">
        <x:v>原有·待核</x:v>
      </x:c>
      <x:c r="E42" s="180" t="str">
        <x:v>定义Compensation触发的候选取值、状态或模式，供相关流程作分支判断</x:v>
      </x:c>
      <x:c r="F42" s="180" t="str">
        <x:v>枚举值：None, Failure, Timeout, Cancellation</x:v>
      </x:c>
      <x:c r="G42" s="180" t="str">
        <x:v>—(无公开声明或待核对)</x:v>
      </x:c>
      <x:c r="H42" s="180" t="str">
        <x:v>—（待核）</x:v>
      </x:c>
      <x:c r="I42" s="180" t="str">
        <x:v>CxVisual.Platform.Orchestration.Policies.CxCompensationTrigger</x:v>
      </x:c>
      <x:c r="J42" s="179" t="str">
        <x:v>枚举</x:v>
      </x:c>
      <x:c r="K42" s="180" t="str">
        <x:v>V1.19 C-0985；原实施方式：原有。迁移风险：定义Compensation触发的候选取值、状态或模式，供相关流程作分支判断</x:v>
      </x:c>
      <x:c r="L42" s="183" t="str">
        <x:v>源代码声明·待复核</x:v>
      </x:c>
      <x:c r="M42" s="183" t="str">
        <x:v>C-0985</x:v>
      </x:c>
      <x:c r="N42" s="184" t="str">
        <x:v>Platform/Orchestration/Policies/CxExecutionPolicy.cs:21</x:v>
      </x:c>
      <x:c r="O42" s="183" t="str">
        <x:v>V1.19旧源码类型（真实成员/实现仍待核）
V2.01：来源ID对应；处置=保留源码·公开契约复核
V7.8：V7.8未检出同名词法声明</x:v>
      </x:c>
      <x:c r="P42" s="136" t="str">
        <x:v>V1.19旧源码类型（真实成员/实现仍待核）</x:v>
      </x:c>
      <x:c r="Q42"/>
      <x:c r="R42"/>
      <x:c r="S42"/>
    </x:row>
    <x:row r="43" ht="72" customHeight="1">
      <x:c r="A43" s="179" t="str">
        <x:v>M27</x:v>
      </x:c>
      <x:c r="B43" s="180" t="str">
        <x:v>资源与治理｜Policy / Fault / Recovery
Fault Recovery</x:v>
      </x:c>
      <x:c r="C43" s="180" t="str">
        <x:v>MFRCxDurabilityPolicy</x:v>
      </x:c>
      <x:c r="D43" s="179" t="str">
        <x:v>原有·待核</x:v>
      </x:c>
      <x:c r="E43" s="180" t="str">
        <x:v>负责Durability策略相关的持久执行与公共契约管理</x:v>
      </x:c>
      <x:c r="F43" s="180" t="str">
        <x:v>Enabled, CheckpointMode, PersistenceKind, RestorePolicy</x:v>
      </x:c>
      <x:c r="G43" s="180" t="str">
        <x:v>Validate(), Clone()</x:v>
      </x:c>
      <x:c r="H43" s="180" t="str">
        <x:v>—（待核）</x:v>
      </x:c>
      <x:c r="I43" s="180" t="str">
        <x:v>CxVisual.Platform.Orchestration.Policies.CxDurabilityPolicy</x:v>
      </x:c>
      <x:c r="J43" s="179" t="str">
        <x:v>类</x:v>
      </x:c>
      <x:c r="K43" s="180" t="str">
        <x:v>V1.19 C-0986；原实施方式：原有。迁移风险：负责Durability策略相关的持久执行与公共契约管理</x:v>
      </x:c>
      <x:c r="L43" s="183" t="str">
        <x:v>源代码声明·待复核</x:v>
      </x:c>
      <x:c r="M43" s="183" t="str">
        <x:v>C-0986</x:v>
      </x:c>
      <x:c r="N43" s="184" t="str">
        <x:v>Platform/Orchestration/Policies/CxExecutionPolicy.cs</x:v>
      </x:c>
      <x:c r="O43" s="183" t="str">
        <x:v>V1.19旧源码类型（真实成员/实现仍待核）
V2.01：来源ID对应；处置=保留源码·公开契约复核
V7.8：V7.8同名且源文件对应；Platform/Orchestration/Policies/CxExecutionPolicy.cs</x:v>
      </x:c>
      <x:c r="P43" s="136" t="str">
        <x:v>V1.19旧源码类型（真实成员/实现仍待核）</x:v>
      </x:c>
      <x:c r="Q43"/>
      <x:c r="R43"/>
      <x:c r="S43"/>
    </x:row>
    <x:row r="44" ht="72" customHeight="1">
      <x:c r="A44" s="179" t="str">
        <x:v>M27</x:v>
      </x:c>
      <x:c r="B44" s="180" t="str">
        <x:v>资源与治理｜Policy / Fault / Recovery
Fault Recovery</x:v>
      </x:c>
      <x:c r="C44" s="180" t="str">
        <x:v>MFRCxExecutionPolicy</x:v>
      </x:c>
      <x:c r="D44" s="179" t="str">
        <x:v>原有·待核</x:v>
      </x:c>
      <x:c r="E44" s="180" t="str">
        <x:v>负责执行策略相关的策略聚合与公共契约管理</x:v>
      </x:c>
      <x:c r="F44" s="180" t="str">
        <x:v>Retry, Timeout, Cancellation, Durability, Idempotency, FailureAction, Compensation, CxExecutionPolicy</x:v>
      </x:c>
      <x:c r="G44" s="180" t="str">
        <x:v>Validate()</x:v>
      </x:c>
      <x:c r="H44" s="180" t="str">
        <x:v>—（待核）</x:v>
      </x:c>
      <x:c r="I44" s="180" t="str">
        <x:v>CxVisual.Platform.Orchestration.Policies.CxExecutionPolicy</x:v>
      </x:c>
      <x:c r="J44" s="179" t="str">
        <x:v>类</x:v>
      </x:c>
      <x:c r="K44" s="180" t="str">
        <x:v>V1.19 C-0987；原实施方式：原有。迁移风险：负责执行策略相关的策略聚合与公共契约管理</x:v>
      </x:c>
      <x:c r="L44" s="183" t="str">
        <x:v>源代码声明·待复核</x:v>
      </x:c>
      <x:c r="M44" s="183" t="str">
        <x:v>C-0987</x:v>
      </x:c>
      <x:c r="N44" s="184" t="str">
        <x:v>Platform/Orchestration/Policies/CxExecutionPolicy.cs</x:v>
      </x:c>
      <x:c r="O44" s="183" t="str">
        <x:v>V1.19旧源码类型（真实成员/实现仍待核）
V2.01：来源ID对应；处置=保留源码·公开契约复核
V7.8：V7.8同名且源文件对应；Platform/Orchestration/Policies/CxExecutionPolicy.cs</x:v>
      </x:c>
      <x:c r="P44" s="136" t="str">
        <x:v>V1.19旧源码类型（真实成员/实现仍待核）</x:v>
      </x:c>
      <x:c r="Q44"/>
      <x:c r="R44"/>
      <x:c r="S44"/>
    </x:row>
    <x:row r="45" ht="72" customHeight="1">
      <x:c r="A45" s="179" t="str">
        <x:v>M27</x:v>
      </x:c>
      <x:c r="B45" s="180" t="str">
        <x:v>资源与治理｜Policy / Fault / Recovery
Fault Recovery</x:v>
      </x:c>
      <x:c r="C45" s="180" t="str">
        <x:v>MFRCxFailureAction</x:v>
      </x:c>
      <x:c r="D45" s="179" t="str">
        <x:v>原有·待核</x:v>
      </x:c>
      <x:c r="E45" s="180" t="str">
        <x:v>定义FailureAction的候选取值、状态或模式，供相关流程作分支判断</x:v>
      </x:c>
      <x:c r="F45" s="180" t="str">
        <x:v>枚举值：Fail, Continue, Compensate</x:v>
      </x:c>
      <x:c r="G45" s="180" t="str">
        <x:v>—(无公开声明或待核对)</x:v>
      </x:c>
      <x:c r="H45" s="180" t="str">
        <x:v>—（待核）</x:v>
      </x:c>
      <x:c r="I45" s="180" t="str">
        <x:v>CxVisual.Platform.Orchestration.Policies.CxFailureAction</x:v>
      </x:c>
      <x:c r="J45" s="179" t="str">
        <x:v>枚举</x:v>
      </x:c>
      <x:c r="K45" s="180" t="str">
        <x:v>V1.19 C-0988；原实施方式：原有。迁移风险：定义FailureAction的候选取值、状态或模式，供相关流程作分支判断</x:v>
      </x:c>
      <x:c r="L45" s="183" t="str">
        <x:v>源代码声明·待复核</x:v>
      </x:c>
      <x:c r="M45" s="183" t="str">
        <x:v>C-0988</x:v>
      </x:c>
      <x:c r="N45" s="184" t="str">
        <x:v>Platform/Orchestration/Policies/CxExecutionPolicy.cs</x:v>
      </x:c>
      <x:c r="O45" s="183" t="str">
        <x:v>V1.19旧源码类型（真实成员/实现仍待核）
V2.01：来源ID对应；处置=保留源码·公开契约复核
V7.8：V7.8同名且源文件对应；Platform/Orchestration/Policies/CxExecutionPolicy.cs</x:v>
      </x:c>
      <x:c r="P45" s="136" t="str">
        <x:v>V1.19旧源码类型（真实成员/实现仍待核）</x:v>
      </x:c>
      <x:c r="Q45"/>
      <x:c r="R45"/>
      <x:c r="S45"/>
    </x:row>
    <x:row r="46" ht="72" customHeight="1">
      <x:c r="A46" s="179" t="str">
        <x:v>M27</x:v>
      </x:c>
      <x:c r="B46" s="180" t="str">
        <x:v>资源与治理｜Policy / Fault / Recovery
Fault Recovery</x:v>
      </x:c>
      <x:c r="C46" s="180" t="str">
        <x:v>MFRCxIdempotencyPolicy</x:v>
      </x:c>
      <x:c r="D46" s="179" t="str">
        <x:v>原有·待核</x:v>
      </x:c>
      <x:c r="E46" s="180" t="str">
        <x:v>负责Idempotency策略相关的幂等与公共契约管理</x:v>
      </x:c>
      <x:c r="F46" s="180" t="str">
        <x:v>Enabled, KeyExpression, Scope, Window</x:v>
      </x:c>
      <x:c r="G46" s="180" t="str">
        <x:v>Validate(), BuildKey(string operationId, IDictionary&lt;string, object&gt; values, RuntimeContext context, string projectId = null, IE…), Clone()</x:v>
      </x:c>
      <x:c r="H46" s="180" t="str">
        <x:v>—（待核）</x:v>
      </x:c>
      <x:c r="I46" s="180" t="str">
        <x:v>CxVisual.Platform.Orchestration.Policies.CxIdempotencyPolicy</x:v>
      </x:c>
      <x:c r="J46" s="179" t="str">
        <x:v>类</x:v>
      </x:c>
      <x:c r="K46" s="180" t="str">
        <x:v>V1.19 C-0989；原实施方式：原有。迁移风险：负责Idempotency策略相关的幂等与公共契约管理</x:v>
      </x:c>
      <x:c r="L46" s="183" t="str">
        <x:v>源代码声明·待复核</x:v>
      </x:c>
      <x:c r="M46" s="183" t="str">
        <x:v>C-0989</x:v>
      </x:c>
      <x:c r="N46" s="184" t="str">
        <x:v>Platform/Orchestration/Policies/CxExecutionPolicy.cs</x:v>
      </x:c>
      <x:c r="O46" s="183" t="str">
        <x:v>V1.19旧源码类型（真实成员/实现仍待核）
V2.01：来源ID对应；处置=保留源码·公开契约复核
V7.8：V7.8同名且源文件对应；Platform/Orchestration/Policies/CxExecutionPolicy.cs</x:v>
      </x:c>
      <x:c r="P46" s="136" t="str">
        <x:v>V1.19旧源码类型（真实成员/实现仍待核）</x:v>
      </x:c>
      <x:c r="Q46"/>
      <x:c r="R46"/>
      <x:c r="S46"/>
    </x:row>
    <x:row r="47" ht="72" customHeight="1">
      <x:c r="A47" s="179" t="str">
        <x:v>M27</x:v>
      </x:c>
      <x:c r="B47" s="180" t="str">
        <x:v>资源与治理｜Policy / Fault / Recovery
Fault Recovery</x:v>
      </x:c>
      <x:c r="C47" s="180" t="str">
        <x:v>MFRCxIdempotencyScope</x:v>
      </x:c>
      <x:c r="D47" s="179" t="str">
        <x:v>原有·待核</x:v>
      </x:c>
      <x:c r="E47" s="180" t="str">
        <x:v>定义IdempotencyScope的候选取值、状态或模式，供相关流程作分支判断</x:v>
      </x:c>
      <x:c r="F47" s="180" t="str">
        <x:v>枚举值：Execution, Project, Global</x:v>
      </x:c>
      <x:c r="G47" s="180" t="str">
        <x:v>—(无公开声明或待核对)</x:v>
      </x:c>
      <x:c r="H47" s="180" t="str">
        <x:v>—（待核）</x:v>
      </x:c>
      <x:c r="I47" s="180" t="str">
        <x:v>CxVisual.Platform.Orchestration.Policies.CxIdempotencyScope</x:v>
      </x:c>
      <x:c r="J47" s="179" t="str">
        <x:v>枚举</x:v>
      </x:c>
      <x:c r="K47" s="180" t="str">
        <x:v>V1.19 C-0990；原实施方式：原有。迁移风险：定义IdempotencyScope的候选取值、状态或模式，供相关流程作分支判断</x:v>
      </x:c>
      <x:c r="L47" s="183" t="str">
        <x:v>源代码声明·待复核</x:v>
      </x:c>
      <x:c r="M47" s="183" t="str">
        <x:v>C-0990</x:v>
      </x:c>
      <x:c r="N47" s="184" t="str">
        <x:v>Platform/Orchestration/Policies/CxExecutionPolicy.cs</x:v>
      </x:c>
      <x:c r="O47" s="183" t="str">
        <x:v>V1.19旧源码类型（真实成员/实现仍待核）
V2.01：来源ID对应；处置=保留源码·公开契约复核
V7.8：V7.8同名且源文件对应；Platform/Orchestration/Policies/CxExecutionPolicy.cs</x:v>
      </x:c>
      <x:c r="P47" s="136" t="str">
        <x:v>V1.19旧源码类型（真实成员/实现仍待核）</x:v>
      </x:c>
      <x:c r="Q47"/>
      <x:c r="R47"/>
      <x:c r="S47"/>
    </x:row>
    <x:row r="48" ht="72" customHeight="1">
      <x:c r="A48" s="179" t="str">
        <x:v>M27</x:v>
      </x:c>
      <x:c r="B48" s="180" t="str">
        <x:v>资源与治理｜Policy / Fault / Recovery
Fault Recovery</x:v>
      </x:c>
      <x:c r="C48" s="180" t="str">
        <x:v>MFRCxPersistenceKind</x:v>
      </x:c>
      <x:c r="D48" s="179" t="str">
        <x:v>原有·待核</x:v>
      </x:c>
      <x:c r="E48" s="180" t="str">
        <x:v>定义持久化Kind的候选取值、状态或模式，供相关流程作分支判断</x:v>
      </x:c>
      <x:c r="F48" s="180" t="str">
        <x:v>枚举值：Memory, Journal, File, External</x:v>
      </x:c>
      <x:c r="G48" s="180" t="str">
        <x:v>—(无公开声明或待核对)</x:v>
      </x:c>
      <x:c r="H48" s="180" t="str">
        <x:v>—（待核）</x:v>
      </x:c>
      <x:c r="I48" s="180" t="str">
        <x:v>CxVisual.Platform.Orchestration.Policies.CxPersistenceKind</x:v>
      </x:c>
      <x:c r="J48" s="179" t="str">
        <x:v>枚举</x:v>
      </x:c>
      <x:c r="K48" s="180" t="str">
        <x:v>V1.19 C-0991；原实施方式：原有。迁移风险：定义持久化Kind的候选取值、状态或模式，供相关流程作分支判断</x:v>
      </x:c>
      <x:c r="L48" s="183" t="str">
        <x:v>源代码声明·待复核</x:v>
      </x:c>
      <x:c r="M48" s="183" t="str">
        <x:v>C-0991</x:v>
      </x:c>
      <x:c r="N48" s="184" t="str">
        <x:v>Platform/Orchestration/Policies/CxExecutionPolicy.cs</x:v>
      </x:c>
      <x:c r="O48" s="183" t="str">
        <x:v>V1.19旧源码类型（真实成员/实现仍待核）
V2.01：来源ID对应；处置=保留源码·公开契约复核
V7.8：V7.8同名且源文件对应；Platform/Orchestration/Policies/CxExecutionPolicy.cs</x:v>
      </x:c>
      <x:c r="P48" s="136" t="str">
        <x:v>V1.19旧源码类型（真实成员/实现仍待核）</x:v>
      </x:c>
      <x:c r="Q48"/>
      <x:c r="R48"/>
      <x:c r="S48"/>
    </x:row>
    <x:row r="49" ht="135" customHeight="1">
      <x:c r="A49" s="179" t="str">
        <x:v>M27</x:v>
      </x:c>
      <x:c r="B49" s="180" t="str">
        <x:v>资源与治理｜Policy / Fault / Recovery
Fault Recovery</x:v>
      </x:c>
      <x:c r="C49" s="180" t="str">
        <x:v>MFRCxRecoveryManager</x:v>
      </x:c>
      <x:c r="D49" s="179" t="str">
        <x:v>原有·待核</x:v>
      </x:c>
      <x:c r="E49" s="180" t="str">
        <x:v>负责Recovery管理器相关的恢复与公共契约管理</x:v>
      </x:c>
      <x:c r="F49" s="180" t="str">
        <x:v>LastPersistenceError, Plan, Operations, Store</x:v>
      </x:c>
      <x:c r="G49" s="180" t="str">
        <x:v>CxRecoveryManager(CxRuntimePlan plan, CxOperationRegistry operations, CxStepCheckpointStore store, IDictionary&lt;string, CxExec…); ReadOnlyDictionary(_policies.ToDictionary(x =&gt; x.Key, x =&gt; x.Value.Clone(); PolicyFor(string nodeAddress, string stepId, string operationId); RecoverAsync(ExecutionStep step, CancellationToken cancellationToken = default(CancellationToken); ResumeAsync(ExecutionStep step, CancellationToken cancellationToken = default(CancellationToken); ValidateStep(ExecutionStep step); BuildKey(ExecutionStep step); PrepareCheckpoint(ExecutionStep step); RunStepAsync(ExecutionStep step, Func&lt;CancellationToken, Task&lt;CxOperationResult&gt;&gt; run, CancellationToken token); DrainAsync(CancellationToken cancellationToken = default(CancellationToken); RetryCommitsAsync(CancellationToken cancellationToken = default(CancellationToken); RollbackAsync(ExecutionStep step, ExecutionContext recoveryContext, CancellationToken cancellationToken = default(Cancell…); RebindResourcesAsync(string operationId, CxNodeAddress nodeAddress, ExecutionContext context, CancellationToken cancellationToke…); Encode(IEnumerable&lt;KeyValuePair&lt;string, object&gt;&gt; values); Decode(JObject encoded)</x:v>
      </x:c>
      <x:c r="H49" s="180" t="str">
        <x:v>—（待核）</x:v>
      </x:c>
      <x:c r="I49" s="180" t="str">
        <x:v>CxVisual.Platform.Orchestration.CxRecoveryManager</x:v>
      </x:c>
      <x:c r="J49" s="179" t="str">
        <x:v>类</x:v>
      </x:c>
      <x:c r="K49" s="180" t="str">
        <x:v>V1.19 C-0974；原实施方式：原有。迁移风险：负责Recovery管理器相关的恢复与公共契约管理</x:v>
      </x:c>
      <x:c r="L49" s="183" t="str">
        <x:v>源代码声明·待复核</x:v>
      </x:c>
      <x:c r="M49" s="183" t="str">
        <x:v>C-0974</x:v>
      </x:c>
      <x:c r="N49" s="184" t="str">
        <x:v>Platform/Orchestration/Runtime/CxRecoveryManager.cs</x:v>
      </x:c>
      <x:c r="O49" s="183" t="str">
        <x:v>V1.19旧源码类型（真实成员/实现仍待核）
V2.01：来源ID对应；处置=保留源码·公开契约复核
V7.8：V7.8同名且源文件对应；Platform/Orchestration/Runtime/CxRecoveryManager.cs</x:v>
      </x:c>
      <x:c r="P49" s="136" t="str">
        <x:v>V1.19旧源码类型（真实成员/实现仍待核）</x:v>
      </x:c>
      <x:c r="Q49"/>
      <x:c r="R49"/>
      <x:c r="S49"/>
    </x:row>
    <x:row r="50" ht="72" customHeight="1">
      <x:c r="A50" s="179" t="str">
        <x:v>M27</x:v>
      </x:c>
      <x:c r="B50" s="180" t="str">
        <x:v>资源与治理｜Policy / Fault / Recovery
Fault Recovery</x:v>
      </x:c>
      <x:c r="C50" s="180" t="str">
        <x:v>MFRCxRecoveryOutcomeUnknownException</x:v>
      </x:c>
      <x:c r="D50" s="179" t="str">
        <x:v>原有·待核</x:v>
      </x:c>
      <x:c r="E50" s="180" t="str">
        <x:v>表示RecoveryOutcomeUnknown异常异常并传递异常原因及诊断上下文</x:v>
      </x:c>
      <x:c r="F50" s="180" t="str">
        <x:v>Checkpoint</x:v>
      </x:c>
      <x:c r="G50" s="180" t="str">
        <x:v>CxRecoveryOutcomeUnknownException(CxStepCheckpoint checkpoint)</x:v>
      </x:c>
      <x:c r="H50" s="180" t="str">
        <x:v>—（待核）</x:v>
      </x:c>
      <x:c r="I50" s="180" t="str">
        <x:v>CxVisual.Platform.Orchestration.CxRecoveryOutcomeUnknownException</x:v>
      </x:c>
      <x:c r="J50" s="179" t="str">
        <x:v>类</x:v>
      </x:c>
      <x:c r="K50" s="180" t="str">
        <x:v>V1.19 C-0976；原实施方式：原有。迁移风险：表示RecoveryOutcomeUnknown异常异常并传递异常原因及诊断上下文</x:v>
      </x:c>
      <x:c r="L50" s="183" t="str">
        <x:v>源代码声明·待复核</x:v>
      </x:c>
      <x:c r="M50" s="183" t="str">
        <x:v>C-0976</x:v>
      </x:c>
      <x:c r="N50" s="184" t="str">
        <x:v>Platform/Orchestration/Runtime/CxRecoveryManager.cs</x:v>
      </x:c>
      <x:c r="O50" s="183" t="str">
        <x:v>V1.19旧源码类型（真实成员/实现仍待核）
V2.01：来源ID对应；处置=保留源码·公开契约复核
V7.8：V7.8同名且源文件对应；Platform/Orchestration/Runtime/CxRecoveryManager.cs</x:v>
      </x:c>
      <x:c r="P50" s="136" t="str">
        <x:v>V1.19旧源码类型（真实成员/实现仍待核）</x:v>
      </x:c>
      <x:c r="Q50"/>
      <x:c r="R50"/>
      <x:c r="S50"/>
    </x:row>
    <x:row r="51" ht="72" customHeight="1">
      <x:c r="A51" s="179" t="str">
        <x:v>M27</x:v>
      </x:c>
      <x:c r="B51" s="180" t="str">
        <x:v>资源与治理｜Policy / Fault / Recovery
Fault Recovery</x:v>
      </x:c>
      <x:c r="C51" s="180" t="str">
        <x:v>MFRCxRecoveryPersistenceException</x:v>
      </x:c>
      <x:c r="D51" s="179" t="str">
        <x:v>原有·待核</x:v>
      </x:c>
      <x:c r="E51" s="180" t="str">
        <x:v>表示Recovery持久化异常异常并传递异常原因及诊断上下文</x:v>
      </x:c>
      <x:c r="F51" s="180" t="str">
        <x:v>—（无公开声明或待核对）</x:v>
      </x:c>
      <x:c r="G51" s="180" t="str">
        <x:v>CxRecoveryPersistenceException(Exception error)</x:v>
      </x:c>
      <x:c r="H51" s="180" t="str">
        <x:v>—（待核）</x:v>
      </x:c>
      <x:c r="I51" s="180" t="str">
        <x:v>CxVisual.Platform.Orchestration.CxRecoveryPersistenceException</x:v>
      </x:c>
      <x:c r="J51" s="179" t="str">
        <x:v>类</x:v>
      </x:c>
      <x:c r="K51" s="180" t="str">
        <x:v>V1.19 C-0977；原实施方式：原有。迁移风险：表示Recovery持久化异常异常并传递异常原因及诊断上下文</x:v>
      </x:c>
      <x:c r="L51" s="183" t="str">
        <x:v>源代码声明·待复核</x:v>
      </x:c>
      <x:c r="M51" s="183" t="str">
        <x:v>C-0977</x:v>
      </x:c>
      <x:c r="N51" s="184" t="str">
        <x:v>Platform/Orchestration/Runtime/CxRecoveryManager.cs</x:v>
      </x:c>
      <x:c r="O51" s="183" t="str">
        <x:v>V1.19旧源码类型（真实成员/实现仍待核）
V2.01：来源ID对应；处置=保留源码·公开契约复核
V7.8：V7.8同名且源文件对应；Platform/Orchestration/Runtime/CxRecoveryManager.cs</x:v>
      </x:c>
      <x:c r="P51" s="136" t="str">
        <x:v>V1.19旧源码类型（真实成员/实现仍待核）</x:v>
      </x:c>
      <x:c r="Q51"/>
      <x:c r="R51"/>
      <x:c r="S51"/>
    </x:row>
    <x:row r="52" ht="72" customHeight="1">
      <x:c r="A52" s="179" t="str">
        <x:v>M27</x:v>
      </x:c>
      <x:c r="B52" s="180" t="str">
        <x:v>资源与治理｜Policy / Fault / Recovery
Fault Recovery</x:v>
      </x:c>
      <x:c r="C52" s="180" t="str">
        <x:v>MFRCxRestorePolicy</x:v>
      </x:c>
      <x:c r="D52" s="179" t="str">
        <x:v>原有·待核</x:v>
      </x:c>
      <x:c r="E52" s="180" t="str">
        <x:v>定义Restore策略的候选取值、状态或模式，供相关流程作分支判断</x:v>
      </x:c>
      <x:c r="F52" s="180" t="str">
        <x:v>枚举值：Resume, Restart, Reject</x:v>
      </x:c>
      <x:c r="G52" s="180" t="str">
        <x:v>—(无公开声明或待核对)</x:v>
      </x:c>
      <x:c r="H52" s="180" t="str">
        <x:v>—（待核）</x:v>
      </x:c>
      <x:c r="I52" s="180" t="str">
        <x:v>CxVisual.Platform.Orchestration.Policies.CxRestorePolicy</x:v>
      </x:c>
      <x:c r="J52" s="179" t="str">
        <x:v>枚举</x:v>
      </x:c>
      <x:c r="K52" s="180" t="str">
        <x:v>V1.19 C-0992；原实施方式：原有。迁移风险：定义Restore策略的候选取值、状态或模式，供相关流程作分支判断</x:v>
      </x:c>
      <x:c r="L52" s="183" t="str">
        <x:v>源代码声明·待复核</x:v>
      </x:c>
      <x:c r="M52" s="183" t="str">
        <x:v>C-0992</x:v>
      </x:c>
      <x:c r="N52" s="184" t="str">
        <x:v>Platform/Orchestration/Policies/CxExecutionPolicy.cs</x:v>
      </x:c>
      <x:c r="O52" s="183" t="str">
        <x:v>V1.19旧源码类型（真实成员/实现仍待核）
V2.01：来源ID对应；处置=保留源码·公开契约复核
V7.8：V7.8同名且源文件对应；Platform/Orchestration/Policies/CxExecutionPolicy.cs</x:v>
      </x:c>
      <x:c r="P52" s="136" t="str">
        <x:v>V1.19旧源码类型（真实成员/实现仍待核）</x:v>
      </x:c>
      <x:c r="Q52"/>
      <x:c r="R52"/>
      <x:c r="S52"/>
    </x:row>
    <x:row r="53" ht="72" customHeight="1">
      <x:c r="A53" s="179" t="str">
        <x:v>M27</x:v>
      </x:c>
      <x:c r="B53" s="180" t="str">
        <x:v>资源与治理｜Policy / Fault / Recovery
Fault Recovery</x:v>
      </x:c>
      <x:c r="C53" s="180" t="str">
        <x:v>MFRCxRetryPolicy</x:v>
      </x:c>
      <x:c r="D53" s="179" t="str">
        <x:v>原有·待核</x:v>
      </x:c>
      <x:c r="E53" s="180" t="str">
        <x:v>负责Retry策略相关的重试与公共契约管理</x:v>
      </x:c>
      <x:c r="F53" s="180" t="str">
        <x:v>MaxAttempts, Delay, Backoff, RetryOn, MaximumDelay, CxRetryPolicy</x:v>
      </x:c>
      <x:c r="G53" s="180" t="str">
        <x:v>Validate(), ShouldRetry(int completedAttempts, Exception error, string faultCode = null), GetDelay(int completedAttempts)</x:v>
      </x:c>
      <x:c r="H53" s="180" t="str">
        <x:v>—（待核）</x:v>
      </x:c>
      <x:c r="I53" s="180" t="str">
        <x:v>CxVisual.Platform.Orchestration.Policies.CxRetryPolicy</x:v>
      </x:c>
      <x:c r="J53" s="179" t="str">
        <x:v>类</x:v>
      </x:c>
      <x:c r="K53" s="180" t="str">
        <x:v>V1.19 C-0993；原实施方式：原有。迁移风险：负责Retry策略相关的重试与公共契约管理</x:v>
      </x:c>
      <x:c r="L53" s="183" t="str">
        <x:v>源代码声明·待复核</x:v>
      </x:c>
      <x:c r="M53" s="183" t="str">
        <x:v>C-0993</x:v>
      </x:c>
      <x:c r="N53" s="184" t="str">
        <x:v>Platform/Orchestration/Policies/CxExecutionPolicy.cs</x:v>
      </x:c>
      <x:c r="O53" s="183" t="str">
        <x:v>V1.19旧源码类型（真实成员/实现仍待核）
V2.01：来源ID对应；处置=保留源码·公开契约复核
V7.8：V7.8同名且源文件对应；Platform/Orchestration/Policies/CxExecutionPolicy.cs</x:v>
      </x:c>
      <x:c r="P53" s="136" t="str">
        <x:v>V1.19旧源码类型（真实成员/实现仍待核）</x:v>
      </x:c>
      <x:c r="Q53"/>
      <x:c r="R53"/>
      <x:c r="S53"/>
    </x:row>
    <x:row r="54" ht="72" customHeight="1">
      <x:c r="A54" s="179" t="str">
        <x:v>M27</x:v>
      </x:c>
      <x:c r="B54" s="180" t="str">
        <x:v>资源与治理｜Policy / Fault / Recovery
Fault Recovery</x:v>
      </x:c>
      <x:c r="C54" s="180" t="str">
        <x:v>MFRCxStepExecution</x:v>
      </x:c>
      <x:c r="D54" s="179" t="str">
        <x:v>原有·待核</x:v>
      </x:c>
      <x:c r="E54" s="180" t="str">
        <x:v>提供Step执行相关基础操作或类型辅助处理</x:v>
      </x:c>
      <x:c r="F54" s="180" t="str">
        <x:v>—（无公开声明或待核对）</x:v>
      </x:c>
      <x:c r="G54" s="180" t="str">
        <x:v>Task(string stepId, CxExecutionPolicy policy, RuntimeContext context, bool repeatable, Func&lt;CancellationToken, T…); ValidateLocal(CxExecutionPolicy policy, bool repeatable); Copy(IEnumerable&lt;KeyValuePair&lt;string, object&gt;&gt; values)</x:v>
      </x:c>
      <x:c r="H54" s="180" t="str">
        <x:v>—（待核）</x:v>
      </x:c>
      <x:c r="I54" s="180" t="str">
        <x:v>CxVisual.Platform.Orchestration.CxStepExecution</x:v>
      </x:c>
      <x:c r="J54" s="179" t="str">
        <x:v>静态类</x:v>
      </x:c>
      <x:c r="K54" s="180" t="str">
        <x:v>V1.19 C-0978；原实施方式：原有。迁移风险：提供Step执行相关基础操作或类型辅助处理</x:v>
      </x:c>
      <x:c r="L54" s="183" t="str">
        <x:v>源代码声明·待复核</x:v>
      </x:c>
      <x:c r="M54" s="183" t="str">
        <x:v>C-0978</x:v>
      </x:c>
      <x:c r="N54" s="184" t="str">
        <x:v>Platform/Orchestration/Runtime/ExecutionStep.cs</x:v>
      </x:c>
      <x:c r="O54" s="183" t="str">
        <x:v>V1.19旧源码类型（真实成员/实现仍待核）
V2.01：来源ID对应；处置=保留源码·公开契约复核
V7.8：V7.8同名且源文件对应；Platform/Orchestration/Runtime/ExecutionStep.cs</x:v>
      </x:c>
      <x:c r="P54" s="136" t="str">
        <x:v>V1.19旧源码类型（真实成员/实现仍待核）</x:v>
      </x:c>
      <x:c r="Q54"/>
      <x:c r="R54"/>
      <x:c r="S54"/>
    </x:row>
    <x:row r="55" ht="72" customHeight="1">
      <x:c r="A55" s="179" t="str">
        <x:v>M27</x:v>
      </x:c>
      <x:c r="B55" s="180" t="str">
        <x:v>资源与治理｜Policy / Fault / Recovery
Fault Recovery</x:v>
      </x:c>
      <x:c r="C55" s="180" t="str">
        <x:v>MFRCxStepFaultException</x:v>
      </x:c>
      <x:c r="D55" s="179" t="str">
        <x:v>原有·待核</x:v>
      </x:c>
      <x:c r="E55" s="180" t="str">
        <x:v>表示StepFault异常异常并传递异常原因及诊断上下文</x:v>
      </x:c>
      <x:c r="F55" s="180" t="str">
        <x:v>FaultCode</x:v>
      </x:c>
      <x:c r="G55" s="180" t="str">
        <x:v>CxStepFaultException(string faultCode, string message)</x:v>
      </x:c>
      <x:c r="H55" s="180" t="str">
        <x:v>—（待核）</x:v>
      </x:c>
      <x:c r="I55" s="180" t="str">
        <x:v>CxVisual.Platform.Orchestration.CxStepFaultException</x:v>
      </x:c>
      <x:c r="J55" s="179" t="str">
        <x:v>类</x:v>
      </x:c>
      <x:c r="K55" s="180" t="str">
        <x:v>V1.19 C-0979；原实施方式：原有。迁移风险：表示StepFault异常异常并传递异常原因及诊断上下文</x:v>
      </x:c>
      <x:c r="L55" s="183" t="str">
        <x:v>源代码声明·待复核</x:v>
      </x:c>
      <x:c r="M55" s="183" t="str">
        <x:v>C-0979</x:v>
      </x:c>
      <x:c r="N55" s="184" t="str">
        <x:v>Platform/Orchestration/Runtime/ExecutionStep.cs</x:v>
      </x:c>
      <x:c r="O55" s="183" t="str">
        <x:v>V1.19旧源码类型（真实成员/实现仍待核）
V2.01：来源ID对应；处置=保留源码·公开契约复核
V7.8：V7.8同名且源文件对应；Platform/Orchestration/Runtime/ExecutionStep.cs</x:v>
      </x:c>
      <x:c r="P55" s="136" t="str">
        <x:v>V1.19旧源码类型（真实成员/实现仍待核）</x:v>
      </x:c>
      <x:c r="Q55"/>
      <x:c r="R55"/>
      <x:c r="S55"/>
    </x:row>
    <x:row r="56" ht="72" customHeight="1">
      <x:c r="A56" s="179" t="str">
        <x:v>M27</x:v>
      </x:c>
      <x:c r="B56" s="180" t="str">
        <x:v>资源与治理｜Policy / Fault / Recovery
Fault Recovery</x:v>
      </x:c>
      <x:c r="C56" s="180" t="str">
        <x:v>MFRCxStepStillRunningException</x:v>
      </x:c>
      <x:c r="D56" s="179" t="str">
        <x:v>原有·待核</x:v>
      </x:c>
      <x:c r="E56" s="180" t="str">
        <x:v>表示StepStillRunning异常异常并传递异常原因及诊断上下文</x:v>
      </x:c>
      <x:c r="F56" s="180" t="str">
        <x:v>Completion</x:v>
      </x:c>
      <x:c r="G56" s="180" t="str">
        <x:v>CxStepStillRunningException(string stepId, Task completion)</x:v>
      </x:c>
      <x:c r="H56" s="180" t="str">
        <x:v>—（待核）</x:v>
      </x:c>
      <x:c r="I56" s="180" t="str">
        <x:v>CxVisual.Platform.Orchestration.CxStepStillRunningException</x:v>
      </x:c>
      <x:c r="J56" s="179" t="str">
        <x:v>类</x:v>
      </x:c>
      <x:c r="K56" s="180" t="str">
        <x:v>V1.19 C-0980；原实施方式：原有。迁移风险：表示StepStillRunning异常异常并传递异常原因及诊断上下文</x:v>
      </x:c>
      <x:c r="L56" s="183" t="str">
        <x:v>源代码声明·待复核</x:v>
      </x:c>
      <x:c r="M56" s="183" t="str">
        <x:v>C-0980</x:v>
      </x:c>
      <x:c r="N56" s="184" t="str">
        <x:v>Platform/Orchestration/Runtime/ExecutionStep.cs</x:v>
      </x:c>
      <x:c r="O56" s="183" t="str">
        <x:v>V1.19旧源码类型（真实成员/实现仍待核）
V2.01：来源ID对应；处置=保留源码·公开契约复核
V7.8：V7.8同名且源文件对应；Platform/Orchestration/Runtime/ExecutionStep.cs</x:v>
      </x:c>
      <x:c r="P56" s="136" t="str">
        <x:v>V1.19旧源码类型（真实成员/实现仍待核）</x:v>
      </x:c>
      <x:c r="Q56"/>
      <x:c r="R56"/>
      <x:c r="S56"/>
    </x:row>
    <x:row r="57" ht="72" customHeight="1">
      <x:c r="A57" s="179" t="str">
        <x:v>M27</x:v>
      </x:c>
      <x:c r="B57" s="180" t="str">
        <x:v>资源与治理｜Policy / Fault / Recovery
Fault Recovery</x:v>
      </x:c>
      <x:c r="C57" s="180" t="str">
        <x:v>MFRCxTimeoutAction</x:v>
      </x:c>
      <x:c r="D57" s="179" t="str">
        <x:v>原有·待核</x:v>
      </x:c>
      <x:c r="E57" s="180" t="str">
        <x:v>定义TimeoutAction的候选取值、状态或模式，供相关流程作分支判断</x:v>
      </x:c>
      <x:c r="F57" s="180" t="str">
        <x:v>枚举值：Fail, Cancel, Retry</x:v>
      </x:c>
      <x:c r="G57" s="180" t="str">
        <x:v>—(无公开声明或待核对)</x:v>
      </x:c>
      <x:c r="H57" s="180" t="str">
        <x:v>—（待核）</x:v>
      </x:c>
      <x:c r="I57" s="180" t="str">
        <x:v>CxVisual.Platform.Orchestration.Policies.CxTimeoutAction</x:v>
      </x:c>
      <x:c r="J57" s="179" t="str">
        <x:v>枚举</x:v>
      </x:c>
      <x:c r="K57" s="180" t="str">
        <x:v>V1.19 C-0994；原实施方式：原有。迁移风险：定义TimeoutAction的候选取值、状态或模式，供相关流程作分支判断</x:v>
      </x:c>
      <x:c r="L57" s="183" t="str">
        <x:v>源代码声明·待复核</x:v>
      </x:c>
      <x:c r="M57" s="183" t="str">
        <x:v>C-0994</x:v>
      </x:c>
      <x:c r="N57" s="184" t="str">
        <x:v>Platform/Orchestration/Policies/CxExecutionPolicy.cs</x:v>
      </x:c>
      <x:c r="O57" s="183" t="str">
        <x:v>V1.19旧源码类型（真实成员/实现仍待核）
V2.01：来源ID对应；处置=保留源码·公开契约复核
V7.8：V7.8同名且源文件对应；Platform/Orchestration/Policies/CxExecutionPolicy.cs</x:v>
      </x:c>
      <x:c r="P57" s="136" t="str">
        <x:v>V1.19旧源码类型（真实成员/实现仍待核）</x:v>
      </x:c>
      <x:c r="Q57"/>
      <x:c r="R57"/>
      <x:c r="S57"/>
    </x:row>
    <x:row r="58" ht="72" customHeight="1">
      <x:c r="A58" s="179" t="str">
        <x:v>M27</x:v>
      </x:c>
      <x:c r="B58" s="180" t="str">
        <x:v>资源与治理｜Policy / Fault / Recovery
Fault Recovery</x:v>
      </x:c>
      <x:c r="C58" s="180" t="str">
        <x:v>MFRCxTimeoutPolicy</x:v>
      </x:c>
      <x:c r="D58" s="179" t="str">
        <x:v>原有·待核</x:v>
      </x:c>
      <x:c r="E58" s="180" t="str">
        <x:v>负责Timeout策略相关的超时与公共契约管理</x:v>
      </x:c>
      <x:c r="F58" s="180" t="str">
        <x:v>Timeout, OnTimeout</x:v>
      </x:c>
      <x:c r="G58" s="180" t="str">
        <x:v>Validate(), Clone()</x:v>
      </x:c>
      <x:c r="H58" s="180" t="str">
        <x:v>—（待核）</x:v>
      </x:c>
      <x:c r="I58" s="180" t="str">
        <x:v>CxVisual.Platform.Orchestration.Policies.CxTimeoutPolicy</x:v>
      </x:c>
      <x:c r="J58" s="179" t="str">
        <x:v>类</x:v>
      </x:c>
      <x:c r="K58" s="180" t="str">
        <x:v>V1.19 C-0995；原实施方式：原有。迁移风险：负责Timeout策略相关的超时与公共契约管理</x:v>
      </x:c>
      <x:c r="L58" s="183" t="str">
        <x:v>源代码声明·待复核</x:v>
      </x:c>
      <x:c r="M58" s="183" t="str">
        <x:v>C-0995</x:v>
      </x:c>
      <x:c r="N58" s="184" t="str">
        <x:v>Platform/Orchestration/Policies/CxExecutionPolicy.cs</x:v>
      </x:c>
      <x:c r="O58" s="183" t="str">
        <x:v>V1.19旧源码类型（真实成员/实现仍待核）
V2.01：来源ID对应；处置=保留源码·公开契约复核
V7.8：V7.8同名且源文件对应；Platform/Orchestration/Policies/CxExecutionPolicy.cs</x:v>
      </x:c>
      <x:c r="P58" s="136" t="str">
        <x:v>V1.19旧源码类型（真实成员/实现仍待核）</x:v>
      </x:c>
      <x:c r="Q58"/>
      <x:c r="R58"/>
      <x:c r="S58"/>
    </x:row>
    <x:row r="59" ht="72" customHeight="1">
      <x:c r="A59" s="179" t="str">
        <x:v>M27</x:v>
      </x:c>
      <x:c r="B59" s="180" t="str">
        <x:v>资源与治理｜Policy / Fault / Recovery
Fault Recovery</x:v>
      </x:c>
      <x:c r="C59" s="180" t="str">
        <x:v>MFRExecutionFault</x:v>
      </x:c>
      <x:c r="D59" s="179" t="str">
        <x:v>原有·待核</x:v>
      </x:c>
      <x:c r="E59" s="180" t="str">
        <x:v>表达或管理执行Fault相关的数据及协作职责，具体行为待源码复核〔待核〕</x:v>
      </x:c>
      <x:c r="F59" s="180" t="str">
        <x:v>Code, Kind, Message, DomainId, NodeId, TraceId, Retryable, RequiresOperator, RequiresStop, Details</x:v>
      </x:c>
      <x:c r="G59" s="180" t="str">
        <x:v>ExecutionFault()</x:v>
      </x:c>
      <x:c r="H59" s="180" t="str">
        <x:v>—（待核）</x:v>
      </x:c>
      <x:c r="I59" s="180" t="str">
        <x:v>CxVisual.Platform.Orchestration.Policies.ExecutionFault</x:v>
      </x:c>
      <x:c r="J59" s="179" t="str">
        <x:v>类</x:v>
      </x:c>
      <x:c r="K59" s="180" t="str">
        <x:v>V1.19 C-0996；原实施方式：原有。迁移风险：表达或管理执行Fault相关的数据及协作职责，具体行为待源码复核〔待核〕</x:v>
      </x:c>
      <x:c r="L59" s="183" t="str">
        <x:v>源代码声明·待复核</x:v>
      </x:c>
      <x:c r="M59" s="183" t="str">
        <x:v>C-0996</x:v>
      </x:c>
      <x:c r="N59" s="184" t="str">
        <x:v>Platform/Orchestration/Policies/ExecutionPolicies.cs</x:v>
      </x:c>
      <x:c r="O59" s="183" t="str">
        <x:v>V1.19旧源码类型（真实成员/实现仍待核）
V2.01：来源ID对应；处置=保留源码·公开契约复核
V7.8：V7.8同名且源文件对应；Platform/Orchestration/Policies/ExecutionPolicies.cs</x:v>
      </x:c>
      <x:c r="P59" s="136" t="str">
        <x:v>V1.19旧源码类型（真实成员/实现仍待核）</x:v>
      </x:c>
      <x:c r="Q59"/>
      <x:c r="R59"/>
      <x:c r="S59"/>
    </x:row>
    <x:row r="60" ht="72" customHeight="1">
      <x:c r="A60" s="179" t="str">
        <x:v>M27</x:v>
      </x:c>
      <x:c r="B60" s="180" t="str">
        <x:v>资源与治理｜Policy / Fault / Recovery
Fault Recovery</x:v>
      </x:c>
      <x:c r="C60" s="180" t="str">
        <x:v>MFRExecutionFaultKind</x:v>
      </x:c>
      <x:c r="D60" s="179" t="str">
        <x:v>原有·待核</x:v>
      </x:c>
      <x:c r="E60" s="180" t="str">
        <x:v>定义执行FaultKind的候选取值、状态或模式，供相关流程作分支判断</x:v>
      </x:c>
      <x:c r="F60" s="180" t="str">
        <x:v>枚举值：Transient, Permanent, Cancelled, PolicyRejected, Validation, Configuration, PermissionDenied, ResourceBusy, InterlockRejected, Timeout, ProviderUnavailable, Communication, DataInvalid, DeviceFault, WorkerFault, ExternalFailure, InternalFault</x:v>
      </x:c>
      <x:c r="G60" s="180" t="str">
        <x:v>—(无公开声明或待核对)</x:v>
      </x:c>
      <x:c r="H60" s="180" t="str">
        <x:v>—（待核）</x:v>
      </x:c>
      <x:c r="I60" s="180" t="str">
        <x:v>CxVisual.Platform.Orchestration.Policies.ExecutionFaultKind</x:v>
      </x:c>
      <x:c r="J60" s="179" t="str">
        <x:v>枚举</x:v>
      </x:c>
      <x:c r="K60" s="180" t="str">
        <x:v>V1.19 C-0997；原实施方式：原有。迁移风险：定义执行FaultKind的候选取值、状态或模式，供相关流程作分支判断</x:v>
      </x:c>
      <x:c r="L60" s="183" t="str">
        <x:v>源代码声明·待复核</x:v>
      </x:c>
      <x:c r="M60" s="183" t="str">
        <x:v>C-0997</x:v>
      </x:c>
      <x:c r="N60" s="184" t="str">
        <x:v>Platform/Orchestration/Policies/ExecutionPolicies.cs</x:v>
      </x:c>
      <x:c r="O60" s="183" t="str">
        <x:v>V1.19旧源码类型（真实成员/实现仍待核）
V2.01：来源ID对应；处置=保留源码·公开契约复核
V7.8：V7.8同名且源文件对应；Platform/Orchestration/Policies/ExecutionPolicies.cs</x:v>
      </x:c>
      <x:c r="P60" s="136" t="str">
        <x:v>V1.19旧源码类型（真实成员/实现仍待核）</x:v>
      </x:c>
      <x:c r="Q60"/>
      <x:c r="R60"/>
      <x:c r="S60"/>
    </x:row>
    <x:row r="61" ht="72" customHeight="1">
      <x:c r="A61" s="179" t="str">
        <x:v>M27</x:v>
      </x:c>
      <x:c r="B61" s="180" t="str">
        <x:v>资源与治理｜Policy / Fault / Recovery
Fault Recovery</x:v>
      </x:c>
      <x:c r="C61" s="180" t="str">
        <x:v>MFRExecutionStep</x:v>
      </x:c>
      <x:c r="D61" s="179" t="str">
        <x:v>原有·待核</x:v>
      </x:c>
      <x:c r="E61" s="180" t="str">
        <x:v>负责执行Step相关的运行步骤与公共契约管理</x:v>
      </x:c>
      <x:c r="F61" s="180" t="str">
        <x:v>StepId, Runtime, Repeatable, RecoveryKey, AlreadyDispatched, BusinessFailure, PhysicalResult, NodeAddress, OperationId, Outputs, State, LastError, Attempts, BackendCompletion</x:v>
      </x:c>
      <x:c r="G61" s="180" t="str">
        <x:v>ExecutionStep(string stepId, CxNodeAddress nodeAddress, string operationId, RuntimeContext context, Func&lt;IReadOnlyDiction…); Copy(_inputs); Clone(); ExecuteAsync(CancellationToken cancellationToken = default(CancellationToken)</x:v>
      </x:c>
      <x:c r="H61" s="180" t="str">
        <x:v>—（待核）</x:v>
      </x:c>
      <x:c r="I61" s="180" t="str">
        <x:v>CxVisual.Platform.Orchestration.ExecutionStep</x:v>
      </x:c>
      <x:c r="J61" s="179" t="str">
        <x:v>类</x:v>
      </x:c>
      <x:c r="K61" s="180" t="str">
        <x:v>V1.19 C-0981；原实施方式：原有。迁移风险：负责执行Step相关的运行步骤与公共契约管理</x:v>
      </x:c>
      <x:c r="L61" s="183" t="str">
        <x:v>源代码声明·待复核</x:v>
      </x:c>
      <x:c r="M61" s="183" t="str">
        <x:v>C-0981</x:v>
      </x:c>
      <x:c r="N61" s="184" t="str">
        <x:v>Platform/Orchestration/Runtime/ExecutionStep.cs</x:v>
      </x:c>
      <x:c r="O61" s="183" t="str">
        <x:v>V1.19旧源码类型（真实成员/实现仍待核）
V2.01：来源ID对应；处置=保留源码·公开契约复核
V7.8：V7.8同名且源文件对应；Platform/Orchestration/Runtime/ExecutionStep.cs</x:v>
      </x:c>
      <x:c r="P61" s="136" t="str">
        <x:v>V1.19旧源码类型（真实成员/实现仍待核）</x:v>
      </x:c>
      <x:c r="Q61"/>
      <x:c r="R61"/>
      <x:c r="S61"/>
    </x:row>
    <x:row r="62" ht="72" customHeight="1">
      <x:c r="A62" s="179" t="str">
        <x:v>M27</x:v>
      </x:c>
      <x:c r="B62" s="180" t="str">
        <x:v>资源与治理｜Policy / Fault / Recovery
Fault Recovery</x:v>
      </x:c>
      <x:c r="C62" s="180" t="str">
        <x:v>MFRFailedCommit</x:v>
      </x:c>
      <x:c r="D62" s="179" t="str">
        <x:v>原有·待核</x:v>
      </x:c>
      <x:c r="E62" s="180" t="str">
        <x:v>表达或管理FailedCommit相关的数据及协作职责，具体行为待源码复核〔待核〕</x:v>
      </x:c>
      <x:c r="F62" s="180" t="str">
        <x:v>—（无公开声明或待核对）</x:v>
      </x:c>
      <x:c r="G62" s="180" t="str">
        <x:v>—(无公开声明或待核对)</x:v>
      </x:c>
      <x:c r="H62" s="180" t="str">
        <x:v>—（待核）</x:v>
      </x:c>
      <x:c r="I62" s="180" t="str">
        <x:v>CxVisual.Platform.Orchestration.CxRecoveryManager.FailedCommit</x:v>
      </x:c>
      <x:c r="J62" s="179" t="str">
        <x:v>类</x:v>
      </x:c>
      <x:c r="K62" s="180" t="str">
        <x:v>V1.19 C-0975；原实施方式：原有。迁移风险：表达或管理FailedCommit相关的数据及协作职责，具体行为待源码复核〔待核〕</x:v>
      </x:c>
      <x:c r="L62" s="183" t="str">
        <x:v>源代码声明·待复核</x:v>
      </x:c>
      <x:c r="M62" s="183" t="str">
        <x:v>C-0975</x:v>
      </x:c>
      <x:c r="N62" s="184" t="str">
        <x:v>Platform/Orchestration/Runtime/CxRecoveryManager.cs</x:v>
      </x:c>
      <x:c r="O62" s="183" t="str">
        <x:v>V1.19旧源码类型（真实成员/实现仍待核）
V2.01：来源ID对应；处置=保留源码·公开契约复核
V7.8：V7.8同名且源文件对应；Platform/Orchestration/Runtime/CxRecoveryManager.cs</x:v>
      </x:c>
      <x:c r="P62" s="136" t="str">
        <x:v>V1.19旧源码类型（真实成员/实现仍待核）</x:v>
      </x:c>
      <x:c r="Q62"/>
      <x:c r="R62"/>
      <x:c r="S62"/>
    </x:row>
    <x:row r="63" ht="72" customHeight="1">
      <x:c r="A63" s="179" t="str">
        <x:v>M27</x:v>
      </x:c>
      <x:c r="B63" s="180" t="str">
        <x:v>资源与治理｜Policy / Fault / Recovery
Fault Recovery</x:v>
      </x:c>
      <x:c r="C63" s="180" t="str">
        <x:v>MFRRuntimeTransition</x:v>
      </x:c>
      <x:c r="D63" s="179" t="str">
        <x:v>原有·待核</x:v>
      </x:c>
      <x:c r="E63" s="180" t="str">
        <x:v>负责运行时Transition相关的迁移与公共契约管理</x:v>
      </x:c>
      <x:c r="F63" s="180" t="str">
        <x:v>SourceStep, TargetStep, Priority</x:v>
      </x:c>
      <x:c r="G63" s="180" t="str">
        <x:v>RuntimeTransition(ExecutionStep sourceStep, ExecutionStep targetStep, int priority = 0), CanTransit()</x:v>
      </x:c>
      <x:c r="H63" s="180" t="str">
        <x:v>—（待核）</x:v>
      </x:c>
      <x:c r="I63" s="180" t="str">
        <x:v>CxVisual.Platform.Orchestration.RuntimeTransition</x:v>
      </x:c>
      <x:c r="J63" s="179" t="str">
        <x:v>类</x:v>
      </x:c>
      <x:c r="K63" s="180" t="str">
        <x:v>V1.19 C-1000；原实施方式：原有。迁移风险：负责运行时Transition相关的迁移与公共契约管理</x:v>
      </x:c>
      <x:c r="L63" s="183" t="str">
        <x:v>源代码声明·待复核</x:v>
      </x:c>
      <x:c r="M63" s="183" t="str">
        <x:v>C-1000</x:v>
      </x:c>
      <x:c r="N63" s="184" t="str">
        <x:v>Platform/Orchestration/Runtime/ExecutionStep.cs</x:v>
      </x:c>
      <x:c r="O63" s="183" t="str">
        <x:v>V1.19旧源码类型（真实成员/实现仍待核）
V2.01：来源ID对应；处置=保留源码·公开契约复核
V7.8：V7.8同名且源文件对应；Platform/Orchestration/Runtime/ExecutionStep.cs</x:v>
      </x:c>
      <x:c r="P63" s="136" t="str">
        <x:v>V1.19旧源码类型（真实成员/实现仍待核）</x:v>
      </x:c>
      <x:c r="Q63"/>
      <x:c r="R63"/>
      <x:c r="S63"/>
    </x:row>
    <x:row r="64" ht="72" customHeight="1">
      <x:c r="A64" s="179" t="str">
        <x:v>M27</x:v>
      </x:c>
      <x:c r="B64" s="180" t="str">
        <x:v>资源与治理｜Policy / Fault / Recovery
Fault Recovery</x:v>
      </x:c>
      <x:c r="C64" s="180" t="str">
        <x:v>MFRSideEffectKind</x:v>
      </x:c>
      <x:c r="D64" s="179" t="str">
        <x:v>原有·待核</x:v>
      </x:c>
      <x:c r="E64" s="180" t="str">
        <x:v>定义SideEffectKind的候选取值、状态或模式，供相关流程作分支判断</x:v>
      </x:c>
      <x:c r="F64" s="180" t="str">
        <x:v>枚举值：None, MemoryState, DeviceRead, DeviceWrite, Motion, ExternalSystem, PersistentStore</x:v>
      </x:c>
      <x:c r="G64" s="180" t="str">
        <x:v>—(无公开声明或待核对)</x:v>
      </x:c>
      <x:c r="H64" s="180" t="str">
        <x:v>—（待核）</x:v>
      </x:c>
      <x:c r="I64" s="180" t="str">
        <x:v>CxVisual.Platform.Orchestration.Policies.SideEffectKind</x:v>
      </x:c>
      <x:c r="J64" s="179" t="str">
        <x:v>枚举</x:v>
      </x:c>
      <x:c r="K64" s="180" t="str">
        <x:v>V1.19 C-0999；原实施方式：原有。迁移风险：定义SideEffectKind的候选取值、状态或模式，供相关流程作分支判断</x:v>
      </x:c>
      <x:c r="L64" s="183" t="str">
        <x:v>源代码声明·待复核</x:v>
      </x:c>
      <x:c r="M64" s="183" t="str">
        <x:v>C-0999</x:v>
      </x:c>
      <x:c r="N64" s="184" t="str">
        <x:v>Platform/Orchestration/Policies/ExecutionPolicies.cs</x:v>
      </x:c>
      <x:c r="O64" s="183" t="str">
        <x:v>V1.19旧源码类型（真实成员/实现仍待核）
V2.01：来源ID对应；处置=保留源码·公开契约复核
V7.8：V7.8同名且源文件对应；Platform/Orchestration/Policies/ExecutionPolicies.cs</x:v>
      </x:c>
      <x:c r="P64" s="136" t="str">
        <x:v>V1.19旧源码类型（真实成员/实现仍待核）</x:v>
      </x:c>
      <x:c r="Q64"/>
      <x:c r="R64"/>
      <x:c r="S64"/>
    </x:row>
    <x:row r="65" ht="72" customHeight="1">
      <x:c r="A65" s="179" t="str">
        <x:v>M27</x:v>
      </x:c>
      <x:c r="B65" s="180" t="str">
        <x:v>资源与治理｜Policy / Fault / Recovery
Fault Recovery</x:v>
      </x:c>
      <x:c r="C65" s="180" t="str">
        <x:v>MFRCancellationPolicy</x:v>
      </x:c>
      <x:c r="D65" s="179" t="str">
        <x:v>增构候选·待查重</x:v>
      </x:c>
      <x:c r="E65" s="180" t="str">
        <x:v>取消</x:v>
      </x:c>
      <x:c r="F65" s="180" t="str">
        <x:v>Propagation；GracePeriod；Force</x:v>
      </x:c>
      <x:c r="G65" s="180" t="str">
        <x:v>取消</x:v>
      </x:c>
      <x:c r="H65" s="180" t="str">
        <x:v>待逐对象核实</x:v>
      </x:c>
      <x:c r="I65" s="180" t="str">
        <x:v>CancellationPolicy</x:v>
      </x:c>
      <x:c r="J65" s="179" t="str">
        <x:v>类/实例候选</x:v>
      </x:c>
      <x:c r="K65" s="180" t="str">
        <x:v>生命周期：Definition</x:v>
      </x:c>
      <x:c r="L65" s="183" t="str">
        <x:v>设计候选，尚待源码验证</x:v>
      </x:c>
      <x:c r="M65" s="183" t="str">
        <x:v>M27.CancellationPolicy</x:v>
      </x:c>
      <x:c r="N65" s="184" t="str">
        <x:v>03_能力对象!C213</x:v>
      </x:c>
      <x:c r="O65" s="183" t="str">
        <x:v>V4.9对象/属性/方法
V2.01：名称/子方面线索；处置=规划独立契约候选·未批准新增
V7.8：V7.8未检出同名词法声明</x:v>
      </x:c>
      <x:c r="P65" s="136" t="str">
        <x:v>V4.9对象/属性/方法</x:v>
      </x:c>
      <x:c r="Q65"/>
      <x:c r="R65"/>
      <x:c r="S65"/>
    </x:row>
    <x:row r="66" ht="72" customHeight="1">
      <x:c r="A66" s="179" t="str">
        <x:v>M27</x:v>
      </x:c>
      <x:c r="B66" s="180" t="str">
        <x:v>资源与治理｜Policy / Fault / Recovery
Fault Recovery</x:v>
      </x:c>
      <x:c r="C66" s="180" t="str">
        <x:v>MFRCircuitBreakerPolicy</x:v>
      </x:c>
      <x:c r="D66" s="179" t="str">
        <x:v>增构候选·待查重</x:v>
      </x:c>
      <x:c r="E66" s="180" t="str">
        <x:v>熔断</x:v>
      </x:c>
      <x:c r="F66" s="180" t="str">
        <x:v>Threshold；Window；OpenDuration</x:v>
      </x:c>
      <x:c r="G66" s="180" t="str">
        <x:v>熔断</x:v>
      </x:c>
      <x:c r="H66" s="180" t="str">
        <x:v>待逐对象核实</x:v>
      </x:c>
      <x:c r="I66" s="180" t="str">
        <x:v>运行对象/模型</x:v>
      </x:c>
      <x:c r="J66" s="179" t="str">
        <x:v>类/实例候选</x:v>
      </x:c>
      <x:c r="K66" s="180" t="str">
        <x:v>生命周期：Definition</x:v>
      </x:c>
      <x:c r="L66" s="183" t="str">
        <x:v>设计候选，尚待源码验证</x:v>
      </x:c>
      <x:c r="M66" s="183" t="str">
        <x:v>M27.CircuitBreakerPolicy</x:v>
      </x:c>
      <x:c r="N66" s="184" t="str">
        <x:v>03_能力对象!C214</x:v>
      </x:c>
      <x:c r="O66" s="183" t="str">
        <x:v>V4.9对象/属性/方法
V2.01：名称/子方面线索；处置=规划独立契约候选·未批准新增
V7.8：V7.8未检出同名词法声明</x:v>
      </x:c>
      <x:c r="P66" s="136" t="str">
        <x:v>V4.9对象/属性/方法</x:v>
      </x:c>
      <x:c r="Q66"/>
      <x:c r="R66"/>
      <x:c r="S66"/>
    </x:row>
    <x:row r="67" ht="72" customHeight="1">
      <x:c r="A67" s="179" t="str">
        <x:v>M27</x:v>
      </x:c>
      <x:c r="B67" s="180" t="str">
        <x:v>资源与治理｜Policy / Fault / Recovery
Fault Recovery</x:v>
      </x:c>
      <x:c r="C67" s="180" t="str">
        <x:v>MFRFallbackPolicy</x:v>
      </x:c>
      <x:c r="D67" s="179" t="str">
        <x:v>增构候选·待查重</x:v>
      </x:c>
      <x:c r="E67" s="180" t="str">
        <x:v>回退</x:v>
      </x:c>
      <x:c r="F67" s="180" t="str">
        <x:v>Alternatives；Condition</x:v>
      </x:c>
      <x:c r="G67" s="180" t="str">
        <x:v>回退</x:v>
      </x:c>
      <x:c r="H67" s="180" t="str">
        <x:v>待逐对象核实</x:v>
      </x:c>
      <x:c r="I67" s="180" t="str">
        <x:v>FallbackPolicy</x:v>
      </x:c>
      <x:c r="J67" s="179" t="str">
        <x:v>类/实例候选</x:v>
      </x:c>
      <x:c r="K67" s="180" t="str">
        <x:v>生命周期：Definition</x:v>
      </x:c>
      <x:c r="L67" s="183" t="str">
        <x:v>设计候选，尚待源码验证</x:v>
      </x:c>
      <x:c r="M67" s="183" t="str">
        <x:v>M27.FallbackPolicy</x:v>
      </x:c>
      <x:c r="N67" s="184" t="str">
        <x:v>03_能力对象!C215</x:v>
      </x:c>
      <x:c r="O67" s="183" t="str">
        <x:v>V4.9对象/属性/方法
V2.01：名称/子方面线索；处置=规划独立契约候选·未批准新增
V7.8：V7.8未检出同名词法声明</x:v>
      </x:c>
      <x:c r="P67" s="136" t="str">
        <x:v>V4.9对象/属性/方法</x:v>
      </x:c>
      <x:c r="Q67"/>
      <x:c r="R67"/>
      <x:c r="S67"/>
    </x:row>
    <x:row r="68" ht="72" customHeight="1">
      <x:c r="A68" s="179" t="str">
        <x:v>M27</x:v>
      </x:c>
      <x:c r="B68" s="180" t="str">
        <x:v>资源与治理｜Policy / Fault / Recovery
Fault Recovery</x:v>
      </x:c>
      <x:c r="C68" s="180" t="str">
        <x:v>MFRFaultPropagationPolicy</x:v>
      </x:c>
      <x:c r="D68" s="179" t="str">
        <x:v>增构候选·待查重</x:v>
      </x:c>
      <x:c r="E68" s="180" t="str">
        <x:v>故障传播</x:v>
      </x:c>
      <x:c r="F68" s="180" t="str">
        <x:v>Map；Isolate；Escalate</x:v>
      </x:c>
      <x:c r="G68" s="180" t="str">
        <x:v>故障传播</x:v>
      </x:c>
      <x:c r="H68" s="180" t="str">
        <x:v>待逐对象核实</x:v>
      </x:c>
      <x:c r="I68" s="180" t="str">
        <x:v>FaultPropagationPolicy</x:v>
      </x:c>
      <x:c r="J68" s="179" t="str">
        <x:v>类/实例候选</x:v>
      </x:c>
      <x:c r="K68" s="180" t="str">
        <x:v>生命周期：Definition</x:v>
      </x:c>
      <x:c r="L68" s="183" t="str">
        <x:v>设计候选，尚待源码验证</x:v>
      </x:c>
      <x:c r="M68" s="183" t="str">
        <x:v>M27.FaultPropagationPolicy</x:v>
      </x:c>
      <x:c r="N68" s="184" t="str">
        <x:v>03_能力对象!C216</x:v>
      </x:c>
      <x:c r="O68" s="183" t="str">
        <x:v>V4.9对象/属性/方法
V2.01：名称/子方面线索；处置=规划独立契约候选·未批准新增
V7.8：V7.8未检出同名词法声明</x:v>
      </x:c>
      <x:c r="P68" s="136" t="str">
        <x:v>V4.9对象/属性/方法</x:v>
      </x:c>
      <x:c r="Q68"/>
      <x:c r="R68"/>
      <x:c r="S68"/>
    </x:row>
    <x:row r="69" ht="72" customHeight="1">
      <x:c r="A69" s="179" t="str">
        <x:v>M27</x:v>
      </x:c>
      <x:c r="B69" s="180" t="str">
        <x:v>资源与治理｜Policy / Fault / Recovery
Fault Recovery</x:v>
      </x:c>
      <x:c r="C69" s="180" t="str">
        <x:v>MFRIdempotencyPolicy</x:v>
      </x:c>
      <x:c r="D69" s="179" t="str">
        <x:v>增构候选·待查重</x:v>
      </x:c>
      <x:c r="E69" s="180" t="str">
        <x:v>幂等</x:v>
      </x:c>
      <x:c r="F69" s="180" t="str">
        <x:v>KeyExpression；Window；ResultCache</x:v>
      </x:c>
      <x:c r="G69" s="180" t="str">
        <x:v>幂等</x:v>
      </x:c>
      <x:c r="H69" s="180" t="str">
        <x:v>待逐对象核实</x:v>
      </x:c>
      <x:c r="I69" s="180" t="str">
        <x:v>运行对象/模型</x:v>
      </x:c>
      <x:c r="J69" s="179" t="str">
        <x:v>类/实例候选</x:v>
      </x:c>
      <x:c r="K69" s="180" t="str">
        <x:v>生命周期：Definition</x:v>
      </x:c>
      <x:c r="L69" s="183" t="str">
        <x:v>设计候选，尚待源码验证</x:v>
      </x:c>
      <x:c r="M69" s="183" t="str">
        <x:v>M27.IdempotencyPolicy</x:v>
      </x:c>
      <x:c r="N69" s="184" t="str">
        <x:v>03_能力对象!C217</x:v>
      </x:c>
      <x:c r="O69" s="183" t="str">
        <x:v>V4.9对象/属性/方法
V2.01：名称/子方面线索；处置=规划独立契约候选·未批准新增
V7.8：V7.8未检出同名词法声明</x:v>
      </x:c>
      <x:c r="P69" s="136" t="str">
        <x:v>V4.9对象/属性/方法</x:v>
      </x:c>
      <x:c r="Q69"/>
      <x:c r="R69"/>
      <x:c r="S69"/>
    </x:row>
    <x:row r="70" ht="72" customHeight="1">
      <x:c r="A70" s="179" t="str">
        <x:v>M27</x:v>
      </x:c>
      <x:c r="B70" s="180" t="str">
        <x:v>资源与治理｜Policy / Fault / Recovery
Fault Recovery</x:v>
      </x:c>
      <x:c r="C70" s="180" t="str">
        <x:v>MFRPolicyDescriptor</x:v>
      </x:c>
      <x:c r="D70" s="179" t="str">
        <x:v>增构候选·待查重</x:v>
      </x:c>
      <x:c r="E70" s="180" t="str">
        <x:v>统一策略容器</x:v>
      </x:c>
      <x:c r="F70" s="180" t="str">
        <x:v>PolicyType；Parameters；Scope</x:v>
      </x:c>
      <x:c r="G70" s="180" t="str">
        <x:v>统一策略容器</x:v>
      </x:c>
      <x:c r="H70" s="180" t="str">
        <x:v>待逐对象核实</x:v>
      </x:c>
      <x:c r="I70" s="180" t="str">
        <x:v>PolicyDescriptor</x:v>
      </x:c>
      <x:c r="J70" s="179" t="str">
        <x:v>类/实例候选</x:v>
      </x:c>
      <x:c r="K70" s="180" t="str">
        <x:v>生命周期：Definition</x:v>
      </x:c>
      <x:c r="L70" s="183" t="str">
        <x:v>设计候选，尚待源码验证</x:v>
      </x:c>
      <x:c r="M70" s="183" t="str">
        <x:v>M27.PolicyDescriptor</x:v>
      </x:c>
      <x:c r="N70" s="184" t="str">
        <x:v>03_能力对象!C218</x:v>
      </x:c>
      <x:c r="O70" s="183" t="str">
        <x:v>V4.9对象/属性/方法
V2.01：名称/子方面线索；处置=规划独立契约候选·未批准新增
V7.8：V7.8未检出同名词法声明</x:v>
      </x:c>
      <x:c r="P70" s="136" t="str">
        <x:v>V4.9对象/属性/方法</x:v>
      </x:c>
      <x:c r="Q70"/>
      <x:c r="R70"/>
      <x:c r="S70"/>
    </x:row>
    <x:row r="71" ht="72" customHeight="1">
      <x:c r="A71" s="179" t="str">
        <x:v>M27</x:v>
      </x:c>
      <x:c r="B71" s="180" t="str">
        <x:v>资源与治理｜Policy / Fault / Recovery
Fault Recovery</x:v>
      </x:c>
      <x:c r="C71" s="180" t="str">
        <x:v>MFRRecoveryPolicy</x:v>
      </x:c>
      <x:c r="D71" s="179" t="str">
        <x:v>增构候选·待查重</x:v>
      </x:c>
      <x:c r="E71" s="180" t="str">
        <x:v>恢复</x:v>
      </x:c>
      <x:c r="F71" s="180" t="str">
        <x:v>Steps；Conditions；ResumePoint</x:v>
      </x:c>
      <x:c r="G71" s="180" t="str">
        <x:v>恢复</x:v>
      </x:c>
      <x:c r="H71" s="180" t="str">
        <x:v>待逐对象核实</x:v>
      </x:c>
      <x:c r="I71" s="180" t="str">
        <x:v>RecoveryPolicy</x:v>
      </x:c>
      <x:c r="J71" s="179" t="str">
        <x:v>类/实例候选</x:v>
      </x:c>
      <x:c r="K71" s="180" t="str">
        <x:v>生命周期：Definition</x:v>
      </x:c>
      <x:c r="L71" s="183" t="str">
        <x:v>设计候选，尚待源码验证</x:v>
      </x:c>
      <x:c r="M71" s="183" t="str">
        <x:v>M27.RecoveryPolicy</x:v>
      </x:c>
      <x:c r="N71" s="184" t="str">
        <x:v>03_能力对象!C219</x:v>
      </x:c>
      <x:c r="O71" s="183" t="str">
        <x:v>V4.9对象/属性/方法
V2.01：名称/子方面线索；处置=规划独立契约候选·未批准新增
V7.8：V7.8未检出同名词法声明</x:v>
      </x:c>
      <x:c r="P71" s="136" t="str">
        <x:v>V4.9对象/属性/方法</x:v>
      </x:c>
      <x:c r="Q71"/>
      <x:c r="R71"/>
      <x:c r="S71"/>
    </x:row>
    <x:row r="72" ht="72" customHeight="1">
      <x:c r="A72" s="179" t="str">
        <x:v>M27</x:v>
      </x:c>
      <x:c r="B72" s="180" t="str">
        <x:v>资源与治理｜Policy / Fault / Recovery
Fault Recovery</x:v>
      </x:c>
      <x:c r="C72" s="180" t="str">
        <x:v>MFRRetryPolicy</x:v>
      </x:c>
      <x:c r="D72" s="179" t="str">
        <x:v>原有·待核</x:v>
      </x:c>
      <x:c r="E72" s="180" t="str">
        <x:v>重试</x:v>
      </x:c>
      <x:c r="F72" s="180" t="str">
        <x:v>Count；Interval；Backoff；Predicate</x:v>
      </x:c>
      <x:c r="G72" s="180" t="str">
        <x:v>重试</x:v>
      </x:c>
      <x:c r="H72" s="180" t="str">
        <x:v>待逐对象核实</x:v>
      </x:c>
      <x:c r="I72" s="180" t="str">
        <x:v>RetryPolicy</x:v>
      </x:c>
      <x:c r="J72" s="179" t="str">
        <x:v>类/实例候选</x:v>
      </x:c>
      <x:c r="K72" s="180" t="str">
        <x:v>V1.19 C-0998：原有；生命周期：Definition</x:v>
      </x:c>
      <x:c r="L72" s="183" t="str">
        <x:v>V7.8源码词法匹配，尚未验收</x:v>
      </x:c>
      <x:c r="M72" s="183" t="str">
        <x:v>M27.RetryPolicy</x:v>
      </x:c>
      <x:c r="N72" s="184" t="str">
        <x:v>Platform/Orchestration/Policies/ExecutionPolicies.cs</x:v>
      </x:c>
      <x:c r="O72" s="183" t="str">
        <x:v>V4.9对象/属性/方法
V2.01：同名多条·待消歧；处置=暂无可信对应
V7.8：V7.8同名且源文件对应；Platform/Orchestration/Policies/ExecutionPolicies.cs</x:v>
      </x:c>
      <x:c r="P72" s="136" t="str">
        <x:v>V4.9对象/属性/方法</x:v>
      </x:c>
      <x:c r="Q72"/>
      <x:c r="R72"/>
      <x:c r="S72"/>
    </x:row>
    <x:row r="73" ht="72" customHeight="1">
      <x:c r="A73" s="179" t="str">
        <x:v>M27</x:v>
      </x:c>
      <x:c r="B73" s="180" t="str">
        <x:v>资源与治理｜Policy / Fault / Recovery
Fault Recovery</x:v>
      </x:c>
      <x:c r="C73" s="180" t="str">
        <x:v>MFRTimeoutPolicy</x:v>
      </x:c>
      <x:c r="D73" s="179" t="str">
        <x:v>增构候选·待查重</x:v>
      </x:c>
      <x:c r="E73" s="180" t="str">
        <x:v>超时</x:v>
      </x:c>
      <x:c r="F73" s="180" t="str">
        <x:v>Duration；Clock；Action</x:v>
      </x:c>
      <x:c r="G73" s="180" t="str">
        <x:v>超时</x:v>
      </x:c>
      <x:c r="H73" s="180" t="str">
        <x:v>待逐对象核实</x:v>
      </x:c>
      <x:c r="I73" s="180" t="str">
        <x:v>TimeoutPolicy</x:v>
      </x:c>
      <x:c r="J73" s="179" t="str">
        <x:v>类/实例候选</x:v>
      </x:c>
      <x:c r="K73" s="180" t="str">
        <x:v>生命周期：Definition</x:v>
      </x:c>
      <x:c r="L73" s="183" t="str">
        <x:v>设计候选，尚待源码验证</x:v>
      </x:c>
      <x:c r="M73" s="183" t="str">
        <x:v>M27.TimeoutPolicy</x:v>
      </x:c>
      <x:c r="N73" s="184" t="str">
        <x:v>03_能力对象!C221</x:v>
      </x:c>
      <x:c r="O73" s="183" t="str">
        <x:v>V4.9对象/属性/方法
V2.01：名称/子方面线索；处置=规划独立契约候选·未批准新增
V7.8：V7.8未检出同名词法声明</x:v>
      </x:c>
      <x:c r="P73" s="136" t="str">
        <x:v>V4.9对象/属性/方法</x:v>
      </x:c>
      <x:c r="Q73"/>
      <x:c r="R73"/>
      <x:c r="S73"/>
    </x:row>
    <x:row r="74" ht="72" customHeight="1">
      <x:c r="A74" s="179" t="str">
        <x:v>M28</x:v>
      </x:c>
      <x:c r="B74" s="180" t="str">
        <x:v>资源与治理｜Security / Interlock / Audit
Security Interlocks</x:v>
      </x:c>
      <x:c r="C74" s="180" t="str">
        <x:v>IMSIAuditService</x:v>
      </x:c>
      <x:c r="D74" s="179" t="str">
        <x:v>原有·待核</x:v>
      </x:c>
      <x:c r="E74" s="180" t="str">
        <x:v>约定Audit服务的操作入口、交互能力及调用方/实现方边界</x:v>
      </x:c>
      <x:c r="F74" s="180" t="str">
        <x:v>—（无公开声明或待核对）</x:v>
      </x:c>
      <x:c r="G74" s="180" t="str">
        <x:v>AppendAsync(AuditEvent auditEvent, CancellationToken cancellationToken), FlushAsync(CancellationToken cancellationToken)</x:v>
      </x:c>
      <x:c r="H74" s="180" t="str">
        <x:v>—（待核）</x:v>
      </x:c>
      <x:c r="I74" s="180" t="str">
        <x:v>CxVisual.Abstractions.IAuditService</x:v>
      </x:c>
      <x:c r="J74" s="179" t="str">
        <x:v>接口</x:v>
      </x:c>
      <x:c r="K74" s="180" t="str">
        <x:v>V1.19 C-1002；原实施方式：原有。迁移风险：约定Audit服务的操作入口、交互能力及调用方/实现方边界</x:v>
      </x:c>
      <x:c r="L74" s="183" t="str">
        <x:v>源代码声明·待复核</x:v>
      </x:c>
      <x:c r="M74" s="183" t="str">
        <x:v>C-1002</x:v>
      </x:c>
      <x:c r="N74" s="184" t="str">
        <x:v>Platform/Core/Abstractions/RuntimeBoundaries.cs</x:v>
      </x:c>
      <x:c r="O74" s="183" t="str">
        <x:v>V1.19旧源码类型（真实成员/实现仍待核）
V2.01：来源ID对应；处置=保留源码·公开契约复核
V7.8：V7.8同名且源文件对应；Platform/Core/Abstractions/RuntimeBoundaries.cs</x:v>
      </x:c>
      <x:c r="P74" s="136" t="str">
        <x:v>V1.19旧源码类型（真实成员/实现仍待核）</x:v>
      </x:c>
      <x:c r="Q74"/>
      <x:c r="R74"/>
      <x:c r="S74"/>
    </x:row>
    <x:row r="75" ht="72" customHeight="1">
      <x:c r="A75" s="179" t="str">
        <x:v>M28</x:v>
      </x:c>
      <x:c r="B75" s="180" t="str">
        <x:v>资源与治理｜Security / Interlock / Audit
Security Interlocks</x:v>
      </x:c>
      <x:c r="C75" s="180" t="str">
        <x:v>IMSIAuthorizationService</x:v>
      </x:c>
      <x:c r="D75" s="179" t="str">
        <x:v>原有·待核</x:v>
      </x:c>
      <x:c r="E75" s="180" t="str">
        <x:v>约定Authorization服务的操作入口、交互能力及调用方/实现方边界</x:v>
      </x:c>
      <x:c r="F75" s="180" t="str">
        <x:v>—（无公开声明或待核对）</x:v>
      </x:c>
      <x:c r="G75" s="180" t="str">
        <x:v>AuthorizeAsync(WriteRequest request, CancellationToken cancellationToken)</x:v>
      </x:c>
      <x:c r="H75" s="180" t="str">
        <x:v>—（待核）</x:v>
      </x:c>
      <x:c r="I75" s="180" t="str">
        <x:v>CxVisual.Abstractions.IAuthorizationService</x:v>
      </x:c>
      <x:c r="J75" s="179" t="str">
        <x:v>接口</x:v>
      </x:c>
      <x:c r="K75" s="180" t="str">
        <x:v>V1.19 C-1003；原实施方式：原有。迁移风险：约定Authorization服务的操作入口、交互能力及调用方/实现方边界</x:v>
      </x:c>
      <x:c r="L75" s="183" t="str">
        <x:v>源代码声明·待复核</x:v>
      </x:c>
      <x:c r="M75" s="183" t="str">
        <x:v>C-1003</x:v>
      </x:c>
      <x:c r="N75" s="184" t="str">
        <x:v>Platform/Core/Abstractions/RuntimeBoundaries.cs</x:v>
      </x:c>
      <x:c r="O75" s="183" t="str">
        <x:v>V1.19旧源码类型（真实成员/实现仍待核）
V2.01：来源ID对应；处置=保留源码·公开契约复核
V7.8：V7.8同名且源文件对应；Platform/Core/Abstractions/RuntimeBoundaries.cs</x:v>
      </x:c>
      <x:c r="P75" s="136" t="str">
        <x:v>V1.19旧源码类型（真实成员/实现仍待核）</x:v>
      </x:c>
      <x:c r="Q75"/>
      <x:c r="R75"/>
      <x:c r="S75"/>
    </x:row>
    <x:row r="76" ht="72" customHeight="1">
      <x:c r="A76" s="179" t="str">
        <x:v>M28</x:v>
      </x:c>
      <x:c r="B76" s="180" t="str">
        <x:v>资源与治理｜Security / Interlock / Audit
Security Interlocks</x:v>
      </x:c>
      <x:c r="C76" s="180" t="str">
        <x:v>IMSIWritePolicy</x:v>
      </x:c>
      <x:c r="D76" s="179" t="str">
        <x:v>原有·待核</x:v>
      </x:c>
      <x:c r="E76" s="180" t="str">
        <x:v>约定Write策略的操作入口、交互能力及调用方/实现方边界</x:v>
      </x:c>
      <x:c r="F76" s="180" t="str">
        <x:v>—（无公开声明或待核对）</x:v>
      </x:c>
      <x:c r="G76" s="180" t="str">
        <x:v>Validate(WriteRequest request, VariableMetadata metadata, VariableValue currentValue)</x:v>
      </x:c>
      <x:c r="H76" s="180" t="str">
        <x:v>—（待核）</x:v>
      </x:c>
      <x:c r="I76" s="180" t="str">
        <x:v>CxVisual.Abstractions.IWritePolicy</x:v>
      </x:c>
      <x:c r="J76" s="179" t="str">
        <x:v>接口</x:v>
      </x:c>
      <x:c r="K76" s="180" t="str">
        <x:v>V1.19 C-1004；原实施方式：原有。迁移风险：约定Write策略的操作入口、交互能力及调用方/实现方边界</x:v>
      </x:c>
      <x:c r="L76" s="183" t="str">
        <x:v>源代码声明·待复核</x:v>
      </x:c>
      <x:c r="M76" s="183" t="str">
        <x:v>C-1004</x:v>
      </x:c>
      <x:c r="N76" s="184" t="str">
        <x:v>Platform/Core/Abstractions/RuntimeBoundaries.cs</x:v>
      </x:c>
      <x:c r="O76" s="183" t="str">
        <x:v>V1.19旧源码类型（真实成员/实现仍待核）
V2.01：来源ID对应；处置=保留源码·公开契约复核
V7.8：V7.8同名且源文件对应；Platform/Core/Abstractions/RuntimeBoundaries.cs</x:v>
      </x:c>
      <x:c r="P76" s="136" t="str">
        <x:v>V1.19旧源码类型（真实成员/实现仍待核）</x:v>
      </x:c>
      <x:c r="Q76"/>
      <x:c r="R76"/>
      <x:c r="S76"/>
    </x:row>
    <x:row r="77" ht="72" customHeight="1">
      <x:c r="A77" s="179" t="str">
        <x:v>M28</x:v>
      </x:c>
      <x:c r="B77" s="180" t="str">
        <x:v>资源与治理｜Security / Interlock / Audit
Security Interlocks</x:v>
      </x:c>
      <x:c r="C77" s="180" t="str">
        <x:v>MSIAllowAuthenticatedAuthorizationService</x:v>
      </x:c>
      <x:c r="D77" s="179" t="str">
        <x:v>原有·待核</x:v>
      </x:c>
      <x:c r="E77" s="180" t="str">
        <x:v>封装AllowAuthenticatedAuthorization服务通用服务操作及其生命周期边界</x:v>
      </x:c>
      <x:c r="F77" s="180" t="str">
        <x:v>—（无公开声明或待核对）</x:v>
      </x:c>
      <x:c r="G77" s="180" t="str">
        <x:v>AuthorizeAsync(WriteRequest request, CancellationToken cancellationToken)</x:v>
      </x:c>
      <x:c r="H77" s="180" t="str">
        <x:v>—（待核）</x:v>
      </x:c>
      <x:c r="I77" s="180" t="str">
        <x:v>CxVisual.Integration.AllowAuthenticatedAuthorizationService</x:v>
      </x:c>
      <x:c r="J77" s="179" t="str">
        <x:v>类</x:v>
      </x:c>
      <x:c r="K77" s="180" t="str">
        <x:v>V1.19 C-1023；原实施方式：原有。迁移风险：封装AllowAuthenticatedAuthorization服务通用服务操作及其生命周期边界</x:v>
      </x:c>
      <x:c r="L77" s="183" t="str">
        <x:v>源代码声明·待复核</x:v>
      </x:c>
      <x:c r="M77" s="183" t="str">
        <x:v>C-1023</x:v>
      </x:c>
      <x:c r="N77" s="184" t="str">
        <x:v>Platform/Runtime/Integration/SecurityServices.cs</x:v>
      </x:c>
      <x:c r="O77" s="183" t="str">
        <x:v>V1.19旧源码类型（真实成员/实现仍待核）
V2.01：未匹配V2.01；处置=暂无可信对应
V7.8：V7.8同名且源文件对应；Platform/Runtime/Integration/SecurityServices.cs</x:v>
      </x:c>
      <x:c r="P77" s="136" t="str">
        <x:v>V1.19旧源码类型（真实成员/实现仍待核）</x:v>
      </x:c>
      <x:c r="Q77"/>
      <x:c r="R77"/>
      <x:c r="S77"/>
    </x:row>
    <x:row r="78" ht="72" customHeight="1">
      <x:c r="A78" s="179" t="str">
        <x:v>M28</x:v>
      </x:c>
      <x:c r="B78" s="180" t="str">
        <x:v>资源与治理｜Security / Interlock / Audit
Security Interlocks</x:v>
      </x:c>
      <x:c r="C78" s="180" t="str">
        <x:v>MSIAuditEvent</x:v>
      </x:c>
      <x:c r="D78" s="179" t="str">
        <x:v>原有·待核</x:v>
      </x:c>
      <x:c r="E78" s="180" t="str">
        <x:v>描述Audit事件发生时的事件类型、来源及相关数据</x:v>
      </x:c>
      <x:c r="F78" s="180" t="str">
        <x:v>CorrelationId, UserId, VariableId, Before, Target, Readback, Success, Reason, TimestampUtc</x:v>
      </x:c>
      <x:c r="G78" s="180" t="str">
        <x:v>—(无公开声明或待核对)</x:v>
      </x:c>
      <x:c r="H78" s="180" t="str">
        <x:v>—（待核）</x:v>
      </x:c>
      <x:c r="I78" s="180" t="str">
        <x:v>CxVisual.Abstractions.AuditEvent</x:v>
      </x:c>
      <x:c r="J78" s="179" t="str">
        <x:v>类</x:v>
      </x:c>
      <x:c r="K78" s="180" t="str">
        <x:v>V1.19 C-1001；原实施方式：原有。迁移风险：描述Audit事件发生时的事件类型、来源及相关数据</x:v>
      </x:c>
      <x:c r="L78" s="183" t="str">
        <x:v>源代码声明·待复核</x:v>
      </x:c>
      <x:c r="M78" s="183" t="str">
        <x:v>C-1001</x:v>
      </x:c>
      <x:c r="N78" s="184" t="str">
        <x:v>Platform/Core/Abstractions/RuntimeBoundaries.cs</x:v>
      </x:c>
      <x:c r="O78" s="183" t="str">
        <x:v>V1.19旧源码类型（真实成员/实现仍待核）
V2.01：来源ID对应；处置=保留源码·公开契约复核
V7.8：V7.8同名且源文件对应；Platform/Core/Abstractions/RuntimeBoundaries.cs</x:v>
      </x:c>
      <x:c r="P78" s="136" t="str">
        <x:v>V1.19旧源码类型（真实成员/实现仍待核）</x:v>
      </x:c>
      <x:c r="Q78"/>
      <x:c r="R78"/>
      <x:c r="S78"/>
    </x:row>
    <x:row r="79" ht="72" customHeight="1">
      <x:c r="A79" s="179" t="str">
        <x:v>M28</x:v>
      </x:c>
      <x:c r="B79" s="180" t="str">
        <x:v>资源与治理｜Security / Interlock / Audit
Security Interlocks</x:v>
      </x:c>
      <x:c r="C79" s="180" t="str">
        <x:v>MSICxAuditRecord</x:v>
      </x:c>
      <x:c r="D79" s="179" t="str">
        <x:v>原有·待核</x:v>
      </x:c>
      <x:c r="E79" s="180" t="str">
        <x:v>负责Audit记录相关的审计记录与公共契约管理</x:v>
      </x:c>
      <x:c r="F79" s="180" t="str">
        <x:v>MaximumBytes, RecordId, Timestamp, Actor, Action, Target, Before, After, CorrelationId, Result, CxAuditRecord</x:v>
      </x:c>
      <x:c r="G79" s="180" t="str">
        <x:v>Validate(), Serialize(), Deserialize(string json), Invalid(string code)</x:v>
      </x:c>
      <x:c r="H79" s="180" t="str">
        <x:v>—（待核）</x:v>
      </x:c>
      <x:c r="I79" s="180" t="str">
        <x:v>CxVisual.Core.CxAuditRecord</x:v>
      </x:c>
      <x:c r="J79" s="179" t="str">
        <x:v>类</x:v>
      </x:c>
      <x:c r="K79" s="180" t="str">
        <x:v>V1.19 C-1007；原实施方式：原有。迁移风险：负责Audit记录相关的审计记录与公共契约管理</x:v>
      </x:c>
      <x:c r="L79" s="183" t="str">
        <x:v>源代码声明·待复核</x:v>
      </x:c>
      <x:c r="M79" s="183" t="str">
        <x:v>C-1007</x:v>
      </x:c>
      <x:c r="N79" s="184" t="str">
        <x:v>Platform/Core/CxAuditRecord.cs</x:v>
      </x:c>
      <x:c r="O79" s="183" t="str">
        <x:v>V1.19旧源码类型（真实成员/实现仍待核）
V2.01：来源ID对应；处置=保留源码·公开契约复核
V7.8：V7.8同名且源文件对应；Platform/Core/CxAuditRecord.cs</x:v>
      </x:c>
      <x:c r="P79" s="136" t="str">
        <x:v>V1.19旧源码类型（真实成员/实现仍待核）</x:v>
      </x:c>
      <x:c r="Q79"/>
      <x:c r="R79"/>
      <x:c r="S79"/>
    </x:row>
    <x:row r="80" ht="135" customHeight="1">
      <x:c r="A80" s="179" t="str">
        <x:v>M28</x:v>
      </x:c>
      <x:c r="B80" s="180" t="str">
        <x:v>资源与治理｜Security / Interlock / Audit
Security Interlocks</x:v>
      </x:c>
      <x:c r="C80" s="180" t="str">
        <x:v>MSICxAuditService</x:v>
      </x:c>
      <x:c r="D80" s="179" t="str">
        <x:v>原有·待核</x:v>
      </x:c>
      <x:c r="E80" s="180" t="str">
        <x:v>负责Audit服务相关的审计与公共契约管理</x:v>
      </x:c>
      <x:c r="F80" s="180" t="str">
        <x:v>Store</x:v>
      </x:c>
      <x:c r="G80" s="180" t="str">
        <x:v>CxAuditService(CxArtifactStore store, ICxClock clock = null, CxSecurityContext security = null), Write(CxAuditRecord record, CancellationToken cancellationToken = default(CancellationToken); Query(string actor = null, string action = null, string target = null, DateTime? fromUtc = null, DateTime? toUtc …); Export(Stream destination, string actor = null, string action = null, string target = null, DateTime? fromUtc = nu…); AppendAsync(AuditEvent auditEvent, CancellationToken cancellationToken); FlushAsync(CancellationToken cancellationToken)</x:v>
      </x:c>
      <x:c r="H80" s="180" t="str">
        <x:v>—（待核）</x:v>
      </x:c>
      <x:c r="I80" s="180" t="str">
        <x:v>CxVisual.Persistence.Audit.CxAuditService</x:v>
      </x:c>
      <x:c r="J80" s="179" t="str">
        <x:v>类</x:v>
      </x:c>
      <x:c r="K80" s="180" t="str">
        <x:v>V1.19 C-1025；原实施方式：原有。迁移风险：负责Audit服务相关的审计与公共契约管理</x:v>
      </x:c>
      <x:c r="L80" s="183" t="str">
        <x:v>源代码声明·待复核</x:v>
      </x:c>
      <x:c r="M80" s="183" t="str">
        <x:v>C-1025</x:v>
      </x:c>
      <x:c r="N80" s="184" t="str">
        <x:v>Platform/Persistence/Audit/CxAuditService.cs</x:v>
      </x:c>
      <x:c r="O80" s="183" t="str">
        <x:v>V1.19旧源码类型（真实成员/实现仍待核）
V2.01：未匹配V2.01；处置=暂无可信对应
V7.8：V7.8同名且源文件对应；Platform/Persistence/Audit/CxAuditService.cs</x:v>
      </x:c>
      <x:c r="P80" s="136" t="str">
        <x:v>V1.19旧源码类型（真实成员/实现仍待核）</x:v>
      </x:c>
      <x:c r="Q80"/>
      <x:c r="R80"/>
      <x:c r="S80"/>
    </x:row>
    <x:row r="81" ht="72" customHeight="1">
      <x:c r="A81" s="179" t="str">
        <x:v>M28</x:v>
      </x:c>
      <x:c r="B81" s="180" t="str">
        <x:v>资源与治理｜Security / Interlock / Audit
Security Interlocks</x:v>
      </x:c>
      <x:c r="C81" s="180" t="str">
        <x:v>MSICxCompiledInterlock</x:v>
      </x:c>
      <x:c r="D81" s="179" t="str">
        <x:v>原有·待核</x:v>
      </x:c>
      <x:c r="E81" s="180" t="str">
        <x:v>表达或管理Compiled联锁相关的数据及协作职责，具体行为待源码复核〔待核〕</x:v>
      </x:c>
      <x:c r="F81" s="180" t="str">
        <x:v>—（无公开声明或待核对）</x:v>
      </x:c>
      <x:c r="G81" s="180" t="str">
        <x:v>CxCompiledInterlock(CxInterlockDefinition definition, CxCompiledExpression condition), Clone(), Evaluate(CxExpressionContext context)</x:v>
      </x:c>
      <x:c r="H81" s="180" t="str">
        <x:v>—（待核）</x:v>
      </x:c>
      <x:c r="I81" s="180" t="str">
        <x:v>CxVisual.Core.CxCompiledInterlock</x:v>
      </x:c>
      <x:c r="J81" s="179" t="str">
        <x:v>类</x:v>
      </x:c>
      <x:c r="K81" s="180" t="str">
        <x:v>V1.19 C-1008；原实施方式：原有。迁移风险：表达或管理Compiled联锁相关的数据及协作职责，具体行为待源码复核〔待核〕</x:v>
      </x:c>
      <x:c r="L81" s="183" t="str">
        <x:v>源代码声明·待复核</x:v>
      </x:c>
      <x:c r="M81" s="183" t="str">
        <x:v>C-1008</x:v>
      </x:c>
      <x:c r="N81" s="184" t="str">
        <x:v>Platform/Core/CxInterlocks.cs</x:v>
      </x:c>
      <x:c r="O81" s="183" t="str">
        <x:v>V1.19旧源码类型（真实成员/实现仍待核）
V2.01：来源ID对应；处置=保留源码·公开契约复核
V7.8：V7.8同名且源文件对应；Platform/Core/CxInterlocks.cs</x:v>
      </x:c>
      <x:c r="P81" s="136" t="str">
        <x:v>V1.19旧源码类型（真实成员/实现仍待核）</x:v>
      </x:c>
      <x:c r="Q81"/>
      <x:c r="R81"/>
      <x:c r="S81"/>
    </x:row>
    <x:row r="82" ht="72" customHeight="1">
      <x:c r="A82" s="179" t="str">
        <x:v>M28</x:v>
      </x:c>
      <x:c r="B82" s="180" t="str">
        <x:v>资源与治理｜Security / Interlock / Audit
Security Interlocks</x:v>
      </x:c>
      <x:c r="C82" s="180" t="str">
        <x:v>MSICxIdentity</x:v>
      </x:c>
      <x:c r="D82" s="179" t="str">
        <x:v>原有·待核</x:v>
      </x:c>
      <x:c r="E82" s="180" t="str">
        <x:v>负责标识相关的身份与公共契约管理</x:v>
      </x:c>
      <x:c r="F82" s="180" t="str">
        <x:v>UserId, DisplayName, Roles, Claims, CxIdentity, UserContext</x:v>
      </x:c>
      <x:c r="G82" s="180" t="str">
        <x:v>List(), HasClaim(string claim, string value = null), Validate(), FromUser(UserContext user)</x:v>
      </x:c>
      <x:c r="H82" s="180" t="str">
        <x:v>—（待核）</x:v>
      </x:c>
      <x:c r="I82" s="180" t="str">
        <x:v>CxVisual.Core.CxIdentity</x:v>
      </x:c>
      <x:c r="J82" s="179" t="str">
        <x:v>类</x:v>
      </x:c>
      <x:c r="K82" s="180" t="str">
        <x:v>V1.19 C-1009；原实施方式：原有。迁移风险：负责标识相关的身份与公共契约管理</x:v>
      </x:c>
      <x:c r="L82" s="183" t="str">
        <x:v>源代码声明·待复核</x:v>
      </x:c>
      <x:c r="M82" s="183" t="str">
        <x:v>C-1009</x:v>
      </x:c>
      <x:c r="N82" s="184" t="str">
        <x:v>Platform/Core/CxIdentityPermissions.cs</x:v>
      </x:c>
      <x:c r="O82" s="183" t="str">
        <x:v>V1.19旧源码类型（真实成员/实现仍待核）
V2.01：来源ID对应；处置=保留源码·公开契约复核
V7.8：V7.8同名且源文件对应；Platform/Core/CxIdentityPermissions.cs</x:v>
      </x:c>
      <x:c r="P82" s="136" t="str">
        <x:v>V1.19旧源码类型（真实成员/实现仍待核）</x:v>
      </x:c>
      <x:c r="Q82"/>
      <x:c r="R82"/>
      <x:c r="S82"/>
    </x:row>
    <x:row r="83" ht="72" customHeight="1">
      <x:c r="A83" s="179" t="str">
        <x:v>M28</x:v>
      </x:c>
      <x:c r="B83" s="180" t="str">
        <x:v>资源与治理｜Security / Interlock / Audit
Security Interlocks</x:v>
      </x:c>
      <x:c r="C83" s="180" t="str">
        <x:v>MSICxInterlockDefinition</x:v>
      </x:c>
      <x:c r="D83" s="179" t="str">
        <x:v>原有·待核</x:v>
      </x:c>
      <x:c r="E83" s="180" t="str">
        <x:v>负责联锁定义相关的互锁定义与公共契约管理</x:v>
      </x:c>
      <x:c r="F83" s="180" t="str">
        <x:v>Id, Name, Condition, Severity, Latch, ResetPolicy, CxInterlockDefinition</x:v>
      </x:c>
      <x:c r="G83" s="180" t="str">
        <x:v>Validate(), Compile()</x:v>
      </x:c>
      <x:c r="H83" s="180" t="str">
        <x:v>—（待核）</x:v>
      </x:c>
      <x:c r="I83" s="180" t="str">
        <x:v>CxVisual.Core.CxInterlockDefinition</x:v>
      </x:c>
      <x:c r="J83" s="179" t="str">
        <x:v>类</x:v>
      </x:c>
      <x:c r="K83" s="180" t="str">
        <x:v>V1.19 C-1010；原实施方式：原有。迁移风险：负责联锁定义相关的互锁定义与公共契约管理</x:v>
      </x:c>
      <x:c r="L83" s="183" t="str">
        <x:v>源代码声明·待复核</x:v>
      </x:c>
      <x:c r="M83" s="183" t="str">
        <x:v>C-1010</x:v>
      </x:c>
      <x:c r="N83" s="184" t="str">
        <x:v>Platform/Core/CxInterlocks.cs</x:v>
      </x:c>
      <x:c r="O83" s="183" t="str">
        <x:v>V1.19旧源码类型（真实成员/实现仍待核）
V2.01：来源ID对应；处置=保留源码·公开契约复核
V7.8：V7.8同名且源文件对应；Platform/Core/CxInterlocks.cs</x:v>
      </x:c>
      <x:c r="P83" s="136" t="str">
        <x:v>V1.19旧源码类型（真实成员/实现仍待核）</x:v>
      </x:c>
      <x:c r="Q83"/>
      <x:c r="R83"/>
      <x:c r="S83"/>
    </x:row>
    <x:row r="84" ht="135" customHeight="1">
      <x:c r="A84" s="179" t="str">
        <x:v>M28</x:v>
      </x:c>
      <x:c r="B84" s="180" t="str">
        <x:v>资源与治理｜Security / Interlock / Audit
Security Interlocks</x:v>
      </x:c>
      <x:c r="C84" s="180" t="str">
        <x:v>MSICxInterlockGuard</x:v>
      </x:c>
      <x:c r="D84" s="179" t="str">
        <x:v>原有·待核</x:v>
      </x:c>
      <x:c r="E84" s="180" t="str">
        <x:v>负责联锁Guard相关的互锁执行与公共契约管理</x:v>
      </x:c>
      <x:c r="F84" s="180" t="str">
        <x:v>SecurityContext, HasBoundContext, States</x:v>
      </x:c>
      <x:c r="G84" s="180" t="str">
        <x:v>CxInterlockGuard(IEnumerable&lt;CxInterlockDefinition&gt; definitions, ICxClock clock = null, CxSecurityContext security = null, C…), AsReadOnly(_compiled.Select(x =&gt; x.Definition); Evaluate(CxExpressionContext context = null); CanExecute(CxExpressionContext context = null); Reset(string id, string reason, CxExpressionContext context = null, CancellationToken cancellationToken = default…); Bypass(string id, bool enabled, string reason, CancellationToken cancellationToken = default(CancellationToken)</x:v>
      </x:c>
      <x:c r="H84" s="180" t="str">
        <x:v>—（待核）</x:v>
      </x:c>
      <x:c r="I84" s="180" t="str">
        <x:v>CxVisual.Core.CxInterlockGuard</x:v>
      </x:c>
      <x:c r="J84" s="179" t="str">
        <x:v>类</x:v>
      </x:c>
      <x:c r="K84" s="180" t="str">
        <x:v>V1.19 C-1011；原实施方式：原有。迁移风险：负责联锁Guard相关的互锁执行与公共契约管理</x:v>
      </x:c>
      <x:c r="L84" s="183" t="str">
        <x:v>源代码声明·待复核</x:v>
      </x:c>
      <x:c r="M84" s="183" t="str">
        <x:v>C-1011</x:v>
      </x:c>
      <x:c r="N84" s="184" t="str">
        <x:v>Platform/Core/CxInterlocks.cs</x:v>
      </x:c>
      <x:c r="O84" s="183" t="str">
        <x:v>V1.19旧源码类型（真实成员/实现仍待核）
V2.01：来源ID对应；处置=保留源码·公开契约复核
V7.8：V7.8同名且源文件对应；Platform/Core/CxInterlocks.cs</x:v>
      </x:c>
      <x:c r="P84" s="136" t="str">
        <x:v>V1.19旧源码类型（真实成员/实现仍待核）</x:v>
      </x:c>
      <x:c r="Q84"/>
      <x:c r="R84"/>
      <x:c r="S84"/>
    </x:row>
    <x:row r="85" ht="72" customHeight="1">
      <x:c r="A85" s="179" t="str">
        <x:v>M28</x:v>
      </x:c>
      <x:c r="B85" s="180" t="str">
        <x:v>资源与治理｜Security / Interlock / Audit
Security Interlocks</x:v>
      </x:c>
      <x:c r="C85" s="180" t="str">
        <x:v>MSICxInterlockResetPolicy</x:v>
      </x:c>
      <x:c r="D85" s="179" t="str">
        <x:v>原有·待核</x:v>
      </x:c>
      <x:c r="E85" s="180" t="str">
        <x:v>定义联锁Reset策略的候选取值、状态或模式，供相关流程作分支判断</x:v>
      </x:c>
      <x:c r="F85" s="180" t="str">
        <x:v>枚举值：Manual, Automatic</x:v>
      </x:c>
      <x:c r="G85" s="180" t="str">
        <x:v>—(无公开声明或待核对)</x:v>
      </x:c>
      <x:c r="H85" s="180" t="str">
        <x:v>—（待核）</x:v>
      </x:c>
      <x:c r="I85" s="180" t="str">
        <x:v>CxVisual.Core.CxInterlockResetPolicy</x:v>
      </x:c>
      <x:c r="J85" s="179" t="str">
        <x:v>枚举</x:v>
      </x:c>
      <x:c r="K85" s="180" t="str">
        <x:v>V1.19 C-1012；原实施方式：原有。迁移风险：定义联锁Reset策略的候选取值、状态或模式，供相关流程作分支判断</x:v>
      </x:c>
      <x:c r="L85" s="183" t="str">
        <x:v>源代码声明·待复核</x:v>
      </x:c>
      <x:c r="M85" s="183" t="str">
        <x:v>C-1012</x:v>
      </x:c>
      <x:c r="N85" s="184" t="str">
        <x:v>Platform/Core/CxInterlocks.cs</x:v>
      </x:c>
      <x:c r="O85" s="183" t="str">
        <x:v>V1.19旧源码类型（真实成员/实现仍待核）
V2.01：来源ID对应；处置=保留源码·公开契约复核
V7.8：V7.8同名且源文件对应；Platform/Core/CxInterlocks.cs</x:v>
      </x:c>
      <x:c r="P85" s="136" t="str">
        <x:v>V1.19旧源码类型（真实成员/实现仍待核）</x:v>
      </x:c>
      <x:c r="Q85"/>
      <x:c r="R85"/>
      <x:c r="S85"/>
    </x:row>
    <x:row r="86" ht="72" customHeight="1">
      <x:c r="A86" s="179" t="str">
        <x:v>M28</x:v>
      </x:c>
      <x:c r="B86" s="180" t="str">
        <x:v>资源与治理｜Security / Interlock / Audit
Security Interlocks</x:v>
      </x:c>
      <x:c r="C86" s="180" t="str">
        <x:v>MSICxInterlockSeverity</x:v>
      </x:c>
      <x:c r="D86" s="179" t="str">
        <x:v>原有·待核</x:v>
      </x:c>
      <x:c r="E86" s="180" t="str">
        <x:v>定义联锁Severity的候选取值、状态或模式，供相关流程作分支判断</x:v>
      </x:c>
      <x:c r="F86" s="180" t="str">
        <x:v>枚举值：Warning, Blocking, Emergency</x:v>
      </x:c>
      <x:c r="G86" s="180" t="str">
        <x:v>—(无公开声明或待核对)</x:v>
      </x:c>
      <x:c r="H86" s="180" t="str">
        <x:v>—（待核）</x:v>
      </x:c>
      <x:c r="I86" s="180" t="str">
        <x:v>CxVisual.Core.CxInterlockSeverity</x:v>
      </x:c>
      <x:c r="J86" s="179" t="str">
        <x:v>枚举</x:v>
      </x:c>
      <x:c r="K86" s="180" t="str">
        <x:v>V1.19 C-1013；原实施方式：原有。迁移风险：定义联锁Severity的候选取值、状态或模式，供相关流程作分支判断</x:v>
      </x:c>
      <x:c r="L86" s="183" t="str">
        <x:v>源代码声明·待复核</x:v>
      </x:c>
      <x:c r="M86" s="183" t="str">
        <x:v>C-1013</x:v>
      </x:c>
      <x:c r="N86" s="184" t="str">
        <x:v>Platform/Core/CxInterlocks.cs</x:v>
      </x:c>
      <x:c r="O86" s="183" t="str">
        <x:v>V1.19旧源码类型（真实成员/实现仍待核）
V2.01：来源ID对应；处置=保留源码·公开契约复核
V7.8：V7.8同名且源文件对应；Platform/Core/CxInterlocks.cs</x:v>
      </x:c>
      <x:c r="P86" s="136" t="str">
        <x:v>V1.19旧源码类型（真实成员/实现仍待核）</x:v>
      </x:c>
      <x:c r="Q86"/>
      <x:c r="R86"/>
      <x:c r="S86"/>
    </x:row>
    <x:row r="87" ht="72" customHeight="1">
      <x:c r="A87" s="179" t="str">
        <x:v>M28</x:v>
      </x:c>
      <x:c r="B87" s="180" t="str">
        <x:v>资源与治理｜Security / Interlock / Audit
Security Interlocks</x:v>
      </x:c>
      <x:c r="C87" s="180" t="str">
        <x:v>MSICxInterlockState</x:v>
      </x:c>
      <x:c r="D87" s="179" t="str">
        <x:v>原有·待核</x:v>
      </x:c>
      <x:c r="E87" s="180" t="str">
        <x:v>表示联锁状态当前运行状态和必要的状态转换数据</x:v>
      </x:c>
      <x:c r="F87" s="180" t="str">
        <x:v>Id, Initialized, Triggered, Latched, Bypassed, BypassReason, Error, Timestamp, Sequence</x:v>
      </x:c>
      <x:c r="G87" s="180" t="str">
        <x:v>Clone()</x:v>
      </x:c>
      <x:c r="H87" s="180" t="str">
        <x:v>—（待核）</x:v>
      </x:c>
      <x:c r="I87" s="180" t="str">
        <x:v>CxVisual.Core.CxInterlockState</x:v>
      </x:c>
      <x:c r="J87" s="179" t="str">
        <x:v>类</x:v>
      </x:c>
      <x:c r="K87" s="180" t="str">
        <x:v>V1.19 C-1014；原实施方式：原有。迁移风险：表示联锁状态当前运行状态和必要的状态转换数据</x:v>
      </x:c>
      <x:c r="L87" s="183" t="str">
        <x:v>源代码声明·待复核</x:v>
      </x:c>
      <x:c r="M87" s="183" t="str">
        <x:v>C-1014</x:v>
      </x:c>
      <x:c r="N87" s="184" t="str">
        <x:v>Platform/Core/CxInterlocks.cs</x:v>
      </x:c>
      <x:c r="O87" s="183" t="str">
        <x:v>V1.19旧源码类型（真实成员/实现仍待核）
V2.01：来源ID对应；处置=保留源码·公开契约复核
V7.8：V7.8同名且源文件对应；Platform/Core/CxInterlocks.cs</x:v>
      </x:c>
      <x:c r="P87" s="136" t="str">
        <x:v>V1.19旧源码类型（真实成员/实现仍待核）</x:v>
      </x:c>
      <x:c r="Q87"/>
      <x:c r="R87"/>
      <x:c r="S87"/>
    </x:row>
    <x:row r="88" ht="72" customHeight="1">
      <x:c r="A88" s="179" t="str">
        <x:v>M28</x:v>
      </x:c>
      <x:c r="B88" s="180" t="str">
        <x:v>资源与治理｜Security / Interlock / Audit
Security Interlocks</x:v>
      </x:c>
      <x:c r="C88" s="180" t="str">
        <x:v>MSICxPermission</x:v>
      </x:c>
      <x:c r="D88" s="179" t="str">
        <x:v>原有·待核</x:v>
      </x:c>
      <x:c r="E88" s="180" t="str">
        <x:v>负责权限相关的权限与公共契约管理</x:v>
      </x:c>
      <x:c r="F88" s="180" t="str">
        <x:v>Id, Name, ResourcePattern, Actions, CxPermission</x:v>
      </x:c>
      <x:c r="G88" s="180" t="str">
        <x:v>Validate(), Matches(string resource, string action), MatchPattern(string pattern, string value)</x:v>
      </x:c>
      <x:c r="H88" s="180" t="str">
        <x:v>—（待核）</x:v>
      </x:c>
      <x:c r="I88" s="180" t="str">
        <x:v>CxVisual.Core.CxPermission</x:v>
      </x:c>
      <x:c r="J88" s="179" t="str">
        <x:v>类</x:v>
      </x:c>
      <x:c r="K88" s="180" t="str">
        <x:v>V1.19 C-1015；原实施方式：原有。迁移风险：负责权限相关的权限与公共契约管理</x:v>
      </x:c>
      <x:c r="L88" s="183" t="str">
        <x:v>源代码声明·待复核</x:v>
      </x:c>
      <x:c r="M88" s="183" t="str">
        <x:v>C-1015</x:v>
      </x:c>
      <x:c r="N88" s="184" t="str">
        <x:v>Platform/Core/CxIdentityPermissions.cs</x:v>
      </x:c>
      <x:c r="O88" s="183" t="str">
        <x:v>V1.19旧源码类型（真实成员/实现仍待核）
V2.01：来源ID对应；处置=保留源码·公开契约复核
V7.8：V7.8同名且源文件对应；Platform/Core/CxIdentityPermissions.cs</x:v>
      </x:c>
      <x:c r="P88" s="136" t="str">
        <x:v>V1.19旧源码类型（真实成员/实现仍待核）</x:v>
      </x:c>
      <x:c r="Q88"/>
      <x:c r="R88"/>
      <x:c r="S88"/>
    </x:row>
    <x:row r="89" ht="72" customHeight="1">
      <x:c r="A89" s="179" t="str">
        <x:v>M28</x:v>
      </x:c>
      <x:c r="B89" s="180" t="str">
        <x:v>资源与治理｜Security / Interlock / Audit
Security Interlocks</x:v>
      </x:c>
      <x:c r="C89" s="180" t="str">
        <x:v>MSICxPermissionAuthorizationService</x:v>
      </x:c>
      <x:c r="D89" s="179" t="str">
        <x:v>原有·待核</x:v>
      </x:c>
      <x:c r="E89" s="180" t="str">
        <x:v>封装权限Authorization服务通用服务操作及其生命周期边界</x:v>
      </x:c>
      <x:c r="F89" s="180" t="str">
        <x:v>—（无公开声明或待核对）</x:v>
      </x:c>
      <x:c r="G89" s="180" t="str">
        <x:v>CxPermissionAuthorizationService(CxSecurityContext security, CxInterlockGuard interlocks = null), AuthorizeAsync(WriteRequest request, CancellationToken cancellationToken)</x:v>
      </x:c>
      <x:c r="H89" s="180" t="str">
        <x:v>—（待核）</x:v>
      </x:c>
      <x:c r="I89" s="180" t="str">
        <x:v>CxVisual.Integration.CxPermissionAuthorizationService</x:v>
      </x:c>
      <x:c r="J89" s="179" t="str">
        <x:v>类</x:v>
      </x:c>
      <x:c r="K89" s="180" t="str">
        <x:v>V1.19 C-1024；原实施方式：原有。迁移风险：封装权限Authorization服务通用服务操作及其生命周期边界</x:v>
      </x:c>
      <x:c r="L89" s="183" t="str">
        <x:v>源代码声明·待复核</x:v>
      </x:c>
      <x:c r="M89" s="183" t="str">
        <x:v>C-1024</x:v>
      </x:c>
      <x:c r="N89" s="184" t="str">
        <x:v>Platform/Runtime/Integration/CxPermissionAuthorizationService.cs</x:v>
      </x:c>
      <x:c r="O89" s="183" t="str">
        <x:v>V1.19旧源码类型（真实成员/实现仍待核）
V2.01：未匹配V2.01；处置=暂无可信对应
V7.8：V7.8同名且源文件对应；Platform/Runtime/Integration/CxPermissionAuthorizationService.cs</x:v>
      </x:c>
      <x:c r="P89" s="136" t="str">
        <x:v>V1.19旧源码类型（真实成员/实现仍待核）</x:v>
      </x:c>
      <x:c r="Q89"/>
      <x:c r="R89"/>
      <x:c r="S89"/>
    </x:row>
    <x:row r="90" ht="72" customHeight="1">
      <x:c r="A90" s="179" t="str">
        <x:v>M28</x:v>
      </x:c>
      <x:c r="B90" s="180" t="str">
        <x:v>资源与治理｜Security / Interlock / Audit
Security Interlocks</x:v>
      </x:c>
      <x:c r="C90" s="180" t="str">
        <x:v>MSICxPermissionDecision</x:v>
      </x:c>
      <x:c r="D90" s="179" t="str">
        <x:v>原有·待核</x:v>
      </x:c>
      <x:c r="E90" s="180" t="str">
        <x:v>表达或管理权限Decision相关的数据及协作职责，具体行为待源码复核〔待核〕</x:v>
      </x:c>
      <x:c r="F90" s="180" t="str">
        <x:v>Allowed, Code, RuleIds, IsExplicitDeny</x:v>
      </x:c>
      <x:c r="G90" s="180" t="str">
        <x:v>CxPermissionDecision(bool allowed, string code, IEnumerable&lt;string&gt; rules)</x:v>
      </x:c>
      <x:c r="H90" s="180" t="str">
        <x:v>—（待核）</x:v>
      </x:c>
      <x:c r="I90" s="180" t="str">
        <x:v>CxVisual.Core.CxPermissionDecision</x:v>
      </x:c>
      <x:c r="J90" s="179" t="str">
        <x:v>类</x:v>
      </x:c>
      <x:c r="K90" s="180" t="str">
        <x:v>V1.19 C-1016；原实施方式：原有。迁移风险：表达或管理权限Decision相关的数据及协作职责，具体行为待源码复核〔待核〕</x:v>
      </x:c>
      <x:c r="L90" s="183" t="str">
        <x:v>源代码声明·待复核</x:v>
      </x:c>
      <x:c r="M90" s="183" t="str">
        <x:v>C-1016</x:v>
      </x:c>
      <x:c r="N90" s="184" t="str">
        <x:v>Platform/Core/CxIdentityPermissions.cs</x:v>
      </x:c>
      <x:c r="O90" s="183" t="str">
        <x:v>V1.19旧源码类型（真实成员/实现仍待核）
V2.01：来源ID对应；处置=保留源码·公开契约复核
V7.8：V7.8同名且源文件对应；Platform/Core/CxIdentityPermissions.cs</x:v>
      </x:c>
      <x:c r="P90" s="136" t="str">
        <x:v>V1.19旧源码类型（真实成员/实现仍待核）</x:v>
      </x:c>
      <x:c r="Q90"/>
      <x:c r="R90"/>
      <x:c r="S90"/>
    </x:row>
    <x:row r="91" ht="72" customHeight="1">
      <x:c r="A91" s="179" t="str">
        <x:v>M28</x:v>
      </x:c>
      <x:c r="B91" s="180" t="str">
        <x:v>资源与治理｜Security / Interlock / Audit
Security Interlocks</x:v>
      </x:c>
      <x:c r="C91" s="180" t="str">
        <x:v>MSICxPermissionEffect</x:v>
      </x:c>
      <x:c r="D91" s="179" t="str">
        <x:v>原有·待核</x:v>
      </x:c>
      <x:c r="E91" s="180" t="str">
        <x:v>定义权限Effect的候选取值、状态或模式，供相关流程作分支判断</x:v>
      </x:c>
      <x:c r="F91" s="180" t="str">
        <x:v>枚举值：Allow, Deny</x:v>
      </x:c>
      <x:c r="G91" s="180" t="str">
        <x:v>—(无公开声明或待核对)</x:v>
      </x:c>
      <x:c r="H91" s="180" t="str">
        <x:v>—（待核）</x:v>
      </x:c>
      <x:c r="I91" s="180" t="str">
        <x:v>CxVisual.Core.CxPermissionEffect</x:v>
      </x:c>
      <x:c r="J91" s="179" t="str">
        <x:v>枚举</x:v>
      </x:c>
      <x:c r="K91" s="180" t="str">
        <x:v>V1.19 C-1017；原实施方式：原有。迁移风险：定义权限Effect的候选取值、状态或模式，供相关流程作分支判断</x:v>
      </x:c>
      <x:c r="L91" s="183" t="str">
        <x:v>源代码声明·待复核</x:v>
      </x:c>
      <x:c r="M91" s="183" t="str">
        <x:v>C-1017</x:v>
      </x:c>
      <x:c r="N91" s="184" t="str">
        <x:v>Platform/Core/CxIdentityPermissions.cs</x:v>
      </x:c>
      <x:c r="O91" s="183" t="str">
        <x:v>V1.19旧源码类型（真实成员/实现仍待核）
V2.01：来源ID对应；处置=保留源码·公开契约复核
V7.8：V7.8同名且源文件对应；Platform/Core/CxIdentityPermissions.cs</x:v>
      </x:c>
      <x:c r="P91" s="136" t="str">
        <x:v>V1.19旧源码类型（真实成员/实现仍待核）</x:v>
      </x:c>
      <x:c r="Q91"/>
      <x:c r="R91"/>
      <x:c r="S91"/>
    </x:row>
    <x:row r="92" ht="72" customHeight="1">
      <x:c r="A92" s="179" t="str">
        <x:v>M28</x:v>
      </x:c>
      <x:c r="B92" s="180" t="str">
        <x:v>资源与治理｜Security / Interlock / Audit
Security Interlocks</x:v>
      </x:c>
      <x:c r="C92" s="180" t="str">
        <x:v>MSICxPermissionPolicy</x:v>
      </x:c>
      <x:c r="D92" s="179" t="str">
        <x:v>原有·待核</x:v>
      </x:c>
      <x:c r="E92" s="180" t="str">
        <x:v>负责权限策略相关的权限策略与公共契约管理</x:v>
      </x:c>
      <x:c r="F92" s="180" t="str">
        <x:v>—（无公开声明或待核对）</x:v>
      </x:c>
      <x:c r="G92" s="180" t="str">
        <x:v>CxPermissionPolicy(IEnumerable&lt;CxPermission&gt; permissions = null, IEnumerable&lt;CxPermissionRule&gt; rules = null), AsReadOnly(_permissions.Select(x =&gt; x.Clone(); AsReadOnly(_rules.Select(x =&gt; x.Clone(); Validate(); Authorize(CxIdentity identity, string resource, string action); Explain(CxIdentity identity, string resource, string action)</x:v>
      </x:c>
      <x:c r="H92" s="180" t="str">
        <x:v>—（待核）</x:v>
      </x:c>
      <x:c r="I92" s="180" t="str">
        <x:v>CxVisual.Core.CxPermissionPolicy</x:v>
      </x:c>
      <x:c r="J92" s="179" t="str">
        <x:v>类</x:v>
      </x:c>
      <x:c r="K92" s="180" t="str">
        <x:v>V1.19 C-1018；原实施方式：原有。迁移风险：负责权限策略相关的权限策略与公共契约管理</x:v>
      </x:c>
      <x:c r="L92" s="183" t="str">
        <x:v>源代码声明·待复核</x:v>
      </x:c>
      <x:c r="M92" s="183" t="str">
        <x:v>C-1018</x:v>
      </x:c>
      <x:c r="N92" s="184" t="str">
        <x:v>Platform/Core/CxIdentityPermissions.cs</x:v>
      </x:c>
      <x:c r="O92" s="183" t="str">
        <x:v>V1.19旧源码类型（真实成员/实现仍待核）
V2.01：来源ID对应；处置=保留源码·公开契约复核
V7.8：V7.8同名且源文件对应；Platform/Core/CxIdentityPermissions.cs</x:v>
      </x:c>
      <x:c r="P92" s="136" t="str">
        <x:v>V1.19旧源码类型（真实成员/实现仍待核）</x:v>
      </x:c>
      <x:c r="Q92"/>
      <x:c r="R92"/>
      <x:c r="S92"/>
    </x:row>
    <x:row r="93" ht="72" customHeight="1">
      <x:c r="A93" s="179" t="str">
        <x:v>M28</x:v>
      </x:c>
      <x:c r="B93" s="180" t="str">
        <x:v>资源与治理｜Security / Interlock / Audit
Security Interlocks</x:v>
      </x:c>
      <x:c r="C93" s="180" t="str">
        <x:v>MSICxPermissionRule</x:v>
      </x:c>
      <x:c r="D93" s="179" t="str">
        <x:v>原有·待核</x:v>
      </x:c>
      <x:c r="E93" s="180" t="str">
        <x:v>表达或管理权限规则相关的数据及协作职责，具体行为待源码复核〔待核〕</x:v>
      </x:c>
      <x:c r="F93" s="180" t="str">
        <x:v>Id, Effect, PermissionIds, UserIds, Roles, Claims, CxPermissionRule</x:v>
      </x:c>
      <x:c r="G93" s="180" t="str">
        <x:v>Applies(CxIdentity identity)</x:v>
      </x:c>
      <x:c r="H93" s="180" t="str">
        <x:v>—（待核）</x:v>
      </x:c>
      <x:c r="I93" s="180" t="str">
        <x:v>CxVisual.Core.CxPermissionRule</x:v>
      </x:c>
      <x:c r="J93" s="179" t="str">
        <x:v>类</x:v>
      </x:c>
      <x:c r="K93" s="180" t="str">
        <x:v>V1.19 C-1019；原实施方式：原有。迁移风险：表达或管理权限规则相关的数据及协作职责，具体行为待源码复核〔待核〕</x:v>
      </x:c>
      <x:c r="L93" s="183" t="str">
        <x:v>源代码声明·待复核</x:v>
      </x:c>
      <x:c r="M93" s="183" t="str">
        <x:v>C-1019</x:v>
      </x:c>
      <x:c r="N93" s="184" t="str">
        <x:v>Platform/Core/CxIdentityPermissions.cs</x:v>
      </x:c>
      <x:c r="O93" s="183" t="str">
        <x:v>V1.19旧源码类型（真实成员/实现仍待核）
V2.01：来源ID对应；处置=保留源码·公开契约复核
V7.8：V7.8同名且源文件对应；Platform/Core/CxIdentityPermissions.cs</x:v>
      </x:c>
      <x:c r="P93" s="136" t="str">
        <x:v>V1.19旧源码类型（真实成员/实现仍待核）</x:v>
      </x:c>
    </x:row>
    <x:row r="94" ht="72" customHeight="1">
      <x:c r="A94" s="179" t="str">
        <x:v>M28</x:v>
      </x:c>
      <x:c r="B94" s="180" t="str">
        <x:v>资源与治理｜Security / Interlock / Audit
Security Interlocks</x:v>
      </x:c>
      <x:c r="C94" s="180" t="str">
        <x:v>MSICxRunMode</x:v>
      </x:c>
      <x:c r="D94" s="179" t="str">
        <x:v>原有·待核</x:v>
      </x:c>
      <x:c r="E94" s="180" t="str">
        <x:v>定义RunMode的候选取值、状态或模式，供相关流程作分支判断</x:v>
      </x:c>
      <x:c r="F94" s="180" t="str">
        <x:v>枚举值：Preview, Simulation, Live</x:v>
      </x:c>
      <x:c r="G94" s="180" t="str">
        <x:v>—(无公开声明或待核对)</x:v>
      </x:c>
      <x:c r="H94" s="180" t="str">
        <x:v>—（待核）</x:v>
      </x:c>
      <x:c r="I94" s="180" t="str">
        <x:v>CxVisual.Core.CxRunMode</x:v>
      </x:c>
      <x:c r="J94" s="179" t="str">
        <x:v>枚举</x:v>
      </x:c>
      <x:c r="K94" s="180" t="str">
        <x:v>V1.19 C-1020；原实施方式：原有。迁移风险：定义RunMode的候选取值、状态或模式，供相关流程作分支判断</x:v>
      </x:c>
      <x:c r="L94" s="183" t="str">
        <x:v>源代码声明·待复核</x:v>
      </x:c>
      <x:c r="M94" s="183" t="str">
        <x:v>C-1020</x:v>
      </x:c>
      <x:c r="N94" s="184" t="str">
        <x:v>Platform/Core/CxSecurityContext.cs</x:v>
      </x:c>
      <x:c r="O94" s="183" t="str">
        <x:v>V1.19旧源码类型（真实成员/实现仍待核）
V2.01：来源ID对应；处置=保留源码·公开契约复核
V7.8：V7.8同名且源文件对应；Platform/Core/CxSecurityContext.cs</x:v>
      </x:c>
      <x:c r="P94" s="136" t="str">
        <x:v>V1.19旧源码类型（真实成员/实现仍待核）</x:v>
      </x:c>
    </x:row>
    <x:row r="95" ht="72" customHeight="1">
      <x:c r="A95" s="179" t="str">
        <x:v>M28</x:v>
      </x:c>
      <x:c r="B95" s="180" t="str">
        <x:v>资源与治理｜Security / Interlock / Audit
Security Interlocks</x:v>
      </x:c>
      <x:c r="C95" s="180" t="str">
        <x:v>MSICxSafetyMode</x:v>
      </x:c>
      <x:c r="D95" s="179" t="str">
        <x:v>原有·待核</x:v>
      </x:c>
      <x:c r="E95" s="180" t="str">
        <x:v>负责安全Mode相关的运行安全模式与公共契约管理</x:v>
      </x:c>
      <x:c r="F95" s="180" t="str">
        <x:v>枚举值：Normal, Manual, Auto, Maintenance, Service, Emergency</x:v>
      </x:c>
      <x:c r="G95" s="180" t="str">
        <x:v>—(无公开声明或待核对)</x:v>
      </x:c>
      <x:c r="H95" s="180" t="str">
        <x:v>—（待核）</x:v>
      </x:c>
      <x:c r="I95" s="180" t="str">
        <x:v>CxVisual.Core.CxSafetyMode</x:v>
      </x:c>
      <x:c r="J95" s="179" t="str">
        <x:v>枚举</x:v>
      </x:c>
      <x:c r="K95" s="180" t="str">
        <x:v>V1.19 C-1021；原实施方式：原有。迁移风险：负责安全Mode相关的运行安全模式与公共契约管理</x:v>
      </x:c>
      <x:c r="L95" s="183" t="str">
        <x:v>源代码声明·待复核</x:v>
      </x:c>
      <x:c r="M95" s="183" t="str">
        <x:v>C-1021</x:v>
      </x:c>
      <x:c r="N95" s="184" t="str">
        <x:v>Platform/Core/CxSecurityContext.cs</x:v>
      </x:c>
      <x:c r="O95" s="183" t="str">
        <x:v>V1.19旧源码类型（真实成员/实现仍待核）
V2.01：来源ID对应；处置=保留源码·公开契约复核
V7.8：V7.8同名且源文件对应；Platform/Core/CxSecurityContext.cs</x:v>
      </x:c>
      <x:c r="P95" s="136" t="str">
        <x:v>V1.19旧源码类型（真实成员/实现仍待核）</x:v>
      </x:c>
    </x:row>
    <x:row r="96" ht="135" customHeight="1">
      <x:c r="A96" s="179" t="str">
        <x:v>M28</x:v>
      </x:c>
      <x:c r="B96" s="180" t="str">
        <x:v>资源与治理｜Security / Interlock / Audit
Security Interlocks</x:v>
      </x:c>
      <x:c r="C96" s="180" t="str">
        <x:v>MSICxSecurityContext</x:v>
      </x:c>
      <x:c r="D96" s="179" t="str">
        <x:v>原有·待核</x:v>
      </x:c>
      <x:c r="E96" s="180" t="str">
        <x:v>负责安全上下文相关的安全上下文与公共契约管理</x:v>
      </x:c>
      <x:c r="F96" s="180" t="str">
        <x:v>Policy, Mode, SessionId</x:v>
      </x:c>
      <x:c r="G96" s="180" t="str">
        <x:v>CxSecurityContext(UserContext identity, CxSafetyMode mode = CxSafetyMode.Normal, IEnumerable&lt;string&gt; permissions = null, stri…), Copy(_identity), Clone(), FromIdentity(CxIdentity identity, CxPermissionPolicy policy, CxSafetyMode mode = CxSafetyMode.Normal, IEnumerable&lt;string…); AsReadOnly(_permissions.OrderBy(x =&gt; x, StringComparer.Ordinal); Authorize(string permission, bool physicalEffect = false); Authorize(string resource, string action, bool physicalEffect = false); Demand(string permission, bool physicalEffect = false); Demand(string resource, string action, bool physicalEffect = false)</x:v>
      </x:c>
      <x:c r="H96" s="180" t="str">
        <x:v>—（待核）</x:v>
      </x:c>
      <x:c r="I96" s="180" t="str">
        <x:v>CxVisual.Core.CxSecurityContext</x:v>
      </x:c>
      <x:c r="J96" s="179" t="str">
        <x:v>类</x:v>
      </x:c>
      <x:c r="K96" s="180" t="str">
        <x:v>V1.19 C-1022；原实施方式：原有。迁移风险：负责安全上下文相关的安全上下文与公共契约管理</x:v>
      </x:c>
      <x:c r="L96" s="183" t="str">
        <x:v>源代码声明·待复核</x:v>
      </x:c>
      <x:c r="M96" s="183" t="str">
        <x:v>C-1022</x:v>
      </x:c>
      <x:c r="N96" s="184" t="str">
        <x:v>Platform/Core/CxSecurityContext.cs</x:v>
      </x:c>
      <x:c r="O96" s="183" t="str">
        <x:v>V1.19旧源码类型（真实成员/实现仍待核）
V2.01：未匹配V2.01；处置=暂无可信对应
V7.8：V7.8同名且源文件对应；Platform/Core/CxSecurityContext.cs</x:v>
      </x:c>
      <x:c r="P96" s="136" t="str">
        <x:v>V1.19旧源码类型（真实成员/实现仍待核）</x:v>
      </x:c>
    </x:row>
    <x:row r="97" ht="72" customHeight="1">
      <x:c r="A97" s="179" t="str">
        <x:v>M28</x:v>
      </x:c>
      <x:c r="B97" s="180" t="str">
        <x:v>资源与治理｜Security / Interlock / Audit
Security Interlocks</x:v>
      </x:c>
      <x:c r="C97" s="180" t="str">
        <x:v>MSIDefaultWritePolicy</x:v>
      </x:c>
      <x:c r="D97" s="179" t="str">
        <x:v>原有·待核</x:v>
      </x:c>
      <x:c r="E97" s="180" t="str">
        <x:v>表达或管理DefaultWrite策略相关的数据及协作职责，具体行为待源码复核〔待核〕</x:v>
      </x:c>
      <x:c r="F97" s="180" t="str">
        <x:v>—（无公开声明或待核对）</x:v>
      </x:c>
      <x:c r="G97" s="180" t="str">
        <x:v>Validate(WriteRequest request, VariableMetadata metadata, VariableValue currentValue)</x:v>
      </x:c>
      <x:c r="H97" s="180" t="str">
        <x:v>—（待核）</x:v>
      </x:c>
      <x:c r="I97" s="180" t="str">
        <x:v>CxVisual.Runtime.Core.DefaultWritePolicy</x:v>
      </x:c>
      <x:c r="J97" s="179" t="str">
        <x:v>类</x:v>
      </x:c>
      <x:c r="K97" s="180" t="str">
        <x:v>V1.19 C-1026；原实施方式：原有。迁移风险：表达或管理DefaultWrite策略相关的数据及协作职责，具体行为待源码复核〔待核〕</x:v>
      </x:c>
      <x:c r="L97" s="183" t="str">
        <x:v>源代码声明·待复核</x:v>
      </x:c>
      <x:c r="M97" s="183" t="str">
        <x:v>C-1026</x:v>
      </x:c>
      <x:c r="N97" s="184" t="str">
        <x:v>Platform/Runtime/WritePipeline.cs</x:v>
      </x:c>
      <x:c r="O97" s="183" t="str">
        <x:v>V1.19旧源码类型（真实成员/实现仍待核）
V2.01：未匹配V2.01；处置=暂无可信对应
V7.8：V7.8同名且源文件对应；Platform/Runtime/WritePipeline.cs</x:v>
      </x:c>
      <x:c r="P97" s="136" t="str">
        <x:v>V1.19旧源码类型（真实成员/实现仍待核）</x:v>
      </x:c>
    </x:row>
    <x:row r="98" ht="72" customHeight="1">
      <x:c r="A98" s="179" t="str">
        <x:v>M28</x:v>
      </x:c>
      <x:c r="B98" s="180" t="str">
        <x:v>资源与治理｜Security / Interlock / Audit
Security Interlocks</x:v>
      </x:c>
      <x:c r="C98" s="180" t="str">
        <x:v>MSIReadbackResult</x:v>
      </x:c>
      <x:c r="D98" s="179" t="str">
        <x:v>原有·待核</x:v>
      </x:c>
      <x:c r="E98" s="180" t="str">
        <x:v>承载Readback结果操作结果、返回值、状态及错误说明</x:v>
      </x:c>
      <x:c r="F98" s="180" t="str">
        <x:v>Success, TimedOut, Value, Message</x:v>
      </x:c>
      <x:c r="G98" s="180" t="str">
        <x:v>Match(VariableValue value), Timeout(VariableValue value, string message)</x:v>
      </x:c>
      <x:c r="H98" s="180" t="str">
        <x:v>—（待核）</x:v>
      </x:c>
      <x:c r="I98" s="180" t="str">
        <x:v>CxVisual.Runtime.Core.WritePipeline.ReadbackResult</x:v>
      </x:c>
      <x:c r="J98" s="179" t="str">
        <x:v>类</x:v>
      </x:c>
      <x:c r="K98" s="180" t="str">
        <x:v>V1.19 C-1028；原实施方式：原有。迁移风险：承载Readback结果操作结果、返回值、状态及错误说明</x:v>
      </x:c>
      <x:c r="L98" s="183" t="str">
        <x:v>源代码声明·待复核</x:v>
      </x:c>
      <x:c r="M98" s="183" t="str">
        <x:v>C-1028</x:v>
      </x:c>
      <x:c r="N98" s="184" t="str">
        <x:v>Platform/Runtime/WritePipeline.cs</x:v>
      </x:c>
      <x:c r="O98" s="183" t="str">
        <x:v>V1.19旧源码类型（真实成员/实现仍待核）
V2.01：未匹配V2.01；处置=暂无可信对应
V7.8：V7.8同名且源文件对应；Platform/Runtime/WritePipeline.cs</x:v>
      </x:c>
      <x:c r="P98" s="136" t="str">
        <x:v>V1.19旧源码类型（真实成员/实现仍待核）</x:v>
      </x:c>
    </x:row>
    <x:row r="99" ht="72" customHeight="1">
      <x:c r="A99" s="179" t="str">
        <x:v>M28</x:v>
      </x:c>
      <x:c r="B99" s="180" t="str">
        <x:v>资源与治理｜Security / Interlock / Audit
Security Interlocks</x:v>
      </x:c>
      <x:c r="C99" s="180" t="str">
        <x:v>MSIUserContext</x:v>
      </x:c>
      <x:c r="D99" s="179" t="str">
        <x:v>原有·待核</x:v>
      </x:c>
      <x:c r="E99" s="180" t="str">
        <x:v>传递User上下文执行或编辑过程中共享的上下文数据</x:v>
      </x:c>
      <x:c r="F99" s="180" t="str">
        <x:v>UserId, DisplayName, stringRoles</x:v>
      </x:c>
      <x:c r="G99" s="180" t="str">
        <x:v>—(无公开声明或待核对)</x:v>
      </x:c>
      <x:c r="H99" s="180" t="str">
        <x:v>—（待核）</x:v>
      </x:c>
      <x:c r="I99" s="180" t="str">
        <x:v>CxVisual.Abstractions.UserContext</x:v>
      </x:c>
      <x:c r="J99" s="179" t="str">
        <x:v>类</x:v>
      </x:c>
      <x:c r="K99" s="180" t="str">
        <x:v>V1.19 C-1005；原实施方式：原有。迁移风险：传递User上下文执行或编辑过程中共享的上下文数据</x:v>
      </x:c>
      <x:c r="L99" s="183" t="str">
        <x:v>源代码声明·待复核</x:v>
      </x:c>
      <x:c r="M99" s="183" t="str">
        <x:v>C-1005</x:v>
      </x:c>
      <x:c r="N99" s="184" t="str">
        <x:v>Platform/Core/Abstractions/RuntimeBoundaries.cs</x:v>
      </x:c>
      <x:c r="O99" s="183" t="str">
        <x:v>V1.19旧源码类型（真实成员/实现仍待核）
V2.01：来源ID对应；处置=保留源码·公开契约复核
V7.8：V7.8同名且源文件对应；Platform/Core/Abstractions/RuntimeBoundaries.cs</x:v>
      </x:c>
      <x:c r="P99" s="136" t="str">
        <x:v>V1.19旧源码类型（真实成员/实现仍待核）</x:v>
      </x:c>
    </x:row>
    <x:row r="100" ht="72" customHeight="1">
      <x:c r="A100" s="179" t="str">
        <x:v>M28</x:v>
      </x:c>
      <x:c r="B100" s="180" t="str">
        <x:v>资源与治理｜Security / Interlock / Audit
Security Interlocks</x:v>
      </x:c>
      <x:c r="C100" s="180" t="str">
        <x:v>MSIWritePipeline</x:v>
      </x:c>
      <x:c r="D100" s="179" t="str">
        <x:v>原有·待核</x:v>
      </x:c>
      <x:c r="E100" s="180" t="str">
        <x:v>表达或管理WritePipeline相关的数据及协作职责，具体行为待源码复核〔待核〕</x:v>
      </x:c>
      <x:c r="F100" s="180" t="str">
        <x:v>—（无公开声明或待核对）</x:v>
      </x:c>
      <x:c r="G100" s="180" t="str">
        <x:v>WritePipeline(IVariableProvider provider, IAuthorizationService authorization, IWritePolicy policy, IAuditService audit, …), ExecuteAsync(WriteRequest request, CancellationToken cancellationToken), GetMetrics()</x:v>
      </x:c>
      <x:c r="H100" s="180" t="str">
        <x:v>—（待核）</x:v>
      </x:c>
      <x:c r="I100" s="180" t="str">
        <x:v>CxVisual.Runtime.Core.WritePipeline</x:v>
      </x:c>
      <x:c r="J100" s="179" t="str">
        <x:v>类</x:v>
      </x:c>
      <x:c r="K100" s="180" t="str">
        <x:v>V1.19 C-1027；原实施方式：原有。迁移风险：表达或管理WritePipeline相关的数据及协作职责，具体行为待源码复核〔待核〕</x:v>
      </x:c>
      <x:c r="L100" s="183" t="str">
        <x:v>源代码声明·待复核</x:v>
      </x:c>
      <x:c r="M100" s="183" t="str">
        <x:v>C-1027</x:v>
      </x:c>
      <x:c r="N100" s="184" t="str">
        <x:v>Platform/Runtime/WritePipeline.cs</x:v>
      </x:c>
      <x:c r="O100" s="183" t="str">
        <x:v>V1.19旧源码类型（真实成员/实现仍待核）
V2.01：未匹配V2.01；处置=暂无可信对应
V7.8：V7.8同名且源文件对应；Platform/Runtime/WritePipeline.cs</x:v>
      </x:c>
      <x:c r="P100" s="136" t="str">
        <x:v>V1.19旧源码类型（真实成员/实现仍待核）</x:v>
      </x:c>
    </x:row>
    <x:row r="101" ht="72" customHeight="1">
      <x:c r="A101" s="179" t="str">
        <x:v>M28</x:v>
      </x:c>
      <x:c r="B101" s="180" t="str">
        <x:v>资源与治理｜Security / Interlock / Audit
Security Interlocks</x:v>
      </x:c>
      <x:c r="C101" s="180" t="str">
        <x:v>MSIWritePipelineMetrics</x:v>
      </x:c>
      <x:c r="D101" s="179" t="str">
        <x:v>原有·待核</x:v>
      </x:c>
      <x:c r="E101" s="180" t="str">
        <x:v>表达或管理WritePipelineMetrics相关的数据及协作职责，具体行为待源码复核〔待核〕</x:v>
      </x:c>
      <x:c r="F101" s="180" t="str">
        <x:v>Count, SuccessCount, FailureCount, TimeoutCount, ReadbackMismatchCount, AverageMilliseconds</x:v>
      </x:c>
      <x:c r="G101" s="180" t="str">
        <x:v>—(无公开声明或待核对)</x:v>
      </x:c>
      <x:c r="H101" s="180" t="str">
        <x:v>—（待核）</x:v>
      </x:c>
      <x:c r="I101" s="180" t="str">
        <x:v>CxVisual.Runtime.Core.WritePipelineMetrics</x:v>
      </x:c>
      <x:c r="J101" s="179" t="str">
        <x:v>类</x:v>
      </x:c>
      <x:c r="K101" s="180" t="str">
        <x:v>V1.19 C-1029；原实施方式：原有。迁移风险：表达或管理WritePipelineMetrics相关的数据及协作职责，具体行为待源码复核〔待核〕</x:v>
      </x:c>
      <x:c r="L101" s="183" t="str">
        <x:v>源代码声明·待复核</x:v>
      </x:c>
      <x:c r="M101" s="183" t="str">
        <x:v>C-1029</x:v>
      </x:c>
      <x:c r="N101" s="184" t="str">
        <x:v>Platform/Runtime/WritePipeline.cs</x:v>
      </x:c>
      <x:c r="O101" s="183" t="str">
        <x:v>V1.19旧源码类型（真实成员/实现仍待核）
V2.01：未匹配V2.01；处置=暂无可信对应
V7.8：V7.8同名且源文件对应；Platform/Runtime/WritePipeline.cs</x:v>
      </x:c>
      <x:c r="P101" s="136" t="str">
        <x:v>V1.19旧源码类型（真实成员/实现仍待核）</x:v>
      </x:c>
    </x:row>
    <x:row r="102" ht="72" customHeight="1">
      <x:c r="A102" s="179" t="str">
        <x:v>M28</x:v>
      </x:c>
      <x:c r="B102" s="180" t="str">
        <x:v>资源与治理｜Security / Interlock / Audit
Security Interlocks</x:v>
      </x:c>
      <x:c r="C102" s="180" t="str">
        <x:v>MSIWriteRequest</x:v>
      </x:c>
      <x:c r="D102" s="179" t="str">
        <x:v>原有·待核</x:v>
      </x:c>
      <x:c r="E102" s="180" t="str">
        <x:v>定义Write请求操作所需的请求参数、标识与约束</x:v>
      </x:c>
      <x:c r="F102" s="180" t="str">
        <x:v>CorrelationId, User, VariableId, Value, Reason, RealWriteEnabled, RequireReadback, ReadbackTimeout, ReadbackPollInterval, NumericReadbackTolerance</x:v>
      </x:c>
      <x:c r="G102" s="180" t="str">
        <x:v>WriteRequest()</x:v>
      </x:c>
      <x:c r="H102" s="180" t="str">
        <x:v>—（待核）</x:v>
      </x:c>
      <x:c r="I102" s="180" t="str">
        <x:v>CxVisual.Abstractions.WriteRequest</x:v>
      </x:c>
      <x:c r="J102" s="179" t="str">
        <x:v>类</x:v>
      </x:c>
      <x:c r="K102" s="180" t="str">
        <x:v>V1.19 C-1006；原实施方式：原有。迁移风险：定义Write请求操作所需的请求参数、标识与约束</x:v>
      </x:c>
      <x:c r="L102" s="183" t="str">
        <x:v>源代码声明·待复核</x:v>
      </x:c>
      <x:c r="M102" s="183" t="str">
        <x:v>C-1006</x:v>
      </x:c>
      <x:c r="N102" s="184" t="str">
        <x:v>Platform/Core/Abstractions/RuntimeBoundaries.cs</x:v>
      </x:c>
      <x:c r="O102" s="183" t="str">
        <x:v>V1.19旧源码类型（真实成员/实现仍待核）
V2.01：来源ID对应；处置=保留源码·公开契约复核
V7.8：V7.8同名且源文件对应；Platform/Core/Abstractions/RuntimeBoundaries.cs</x:v>
      </x:c>
      <x:c r="P102" s="136" t="str">
        <x:v>V1.19旧源码类型（真实成员/实现仍待核）</x:v>
      </x:c>
    </x:row>
    <x:row r="103" ht="72" customHeight="1">
      <x:c r="A103" s="179" t="str">
        <x:v>M28</x:v>
      </x:c>
      <x:c r="B103" s="180" t="str">
        <x:v>资源与治理｜Security / Interlock / Audit
Security Interlocks</x:v>
      </x:c>
      <x:c r="C103" s="180" t="str">
        <x:v>MSIAuditRecord</x:v>
      </x:c>
      <x:c r="D103" s="179" t="str">
        <x:v>增构候选·待查重</x:v>
      </x:c>
      <x:c r="E103" s="180" t="str">
        <x:v>审计</x:v>
      </x:c>
      <x:c r="F103" s="180" t="str">
        <x:v>Who；When；Action；Target；Before；After；Result；Correlation</x:v>
      </x:c>
      <x:c r="G103" s="180" t="str">
        <x:v>审计</x:v>
      </x:c>
      <x:c r="H103" s="180" t="str">
        <x:v>待逐对象核实</x:v>
      </x:c>
      <x:c r="I103" s="180" t="str">
        <x:v>运行对象/模型</x:v>
      </x:c>
      <x:c r="J103" s="179" t="str">
        <x:v>类/实例候选</x:v>
      </x:c>
      <x:c r="K103" s="180" t="str">
        <x:v>生命周期：History</x:v>
      </x:c>
      <x:c r="L103" s="183" t="str">
        <x:v>设计候选，尚待源码验证</x:v>
      </x:c>
      <x:c r="M103" s="183" t="str">
        <x:v>M28.AuditRecord</x:v>
      </x:c>
      <x:c r="N103" s="184" t="str">
        <x:v>03_能力对象!C222</x:v>
      </x:c>
      <x:c r="O103" s="183" t="str">
        <x:v>V4.9对象/属性/方法
V2.01：名称/子方面线索；处置=规划独立契约候选·未批准新增
V7.8：V7.8未检出同名词法声明</x:v>
      </x:c>
      <x:c r="P103" s="136" t="str">
        <x:v>V4.9对象/属性/方法</x:v>
      </x:c>
    </x:row>
    <x:row r="104" ht="72" customHeight="1">
      <x:c r="A104" s="179" t="str">
        <x:v>M28</x:v>
      </x:c>
      <x:c r="B104" s="180" t="str">
        <x:v>资源与治理｜Security / Interlock / Audit
Security Interlocks</x:v>
      </x:c>
      <x:c r="C104" s="180" t="str">
        <x:v>MSICredentialLease</x:v>
      </x:c>
      <x:c r="D104" s="179" t="str">
        <x:v>增构候选·待查重</x:v>
      </x:c>
      <x:c r="E104" s="180" t="str">
        <x:v>短期凭据租约：Acquire、Revoke</x:v>
      </x:c>
      <x:c r="F104" s="180" t="str">
        <x:v>Scope；ExpiresAt；Reference</x:v>
      </x:c>
      <x:c r="G104" s="180" t="str">
        <x:v>Acquire；Revoke</x:v>
      </x:c>
      <x:c r="H104" s="180" t="str">
        <x:v>待逐对象核实</x:v>
      </x:c>
      <x:c r="I104" s="180" t="str">
        <x:v>运行对象</x:v>
      </x:c>
      <x:c r="J104" s="179" t="str">
        <x:v>类/实例候选</x:v>
      </x:c>
      <x:c r="K104" s="180" t="str">
        <x:v>生命周期：Runtime</x:v>
      </x:c>
      <x:c r="L104" s="183" t="str">
        <x:v>设计候选，尚待源码验证</x:v>
      </x:c>
      <x:c r="M104" s="183" t="str">
        <x:v>M28.CredentialLease</x:v>
      </x:c>
      <x:c r="N104" s="184" t="str">
        <x:v>03_能力对象!C223</x:v>
      </x:c>
      <x:c r="O104" s="183" t="str">
        <x:v>V4.9对象/属性/方法
V2.01：名称/子方面线索；处置=规划独立契约候选·未批准新增
V7.8：V7.8未检出同名词法声明</x:v>
      </x:c>
      <x:c r="P104" s="136" t="str">
        <x:v>V4.9对象/属性/方法</x:v>
      </x:c>
    </x:row>
    <x:row r="105" ht="72" customHeight="1">
      <x:c r="A105" s="179" t="str">
        <x:v>M28</x:v>
      </x:c>
      <x:c r="B105" s="180" t="str">
        <x:v>资源与治理｜Security / Interlock / Audit
Security Interlocks</x:v>
      </x:c>
      <x:c r="C105" s="180" t="str">
        <x:v>MSIIdentity</x:v>
      </x:c>
      <x:c r="D105" s="179" t="str">
        <x:v>增构候选·待查重</x:v>
      </x:c>
      <x:c r="E105" s="180" t="str">
        <x:v>身份</x:v>
      </x:c>
      <x:c r="F105" s="180" t="str">
        <x:v>Id；Name；Claims；AuthSource</x:v>
      </x:c>
      <x:c r="G105" s="180" t="str">
        <x:v>身份</x:v>
      </x:c>
      <x:c r="H105" s="180" t="str">
        <x:v>待逐对象核实</x:v>
      </x:c>
      <x:c r="I105" s="180" t="str">
        <x:v>运行对象/模型</x:v>
      </x:c>
      <x:c r="J105" s="179" t="str">
        <x:v>类/实例候选</x:v>
      </x:c>
      <x:c r="K105" s="180" t="str">
        <x:v>生命周期：Runtime</x:v>
      </x:c>
      <x:c r="L105" s="183" t="str">
        <x:v>设计候选，尚待源码验证</x:v>
      </x:c>
      <x:c r="M105" s="183" t="str">
        <x:v>M28.Identity</x:v>
      </x:c>
      <x:c r="N105" s="184" t="str">
        <x:v>03_能力对象!C224</x:v>
      </x:c>
      <x:c r="O105" s="183" t="str">
        <x:v>V4.9对象/属性/方法
V2.01：未匹配V2.01；处置=暂无可信对应
V7.8：V7.8未检出同名词法声明</x:v>
      </x:c>
      <x:c r="P105" s="136" t="str">
        <x:v>V4.9对象/属性/方法</x:v>
      </x:c>
    </x:row>
    <x:row r="106" ht="72" customHeight="1">
      <x:c r="A106" s="179" t="str">
        <x:v>M28</x:v>
      </x:c>
      <x:c r="B106" s="180" t="str">
        <x:v>资源与治理｜Security / Interlock / Audit
Security Interlocks</x:v>
      </x:c>
      <x:c r="C106" s="180" t="str">
        <x:v>MSIInterlockDefinition</x:v>
      </x:c>
      <x:c r="D106" s="179" t="str">
        <x:v>复用待核</x:v>
      </x:c>
      <x:c r="E106" s="180" t="str">
        <x:v>软件互锁</x:v>
      </x:c>
      <x:c r="F106" s="180" t="str">
        <x:v>Condition；Reason；Severity；BypassPolicy</x:v>
      </x:c>
      <x:c r="G106" s="180" t="str">
        <x:v>软件互锁</x:v>
      </x:c>
      <x:c r="H106" s="180" t="str">
        <x:v>待逐对象核实</x:v>
      </x:c>
      <x:c r="I106" s="180" t="str">
        <x:v>InterlockDefinition</x:v>
      </x:c>
      <x:c r="J106" s="179" t="str">
        <x:v>类/实例候选</x:v>
      </x:c>
      <x:c r="K106" s="180" t="str">
        <x:v>生命周期：Definition</x:v>
      </x:c>
      <x:c r="L106" s="183" t="str">
        <x:v>V7.8源码词法匹配，尚未验收</x:v>
      </x:c>
      <x:c r="M106" s="183" t="str">
        <x:v>M28.InterlockDefinition</x:v>
      </x:c>
      <x:c r="N106" s="184" t="str">
        <x:v>Workbenches/Automation/Motion/MotionAndRobot.cs</x:v>
      </x:c>
      <x:c r="O106" s="183" t="str">
        <x:v>V4.9对象/属性/方法
V2.01：未匹配V2.01；处置=暂无可信对应
V7.8：V7.8同名且源文件对应；Workbenches/Automation/Motion/MotionAndRobot.cs</x:v>
      </x:c>
      <x:c r="P106" s="136" t="str">
        <x:v>V4.9对象/属性/方法</x:v>
      </x:c>
    </x:row>
    <x:row r="107" ht="72" customHeight="1">
      <x:c r="A107" s="179" t="str">
        <x:v>M28</x:v>
      </x:c>
      <x:c r="B107" s="180" t="str">
        <x:v>资源与治理｜Security / Interlock / Audit
Security Interlocks</x:v>
      </x:c>
      <x:c r="C107" s="180" t="str">
        <x:v>MSIInterlockGuard</x:v>
      </x:c>
      <x:c r="D107" s="179" t="str">
        <x:v>增构候选·待查重</x:v>
      </x:c>
      <x:c r="E107" s="180" t="str">
        <x:v>执行门禁</x:v>
      </x:c>
      <x:c r="F107" s="180" t="str">
        <x:v>Evaluate；Reason；Audit</x:v>
      </x:c>
      <x:c r="G107" s="180" t="str">
        <x:v>执行门禁</x:v>
      </x:c>
      <x:c r="H107" s="180" t="str">
        <x:v>待逐对象核实</x:v>
      </x:c>
      <x:c r="I107" s="180" t="str">
        <x:v>InterlockGuard</x:v>
      </x:c>
      <x:c r="J107" s="179" t="str">
        <x:v>类/实例候选</x:v>
      </x:c>
      <x:c r="K107" s="180" t="str">
        <x:v>生命周期：Runtime</x:v>
      </x:c>
      <x:c r="L107" s="183" t="str">
        <x:v>设计候选，尚待源码验证</x:v>
      </x:c>
      <x:c r="M107" s="183" t="str">
        <x:v>M28.InterlockGuard</x:v>
      </x:c>
      <x:c r="N107" s="184" t="str">
        <x:v>03_能力对象!C226</x:v>
      </x:c>
      <x:c r="O107" s="183" t="str">
        <x:v>V4.9对象/属性/方法
V2.01：未匹配V2.01；处置=暂无可信对应
V7.8：V7.8未检出同名词法声明</x:v>
      </x:c>
      <x:c r="P107" s="136" t="str">
        <x:v>V4.9对象/属性/方法</x:v>
      </x:c>
    </x:row>
    <x:row r="108" ht="72" customHeight="1">
      <x:c r="A108" s="179" t="str">
        <x:v>M28</x:v>
      </x:c>
      <x:c r="B108" s="180" t="str">
        <x:v>资源与治理｜Security / Interlock / Audit
Security Interlocks</x:v>
      </x:c>
      <x:c r="C108" s="180" t="str">
        <x:v>MSIPermissionPolicy</x:v>
      </x:c>
      <x:c r="D108" s="179" t="str">
        <x:v>增构候选·待查重</x:v>
      </x:c>
      <x:c r="E108" s="180" t="str">
        <x:v>授权</x:v>
      </x:c>
      <x:c r="F108" s="180" t="str">
        <x:v>Subjects；Actions；Resources；Conditions</x:v>
      </x:c>
      <x:c r="G108" s="180" t="str">
        <x:v>授权</x:v>
      </x:c>
      <x:c r="H108" s="180" t="str">
        <x:v>待逐对象核实</x:v>
      </x:c>
      <x:c r="I108" s="180" t="str">
        <x:v>运行对象/模型</x:v>
      </x:c>
      <x:c r="J108" s="179" t="str">
        <x:v>类/实例候选</x:v>
      </x:c>
      <x:c r="K108" s="180" t="str">
        <x:v>生命周期：Definition</x:v>
      </x:c>
      <x:c r="L108" s="183" t="str">
        <x:v>设计候选，尚待源码验证</x:v>
      </x:c>
      <x:c r="M108" s="183" t="str">
        <x:v>M28.PermissionPolicy</x:v>
      </x:c>
      <x:c r="N108" s="184" t="str">
        <x:v>03_能力对象!C227</x:v>
      </x:c>
      <x:c r="O108" s="183" t="str">
        <x:v>V4.9对象/属性/方法
V2.01：未匹配V2.01；处置=暂无可信对应
V7.8：V7.8未检出同名词法声明</x:v>
      </x:c>
      <x:c r="P108" s="136" t="str">
        <x:v>V4.9对象/属性/方法</x:v>
      </x:c>
    </x:row>
    <x:row r="109" ht="72" customHeight="1">
      <x:c r="A109" s="179" t="str">
        <x:v>M28</x:v>
      </x:c>
      <x:c r="B109" s="180" t="str">
        <x:v>资源与治理｜Security / Interlock / Audit
Security Interlocks</x:v>
      </x:c>
      <x:c r="C109" s="180" t="str">
        <x:v>MSIRole</x:v>
      </x:c>
      <x:c r="D109" s="179" t="str">
        <x:v>增构候选·待查重</x:v>
      </x:c>
      <x:c r="E109" s="180" t="str">
        <x:v>角色</x:v>
      </x:c>
      <x:c r="F109" s="180" t="str">
        <x:v>RoleId；Permissions</x:v>
      </x:c>
      <x:c r="G109" s="180" t="str">
        <x:v>角色</x:v>
      </x:c>
      <x:c r="H109" s="180" t="str">
        <x:v>待逐对象核实</x:v>
      </x:c>
      <x:c r="I109" s="180" t="str">
        <x:v>Role</x:v>
      </x:c>
      <x:c r="J109" s="179" t="str">
        <x:v>类/实例候选</x:v>
      </x:c>
      <x:c r="K109" s="180" t="str">
        <x:v>生命周期：Definition</x:v>
      </x:c>
      <x:c r="L109" s="183" t="str">
        <x:v>设计候选，尚待源码验证</x:v>
      </x:c>
      <x:c r="M109" s="183" t="str">
        <x:v>M28.Role</x:v>
      </x:c>
      <x:c r="N109" s="184" t="str">
        <x:v>03_能力对象!C228</x:v>
      </x:c>
      <x:c r="O109" s="183" t="str">
        <x:v>V4.9对象/属性/方法
V2.01：未匹配V2.01；处置=暂无可信对应
V7.8：V7.8未检出同名词法声明</x:v>
      </x:c>
      <x:c r="P109" s="136" t="str">
        <x:v>V4.9对象/属性/方法</x:v>
      </x:c>
    </x:row>
    <x:row r="110" ht="72" customHeight="1">
      <x:c r="A110" s="179" t="str">
        <x:v>M28</x:v>
      </x:c>
      <x:c r="B110" s="180" t="str">
        <x:v>资源与治理｜Security / Interlock / Audit
Security Interlocks</x:v>
      </x:c>
      <x:c r="C110" s="180" t="str">
        <x:v>MSIRunMode</x:v>
      </x:c>
      <x:c r="D110" s="179" t="str">
        <x:v>增构候选·待查重</x:v>
      </x:c>
      <x:c r="E110" s="180" t="str">
        <x:v>运行模式</x:v>
      </x:c>
      <x:c r="F110" s="180" t="str">
        <x:v>Design；Simulate；Debug；Run；Monitor；Maintenance</x:v>
      </x:c>
      <x:c r="G110" s="180" t="str">
        <x:v>运行模式</x:v>
      </x:c>
      <x:c r="H110" s="180" t="str">
        <x:v>待逐对象核实</x:v>
      </x:c>
      <x:c r="I110" s="180" t="str">
        <x:v>RunMode</x:v>
      </x:c>
      <x:c r="J110" s="179" t="str">
        <x:v>枚举</x:v>
      </x:c>
      <x:c r="K110" s="180" t="str">
        <x:v>生命周期：Definition</x:v>
      </x:c>
      <x:c r="L110" s="183" t="str">
        <x:v>设计候选，尚待源码验证</x:v>
      </x:c>
      <x:c r="M110" s="183" t="str">
        <x:v>M28.RunMode</x:v>
      </x:c>
      <x:c r="N110" s="184" t="str">
        <x:v>03_能力对象!C229</x:v>
      </x:c>
      <x:c r="O110" s="183" t="str">
        <x:v>V4.9对象/属性/方法
V2.01：未匹配V2.01；处置=暂无可信对应
V7.8：V7.8未检出同名词法声明</x:v>
      </x:c>
      <x:c r="P110" s="136" t="str">
        <x:v>V4.9对象/属性/方法</x:v>
      </x:c>
    </x:row>
    <x:row r="111" ht="72" customHeight="1">
      <x:c r="A111" s="179" t="str">
        <x:v>M28</x:v>
      </x:c>
      <x:c r="B111" s="180" t="str">
        <x:v>资源与治理｜Security / Interlock / Audit
Security Interlocks</x:v>
      </x:c>
      <x:c r="C111" s="180" t="str">
        <x:v>MSISecretProvider</x:v>
      </x:c>
      <x:c r="D111" s="179" t="str">
        <x:v>增构候选·待查重</x:v>
      </x:c>
      <x:c r="E111" s="180" t="str">
        <x:v>密钥凭据Provider：Resolve、Rotate</x:v>
      </x:c>
      <x:c r="F111" s="180" t="str">
        <x:v>SecretRefs；AccessPolicy</x:v>
      </x:c>
      <x:c r="G111" s="180" t="str">
        <x:v>Resolve；Rotate</x:v>
      </x:c>
      <x:c r="H111" s="180" t="str">
        <x:v>待逐对象核实</x:v>
      </x:c>
      <x:c r="I111" s="180" t="str">
        <x:v>SecretProvider</x:v>
      </x:c>
      <x:c r="J111" s="179" t="str">
        <x:v>接口候选</x:v>
      </x:c>
      <x:c r="K111" s="180" t="str">
        <x:v>生命周期：Runtime</x:v>
      </x:c>
      <x:c r="L111" s="183" t="str">
        <x:v>设计候选，尚待源码验证</x:v>
      </x:c>
      <x:c r="M111" s="183" t="str">
        <x:v>M28.SecretProvider</x:v>
      </x:c>
      <x:c r="N111" s="184"/>
      <x:c r="O111" s="183" t="str">
        <x:v>V4.9对象/属性/方法
V2.01：未匹配V2.01；处置=暂无可信对应
V7.8：V7.8未检出同名词法声明</x:v>
      </x:c>
      <x:c r="P111" s="136" t="str">
        <x:v>V4.9对象/属性/方法</x:v>
      </x:c>
    </x:row>
    <x:row r="112" ht="72" customHeight="1">
      <x:c r="A112" s="179" t="str">
        <x:v>M28</x:v>
      </x:c>
      <x:c r="B112" s="180" t="str">
        <x:v>资源与治理｜Security / Interlock / Audit
Security Interlocks</x:v>
      </x:c>
      <x:c r="C112" s="180" t="str">
        <x:v>MSISecurityContext</x:v>
      </x:c>
      <x:c r="D112" s="179" t="str">
        <x:v>增构候选·待查重</x:v>
      </x:c>
      <x:c r="E112" s="180" t="str">
        <x:v>传播安全上下文</x:v>
      </x:c>
      <x:c r="F112" s="180" t="str">
        <x:v>Identity；Roles；Mode；Permissions</x:v>
      </x:c>
      <x:c r="G112" s="180" t="str">
        <x:v>传播安全上下文</x:v>
      </x:c>
      <x:c r="H112" s="180" t="str">
        <x:v>待逐对象核实</x:v>
      </x:c>
      <x:c r="I112" s="180" t="str">
        <x:v>运行对象/模型</x:v>
      </x:c>
      <x:c r="J112" s="179" t="str">
        <x:v>类/实例候选</x:v>
      </x:c>
      <x:c r="K112" s="180" t="str">
        <x:v>生命周期：Runtime</x:v>
      </x:c>
      <x:c r="L112" s="183" t="str">
        <x:v>设计候选，尚待源码验证</x:v>
      </x:c>
      <x:c r="M112" s="183" t="str">
        <x:v>M28.SecurityContext</x:v>
      </x:c>
      <x:c r="N112" s="184" t="str">
        <x:v>03_能力对象!C231</x:v>
      </x:c>
      <x:c r="O112" s="183" t="str">
        <x:v>V4.9对象/属性/方法
V2.01：未匹配V2.01；处置=暂无可信对应
V7.8：V7.8未检出同名词法声明</x:v>
      </x:c>
      <x:c r="P112" s="136" t="str">
        <x:v>V4.9对象/属性/方法</x:v>
      </x:c>
    </x:row>
    <x:row r="113" ht="72" customHeight="1">
      <x:c r="A113" s="179" t="str">
        <x:v>M28</x:v>
      </x:c>
      <x:c r="B113" s="180" t="str">
        <x:v>资源与治理｜Security / Interlock / Audit
Security Interlocks</x:v>
      </x:c>
      <x:c r="C113" s="180" t="str">
        <x:v>IMSISecretProvider</x:v>
      </x:c>
      <x:c r="D113" s="179" t="str">
        <x:v>增构候选·待查重</x:v>
      </x:c>
      <x:c r="E113" s="180" t="str">
        <x:v>密钥凭据Provider：Resolve、Rotate</x:v>
      </x:c>
      <x:c r="F113" s="180" t="str">
        <x:v>SecretRefs, AccessPolicy</x:v>
      </x:c>
      <x:c r="G113" s="180" t="str">
        <x:v>Resolve(), Rotate()</x:v>
      </x:c>
      <x:c r="H113" s="180" t="str">
        <x:v>—（待核）</x:v>
      </x:c>
      <x:c r="I113" s="180" t="str">
        <x:v>SecretProvider</x:v>
      </x:c>
      <x:c r="J113" s="179" t="str">
        <x:v>接口（候选）</x:v>
      </x:c>
      <x:c r="K113" s="180" t="str">
        <x:v>V1.19 S-0455；原实施方式：增构候选。迁移风险：密钥凭据Provider：Resolve、Rotate</x:v>
      </x:c>
      <x:c r="L113" s="183" t="str">
        <x:v>V1.19设计候选·待核</x:v>
      </x:c>
      <x:c r="M113" s="183" t="str">
        <x:v>S-0455</x:v>
      </x:c>
      <x:c r="N113" s="184" t="str">
        <x:v>03_能力对象!C230</x:v>
      </x:c>
      <x:c r="O113" s="183" t="str">
        <x:v>V1.19旧规格候选
V2.01：未匹配V2.01；处置=暂无可信对应
V7.8：V7.8未检出同名词法声明</x:v>
      </x:c>
      <x:c r="P113" s="136" t="str">
        <x:v>V1.19旧规格候选</x:v>
      </x:c>
    </x:row>
    <x:row r="114" ht="72" customHeight="1">
      <x:c r="A114" s="179" t="str">
        <x:v>M29</x:v>
      </x:c>
      <x:c r="B114" s="180" t="str">
        <x:v>编译与计划｜Validate / Resolve / Compile / Plan
Compile Plan</x:v>
      </x:c>
      <x:c r="C114" s="180" t="str">
        <x:v>CxResolvedProject</x:v>
      </x:c>
      <x:c r="D114" s="179" t="str">
        <x:v>复用待核</x:v>
      </x:c>
      <x:c r="E114" s="180" t="str">
        <x:v>解析后工程</x:v>
      </x:c>
      <x:c r="F114" s="180" t="str">
        <x:v>ResolvedResources；Refs；Types；Capabilities</x:v>
      </x:c>
      <x:c r="G114" s="180" t="str">
        <x:v>解析后工程</x:v>
      </x:c>
      <x:c r="H114" s="180" t="str">
        <x:v>待逐对象核实</x:v>
      </x:c>
      <x:c r="I114" s="180" t="str">
        <x:v>运行对象/模型</x:v>
      </x:c>
      <x:c r="J114" s="179" t="str">
        <x:v>类/实例候选</x:v>
      </x:c>
      <x:c r="K114" s="180" t="str">
        <x:v>生命周期：Resolved</x:v>
      </x:c>
      <x:c r="L114" s="183" t="str">
        <x:v>V7.8源码词法匹配，尚未验收</x:v>
      </x:c>
      <x:c r="M114" s="183" t="str">
        <x:v>M29.CxResolvedProject</x:v>
      </x:c>
      <x:c r="N114" s="184" t="str">
        <x:v>Platform/Orchestration/Compiler/CxResolvedContracts.cs</x:v>
      </x:c>
      <x:c r="O114" s="183" t="str">
        <x:v>V4.9对象/属性/方法
V2.01：未匹配V2.01；处置=暂无可信对应
V7.8：V7.8未检出同名词法声明</x:v>
      </x:c>
      <x:c r="P114" s="136" t="str">
        <x:v>V4.9对象/属性/方法</x:v>
      </x:c>
    </x:row>
    <x:row r="115" ht="72" customHeight="1">
      <x:c r="A115" s="179" t="str">
        <x:v>M29</x:v>
      </x:c>
      <x:c r="B115" s="180" t="str">
        <x:v>编译与计划｜Validate / Resolve / Compile / Plan
Compile Plan</x:v>
      </x:c>
      <x:c r="C115" s="180" t="str">
        <x:v>MCPCompileContext</x:v>
      </x:c>
      <x:c r="D115" s="179" t="str">
        <x:v>增构候选·待查重</x:v>
      </x:c>
      <x:c r="E115" s="180" t="str">
        <x:v>编译上下文</x:v>
      </x:c>
      <x:c r="F115" s="180" t="str">
        <x:v>Target；Mode；Capabilities；Versions；Services</x:v>
      </x:c>
      <x:c r="G115" s="180" t="str">
        <x:v>编译上下文</x:v>
      </x:c>
      <x:c r="H115" s="180" t="str">
        <x:v>待逐对象核实</x:v>
      </x:c>
      <x:c r="I115" s="180" t="str">
        <x:v>运行对象/模型</x:v>
      </x:c>
      <x:c r="J115" s="179" t="str">
        <x:v>类/实例候选</x:v>
      </x:c>
      <x:c r="K115" s="180" t="str">
        <x:v>生命周期：Plan</x:v>
      </x:c>
      <x:c r="L115" s="183" t="str">
        <x:v>设计候选，尚待源码验证</x:v>
      </x:c>
      <x:c r="M115" s="183" t="str">
        <x:v>M29.CompileContext</x:v>
      </x:c>
      <x:c r="N115" s="184"/>
      <x:c r="O115" s="183" t="str">
        <x:v>V4.9对象/属性/方法
V2.01：未匹配V2.01；处置=暂无可信对应
V7.8：V7.8未检出同名词法声明</x:v>
      </x:c>
      <x:c r="P115" s="136" t="str">
        <x:v>V4.9对象/属性/方法</x:v>
      </x:c>
    </x:row>
    <x:row r="116" ht="72" customHeight="1">
      <x:c r="A116" s="179" t="str">
        <x:v>M29</x:v>
      </x:c>
      <x:c r="B116" s="180" t="str">
        <x:v>编译与计划｜Validate / Resolve / Compile / Plan
Compile Plan</x:v>
      </x:c>
      <x:c r="C116" s="180" t="str">
        <x:v>MCPDeploymentPlan</x:v>
      </x:c>
      <x:c r="D116" s="179" t="str">
        <x:v>增构候选·待查重</x:v>
      </x:c>
      <x:c r="E116" s="180" t="str">
        <x:v>部署计划</x:v>
      </x:c>
      <x:c r="F116" s="180" t="str">
        <x:v>Targets；Packages；Bindings；Versions</x:v>
      </x:c>
      <x:c r="G116" s="180" t="str">
        <x:v>部署计划</x:v>
      </x:c>
      <x:c r="H116" s="180" t="str">
        <x:v>待逐对象核实</x:v>
      </x:c>
      <x:c r="I116" s="180" t="str">
        <x:v>运行对象/模型</x:v>
      </x:c>
      <x:c r="J116" s="179" t="str">
        <x:v>类/实例候选</x:v>
      </x:c>
      <x:c r="K116" s="180" t="str">
        <x:v>生命周期：Plan</x:v>
      </x:c>
      <x:c r="L116" s="183" t="str">
        <x:v>设计候选，尚待源码验证</x:v>
      </x:c>
      <x:c r="M116" s="183" t="str">
        <x:v>M29.DeploymentPlan</x:v>
      </x:c>
      <x:c r="N116" s="184"/>
      <x:c r="O116" s="183" t="str">
        <x:v>V4.9对象/属性/方法
V2.01：未匹配V2.01；处置=暂无可信对应
V7.8：V7.8未检出同名词法声明</x:v>
      </x:c>
      <x:c r="P116" s="136" t="str">
        <x:v>V4.9对象/属性/方法</x:v>
      </x:c>
    </x:row>
    <x:row r="117" ht="72" customHeight="1">
      <x:c r="A117" s="179" t="str">
        <x:v>M29</x:v>
      </x:c>
      <x:c r="B117" s="180" t="str">
        <x:v>编译与计划｜Validate / Resolve / Compile / Plan
Compile Plan</x:v>
      </x:c>
      <x:c r="C117" s="180" t="str">
        <x:v>MCPDiagnostic</x:v>
      </x:c>
      <x:c r="D117" s="179" t="str">
        <x:v>增构候选·待查重</x:v>
      </x:c>
      <x:c r="E117" s="180" t="str">
        <x:v>结构化问题</x:v>
      </x:c>
      <x:c r="F117" s="180" t="str">
        <x:v>Code；Severity；Message；SourceAddress；Related；FixHint</x:v>
      </x:c>
      <x:c r="G117" s="180" t="str">
        <x:v>结构化问题</x:v>
      </x:c>
      <x:c r="H117" s="180" t="str">
        <x:v>待逐对象核实</x:v>
      </x:c>
      <x:c r="I117" s="180" t="str">
        <x:v>运行对象/模型</x:v>
      </x:c>
      <x:c r="J117" s="179" t="str">
        <x:v>类/实例候选</x:v>
      </x:c>
      <x:c r="K117" s="180" t="str">
        <x:v>生命周期：Resolved</x:v>
      </x:c>
      <x:c r="L117" s="183" t="str">
        <x:v>设计候选，尚待源码验证</x:v>
      </x:c>
      <x:c r="M117" s="183" t="str">
        <x:v>M29.Diagnostic</x:v>
      </x:c>
      <x:c r="N117" s="184"/>
      <x:c r="O117" s="183" t="str">
        <x:v>V4.9对象/属性/方法
V2.01：未匹配V2.01；处置=暂无可信对应
V7.8：V7.8未检出同名词法声明</x:v>
      </x:c>
      <x:c r="P117" s="136" t="str">
        <x:v>V4.9对象/属性/方法</x:v>
      </x:c>
    </x:row>
    <x:row r="118" ht="72" customHeight="1">
      <x:c r="A118" s="179" t="str">
        <x:v>M29</x:v>
      </x:c>
      <x:c r="B118" s="180" t="str">
        <x:v>编译与计划｜Validate / Resolve / Compile / Plan
Compile Plan</x:v>
      </x:c>
      <x:c r="C118" s="180" t="str">
        <x:v>MCPExecutionNode</x:v>
      </x:c>
      <x:c r="D118" s="179" t="str">
        <x:v>增构候选·待查重</x:v>
      </x:c>
      <x:c r="E118" s="180" t="str">
        <x:v>通用IR节点</x:v>
      </x:c>
      <x:c r="F118" s="180" t="str">
        <x:v>Operation；Dependencies；Policy；Address；Metadata</x:v>
      </x:c>
      <x:c r="G118" s="180" t="str">
        <x:v>通用IR节点</x:v>
      </x:c>
      <x:c r="H118" s="180" t="str">
        <x:v>待逐对象核实</x:v>
      </x:c>
      <x:c r="I118" s="180" t="str">
        <x:v>运行对象/模型</x:v>
      </x:c>
      <x:c r="J118" s="179" t="str">
        <x:v>类/实例候选</x:v>
      </x:c>
      <x:c r="K118" s="180" t="str">
        <x:v>生命周期：Plan</x:v>
      </x:c>
      <x:c r="L118" s="183" t="str">
        <x:v>设计候选，尚待源码验证</x:v>
      </x:c>
      <x:c r="M118" s="183" t="str">
        <x:v>M29.ExecutionNode</x:v>
      </x:c>
      <x:c r="N118" s="184"/>
      <x:c r="O118" s="183" t="str">
        <x:v>V4.9对象/属性/方法
V2.01：未匹配V2.01；处置=暂无可信对应
V7.8：V7.8未检出同名词法声明</x:v>
      </x:c>
      <x:c r="P118" s="136" t="str">
        <x:v>V4.9对象/属性/方法</x:v>
      </x:c>
    </x:row>
    <x:row r="119" ht="72" customHeight="1">
      <x:c r="A119" s="179" t="str">
        <x:v>M29</x:v>
      </x:c>
      <x:c r="B119" s="180" t="str">
        <x:v>编译与计划｜Validate / Resolve / Compile / Plan
Compile Plan</x:v>
      </x:c>
      <x:c r="C119" s="180" t="str">
        <x:v>MCPExecutionPlan</x:v>
      </x:c>
      <x:c r="D119" s="179" t="str">
        <x:v>复用待核</x:v>
      </x:c>
      <x:c r="E119" s="180" t="str">
        <x:v>运行计划</x:v>
      </x:c>
      <x:c r="F119" s="180" t="str">
        <x:v>Nodes；Dependencies；Entry；Policies；AddressMap</x:v>
      </x:c>
      <x:c r="G119" s="180" t="str">
        <x:v>运行计划</x:v>
      </x:c>
      <x:c r="H119" s="180" t="str">
        <x:v>待逐对象核实</x:v>
      </x:c>
      <x:c r="I119" s="180" t="str">
        <x:v>运行对象/模型</x:v>
      </x:c>
      <x:c r="J119" s="179" t="str">
        <x:v>类/实例候选</x:v>
      </x:c>
      <x:c r="K119" s="180" t="str">
        <x:v>生命周期：Plan</x:v>
      </x:c>
      <x:c r="L119" s="183" t="str">
        <x:v>V7.8源码词法匹配，尚未验收</x:v>
      </x:c>
      <x:c r="M119" s="183" t="str">
        <x:v>M29.ExecutionPlan</x:v>
      </x:c>
      <x:c r="N119" s="184" t="str">
        <x:v>Platform/Orchestration/Core/ExecutionContracts.cs</x:v>
      </x:c>
      <x:c r="O119" s="183" t="str">
        <x:v>V4.9对象/属性/方法
V2.01：未匹配V2.01；处置=暂无可信对应
V7.8：V7.8未检出同名词法声明</x:v>
      </x:c>
      <x:c r="P119" s="136" t="str">
        <x:v>V4.9对象/属性/方法</x:v>
      </x:c>
    </x:row>
    <x:row r="120" ht="72" customHeight="1">
      <x:c r="A120" s="179" t="str">
        <x:v>M29</x:v>
      </x:c>
      <x:c r="B120" s="180" t="str">
        <x:v>编译与计划｜Validate / Resolve / Compile / Plan
Compile Plan</x:v>
      </x:c>
      <x:c r="C120" s="180" t="str">
        <x:v>MCPResourcePlan</x:v>
      </x:c>
      <x:c r="D120" s="179" t="str">
        <x:v>增构候选·待查重</x:v>
      </x:c>
      <x:c r="E120" s="180" t="str">
        <x:v>资源计划</x:v>
      </x:c>
      <x:c r="F120" s="180" t="str">
        <x:v>Requirements；Bindings；Placements</x:v>
      </x:c>
      <x:c r="G120" s="180" t="str">
        <x:v>资源计划</x:v>
      </x:c>
      <x:c r="H120" s="180" t="str">
        <x:v>待逐对象核实</x:v>
      </x:c>
      <x:c r="I120" s="180" t="str">
        <x:v>运行对象/模型</x:v>
      </x:c>
      <x:c r="J120" s="179" t="str">
        <x:v>类/实例候选</x:v>
      </x:c>
      <x:c r="K120" s="180" t="str">
        <x:v>生命周期：Plan</x:v>
      </x:c>
      <x:c r="L120" s="183" t="str">
        <x:v>设计候选，尚待源码验证</x:v>
      </x:c>
      <x:c r="M120" s="183" t="str">
        <x:v>M29.ResourcePlan</x:v>
      </x:c>
      <x:c r="N120" s="184"/>
      <x:c r="O120" s="183" t="str">
        <x:v>V4.9对象/属性/方法
V2.01：未匹配V2.01；处置=暂无可信对应
V7.8：V7.8未检出同名词法声明</x:v>
      </x:c>
      <x:c r="P120" s="136" t="str">
        <x:v>V4.9对象/属性/方法</x:v>
      </x:c>
    </x:row>
    <x:row r="121" ht="72" customHeight="1">
      <x:c r="A121" s="179" t="str">
        <x:v>M29</x:v>
      </x:c>
      <x:c r="B121" s="180" t="str">
        <x:v>编译与计划｜Validate / Resolve / Compile / Plan
Compile Plan</x:v>
      </x:c>
      <x:c r="C121" s="180" t="str">
        <x:v>MCPValidationResult</x:v>
      </x:c>
      <x:c r="D121" s="179" t="str">
        <x:v>增构候选·待查重</x:v>
      </x:c>
      <x:c r="E121" s="180" t="str">
        <x:v>统一验证结果</x:v>
      </x:c>
      <x:c r="F121" s="180" t="str">
        <x:v>Diagnostics；Severity；Locations；Fixes</x:v>
      </x:c>
      <x:c r="G121" s="180" t="str">
        <x:v>统一验证结果</x:v>
      </x:c>
      <x:c r="H121" s="180" t="str">
        <x:v>待逐对象核实</x:v>
      </x:c>
      <x:c r="I121" s="180" t="str">
        <x:v>运行对象/模型</x:v>
      </x:c>
      <x:c r="J121" s="179" t="str">
        <x:v>类/实例候选</x:v>
      </x:c>
      <x:c r="K121" s="180" t="str">
        <x:v>生命周期：Resolved</x:v>
      </x:c>
      <x:c r="L121" s="183" t="str">
        <x:v>设计候选，尚待源码验证</x:v>
      </x:c>
      <x:c r="M121" s="183" t="str">
        <x:v>M29.ValidationResult</x:v>
      </x:c>
      <x:c r="N121" s="184"/>
      <x:c r="O121" s="183" t="str">
        <x:v>V4.9对象/属性/方法
V2.01：未匹配V2.01；处置=暂无可信对应
V7.8：V7.8未检出同名词法声明</x:v>
      </x:c>
      <x:c r="P121" s="136" t="str">
        <x:v>V4.9对象/属性/方法</x:v>
      </x:c>
    </x:row>
    <x:row r="122" ht="72" customHeight="1">
      <x:c r="A122" s="179" t="str">
        <x:v>M30</x:v>
      </x:c>
      <x:c r="B122" s="180" t="str">
        <x:v>运行时｜Runtime Kernel / Instance / Scope / Context
Runtime Kernel</x:v>
      </x:c>
      <x:c r="C122" s="180" t="str">
        <x:v>CxProjectRuntimeHost</x:v>
      </x:c>
      <x:c r="D122" s="179" t="str">
        <x:v>复用待核</x:v>
      </x:c>
      <x:c r="E122" s="180" t="str">
        <x:v>工程Runtime宿主</x:v>
      </x:c>
      <x:c r="F122" s="180" t="str">
        <x:v>Manifest；Sessions；Services</x:v>
      </x:c>
      <x:c r="G122" s="180" t="str">
        <x:v>工程Runtime宿主</x:v>
      </x:c>
      <x:c r="H122" s="180" t="str">
        <x:v>待逐对象核实</x:v>
      </x:c>
      <x:c r="I122" s="180" t="str">
        <x:v>CxProjectRuntimeHost</x:v>
      </x:c>
      <x:c r="J122" s="179" t="str">
        <x:v>类/实例候选</x:v>
      </x:c>
      <x:c r="K122" s="180" t="str">
        <x:v>生命周期：Runtime</x:v>
      </x:c>
      <x:c r="L122" s="183" t="str">
        <x:v>V7.8源码词法匹配，尚未验收</x:v>
      </x:c>
      <x:c r="M122" s="183" t="str">
        <x:v>M30.CxProjectRuntimeHost</x:v>
      </x:c>
      <x:c r="N122" s="184" t="str">
        <x:v>Platform/Orchestration/Runtime/CxProjectRuntimeHost.cs</x:v>
      </x:c>
      <x:c r="O122" s="183" t="str">
        <x:v>V4.9对象/属性/方法
V2.01：未匹配V2.01；处置=暂无可信对应
V7.8：V7.8同名且源文件对应；Platform/Orchestration/Runtime/CxProjectRuntimeHost.cs</x:v>
      </x:c>
      <x:c r="P122" s="136" t="str">
        <x:v>V4.9对象/属性/方法</x:v>
      </x:c>
    </x:row>
    <x:row r="123" ht="72" customHeight="1">
      <x:c r="A123" s="179" t="str">
        <x:v>M30</x:v>
      </x:c>
      <x:c r="B123" s="180" t="str">
        <x:v>运行时｜Runtime Kernel / Instance / Scope / Context
Runtime Kernel</x:v>
      </x:c>
      <x:c r="C123" s="180" t="str">
        <x:v>MRKCancellationContext</x:v>
      </x:c>
      <x:c r="D123" s="179" t="str">
        <x:v>增构候选·待查重</x:v>
      </x:c>
      <x:c r="E123" s="180" t="str">
        <x:v>取消传播</x:v>
      </x:c>
      <x:c r="F123" s="180" t="str">
        <x:v>Token；Reason；Deadline；Parent</x:v>
      </x:c>
      <x:c r="G123" s="180" t="str">
        <x:v>取消传播</x:v>
      </x:c>
      <x:c r="H123" s="180" t="str">
        <x:v>待逐对象核实</x:v>
      </x:c>
      <x:c r="I123" s="180" t="str">
        <x:v>运行对象/模型</x:v>
      </x:c>
      <x:c r="J123" s="179" t="str">
        <x:v>类/实例候选</x:v>
      </x:c>
      <x:c r="K123" s="180" t="str">
        <x:v>生命周期：Runtime</x:v>
      </x:c>
      <x:c r="L123" s="183" t="str">
        <x:v>设计候选，尚待源码验证</x:v>
      </x:c>
      <x:c r="M123" s="183" t="str">
        <x:v>M30.CancellationContext</x:v>
      </x:c>
      <x:c r="N123" s="184"/>
      <x:c r="O123" s="183" t="str">
        <x:v>V4.9对象/属性/方法
V2.01：未匹配V2.01；处置=暂无可信对应
V7.8：V7.8未检出同名词法声明</x:v>
      </x:c>
      <x:c r="P123" s="136" t="str">
        <x:v>V4.9对象/属性/方法</x:v>
      </x:c>
    </x:row>
    <x:row r="124" ht="72" customHeight="1">
      <x:c r="A124" s="179" t="str">
        <x:v>M30</x:v>
      </x:c>
      <x:c r="B124" s="180" t="str">
        <x:v>运行时｜Runtime Kernel / Instance / Scope / Context
Runtime Kernel</x:v>
      </x:c>
      <x:c r="C124" s="180" t="str">
        <x:v>MRKExecutionContext</x:v>
      </x:c>
      <x:c r="D124" s="179" t="str">
        <x:v>复用待核</x:v>
      </x:c>
      <x:c r="E124" s="180" t="str">
        <x:v>执行上下文</x:v>
      </x:c>
      <x:c r="F124" s="180" t="str">
        <x:v>Session；Correlation；RunMode；Clock；Security；Services；Cancellation</x:v>
      </x:c>
      <x:c r="G124" s="180" t="str">
        <x:v>执行上下文</x:v>
      </x:c>
      <x:c r="H124" s="180" t="str">
        <x:v>待逐对象核实</x:v>
      </x:c>
      <x:c r="I124" s="180" t="str">
        <x:v>运行对象/模型</x:v>
      </x:c>
      <x:c r="J124" s="179" t="str">
        <x:v>类/实例候选</x:v>
      </x:c>
      <x:c r="K124" s="180" t="str">
        <x:v>生命周期：Runtime</x:v>
      </x:c>
      <x:c r="L124" s="183" t="str">
        <x:v>V7.8源码词法匹配，尚未验收</x:v>
      </x:c>
      <x:c r="M124" s="183" t="str">
        <x:v>M30.ExecutionContext</x:v>
      </x:c>
      <x:c r="N124" s="184" t="str">
        <x:v>Platform/Orchestration/Runtime/ExecutionContext.cs</x:v>
      </x:c>
      <x:c r="O124" s="183" t="str">
        <x:v>V4.9对象/属性/方法
V2.01：未匹配V2.01；处置=暂无可信对应
V7.8：V7.8未检出同名词法声明</x:v>
      </x:c>
      <x:c r="P124" s="136" t="str">
        <x:v>V4.9对象/属性/方法</x:v>
      </x:c>
    </x:row>
    <x:row r="125" ht="72" customHeight="1">
      <x:c r="A125" s="179" t="str">
        <x:v>M30</x:v>
      </x:c>
      <x:c r="B125" s="180" t="str">
        <x:v>运行时｜Runtime Kernel / Instance / Scope / Context
Runtime Kernel</x:v>
      </x:c>
      <x:c r="C125" s="180" t="str">
        <x:v>MRKExecutionInstance</x:v>
      </x:c>
      <x:c r="D125" s="179" t="str">
        <x:v>复用待核</x:v>
      </x:c>
      <x:c r="E125" s="180" t="str">
        <x:v>一次执行实例</x:v>
      </x:c>
      <x:c r="F125" s="180" t="str">
        <x:v>InstanceId；DefinitionAddress；Version；State；Parent；Children；Correlation</x:v>
      </x:c>
      <x:c r="G125" s="180" t="str">
        <x:v>一次执行实例</x:v>
      </x:c>
      <x:c r="H125" s="180" t="str">
        <x:v>待逐对象核实</x:v>
      </x:c>
      <x:c r="I125" s="180" t="str">
        <x:v>ExecutionInstance</x:v>
      </x:c>
      <x:c r="J125" s="179" t="str">
        <x:v>类/实例候选</x:v>
      </x:c>
      <x:c r="K125" s="180" t="str">
        <x:v>生命周期：Runtime</x:v>
      </x:c>
      <x:c r="L125" s="183" t="str">
        <x:v>V7.8源码词法匹配，尚未验收</x:v>
      </x:c>
      <x:c r="M125" s="183" t="str">
        <x:v>M30.ExecutionInstance</x:v>
      </x:c>
      <x:c r="N125" s="184" t="str">
        <x:v>Platform/Orchestration/Runtime/ExecutionRuntime.cs</x:v>
      </x:c>
      <x:c r="O125" s="183" t="str">
        <x:v>V4.9对象/属性/方法
V2.01：未匹配V2.01；处置=暂无可信对应
V7.8：V7.8同名且源文件对应；Platform/Orchestration/Runtime/ExecutionRuntime.cs</x:v>
      </x:c>
      <x:c r="P125" s="136" t="str">
        <x:v>V4.9对象/属性/方法</x:v>
      </x:c>
    </x:row>
    <x:row r="126" ht="72" customHeight="1">
      <x:c r="A126" s="179" t="str">
        <x:v>M30</x:v>
      </x:c>
      <x:c r="B126" s="180" t="str">
        <x:v>运行时｜Runtime Kernel / Instance / Scope / Context
Runtime Kernel</x:v>
      </x:c>
      <x:c r="C126" s="180" t="str">
        <x:v>MRKExecutionRuntimeKernel</x:v>
      </x:c>
      <x:c r="D126" s="179" t="str">
        <x:v>复用待核</x:v>
      </x:c>
      <x:c r="E126" s="180" t="str">
        <x:v>运行核心</x:v>
      </x:c>
      <x:c r="F126" s="180" t="str">
        <x:v>Schedulers；Adapters；Scopes；Events；Resources</x:v>
      </x:c>
      <x:c r="G126" s="180" t="str">
        <x:v>运行核心</x:v>
      </x:c>
      <x:c r="H126" s="180" t="str">
        <x:v>待逐对象核实</x:v>
      </x:c>
      <x:c r="I126" s="180" t="str">
        <x:v>运行对象/模型</x:v>
      </x:c>
      <x:c r="J126" s="179" t="str">
        <x:v>类/实例候选</x:v>
      </x:c>
      <x:c r="K126" s="180" t="str">
        <x:v>生命周期：Runtime</x:v>
      </x:c>
      <x:c r="L126" s="183" t="str">
        <x:v>V7.8源码词法匹配，尚未验收</x:v>
      </x:c>
      <x:c r="M126" s="183" t="str">
        <x:v>M30.ExecutionRuntimeKernel</x:v>
      </x:c>
      <x:c r="N126" s="184" t="str">
        <x:v>Platform/Orchestration/Runtime/ExecutionRuntime.cs</x:v>
      </x:c>
      <x:c r="O126" s="183" t="str">
        <x:v>V4.9对象/属性/方法
V2.01：未匹配V2.01；处置=暂无可信对应
V7.8：V7.8未检出同名词法声明</x:v>
      </x:c>
      <x:c r="P126" s="136" t="str">
        <x:v>V4.9对象/属性/方法</x:v>
      </x:c>
    </x:row>
    <x:row r="127" ht="72" customHeight="1">
      <x:c r="A127" s="179" t="str">
        <x:v>M30</x:v>
      </x:c>
      <x:c r="B127" s="180" t="str">
        <x:v>运行时｜Runtime Kernel / Instance / Scope / Context
Runtime Kernel</x:v>
      </x:c>
      <x:c r="C127" s="180" t="str">
        <x:v>MRKExecutionScope</x:v>
      </x:c>
      <x:c r="D127" s="179" t="str">
        <x:v>复用待核</x:v>
      </x:c>
      <x:c r="E127" s="180" t="str">
        <x:v>结构化作用域</x:v>
      </x:c>
      <x:c r="F127" s="180" t="str">
        <x:v>Parent；Locals；Cancellation；DataScope；ResourceScope</x:v>
      </x:c>
      <x:c r="G127" s="180" t="str">
        <x:v>结构化作用域</x:v>
      </x:c>
      <x:c r="H127" s="180" t="str">
        <x:v>待逐对象核实</x:v>
      </x:c>
      <x:c r="I127" s="180" t="str">
        <x:v>ExecutionScope</x:v>
      </x:c>
      <x:c r="J127" s="179" t="str">
        <x:v>类/实例候选</x:v>
      </x:c>
      <x:c r="K127" s="180" t="str">
        <x:v>生命周期：Runtime</x:v>
      </x:c>
      <x:c r="L127" s="183" t="str">
        <x:v>V7.8源码词法匹配，尚未验收</x:v>
      </x:c>
      <x:c r="M127" s="183" t="str">
        <x:v>M30.ExecutionScope</x:v>
      </x:c>
      <x:c r="N127" s="184" t="str">
        <x:v>Platform/Execution/ExecutionScope.cs；Platform/Orchestration/Runtime/ExecutionRuntime.cs</x:v>
      </x:c>
      <x:c r="O127" s="183" t="str">
        <x:v>V4.9对象/属性/方法
V2.01：未匹配V2.01；处置=暂无可信对应
V7.8：V7.8同名且源文件对应；Platform/Execution/ExecutionScope.cs</x:v>
      </x:c>
      <x:c r="P127" s="136" t="str">
        <x:v>V4.9对象/属性/方法</x:v>
      </x:c>
    </x:row>
    <x:row r="128" ht="72" customHeight="1">
      <x:c r="A128" s="179" t="str">
        <x:v>M30</x:v>
      </x:c>
      <x:c r="B128" s="180" t="str">
        <x:v>运行时｜Runtime Kernel / Instance / Scope / Context
Runtime Kernel</x:v>
      </x:c>
      <x:c r="C128" s="180" t="str">
        <x:v>MRKRuntimeSession</x:v>
      </x:c>
      <x:c r="D128" s="179" t="str">
        <x:v>增构候选·待查重</x:v>
      </x:c>
      <x:c r="E128" s="180" t="str">
        <x:v>运行会话</x:v>
      </x:c>
      <x:c r="F128" s="180" t="str">
        <x:v>SessionId；Manifest；Mode；RootInstances；Clock；Security</x:v>
      </x:c>
      <x:c r="G128" s="180" t="str">
        <x:v>运行会话</x:v>
      </x:c>
      <x:c r="H128" s="180" t="str">
        <x:v>待逐对象核实</x:v>
      </x:c>
      <x:c r="I128" s="180" t="str">
        <x:v>RuntimeSession</x:v>
      </x:c>
      <x:c r="J128" s="179" t="str">
        <x:v>类/实例候选</x:v>
      </x:c>
      <x:c r="K128" s="180" t="str">
        <x:v>生命周期：Runtime</x:v>
      </x:c>
      <x:c r="L128" s="183" t="str">
        <x:v>设计候选，尚待源码验证</x:v>
      </x:c>
      <x:c r="M128" s="183" t="str">
        <x:v>M30.RuntimeSession</x:v>
      </x:c>
      <x:c r="N128" s="184"/>
      <x:c r="O128" s="183" t="str">
        <x:v>V4.9对象/属性/方法
V2.01：未匹配V2.01；处置=暂无可信对应
V7.8：V7.8未检出同名词法声明</x:v>
      </x:c>
      <x:c r="P128" s="136" t="str">
        <x:v>V4.9对象/属性/方法</x:v>
      </x:c>
    </x:row>
    <x:row r="129" ht="72" customHeight="1">
      <x:c r="A129" s="179" t="str">
        <x:v>M30</x:v>
      </x:c>
      <x:c r="B129" s="180" t="str">
        <x:v>运行时｜Runtime Kernel / Instance / Scope / Context
Runtime Kernel</x:v>
      </x:c>
      <x:c r="C129" s="180" t="str">
        <x:v>MRKRuntimeStateSnapshot</x:v>
      </x:c>
      <x:c r="D129" s="179" t="str">
        <x:v>增构候选·待查重</x:v>
      </x:c>
      <x:c r="E129" s="180" t="str">
        <x:v>运行状态快照：Capture、Restore</x:v>
      </x:c>
      <x:c r="F129" s="180" t="str">
        <x:v>Instances；DataHandles；Version</x:v>
      </x:c>
      <x:c r="G129" s="180" t="str">
        <x:v>Capture；Restore</x:v>
      </x:c>
      <x:c r="H129" s="180" t="str">
        <x:v>待逐对象核实</x:v>
      </x:c>
      <x:c r="I129" s="180" t="str">
        <x:v>运行对象</x:v>
      </x:c>
      <x:c r="J129" s="179" t="str">
        <x:v>类/实例候选</x:v>
      </x:c>
      <x:c r="K129" s="180" t="str">
        <x:v>生命周期：Runtime</x:v>
      </x:c>
      <x:c r="L129" s="183" t="str">
        <x:v>设计候选，尚待源码验证</x:v>
      </x:c>
      <x:c r="M129" s="183" t="str">
        <x:v>M30.RuntimeStateSnapshot</x:v>
      </x:c>
      <x:c r="N129" s="184"/>
      <x:c r="O129" s="183" t="str">
        <x:v>V4.9对象/属性/方法
V2.01：未匹配V2.01；处置=暂无可信对应
V7.8：V7.8未检出同名词法声明</x:v>
      </x:c>
      <x:c r="P129" s="136" t="str">
        <x:v>V4.9对象/属性/方法</x:v>
      </x:c>
    </x:row>
    <x:row r="130" ht="72" customHeight="1">
      <x:c r="A130" s="179" t="str">
        <x:v>M31</x:v>
      </x:c>
      <x:c r="B130" s="180" t="str">
        <x:v>运行时｜Runtime Data / Event / Resource Planes
Runtime Data</x:v>
      </x:c>
      <x:c r="C130" s="180" t="str">
        <x:v>MRDCxDiagnosticRecord</x:v>
      </x:c>
      <x:c r="D130" s="179" t="str">
        <x:v>原有·待核</x:v>
      </x:c>
      <x:c r="E130" s="180" t="str">
        <x:v>负责诊断记录相关的诊断与公共契约管理</x:v>
      </x:c>
      <x:c r="F130" s="180" t="str">
        <x:v>Timestamp, Category, Severity, Source, Message, Sequence, Context, StepId</x:v>
      </x:c>
      <x:c r="G130" s="180" t="str">
        <x:v>CxDiagnosticRecord(DateTime timestamp, string category, CxFaultSeverity severity, string source, string message, IEnumerable&lt;K…); Values(_data)</x:v>
      </x:c>
      <x:c r="H130" s="180" t="str">
        <x:v>—（待核）</x:v>
      </x:c>
      <x:c r="I130" s="180" t="str">
        <x:v>CxVisual.Platform.Orchestration.CxDiagnosticRecord</x:v>
      </x:c>
      <x:c r="J130" s="179" t="str">
        <x:v>类</x:v>
      </x:c>
      <x:c r="K130" s="180" t="str">
        <x:v>V1.19 C-1137；原实施方式：原有。迁移风险：负责诊断记录相关的诊断与公共契约管理</x:v>
      </x:c>
      <x:c r="L130" s="183" t="str">
        <x:v>源代码声明·待复核</x:v>
      </x:c>
      <x:c r="M130" s="183" t="str">
        <x:v>C-1137</x:v>
      </x:c>
      <x:c r="N130" s="184" t="str">
        <x:v>Platform/Orchestration/Runtime/CxRuntimeDiagnostics.cs</x:v>
      </x:c>
      <x:c r="O130" s="183" t="str">
        <x:v>V1.19旧源码类型（真实成员/实现仍待核）
V2.01：来源ID对应；处置=保留源码·公开契约复核
V7.8：V7.8同名且源文件对应；Platform/Orchestration/Runtime/CxRuntimeDiagnostics.cs</x:v>
      </x:c>
      <x:c r="P130" s="136" t="str">
        <x:v>V1.19旧源码类型（真实成员/实现仍待核）</x:v>
      </x:c>
    </x:row>
    <x:row r="131" ht="72" customHeight="1">
      <x:c r="A131" s="179" t="str">
        <x:v>M31</x:v>
      </x:c>
      <x:c r="B131" s="180" t="str">
        <x:v>运行时｜Runtime Data / Event / Resource Planes
Runtime Data</x:v>
      </x:c>
      <x:c r="C131" s="180" t="str">
        <x:v>MRDCxDiagnosticsChecks</x:v>
      </x:c>
      <x:c r="D131" s="179" t="str">
        <x:v>原有·待核</x:v>
      </x:c>
      <x:c r="E131" s="180" t="str">
        <x:v>提供DiagnosticsChecks相关基础操作或类型辅助处理</x:v>
      </x:c>
      <x:c r="F131" s="180" t="str">
        <x:v>—（无公开声明或待核对）</x:v>
      </x:c>
      <x:c r="G131" s="180" t="str">
        <x:v>Fault(CxFault fault)</x:v>
      </x:c>
      <x:c r="H131" s="180" t="str">
        <x:v>—（待核）</x:v>
      </x:c>
      <x:c r="I131" s="180" t="str">
        <x:v>CxVisual.Platform.Orchestration.CxDiagnosticsChecks</x:v>
      </x:c>
      <x:c r="J131" s="179" t="str">
        <x:v>静态类</x:v>
      </x:c>
      <x:c r="K131" s="180" t="str">
        <x:v>V1.19 C-1138；原实施方式：原有。迁移风险：提供DiagnosticsChecks相关基础操作或类型辅助处理</x:v>
      </x:c>
      <x:c r="L131" s="183" t="str">
        <x:v>源代码声明·待复核</x:v>
      </x:c>
      <x:c r="M131" s="183" t="str">
        <x:v>C-1138</x:v>
      </x:c>
      <x:c r="N131" s="184" t="str">
        <x:v>Platform/Orchestration/Runtime/CxRuntimeDiagnostics.cs</x:v>
      </x:c>
      <x:c r="O131" s="183" t="str">
        <x:v>V1.19旧源码类型（真实成员/实现仍待核）
V2.01：来源ID对应；处置=保留源码·公开契约复核
V7.8：V7.8同名且源文件对应；Platform/Orchestration/Runtime/CxRuntimeDiagnostics.cs</x:v>
      </x:c>
      <x:c r="P131" s="136" t="str">
        <x:v>V1.19旧源码类型（真实成员/实现仍待核）</x:v>
      </x:c>
    </x:row>
    <x:row r="132" ht="72" customHeight="1">
      <x:c r="A132" s="179" t="str">
        <x:v>M31</x:v>
      </x:c>
      <x:c r="B132" s="180" t="str">
        <x:v>运行时｜Runtime Data / Event / Resource Planes
Runtime Data</x:v>
      </x:c>
      <x:c r="C132" s="180" t="str">
        <x:v>MRDCxFault</x:v>
      </x:c>
      <x:c r="D132" s="179" t="str">
        <x:v>原有·待核</x:v>
      </x:c>
      <x:c r="E132" s="180" t="str">
        <x:v>负责Fault相关的故障与公共契约管理</x:v>
      </x:c>
      <x:c r="F132" s="180" t="str">
        <x:v>Id, Code, Severity, Source, Message, ExceptionInfo, Timestamp, CorrelationId, Acknowledged, AcknowledgedBy, Cleared</x:v>
      </x:c>
      <x:c r="G132" s="180" t="str">
        <x:v>Copy()</x:v>
      </x:c>
      <x:c r="H132" s="180" t="str">
        <x:v>—（待核）</x:v>
      </x:c>
      <x:c r="I132" s="180" t="str">
        <x:v>CxVisual.Platform.Orchestration.CxFault</x:v>
      </x:c>
      <x:c r="J132" s="179" t="str">
        <x:v>类</x:v>
      </x:c>
      <x:c r="K132" s="180" t="str">
        <x:v>V1.19 C-1139；原实施方式：原有。迁移风险：负责Fault相关的故障与公共契约管理</x:v>
      </x:c>
      <x:c r="L132" s="183" t="str">
        <x:v>源代码声明·待复核</x:v>
      </x:c>
      <x:c r="M132" s="183" t="str">
        <x:v>C-1139</x:v>
      </x:c>
      <x:c r="N132" s="184" t="str">
        <x:v>Platform/Orchestration/Runtime/CxRuntimeDiagnostics.cs</x:v>
      </x:c>
      <x:c r="O132" s="183" t="str">
        <x:v>V1.19旧源码类型（真实成员/实现仍待核）
V2.01：来源ID对应；处置=保留源码·公开契约复核
V7.8：V7.8同名且源文件对应；Platform/Orchestration/Runtime/CxRuntimeDiagnostics.cs</x:v>
      </x:c>
      <x:c r="P132" s="136" t="str">
        <x:v>V1.19旧源码类型（真实成员/实现仍待核）</x:v>
      </x:c>
    </x:row>
    <x:row r="133" ht="72" customHeight="1">
      <x:c r="A133" s="179" t="str">
        <x:v>M31</x:v>
      </x:c>
      <x:c r="B133" s="180" t="str">
        <x:v>运行时｜Runtime Data / Event / Resource Planes
Runtime Data</x:v>
      </x:c>
      <x:c r="C133" s="180" t="str">
        <x:v>MRDCxFaultManager</x:v>
      </x:c>
      <x:c r="D133" s="179" t="str">
        <x:v>原有·待核</x:v>
      </x:c>
      <x:c r="E133" s="180" t="str">
        <x:v>负责Fault管理器相关的Fault管理与公共契约管理</x:v>
      </x:c>
      <x:c r="F133" s="180" t="str">
        <x:v>—（无公开声明或待核对）</x:v>
      </x:c>
      <x:c r="G133" s="180" t="str">
        <x:v>CxFaultManager(ICxClock clock = null), Query(includeCleared: false), Report(CxFault fault), Acknowledge(string faultId, string actor), Clear(string faultId), Escalate(string faultId, CxFaultSeverity severity, string message = null), Query(CxFaultSeverity? minimumSeverity = null, string source = null, string correlationId = null, bool includeCle…)</x:v>
      </x:c>
      <x:c r="H133" s="180" t="str">
        <x:v>—（待核）</x:v>
      </x:c>
      <x:c r="I133" s="180" t="str">
        <x:v>CxVisual.Platform.Orchestration.CxFaultManager</x:v>
      </x:c>
      <x:c r="J133" s="179" t="str">
        <x:v>类</x:v>
      </x:c>
      <x:c r="K133" s="180" t="str">
        <x:v>V1.19 C-1140；原实施方式：原有。迁移风险：负责Fault管理器相关的Fault管理与公共契约管理</x:v>
      </x:c>
      <x:c r="L133" s="183" t="str">
        <x:v>源代码声明·待复核</x:v>
      </x:c>
      <x:c r="M133" s="183" t="str">
        <x:v>C-1140</x:v>
      </x:c>
      <x:c r="N133" s="184" t="str">
        <x:v>Platform/Orchestration/Runtime/CxRuntimeDiagnostics.cs</x:v>
      </x:c>
      <x:c r="O133" s="183" t="str">
        <x:v>V1.19旧源码类型（真实成员/实现仍待核）
V2.01：来源ID对应；处置=保留源码·公开契约复核
V7.8：V7.8同名且源文件对应；Platform/Orchestration/Runtime/CxRuntimeDiagnostics.cs</x:v>
      </x:c>
      <x:c r="P133" s="136" t="str">
        <x:v>V1.19旧源码类型（真实成员/实现仍待核）</x:v>
      </x:c>
    </x:row>
    <x:row r="134" ht="72" customHeight="1">
      <x:c r="A134" s="179" t="str">
        <x:v>M31</x:v>
      </x:c>
      <x:c r="B134" s="180" t="str">
        <x:v>运行时｜Runtime Data / Event / Resource Planes
Runtime Data</x:v>
      </x:c>
      <x:c r="C134" s="180" t="str">
        <x:v>MRDCxFaultSeverity</x:v>
      </x:c>
      <x:c r="D134" s="179" t="str">
        <x:v>原有·待核</x:v>
      </x:c>
      <x:c r="E134" s="180" t="str">
        <x:v>定义FaultSeverity的候选取值、状态或模式，供相关流程作分支判断</x:v>
      </x:c>
      <x:c r="F134" s="180" t="str">
        <x:v>枚举值：Info, Warning, Error, Critical</x:v>
      </x:c>
      <x:c r="G134" s="180" t="str">
        <x:v>—(无公开声明或待核对)</x:v>
      </x:c>
      <x:c r="H134" s="180" t="str">
        <x:v>—（待核）</x:v>
      </x:c>
      <x:c r="I134" s="180" t="str">
        <x:v>CxVisual.Platform.Orchestration.CxFaultSeverity</x:v>
      </x:c>
      <x:c r="J134" s="179" t="str">
        <x:v>枚举</x:v>
      </x:c>
      <x:c r="K134" s="180" t="str">
        <x:v>V1.19 C-1141；原实施方式：原有。迁移风险：定义FaultSeverity的候选取值、状态或模式，供相关流程作分支判断</x:v>
      </x:c>
      <x:c r="L134" s="183" t="str">
        <x:v>源代码声明·待复核</x:v>
      </x:c>
      <x:c r="M134" s="183" t="str">
        <x:v>C-1141</x:v>
      </x:c>
      <x:c r="N134" s="184" t="str">
        <x:v>Platform/Orchestration/Runtime/CxRuntimeDiagnostics.cs</x:v>
      </x:c>
      <x:c r="O134" s="183" t="str">
        <x:v>V1.19旧源码类型（真实成员/实现仍待核）
V2.01：来源ID对应；处置=保留源码·公开契约复核
V7.8：V7.8同名且源文件对应；Platform/Orchestration/Runtime/CxRuntimeDiagnostics.cs</x:v>
      </x:c>
      <x:c r="P134" s="136" t="str">
        <x:v>V1.19旧源码类型（真实成员/实现仍待核）</x:v>
      </x:c>
    </x:row>
    <x:row r="135" ht="72" customHeight="1">
      <x:c r="A135" s="179" t="str">
        <x:v>M31</x:v>
      </x:c>
      <x:c r="B135" s="180" t="str">
        <x:v>运行时｜Runtime Data / Event / Resource Planes
Runtime Data</x:v>
      </x:c>
      <x:c r="C135" s="180" t="str">
        <x:v>MRDCxHealthState</x:v>
      </x:c>
      <x:c r="D135" s="179" t="str">
        <x:v>原有·待核</x:v>
      </x:c>
      <x:c r="E135" s="180" t="str">
        <x:v>负责Health状态相关的健康与公共契约管理</x:v>
      </x:c>
      <x:c r="F135" s="180" t="str">
        <x:v>Status, LastUpdated, Components</x:v>
      </x:c>
      <x:c r="G135" s="180" t="str">
        <x:v>CxHealthState(ICxClock clock = null), SetStatus(CxHealthStatus status), SetComponent(string name, CxHealthState component), IsHealthy(), GetDegradedComponents()</x:v>
      </x:c>
      <x:c r="H135" s="180" t="str">
        <x:v>—（待核）</x:v>
      </x:c>
      <x:c r="I135" s="180" t="str">
        <x:v>CxVisual.Platform.Orchestration.CxHealthState</x:v>
      </x:c>
      <x:c r="J135" s="179" t="str">
        <x:v>类</x:v>
      </x:c>
      <x:c r="K135" s="180" t="str">
        <x:v>V1.19 C-1142；原实施方式：原有。迁移风险：负责Health状态相关的健康与公共契约管理</x:v>
      </x:c>
      <x:c r="L135" s="183" t="str">
        <x:v>源代码声明·待复核</x:v>
      </x:c>
      <x:c r="M135" s="183" t="str">
        <x:v>C-1142</x:v>
      </x:c>
      <x:c r="N135" s="184" t="str">
        <x:v>Platform/Orchestration/Runtime/CxRuntimeDiagnostics.cs</x:v>
      </x:c>
      <x:c r="O135" s="183" t="str">
        <x:v>V1.19旧源码类型（真实成员/实现仍待核）
V2.01：来源ID对应；处置=保留源码·公开契约复核
V7.8：V7.8同名且源文件对应；Platform/Orchestration/Runtime/CxRuntimeDiagnostics.cs</x:v>
      </x:c>
      <x:c r="P135" s="136" t="str">
        <x:v>V1.19旧源码类型（真实成员/实现仍待核）</x:v>
      </x:c>
    </x:row>
    <x:row r="136" ht="72" customHeight="1">
      <x:c r="A136" s="179" t="str">
        <x:v>M31</x:v>
      </x:c>
      <x:c r="B136" s="180" t="str">
        <x:v>运行时｜Runtime Data / Event / Resource Planes
Runtime Data</x:v>
      </x:c>
      <x:c r="C136" s="180" t="str">
        <x:v>MRDCxHealthStatus</x:v>
      </x:c>
      <x:c r="D136" s="179" t="str">
        <x:v>原有·待核</x:v>
      </x:c>
      <x:c r="E136" s="180" t="str">
        <x:v>定义Health状态的候选取值、状态或模式，供相关流程作分支判断</x:v>
      </x:c>
      <x:c r="F136" s="180" t="str">
        <x:v>枚举值：Unknown, Healthy, Degraded, Unhealthy</x:v>
      </x:c>
      <x:c r="G136" s="180" t="str">
        <x:v>—(无公开声明或待核对)</x:v>
      </x:c>
      <x:c r="H136" s="180" t="str">
        <x:v>—（待核）</x:v>
      </x:c>
      <x:c r="I136" s="180" t="str">
        <x:v>CxVisual.Platform.Orchestration.CxHealthStatus</x:v>
      </x:c>
      <x:c r="J136" s="179" t="str">
        <x:v>枚举</x:v>
      </x:c>
      <x:c r="K136" s="180" t="str">
        <x:v>V1.19 C-1143；原实施方式：原有。迁移风险：定义Health状态的候选取值、状态或模式，供相关流程作分支判断</x:v>
      </x:c>
      <x:c r="L136" s="183" t="str">
        <x:v>源代码声明·待复核</x:v>
      </x:c>
      <x:c r="M136" s="183" t="str">
        <x:v>C-1143</x:v>
      </x:c>
      <x:c r="N136" s="184" t="str">
        <x:v>Platform/Orchestration/Runtime/CxRuntimeDiagnostics.cs</x:v>
      </x:c>
      <x:c r="O136" s="183" t="str">
        <x:v>V1.19旧源码类型（真实成员/实现仍待核）
V2.01：来源ID对应；处置=保留源码·公开契约复核
V7.8：V7.8同名且源文件对应；Platform/Orchestration/Runtime/CxRuntimeDiagnostics.cs</x:v>
      </x:c>
      <x:c r="P136" s="136" t="str">
        <x:v>V1.19旧源码类型（真实成员/实现仍待核）</x:v>
      </x:c>
    </x:row>
    <x:row r="137" ht="72" customHeight="1">
      <x:c r="A137" s="179" t="str">
        <x:v>M31</x:v>
      </x:c>
      <x:c r="B137" s="180" t="str">
        <x:v>运行时｜Runtime Data / Event / Resource Planes
Runtime Data</x:v>
      </x:c>
      <x:c r="C137" s="180" t="str">
        <x:v>MRDCxHistogramSnapshot</x:v>
      </x:c>
      <x:c r="D137" s="179" t="str">
        <x:v>原有·待核</x:v>
      </x:c>
      <x:c r="E137" s="180" t="str">
        <x:v>保存Histogram快照在特定时间点的不可变状态快照</x:v>
      </x:c>
      <x:c r="F137" s="180" t="str">
        <x:v>Count, TotalMilliseconds, MinimumMilliseconds, MaximumMilliseconds, P50Milliseconds, P95Milliseconds</x:v>
      </x:c>
      <x:c r="G137" s="180" t="str">
        <x:v>CxHistogramSnapshot(long count, double total, double minimum, double maximum, doublesamples)</x:v>
      </x:c>
      <x:c r="H137" s="180" t="str">
        <x:v>—（待核）</x:v>
      </x:c>
      <x:c r="I137" s="180" t="str">
        <x:v>CxVisual.Platform.Orchestration.CxHistogramSnapshot</x:v>
      </x:c>
      <x:c r="J137" s="179" t="str">
        <x:v>类</x:v>
      </x:c>
      <x:c r="K137" s="180" t="str">
        <x:v>V1.19 C-1144；原实施方式：原有。迁移风险：保存Histogram快照在特定时间点的不可变状态快照</x:v>
      </x:c>
      <x:c r="L137" s="183" t="str">
        <x:v>源代码声明·待复核</x:v>
      </x:c>
      <x:c r="M137" s="183" t="str">
        <x:v>C-1144</x:v>
      </x:c>
      <x:c r="N137" s="184" t="str">
        <x:v>Platform/Orchestration/Runtime/CxRuntimeDiagnostics.cs</x:v>
      </x:c>
      <x:c r="O137" s="183" t="str">
        <x:v>V1.19旧源码类型（真实成员/实现仍待核）
V2.01：来源ID对应；处置=保留源码·公开契约复核
V7.8：V7.8同名且源文件对应；Platform/Orchestration/Runtime/CxRuntimeDiagnostics.cs</x:v>
      </x:c>
      <x:c r="P137" s="136" t="str">
        <x:v>V1.19旧源码类型（真实成员/实现仍待核）</x:v>
      </x:c>
    </x:row>
    <x:row r="138" ht="72" customHeight="1">
      <x:c r="A138" s="179" t="str">
        <x:v>M31</x:v>
      </x:c>
      <x:c r="B138" s="180" t="str">
        <x:v>运行时｜Runtime Data / Event / Resource Planes
Runtime Data</x:v>
      </x:c>
      <x:c r="C138" s="180" t="str">
        <x:v>MRDCxMetricsCollector</x:v>
      </x:c>
      <x:c r="D138" s="179" t="str">
        <x:v>原有·待核</x:v>
      </x:c>
      <x:c r="E138" s="180" t="str">
        <x:v>负责MetricsCollector相关的指标与公共契约管理</x:v>
      </x:c>
      <x:c r="F138" s="180" t="str">
        <x:v>—（无公开声明或待核对）</x:v>
      </x:c>
      <x:c r="G138" s="180" t="str">
        <x:v>Snapshot(), Increment(string name, long amount = 1), SetGauge(string name, double value), RecordDuration(string name, TimeSpan duration)</x:v>
      </x:c>
      <x:c r="H138" s="180" t="str">
        <x:v>—（待核）</x:v>
      </x:c>
      <x:c r="I138" s="180" t="str">
        <x:v>CxVisual.Platform.Orchestration.CxMetricsCollector</x:v>
      </x:c>
      <x:c r="J138" s="179" t="str">
        <x:v>类</x:v>
      </x:c>
      <x:c r="K138" s="180" t="str">
        <x:v>V1.19 C-1145；原实施方式：原有。迁移风险：负责MetricsCollector相关的指标与公共契约管理</x:v>
      </x:c>
      <x:c r="L138" s="183" t="str">
        <x:v>源代码声明·待复核</x:v>
      </x:c>
      <x:c r="M138" s="183" t="str">
        <x:v>C-1145</x:v>
      </x:c>
      <x:c r="N138" s="184" t="str">
        <x:v>Platform/Orchestration/Runtime/CxRuntimeDiagnostics.cs</x:v>
      </x:c>
      <x:c r="O138" s="183" t="str">
        <x:v>V1.19旧源码类型（真实成员/实现仍待核）
V2.01：来源ID对应；处置=保留源码·公开契约复核
V7.8：V7.8同名且源文件对应；Platform/Orchestration/Runtime/CxRuntimeDiagnostics.cs</x:v>
      </x:c>
      <x:c r="P138" s="136" t="str">
        <x:v>V1.19旧源码类型（真实成员/实现仍待核）</x:v>
      </x:c>
    </x:row>
    <x:row r="139" ht="72" customHeight="1">
      <x:c r="A139" s="179" t="str">
        <x:v>M31</x:v>
      </x:c>
      <x:c r="B139" s="180" t="str">
        <x:v>运行时｜Runtime Data / Event / Resource Planes
Runtime Data</x:v>
      </x:c>
      <x:c r="C139" s="180" t="str">
        <x:v>MRDCxMetricsSnapshot</x:v>
      </x:c>
      <x:c r="D139" s="179" t="str">
        <x:v>原有·待核</x:v>
      </x:c>
      <x:c r="E139" s="180" t="str">
        <x:v>保存Metrics快照在特定时间点的不可变状态快照</x:v>
      </x:c>
      <x:c r="F139" s="180" t="str">
        <x:v>Counters, Gauges, Histograms</x:v>
      </x:c>
      <x:c r="G139" s="180" t="str">
        <x:v>CxMetricsSnapshot(IDictionary&lt;string, long&gt; counters, IDictionary&lt;string, double&gt; gauges, IDictionary&lt;string, CxHistogramSnap…)</x:v>
      </x:c>
      <x:c r="H139" s="180" t="str">
        <x:v>—（待核）</x:v>
      </x:c>
      <x:c r="I139" s="180" t="str">
        <x:v>CxVisual.Platform.Orchestration.CxMetricsSnapshot</x:v>
      </x:c>
      <x:c r="J139" s="179" t="str">
        <x:v>类</x:v>
      </x:c>
      <x:c r="K139" s="180" t="str">
        <x:v>V1.19 C-1147；原实施方式：原有。迁移风险：保存Metrics快照在特定时间点的不可变状态快照</x:v>
      </x:c>
      <x:c r="L139" s="183" t="str">
        <x:v>源代码声明·待复核</x:v>
      </x:c>
      <x:c r="M139" s="183" t="str">
        <x:v>C-1147</x:v>
      </x:c>
      <x:c r="N139" s="184" t="str">
        <x:v>Platform/Orchestration/Runtime/CxRuntimeDiagnostics.cs</x:v>
      </x:c>
      <x:c r="O139" s="183" t="str">
        <x:v>V1.19旧源码类型（真实成员/实现仍待核）
V2.01：来源ID对应；处置=保留源码·公开契约复核
V7.8：V7.8同名且源文件对应；Platform/Orchestration/Runtime/CxRuntimeDiagnostics.cs</x:v>
      </x:c>
      <x:c r="P139" s="136" t="str">
        <x:v>V1.19旧源码类型（真实成员/实现仍待核）</x:v>
      </x:c>
    </x:row>
    <x:row r="140" ht="72" customHeight="1">
      <x:c r="A140" s="179" t="str">
        <x:v>M31</x:v>
      </x:c>
      <x:c r="B140" s="180" t="str">
        <x:v>运行时｜Runtime Data / Event / Resource Planes
Runtime Data</x:v>
      </x:c>
      <x:c r="C140" s="180" t="str">
        <x:v>MRDCxRuntimeEvent</x:v>
      </x:c>
      <x:c r="D140" s="179" t="str">
        <x:v>原有·待核</x:v>
      </x:c>
      <x:c r="E140" s="180" t="str">
        <x:v>负责运行时事件相关的运行事件与公共契约管理</x:v>
      </x:c>
      <x:c r="F140" s="180" t="str">
        <x:v>EventId, Sequence, ContractId, ScopeId, Source, CorrelationId, CausationId, Timestamp, TraceContext</x:v>
      </x:c>
      <x:c r="G140" s="180" t="str">
        <x:v>CxRuntimeEvent(long sequence, string contractId, string scopeId, JToken payload, DateTime timestamp, CxTraceContext trace), DeepClone()</x:v>
      </x:c>
      <x:c r="H140" s="180" t="str">
        <x:v>—（待核）</x:v>
      </x:c>
      <x:c r="I140" s="180" t="str">
        <x:v>CxVisual.Platform.Orchestration.CxRuntimeEvent</x:v>
      </x:c>
      <x:c r="J140" s="179" t="str">
        <x:v>类</x:v>
      </x:c>
      <x:c r="K140" s="180" t="str">
        <x:v>V1.19 C-1148；原实施方式：原有。迁移风险：负责运行时事件相关的运行事件与公共契约管理</x:v>
      </x:c>
      <x:c r="L140" s="183" t="str">
        <x:v>源代码声明·待复核</x:v>
      </x:c>
      <x:c r="M140" s="183" t="str">
        <x:v>C-1148</x:v>
      </x:c>
      <x:c r="N140" s="184" t="str">
        <x:v>Platform/Orchestration/Runtime/CxRuntimeEventBus.cs</x:v>
      </x:c>
      <x:c r="O140" s="183" t="str">
        <x:v>V1.19旧源码类型（真实成员/实现仍待核）
V2.01：来源ID对应；处置=保留源码·公开契约复核
V7.8：V7.8同名且源文件对应；Platform/Orchestration/Runtime/CxRuntimeEventBus.cs</x:v>
      </x:c>
      <x:c r="P140" s="136" t="str">
        <x:v>V1.19旧源码类型（真实成员/实现仍待核）</x:v>
      </x:c>
    </x:row>
    <x:row r="141" ht="135" customHeight="1">
      <x:c r="A141" s="179" t="str">
        <x:v>M31</x:v>
      </x:c>
      <x:c r="B141" s="180" t="str">
        <x:v>运行时｜Runtime Data / Event / Resource Planes
Runtime Data</x:v>
      </x:c>
      <x:c r="C141" s="180" t="str">
        <x:v>MRDCxRuntimeEventBus</x:v>
      </x:c>
      <x:c r="D141" s="179" t="str">
        <x:v>原有·待核</x:v>
      </x:c>
      <x:c r="E141" s="180" t="str">
        <x:v>负责运行时事件Bus相关的运行事件总线与公共契约管理</x:v>
      </x:c>
      <x:c r="F141" s="180" t="str">
        <x:v>LastDiagnosticError, Subscriptions, Clock, Contracts, DeliveryFaults, LastSequence</x:v>
      </x:c>
      <x:c r="G141" s="180" t="str">
        <x:v>CxRuntimeEventBus(ICxClock clock = null, CxFaultManager faults = null, CxRuntimeTrace trace = null, int replayCapacity = 1024…), Register(CxEventContract contract, Func&lt;JToken, bool&gt; payloadValidator = null), PublishAsync(string contractId, string scopeId, JToken payload = null, CxTraceContext traceContext = null, CancellationT…), Subscribe(string contractId, string scopeId, Func&lt;CxRuntimeEvent, CancellationToken, Task&gt; handler, long? afterSequen…), IsActive(CxRuntimeEventSubscription subscription), Unsubscribe(string subscriptionId), ReplayFrom(long afterSequence, string contractId = null, string scopeId = null), WaitAsync(string contractId, string scopeId, long? afterSequence = null, CancellationToken cancellationToken = defaul…), DrainAsync(CancellationToken cancellationToken = default(CancellationToken); CreateObserver(string scopeId, CxTraceContext context = null); Dispose(); DisposeAsync(CancellationToken cancellationToken = default(CancellationToken); ValidateContractPayload(CxDataContract contract, Func&lt;JToken, bool&gt; validator, string id, JToken payload)</x:v>
      </x:c>
      <x:c r="H141" s="180" t="str">
        <x:v>—（待核）</x:v>
      </x:c>
      <x:c r="I141" s="180" t="str">
        <x:v>CxVisual.Platform.Orchestration.CxRuntimeEventBus</x:v>
      </x:c>
      <x:c r="J141" s="179" t="str">
        <x:v>类</x:v>
      </x:c>
      <x:c r="K141" s="180" t="str">
        <x:v>V1.19 C-1149；原实施方式：原有。迁移风险：负责运行时事件Bus相关的运行事件总线与公共契约管理</x:v>
      </x:c>
      <x:c r="L141" s="183" t="str">
        <x:v>源代码声明·待复核</x:v>
      </x:c>
      <x:c r="M141" s="183" t="str">
        <x:v>C-1149</x:v>
      </x:c>
      <x:c r="N141" s="184" t="str">
        <x:v>Platform/Orchestration/Runtime/CxRuntimeEventBus.cs</x:v>
      </x:c>
      <x:c r="O141" s="183" t="str">
        <x:v>V1.19旧源码类型（真实成员/实现仍待核）
V2.01：来源ID对应；处置=保留源码·公开契约复核
V7.8：V7.8同名且源文件对应；Platform/Orchestration/Runtime/CxRuntimeEventBus.cs</x:v>
      </x:c>
      <x:c r="P141" s="136" t="str">
        <x:v>V1.19旧源码类型（真实成员/实现仍待核）</x:v>
      </x:c>
    </x:row>
    <x:row r="142" ht="72" customHeight="1">
      <x:c r="A142" s="179" t="str">
        <x:v>M31</x:v>
      </x:c>
      <x:c r="B142" s="180" t="str">
        <x:v>运行时｜Runtime Data / Event / Resource Planes
Runtime Data</x:v>
      </x:c>
      <x:c r="C142" s="180" t="str">
        <x:v>MRDCxRuntimeEventSubscription</x:v>
      </x:c>
      <x:c r="D142" s="179" t="str">
        <x:v>原有·待核</x:v>
      </x:c>
      <x:c r="E142" s="180" t="str">
        <x:v>表达或管理运行时事件Subscription相关的数据及协作职责，具体行为待源码复核〔待核〕</x:v>
      </x:c>
      <x:c r="F142" s="180" t="str">
        <x:v>Handler, Closed, Tail, Active, Id, ContractId, ScopeId</x:v>
      </x:c>
      <x:c r="G142" s="180" t="str">
        <x:v>CxRuntimeEventSubscription(CxRuntimeEventBus bus, string contractId, string scopeId, Func&lt;CxRuntimeEvent, CancellationToken, Task&gt; han…), IsActive(this), Dispose()</x:v>
      </x:c>
      <x:c r="H142" s="180" t="str">
        <x:v>—（待核）</x:v>
      </x:c>
      <x:c r="I142" s="180" t="str">
        <x:v>CxVisual.Platform.Orchestration.CxRuntimeEventSubscription</x:v>
      </x:c>
      <x:c r="J142" s="179" t="str">
        <x:v>类</x:v>
      </x:c>
      <x:c r="K142" s="180" t="str">
        <x:v>V1.19 C-1153；原实施方式：原有。迁移风险：表达或管理运行时事件Subscription相关的数据及协作职责，具体行为待源码复核〔待核〕</x:v>
      </x:c>
      <x:c r="L142" s="183" t="str">
        <x:v>源代码声明·待复核</x:v>
      </x:c>
      <x:c r="M142" s="183" t="str">
        <x:v>C-1153</x:v>
      </x:c>
      <x:c r="N142" s="184" t="str">
        <x:v>Platform/Orchestration/Runtime/CxRuntimeEventBus.cs</x:v>
      </x:c>
      <x:c r="O142" s="183" t="str">
        <x:v>V1.19旧源码类型（真实成员/实现仍待核）
V2.01：来源ID对应；处置=保留源码·公开契约复核
V7.8：V7.8同名且源文件对应；Platform/Orchestration/Runtime/CxRuntimeEventBus.cs</x:v>
      </x:c>
      <x:c r="P142" s="136" t="str">
        <x:v>V1.19旧源码类型（真实成员/实现仍待核）</x:v>
      </x:c>
    </x:row>
    <x:row r="143" ht="72" customHeight="1">
      <x:c r="A143" s="179" t="str">
        <x:v>M31</x:v>
      </x:c>
      <x:c r="B143" s="180" t="str">
        <x:v>运行时｜Runtime Data / Event / Resource Planes
Runtime Data</x:v>
      </x:c>
      <x:c r="C143" s="180" t="str">
        <x:v>MRDCxRuntimeSnapshot</x:v>
      </x:c>
      <x:c r="D143" s="179" t="str">
        <x:v>原有·待核</x:v>
      </x:c>
      <x:c r="E143" s="180" t="str">
        <x:v>负责运行时快照相关的快照与公共契约管理</x:v>
      </x:c>
      <x:c r="F143" s="180" t="str">
        <x:v>MaximumBytes, CanResume</x:v>
      </x:c>
      <x:c r="G143" s="180" t="str">
        <x:v>CxRuntimeSnapshot(JObject document), Date(_document,), Records(), Deserialize(_document.ToString(Formatting.None); Serialize(); Deserialize(string json); ParseDocument(string json); Validate(); ValidateFor(CxRuntimePlan plan); Invalid(string code)</x:v>
      </x:c>
      <x:c r="H143" s="180" t="str">
        <x:v>—（待核）</x:v>
      </x:c>
      <x:c r="I143" s="180" t="str">
        <x:v>CxVisual.Platform.Orchestration.CxRuntimeSnapshot</x:v>
      </x:c>
      <x:c r="J143" s="179" t="str">
        <x:v>类</x:v>
      </x:c>
      <x:c r="K143" s="180" t="str">
        <x:v>V1.19 C-1154；原实施方式：原有。迁移风险：负责运行时快照相关的快照与公共契约管理</x:v>
      </x:c>
      <x:c r="L143" s="183" t="str">
        <x:v>源代码声明·待复核</x:v>
      </x:c>
      <x:c r="M143" s="183" t="str">
        <x:v>C-1154</x:v>
      </x:c>
      <x:c r="N143" s="184" t="str">
        <x:v>Platform/Orchestration/Runtime/CxRuntimeSnapshot.cs</x:v>
      </x:c>
      <x:c r="O143" s="183" t="str">
        <x:v>V1.19旧源码类型（真实成员/实现仍待核）
V2.01：来源ID对应；处置=保留源码·公开契约复核
V7.8：V7.8同名且源文件对应；Platform/Orchestration/Runtime/CxRuntimeSnapshot.cs</x:v>
      </x:c>
      <x:c r="P143" s="136" t="str">
        <x:v>V1.19旧源码类型（真实成员/实现仍待核）</x:v>
      </x:c>
    </x:row>
    <x:row r="144" ht="72" customHeight="1">
      <x:c r="A144" s="179" t="str">
        <x:v>M31</x:v>
      </x:c>
      <x:c r="B144" s="180" t="str">
        <x:v>运行时｜Runtime Data / Event / Resource Planes
Runtime Data</x:v>
      </x:c>
      <x:c r="C144" s="180" t="str">
        <x:v>MRDCxRuntimeState</x:v>
      </x:c>
      <x:c r="D144" s="179" t="str">
        <x:v>原有·待核</x:v>
      </x:c>
      <x:c r="E144" s="180" t="str">
        <x:v>负责运行时状态相关的通用状态与公共契约管理</x:v>
      </x:c>
      <x:c r="F144" s="180" t="str">
        <x:v>Status, Progress, Message, StartedAt, UpdatedAt, Fault</x:v>
      </x:c>
      <x:c r="G144" s="180" t="str">
        <x:v>CxRuntimeState(ICxClock clock = null), SetStatus(CxRuntimeStatus status, string message = null), SetProgress(double progress, string message = null), SetFault(CxFault fault)</x:v>
      </x:c>
      <x:c r="H144" s="180" t="str">
        <x:v>—（待核）</x:v>
      </x:c>
      <x:c r="I144" s="180" t="str">
        <x:v>CxVisual.Platform.Orchestration.CxRuntimeState</x:v>
      </x:c>
      <x:c r="J144" s="179" t="str">
        <x:v>类</x:v>
      </x:c>
      <x:c r="K144" s="180" t="str">
        <x:v>V1.19 C-1156；原实施方式：原有。迁移风险：负责运行时状态相关的通用状态与公共契约管理</x:v>
      </x:c>
      <x:c r="L144" s="183" t="str">
        <x:v>源代码声明·待复核</x:v>
      </x:c>
      <x:c r="M144" s="183" t="str">
        <x:v>C-1156</x:v>
      </x:c>
      <x:c r="N144" s="184" t="str">
        <x:v>Platform/Orchestration/Runtime/CxRuntimeDiagnostics.cs</x:v>
      </x:c>
      <x:c r="O144" s="183" t="str">
        <x:v>V1.19旧源码类型（真实成员/实现仍待核）
V2.01：来源ID对应；处置=保留源码·公开契约复核
V7.8：V7.8同名且源文件对应；Platform/Orchestration/Runtime/CxRuntimeDiagnostics.cs</x:v>
      </x:c>
      <x:c r="P144" s="136" t="str">
        <x:v>V1.19旧源码类型（真实成员/实现仍待核）</x:v>
      </x:c>
    </x:row>
    <x:row r="145" ht="72" customHeight="1">
      <x:c r="A145" s="179" t="str">
        <x:v>M31</x:v>
      </x:c>
      <x:c r="B145" s="180" t="str">
        <x:v>运行时｜Runtime Data / Event / Resource Planes
Runtime Data</x:v>
      </x:c>
      <x:c r="C145" s="180" t="str">
        <x:v>MRDCxRuntimeStatus</x:v>
      </x:c>
      <x:c r="D145" s="179" t="str">
        <x:v>原有·待核</x:v>
      </x:c>
      <x:c r="E145" s="180" t="str">
        <x:v>定义运行时状态的候选取值、状态或模式，供相关流程作分支判断</x:v>
      </x:c>
      <x:c r="F145" s="180" t="str">
        <x:v>枚举值：Created, Initializing, Ready, Running, Paused, Stopping, Stopped, Completed, Cancelled, Faulted, Disposed</x:v>
      </x:c>
      <x:c r="G145" s="180" t="str">
        <x:v>—(无公开声明或待核对)</x:v>
      </x:c>
      <x:c r="H145" s="180" t="str">
        <x:v>—（待核）</x:v>
      </x:c>
      <x:c r="I145" s="180" t="str">
        <x:v>CxVisual.Platform.Orchestration.CxRuntimeStatus</x:v>
      </x:c>
      <x:c r="J145" s="179" t="str">
        <x:v>枚举</x:v>
      </x:c>
      <x:c r="K145" s="180" t="str">
        <x:v>V1.19 C-1157；原实施方式：原有。迁移风险：定义运行时状态的候选取值、状态或模式，供相关流程作分支判断</x:v>
      </x:c>
      <x:c r="L145" s="183" t="str">
        <x:v>源代码声明·待复核</x:v>
      </x:c>
      <x:c r="M145" s="183" t="str">
        <x:v>C-1157</x:v>
      </x:c>
      <x:c r="N145" s="184" t="str">
        <x:v>Platform/Orchestration/Runtime/CxRuntimeDiagnostics.cs</x:v>
      </x:c>
      <x:c r="O145" s="183" t="str">
        <x:v>V1.19旧源码类型（真实成员/实现仍待核）
V2.01：来源ID对应；处置=保留源码·公开契约复核
V7.8：V7.8同名且源文件对应；Platform/Orchestration/Runtime/CxRuntimeDiagnostics.cs</x:v>
      </x:c>
      <x:c r="P145" s="136" t="str">
        <x:v>V1.19旧源码类型（真实成员/实现仍待核）</x:v>
      </x:c>
    </x:row>
    <x:row r="146" ht="72" customHeight="1">
      <x:c r="A146" s="179" t="str">
        <x:v>M31</x:v>
      </x:c>
      <x:c r="B146" s="180" t="str">
        <x:v>运行时｜Runtime Data / Event / Resource Planes
Runtime Data</x:v>
      </x:c>
      <x:c r="C146" s="180" t="str">
        <x:v>MRDCxRuntimeTrace</x:v>
      </x:c>
      <x:c r="D146" s="179" t="str">
        <x:v>原有·待核</x:v>
      </x:c>
      <x:c r="E146" s="180" t="str">
        <x:v>负责运行时追踪相关的运行Trace与公共契约管理</x:v>
      </x:c>
      <x:c r="F146" s="180" t="str">
        <x:v>Enabled, DroppedRecords, LastError, Records</x:v>
      </x:c>
      <x:c r="G146" s="180" t="str">
        <x:v>CxRuntimeTrace(ICxClock clock = null, int capacity = 10000), TraceStepStart(CxTraceContext context, string stepId), TraceStepEnd(CxTraceContext context, string stepId, string message = null), TraceFault(CxTraceContext context, CxFault fault), GetCallStack(string executionInstanceId), Export()</x:v>
      </x:c>
      <x:c r="H146" s="180" t="str">
        <x:v>—（待核）</x:v>
      </x:c>
      <x:c r="I146" s="180" t="str">
        <x:v>CxVisual.Platform.Orchestration.CxRuntimeTrace</x:v>
      </x:c>
      <x:c r="J146" s="179" t="str">
        <x:v>类</x:v>
      </x:c>
      <x:c r="K146" s="180" t="str">
        <x:v>V1.19 C-1158；原实施方式：原有。迁移风险：负责运行时追踪相关的运行Trace与公共契约管理</x:v>
      </x:c>
      <x:c r="L146" s="183" t="str">
        <x:v>源代码声明·待复核</x:v>
      </x:c>
      <x:c r="M146" s="183" t="str">
        <x:v>C-1158</x:v>
      </x:c>
      <x:c r="N146" s="184" t="str">
        <x:v>Platform/Orchestration/Runtime/CxRuntimeDiagnostics.cs</x:v>
      </x:c>
      <x:c r="O146" s="183" t="str">
        <x:v>V1.19旧源码类型（真实成员/实现仍待核）
V2.01：来源ID对应；处置=保留源码·公开契约复核
V7.8：V7.8同名且源文件对应；Platform/Orchestration/Runtime/CxRuntimeDiagnostics.cs</x:v>
      </x:c>
      <x:c r="P146" s="136" t="str">
        <x:v>V1.19旧源码类型（真实成员/实现仍待核）</x:v>
      </x:c>
    </x:row>
    <x:row r="147" ht="72" customHeight="1">
      <x:c r="A147" s="179" t="str">
        <x:v>M31</x:v>
      </x:c>
      <x:c r="B147" s="180" t="str">
        <x:v>运行时｜Runtime Data / Event / Resource Planes
Runtime Data</x:v>
      </x:c>
      <x:c r="C147" s="180" t="str">
        <x:v>MRDCxTraceContext</x:v>
      </x:c>
      <x:c r="D147" s="179" t="str">
        <x:v>原有·待核</x:v>
      </x:c>
      <x:c r="E147" s="180" t="str">
        <x:v>负责追踪上下文相关的Trace上下文与公共契约管理</x:v>
      </x:c>
      <x:c r="F147" s="180" t="str">
        <x:v>TraceId, SpanId, ParentSpanId, CorrelationId, CausationId, ExecutionInstanceId, Source</x:v>
      </x:c>
      <x:c r="G147" s="180" t="str">
        <x:v>CxTraceContext(string executionInstanceId, string source = null, string correlationId = null, string traceId = null, strin…), CxTraceContext(executionInstanceId, source ?? Source, CorrelationId, TraceId, SpanId, SpanId)</x:v>
      </x:c>
      <x:c r="H147" s="180" t="str">
        <x:v>—（待核）</x:v>
      </x:c>
      <x:c r="I147" s="180" t="str">
        <x:v>CxVisual.Platform.Orchestration.CxTraceContext</x:v>
      </x:c>
      <x:c r="J147" s="179" t="str">
        <x:v>类</x:v>
      </x:c>
      <x:c r="K147" s="180" t="str">
        <x:v>V1.19 C-1159；原实施方式：原有。迁移风险：负责追踪上下文相关的Trace上下文与公共契约管理</x:v>
      </x:c>
      <x:c r="L147" s="183" t="str">
        <x:v>源代码声明·待复核</x:v>
      </x:c>
      <x:c r="M147" s="183" t="str">
        <x:v>C-1159</x:v>
      </x:c>
      <x:c r="N147" s="184" t="str">
        <x:v>Platform/Orchestration/Runtime/CxRuntimeDiagnostics.cs</x:v>
      </x:c>
      <x:c r="O147" s="183" t="str">
        <x:v>V1.19旧源码类型（真实成员/实现仍待核）
V2.01：来源ID对应；处置=保留源码·公开契约复核
V7.8：V7.8同名且源文件对应；Platform/Orchestration/Runtime/CxRuntimeDiagnostics.cs</x:v>
      </x:c>
      <x:c r="P147" s="136" t="str">
        <x:v>V1.19旧源码类型（真实成员/实现仍待核）</x:v>
      </x:c>
    </x:row>
    <x:row r="148" ht="72" customHeight="1">
      <x:c r="A148" s="179" t="str">
        <x:v>M31</x:v>
      </x:c>
      <x:c r="B148" s="180" t="str">
        <x:v>运行时｜Runtime Data / Event / Resource Planes
Runtime Data</x:v>
      </x:c>
      <x:c r="C148" s="180" t="str">
        <x:v>MRDHistogram</x:v>
      </x:c>
      <x:c r="D148" s="179" t="str">
        <x:v>原有·待核</x:v>
      </x:c>
      <x:c r="E148" s="180" t="str">
        <x:v>表达或管理Histogram相关的数据及协作职责，具体行为待源码复核〔待核〕</x:v>
      </x:c>
      <x:c r="F148" s="180" t="str">
        <x:v>Minimum</x:v>
      </x:c>
      <x:c r="G148" s="180" t="str">
        <x:v>Queue()</x:v>
      </x:c>
      <x:c r="H148" s="180" t="str">
        <x:v>—（待核）</x:v>
      </x:c>
      <x:c r="I148" s="180" t="str">
        <x:v>CxVisual.Platform.Orchestration.CxMetricsCollector.Histogram</x:v>
      </x:c>
      <x:c r="J148" s="179" t="str">
        <x:v>类</x:v>
      </x:c>
      <x:c r="K148" s="180" t="str">
        <x:v>V1.19 C-1146；原实施方式：原有。迁移风险：表达或管理Histogram相关的数据及协作职责，具体行为待源码复核〔待核〕</x:v>
      </x:c>
      <x:c r="L148" s="183" t="str">
        <x:v>源代码声明·待复核</x:v>
      </x:c>
      <x:c r="M148" s="183" t="str">
        <x:v>C-1146</x:v>
      </x:c>
      <x:c r="N148" s="184" t="str">
        <x:v>Platform/Orchestration/Runtime/CxRuntimeDiagnostics.cs</x:v>
      </x:c>
      <x:c r="O148" s="183" t="str">
        <x:v>V1.19旧源码类型（真实成员/实现仍待核）
V2.01：来源ID对应；处置=保留源码·公开契约复核
V7.8：V7.8同名且源文件对应；Platform/Orchestration/Runtime/CxRuntimeDiagnostics.cs</x:v>
      </x:c>
      <x:c r="P148" s="136" t="str">
        <x:v>V1.19旧源码类型（真实成员/实现仍待核）</x:v>
      </x:c>
    </x:row>
    <x:row r="149" ht="72" customHeight="1">
      <x:c r="A149" s="179" t="str">
        <x:v>M31</x:v>
      </x:c>
      <x:c r="B149" s="180" t="str">
        <x:v>运行时｜Runtime Data / Event / Resource Planes
Runtime Data</x:v>
      </x:c>
      <x:c r="C149" s="180" t="str">
        <x:v>MRDOperationObserver</x:v>
      </x:c>
      <x:c r="D149" s="179" t="str">
        <x:v>原有·待核</x:v>
      </x:c>
      <x:c r="E149" s="180" t="str">
        <x:v>表达或管理OperationObserver相关的数据及协作职责，具体行为待源码复核〔待核〕</x:v>
      </x:c>
      <x:c r="F149" s="180" t="str">
        <x:v>—（无公开声明或待核对）</x:v>
      </x:c>
      <x:c r="G149" s="180" t="str">
        <x:v>OperationObserver(CxRuntimeEventBus bus, string scope, CxTraceContext context), OnNext(CxEvent value), OnError(Exception error), OnCompleted()</x:v>
      </x:c>
      <x:c r="H149" s="180" t="str">
        <x:v>—（待核）</x:v>
      </x:c>
      <x:c r="I149" s="180" t="str">
        <x:v>CxVisual.Platform.Orchestration.CxRuntimeEventBus.OperationObserver</x:v>
      </x:c>
      <x:c r="J149" s="179" t="str">
        <x:v>类</x:v>
      </x:c>
      <x:c r="K149" s="180" t="str">
        <x:v>V1.19 C-1150；原实施方式：原有。迁移风险：表达或管理OperationObserver相关的数据及协作职责，具体行为待源码复核〔待核〕</x:v>
      </x:c>
      <x:c r="L149" s="183" t="str">
        <x:v>源代码声明·待复核</x:v>
      </x:c>
      <x:c r="M149" s="183" t="str">
        <x:v>C-1150</x:v>
      </x:c>
      <x:c r="N149" s="184" t="str">
        <x:v>Platform/Orchestration/Runtime/CxRuntimeEventBus.cs</x:v>
      </x:c>
      <x:c r="O149" s="183" t="str">
        <x:v>V1.19旧源码类型（真实成员/实现仍待核）
V2.01：来源ID对应；处置=保留源码·公开契约复核
V7.8：V7.8同名且源文件对应；Platform/Orchestration/Runtime/CxRuntimeEventBus.cs</x:v>
      </x:c>
      <x:c r="P149" s="136" t="str">
        <x:v>V1.19旧源码类型（真实成员/实现仍待核）</x:v>
      </x:c>
    </x:row>
    <x:row r="150" ht="72" customHeight="1">
      <x:c r="A150" s="179" t="str">
        <x:v>M31</x:v>
      </x:c>
      <x:c r="B150" s="180" t="str">
        <x:v>运行时｜Runtime Data / Event / Resource Planes
Runtime Data</x:v>
      </x:c>
      <x:c r="C150" s="180" t="str">
        <x:v>MRDRegistration</x:v>
      </x:c>
      <x:c r="D150" s="179" t="str">
        <x:v>原有·待核</x:v>
      </x:c>
      <x:c r="E150" s="180" t="str">
        <x:v>表达或管理Registration相关的数据及协作职责，具体行为待源码复核〔待核〕</x:v>
      </x:c>
      <x:c r="F150" s="180" t="str">
        <x:v>Contract, Validator</x:v>
      </x:c>
      <x:c r="G150" s="180" t="str">
        <x:v>Registration(CxEventContract contract, Func&lt;JToken, bool&gt; validator)</x:v>
      </x:c>
      <x:c r="H150" s="180" t="str">
        <x:v>—（待核）</x:v>
      </x:c>
      <x:c r="I150" s="180" t="str">
        <x:v>CxVisual.Platform.Orchestration.CxRuntimeEventBus.Registration</x:v>
      </x:c>
      <x:c r="J150" s="179" t="str">
        <x:v>类</x:v>
      </x:c>
      <x:c r="K150" s="180" t="str">
        <x:v>V1.19 C-1151；原实施方式：原有。迁移风险：表达或管理Registration相关的数据及协作职责，具体行为待源码复核〔待核〕</x:v>
      </x:c>
      <x:c r="L150" s="183" t="str">
        <x:v>源代码声明·待复核</x:v>
      </x:c>
      <x:c r="M150" s="183" t="str">
        <x:v>C-1151</x:v>
      </x:c>
      <x:c r="N150" s="184" t="str">
        <x:v>Platform/Orchestration/Runtime/CxMessageBus.cs; Platform/Orchestration/Runtime/CxRuntimeAdapters.cs; Platform/Orchestration/Runtime/CxRuntimeEventBus.cs; Platform/Workbench/Editing/CxStudioContributionRegistry.cs</x:v>
      </x:c>
      <x:c r="O150" s="183" t="str">
        <x:v>V1.19旧源码类型（真实成员/实现仍待核）
V2.01：来源ID对应；处置=保留源码·公开契约复核
V7.8：V7.8同名且源文件对应；Platform/Orchestration/Runtime/CxMessageBus.cs</x:v>
      </x:c>
      <x:c r="P150" s="136" t="str">
        <x:v>V1.19旧源码类型（真实成员/实现仍待核）</x:v>
      </x:c>
    </x:row>
    <x:row r="151" ht="72" customHeight="1">
      <x:c r="A151" s="179" t="str">
        <x:v>M31</x:v>
      </x:c>
      <x:c r="B151" s="180" t="str">
        <x:v>运行时｜Runtime Data / Event / Resource Planes
Runtime Data</x:v>
      </x:c>
      <x:c r="C151" s="180" t="str">
        <x:v>MRDRejectDefinitionConverter</x:v>
      </x:c>
      <x:c r="D151" s="179" t="str">
        <x:v>原有·待核</x:v>
      </x:c>
      <x:c r="E151" s="180" t="str">
        <x:v>实现Reject定义Converter表示之间的转换，处理格式兼容性</x:v>
      </x:c>
      <x:c r="F151" s="180" t="str">
        <x:v>—（无公开声明或待核对）</x:v>
      </x:c>
      <x:c r="G151" s="180" t="str">
        <x:v>CanConvert(Type objectType), WriteJson(JsonWriter writer, object value, JsonSerializer serializer), ReadJson(JsonReader reader, Type objectType, object existingValue, JsonSerializer serializer)</x:v>
      </x:c>
      <x:c r="H151" s="180" t="str">
        <x:v>—（待核）</x:v>
      </x:c>
      <x:c r="I151" s="180" t="str">
        <x:v>CxVisual.Platform.Orchestration.CxRuntimeEventBus.RejectDefinitionConverter</x:v>
      </x:c>
      <x:c r="J151" s="179" t="str">
        <x:v>类</x:v>
      </x:c>
      <x:c r="K151" s="180" t="str">
        <x:v>V1.19 C-1152；原实施方式：原有。迁移风险：实现Reject定义Converter表示之间的转换，处理格式兼容性</x:v>
      </x:c>
      <x:c r="L151" s="183" t="str">
        <x:v>源代码声明·待复核</x:v>
      </x:c>
      <x:c r="M151" s="183" t="str">
        <x:v>C-1152</x:v>
      </x:c>
      <x:c r="N151" s="184" t="str">
        <x:v>Platform/Orchestration/Runtime/CxRuntimeEventBus.cs</x:v>
      </x:c>
      <x:c r="O151" s="183" t="str">
        <x:v>V1.19旧源码类型（真实成员/实现仍待核）
V2.01：来源ID对应；处置=保留源码·公开契约复核
V7.8：V7.8同名且源文件对应；Platform/Orchestration/Runtime/CxRuntimeEventBus.cs</x:v>
      </x:c>
      <x:c r="P151" s="136" t="str">
        <x:v>V1.19旧源码类型（真实成员/实现仍待核）</x:v>
      </x:c>
    </x:row>
    <x:row r="152" ht="72" customHeight="1">
      <x:c r="A152" s="179" t="str">
        <x:v>M31</x:v>
      </x:c>
      <x:c r="B152" s="180" t="str">
        <x:v>运行时｜Runtime Data / Event / Resource Planes
Runtime Data</x:v>
      </x:c>
      <x:c r="C152" s="180" t="str">
        <x:v>MRDRuntimeCarrierRecord</x:v>
      </x:c>
      <x:c r="D152" s="179" t="str">
        <x:v>原有·待核</x:v>
      </x:c>
      <x:c r="E152" s="180" t="str">
        <x:v>记录运行时Carrier记录过程、关联身份和可追踪的事实信息</x:v>
      </x:c>
      <x:c r="F152" s="180" t="str">
        <x:v>CarrierId, WasLoaded, OwnedLifetime</x:v>
      </x:c>
      <x:c r="G152" s="180" t="str">
        <x:v>—(无公开声明或待核对)</x:v>
      </x:c>
      <x:c r="H152" s="180" t="str">
        <x:v>—（待核）</x:v>
      </x:c>
      <x:c r="I152" s="180" t="str">
        <x:v>CxVisual.Runtime.Core.RuntimeCarrierRecord</x:v>
      </x:c>
      <x:c r="J152" s="179" t="str">
        <x:v>类</x:v>
      </x:c>
      <x:c r="K152" s="180" t="str">
        <x:v>V1.19 C-1160；原实施方式：原有。迁移风险：记录运行时Carrier记录过程、关联身份和可追踪的事实信息</x:v>
      </x:c>
      <x:c r="L152" s="183" t="str">
        <x:v>源代码声明·待复核</x:v>
      </x:c>
      <x:c r="M152" s="183" t="str">
        <x:v>C-1160</x:v>
      </x:c>
      <x:c r="N152" s="184" t="str">
        <x:v>Platform/Runtime/RuntimeSnapshot.cs</x:v>
      </x:c>
      <x:c r="O152" s="183" t="str">
        <x:v>V1.19旧源码类型（真实成员/实现仍待核）
V2.01：来源ID对应；处置=保留源码·公开契约复核
V7.8：V7.8同名且源文件对应；Platform/Runtime/RuntimeSnapshot.cs</x:v>
      </x:c>
      <x:c r="P152" s="136" t="str">
        <x:v>V1.19旧源码类型（真实成员/实现仍待核）</x:v>
      </x:c>
    </x:row>
    <x:row r="153" ht="72" customHeight="1">
      <x:c r="A153" s="179" t="str">
        <x:v>M31</x:v>
      </x:c>
      <x:c r="B153" s="180" t="str">
        <x:v>运行时｜Runtime Data / Event / Resource Planes
Runtime Data</x:v>
      </x:c>
      <x:c r="C153" s="180" t="str">
        <x:v>MRDRuntimeDataReferenceRecord</x:v>
      </x:c>
      <x:c r="D153" s="179" t="str">
        <x:v>原有·待核</x:v>
      </x:c>
      <x:c r="E153" s="180" t="str">
        <x:v>记录运行时Data引用记录过程、关联身份和可追踪的事实信息</x:v>
      </x:c>
      <x:c r="F153" s="180" t="str">
        <x:v>FrameId, Key, Reference</x:v>
      </x:c>
      <x:c r="G153" s="180" t="str">
        <x:v>—(无公开声明或待核对)</x:v>
      </x:c>
      <x:c r="H153" s="180" t="str">
        <x:v>—（待核）</x:v>
      </x:c>
      <x:c r="I153" s="180" t="str">
        <x:v>CxVisual.Runtime.Core.RuntimeDataReferenceRecord</x:v>
      </x:c>
      <x:c r="J153" s="179" t="str">
        <x:v>类</x:v>
      </x:c>
      <x:c r="K153" s="180" t="str">
        <x:v>V1.19 C-1161；原实施方式：原有。迁移风险：记录运行时Data引用记录过程、关联身份和可追踪的事实信息</x:v>
      </x:c>
      <x:c r="L153" s="183" t="str">
        <x:v>源代码声明·待复核</x:v>
      </x:c>
      <x:c r="M153" s="183" t="str">
        <x:v>C-1161</x:v>
      </x:c>
      <x:c r="N153" s="184" t="str">
        <x:v>Platform/Runtime/RuntimeSnapshot.cs</x:v>
      </x:c>
      <x:c r="O153" s="183" t="str">
        <x:v>V1.19旧源码类型（真实成员/实现仍待核）
V2.01：来源ID对应；处置=保留源码·公开契约复核
V7.8：V7.8同名且源文件对应；Platform/Runtime/RuntimeSnapshot.cs</x:v>
      </x:c>
      <x:c r="P153" s="136" t="str">
        <x:v>V1.19旧源码类型（真实成员/实现仍待核）</x:v>
      </x:c>
    </x:row>
    <x:row r="154" ht="72" customHeight="1">
      <x:c r="A154" s="179" t="str">
        <x:v>M31</x:v>
      </x:c>
      <x:c r="B154" s="180" t="str">
        <x:v>运行时｜Runtime Data / Event / Resource Planes
Runtime Data</x:v>
      </x:c>
      <x:c r="C154" s="180" t="str">
        <x:v>MRDRuntimeProjectionRecord</x:v>
      </x:c>
      <x:c r="D154" s="179" t="str">
        <x:v>原有·待核</x:v>
      </x:c>
      <x:c r="E154" s="180" t="str">
        <x:v>记录运行时投影记录过程、关联身份和可追踪的事实信息</x:v>
      </x:c>
      <x:c r="F154" s="180" t="str">
        <x:v>InstanceAddress, State, ActiveLogicUnitIds, Progress, Error, TracePosition</x:v>
      </x:c>
      <x:c r="G154" s="180" t="str">
        <x:v>—(无公开声明或待核对)</x:v>
      </x:c>
      <x:c r="H154" s="180" t="str">
        <x:v>—（待核）</x:v>
      </x:c>
      <x:c r="I154" s="180" t="str">
        <x:v>CxVisual.Runtime.Core.RuntimeProjectionRecord</x:v>
      </x:c>
      <x:c r="J154" s="179" t="str">
        <x:v>类</x:v>
      </x:c>
      <x:c r="K154" s="180" t="str">
        <x:v>V1.19 C-1162；原实施方式：原有。迁移风险：记录运行时投影记录过程、关联身份和可追踪的事实信息</x:v>
      </x:c>
      <x:c r="L154" s="183" t="str">
        <x:v>源代码声明·待复核</x:v>
      </x:c>
      <x:c r="M154" s="183" t="str">
        <x:v>C-1162</x:v>
      </x:c>
      <x:c r="N154" s="184" t="str">
        <x:v>Platform/Runtime/RuntimeSnapshot.cs</x:v>
      </x:c>
      <x:c r="O154" s="183" t="str">
        <x:v>V1.19旧源码类型（真实成员/实现仍待核）
V2.01：来源ID对应；处置=保留源码·公开契约复核
V7.8：V7.8同名且源文件对应；Platform/Runtime/RuntimeSnapshot.cs</x:v>
      </x:c>
      <x:c r="P154" s="136" t="str">
        <x:v>V1.19旧源码类型（真实成员/实现仍待核）</x:v>
      </x:c>
    </x:row>
    <x:row r="155" ht="72" customHeight="1">
      <x:c r="A155" s="179" t="str">
        <x:v>M31</x:v>
      </x:c>
      <x:c r="B155" s="180" t="str">
        <x:v>运行时｜Runtime Data / Event / Resource Planes
Runtime Data</x:v>
      </x:c>
      <x:c r="C155" s="180" t="str">
        <x:v>MRDRuntimeSnapshot</x:v>
      </x:c>
      <x:c r="D155" s="179" t="str">
        <x:v>原有·待核</x:v>
      </x:c>
      <x:c r="E155" s="180" t="str">
        <x:v>保存运行时快照在特定时间点的不可变状态快照</x:v>
      </x:c>
      <x:c r="F155" s="180" t="str">
        <x:v>SchemaVersion, ExecutionId, ParentExecutionId, PlanHash, UnitReference, CorrelationId, State, CapturedUtc, TracePosition, ResourceIds, Carriers, LogicTrace, Projections, DataReferences</x:v>
      </x:c>
      <x:c r="G155" s="180" t="str">
        <x:v>—(无公开声明或待核对)</x:v>
      </x:c>
      <x:c r="H155" s="180" t="str">
        <x:v>—（待核）</x:v>
      </x:c>
      <x:c r="I155" s="180" t="str">
        <x:v>CxVisual.Runtime.Core.RuntimeSnapshot</x:v>
      </x:c>
      <x:c r="J155" s="179" t="str">
        <x:v>类</x:v>
      </x:c>
      <x:c r="K155" s="180" t="str">
        <x:v>V1.19 C-1163；原实施方式：原有。迁移风险：保存运行时快照在特定时间点的不可变状态快照</x:v>
      </x:c>
      <x:c r="L155" s="183" t="str">
        <x:v>源代码声明·待复核</x:v>
      </x:c>
      <x:c r="M155" s="183" t="str">
        <x:v>C-1163</x:v>
      </x:c>
      <x:c r="N155" s="184" t="str">
        <x:v>Platform/Runtime/RuntimeSnapshot.cs</x:v>
      </x:c>
      <x:c r="O155" s="183" t="str">
        <x:v>V1.19旧源码类型（真实成员/实现仍待核）
V2.01：来源ID对应；处置=保留源码·公开契约复核
V7.8：V7.8同名且源文件对应；Platform/Runtime/RuntimeSnapshot.cs</x:v>
      </x:c>
      <x:c r="P155" s="136" t="str">
        <x:v>V1.19旧源码类型（真实成员/实现仍待核）</x:v>
      </x:c>
    </x:row>
    <x:row r="156" ht="72" customHeight="1">
      <x:c r="A156" s="179" t="str">
        <x:v>M31</x:v>
      </x:c>
      <x:c r="B156" s="180" t="str">
        <x:v>运行时｜Runtime Data / Event / Resource Planes
Runtime Data</x:v>
      </x:c>
      <x:c r="C156" s="180" t="str">
        <x:v>MRDRuntimeSnapshotService</x:v>
      </x:c>
      <x:c r="D156" s="179" t="str">
        <x:v>原有·待核</x:v>
      </x:c>
      <x:c r="E156" s="180" t="str">
        <x:v>封装运行时快照服务通用服务操作及其生命周期边界</x:v>
      </x:c>
      <x:c r="F156" s="180" t="str">
        <x:v>—（无公开声明或待核对）</x:v>
      </x:c>
      <x:c r="G156" s="180" t="str">
        <x:v>Capture(ExecutionInstance instance, RuntimeProjectionService projections, DataContext data = null), RestoreProjection(RuntimeSnapshot snapshot, RuntimeProjectionService projections)</x:v>
      </x:c>
      <x:c r="H156" s="180" t="str">
        <x:v>—（待核）</x:v>
      </x:c>
      <x:c r="I156" s="180" t="str">
        <x:v>CxVisual.Runtime.Core.RuntimeSnapshotService</x:v>
      </x:c>
      <x:c r="J156" s="179" t="str">
        <x:v>静态类</x:v>
      </x:c>
      <x:c r="K156" s="180" t="str">
        <x:v>V1.19 C-1164；原实施方式：原有。迁移风险：封装运行时快照服务通用服务操作及其生命周期边界</x:v>
      </x:c>
      <x:c r="L156" s="183" t="str">
        <x:v>源代码声明·待复核</x:v>
      </x:c>
      <x:c r="M156" s="183" t="str">
        <x:v>C-1164</x:v>
      </x:c>
      <x:c r="N156" s="184" t="str">
        <x:v>Platform/Runtime/RuntimeSnapshot.cs</x:v>
      </x:c>
      <x:c r="O156" s="183" t="str">
        <x:v>V1.19旧源码类型（真实成员/实现仍待核）
V2.01：来源ID对应；处置=保留源码·公开契约复核
V7.8：V7.8同名且源文件对应；Platform/Runtime/RuntimeSnapshot.cs</x:v>
      </x:c>
      <x:c r="P156" s="136" t="str">
        <x:v>V1.19旧源码类型（真实成员/实现仍待核）</x:v>
      </x:c>
    </x:row>
    <x:row r="157" ht="72" customHeight="1">
      <x:c r="A157" s="179" t="str">
        <x:v>M31</x:v>
      </x:c>
      <x:c r="B157" s="180" t="str">
        <x:v>运行时｜Runtime Data / Event / Resource Planes
Runtime Data</x:v>
      </x:c>
      <x:c r="C157" s="180" t="str">
        <x:v>MRDSnapshotJsonReader</x:v>
      </x:c>
      <x:c r="D157" s="179" t="str">
        <x:v>原有·待核</x:v>
      </x:c>
      <x:c r="E157" s="180" t="str">
        <x:v>负责快照JsonReader的输入输出读写与错误边界</x:v>
      </x:c>
      <x:c r="F157" s="180" t="str">
        <x:v>—（无公开声明或待核对）</x:v>
      </x:c>
      <x:c r="G157" s="180" t="str">
        <x:v>StringReader(json), Read()</x:v>
      </x:c>
      <x:c r="H157" s="180" t="str">
        <x:v>—（待核）</x:v>
      </x:c>
      <x:c r="I157" s="180" t="str">
        <x:v>CxVisual.Platform.Orchestration.CxRuntimeSnapshot.SnapshotJsonReader</x:v>
      </x:c>
      <x:c r="J157" s="179" t="str">
        <x:v>类</x:v>
      </x:c>
      <x:c r="K157" s="180" t="str">
        <x:v>V1.19 C-1155；原实施方式：原有。迁移风险：负责快照JsonReader的输入输出读写与错误边界</x:v>
      </x:c>
      <x:c r="L157" s="183" t="str">
        <x:v>源代码声明·待复核</x:v>
      </x:c>
      <x:c r="M157" s="183" t="str">
        <x:v>C-1155</x:v>
      </x:c>
      <x:c r="N157" s="184" t="str">
        <x:v>Platform/Orchestration/Runtime/CxRuntimeSnapshot.cs</x:v>
      </x:c>
      <x:c r="O157" s="183" t="str">
        <x:v>V1.19旧源码类型（真实成员/实现仍待核）
V2.01：来源ID对应；处置=保留源码·公开契约复核
V7.8：V7.8同名且源文件对应；Platform/Orchestration/Runtime/CxRuntimeSnapshot.cs</x:v>
      </x:c>
      <x:c r="P157" s="136" t="str">
        <x:v>V1.19旧源码类型（真实成员/实现仍待核）</x:v>
      </x:c>
    </x:row>
    <x:row r="158" ht="72" customHeight="1">
      <x:c r="A158" s="179" t="str">
        <x:v>M31</x:v>
      </x:c>
      <x:c r="B158" s="180" t="str">
        <x:v>运行时｜Runtime Data / Event / Resource Planes
Runtime Data</x:v>
      </x:c>
      <x:c r="C158" s="180" t="str">
        <x:v>MRDEdgeRuntimeState</x:v>
      </x:c>
      <x:c r="D158" s="179" t="str">
        <x:v>增构候选·待查重</x:v>
      </x:c>
      <x:c r="E158" s="180" t="str">
        <x:v>边状态</x:v>
      </x:c>
      <x:c r="F158" s="180" t="str">
        <x:v>ExecutedCount；Rate；LastEvent；Queue；Lease</x:v>
      </x:c>
      <x:c r="G158" s="180" t="str">
        <x:v>边状态</x:v>
      </x:c>
      <x:c r="H158" s="180" t="str">
        <x:v>待逐对象核实</x:v>
      </x:c>
      <x:c r="I158" s="180" t="str">
        <x:v>运行对象/模型</x:v>
      </x:c>
      <x:c r="J158" s="179" t="str">
        <x:v>类/实例候选</x:v>
      </x:c>
      <x:c r="K158" s="180" t="str">
        <x:v>生命周期：Runtime</x:v>
      </x:c>
      <x:c r="L158" s="183" t="str">
        <x:v>设计候选，尚待源码验证</x:v>
      </x:c>
      <x:c r="M158" s="183" t="str">
        <x:v>M31.EdgeRuntimeState</x:v>
      </x:c>
      <x:c r="N158" s="184" t="str">
        <x:v>03_能力对象!C248</x:v>
      </x:c>
      <x:c r="O158" s="183" t="str">
        <x:v>V4.9对象/属性/方法
V2.01：名称/子方面线索；处置=规划独立契约候选·未批准新增
V7.8：V7.8未检出同名词法声明</x:v>
      </x:c>
      <x:c r="P158" s="136" t="str">
        <x:v>V4.9对象/属性/方法</x:v>
      </x:c>
    </x:row>
    <x:row r="159" ht="72" customHeight="1">
      <x:c r="A159" s="179" t="str">
        <x:v>M31</x:v>
      </x:c>
      <x:c r="B159" s="180" t="str">
        <x:v>运行时｜Runtime Data / Event / Resource Planes
Runtime Data</x:v>
      </x:c>
      <x:c r="C159" s="180" t="str">
        <x:v>MRDFaultDetail</x:v>
      </x:c>
      <x:c r="D159" s="179" t="str">
        <x:v>增构候选·待查重</x:v>
      </x:c>
      <x:c r="E159" s="180" t="str">
        <x:v>结构化故障</x:v>
      </x:c>
      <x:c r="F159" s="180" t="str">
        <x:v>Code；Severity；Cause；Inner；Source；Retryable；Metadata</x:v>
      </x:c>
      <x:c r="G159" s="180" t="str">
        <x:v>结构化故障</x:v>
      </x:c>
      <x:c r="H159" s="180" t="str">
        <x:v>待逐对象核实</x:v>
      </x:c>
      <x:c r="I159" s="180" t="str">
        <x:v>运行对象/模型</x:v>
      </x:c>
      <x:c r="J159" s="179" t="str">
        <x:v>类/实例候选</x:v>
      </x:c>
      <x:c r="K159" s="180" t="str">
        <x:v>生命周期：Runtime</x:v>
      </x:c>
      <x:c r="L159" s="183" t="str">
        <x:v>设计候选，尚待源码验证</x:v>
      </x:c>
      <x:c r="M159" s="183" t="str">
        <x:v>M31.FaultDetail</x:v>
      </x:c>
      <x:c r="N159" s="184" t="str">
        <x:v>03_能力对象!C249</x:v>
      </x:c>
      <x:c r="O159" s="183" t="str">
        <x:v>V4.9对象/属性/方法
V2.01：名称/子方面线索；处置=规划独立契约候选·未批准新增
V7.8：V7.8未检出同名词法声明</x:v>
      </x:c>
      <x:c r="P159" s="136" t="str">
        <x:v>V4.9对象/属性/方法</x:v>
      </x:c>
    </x:row>
    <x:row r="160" ht="72" customHeight="1">
      <x:c r="A160" s="179" t="str">
        <x:v>M31</x:v>
      </x:c>
      <x:c r="B160" s="180" t="str">
        <x:v>运行时｜Runtime Data / Event / Resource Planes
Runtime Data</x:v>
      </x:c>
      <x:c r="C160" s="180" t="str">
        <x:v>MRDProgressSnapshot</x:v>
      </x:c>
      <x:c r="D160" s="179" t="str">
        <x:v>增构候选·待查重</x:v>
      </x:c>
      <x:c r="E160" s="180" t="str">
        <x:v>进度</x:v>
      </x:c>
      <x:c r="F160" s="180" t="str">
        <x:v>Percent；Stage；Current；Total；ETA</x:v>
      </x:c>
      <x:c r="G160" s="180" t="str">
        <x:v>进度</x:v>
      </x:c>
      <x:c r="H160" s="180" t="str">
        <x:v>待逐对象核实</x:v>
      </x:c>
      <x:c r="I160" s="180" t="str">
        <x:v>运行对象/模型</x:v>
      </x:c>
      <x:c r="J160" s="179" t="str">
        <x:v>类/实例候选</x:v>
      </x:c>
      <x:c r="K160" s="180" t="str">
        <x:v>生命周期：Runtime</x:v>
      </x:c>
      <x:c r="L160" s="183" t="str">
        <x:v>设计候选，尚待源码验证</x:v>
      </x:c>
      <x:c r="M160" s="183" t="str">
        <x:v>M31.ProgressSnapshot</x:v>
      </x:c>
      <x:c r="N160" s="184" t="str">
        <x:v>03_能力对象!C250</x:v>
      </x:c>
      <x:c r="O160" s="183" t="str">
        <x:v>V4.9对象/属性/方法
V2.01：名称/子方面线索；处置=规划独立契约候选·未批准新增
V7.8：V7.8未检出同名词法声明</x:v>
      </x:c>
      <x:c r="P160" s="136" t="str">
        <x:v>V4.9对象/属性/方法</x:v>
      </x:c>
    </x:row>
    <x:row r="161" ht="72" customHeight="1">
      <x:c r="A161" s="179" t="str">
        <x:v>M31</x:v>
      </x:c>
      <x:c r="B161" s="180" t="str">
        <x:v>运行时｜Runtime Data / Event / Resource Planes
Runtime Data</x:v>
      </x:c>
      <x:c r="C161" s="180" t="str">
        <x:v>MRDRecoveryRuntimeState</x:v>
      </x:c>
      <x:c r="D161" s="179" t="str">
        <x:v>增构候选·待查重</x:v>
      </x:c>
      <x:c r="E161" s="180" t="str">
        <x:v>恢复状态</x:v>
      </x:c>
      <x:c r="F161" s="180" t="str">
        <x:v>Step；State；ResumePoint；Result</x:v>
      </x:c>
      <x:c r="G161" s="180" t="str">
        <x:v>恢复状态</x:v>
      </x:c>
      <x:c r="H161" s="180" t="str">
        <x:v>待逐对象核实</x:v>
      </x:c>
      <x:c r="I161" s="180" t="str">
        <x:v>运行对象/模型</x:v>
      </x:c>
      <x:c r="J161" s="179" t="str">
        <x:v>类/实例候选</x:v>
      </x:c>
      <x:c r="K161" s="180" t="str">
        <x:v>生命周期：Runtime</x:v>
      </x:c>
      <x:c r="L161" s="183" t="str">
        <x:v>设计候选，尚待源码验证</x:v>
      </x:c>
      <x:c r="M161" s="183" t="str">
        <x:v>M31.RecoveryRuntimeState</x:v>
      </x:c>
      <x:c r="N161" s="184" t="str">
        <x:v>03_能力对象!C251</x:v>
      </x:c>
      <x:c r="O161" s="183" t="str">
        <x:v>V4.9对象/属性/方法
V2.01：名称/子方面线索；处置=规划独立契约候选·未批准新增
V7.8：V7.8未检出同名词法声明</x:v>
      </x:c>
      <x:c r="P161" s="136" t="str">
        <x:v>V4.9对象/属性/方法</x:v>
      </x:c>
    </x:row>
    <x:row r="162" ht="72" customHeight="1">
      <x:c r="A162" s="179" t="str">
        <x:v>M31</x:v>
      </x:c>
      <x:c r="B162" s="180" t="str">
        <x:v>运行时｜Runtime Data / Event / Resource Planes
Runtime Data</x:v>
      </x:c>
      <x:c r="C162" s="180" t="str">
        <x:v>MRDRetryRuntimeState</x:v>
      </x:c>
      <x:c r="D162" s="179" t="str">
        <x:v>增构候选·待查重</x:v>
      </x:c>
      <x:c r="E162" s="180" t="str">
        <x:v>重试状态</x:v>
      </x:c>
      <x:c r="F162" s="180" t="str">
        <x:v>Attempt；NextRetry；Backoff；LastFault</x:v>
      </x:c>
      <x:c r="G162" s="180" t="str">
        <x:v>重试状态</x:v>
      </x:c>
      <x:c r="H162" s="180" t="str">
        <x:v>待逐对象核实</x:v>
      </x:c>
      <x:c r="I162" s="180" t="str">
        <x:v>运行对象/模型</x:v>
      </x:c>
      <x:c r="J162" s="179" t="str">
        <x:v>类/实例候选</x:v>
      </x:c>
      <x:c r="K162" s="180" t="str">
        <x:v>生命周期：Runtime</x:v>
      </x:c>
      <x:c r="L162" s="183" t="str">
        <x:v>设计候选，尚待源码验证</x:v>
      </x:c>
      <x:c r="M162" s="183" t="str">
        <x:v>M31.RetryRuntimeState</x:v>
      </x:c>
      <x:c r="N162" s="184" t="str">
        <x:v>03_能力对象!C252</x:v>
      </x:c>
      <x:c r="O162" s="183" t="str">
        <x:v>V4.9对象/属性/方法
V2.01：名称/子方面线索；处置=规划独立契约候选·未批准新增
V7.8：V7.8未检出同名词法声明</x:v>
      </x:c>
      <x:c r="P162" s="136" t="str">
        <x:v>V4.9对象/属性/方法</x:v>
      </x:c>
    </x:row>
    <x:row r="163" ht="72" customHeight="1">
      <x:c r="A163" s="179" t="str">
        <x:v>M31</x:v>
      </x:c>
      <x:c r="B163" s="180" t="str">
        <x:v>运行时｜Runtime Data / Event / Resource Planes
Runtime Data</x:v>
      </x:c>
      <x:c r="C163" s="180" t="str">
        <x:v>MRDRuntimeDataScope</x:v>
      </x:c>
      <x:c r="D163" s="179" t="str">
        <x:v>复用待核</x:v>
      </x:c>
      <x:c r="E163" s="180" t="str">
        <x:v>运行数据作用域</x:v>
      </x:c>
      <x:c r="F163" s="180" t="str">
        <x:v>Inputs；Outputs；Locals；Handles；Results</x:v>
      </x:c>
      <x:c r="G163" s="180" t="str">
        <x:v>运行数据作用域</x:v>
      </x:c>
      <x:c r="H163" s="180" t="str">
        <x:v>待逐对象核实</x:v>
      </x:c>
      <x:c r="I163" s="180" t="str">
        <x:v>RuntimeDataScope</x:v>
      </x:c>
      <x:c r="J163" s="179" t="str">
        <x:v>类/实例候选</x:v>
      </x:c>
      <x:c r="K163" s="180" t="str">
        <x:v>生命周期：Runtime</x:v>
      </x:c>
      <x:c r="L163" s="183" t="str">
        <x:v>V7.8源码词法匹配，尚未验收</x:v>
      </x:c>
      <x:c r="M163" s="183" t="str">
        <x:v>M31.RuntimeDataScope</x:v>
      </x:c>
      <x:c r="N163" s="184" t="str">
        <x:v>Platform/Data/RuntimeDataScope.cs</x:v>
      </x:c>
      <x:c r="O163" s="183" t="str">
        <x:v>V4.9对象/属性/方法
V2.01：名称/子方面线索；处置=规划复用待核：不独立新增
V7.8：V7.8同名且源文件对应；Platform/Data/RuntimeDataScope.cs</x:v>
      </x:c>
      <x:c r="P163" s="136" t="str">
        <x:v>V4.9对象/属性/方法</x:v>
      </x:c>
    </x:row>
    <x:row r="164" ht="72" customHeight="1">
      <x:c r="A164" s="179" t="str">
        <x:v>M31</x:v>
      </x:c>
      <x:c r="B164" s="180" t="str">
        <x:v>运行时｜Runtime Data / Event / Resource Planes
Runtime Data</x:v>
      </x:c>
      <x:c r="C164" s="180" t="str">
        <x:v>MRDRuntimeEventBus</x:v>
      </x:c>
      <x:c r="D164" s="179" t="str">
        <x:v>增构候选·待查重</x:v>
      </x:c>
      <x:c r="E164" s="180" t="str">
        <x:v>运行事件总线</x:v>
      </x:c>
      <x:c r="F164" s="180" t="str">
        <x:v>Subscribers；Routes</x:v>
      </x:c>
      <x:c r="G164" s="180" t="str">
        <x:v>运行事件总线</x:v>
      </x:c>
      <x:c r="H164" s="180" t="str">
        <x:v>待逐对象核实</x:v>
      </x:c>
      <x:c r="I164" s="180" t="str">
        <x:v>RuntimeEventBus</x:v>
      </x:c>
      <x:c r="J164" s="179" t="str">
        <x:v>类/实例候选</x:v>
      </x:c>
      <x:c r="K164" s="180" t="str">
        <x:v>生命周期：Runtime</x:v>
      </x:c>
      <x:c r="L164" s="183" t="str">
        <x:v>设计候选，尚待源码验证</x:v>
      </x:c>
      <x:c r="M164" s="183" t="str">
        <x:v>M31.RuntimeEventBus</x:v>
      </x:c>
      <x:c r="N164" s="184" t="str">
        <x:v>03_能力对象!C254</x:v>
      </x:c>
      <x:c r="O164" s="183" t="str">
        <x:v>V4.9对象/属性/方法
V2.01：名称/子方面线索；处置=规划独立契约候选·未批准新增
V7.8：V7.8未检出同名词法声明</x:v>
      </x:c>
      <x:c r="P164" s="136" t="str">
        <x:v>V4.9对象/属性/方法</x:v>
      </x:c>
    </x:row>
    <x:row r="165" ht="72" customHeight="1">
      <x:c r="A165" s="179" t="str">
        <x:v>M31</x:v>
      </x:c>
      <x:c r="B165" s="180" t="str">
        <x:v>运行时｜Runtime Data / Event / Resource Planes
Runtime Data</x:v>
      </x:c>
      <x:c r="C165" s="180" t="str">
        <x:v>MRDRuntimeState</x:v>
      </x:c>
      <x:c r="D165" s="179" t="str">
        <x:v>增构候选·待查重</x:v>
      </x:c>
      <x:c r="E165" s="180" t="str">
        <x:v>统一状态</x:v>
      </x:c>
      <x:c r="F165" s="180" t="str">
        <x:v>State；ChangedAt；Reason</x:v>
      </x:c>
      <x:c r="G165" s="180" t="str">
        <x:v>统一状态</x:v>
      </x:c>
      <x:c r="H165" s="180" t="str">
        <x:v>待逐对象核实</x:v>
      </x:c>
      <x:c r="I165" s="180" t="str">
        <x:v>运行对象/模型</x:v>
      </x:c>
      <x:c r="J165" s="179" t="str">
        <x:v>类/实例候选</x:v>
      </x:c>
      <x:c r="K165" s="180" t="str">
        <x:v>生命周期：Runtime</x:v>
      </x:c>
      <x:c r="L165" s="183" t="str">
        <x:v>设计候选，尚待源码验证</x:v>
      </x:c>
      <x:c r="M165" s="183" t="str">
        <x:v>M31.RuntimeState</x:v>
      </x:c>
      <x:c r="N165" s="184" t="str">
        <x:v>03_能力对象!C255</x:v>
      </x:c>
      <x:c r="O165" s="183" t="str">
        <x:v>V4.9对象/属性/方法
V2.01：名称/子方面线索；处置=规划独立契约候选·未批准新增
V7.8：V7.8未检出同名词法声明</x:v>
      </x:c>
      <x:c r="P165" s="136" t="str">
        <x:v>V4.9对象/属性/方法</x:v>
      </x:c>
    </x:row>
    <x:row r="166" ht="72" customHeight="1">
      <x:c r="A166" s="179" t="str">
        <x:v>M31</x:v>
      </x:c>
      <x:c r="B166" s="180" t="str">
        <x:v>运行时｜Runtime Data / Event / Resource Planes
Runtime Data</x:v>
      </x:c>
      <x:c r="C166" s="180" t="str">
        <x:v>MRDWaitingReason</x:v>
      </x:c>
      <x:c r="D166" s="179" t="str">
        <x:v>增构候选·待查重</x:v>
      </x:c>
      <x:c r="E166" s="180" t="str">
        <x:v>等待原因</x:v>
      </x:c>
      <x:c r="F166" s="180" t="str">
        <x:v>Kind；Target；Since；Timeout</x:v>
      </x:c>
      <x:c r="G166" s="180" t="str">
        <x:v>等待原因</x:v>
      </x:c>
      <x:c r="H166" s="180" t="str">
        <x:v>待逐对象核实</x:v>
      </x:c>
      <x:c r="I166" s="180" t="str">
        <x:v>WaitingReason</x:v>
      </x:c>
      <x:c r="J166" s="179" t="str">
        <x:v>枚举</x:v>
      </x:c>
      <x:c r="K166" s="180" t="str">
        <x:v>生命周期：Runtime</x:v>
      </x:c>
      <x:c r="L166" s="183" t="str">
        <x:v>设计候选，尚待源码验证</x:v>
      </x:c>
      <x:c r="M166" s="183" t="str">
        <x:v>M31.WaitingReason</x:v>
      </x:c>
      <x:c r="N166" s="184" t="str">
        <x:v>03_能力对象!C256</x:v>
      </x:c>
      <x:c r="O166" s="183" t="str">
        <x:v>V4.9对象/属性/方法
V2.01：名称/子方面线索；处置=规划独立契约候选·未批准新增
V7.8：V7.8未检出同名词法声明</x:v>
      </x:c>
      <x:c r="P166" s="136" t="str">
        <x:v>V4.9对象/属性/方法</x:v>
      </x:c>
    </x:row>
    <x:row r="167" ht="72" customHeight="1">
      <x:c r="A167" s="179" t="str">
        <x:v>M31</x:v>
      </x:c>
      <x:c r="B167" s="180" t="str">
        <x:v>运行时｜Runtime Data / Event / Resource Planes
Runtime Data</x:v>
      </x:c>
      <x:c r="C167" s="180" t="str">
        <x:v>MRDWorkerHealthState</x:v>
      </x:c>
      <x:c r="D167" s="179" t="str">
        <x:v>增构候选·待查重</x:v>
      </x:c>
      <x:c r="E167" s="180" t="str">
        <x:v>Worker状态</x:v>
      </x:c>
      <x:c r="F167" s="180" t="str">
        <x:v>Status；Load；Queue；CPU；GPU；Memory；Heartbeat；Version</x:v>
      </x:c>
      <x:c r="G167" s="180" t="str">
        <x:v>Worker状态</x:v>
      </x:c>
      <x:c r="H167" s="180" t="str">
        <x:v>待逐对象核实</x:v>
      </x:c>
      <x:c r="I167" s="180" t="str">
        <x:v>运行对象/模型</x:v>
      </x:c>
      <x:c r="J167" s="179" t="str">
        <x:v>类/实例候选</x:v>
      </x:c>
      <x:c r="K167" s="180" t="str">
        <x:v>生命周期：Runtime</x:v>
      </x:c>
      <x:c r="L167" s="183" t="str">
        <x:v>设计候选，尚待源码验证</x:v>
      </x:c>
      <x:c r="M167" s="183" t="str">
        <x:v>M31.WorkerHealthState</x:v>
      </x:c>
      <x:c r="N167" s="184" t="str">
        <x:v>03_能力对象!C257</x:v>
      </x:c>
      <x:c r="O167" s="183" t="str">
        <x:v>V4.9对象/属性/方法
V2.01：名称/子方面线索；处置=规划独立契约候选·未批准新增
V7.8：V7.8未检出同名词法声明</x:v>
      </x:c>
      <x:c r="P167" s="136" t="str">
        <x:v>V4.9对象/属性/方法</x:v>
      </x:c>
    </x:row>
    <x:row r="168" ht="72" customHeight="1">
      <x:c r="A168" s="179" t="str">
        <x:v>M32</x:v>
      </x:c>
      <x:c r="B168" s="180" t="str">
        <x:v>运行时｜Runtime Visual / Monitor
Runtime Monitoring</x:v>
      </x:c>
      <x:c r="C168" s="180" t="str">
        <x:v>MRMCxNodeRuntimeObservation</x:v>
      </x:c>
      <x:c r="D168" s="179" t="str">
        <x:v>原有·待核</x:v>
      </x:c>
      <x:c r="E168" s="180" t="str">
        <x:v>表达或管理节点运行时Observation相关的数据及协作职责，具体行为待源码复核〔待核〕</x:v>
      </x:c>
      <x:c r="F168" s="180" t="str">
        <x:v>NodeAddress, InstanceId, State, CreatedAt, StartedAt, CompletedAt, Progress, Error, CleanupCompleted, ObservedAt</x:v>
      </x:c>
      <x:c r="G168" s="180" t="str">
        <x:v>CxNodeRuntimeObservation(string nodeAddress, string instanceId, ExecutionInstanceState state, DateTime created, DateTime? started, D…)</x:v>
      </x:c>
      <x:c r="H168" s="180" t="str">
        <x:v>—（待核）</x:v>
      </x:c>
      <x:c r="I168" s="180" t="str">
        <x:v>CxVisual.Platform.Orchestration.CxNodeRuntimeObservation</x:v>
      </x:c>
      <x:c r="J168" s="179" t="str">
        <x:v>类</x:v>
      </x:c>
      <x:c r="K168" s="180" t="str">
        <x:v>V1.19 C-1165；原实施方式：原有。迁移风险：表达或管理节点运行时Observation相关的数据及协作职责，具体行为待源码复核〔待核〕</x:v>
      </x:c>
      <x:c r="L168" s="183" t="str">
        <x:v>源代码声明·待复核</x:v>
      </x:c>
      <x:c r="M168" s="183" t="str">
        <x:v>C-1165</x:v>
      </x:c>
      <x:c r="N168" s="184" t="str">
        <x:v>Platform/Orchestration/Runtime/CxPageRuntimeProjection.cs</x:v>
      </x:c>
      <x:c r="O168" s="183" t="str">
        <x:v>V1.19旧源码类型（真实成员/实现仍待核）
V2.01：来源ID对应；处置=保留源码·公开契约复核
V7.8：V7.8同名且源文件对应；Platform/Orchestration/Runtime/CxPageRuntimeProjection.cs</x:v>
      </x:c>
      <x:c r="P168" s="136" t="str">
        <x:v>V1.19旧源码类型（真实成员/实现仍待核）</x:v>
      </x:c>
    </x:row>
    <x:row r="169" ht="72" customHeight="1">
      <x:c r="A169" s="179" t="str">
        <x:v>M32</x:v>
      </x:c>
      <x:c r="B169" s="180" t="str">
        <x:v>运行时｜Runtime Visual / Monitor
Runtime Monitoring</x:v>
      </x:c>
      <x:c r="C169" s="180" t="str">
        <x:v>MRMCxPageRuntimeProjection</x:v>
      </x:c>
      <x:c r="D169" s="179" t="str">
        <x:v>原有·待核</x:v>
      </x:c>
      <x:c r="E169" s="180" t="str">
        <x:v>负责页面运行时投影相关的Page投影与公共契约管理</x:v>
      </x:c>
      <x:c r="F169" s="180" t="str">
        <x:v>PagePlan, IsAttached, RuntimeBindings, ViewState</x:v>
      </x:c>
      <x:c r="G169" s="180" t="str">
        <x:v>CxPageRuntimeProjection(CxPagePlan pagePlan), Attach(CxProjectRuntimeHost host, string executionInstanceId = null), Detach(), Refresh(), GetNodeRuntimeState(string nodeAddress), SetViewState(string key, JToken value), FindNode(string address), ValidateSymbolVersion(string address, string version)</x:v>
      </x:c>
      <x:c r="H169" s="180" t="str">
        <x:v>—（待核）</x:v>
      </x:c>
      <x:c r="I169" s="180" t="str">
        <x:v>CxVisual.Platform.Orchestration.CxPageRuntimeProjection</x:v>
      </x:c>
      <x:c r="J169" s="179" t="str">
        <x:v>类</x:v>
      </x:c>
      <x:c r="K169" s="180" t="str">
        <x:v>V1.19 C-1166；原实施方式：原有。迁移风险：负责页面运行时投影相关的Page投影与公共契约管理</x:v>
      </x:c>
      <x:c r="L169" s="183" t="str">
        <x:v>源代码声明·待复核</x:v>
      </x:c>
      <x:c r="M169" s="183" t="str">
        <x:v>C-1166</x:v>
      </x:c>
      <x:c r="N169" s="184" t="str">
        <x:v>Platform/Orchestration/Runtime/CxPageRuntimeProjection.cs</x:v>
      </x:c>
      <x:c r="O169" s="183" t="str">
        <x:v>V1.19旧源码类型（真实成员/实现仍待核）
V2.01：来源ID对应；处置=保留源码·公开契约复核
V7.8：V7.8同名且源文件对应；Platform/Orchestration/Runtime/CxPageRuntimeProjection.cs</x:v>
      </x:c>
      <x:c r="P169" s="136" t="str">
        <x:v>V1.19旧源码类型（真实成员/实现仍待核）</x:v>
      </x:c>
    </x:row>
    <x:row r="170" ht="72" customHeight="1">
      <x:c r="A170" s="179" t="str">
        <x:v>M32</x:v>
      </x:c>
      <x:c r="B170" s="180" t="str">
        <x:v>运行时｜Runtime Visual / Monitor
Runtime Monitoring</x:v>
      </x:c>
      <x:c r="C170" s="180" t="str">
        <x:v>MRMCxSymbolRuntimeInstance</x:v>
      </x:c>
      <x:c r="D170" s="179" t="str">
        <x:v>原有·待核</x:v>
      </x:c>
      <x:c r="E170" s="180" t="str">
        <x:v>Symbol运行实例</x:v>
      </x:c>
      <x:c r="F170" s="180" t="str">
        <x:v>InstanceAddress, DefinitionId, Properties, Ports, State</x:v>
      </x:c>
      <x:c r="G170" s="180" t="str">
        <x:v>CxSymbolRuntimeInstance(CxResolvedSymbolInstance instance), Bind(CxPageRuntimeProjection projection), UpdateState(), Dispose()</x:v>
      </x:c>
      <x:c r="H170" s="180" t="str">
        <x:v>—（待核）</x:v>
      </x:c>
      <x:c r="I170" s="180" t="str">
        <x:v>CxVisual.Platform.Orchestration.CxSymbolRuntimeInstance</x:v>
      </x:c>
      <x:c r="J170" s="179" t="str">
        <x:v>类</x:v>
      </x:c>
      <x:c r="K170" s="180" t="str">
        <x:v>V1.19 C-1167；原实施方式：原有。迁移风险：Symbol运行实例</x:v>
      </x:c>
      <x:c r="L170" s="183" t="str">
        <x:v>源代码声明·待复核</x:v>
      </x:c>
      <x:c r="M170" s="183" t="str">
        <x:v>C-1167</x:v>
      </x:c>
      <x:c r="N170" s="184" t="str">
        <x:v>Platform/Orchestration/Runtime/CxPageRuntimeProjection.cs</x:v>
      </x:c>
      <x:c r="O170" s="183" t="str">
        <x:v>V1.19旧源码类型（真实成员/实现仍待核）
V2.01：来源ID对应；处置=保留源码·公开契约复核
V7.8：V7.8同名且源文件对应；Platform/Orchestration/Runtime/CxPageRuntimeProjection.cs</x:v>
      </x:c>
      <x:c r="P170" s="136" t="str">
        <x:v>V1.19旧源码类型（真实成员/实现仍待核）</x:v>
      </x:c>
    </x:row>
    <x:row r="171" ht="72" customHeight="1">
      <x:c r="A171" s="179" t="str">
        <x:v>M32</x:v>
      </x:c>
      <x:c r="B171" s="180" t="str">
        <x:v>运行时｜Runtime Visual / Monitor
Runtime Monitoring</x:v>
      </x:c>
      <x:c r="C171" s="180" t="str">
        <x:v>MRMCxVisualRuntimeHostControl</x:v>
      </x:c>
      <x:c r="D171" s="179" t="str">
        <x:v>原有·待核</x:v>
      </x:c>
      <x:c r="E171" s="180" t="str">
        <x:v>表达或管理Visual运行时宿主Control相关的数据及协作职责，具体行为待源码复核〔待核〕</x:v>
      </x:c>
      <x:c r="F171" s="180" t="str">
        <x:v>—（无公开声明或待核对）</x:v>
      </x:c>
      <x:c r="G171" s="180" t="str">
        <x:v>CxVisualRuntimeHostControl(), Initialize(ProjectModel project, IVariableProvider provider), StopRuntime(), Dispose(bool disposing)</x:v>
      </x:c>
      <x:c r="H171" s="180" t="str">
        <x:v>—（待核）</x:v>
      </x:c>
      <x:c r="I171" s="180" t="str">
        <x:v>CxVisual.WinFormsHost.CxVisualRuntimeHostControl</x:v>
      </x:c>
      <x:c r="J171" s="179" t="str">
        <x:v>类</x:v>
      </x:c>
      <x:c r="K171" s="180" t="str">
        <x:v>V1.19 C-1182；原实施方式：原有。迁移风险：表达或管理Visual运行时宿主Control相关的数据及协作职责，具体行为待源码复核〔待核〕</x:v>
      </x:c>
      <x:c r="L171" s="183" t="str">
        <x:v>源代码声明·待复核</x:v>
      </x:c>
      <x:c r="M171" s="183" t="str">
        <x:v>C-1182</x:v>
      </x:c>
      <x:c r="N171" s="184" t="str">
        <x:v>Platform.WinFormsHost/CxVisualRuntimeHostControl.cs</x:v>
      </x:c>
      <x:c r="O171" s="183" t="str">
        <x:v>V1.19旧源码类型（真实成员/实现仍待核）
V2.01：来源ID对应；处置=保留源码·公开契约复核
V7.8：V7.8同名且源文件对应；Platform.WinFormsHost/CxVisualRuntimeHostControl.cs</x:v>
      </x:c>
      <x:c r="P171" s="136" t="str">
        <x:v>V1.19旧源码类型（真实成员/实现仍待核）</x:v>
      </x:c>
    </x:row>
    <x:row r="172" ht="72" customHeight="1">
      <x:c r="A172" s="179" t="str">
        <x:v>M32</x:v>
      </x:c>
      <x:c r="B172" s="180" t="str">
        <x:v>运行时｜Runtime Visual / Monitor
Runtime Monitoring</x:v>
      </x:c>
      <x:c r="C172" s="180" t="str">
        <x:v>MRMProtocolMessageEntry</x:v>
      </x:c>
      <x:c r="D172" s="179" t="str">
        <x:v>原有·待核</x:v>
      </x:c>
      <x:c r="E172" s="180" t="str">
        <x:v>表达或管理规约消息Entry相关的数据及协作职责，具体行为待源码复核〔待核〕</x:v>
      </x:c>
      <x:c r="F172" s="180" t="str">
        <x:v>TimestampUtc, ConnectionId, Direction, Content</x:v>
      </x:c>
      <x:c r="G172" s="180" t="str">
        <x:v>—(无公开声明或待核对)</x:v>
      </x:c>
      <x:c r="H172" s="180" t="str">
        <x:v>—（待核）</x:v>
      </x:c>
      <x:c r="I172" s="180" t="str">
        <x:v>CxVisual.Runtime.Core.ProtocolMessageEntry</x:v>
      </x:c>
      <x:c r="J172" s="179" t="str">
        <x:v>类</x:v>
      </x:c>
      <x:c r="K172" s="180" t="str">
        <x:v>V1.19 C-1168；原实施方式：原有。迁移风险：表达或管理规约消息Entry相关的数据及协作职责，具体行为待源码复核〔待核〕</x:v>
      </x:c>
      <x:c r="L172" s="183" t="str">
        <x:v>源代码声明·待复核</x:v>
      </x:c>
      <x:c r="M172" s="183" t="str">
        <x:v>C-1168</x:v>
      </x:c>
      <x:c r="N172" s="184" t="str">
        <x:v>Platform/Runtime/M5Services.cs</x:v>
      </x:c>
      <x:c r="O172" s="183" t="str">
        <x:v>V1.19旧源码类型（真实成员/实现仍待核）
V2.01：来源ID对应；处置=保留源码·公开契约复核
V7.8：V7.8同名且源文件对应；Platform/Runtime/M5Services.cs</x:v>
      </x:c>
      <x:c r="P172" s="136" t="str">
        <x:v>V1.19旧源码类型（真实成员/实现仍待核）</x:v>
      </x:c>
    </x:row>
    <x:row r="173" ht="72" customHeight="1">
      <x:c r="A173" s="179" t="str">
        <x:v>M32</x:v>
      </x:c>
      <x:c r="B173" s="180" t="str">
        <x:v>运行时｜Runtime Visual / Monitor
Runtime Monitoring</x:v>
      </x:c>
      <x:c r="C173" s="180" t="str">
        <x:v>MRMProtocolMessageMonitor</x:v>
      </x:c>
      <x:c r="D173" s="179" t="str">
        <x:v>原有·待核</x:v>
      </x:c>
      <x:c r="E173" s="180" t="str">
        <x:v>表达或管理规约消息监视相关的数据及协作职责，具体行为待源码复核〔待核〕</x:v>
      </x:c>
      <x:c r="F173" s="180" t="str">
        <x:v>Capacity, IsPaused</x:v>
      </x:c>
      <x:c r="G173" s="180" t="str">
        <x:v>Record(string connectionId, string direction, string content), Query(string connectionId, string direction, string contains, int maximum), ExportText()</x:v>
      </x:c>
      <x:c r="H173" s="180" t="str">
        <x:v>—（待核）</x:v>
      </x:c>
      <x:c r="I173" s="180" t="str">
        <x:v>CxVisual.Runtime.Core.ProtocolMessageMonitor</x:v>
      </x:c>
      <x:c r="J173" s="179" t="str">
        <x:v>类</x:v>
      </x:c>
      <x:c r="K173" s="180" t="str">
        <x:v>V1.19 C-1169；原实施方式：原有。迁移风险：表达或管理规约消息监视相关的数据及协作职责，具体行为待源码复核〔待核〕</x:v>
      </x:c>
      <x:c r="L173" s="183" t="str">
        <x:v>源代码声明·待复核</x:v>
      </x:c>
      <x:c r="M173" s="183" t="str">
        <x:v>C-1169</x:v>
      </x:c>
      <x:c r="N173" s="184" t="str">
        <x:v>Platform/Runtime/M5Services.cs</x:v>
      </x:c>
      <x:c r="O173" s="183" t="str">
        <x:v>V1.19旧源码类型（真实成员/实现仍待核）
V2.01：来源ID对应；处置=保留源码·公开契约复核
V7.8：V7.8同名且源文件对应；Platform/Runtime/M5Services.cs</x:v>
      </x:c>
      <x:c r="P173" s="136" t="str">
        <x:v>V1.19旧源码类型（真实成员/实现仍待核）</x:v>
      </x:c>
    </x:row>
    <x:row r="174" ht="72" customHeight="1">
      <x:c r="A174" s="179" t="str">
        <x:v>M32</x:v>
      </x:c>
      <x:c r="B174" s="180" t="str">
        <x:v>运行时｜Runtime Visual / Monitor
Runtime Monitoring</x:v>
      </x:c>
      <x:c r="C174" s="180" t="str">
        <x:v>MRMReplayPoint</x:v>
      </x:c>
      <x:c r="D174" s="179" t="str">
        <x:v>原有·待核</x:v>
      </x:c>
      <x:c r="E174" s="180" t="str">
        <x:v>表达或管理ReplayPoint相关的数据及协作职责，具体行为待源码复核〔待核〕</x:v>
      </x:c>
      <x:c r="F174" s="180" t="str">
        <x:v>Offset, VariableId, Value, Quality</x:v>
      </x:c>
      <x:c r="G174" s="180" t="str">
        <x:v>—(无公开声明或待核对)</x:v>
      </x:c>
      <x:c r="H174" s="180" t="str">
        <x:v>—（待核）</x:v>
      </x:c>
      <x:c r="I174" s="180" t="str">
        <x:v>CxVisual.Runtime.Core.ReplayPoint</x:v>
      </x:c>
      <x:c r="J174" s="179" t="str">
        <x:v>类</x:v>
      </x:c>
      <x:c r="K174" s="180" t="str">
        <x:v>V1.19 C-1170；原实施方式：原有。迁移风险：表达或管理ReplayPoint相关的数据及协作职责，具体行为待源码复核〔待核〕</x:v>
      </x:c>
      <x:c r="L174" s="183" t="str">
        <x:v>源代码声明·待复核</x:v>
      </x:c>
      <x:c r="M174" s="183" t="str">
        <x:v>C-1170</x:v>
      </x:c>
      <x:c r="N174" s="184" t="str">
        <x:v>Platform/Runtime/M5Services.cs</x:v>
      </x:c>
      <x:c r="O174" s="183" t="str">
        <x:v>V1.19旧源码类型（真实成员/实现仍待核）
V2.01：来源ID对应；处置=保留源码·公开契约复核
V7.8：V7.8同名且源文件对应；Platform/Runtime/M5Services.cs</x:v>
      </x:c>
      <x:c r="P174" s="136" t="str">
        <x:v>V1.19旧源码类型（真实成员/实现仍待核）</x:v>
      </x:c>
    </x:row>
    <x:row r="175" ht="72" customHeight="1">
      <x:c r="A175" s="179" t="str">
        <x:v>M32</x:v>
      </x:c>
      <x:c r="B175" s="180" t="str">
        <x:v>运行时｜Runtime Visual / Monitor
Runtime Monitoring</x:v>
      </x:c>
      <x:c r="C175" s="180" t="str">
        <x:v>MRMReplayTimeline</x:v>
      </x:c>
      <x:c r="D175" s="179" t="str">
        <x:v>原有·待核</x:v>
      </x:c>
      <x:c r="E175" s="180" t="str">
        <x:v>表达或管理ReplayTimeline相关的数据及协作职责，具体行为待源码复核〔待核〕</x:v>
      </x:c>
      <x:c r="F175" s="180" t="str">
        <x:v>Count, Position, IsCompleted</x:v>
      </x:c>
      <x:c r="G175" s="180" t="str">
        <x:v>ReplayTimeline(IEnumerable&lt;ReplayPoint&gt; points), Reset(), TakeDue(TimeSpan elapsed), ParseCsv(string csv)</x:v>
      </x:c>
      <x:c r="H175" s="180" t="str">
        <x:v>—（待核）</x:v>
      </x:c>
      <x:c r="I175" s="180" t="str">
        <x:v>CxVisual.Runtime.Core.ReplayTimeline</x:v>
      </x:c>
      <x:c r="J175" s="179" t="str">
        <x:v>类</x:v>
      </x:c>
      <x:c r="K175" s="180" t="str">
        <x:v>V1.19 C-1171；原实施方式：原有。迁移风险：表达或管理ReplayTimeline相关的数据及协作职责，具体行为待源码复核〔待核〕</x:v>
      </x:c>
      <x:c r="L175" s="183" t="str">
        <x:v>源代码声明·待复核</x:v>
      </x:c>
      <x:c r="M175" s="183" t="str">
        <x:v>C-1171</x:v>
      </x:c>
      <x:c r="N175" s="184" t="str">
        <x:v>Platform/Runtime/M5Services.cs</x:v>
      </x:c>
      <x:c r="O175" s="183" t="str">
        <x:v>V1.19旧源码类型（真实成员/实现仍待核）
V2.01：来源ID对应；处置=保留源码·公开契约复核
V7.8：V7.8同名且源文件对应；Platform/Runtime/M5Services.cs</x:v>
      </x:c>
      <x:c r="P175" s="136" t="str">
        <x:v>V1.19旧源码类型（真实成员/实现仍待核）</x:v>
      </x:c>
    </x:row>
    <x:row r="176" ht="72" customHeight="1">
      <x:c r="A176" s="179" t="str">
        <x:v>M32</x:v>
      </x:c>
      <x:c r="B176" s="180" t="str">
        <x:v>运行时｜Runtime Visual / Monitor
Runtime Monitoring</x:v>
      </x:c>
      <x:c r="C176" s="180" t="str">
        <x:v>MRMRuntimeObjectIdentity</x:v>
      </x:c>
      <x:c r="D176" s="179" t="str">
        <x:v>原有·待核</x:v>
      </x:c>
      <x:c r="E176" s="180" t="str">
        <x:v>表达或管理运行时Object标识相关的数据及协作职责，具体行为待源码复核〔待核〕</x:v>
      </x:c>
      <x:c r="F176" s="180" t="str">
        <x:v>InstanceAddress, DefinitionId, PageId, BindingContextId, Kind</x:v>
      </x:c>
      <x:c r="G176" s="180" t="str">
        <x:v>RuntimeObjectIdentity(string address, string definitionId, string pageId, string bindingContextId, RuntimeObjectKind kind)</x:v>
      </x:c>
      <x:c r="H176" s="180" t="str">
        <x:v>—（待核）</x:v>
      </x:c>
      <x:c r="I176" s="180" t="str">
        <x:v>CxVisual.Runtime.Core.RuntimeObjectIdentity</x:v>
      </x:c>
      <x:c r="J176" s="179" t="str">
        <x:v>类</x:v>
      </x:c>
      <x:c r="K176" s="180" t="str">
        <x:v>V1.19 C-1172；原实施方式：原有。迁移风险：表达或管理运行时Object标识相关的数据及协作职责，具体行为待源码复核〔待核〕</x:v>
      </x:c>
      <x:c r="L176" s="183" t="str">
        <x:v>源代码声明·待复核</x:v>
      </x:c>
      <x:c r="M176" s="183" t="str">
        <x:v>C-1172</x:v>
      </x:c>
      <x:c r="N176" s="184" t="str">
        <x:v>Platform/Runtime/UnifiedRuntimeProjection.cs</x:v>
      </x:c>
      <x:c r="O176" s="183" t="str">
        <x:v>V1.19旧源码类型（真实成员/实现仍待核）
V2.01：来源ID对应；处置=保留源码·公开契约复核
V7.8：V7.8同名且源文件对应；Platform/Runtime/UnifiedRuntimeProjection.cs</x:v>
      </x:c>
      <x:c r="P176" s="136" t="str">
        <x:v>V1.19旧源码类型（真实成员/实现仍待核）</x:v>
      </x:c>
    </x:row>
    <x:row r="177" ht="72" customHeight="1">
      <x:c r="A177" s="179" t="str">
        <x:v>M32</x:v>
      </x:c>
      <x:c r="B177" s="180" t="str">
        <x:v>运行时｜Runtime Visual / Monitor
Runtime Monitoring</x:v>
      </x:c>
      <x:c r="C177" s="180" t="str">
        <x:v>MRMRuntimeObjectKind</x:v>
      </x:c>
      <x:c r="D177" s="179" t="str">
        <x:v>原有·待核</x:v>
      </x:c>
      <x:c r="E177" s="180" t="str">
        <x:v>定义运行时ObjectKind的候选取值、状态或模式，供相关流程作分支判断</x:v>
      </x:c>
      <x:c r="F177" s="180" t="str">
        <x:v>枚举值：Content, Symbol, Group, Element</x:v>
      </x:c>
      <x:c r="G177" s="180" t="str">
        <x:v>—(无公开声明或待核对)</x:v>
      </x:c>
      <x:c r="H177" s="180" t="str">
        <x:v>—（待核）</x:v>
      </x:c>
      <x:c r="I177" s="180" t="str">
        <x:v>CxVisual.Runtime.Core.RuntimeObjectKind</x:v>
      </x:c>
      <x:c r="J177" s="179" t="str">
        <x:v>枚举</x:v>
      </x:c>
      <x:c r="K177" s="180" t="str">
        <x:v>V1.19 C-1173；原实施方式：原有。迁移风险：定义运行时ObjectKind的候选取值、状态或模式，供相关流程作分支判断</x:v>
      </x:c>
      <x:c r="L177" s="183" t="str">
        <x:v>源代码声明·待复核</x:v>
      </x:c>
      <x:c r="M177" s="183" t="str">
        <x:v>C-1173</x:v>
      </x:c>
      <x:c r="N177" s="184" t="str">
        <x:v>Platform/Runtime/UnifiedRuntimeProjection.cs</x:v>
      </x:c>
      <x:c r="O177" s="183" t="str">
        <x:v>V1.19旧源码类型（真实成员/实现仍待核）
V2.01：来源ID对应；处置=保留源码·公开契约复核
V7.8：V7.8同名且源文件对应；Platform/Runtime/UnifiedRuntimeProjection.cs</x:v>
      </x:c>
      <x:c r="P177" s="136" t="str">
        <x:v>V1.19旧源码类型（真实成员/实现仍待核）</x:v>
      </x:c>
    </x:row>
    <x:row r="178" ht="72" customHeight="1">
      <x:c r="A178" s="179" t="str">
        <x:v>M32</x:v>
      </x:c>
      <x:c r="B178" s="180" t="str">
        <x:v>运行时｜Runtime Visual / Monitor
Runtime Monitoring</x:v>
      </x:c>
      <x:c r="C178" s="180" t="str">
        <x:v>MRMRuntimePerformanceSnapshot</x:v>
      </x:c>
      <x:c r="D178" s="179" t="str">
        <x:v>原有·待核</x:v>
      </x:c>
      <x:c r="E178" s="180" t="str">
        <x:v>保存运行时Performance快照在特定时间点的不可变状态快照</x:v>
      </x:c>
      <x:c r="F178" s="180" t="str">
        <x:v>TimestampUtc, RuntimePropertyChangeCount, BindingEvaluationCount, ActionExecutionCount, RuntimeObjectCount, ActiveChartSeriesCount, CurrentAlarmCount, OutputEntryCount, EventTraceCount</x:v>
      </x:c>
      <x:c r="G178" s="180" t="str">
        <x:v>—(无公开声明或待核对)</x:v>
      </x:c>
      <x:c r="H178" s="180" t="str">
        <x:v>—（待核）</x:v>
      </x:c>
      <x:c r="I178" s="180" t="str">
        <x:v>CxVisual.Runtime.Core.RuntimePerformanceSnapshot</x:v>
      </x:c>
      <x:c r="J178" s="179" t="str">
        <x:v>类</x:v>
      </x:c>
      <x:c r="K178" s="180" t="str">
        <x:v>V1.19 C-1174；原实施方式：原有。迁移风险：保存运行时Performance快照在特定时间点的不可变状态快照</x:v>
      </x:c>
      <x:c r="L178" s="183" t="str">
        <x:v>源代码声明·待复核</x:v>
      </x:c>
      <x:c r="M178" s="183" t="str">
        <x:v>C-1174</x:v>
      </x:c>
      <x:c r="N178" s="184" t="str">
        <x:v>Platform/Runtime/M5Services.cs</x:v>
      </x:c>
      <x:c r="O178" s="183" t="str">
        <x:v>V1.19旧源码类型（真实成员/实现仍待核）
V2.01：来源ID对应；处置=保留源码·公开契约复核
V7.8：V7.8同名且源文件对应；Platform/Runtime/M5Services.cs</x:v>
      </x:c>
      <x:c r="P178" s="136" t="str">
        <x:v>V1.19旧源码类型（真实成员/实现仍待核）</x:v>
      </x:c>
    </x:row>
    <x:row r="179" ht="72" customHeight="1">
      <x:c r="A179" s="179" t="str">
        <x:v>M32</x:v>
      </x:c>
      <x:c r="B179" s="180" t="str">
        <x:v>运行时｜Runtime Visual / Monitor
Runtime Monitoring</x:v>
      </x:c>
      <x:c r="C179" s="180" t="str">
        <x:v>MRMRuntimeProjectionService</x:v>
      </x:c>
      <x:c r="D179" s="179" t="str">
        <x:v>原有·待核</x:v>
      </x:c>
      <x:c r="E179" s="180" t="str">
        <x:v>封装运行时投影服务通用服务操作及其生命周期边界</x:v>
      </x:c>
      <x:c r="F179" s="180" t="str">
        <x:v>Index</x:v>
      </x:c>
      <x:c r="G179" s="180" t="str">
        <x:v>RuntimeProjectionService(UnifiedRuntimeProjectionIndex index), Update(string instanceAddress, string state, IEnumerable&lt;string&gt; activeLogicUnits = null), Update(string instanceAddress, string state, IEnumerable&lt;string&gt; activeLogicUnits, double? progress, string error,…), Capture(), Restore(IEnumerable&lt;RuntimeProjectionSnapshot&gt; snapshots), Find(string instanceAddress)</x:v>
      </x:c>
      <x:c r="H179" s="180" t="str">
        <x:v>—（待核）</x:v>
      </x:c>
      <x:c r="I179" s="180" t="str">
        <x:v>CxVisual.Runtime.Core.RuntimeProjectionService</x:v>
      </x:c>
      <x:c r="J179" s="179" t="str">
        <x:v>类</x:v>
      </x:c>
      <x:c r="K179" s="180" t="str">
        <x:v>V1.19 C-1175；原实施方式：原有。迁移风险：封装运行时投影服务通用服务操作及其生命周期边界</x:v>
      </x:c>
      <x:c r="L179" s="183" t="str">
        <x:v>源代码声明·待复核</x:v>
      </x:c>
      <x:c r="M179" s="183" t="str">
        <x:v>C-1175</x:v>
      </x:c>
      <x:c r="N179" s="184" t="str">
        <x:v>Platform/Runtime/UnifiedRuntimeProjection.cs</x:v>
      </x:c>
      <x:c r="O179" s="183" t="str">
        <x:v>V1.19旧源码类型（真实成员/实现仍待核）
V2.01：来源ID对应；处置=保留源码·公开契约复核
V7.8：V7.8同名且源文件对应；Platform/Runtime/UnifiedRuntimeProjection.cs</x:v>
      </x:c>
      <x:c r="P179" s="136" t="str">
        <x:v>V1.19旧源码类型（真实成员/实现仍待核）</x:v>
      </x:c>
    </x:row>
    <x:row r="180" ht="72" customHeight="1">
      <x:c r="A180" s="179" t="str">
        <x:v>M32</x:v>
      </x:c>
      <x:c r="B180" s="180" t="str">
        <x:v>运行时｜Runtime Visual / Monitor
Runtime Monitoring</x:v>
      </x:c>
      <x:c r="C180" s="180" t="str">
        <x:v>MRMRuntimeProjectionSnapshot</x:v>
      </x:c>
      <x:c r="D180" s="179" t="str">
        <x:v>原有·待核</x:v>
      </x:c>
      <x:c r="E180" s="180" t="str">
        <x:v>保存运行时投影快照在特定时间点的不可变状态快照</x:v>
      </x:c>
      <x:c r="F180" s="180" t="str">
        <x:v>InstanceAddress, State, ActiveLogicUnitIds, Progress, Error, TracePosition, UpdatedUtc</x:v>
      </x:c>
      <x:c r="G180" s="180" t="str">
        <x:v>RuntimeProjectionSnapshot(string address, string state, IList&lt;string&gt; activeLogicUnits, double? progress, string error, string traceP…)</x:v>
      </x:c>
      <x:c r="H180" s="180" t="str">
        <x:v>—（待核）</x:v>
      </x:c>
      <x:c r="I180" s="180" t="str">
        <x:v>CxVisual.Runtime.Core.RuntimeProjectionSnapshot</x:v>
      </x:c>
      <x:c r="J180" s="179" t="str">
        <x:v>类</x:v>
      </x:c>
      <x:c r="K180" s="180" t="str">
        <x:v>V1.19 C-1176；原实施方式：原有。迁移风险：保存运行时投影快照在特定时间点的不可变状态快照</x:v>
      </x:c>
      <x:c r="L180" s="183" t="str">
        <x:v>源代码声明·待复核</x:v>
      </x:c>
      <x:c r="M180" s="183" t="str">
        <x:v>C-1176</x:v>
      </x:c>
      <x:c r="N180" s="184" t="str">
        <x:v>Platform/Runtime/UnifiedRuntimeProjection.cs</x:v>
      </x:c>
      <x:c r="O180" s="183" t="str">
        <x:v>V1.19旧源码类型（真实成员/实现仍待核）
V2.01：来源ID对应；处置=保留源码·公开契约复核
V7.8：V7.8同名且源文件对应；Platform/Runtime/UnifiedRuntimeProjection.cs</x:v>
      </x:c>
      <x:c r="P180" s="136" t="str">
        <x:v>V1.19旧源码类型（真实成员/实现仍待核）</x:v>
      </x:c>
    </x:row>
    <x:row r="181" ht="72" customHeight="1">
      <x:c r="A181" s="179" t="str">
        <x:v>M32</x:v>
      </x:c>
      <x:c r="B181" s="180" t="str">
        <x:v>运行时｜Runtime Visual / Monitor
Runtime Monitoring</x:v>
      </x:c>
      <x:c r="C181" s="180" t="str">
        <x:v>MRMRuntimePropertyInspection</x:v>
      </x:c>
      <x:c r="D181" s="179" t="str">
        <x:v>原有·待核</x:v>
      </x:c>
      <x:c r="E181" s="180" t="str">
        <x:v>表达或管理运行时属性检测判定相关的数据及协作职责，具体行为待源码复核〔待核〕</x:v>
      </x:c>
      <x:c r="F181" s="180" t="str">
        <x:v>ElementId, PropertyKey, Effective, HasRuntimeOverride, DesignOrEffectiveValue</x:v>
      </x:c>
      <x:c r="G181" s="180" t="str">
        <x:v>—(无公开声明或待核对)</x:v>
      </x:c>
      <x:c r="H181" s="180" t="str">
        <x:v>—（待核）</x:v>
      </x:c>
      <x:c r="I181" s="180" t="str">
        <x:v>CxVisual.Runtime.Core.RuntimePropertyInspection</x:v>
      </x:c>
      <x:c r="J181" s="179" t="str">
        <x:v>类</x:v>
      </x:c>
      <x:c r="K181" s="180" t="str">
        <x:v>V1.19 C-1177；原实施方式：原有。迁移风险：表达或管理运行时属性检测判定相关的数据及协作职责，具体行为待源码复核〔待核〕</x:v>
      </x:c>
      <x:c r="L181" s="183" t="str">
        <x:v>源代码声明·待复核</x:v>
      </x:c>
      <x:c r="M181" s="183" t="str">
        <x:v>C-1177</x:v>
      </x:c>
      <x:c r="N181" s="184" t="str">
        <x:v>Platform/Runtime/M5Services.cs</x:v>
      </x:c>
      <x:c r="O181" s="183" t="str">
        <x:v>V1.19旧源码类型（真实成员/实现仍待核）
V2.01：来源ID对应；处置=保留源码·公开契约复核
V7.8：V7.8同名且源文件对应；Platform/Runtime/M5Services.cs</x:v>
      </x:c>
      <x:c r="P181" s="136" t="str">
        <x:v>V1.19旧源码类型（真实成员/实现仍待核）</x:v>
      </x:c>
    </x:row>
    <x:row r="182" ht="72" customHeight="1">
      <x:c r="A182" s="179" t="str">
        <x:v>M32</x:v>
      </x:c>
      <x:c r="B182" s="180" t="str">
        <x:v>运行时｜Runtime Visual / Monitor
Runtime Monitoring</x:v>
      </x:c>
      <x:c r="C182" s="180" t="str">
        <x:v>MRMRuntimeVariableFormatter</x:v>
      </x:c>
      <x:c r="D182" s="179" t="str">
        <x:v>原有·待核</x:v>
      </x:c>
      <x:c r="E182" s="180" t="str">
        <x:v>提供运行时变量Formatter相关基础操作或类型辅助处理</x:v>
      </x:c>
      <x:c r="F182" s="180" t="str">
        <x:v>—（无公开声明或待核对）</x:v>
      </x:c>
      <x:c r="G182" s="180" t="str">
        <x:v>Format(object value, string format)</x:v>
      </x:c>
      <x:c r="H182" s="180" t="str">
        <x:v>—（待核）</x:v>
      </x:c>
      <x:c r="I182" s="180" t="str">
        <x:v>CxVisual.Runtime.Core.RuntimeVariableFormatter</x:v>
      </x:c>
      <x:c r="J182" s="179" t="str">
        <x:v>静态类</x:v>
      </x:c>
      <x:c r="K182" s="180" t="str">
        <x:v>V1.19 C-1178；原实施方式：原有。迁移风险：提供运行时变量Formatter相关基础操作或类型辅助处理</x:v>
      </x:c>
      <x:c r="L182" s="183" t="str">
        <x:v>源代码声明·待复核</x:v>
      </x:c>
      <x:c r="M182" s="183" t="str">
        <x:v>C-1178</x:v>
      </x:c>
      <x:c r="N182" s="184" t="str">
        <x:v>Platform/Runtime/M5Services.cs</x:v>
      </x:c>
      <x:c r="O182" s="183" t="str">
        <x:v>V1.19旧源码类型（真实成员/实现仍待核）
V2.01：来源ID对应；处置=保留源码·公开契约复核
V7.8：V7.8同名且源文件对应；Platform/Runtime/M5Services.cs</x:v>
      </x:c>
      <x:c r="P182" s="136" t="str">
        <x:v>V1.19旧源码类型（真实成员/实现仍待核）</x:v>
      </x:c>
    </x:row>
    <x:row r="183" ht="72" customHeight="1">
      <x:c r="A183" s="179" t="str">
        <x:v>M32</x:v>
      </x:c>
      <x:c r="B183" s="180" t="str">
        <x:v>运行时｜Runtime Visual / Monitor
Runtime Monitoring</x:v>
      </x:c>
      <x:c r="C183" s="180" t="str">
        <x:v>MRMUnifiedRuntimeProjectionIndex</x:v>
      </x:c>
      <x:c r="D183" s="179" t="str">
        <x:v>原有·待核</x:v>
      </x:c>
      <x:c r="E183" s="180" t="str">
        <x:v>表达或管理Unified运行时投影索引相关的数据及协作职责，具体行为待源码复核〔待核〕</x:v>
      </x:c>
      <x:c r="F183" s="180" t="str">
        <x:v>Instances</x:v>
      </x:c>
      <x:c r="G183" s="180" t="str">
        <x:v>UnifiedRuntimeProjectionIndex(ProjectModel project), Find(string instanceAddress), FindByDefinition(string definitionId)</x:v>
      </x:c>
      <x:c r="H183" s="180" t="str">
        <x:v>—（待核）</x:v>
      </x:c>
      <x:c r="I183" s="180" t="str">
        <x:v>CxVisual.Runtime.Core.UnifiedRuntimeProjectionIndex</x:v>
      </x:c>
      <x:c r="J183" s="179" t="str">
        <x:v>类</x:v>
      </x:c>
      <x:c r="K183" s="180" t="str">
        <x:v>V1.19 C-1179；原实施方式：原有。迁移风险：表达或管理Unified运行时投影索引相关的数据及协作职责，具体行为待源码复核〔待核〕</x:v>
      </x:c>
      <x:c r="L183" s="183" t="str">
        <x:v>源代码声明·待复核</x:v>
      </x:c>
      <x:c r="M183" s="183" t="str">
        <x:v>C-1179</x:v>
      </x:c>
      <x:c r="N183" s="184" t="str">
        <x:v>Platform/Runtime/UnifiedRuntimeProjection.cs</x:v>
      </x:c>
      <x:c r="O183" s="183" t="str">
        <x:v>V1.19旧源码类型（真实成员/实现仍待核）
V2.01：来源ID对应；处置=保留源码·公开契约复核
V7.8：V7.8同名且源文件对应；Platform/Runtime/UnifiedRuntimeProjection.cs</x:v>
      </x:c>
      <x:c r="P183" s="136" t="str">
        <x:v>V1.19旧源码类型（真实成员/实现仍待核）</x:v>
      </x:c>
    </x:row>
    <x:row r="184" ht="72" customHeight="1">
      <x:c r="A184" s="179" t="str">
        <x:v>M32</x:v>
      </x:c>
      <x:c r="B184" s="180" t="str">
        <x:v>运行时｜Runtime Visual / Monitor
Runtime Monitoring</x:v>
      </x:c>
      <x:c r="C184" s="180" t="str">
        <x:v>MRMWatchListProfile</x:v>
      </x:c>
      <x:c r="D184" s="179" t="str">
        <x:v>原有·待核</x:v>
      </x:c>
      <x:c r="E184" s="180" t="str">
        <x:v>表达或管理WatchList配置档案相关的数据及协作职责，具体行为待源码复核〔待核〕</x:v>
      </x:c>
      <x:c r="F184" s="180" t="str">
        <x:v>Name, Items</x:v>
      </x:c>
      <x:c r="G184" s="180" t="str">
        <x:v>—(无公开声明或待核对)</x:v>
      </x:c>
      <x:c r="H184" s="180" t="str">
        <x:v>—（待核）</x:v>
      </x:c>
      <x:c r="I184" s="180" t="str">
        <x:v>CxVisual.Runtime.Core.WatchListProfile</x:v>
      </x:c>
      <x:c r="J184" s="179" t="str">
        <x:v>类</x:v>
      </x:c>
      <x:c r="K184" s="180" t="str">
        <x:v>V1.19 C-1180；原实施方式：原有。迁移风险：表达或管理WatchList配置档案相关的数据及协作职责，具体行为待源码复核〔待核〕</x:v>
      </x:c>
      <x:c r="L184" s="183" t="str">
        <x:v>源代码声明·待复核</x:v>
      </x:c>
      <x:c r="M184" s="183" t="str">
        <x:v>C-1180</x:v>
      </x:c>
      <x:c r="N184" s="184" t="str">
        <x:v>Platform/Runtime/M5Services.cs</x:v>
      </x:c>
      <x:c r="O184" s="183" t="str">
        <x:v>V1.19旧源码类型（真实成员/实现仍待核）
V2.01：来源ID对应；处置=保留源码·公开契约复核
V7.8：V7.8同名且源文件对应；Platform/Runtime/M5Services.cs</x:v>
      </x:c>
      <x:c r="P184" s="136" t="str">
        <x:v>V1.19旧源码类型（真实成员/实现仍待核）</x:v>
      </x:c>
    </x:row>
    <x:row r="185" ht="72" customHeight="1">
      <x:c r="A185" s="179" t="str">
        <x:v>M32</x:v>
      </x:c>
      <x:c r="B185" s="180" t="str">
        <x:v>运行时｜Runtime Visual / Monitor
Runtime Monitoring</x:v>
      </x:c>
      <x:c r="C185" s="180" t="str">
        <x:v>MRMWatchListProfileSerializer</x:v>
      </x:c>
      <x:c r="D185" s="179" t="str">
        <x:v>原有·待核</x:v>
      </x:c>
      <x:c r="E185" s="180" t="str">
        <x:v>完成WatchList配置档案Serializer数据序列化与反序列化</x:v>
      </x:c>
      <x:c r="F185" s="180" t="str">
        <x:v>—（无公开声明或待核对）</x:v>
      </x:c>
      <x:c r="G185" s="180" t="str">
        <x:v>Export(WatchListProfile profile), Import(string text)</x:v>
      </x:c>
      <x:c r="H185" s="180" t="str">
        <x:v>—（待核）</x:v>
      </x:c>
      <x:c r="I185" s="180" t="str">
        <x:v>CxVisual.Runtime.Core.WatchListProfileSerializer</x:v>
      </x:c>
      <x:c r="J185" s="179" t="str">
        <x:v>静态类</x:v>
      </x:c>
      <x:c r="K185" s="180" t="str">
        <x:v>V1.19 C-1181；原实施方式：原有。迁移风险：完成WatchList配置档案Serializer数据序列化与反序列化</x:v>
      </x:c>
      <x:c r="L185" s="183" t="str">
        <x:v>源代码声明·待复核</x:v>
      </x:c>
      <x:c r="M185" s="183" t="str">
        <x:v>C-1181</x:v>
      </x:c>
      <x:c r="N185" s="184" t="str">
        <x:v>Platform/Runtime/M5Services.cs</x:v>
      </x:c>
      <x:c r="O185" s="183" t="str">
        <x:v>V1.19旧源码类型（真实成员/实现仍待核）
V2.01：来源ID对应；处置=保留源码·公开契约复核
V7.8：V7.8同名且源文件对应；Platform/Runtime/M5Services.cs</x:v>
      </x:c>
      <x:c r="P185" s="136" t="str">
        <x:v>V1.19旧源码类型（真实成员/实现仍待核）</x:v>
      </x:c>
    </x:row>
    <x:row r="186" ht="72" customHeight="1">
      <x:c r="A186" s="179" t="str">
        <x:v>M32</x:v>
      </x:c>
      <x:c r="B186" s="180" t="str">
        <x:v>运行时｜Runtime Visual / Monitor
Runtime Monitoring</x:v>
      </x:c>
      <x:c r="C186" s="180" t="str">
        <x:v>MRMDataProbeResult</x:v>
      </x:c>
      <x:c r="D186" s="179" t="str">
        <x:v>增构候选·待查重</x:v>
      </x:c>
      <x:c r="E186" s="180" t="str">
        <x:v>数据探针</x:v>
      </x:c>
      <x:c r="F186" s="180" t="str">
        <x:v>Summary；Metadata；Preview；ViewerLink</x:v>
      </x:c>
      <x:c r="G186" s="180" t="str">
        <x:v>数据探针</x:v>
      </x:c>
      <x:c r="H186" s="180" t="str">
        <x:v>待逐对象核实</x:v>
      </x:c>
      <x:c r="I186" s="180" t="str">
        <x:v>运行对象/模型</x:v>
      </x:c>
      <x:c r="J186" s="179" t="str">
        <x:v>类/实例候选</x:v>
      </x:c>
      <x:c r="K186" s="180" t="str">
        <x:v>生命周期：Runtime UI</x:v>
      </x:c>
      <x:c r="L186" s="183" t="str">
        <x:v>设计候选，尚待源码验证</x:v>
      </x:c>
      <x:c r="M186" s="183" t="str">
        <x:v>M32.DataProbeResult</x:v>
      </x:c>
      <x:c r="N186" s="184" t="str">
        <x:v>03_能力对象!C258</x:v>
      </x:c>
      <x:c r="O186" s="183" t="str">
        <x:v>V4.9对象/属性/方法
V2.01：名称/子方面线索；处置=规划独立契约候选·未批准新增
V7.8：V7.8未检出同名词法声明</x:v>
      </x:c>
      <x:c r="P186" s="136" t="str">
        <x:v>V4.9对象/属性/方法</x:v>
      </x:c>
    </x:row>
    <x:row r="187" ht="72" customHeight="1">
      <x:c r="A187" s="179" t="str">
        <x:v>M32</x:v>
      </x:c>
      <x:c r="B187" s="180" t="str">
        <x:v>运行时｜Runtime Visual / Monitor
Runtime Monitoring</x:v>
      </x:c>
      <x:c r="C187" s="180" t="str">
        <x:v>MRMEventStreamModel</x:v>
      </x:c>
      <x:c r="D187" s="179" t="str">
        <x:v>增构候选·待查重</x:v>
      </x:c>
      <x:c r="E187" s="180" t="str">
        <x:v>事件流</x:v>
      </x:c>
      <x:c r="F187" s="180" t="str">
        <x:v>Events；Filters；Correlation</x:v>
      </x:c>
      <x:c r="G187" s="180" t="str">
        <x:v>事件流</x:v>
      </x:c>
      <x:c r="H187" s="180" t="str">
        <x:v>待逐对象核实</x:v>
      </x:c>
      <x:c r="I187" s="180" t="str">
        <x:v>运行对象/模型</x:v>
      </x:c>
      <x:c r="J187" s="179" t="str">
        <x:v>类/实例候选</x:v>
      </x:c>
      <x:c r="K187" s="180" t="str">
        <x:v>生命周期：Runtime UI</x:v>
      </x:c>
      <x:c r="L187" s="183" t="str">
        <x:v>设计候选，尚待源码验证</x:v>
      </x:c>
      <x:c r="M187" s="183" t="str">
        <x:v>M32.EventStreamModel</x:v>
      </x:c>
      <x:c r="N187" s="184" t="str">
        <x:v>03_能力对象!C259</x:v>
      </x:c>
      <x:c r="O187" s="183" t="str">
        <x:v>V4.9对象/属性/方法
V2.01：名称/子方面线索；处置=规划独立契约候选·未批准新增
V7.8：V7.8未检出同名词法声明</x:v>
      </x:c>
      <x:c r="P187" s="136" t="str">
        <x:v>V4.9对象/属性/方法</x:v>
      </x:c>
    </x:row>
    <x:row r="188" ht="72" customHeight="1">
      <x:c r="A188" s="179" t="str">
        <x:v>M32</x:v>
      </x:c>
      <x:c r="B188" s="180" t="str">
        <x:v>运行时｜Runtime Visual / Monitor
Runtime Monitoring</x:v>
      </x:c>
      <x:c r="C188" s="180" t="str">
        <x:v>MRMExecutionInstanceTreeModel</x:v>
      </x:c>
      <x:c r="D188" s="179" t="str">
        <x:v>增构候选·待查重</x:v>
      </x:c>
      <x:c r="E188" s="180" t="str">
        <x:v>实例树</x:v>
      </x:c>
      <x:c r="F188" s="180" t="str">
        <x:v>Instances；Hierarchy；Filters</x:v>
      </x:c>
      <x:c r="G188" s="180" t="str">
        <x:v>实例树</x:v>
      </x:c>
      <x:c r="H188" s="180" t="str">
        <x:v>待逐对象核实</x:v>
      </x:c>
      <x:c r="I188" s="180" t="str">
        <x:v>运行对象/模型</x:v>
      </x:c>
      <x:c r="J188" s="179" t="str">
        <x:v>类/实例候选</x:v>
      </x:c>
      <x:c r="K188" s="180" t="str">
        <x:v>生命周期：Runtime UI</x:v>
      </x:c>
      <x:c r="L188" s="183" t="str">
        <x:v>设计候选，尚待源码验证</x:v>
      </x:c>
      <x:c r="M188" s="183" t="str">
        <x:v>M32.ExecutionInstanceTreeModel</x:v>
      </x:c>
      <x:c r="N188" s="184" t="str">
        <x:v>03_能力对象!C260</x:v>
      </x:c>
      <x:c r="O188" s="183" t="str">
        <x:v>V4.9对象/属性/方法
V2.01：名称/子方面线索；处置=规划独立契约候选·未批准新增
V7.8：V7.8未检出同名词法声明</x:v>
      </x:c>
      <x:c r="P188" s="136" t="str">
        <x:v>V4.9对象/属性/方法</x:v>
      </x:c>
    </x:row>
    <x:row r="189" ht="72" customHeight="1">
      <x:c r="A189" s="179" t="str">
        <x:v>M32</x:v>
      </x:c>
      <x:c r="B189" s="180" t="str">
        <x:v>运行时｜Runtime Visual / Monitor
Runtime Monitoring</x:v>
      </x:c>
      <x:c r="C189" s="180" t="str">
        <x:v>MRMResourceInspectorModel</x:v>
      </x:c>
      <x:c r="D189" s="179" t="str">
        <x:v>增构候选·待查重</x:v>
      </x:c>
      <x:c r="E189" s="180" t="str">
        <x:v>资源监视</x:v>
      </x:c>
      <x:c r="F189" s="180" t="str">
        <x:v>Resources；Leases；Owners；Waiters；Health</x:v>
      </x:c>
      <x:c r="G189" s="180" t="str">
        <x:v>资源监视</x:v>
      </x:c>
      <x:c r="H189" s="180" t="str">
        <x:v>待逐对象核实</x:v>
      </x:c>
      <x:c r="I189" s="180" t="str">
        <x:v>运行对象/模型</x:v>
      </x:c>
      <x:c r="J189" s="179" t="str">
        <x:v>类/实例候选</x:v>
      </x:c>
      <x:c r="K189" s="180" t="str">
        <x:v>生命周期：Runtime UI</x:v>
      </x:c>
      <x:c r="L189" s="183" t="str">
        <x:v>设计候选，尚待源码验证</x:v>
      </x:c>
      <x:c r="M189" s="183" t="str">
        <x:v>M32.ResourceInspectorModel</x:v>
      </x:c>
      <x:c r="N189" s="184" t="str">
        <x:v>03_能力对象!C261</x:v>
      </x:c>
      <x:c r="O189" s="183" t="str">
        <x:v>V4.9对象/属性/方法
V2.01：名称/子方面线索；处置=规划独立契约候选·未批准新增
V7.8：V7.8未检出同名词法声明</x:v>
      </x:c>
      <x:c r="P189" s="136" t="str">
        <x:v>V4.9对象/属性/方法</x:v>
      </x:c>
    </x:row>
    <x:row r="190" ht="72" customHeight="1">
      <x:c r="A190" s="179" t="str">
        <x:v>M32</x:v>
      </x:c>
      <x:c r="B190" s="180" t="str">
        <x:v>运行时｜Runtime Visual / Monitor
Runtime Monitoring</x:v>
      </x:c>
      <x:c r="C190" s="180" t="str">
        <x:v>MRMRuntimeInspectorModel</x:v>
      </x:c>
      <x:c r="D190" s="179" t="str">
        <x:v>增构候选·待查重</x:v>
      </x:c>
      <x:c r="E190" s="180" t="str">
        <x:v>统一运行检查器</x:v>
      </x:c>
      <x:c r="F190" s="180" t="str">
        <x:v>State；Data；Resource；Policy；Fault；Trace</x:v>
      </x:c>
      <x:c r="G190" s="180" t="str">
        <x:v>统一运行检查器</x:v>
      </x:c>
      <x:c r="H190" s="180" t="str">
        <x:v>待逐对象核实</x:v>
      </x:c>
      <x:c r="I190" s="180" t="str">
        <x:v>运行对象/模型</x:v>
      </x:c>
      <x:c r="J190" s="179" t="str">
        <x:v>类/实例候选</x:v>
      </x:c>
      <x:c r="K190" s="180" t="str">
        <x:v>生命周期：Runtime UI</x:v>
      </x:c>
      <x:c r="L190" s="183" t="str">
        <x:v>设计候选，尚待源码验证</x:v>
      </x:c>
      <x:c r="M190" s="183" t="str">
        <x:v>M32.RuntimeInspectorModel</x:v>
      </x:c>
      <x:c r="N190" s="184" t="str">
        <x:v>03_能力对象!C262</x:v>
      </x:c>
      <x:c r="O190" s="183" t="str">
        <x:v>V4.9对象/属性/方法
V2.01：名称/子方面线索；处置=规划独立契约候选·未批准新增
V7.8：V7.8未检出同名词法声明</x:v>
      </x:c>
      <x:c r="P190" s="136" t="str">
        <x:v>V4.9对象/属性/方法</x:v>
      </x:c>
    </x:row>
    <x:row r="191" ht="72" customHeight="1">
      <x:c r="A191" s="179" t="str">
        <x:v>M32</x:v>
      </x:c>
      <x:c r="B191" s="180" t="str">
        <x:v>运行时｜Runtime Visual / Monitor
Runtime Monitoring</x:v>
      </x:c>
      <x:c r="C191" s="180" t="str">
        <x:v>MRMRuntimeNavigator</x:v>
      </x:c>
      <x:c r="D191" s="179" t="str">
        <x:v>增构候选·待查重</x:v>
      </x:c>
      <x:c r="E191" s="180" t="str">
        <x:v>双向定位</x:v>
      </x:c>
      <x:c r="F191" s="180" t="str">
        <x:v>DefinitionAddress；RuntimeAddress；TraceRef</x:v>
      </x:c>
      <x:c r="G191" s="180" t="str">
        <x:v>双向定位</x:v>
      </x:c>
      <x:c r="H191" s="180" t="str">
        <x:v>待逐对象核实</x:v>
      </x:c>
      <x:c r="I191" s="180" t="str">
        <x:v>运行对象/模型</x:v>
      </x:c>
      <x:c r="J191" s="179" t="str">
        <x:v>类/实例候选</x:v>
      </x:c>
      <x:c r="K191" s="180" t="str">
        <x:v>生命周期：Runtime UI</x:v>
      </x:c>
      <x:c r="L191" s="183" t="str">
        <x:v>设计候选，尚待源码验证</x:v>
      </x:c>
      <x:c r="M191" s="183" t="str">
        <x:v>M32.RuntimeNavigator</x:v>
      </x:c>
      <x:c r="N191" s="184" t="str">
        <x:v>03_能力对象!C263</x:v>
      </x:c>
      <x:c r="O191" s="183" t="str">
        <x:v>V4.9对象/属性/方法
V2.01：名称/子方面线索；处置=规划独立契约候选·未批准新增
V7.8：V7.8未检出同名词法声明</x:v>
      </x:c>
      <x:c r="P191" s="136" t="str">
        <x:v>V4.9对象/属性/方法</x:v>
      </x:c>
    </x:row>
    <x:row r="192" ht="72" customHeight="1">
      <x:c r="A192" s="179" t="str">
        <x:v>M32</x:v>
      </x:c>
      <x:c r="B192" s="180" t="str">
        <x:v>运行时｜Runtime Visual / Monitor
Runtime Monitoring</x:v>
      </x:c>
      <x:c r="C192" s="180" t="str">
        <x:v>MRMRuntimeOverlayModel</x:v>
      </x:c>
      <x:c r="D192" s="179" t="str">
        <x:v>增构候选·待查重</x:v>
      </x:c>
      <x:c r="E192" s="180" t="str">
        <x:v>运行叠加</x:v>
      </x:c>
      <x:c r="F192" s="180" t="str">
        <x:v>NodeStates；EdgeStates；ActiveInstances；Filters</x:v>
      </x:c>
      <x:c r="G192" s="180" t="str">
        <x:v>运行叠加</x:v>
      </x:c>
      <x:c r="H192" s="180" t="str">
        <x:v>待逐对象核实</x:v>
      </x:c>
      <x:c r="I192" s="180" t="str">
        <x:v>运行对象/模型</x:v>
      </x:c>
      <x:c r="J192" s="179" t="str">
        <x:v>类/实例候选</x:v>
      </x:c>
      <x:c r="K192" s="180" t="str">
        <x:v>生命周期：Runtime UI</x:v>
      </x:c>
      <x:c r="L192" s="183" t="str">
        <x:v>设计候选，尚待源码验证</x:v>
      </x:c>
      <x:c r="M192" s="183" t="str">
        <x:v>M32.RuntimeOverlayModel</x:v>
      </x:c>
      <x:c r="N192" s="184" t="str">
        <x:v>03_能力对象!C264</x:v>
      </x:c>
      <x:c r="O192" s="183" t="str">
        <x:v>V4.9对象/属性/方法
V2.01：名称/子方面线索；处置=规划独立契约候选·未批准新增
V7.8：V7.8未检出同名词法声明</x:v>
      </x:c>
      <x:c r="P192" s="136" t="str">
        <x:v>V4.9对象/属性/方法</x:v>
      </x:c>
    </x:row>
    <x:row r="193" ht="72" customHeight="1">
      <x:c r="A193" s="179" t="str">
        <x:v>M33</x:v>
      </x:c>
      <x:c r="B193" s="180" t="str">
        <x:v>运行时｜Debug / Trace / Timeline / Performance / Replay
Debug Tracing</x:v>
      </x:c>
      <x:c r="C193" s="180" t="str">
        <x:v>MDTCxBreakpoint</x:v>
      </x:c>
      <x:c r="D193" s="179" t="str">
        <x:v>原有·待核</x:v>
      </x:c>
      <x:c r="E193" s="180" t="str">
        <x:v>负责Breakpoint相关的断点与公共契约管理</x:v>
      </x:c>
      <x:c r="F193" s="180" t="str">
        <x:v>Id, NodeAddress, StepId, Condition, HitCount, Enabled, CxBreakpoint</x:v>
      </x:c>
      <x:c r="G193" s="180" t="str">
        <x:v>Validate(), ShouldBreak(CxNodeAddress address, CxExpressionContext context = null, string stepId = null)</x:v>
      </x:c>
      <x:c r="H193" s="180" t="str">
        <x:v>—（待核）</x:v>
      </x:c>
      <x:c r="I193" s="180" t="str">
        <x:v>CxVisual.Platform.Orchestration.CxBreakpoint</x:v>
      </x:c>
      <x:c r="J193" s="179" t="str">
        <x:v>类</x:v>
      </x:c>
      <x:c r="K193" s="180" t="str">
        <x:v>V1.19 C-1184；原实施方式：原有。迁移风险：负责Breakpoint相关的断点与公共契约管理</x:v>
      </x:c>
      <x:c r="L193" s="183" t="str">
        <x:v>源代码声明·待复核</x:v>
      </x:c>
      <x:c r="M193" s="183" t="str">
        <x:v>C-1184</x:v>
      </x:c>
      <x:c r="N193" s="184" t="str">
        <x:v>Platform/Orchestration/Runtime/CxDebugSession.cs</x:v>
      </x:c>
      <x:c r="O193" s="183" t="str">
        <x:v>V1.19旧源码类型（真实成员/实现仍待核）
V2.01：来源ID对应；处置=保留源码·公开契约复核
V7.8：V7.8同名且源文件对应；Platform/Orchestration/Runtime/CxDebugSession.cs</x:v>
      </x:c>
      <x:c r="P193" s="136" t="str">
        <x:v>V1.19旧源码类型（真实成员/实现仍待核）</x:v>
      </x:c>
    </x:row>
    <x:row r="194" ht="72" customHeight="1">
      <x:c r="A194" s="179" t="str">
        <x:v>M33</x:v>
      </x:c>
      <x:c r="B194" s="180" t="str">
        <x:v>运行时｜Debug / Trace / Timeline / Performance / Replay
Debug Tracing</x:v>
      </x:c>
      <x:c r="C194" s="180" t="str">
        <x:v>MDTCxDebugAddressConverter</x:v>
      </x:c>
      <x:c r="D194" s="179" t="str">
        <x:v>原有·待核</x:v>
      </x:c>
      <x:c r="E194" s="180" t="str">
        <x:v>实现DebugAddressConverter表示之间的转换，处理格式兼容性</x:v>
      </x:c>
      <x:c r="F194" s="180" t="str">
        <x:v>—（无公开声明或待核对）</x:v>
      </x:c>
      <x:c r="G194" s="180" t="str">
        <x:v>CanConvert(Type type), WriteJson(JsonWriter writer, object value, JsonSerializer serializer), ReadJson(JsonReader reader, Type type, object existing, JsonSerializer serializer)</x:v>
      </x:c>
      <x:c r="H194" s="180" t="str">
        <x:v>—（待核）</x:v>
      </x:c>
      <x:c r="I194" s="180" t="str">
        <x:v>CxVisual.Platform.Orchestration.CxDebugAddressConverter</x:v>
      </x:c>
      <x:c r="J194" s="179" t="str">
        <x:v>类</x:v>
      </x:c>
      <x:c r="K194" s="180" t="str">
        <x:v>V1.19 C-1185；原实施方式：原有。迁移风险：实现DebugAddressConverter表示之间的转换，处理格式兼容性</x:v>
      </x:c>
      <x:c r="L194" s="183" t="str">
        <x:v>源代码声明·待复核</x:v>
      </x:c>
      <x:c r="M194" s="183" t="str">
        <x:v>C-1185</x:v>
      </x:c>
      <x:c r="N194" s="184" t="str">
        <x:v>Platform/Orchestration/Runtime/CxDebugSession.cs</x:v>
      </x:c>
      <x:c r="O194" s="183" t="str">
        <x:v>V1.19旧源码类型（真实成员/实现仍待核）
V2.01：来源ID对应；处置=保留源码·公开契约复核
V7.8：V7.8同名且源文件对应；Platform/Orchestration/Runtime/CxDebugSession.cs</x:v>
      </x:c>
      <x:c r="P194" s="136" t="str">
        <x:v>V1.19旧源码类型（真实成员/实现仍待核）</x:v>
      </x:c>
    </x:row>
    <x:row r="195" ht="72" customHeight="1">
      <x:c r="A195" s="179" t="str">
        <x:v>M33</x:v>
      </x:c>
      <x:c r="B195" s="180" t="str">
        <x:v>运行时｜Debug / Trace / Timeline / Performance / Replay
Debug Tracing</x:v>
      </x:c>
      <x:c r="C195" s="180" t="str">
        <x:v>MDTCxDebugLocation</x:v>
      </x:c>
      <x:c r="D195" s="179" t="str">
        <x:v>原有·待核</x:v>
      </x:c>
      <x:c r="E195" s="180" t="str">
        <x:v>表达或管理DebugLocation相关的数据及协作职责，具体行为待源码复核〔待核〕</x:v>
      </x:c>
      <x:c r="F195" s="180" t="str">
        <x:v>NodeAddress, StepId, ExecutionInstanceId, Depth, IsAfter, Reason, Sequence</x:v>
      </x:c>
      <x:c r="G195" s="180" t="str">
        <x:v>CxDebugLocation(CxNodeAddress address, string step, string instance, int depth, bool after, string reason, long sequence)</x:v>
      </x:c>
      <x:c r="H195" s="180" t="str">
        <x:v>—（待核）</x:v>
      </x:c>
      <x:c r="I195" s="180" t="str">
        <x:v>CxVisual.Platform.Orchestration.CxDebugLocation</x:v>
      </x:c>
      <x:c r="J195" s="179" t="str">
        <x:v>类</x:v>
      </x:c>
      <x:c r="K195" s="180" t="str">
        <x:v>V1.19 C-1186；原实施方式：原有。迁移风险：表达或管理DebugLocation相关的数据及协作职责，具体行为待源码复核〔待核〕</x:v>
      </x:c>
      <x:c r="L195" s="183" t="str">
        <x:v>源代码声明·待复核</x:v>
      </x:c>
      <x:c r="M195" s="183" t="str">
        <x:v>C-1186</x:v>
      </x:c>
      <x:c r="N195" s="184" t="str">
        <x:v>Platform/Orchestration/Runtime/CxDebugSession.cs</x:v>
      </x:c>
      <x:c r="O195" s="183" t="str">
        <x:v>V1.19旧源码类型（真实成员/实现仍待核）
V2.01：来源ID对应；处置=保留源码·公开契约复核
V7.8：V7.8同名且源文件对应；Platform/Orchestration/Runtime/CxDebugSession.cs</x:v>
      </x:c>
      <x:c r="P195" s="136" t="str">
        <x:v>V1.19旧源码类型（真实成员/实现仍待核）</x:v>
      </x:c>
    </x:row>
    <x:row r="196" ht="135" customHeight="1">
      <x:c r="A196" s="179" t="str">
        <x:v>M33</x:v>
      </x:c>
      <x:c r="B196" s="180" t="str">
        <x:v>运行时｜Debug / Trace / Timeline / Performance / Replay
Debug Tracing</x:v>
      </x:c>
      <x:c r="C196" s="180" t="str">
        <x:v>MDTCxDebugSession</x:v>
      </x:c>
      <x:c r="D196" s="179" t="str">
        <x:v>原有·待核</x:v>
      </x:c>
      <x:c r="E196" s="180" t="str">
        <x:v>负责Debug会话相关的调试与公共契约管理</x:v>
      </x:c>
      <x:c r="F196" s="180" t="str">
        <x:v>RuntimeHost, Breakpoints, Watches, State, Location, LastError</x:v>
      </x:c>
      <x:c r="G196" s="180" t="str">
        <x:v>EnterFrame(CxRuntimeTrace trace), Attach(CxProjectRuntimeHost host), Detach(), AddBreakpoint(CxBreakpoint breakpoint), RemoveBreakpoint(string id), AddWatch(string expression), Pause(), Continue(), StepInto(), StepOver(), StepOut(), EvaluateWatch(CxWatchExpression watch), ReachAsync(RuntimeContext context, CxNodeAddress address, string stepId, int depth, bool after, IDictionary&lt;string, ob…); DetachHost(CxRuntimeTrace trace); ReachLogicAsync(RuntimeContext context, LogicPlan logic, LogicPlanUnit unit, int depth, bool after, IReadOnlyDictionary&lt;str…); Dispose()</x:v>
      </x:c>
      <x:c r="H196" s="180" t="str">
        <x:v>—（待核）</x:v>
      </x:c>
      <x:c r="I196" s="180" t="str">
        <x:v>CxVisual.Platform.Orchestration.CxDebugSession</x:v>
      </x:c>
      <x:c r="J196" s="179" t="str">
        <x:v>类</x:v>
      </x:c>
      <x:c r="K196" s="180" t="str">
        <x:v>V1.19 C-1187；原实施方式：原有。迁移风险：负责Debug会话相关的调试与公共契约管理</x:v>
      </x:c>
      <x:c r="L196" s="183" t="str">
        <x:v>源代码声明·待复核</x:v>
      </x:c>
      <x:c r="M196" s="183" t="str">
        <x:v>C-1187</x:v>
      </x:c>
      <x:c r="N196" s="184" t="str">
        <x:v>Platform/Orchestration/Runtime/CxDebugSession.cs</x:v>
      </x:c>
      <x:c r="O196" s="183" t="str">
        <x:v>V1.19旧源码类型（真实成员/实现仍待核）
V2.01：来源ID对应；处置=保留源码·公开契约复核
V7.8：V7.8同名且源文件对应；Platform/Orchestration/Runtime/CxDebugSession.cs</x:v>
      </x:c>
      <x:c r="P196" s="136" t="str">
        <x:v>V1.19旧源码类型（真实成员/实现仍待核）</x:v>
      </x:c>
    </x:row>
    <x:row r="197" ht="72" customHeight="1">
      <x:c r="A197" s="179" t="str">
        <x:v>M33</x:v>
      </x:c>
      <x:c r="B197" s="180" t="str">
        <x:v>运行时｜Debug / Trace / Timeline / Performance / Replay
Debug Tracing</x:v>
      </x:c>
      <x:c r="C197" s="180" t="str">
        <x:v>MDTCxDebugSessionState</x:v>
      </x:c>
      <x:c r="D197" s="179" t="str">
        <x:v>原有·待核</x:v>
      </x:c>
      <x:c r="E197" s="180" t="str">
        <x:v>定义Debug会话状态的候选取值、状态或模式，供相关流程作分支判断</x:v>
      </x:c>
      <x:c r="F197" s="180" t="str">
        <x:v>枚举值：Detached, Running, PauseRequested, Paused</x:v>
      </x:c>
      <x:c r="G197" s="180" t="str">
        <x:v>—(无公开声明或待核对)</x:v>
      </x:c>
      <x:c r="H197" s="180" t="str">
        <x:v>—（待核）</x:v>
      </x:c>
      <x:c r="I197" s="180" t="str">
        <x:v>CxVisual.Platform.Orchestration.CxDebugSessionState</x:v>
      </x:c>
      <x:c r="J197" s="179" t="str">
        <x:v>枚举</x:v>
      </x:c>
      <x:c r="K197" s="180" t="str">
        <x:v>V1.19 C-1189；原实施方式：原有。迁移风险：定义Debug会话状态的候选取值、状态或模式，供相关流程作分支判断</x:v>
      </x:c>
      <x:c r="L197" s="183" t="str">
        <x:v>源代码声明·待复核</x:v>
      </x:c>
      <x:c r="M197" s="183" t="str">
        <x:v>C-1189</x:v>
      </x:c>
      <x:c r="N197" s="184" t="str">
        <x:v>Platform/Orchestration/Runtime/CxDebugSession.cs</x:v>
      </x:c>
      <x:c r="O197" s="183" t="str">
        <x:v>V1.19旧源码类型（真实成员/实现仍待核）
V2.01：来源ID对应；处置=保留源码·公开契约复核
V7.8：V7.8同名且源文件对应；Platform/Orchestration/Runtime/CxDebugSession.cs</x:v>
      </x:c>
      <x:c r="P197" s="136" t="str">
        <x:v>V1.19旧源码类型（真实成员/实现仍待核）</x:v>
      </x:c>
    </x:row>
    <x:row r="198" ht="72" customHeight="1">
      <x:c r="A198" s="179" t="str">
        <x:v>M33</x:v>
      </x:c>
      <x:c r="B198" s="180" t="str">
        <x:v>运行时｜Debug / Trace / Timeline / Performance / Replay
Debug Tracing</x:v>
      </x:c>
      <x:c r="C198" s="180" t="str">
        <x:v>MDTCxWatchExpression</x:v>
      </x:c>
      <x:c r="D198" s="179" t="str">
        <x:v>原有·待核</x:v>
      </x:c>
      <x:c r="E198" s="180" t="str">
        <x:v>负责Watch表达式相关的Watch与公共契约管理</x:v>
      </x:c>
      <x:c r="F198" s="180" t="str">
        <x:v>Expression, LastValue, Error</x:v>
      </x:c>
      <x:c r="G198" s="180" t="str">
        <x:v>Evaluate(CxExpressionContext context)</x:v>
      </x:c>
      <x:c r="H198" s="180" t="str">
        <x:v>—（待核）</x:v>
      </x:c>
      <x:c r="I198" s="180" t="str">
        <x:v>CxVisual.Platform.Orchestration.CxWatchExpression</x:v>
      </x:c>
      <x:c r="J198" s="179" t="str">
        <x:v>类</x:v>
      </x:c>
      <x:c r="K198" s="180" t="str">
        <x:v>V1.19 C-1190；原实施方式：原有。迁移风险：负责Watch表达式相关的Watch与公共契约管理</x:v>
      </x:c>
      <x:c r="L198" s="183" t="str">
        <x:v>源代码声明·待复核</x:v>
      </x:c>
      <x:c r="M198" s="183" t="str">
        <x:v>C-1190</x:v>
      </x:c>
      <x:c r="N198" s="184" t="str">
        <x:v>Platform/Orchestration/Runtime/CxDebugSession.cs</x:v>
      </x:c>
      <x:c r="O198" s="183" t="str">
        <x:v>V1.19旧源码类型（真实成员/实现仍待核）
V2.01：来源ID对应；处置=保留源码·公开契约复核
V7.8：V7.8同名且源文件对应；Platform/Orchestration/Runtime/CxDebugSession.cs</x:v>
      </x:c>
      <x:c r="P198" s="136" t="str">
        <x:v>V1.19旧源码类型（真实成员/实现仍待核）</x:v>
      </x:c>
    </x:row>
    <x:row r="199" ht="72" customHeight="1">
      <x:c r="A199" s="179" t="str">
        <x:v>M33</x:v>
      </x:c>
      <x:c r="B199" s="180" t="str">
        <x:v>运行时｜Debug / Trace / Timeline / Performance / Replay
Debug Tracing</x:v>
      </x:c>
      <x:c r="C199" s="180" t="str">
        <x:v>MDTDataReplayWindow</x:v>
      </x:c>
      <x:c r="D199" s="179" t="str">
        <x:v>原有·待核</x:v>
      </x:c>
      <x:c r="E199" s="180" t="str">
        <x:v>表达或管理DataReplay窗口相关的数据及协作职责，具体行为待源码复核〔待核〕</x:v>
      </x:c>
      <x:c r="F199" s="180" t="str">
        <x:v>—（无公开声明或待核对）</x:v>
      </x:c>
      <x:c r="G199" s="180" t="str">
        <x:v>DataReplayWindow(IVariableProvider provider)</x:v>
      </x:c>
      <x:c r="H199" s="180" t="str">
        <x:v>—（待核）</x:v>
      </x:c>
      <x:c r="I199" s="180" t="str">
        <x:v>CxVisual.Designer.Wpf.DataReplayWindow</x:v>
      </x:c>
      <x:c r="J199" s="179" t="str">
        <x:v>类</x:v>
      </x:c>
      <x:c r="K199" s="180" t="str">
        <x:v>V1.19 C-1183；原实施方式：原有。迁移风险：表达或管理DataReplay窗口相关的数据及协作职责，具体行为待源码复核〔待核〕</x:v>
      </x:c>
      <x:c r="L199" s="183" t="str">
        <x:v>源代码声明·待复核</x:v>
      </x:c>
      <x:c r="M199" s="183" t="str">
        <x:v>C-1183</x:v>
      </x:c>
      <x:c r="N199" s="184" t="str">
        <x:v>Host/Studio/Wpf/M3Editors.cs</x:v>
      </x:c>
      <x:c r="O199" s="183" t="str">
        <x:v>V1.19旧源码类型（真实成员/实现仍待核）
V2.01：来源ID对应；处置=保留源码·公开契约复核
V7.8：V7.8同名且源文件对应；Host/Studio/Wpf/M3Editors.cs</x:v>
      </x:c>
      <x:c r="P199" s="136" t="str">
        <x:v>V1.19旧源码类型（真实成员/实现仍待核）</x:v>
      </x:c>
    </x:row>
    <x:row r="200" ht="72" customHeight="1">
      <x:c r="A200" s="179" t="str">
        <x:v>M33</x:v>
      </x:c>
      <x:c r="B200" s="180" t="str">
        <x:v>运行时｜Debug / Trace / Timeline / Performance / Replay
Debug Tracing</x:v>
      </x:c>
      <x:c r="C200" s="180" t="str">
        <x:v>MDTFrame</x:v>
      </x:c>
      <x:c r="D200" s="179" t="str">
        <x:v>原有·待核</x:v>
      </x:c>
      <x:c r="E200" s="180" t="str">
        <x:v>表达或管理帧相关的数据及协作职责，具体行为待源码复核〔待核〕</x:v>
      </x:c>
      <x:c r="F200" s="180" t="str">
        <x:v>Parent, Depth</x:v>
      </x:c>
      <x:c r="G200" s="180" t="str">
        <x:v>Frame(CxRuntimeTrace trace), Dispose()</x:v>
      </x:c>
      <x:c r="H200" s="180" t="str">
        <x:v>—（待核）</x:v>
      </x:c>
      <x:c r="I200" s="180" t="str">
        <x:v>CxVisual.Platform.Orchestration.CxDebugSession.Frame</x:v>
      </x:c>
      <x:c r="J200" s="179" t="str">
        <x:v>类</x:v>
      </x:c>
      <x:c r="K200" s="180" t="str">
        <x:v>V1.19 C-1188；原实施方式：原有。迁移风险：表达或管理帧相关的数据及协作职责，具体行为待源码复核〔待核〕</x:v>
      </x:c>
      <x:c r="L200" s="183" t="str">
        <x:v>源代码声明·待复核</x:v>
      </x:c>
      <x:c r="M200" s="183" t="str">
        <x:v>C-1188</x:v>
      </x:c>
      <x:c r="N200" s="184" t="str">
        <x:v>Platform/Orchestration/Runtime/CxDebugSession.cs</x:v>
      </x:c>
      <x:c r="O200" s="183" t="str">
        <x:v>V1.19旧源码类型（真实成员/实现仍待核）
V2.01：来源ID对应；处置=保留源码·公开契约复核
V7.8：V7.8同名且源文件对应；Platform/Orchestration/Runtime/CxDebugSession.cs</x:v>
      </x:c>
      <x:c r="P200" s="136" t="str">
        <x:v>V1.19旧源码类型（真实成员/实现仍待核）</x:v>
      </x:c>
    </x:row>
    <x:row r="201" ht="135" customHeight="1">
      <x:c r="A201" s="179" t="str">
        <x:v>M33</x:v>
      </x:c>
      <x:c r="B201" s="180" t="str">
        <x:v>运行时｜Debug / Trace / Timeline / Performance / Replay
Debug Tracing</x:v>
      </x:c>
      <x:c r="C201" s="180" t="str">
        <x:v>MDTOnlineDebugController</x:v>
      </x:c>
      <x:c r="D201" s="179" t="str">
        <x:v>原有·待核</x:v>
      </x:c>
      <x:c r="E201" s="180" t="str">
        <x:v>协调OnlineDebugController操作请求、状态更新与交互命令</x:v>
      </x:c>
      <x:c r="F201" s="180" t="str">
        <x:v>Output, EventTrace, ProtocolMessages, InteractionMode, IsRefreshPaused, ReconnectCount, LastConnectedUtc</x:v>
      </x:c>
      <x:c r="G201" s="180" t="str">
        <x:v>OnlineDebugController(IVariableProvider provider, RuntimePropertyStore propertyStore, RuntimePropertyResolver resolver, BindingDi…), AttachWritePipeline(WritePipeline writePipeline), ReadLiveValue(string variableId), ReadWatchList(IEnumerable&lt;RuntimeWatchItem&gt; items), TraceBinding(string elementId, string propertyKey, int maximumEvaluations = 20), InspectRuntimeProperty(string elementId, string propertyKey), RecordEventTrace(RuntimeEventTraceEntry entry), CreateWatchProfile(string name, IEnumerable&lt;RuntimeWatchItem&gt; items), ForceRealValueAsync(UserContext user, string variableId, object value, string reason, bool realWriteEnabled, System.Threading.C…), GetPerformanceSnapshot(int runtimeObjectCount, int chartSeriesCount, int currentAlarmCount), ForceDisplayValue(string elementId, string propertyKey, object value), ClearForcedDisplayValue(string elementId, string propertyKey), GetCommunicationMetrics(), ShouldExecuteInputEvent(string eventTypeId), Dispose()</x:v>
      </x:c>
      <x:c r="H201" s="180" t="str">
        <x:v>—（待核）</x:v>
      </x:c>
      <x:c r="I201" s="180" t="str">
        <x:v>CxVisual.Runtime.Core.OnlineDebugController</x:v>
      </x:c>
      <x:c r="J201" s="179" t="str">
        <x:v>类</x:v>
      </x:c>
      <x:c r="K201" s="180" t="str">
        <x:v>V1.19 C-1191；原实施方式：原有。迁移风险：协调OnlineDebugController操作请求、状态更新与交互命令</x:v>
      </x:c>
      <x:c r="L201" s="183" t="str">
        <x:v>源代码声明·待复核</x:v>
      </x:c>
      <x:c r="M201" s="183" t="str">
        <x:v>C-1191</x:v>
      </x:c>
      <x:c r="N201" s="184" t="str">
        <x:v>Platform/Runtime/OnlineDebugRuntime.cs</x:v>
      </x:c>
      <x:c r="O201" s="183" t="str">
        <x:v>V1.19旧源码类型（真实成员/实现仍待核）
V2.01：来源ID对应；处置=保留源码·公开契约复核
V7.8：V7.8同名且源文件对应；Platform/Runtime/OnlineDebugRuntime.cs</x:v>
      </x:c>
      <x:c r="P201" s="136" t="str">
        <x:v>V1.19旧源码类型（真实成员/实现仍待核）</x:v>
      </x:c>
    </x:row>
    <x:row r="202" ht="72" customHeight="1">
      <x:c r="A202" s="179" t="str">
        <x:v>M33</x:v>
      </x:c>
      <x:c r="B202" s="180" t="str">
        <x:v>运行时｜Debug / Trace / Timeline / Performance / Replay
Debug Tracing</x:v>
      </x:c>
      <x:c r="C202" s="180" t="str">
        <x:v>MDTOnlineInteractionMode</x:v>
      </x:c>
      <x:c r="D202" s="179" t="str">
        <x:v>原有·待核</x:v>
      </x:c>
      <x:c r="E202" s="180" t="str">
        <x:v>定义OnlineInteractionMode的候选取值、状态或模式，供相关流程作分支判断</x:v>
      </x:c>
      <x:c r="F202" s="180" t="str">
        <x:v>枚举值：Edit, Run</x:v>
      </x:c>
      <x:c r="G202" s="180" t="str">
        <x:v>—(无公开声明或待核对)</x:v>
      </x:c>
      <x:c r="H202" s="180" t="str">
        <x:v>—（待核）</x:v>
      </x:c>
      <x:c r="I202" s="180" t="str">
        <x:v>CxVisual.Runtime.Core.OnlineInteractionMode</x:v>
      </x:c>
      <x:c r="J202" s="179" t="str">
        <x:v>枚举</x:v>
      </x:c>
      <x:c r="K202" s="180" t="str">
        <x:v>V1.19 C-1192；原实施方式：原有。迁移风险：定义OnlineInteractionMode的候选取值、状态或模式，供相关流程作分支判断</x:v>
      </x:c>
      <x:c r="L202" s="183" t="str">
        <x:v>源代码声明·待复核</x:v>
      </x:c>
      <x:c r="M202" s="183" t="str">
        <x:v>C-1192</x:v>
      </x:c>
      <x:c r="N202" s="184" t="str">
        <x:v>Platform/Runtime/OnlineDebugRuntime.cs</x:v>
      </x:c>
      <x:c r="O202" s="183" t="str">
        <x:v>V1.19旧源码类型（真实成员/实现仍待核）
V2.01：来源ID对应；处置=保留源码·公开契约复核
V7.8：V7.8同名且源文件对应；Platform/Runtime/OnlineDebugRuntime.cs</x:v>
      </x:c>
      <x:c r="P202" s="136" t="str">
        <x:v>V1.19旧源码类型（真实成员/实现仍待核）</x:v>
      </x:c>
    </x:row>
    <x:row r="203" ht="72" customHeight="1">
      <x:c r="A203" s="179" t="str">
        <x:v>M33</x:v>
      </x:c>
      <x:c r="B203" s="180" t="str">
        <x:v>运行时｜Debug / Trace / Timeline / Performance / Replay
Debug Tracing</x:v>
      </x:c>
      <x:c r="C203" s="180" t="str">
        <x:v>MDTRuntimeBindingTrace</x:v>
      </x:c>
      <x:c r="D203" s="179" t="str">
        <x:v>原有·待核</x:v>
      </x:c>
      <x:c r="E203" s="180" t="str">
        <x:v>表达或管理运行时绑定追踪相关的数据及协作职责，具体行为待源码复核〔待核〕</x:v>
      </x:c>
      <x:c r="F203" s="180" t="str">
        <x:v>ElementId, PropertyKey, EffectiveValue, Quality, EffectiveSource, RecentEvaluations</x:v>
      </x:c>
      <x:c r="G203" s="180" t="str">
        <x:v>—(无公开声明或待核对)</x:v>
      </x:c>
      <x:c r="H203" s="180" t="str">
        <x:v>—（待核）</x:v>
      </x:c>
      <x:c r="I203" s="180" t="str">
        <x:v>CxVisual.Runtime.Core.RuntimeBindingTrace</x:v>
      </x:c>
      <x:c r="J203" s="179" t="str">
        <x:v>类</x:v>
      </x:c>
      <x:c r="K203" s="180" t="str">
        <x:v>V1.19 C-1193；原实施方式：原有。迁移风险：表达或管理运行时绑定追踪相关的数据及协作职责，具体行为待源码复核〔待核〕</x:v>
      </x:c>
      <x:c r="L203" s="183" t="str">
        <x:v>源代码声明·待复核</x:v>
      </x:c>
      <x:c r="M203" s="183" t="str">
        <x:v>C-1193</x:v>
      </x:c>
      <x:c r="N203" s="184" t="str">
        <x:v>Platform/Runtime/OnlineDebugRuntime.cs</x:v>
      </x:c>
      <x:c r="O203" s="183" t="str">
        <x:v>V1.19旧源码类型（真实成员/实现仍待核）
V2.01：来源ID对应；处置=保留源码·公开契约复核
V7.8：V7.8同名且源文件对应；Platform/Runtime/OnlineDebugRuntime.cs</x:v>
      </x:c>
      <x:c r="P203" s="136" t="str">
        <x:v>V1.19旧源码类型（真实成员/实现仍待核）</x:v>
      </x:c>
    </x:row>
    <x:row r="204" ht="72" customHeight="1">
      <x:c r="A204" s="179" t="str">
        <x:v>M33</x:v>
      </x:c>
      <x:c r="B204" s="180" t="str">
        <x:v>运行时｜Debug / Trace / Timeline / Performance / Replay
Debug Tracing</x:v>
      </x:c>
      <x:c r="C204" s="180" t="str">
        <x:v>MDTRuntimeCommunicationMetrics</x:v>
      </x:c>
      <x:c r="D204" s="179" t="str">
        <x:v>原有·待核</x:v>
      </x:c>
      <x:c r="E204" s="180" t="str">
        <x:v>表达或管理运行时CommunicationMetrics相关的数据及协作职责，具体行为待源码复核〔待核〕</x:v>
      </x:c>
      <x:c r="F204" s="180" t="str">
        <x:v>ProviderId, IsConnected, VariableCount, SubscriptionCount, LastUpdateUtc, LastError, ReadCount, ReadSuccessCount, ReadFailureCount, WriteCount, WriteSuccessCount, WriteFailureCount, WriteTimeoutCount, IncomingChangeCount, AverageReadMilliseconds, AverageWriteMilliseconds, ReadQps, WriteQps, …（另3项）</x:v>
      </x:c>
      <x:c r="G204" s="180" t="str">
        <x:v>—(无公开声明或待核对)</x:v>
      </x:c>
      <x:c r="H204" s="180" t="str">
        <x:v>—（待核）</x:v>
      </x:c>
      <x:c r="I204" s="180" t="str">
        <x:v>CxVisual.Runtime.Core.RuntimeCommunicationMetrics</x:v>
      </x:c>
      <x:c r="J204" s="179" t="str">
        <x:v>类</x:v>
      </x:c>
      <x:c r="K204" s="180" t="str">
        <x:v>V1.19 C-1194；原实施方式：原有。迁移风险：表达或管理运行时CommunicationMetrics相关的数据及协作职责，具体行为待源码复核〔待核〕</x:v>
      </x:c>
      <x:c r="L204" s="183" t="str">
        <x:v>源代码声明·待复核</x:v>
      </x:c>
      <x:c r="M204" s="183" t="str">
        <x:v>C-1194</x:v>
      </x:c>
      <x:c r="N204" s="184" t="str">
        <x:v>Platform/Runtime/OnlineDebugRuntime.cs</x:v>
      </x:c>
      <x:c r="O204" s="183" t="str">
        <x:v>V1.19旧源码类型（真实成员/实现仍待核）
V2.01：来源ID对应；处置=保留源码·公开契约复核
V7.8：V7.8同名且源文件对应；Platform/Runtime/OnlineDebugRuntime.cs</x:v>
      </x:c>
      <x:c r="P204" s="136" t="str">
        <x:v>V1.19旧源码类型（真实成员/实现仍待核）</x:v>
      </x:c>
    </x:row>
    <x:row r="205" ht="72" customHeight="1">
      <x:c r="A205" s="179" t="str">
        <x:v>M33</x:v>
      </x:c>
      <x:c r="B205" s="180" t="str">
        <x:v>运行时｜Debug / Trace / Timeline / Performance / Replay
Debug Tracing</x:v>
      </x:c>
      <x:c r="C205" s="180" t="str">
        <x:v>MDTRuntimeEventTraceBuffer</x:v>
      </x:c>
      <x:c r="D205" s="179" t="str">
        <x:v>原有·待核</x:v>
      </x:c>
      <x:c r="E205" s="180" t="str">
        <x:v>表达或管理运行时事件追踪缓冲区相关的数据及协作职责，具体行为待源码复核〔待核〕</x:v>
      </x:c>
      <x:c r="F205" s="180" t="str">
        <x:v>Capacity</x:v>
      </x:c>
      <x:c r="G205" s="180" t="str">
        <x:v>Add(RuntimeEventTraceEntry entry), Snapshot(), Clear()</x:v>
      </x:c>
      <x:c r="H205" s="180" t="str">
        <x:v>—（待核）</x:v>
      </x:c>
      <x:c r="I205" s="180" t="str">
        <x:v>CxVisual.Runtime.Core.RuntimeEventTraceBuffer</x:v>
      </x:c>
      <x:c r="J205" s="179" t="str">
        <x:v>类</x:v>
      </x:c>
      <x:c r="K205" s="180" t="str">
        <x:v>V1.19 C-1195；原实施方式：原有。迁移风险：表达或管理运行时事件追踪缓冲区相关的数据及协作职责，具体行为待源码复核〔待核〕</x:v>
      </x:c>
      <x:c r="L205" s="183" t="str">
        <x:v>源代码声明·待复核</x:v>
      </x:c>
      <x:c r="M205" s="183" t="str">
        <x:v>C-1195</x:v>
      </x:c>
      <x:c r="N205" s="184" t="str">
        <x:v>Platform/Runtime/M5Services.cs</x:v>
      </x:c>
      <x:c r="O205" s="183" t="str">
        <x:v>V1.19旧源码类型（真实成员/实现仍待核）
V2.01：来源ID对应；处置=保留源码·公开契约复核
V7.8：V7.8同名且源文件对应；Platform/Runtime/M5Services.cs</x:v>
      </x:c>
      <x:c r="P205" s="136" t="str">
        <x:v>V1.19旧源码类型（真实成员/实现仍待核）</x:v>
      </x:c>
    </x:row>
    <x:row r="206" ht="72" customHeight="1">
      <x:c r="A206" s="179" t="str">
        <x:v>M33</x:v>
      </x:c>
      <x:c r="B206" s="180" t="str">
        <x:v>运行时｜Debug / Trace / Timeline / Performance / Replay
Debug Tracing</x:v>
      </x:c>
      <x:c r="C206" s="180" t="str">
        <x:v>MDTRuntimeEventTraceEntry</x:v>
      </x:c>
      <x:c r="D206" s="179" t="str">
        <x:v>原有·待核</x:v>
      </x:c>
      <x:c r="E206" s="180" t="str">
        <x:v>表达或管理运行时事件追踪Entry相关的数据及协作职责，具体行为待源码复核〔待核〕</x:v>
      </x:c>
      <x:c r="F206" s="180" t="str">
        <x:v>TimestampUtc, EventTypeId, PageId, ElementId, ActionCount, BlockedByEditMode, Detail</x:v>
      </x:c>
      <x:c r="G206" s="180" t="str">
        <x:v>—(无公开声明或待核对)</x:v>
      </x:c>
      <x:c r="H206" s="180" t="str">
        <x:v>—（待核）</x:v>
      </x:c>
      <x:c r="I206" s="180" t="str">
        <x:v>CxVisual.Runtime.Core.RuntimeEventTraceEntry</x:v>
      </x:c>
      <x:c r="J206" s="179" t="str">
        <x:v>类</x:v>
      </x:c>
      <x:c r="K206" s="180" t="str">
        <x:v>V1.19 C-1196；原实施方式：原有。迁移风险：表达或管理运行时事件追踪Entry相关的数据及协作职责，具体行为待源码复核〔待核〕</x:v>
      </x:c>
      <x:c r="L206" s="183" t="str">
        <x:v>源代码声明·待复核</x:v>
      </x:c>
      <x:c r="M206" s="183" t="str">
        <x:v>C-1196</x:v>
      </x:c>
      <x:c r="N206" s="184" t="str">
        <x:v>Platform/Runtime/M5Services.cs</x:v>
      </x:c>
      <x:c r="O206" s="183" t="str">
        <x:v>V1.19旧源码类型（真实成员/实现仍待核）
V2.01：来源ID对应；处置=保留源码·公开契约复核
V7.8：V7.8同名且源文件对应；Platform/Runtime/M5Services.cs</x:v>
      </x:c>
      <x:c r="P206" s="136" t="str">
        <x:v>V1.19旧源码类型（真实成员/实现仍待核）</x:v>
      </x:c>
    </x:row>
    <x:row r="207" ht="72" customHeight="1">
      <x:c r="A207" s="179" t="str">
        <x:v>M33</x:v>
      </x:c>
      <x:c r="B207" s="180" t="str">
        <x:v>运行时｜Debug / Trace / Timeline / Performance / Replay
Debug Tracing</x:v>
      </x:c>
      <x:c r="C207" s="180" t="str">
        <x:v>MDTRuntimeOutputConsole</x:v>
      </x:c>
      <x:c r="D207" s="179" t="str">
        <x:v>原有·待核</x:v>
      </x:c>
      <x:c r="E207" s="180" t="str">
        <x:v>表达或管理运行时OutputConsole相关的数据及协作职责，具体行为待源码复核〔待核〕</x:v>
      </x:c>
      <x:c r="F207" s="180" t="str">
        <x:v>Changed, Capacity</x:v>
      </x:c>
      <x:c r="G207" s="180" t="str">
        <x:v>Add(string level, string category, string message, string code = null), Snapshot(), Clear()</x:v>
      </x:c>
      <x:c r="H207" s="180" t="str">
        <x:v>—（待核）</x:v>
      </x:c>
      <x:c r="I207" s="180" t="str">
        <x:v>CxVisual.Runtime.Core.RuntimeOutputConsole</x:v>
      </x:c>
      <x:c r="J207" s="179" t="str">
        <x:v>类</x:v>
      </x:c>
      <x:c r="K207" s="180" t="str">
        <x:v>V1.19 C-1197；原实施方式：原有。迁移风险：表达或管理运行时OutputConsole相关的数据及协作职责，具体行为待源码复核〔待核〕</x:v>
      </x:c>
      <x:c r="L207" s="183" t="str">
        <x:v>源代码声明·待复核</x:v>
      </x:c>
      <x:c r="M207" s="183" t="str">
        <x:v>C-1197</x:v>
      </x:c>
      <x:c r="N207" s="184" t="str">
        <x:v>Platform/Runtime/OnlineDebugRuntime.cs</x:v>
      </x:c>
      <x:c r="O207" s="183" t="str">
        <x:v>V1.19旧源码类型（真实成员/实现仍待核）
V2.01：来源ID对应；处置=保留源码·公开契约复核
V7.8：V7.8同名且源文件对应；Platform/Runtime/OnlineDebugRuntime.cs</x:v>
      </x:c>
      <x:c r="P207" s="136" t="str">
        <x:v>V1.19旧源码类型（真实成员/实现仍待核）</x:v>
      </x:c>
    </x:row>
    <x:row r="208" ht="72" customHeight="1">
      <x:c r="A208" s="179" t="str">
        <x:v>M33</x:v>
      </x:c>
      <x:c r="B208" s="180" t="str">
        <x:v>运行时｜Debug / Trace / Timeline / Performance / Replay
Debug Tracing</x:v>
      </x:c>
      <x:c r="C208" s="180" t="str">
        <x:v>MDTRuntimeOutputEntry</x:v>
      </x:c>
      <x:c r="D208" s="179" t="str">
        <x:v>原有·待核</x:v>
      </x:c>
      <x:c r="E208" s="180" t="str">
        <x:v>表达或管理运行时OutputEntry相关的数据及协作职责，具体行为待源码复核〔待核〕</x:v>
      </x:c>
      <x:c r="F208" s="180" t="str">
        <x:v>TimestampUtc, Level, Category, Message, Code</x:v>
      </x:c>
      <x:c r="G208" s="180" t="str">
        <x:v>—(无公开声明或待核对)</x:v>
      </x:c>
      <x:c r="H208" s="180" t="str">
        <x:v>—（待核）</x:v>
      </x:c>
      <x:c r="I208" s="180" t="str">
        <x:v>CxVisual.Runtime.Core.RuntimeOutputEntry</x:v>
      </x:c>
      <x:c r="J208" s="179" t="str">
        <x:v>类</x:v>
      </x:c>
      <x:c r="K208" s="180" t="str">
        <x:v>V1.19 C-1198；原实施方式：原有。迁移风险：表达或管理运行时OutputEntry相关的数据及协作职责，具体行为待源码复核〔待核〕</x:v>
      </x:c>
      <x:c r="L208" s="183" t="str">
        <x:v>源代码声明·待复核</x:v>
      </x:c>
      <x:c r="M208" s="183" t="str">
        <x:v>C-1198</x:v>
      </x:c>
      <x:c r="N208" s="184" t="str">
        <x:v>Platform/Runtime/OnlineDebugRuntime.cs</x:v>
      </x:c>
      <x:c r="O208" s="183" t="str">
        <x:v>V1.19旧源码类型（真实成员/实现仍待核）
V2.01：来源ID对应；处置=保留源码·公开契约复核
V7.8：V7.8同名且源文件对应；Platform/Runtime/OnlineDebugRuntime.cs</x:v>
      </x:c>
      <x:c r="P208" s="136" t="str">
        <x:v>V1.19旧源码类型（真实成员/实现仍待核）</x:v>
      </x:c>
    </x:row>
    <x:row r="209" ht="72" customHeight="1">
      <x:c r="A209" s="179" t="str">
        <x:v>M33</x:v>
      </x:c>
      <x:c r="B209" s="180" t="str">
        <x:v>运行时｜Debug / Trace / Timeline / Performance / Replay
Debug Tracing</x:v>
      </x:c>
      <x:c r="C209" s="180" t="str">
        <x:v>MDTRuntimeWatchItem</x:v>
      </x:c>
      <x:c r="D209" s="179" t="str">
        <x:v>原有·待核</x:v>
      </x:c>
      <x:c r="E209" s="180" t="str">
        <x:v>表达或管理运行时WatchItem相关的数据及协作职责，具体行为待源码复核〔待核〕</x:v>
      </x:c>
      <x:c r="F209" s="180" t="str">
        <x:v>VariableId, DisplayName, Format</x:v>
      </x:c>
      <x:c r="G209" s="180" t="str">
        <x:v>—(无公开声明或待核对)</x:v>
      </x:c>
      <x:c r="H209" s="180" t="str">
        <x:v>—（待核）</x:v>
      </x:c>
      <x:c r="I209" s="180" t="str">
        <x:v>CxVisual.Runtime.Core.RuntimeWatchItem</x:v>
      </x:c>
      <x:c r="J209" s="179" t="str">
        <x:v>类</x:v>
      </x:c>
      <x:c r="K209" s="180" t="str">
        <x:v>V1.19 C-1199；原实施方式：原有。迁移风险：表达或管理运行时WatchItem相关的数据及协作职责，具体行为待源码复核〔待核〕</x:v>
      </x:c>
      <x:c r="L209" s="183" t="str">
        <x:v>源代码声明·待复核</x:v>
      </x:c>
      <x:c r="M209" s="183" t="str">
        <x:v>C-1199</x:v>
      </x:c>
      <x:c r="N209" s="184" t="str">
        <x:v>Platform/Runtime/OnlineDebugRuntime.cs</x:v>
      </x:c>
      <x:c r="O209" s="183" t="str">
        <x:v>V1.19旧源码类型（真实成员/实现仍待核）
V2.01：来源ID对应；处置=保留源码·公开契约复核
V7.8：V7.8同名且源文件对应；Platform/Runtime/OnlineDebugRuntime.cs</x:v>
      </x:c>
      <x:c r="P209" s="136" t="str">
        <x:v>V1.19旧源码类型（真实成员/实现仍待核）</x:v>
      </x:c>
    </x:row>
    <x:row r="210" ht="72" customHeight="1">
      <x:c r="A210" s="179" t="str">
        <x:v>M33</x:v>
      </x:c>
      <x:c r="B210" s="180" t="str">
        <x:v>运行时｜Debug / Trace / Timeline / Performance / Replay
Debug Tracing</x:v>
      </x:c>
      <x:c r="C210" s="180" t="str">
        <x:v>MDTRuntimeWatchValue</x:v>
      </x:c>
      <x:c r="D210" s="179" t="str">
        <x:v>原有·待核</x:v>
      </x:c>
      <x:c r="E210" s="180" t="str">
        <x:v>表达或管理运行时Watch值相关的数据及协作职责，具体行为待源码复核〔待核〕</x:v>
      </x:c>
      <x:c r="F210" s="180" t="str">
        <x:v>Item, Value, DisplayValue, Quality, TimestampUtc, ChangeCount, IsChanged</x:v>
      </x:c>
      <x:c r="G210" s="180" t="str">
        <x:v>—(无公开声明或待核对)</x:v>
      </x:c>
      <x:c r="H210" s="180" t="str">
        <x:v>—（待核）</x:v>
      </x:c>
      <x:c r="I210" s="180" t="str">
        <x:v>CxVisual.Runtime.Core.RuntimeWatchValue</x:v>
      </x:c>
      <x:c r="J210" s="179" t="str">
        <x:v>类</x:v>
      </x:c>
      <x:c r="K210" s="180" t="str">
        <x:v>V1.19 C-1200；原实施方式：原有。迁移风险：表达或管理运行时Watch值相关的数据及协作职责，具体行为待源码复核〔待核〕</x:v>
      </x:c>
      <x:c r="L210" s="183" t="str">
        <x:v>源代码声明·待复核</x:v>
      </x:c>
      <x:c r="M210" s="183" t="str">
        <x:v>C-1200</x:v>
      </x:c>
      <x:c r="N210" s="184" t="str">
        <x:v>Platform/Runtime/OnlineDebugRuntime.cs</x:v>
      </x:c>
      <x:c r="O210" s="183" t="str">
        <x:v>V1.19旧源码类型（真实成员/实现仍待核）
V2.01：来源ID对应；处置=保留源码·公开契约复核
V7.8：V7.8同名且源文件对应；Platform/Runtime/OnlineDebugRuntime.cs</x:v>
      </x:c>
      <x:c r="P210" s="136" t="str">
        <x:v>V1.19旧源码类型（真实成员/实现仍待核）</x:v>
      </x:c>
    </x:row>
    <x:row r="211" ht="72" customHeight="1">
      <x:c r="A211" s="179" t="str">
        <x:v>M33</x:v>
      </x:c>
      <x:c r="B211" s="180" t="str">
        <x:v>运行时｜Debug / Trace / Timeline / Performance / Replay
Debug Tracing</x:v>
      </x:c>
      <x:c r="C211" s="180" t="str">
        <x:v>MDTBreakpointDefinition</x:v>
      </x:c>
      <x:c r="D211" s="179" t="str">
        <x:v>增构候选·待查重</x:v>
      </x:c>
      <x:c r="E211" s="180" t="str">
        <x:v>断点</x:v>
      </x:c>
      <x:c r="F211" s="180" t="str">
        <x:v>Kind；TargetAddress；Condition；Enabled</x:v>
      </x:c>
      <x:c r="G211" s="180" t="str">
        <x:v>断点</x:v>
      </x:c>
      <x:c r="H211" s="180" t="str">
        <x:v>待逐对象核实</x:v>
      </x:c>
      <x:c r="I211" s="180" t="str">
        <x:v>运行对象/模型</x:v>
      </x:c>
      <x:c r="J211" s="179" t="str">
        <x:v>类/实例候选</x:v>
      </x:c>
      <x:c r="K211" s="180" t="str">
        <x:v>生命周期：Runtime</x:v>
      </x:c>
      <x:c r="L211" s="183" t="str">
        <x:v>设计候选，尚待源码验证</x:v>
      </x:c>
      <x:c r="M211" s="183" t="str">
        <x:v>M33.BreakpointDefinition</x:v>
      </x:c>
      <x:c r="N211" s="184" t="str">
        <x:v>03_能力对象!C265</x:v>
      </x:c>
      <x:c r="O211" s="183" t="str">
        <x:v>V4.9对象/属性/方法
V2.01：名称/子方面线索；处置=规划独立契约候选·未批准新增
V7.8：V7.8未检出同名词法声明</x:v>
      </x:c>
      <x:c r="P211" s="136" t="str">
        <x:v>V4.9对象/属性/方法</x:v>
      </x:c>
    </x:row>
    <x:row r="212" ht="72" customHeight="1">
      <x:c r="A212" s="179" t="str">
        <x:v>M33</x:v>
      </x:c>
      <x:c r="B212" s="180" t="str">
        <x:v>运行时｜Debug / Trace / Timeline / Performance / Replay
Debug Tracing</x:v>
      </x:c>
      <x:c r="C212" s="180" t="str">
        <x:v>MDTDebugSession</x:v>
      </x:c>
      <x:c r="D212" s="179" t="str">
        <x:v>增构候选·待查重</x:v>
      </x:c>
      <x:c r="E212" s="180" t="str">
        <x:v>调试会话</x:v>
      </x:c>
      <x:c r="F212" s="180" t="str">
        <x:v>Breakpoints；Watches；State；Commands</x:v>
      </x:c>
      <x:c r="G212" s="180" t="str">
        <x:v>调试会话</x:v>
      </x:c>
      <x:c r="H212" s="180" t="str">
        <x:v>待逐对象核实</x:v>
      </x:c>
      <x:c r="I212" s="180" t="str">
        <x:v>DebugSession</x:v>
      </x:c>
      <x:c r="J212" s="179" t="str">
        <x:v>类/实例候选</x:v>
      </x:c>
      <x:c r="K212" s="180" t="str">
        <x:v>生命周期：Runtime</x:v>
      </x:c>
      <x:c r="L212" s="183" t="str">
        <x:v>设计候选，尚待源码验证</x:v>
      </x:c>
      <x:c r="M212" s="183" t="str">
        <x:v>M33.DebugSession</x:v>
      </x:c>
      <x:c r="N212" s="184" t="str">
        <x:v>03_能力对象!C266</x:v>
      </x:c>
      <x:c r="O212" s="183" t="str">
        <x:v>V4.9对象/属性/方法
V2.01：名称/子方面线索；处置=规划独立契约候选·未批准新增
V7.8：V7.8未检出同名词法声明</x:v>
      </x:c>
      <x:c r="P212" s="136" t="str">
        <x:v>V4.9对象/属性/方法</x:v>
      </x:c>
    </x:row>
    <x:row r="213" ht="72" customHeight="1">
      <x:c r="A213" s="179" t="str">
        <x:v>M33</x:v>
      </x:c>
      <x:c r="B213" s="180" t="str">
        <x:v>运行时｜Debug / Trace / Timeline / Performance / Replay
Debug Tracing</x:v>
      </x:c>
      <x:c r="C213" s="180" t="str">
        <x:v>MDTLogRoutingPolicy</x:v>
      </x:c>
      <x:c r="D213" s="179" t="str">
        <x:v>增构候选·待查重</x:v>
      </x:c>
      <x:c r="E213" s="180" t="str">
        <x:v>日志路由策略：Resolve、Filter</x:v>
      </x:c>
      <x:c r="F213" s="180" t="str">
        <x:v>Category；Level；Destination</x:v>
      </x:c>
      <x:c r="G213" s="180" t="str">
        <x:v>Resolve；Filter</x:v>
      </x:c>
      <x:c r="H213" s="180" t="str">
        <x:v>待逐对象核实</x:v>
      </x:c>
      <x:c r="I213" s="180" t="str">
        <x:v>策略定义类</x:v>
      </x:c>
      <x:c r="J213" s="179" t="str">
        <x:v>类/实例候选</x:v>
      </x:c>
      <x:c r="K213" s="180" t="str">
        <x:v>生命周期：Definition</x:v>
      </x:c>
      <x:c r="L213" s="183" t="str">
        <x:v>设计候选，尚待源码验证</x:v>
      </x:c>
      <x:c r="M213" s="183" t="str">
        <x:v>M33.LogRoutingPolicy</x:v>
      </x:c>
      <x:c r="N213" s="184" t="str">
        <x:v>03_能力对象!C267</x:v>
      </x:c>
      <x:c r="O213" s="183" t="str">
        <x:v>V4.9对象/属性/方法
V2.01：名称/子方面线索；处置=规划独立契约候选·未批准新增
V7.8：V7.8未检出同名词法声明</x:v>
      </x:c>
      <x:c r="P213" s="136" t="str">
        <x:v>V4.9对象/属性/方法</x:v>
      </x:c>
    </x:row>
    <x:row r="214" ht="72" customHeight="1">
      <x:c r="A214" s="179" t="str">
        <x:v>M33</x:v>
      </x:c>
      <x:c r="B214" s="180" t="str">
        <x:v>运行时｜Debug / Trace / Timeline / Performance / Replay
Debug Tracing</x:v>
      </x:c>
      <x:c r="C214" s="180" t="str">
        <x:v>MDTLogSink</x:v>
      </x:c>
      <x:c r="D214" s="179" t="str">
        <x:v>增构候选·待查重</x:v>
      </x:c>
      <x:c r="E214" s="180" t="str">
        <x:v>日志输出Sink：Append、Flush</x:v>
      </x:c>
      <x:c r="F214" s="180" t="str">
        <x:v>Destination；Filters</x:v>
      </x:c>
      <x:c r="G214" s="180" t="str">
        <x:v>Append；Flush</x:v>
      </x:c>
      <x:c r="H214" s="180" t="str">
        <x:v>待逐对象核实</x:v>
      </x:c>
      <x:c r="I214" s="180" t="str">
        <x:v>LogSink</x:v>
      </x:c>
      <x:c r="J214" s="179" t="str">
        <x:v>接口候选</x:v>
      </x:c>
      <x:c r="K214" s="180" t="str">
        <x:v>生命周期：Runtime</x:v>
      </x:c>
      <x:c r="L214" s="183" t="str">
        <x:v>设计候选，尚待源码验证</x:v>
      </x:c>
      <x:c r="M214" s="183" t="str">
        <x:v>M33.LogSink</x:v>
      </x:c>
      <x:c r="N214" s="184"/>
      <x:c r="O214" s="183" t="str">
        <x:v>V4.9对象/属性/方法
V2.01：未匹配V2.01；处置=暂无可信对应
V7.8：V7.8未检出同名词法声明</x:v>
      </x:c>
      <x:c r="P214" s="136" t="str">
        <x:v>V4.9对象/属性/方法</x:v>
      </x:c>
    </x:row>
    <x:row r="215" ht="72" customHeight="1">
      <x:c r="A215" s="179" t="str">
        <x:v>M33</x:v>
      </x:c>
      <x:c r="B215" s="180" t="str">
        <x:v>运行时｜Debug / Trace / Timeline / Performance / Replay
Debug Tracing</x:v>
      </x:c>
      <x:c r="C215" s="180" t="str">
        <x:v>MDTMetricRecord</x:v>
      </x:c>
      <x:c r="D215" s="179" t="str">
        <x:v>增构候选·待查重</x:v>
      </x:c>
      <x:c r="E215" s="180" t="str">
        <x:v>性能指标</x:v>
      </x:c>
      <x:c r="F215" s="180" t="str">
        <x:v>Name；Value；Unit；Tags；Timestamp</x:v>
      </x:c>
      <x:c r="G215" s="180" t="str">
        <x:v>性能指标</x:v>
      </x:c>
      <x:c r="H215" s="180" t="str">
        <x:v>待逐对象核实</x:v>
      </x:c>
      <x:c r="I215" s="180" t="str">
        <x:v>运行对象/模型</x:v>
      </x:c>
      <x:c r="J215" s="179" t="str">
        <x:v>类/实例候选</x:v>
      </x:c>
      <x:c r="K215" s="180" t="str">
        <x:v>生命周期：History</x:v>
      </x:c>
      <x:c r="L215" s="183" t="str">
        <x:v>设计候选，尚待源码验证</x:v>
      </x:c>
      <x:c r="M215" s="183" t="str">
        <x:v>M33.MetricRecord</x:v>
      </x:c>
      <x:c r="N215" s="184" t="str">
        <x:v>03_能力对象!C269</x:v>
      </x:c>
      <x:c r="O215" s="183" t="str">
        <x:v>V4.9对象/属性/方法
V2.01：名称/子方面线索；处置=规划独立契约候选·未批准新增
V7.8：V7.8未检出同名词法声明</x:v>
      </x:c>
      <x:c r="P215" s="136" t="str">
        <x:v>V4.9对象/属性/方法</x:v>
      </x:c>
    </x:row>
    <x:row r="216" ht="72" customHeight="1">
      <x:c r="A216" s="179" t="str">
        <x:v>M33</x:v>
      </x:c>
      <x:c r="B216" s="180" t="str">
        <x:v>运行时｜Debug / Trace / Timeline / Performance / Replay
Debug Tracing</x:v>
      </x:c>
      <x:c r="C216" s="180" t="str">
        <x:v>MDTProfilerSnapshot</x:v>
      </x:c>
      <x:c r="D216" s="179" t="str">
        <x:v>增构候选·待查重</x:v>
      </x:c>
      <x:c r="E216" s="180" t="str">
        <x:v>性能快照</x:v>
      </x:c>
      <x:c r="F216" s="180" t="str">
        <x:v>Node；Worker；CPU；GPU；Memory；CriticalPath</x:v>
      </x:c>
      <x:c r="G216" s="180" t="str">
        <x:v>性能快照</x:v>
      </x:c>
      <x:c r="H216" s="180" t="str">
        <x:v>待逐对象核实</x:v>
      </x:c>
      <x:c r="I216" s="180" t="str">
        <x:v>运行对象/模型</x:v>
      </x:c>
      <x:c r="J216" s="179" t="str">
        <x:v>类/实例候选</x:v>
      </x:c>
      <x:c r="K216" s="180" t="str">
        <x:v>生命周期：Runtime</x:v>
      </x:c>
      <x:c r="L216" s="183" t="str">
        <x:v>设计候选，尚待源码验证</x:v>
      </x:c>
      <x:c r="M216" s="183" t="str">
        <x:v>M33.ProfilerSnapshot</x:v>
      </x:c>
      <x:c r="N216" s="184" t="str">
        <x:v>03_能力对象!C270</x:v>
      </x:c>
      <x:c r="O216" s="183" t="str">
        <x:v>V4.9对象/属性/方法
V2.01：名称/子方面线索；处置=规划独立契约候选·未批准新增
V7.8：V7.8未检出同名词法声明</x:v>
      </x:c>
      <x:c r="P216" s="136" t="str">
        <x:v>V4.9对象/属性/方法</x:v>
      </x:c>
    </x:row>
    <x:row r="217" ht="72" customHeight="1">
      <x:c r="A217" s="179" t="str">
        <x:v>M33</x:v>
      </x:c>
      <x:c r="B217" s="180" t="str">
        <x:v>运行时｜Debug / Trace / Timeline / Performance / Replay
Debug Tracing</x:v>
      </x:c>
      <x:c r="C217" s="180" t="str">
        <x:v>MDTReplaySession</x:v>
      </x:c>
      <x:c r="D217" s="179" t="str">
        <x:v>增构候选·待查重</x:v>
      </x:c>
      <x:c r="E217" s="180" t="str">
        <x:v>历史重放</x:v>
      </x:c>
      <x:c r="F217" s="180" t="str">
        <x:v>Time；Speed；Position；Filters；ReadOnly</x:v>
      </x:c>
      <x:c r="G217" s="180" t="str">
        <x:v>历史重放</x:v>
      </x:c>
      <x:c r="H217" s="180" t="str">
        <x:v>待逐对象核实</x:v>
      </x:c>
      <x:c r="I217" s="180" t="str">
        <x:v>运行对象/模型</x:v>
      </x:c>
      <x:c r="J217" s="179" t="str">
        <x:v>类/实例候选</x:v>
      </x:c>
      <x:c r="K217" s="180" t="str">
        <x:v>生命周期：Runtime</x:v>
      </x:c>
      <x:c r="L217" s="183" t="str">
        <x:v>设计候选，尚待源码验证</x:v>
      </x:c>
      <x:c r="M217" s="183" t="str">
        <x:v>M33.ReplaySession</x:v>
      </x:c>
      <x:c r="N217" s="184" t="str">
        <x:v>03_能力对象!C271</x:v>
      </x:c>
      <x:c r="O217" s="183" t="str">
        <x:v>V4.9对象/属性/方法
V2.01：名称/子方面线索；处置=规划独立契约候选·未批准新增
V7.8：V7.8未检出同名词法声明</x:v>
      </x:c>
      <x:c r="P217" s="136" t="str">
        <x:v>V4.9对象/属性/方法</x:v>
      </x:c>
    </x:row>
    <x:row r="218" ht="72" customHeight="1">
      <x:c r="A218" s="179" t="str">
        <x:v>M33</x:v>
      </x:c>
      <x:c r="B218" s="180" t="str">
        <x:v>运行时｜Debug / Trace / Timeline / Performance / Replay
Debug Tracing</x:v>
      </x:c>
      <x:c r="C218" s="180" t="str">
        <x:v>MDTStructuredLogger</x:v>
      </x:c>
      <x:c r="D218" s="179" t="str">
        <x:v>增构候选·待查重</x:v>
      </x:c>
      <x:c r="E218" s="180" t="str">
        <x:v>结构化日志写入器：Write、Flush</x:v>
      </x:c>
      <x:c r="F218" s="180" t="str">
        <x:v>Scopes；Levels；Sinks</x:v>
      </x:c>
      <x:c r="G218" s="180" t="str">
        <x:v>Write；Flush</x:v>
      </x:c>
      <x:c r="H218" s="180" t="str">
        <x:v>待逐对象核实</x:v>
      </x:c>
      <x:c r="I218" s="180" t="str">
        <x:v>StructuredLogger</x:v>
      </x:c>
      <x:c r="J218" s="179" t="str">
        <x:v>接口候选</x:v>
      </x:c>
      <x:c r="K218" s="180" t="str">
        <x:v>生命周期：Runtime</x:v>
      </x:c>
      <x:c r="L218" s="183" t="str">
        <x:v>设计候选，尚待源码验证</x:v>
      </x:c>
      <x:c r="M218" s="183" t="str">
        <x:v>M33.StructuredLogger</x:v>
      </x:c>
      <x:c r="N218" s="184"/>
      <x:c r="O218" s="183" t="str">
        <x:v>V4.9对象/属性/方法
V2.01：未匹配V2.01；处置=暂无可信对应
V7.8：V7.8未检出同名词法声明</x:v>
      </x:c>
      <x:c r="P218" s="136" t="str">
        <x:v>V4.9对象/属性/方法</x:v>
      </x:c>
    </x:row>
    <x:row r="219" ht="72" customHeight="1">
      <x:c r="A219" s="179" t="str">
        <x:v>M33</x:v>
      </x:c>
      <x:c r="B219" s="180" t="str">
        <x:v>运行时｜Debug / Trace / Timeline / Performance / Replay
Debug Tracing</x:v>
      </x:c>
      <x:c r="C219" s="180" t="str">
        <x:v>MDTTimelineRecord</x:v>
      </x:c>
      <x:c r="D219" s="179" t="str">
        <x:v>增构候选·待查重</x:v>
      </x:c>
      <x:c r="E219" s="180" t="str">
        <x:v>时间线</x:v>
      </x:c>
      <x:c r="F219" s="180" t="str">
        <x:v>Start；End；Kind；Resource；Worker；Instance</x:v>
      </x:c>
      <x:c r="G219" s="180" t="str">
        <x:v>时间线</x:v>
      </x:c>
      <x:c r="H219" s="180" t="str">
        <x:v>待逐对象核实</x:v>
      </x:c>
      <x:c r="I219" s="180" t="str">
        <x:v>运行对象/模型</x:v>
      </x:c>
      <x:c r="J219" s="179" t="str">
        <x:v>类/实例候选</x:v>
      </x:c>
      <x:c r="K219" s="180" t="str">
        <x:v>生命周期：History</x:v>
      </x:c>
      <x:c r="L219" s="183" t="str">
        <x:v>设计候选，尚待源码验证</x:v>
      </x:c>
      <x:c r="M219" s="183" t="str">
        <x:v>M33.TimelineRecord</x:v>
      </x:c>
      <x:c r="N219" s="184" t="str">
        <x:v>03_能力对象!C273</x:v>
      </x:c>
      <x:c r="O219" s="183" t="str">
        <x:v>V4.9对象/属性/方法
V2.01：名称/子方面线索；处置=规划独立契约候选·未批准新增
V7.8：V7.8未检出同名词法声明</x:v>
      </x:c>
      <x:c r="P219" s="136" t="str">
        <x:v>V4.9对象/属性/方法</x:v>
      </x:c>
    </x:row>
    <x:row r="220" ht="72" customHeight="1">
      <x:c r="A220" s="179" t="str">
        <x:v>M33</x:v>
      </x:c>
      <x:c r="B220" s="180" t="str">
        <x:v>运行时｜Debug / Trace / Timeline / Performance / Replay
Debug Tracing</x:v>
      </x:c>
      <x:c r="C220" s="180" t="str">
        <x:v>MDTTraceCorrelationService</x:v>
      </x:c>
      <x:c r="D220" s="179" t="str">
        <x:v>增构候选·待查重</x:v>
      </x:c>
      <x:c r="E220" s="180" t="str">
        <x:v>执行链关联服务：CreateSpan、Link</x:v>
      </x:c>
      <x:c r="F220" s="180" t="str">
        <x:v>TraceId；SpanId；Context</x:v>
      </x:c>
      <x:c r="G220" s="180" t="str">
        <x:v>CreateSpan；Link</x:v>
      </x:c>
      <x:c r="H220" s="180" t="str">
        <x:v>待逐对象核实</x:v>
      </x:c>
      <x:c r="I220" s="180" t="str">
        <x:v>TraceCorrelationService</x:v>
      </x:c>
      <x:c r="J220" s="179" t="str">
        <x:v>类/实例候选</x:v>
      </x:c>
      <x:c r="K220" s="180" t="str">
        <x:v>生命周期：Runtime</x:v>
      </x:c>
      <x:c r="L220" s="183" t="str">
        <x:v>设计候选，尚待源码验证</x:v>
      </x:c>
      <x:c r="M220" s="183" t="str">
        <x:v>M33.TraceCorrelationService</x:v>
      </x:c>
      <x:c r="N220" s="184" t="str">
        <x:v>03_能力对象!C274</x:v>
      </x:c>
      <x:c r="O220" s="183" t="str">
        <x:v>V4.9对象/属性/方法
V2.01：名称/子方面线索；处置=规划独立契约候选·未批准新增
V7.8：V7.8未检出同名词法声明</x:v>
      </x:c>
      <x:c r="P220" s="136" t="str">
        <x:v>V4.9对象/属性/方法</x:v>
      </x:c>
    </x:row>
    <x:row r="221" ht="72" customHeight="1">
      <x:c r="A221" s="179" t="str">
        <x:v>M33</x:v>
      </x:c>
      <x:c r="B221" s="180" t="str">
        <x:v>运行时｜Debug / Trace / Timeline / Performance / Replay
Debug Tracing</x:v>
      </x:c>
      <x:c r="C221" s="180" t="str">
        <x:v>MDTTraceRecord</x:v>
      </x:c>
      <x:c r="D221" s="179" t="str">
        <x:v>增构候选·待查重</x:v>
      </x:c>
      <x:c r="E221" s="180" t="str">
        <x:v>结构化轨迹</x:v>
      </x:c>
      <x:c r="F221" s="180" t="str">
        <x:v>Timestamp；Correlation；Instance；Address；Kind；Data</x:v>
      </x:c>
      <x:c r="G221" s="180" t="str">
        <x:v>结构化轨迹</x:v>
      </x:c>
      <x:c r="H221" s="180" t="str">
        <x:v>待逐对象核实</x:v>
      </x:c>
      <x:c r="I221" s="180" t="str">
        <x:v>运行对象/模型</x:v>
      </x:c>
      <x:c r="J221" s="179" t="str">
        <x:v>类/实例候选</x:v>
      </x:c>
      <x:c r="K221" s="180" t="str">
        <x:v>生命周期：History</x:v>
      </x:c>
      <x:c r="L221" s="183" t="str">
        <x:v>设计候选，尚待源码验证</x:v>
      </x:c>
      <x:c r="M221" s="183" t="str">
        <x:v>M33.TraceRecord</x:v>
      </x:c>
      <x:c r="N221" s="184" t="str">
        <x:v>03_能力对象!C275</x:v>
      </x:c>
      <x:c r="O221" s="183" t="str">
        <x:v>V4.9对象/属性/方法
V2.01：名称/子方面线索；处置=规划独立契约候选·未批准新增
V7.8：V7.8未检出同名词法声明</x:v>
      </x:c>
      <x:c r="P221" s="136" t="str">
        <x:v>V4.9对象/属性/方法</x:v>
      </x:c>
    </x:row>
    <x:row r="222" ht="72" customHeight="1">
      <x:c r="A222" s="179" t="str">
        <x:v>M33</x:v>
      </x:c>
      <x:c r="B222" s="180" t="str">
        <x:v>运行时｜Debug / Trace / Timeline / Performance / Replay
Debug Tracing</x:v>
      </x:c>
      <x:c r="C222" s="180" t="str">
        <x:v>MDTWatchExpression</x:v>
      </x:c>
      <x:c r="D222" s="179" t="str">
        <x:v>增构候选·待查重</x:v>
      </x:c>
      <x:c r="E222" s="180" t="str">
        <x:v>Watch</x:v>
      </x:c>
      <x:c r="F222" s="180" t="str">
        <x:v>Expression；Scope；Format</x:v>
      </x:c>
      <x:c r="G222" s="180" t="str">
        <x:v>Watch</x:v>
      </x:c>
      <x:c r="H222" s="180" t="str">
        <x:v>待逐对象核实</x:v>
      </x:c>
      <x:c r="I222" s="180" t="str">
        <x:v>运行对象/模型</x:v>
      </x:c>
      <x:c r="J222" s="179" t="str">
        <x:v>类/实例候选</x:v>
      </x:c>
      <x:c r="K222" s="180" t="str">
        <x:v>生命周期：Runtime</x:v>
      </x:c>
      <x:c r="L222" s="183" t="str">
        <x:v>设计候选，尚待源码验证</x:v>
      </x:c>
      <x:c r="M222" s="183" t="str">
        <x:v>M33.WatchExpression</x:v>
      </x:c>
      <x:c r="N222" s="184" t="str">
        <x:v>03_能力对象!C276</x:v>
      </x:c>
      <x:c r="O222" s="183" t="str">
        <x:v>V4.9对象/属性/方法
V2.01：名称/子方面线索；处置=规划独立契约候选·未批准新增
V7.8：V7.8未检出同名词法声明</x:v>
      </x:c>
      <x:c r="P222" s="136" t="str">
        <x:v>V4.9对象/属性/方法</x:v>
      </x:c>
    </x:row>
    <x:row r="223" ht="72" customHeight="1">
      <x:c r="A223" s="179" t="str">
        <x:v>M33</x:v>
      </x:c>
      <x:c r="B223" s="180" t="str">
        <x:v>运行时｜Debug / Trace / Timeline / Performance / Replay
Debug Tracing</x:v>
      </x:c>
      <x:c r="C223" s="180" t="str">
        <x:v>IMDTLogSink</x:v>
      </x:c>
      <x:c r="D223" s="179" t="str">
        <x:v>增构候选·待查重</x:v>
      </x:c>
      <x:c r="E223" s="180" t="str">
        <x:v>日志输出Sink：Append、Flush</x:v>
      </x:c>
      <x:c r="F223" s="180" t="str">
        <x:v>Destination, Filters</x:v>
      </x:c>
      <x:c r="G223" s="180" t="str">
        <x:v>Append(), Flush()</x:v>
      </x:c>
      <x:c r="H223" s="180" t="str">
        <x:v>—（待核）</x:v>
      </x:c>
      <x:c r="I223" s="180" t="str">
        <x:v>LogSink</x:v>
      </x:c>
      <x:c r="J223" s="179" t="str">
        <x:v>接口（候选）</x:v>
      </x:c>
      <x:c r="K223" s="180" t="str">
        <x:v>V1.19 S-0493；原实施方式：增构候选。迁移风险：日志输出Sink：Append、Flush</x:v>
      </x:c>
      <x:c r="L223" s="183" t="str">
        <x:v>V1.19设计候选·待核</x:v>
      </x:c>
      <x:c r="M223" s="183" t="str">
        <x:v>S-0493</x:v>
      </x:c>
      <x:c r="N223" s="184" t="str">
        <x:v>03_能力对象!C268</x:v>
      </x:c>
      <x:c r="O223" s="183" t="str">
        <x:v>V1.19旧规格候选
V2.01：来源ID对应；处置=规划独立契约候选·未批准新增
V7.8：V7.8未检出同名词法声明</x:v>
      </x:c>
      <x:c r="P223" s="136" t="str">
        <x:v>V1.19旧规格候选</x:v>
      </x:c>
    </x:row>
    <x:row r="224" ht="72" customHeight="1">
      <x:c r="A224" s="179" t="str">
        <x:v>M33</x:v>
      </x:c>
      <x:c r="B224" s="180" t="str">
        <x:v>运行时｜Debug / Trace / Timeline / Performance / Replay
Debug Tracing</x:v>
      </x:c>
      <x:c r="C224" s="180" t="str">
        <x:v>IMDTStructuredLogger</x:v>
      </x:c>
      <x:c r="D224" s="179" t="str">
        <x:v>增构候选·待查重</x:v>
      </x:c>
      <x:c r="E224" s="180" t="str">
        <x:v>结构化日志写入器：Write、Flush</x:v>
      </x:c>
      <x:c r="F224" s="180" t="str">
        <x:v>Scopes, Levels, Sinks</x:v>
      </x:c>
      <x:c r="G224" s="180" t="str">
        <x:v>Write(), Flush()</x:v>
      </x:c>
      <x:c r="H224" s="180" t="str">
        <x:v>—（待核）</x:v>
      </x:c>
      <x:c r="I224" s="180" t="str">
        <x:v>StructuredLogger</x:v>
      </x:c>
      <x:c r="J224" s="179" t="str">
        <x:v>接口（候选）</x:v>
      </x:c>
      <x:c r="K224" s="180" t="str">
        <x:v>V1.19 S-0497；原实施方式：增构候选。迁移风险：结构化日志写入器：Write、Flush</x:v>
      </x:c>
      <x:c r="L224" s="183" t="str">
        <x:v>V1.19设计候选·待核</x:v>
      </x:c>
      <x:c r="M224" s="183" t="str">
        <x:v>S-0497</x:v>
      </x:c>
      <x:c r="N224" s="184" t="str">
        <x:v>03_能力对象!C272</x:v>
      </x:c>
      <x:c r="O224" s="183" t="str">
        <x:v>V1.19旧规格候选
V2.01：来源ID对应；处置=规划独立契约候选·未批准新增
V7.8：V7.8未检出同名词法声明</x:v>
      </x:c>
      <x:c r="P224" s="136" t="str">
        <x:v>V1.19旧规格候选</x:v>
      </x:c>
    </x:row>
    <x:row r="225" ht="72" customHeight="1">
      <x:c r="A225" s="179" t="str">
        <x:v>M34</x:v>
      </x:c>
      <x:c r="B225" s="180" t="str">
        <x:v>仿真与验证｜Simulation / Virtualization / Fault Injection
Simulation Virtualization</x:v>
      </x:c>
      <x:c r="C225" s="180" t="str">
        <x:v>MSVFaultModel</x:v>
      </x:c>
      <x:c r="D225" s="179" t="str">
        <x:v>增构候选·待查重</x:v>
      </x:c>
      <x:c r="E225" s="180" t="str">
        <x:v>故障模型</x:v>
      </x:c>
      <x:c r="F225" s="180" t="str">
        <x:v>FaultType；Trigger；Duration；Parameters</x:v>
      </x:c>
      <x:c r="G225" s="180" t="str">
        <x:v>故障模型</x:v>
      </x:c>
      <x:c r="H225" s="180" t="str">
        <x:v>待逐对象核实</x:v>
      </x:c>
      <x:c r="I225" s="180" t="str">
        <x:v>FaultModel</x:v>
      </x:c>
      <x:c r="J225" s="179" t="str">
        <x:v>类/实例候选</x:v>
      </x:c>
      <x:c r="K225" s="180" t="str">
        <x:v>生命周期：Definition</x:v>
      </x:c>
      <x:c r="L225" s="183" t="str">
        <x:v>设计候选，尚待源码验证</x:v>
      </x:c>
      <x:c r="M225" s="183" t="str">
        <x:v>M34.FaultModel</x:v>
      </x:c>
      <x:c r="N225" s="184" t="str">
        <x:v>03_能力对象!C277</x:v>
      </x:c>
      <x:c r="O225" s="183" t="str">
        <x:v>V4.9对象/属性/方法
V2.01：未匹配V2.01；处置=暂无可信对应
V7.8：V7.8未检出同名词法声明</x:v>
      </x:c>
      <x:c r="P225" s="136" t="str">
        <x:v>V4.9对象/属性/方法</x:v>
      </x:c>
    </x:row>
    <x:row r="226" ht="72" customHeight="1">
      <x:c r="A226" s="179" t="str">
        <x:v>M34</x:v>
      </x:c>
      <x:c r="B226" s="180" t="str">
        <x:v>仿真与验证｜Simulation / Virtualization / Fault Injection
Simulation Virtualization</x:v>
      </x:c>
      <x:c r="C226" s="180" t="str">
        <x:v>MSVHybridBinding</x:v>
      </x:c>
      <x:c r="D226" s="179" t="str">
        <x:v>增构候选·待查重</x:v>
      </x:c>
      <x:c r="E226" s="180" t="str">
        <x:v>虚实绑定</x:v>
      </x:c>
      <x:c r="F226" s="180" t="str">
        <x:v>RealRef；VirtualRef；Sync；Safety</x:v>
      </x:c>
      <x:c r="G226" s="180" t="str">
        <x:v>虚实绑定</x:v>
      </x:c>
      <x:c r="H226" s="180" t="str">
        <x:v>待逐对象核实</x:v>
      </x:c>
      <x:c r="I226" s="180" t="str">
        <x:v>运行对象/模型</x:v>
      </x:c>
      <x:c r="J226" s="179" t="str">
        <x:v>类/实例候选</x:v>
      </x:c>
      <x:c r="K226" s="180" t="str">
        <x:v>生命周期：Definition</x:v>
      </x:c>
      <x:c r="L226" s="183" t="str">
        <x:v>设计候选，尚待源码验证</x:v>
      </x:c>
      <x:c r="M226" s="183" t="str">
        <x:v>M34.HybridBinding</x:v>
      </x:c>
      <x:c r="N226" s="184" t="str">
        <x:v>03_能力对象!C278</x:v>
      </x:c>
      <x:c r="O226" s="183" t="str">
        <x:v>V4.9对象/属性/方法
V2.01：未匹配V2.01；处置=暂无可信对应
V7.8：V7.8未检出同名词法声明</x:v>
      </x:c>
      <x:c r="P226" s="136" t="str">
        <x:v>V4.9对象/属性/方法</x:v>
      </x:c>
    </x:row>
    <x:row r="227" ht="72" customHeight="1">
      <x:c r="A227" s="179" t="str">
        <x:v>M34</x:v>
      </x:c>
      <x:c r="B227" s="180" t="str">
        <x:v>仿真与验证｜Simulation / Virtualization / Fault Injection
Simulation Virtualization</x:v>
      </x:c>
      <x:c r="C227" s="180" t="str">
        <x:v>MSVReplaySet</x:v>
      </x:c>
      <x:c r="D227" s="179" t="str">
        <x:v>增构候选·待查重</x:v>
      </x:c>
      <x:c r="E227" s="180" t="str">
        <x:v>回放集</x:v>
      </x:c>
      <x:c r="F227" s="180" t="str">
        <x:v>Sources；Mappings；TimeRange</x:v>
      </x:c>
      <x:c r="G227" s="180" t="str">
        <x:v>回放集</x:v>
      </x:c>
      <x:c r="H227" s="180" t="str">
        <x:v>待逐对象核实</x:v>
      </x:c>
      <x:c r="I227" s="180" t="str">
        <x:v>ReplaySet</x:v>
      </x:c>
      <x:c r="J227" s="179" t="str">
        <x:v>类/实例候选</x:v>
      </x:c>
      <x:c r="K227" s="180" t="str">
        <x:v>生命周期：Definition</x:v>
      </x:c>
      <x:c r="L227" s="183" t="str">
        <x:v>设计候选，尚待源码验证</x:v>
      </x:c>
      <x:c r="M227" s="183" t="str">
        <x:v>M34.ReplaySet</x:v>
      </x:c>
      <x:c r="N227" s="184" t="str">
        <x:v>03_能力对象!C279</x:v>
      </x:c>
      <x:c r="O227" s="183" t="str">
        <x:v>V4.9对象/属性/方法
V2.01：未匹配V2.01；处置=暂无可信对应
V7.8：V7.8未检出同名词法声明</x:v>
      </x:c>
      <x:c r="P227" s="136" t="str">
        <x:v>V4.9对象/属性/方法</x:v>
      </x:c>
    </x:row>
    <x:row r="228" ht="72" customHeight="1">
      <x:c r="A228" s="179" t="str">
        <x:v>M34</x:v>
      </x:c>
      <x:c r="B228" s="180" t="str">
        <x:v>仿真与验证｜Simulation / Virtualization / Fault Injection
Simulation Virtualization</x:v>
      </x:c>
      <x:c r="C228" s="180" t="str">
        <x:v>MSVScenarioDefinition</x:v>
      </x:c>
      <x:c r="D228" s="179" t="str">
        <x:v>增构候选·待查重</x:v>
      </x:c>
      <x:c r="E228" s="180" t="str">
        <x:v>场景</x:v>
      </x:c>
      <x:c r="F228" s="180" t="str">
        <x:v>InitialState；Stimuli；Stages；Assertions；Expected</x:v>
      </x:c>
      <x:c r="G228" s="180" t="str">
        <x:v>场景</x:v>
      </x:c>
      <x:c r="H228" s="180" t="str">
        <x:v>待逐对象核实</x:v>
      </x:c>
      <x:c r="I228" s="180" t="str">
        <x:v>ScenarioDefinition</x:v>
      </x:c>
      <x:c r="J228" s="179" t="str">
        <x:v>类/实例候选</x:v>
      </x:c>
      <x:c r="K228" s="180" t="str">
        <x:v>生命周期：Definition</x:v>
      </x:c>
      <x:c r="L228" s="183" t="str">
        <x:v>设计候选，尚待源码验证</x:v>
      </x:c>
      <x:c r="M228" s="183" t="str">
        <x:v>M34.ScenarioDefinition</x:v>
      </x:c>
      <x:c r="N228" s="184" t="str">
        <x:v>03_能力对象!C280</x:v>
      </x:c>
      <x:c r="O228" s="183" t="str">
        <x:v>V4.9对象/属性/方法
V2.01：未匹配V2.01；处置=暂无可信对应
V7.8：V7.8未检出同名词法声明</x:v>
      </x:c>
      <x:c r="P228" s="136" t="str">
        <x:v>V4.9对象/属性/方法</x:v>
      </x:c>
    </x:row>
    <x:row r="229" ht="72" customHeight="1">
      <x:c r="A229" s="179" t="str">
        <x:v>M34</x:v>
      </x:c>
      <x:c r="B229" s="180" t="str">
        <x:v>仿真与验证｜Simulation / Virtualization / Fault Injection
Simulation Virtualization</x:v>
      </x:c>
      <x:c r="C229" s="180" t="str">
        <x:v>MSVScenarioResult</x:v>
      </x:c>
      <x:c r="D229" s="179" t="str">
        <x:v>增构候选·待查重</x:v>
      </x:c>
      <x:c r="E229" s="180" t="str">
        <x:v>场景结果</x:v>
      </x:c>
      <x:c r="F229" s="180" t="str">
        <x:v>Assertions；Coverage；Diff；Metrics；Artifacts</x:v>
      </x:c>
      <x:c r="G229" s="180" t="str">
        <x:v>场景结果</x:v>
      </x:c>
      <x:c r="H229" s="180" t="str">
        <x:v>待逐对象核实</x:v>
      </x:c>
      <x:c r="I229" s="180" t="str">
        <x:v>运行对象/模型</x:v>
      </x:c>
      <x:c r="J229" s="179" t="str">
        <x:v>类/实例候选</x:v>
      </x:c>
      <x:c r="K229" s="180" t="str">
        <x:v>生命周期：Runtime</x:v>
      </x:c>
      <x:c r="L229" s="183" t="str">
        <x:v>设计候选，尚待源码验证</x:v>
      </x:c>
      <x:c r="M229" s="183" t="str">
        <x:v>M34.ScenarioResult</x:v>
      </x:c>
      <x:c r="N229" s="184" t="str">
        <x:v>03_能力对象!C281</x:v>
      </x:c>
      <x:c r="O229" s="183" t="str">
        <x:v>V4.9对象/属性/方法
V2.01：未匹配V2.01；处置=暂无可信对应
V7.8：V7.8未检出同名词法声明</x:v>
      </x:c>
      <x:c r="P229" s="136" t="str">
        <x:v>V4.9对象/属性/方法</x:v>
      </x:c>
    </x:row>
    <x:row r="230" ht="72" customHeight="1">
      <x:c r="A230" s="179" t="str">
        <x:v>M34</x:v>
      </x:c>
      <x:c r="B230" s="180" t="str">
        <x:v>仿真与验证｜Simulation / Virtualization / Fault Injection
Simulation Virtualization</x:v>
      </x:c>
      <x:c r="C230" s="180" t="str">
        <x:v>MSVTwinMapping</x:v>
      </x:c>
      <x:c r="D230" s="179" t="str">
        <x:v>增构候选·待查重</x:v>
      </x:c>
      <x:c r="E230" s="180" t="str">
        <x:v>数字孪生映射</x:v>
      </x:c>
      <x:c r="F230" s="180" t="str">
        <x:v>RealRefs；Model；StateMap；Parameters</x:v>
      </x:c>
      <x:c r="G230" s="180" t="str">
        <x:v>数字孪生映射</x:v>
      </x:c>
      <x:c r="H230" s="180" t="str">
        <x:v>待逐对象核实</x:v>
      </x:c>
      <x:c r="I230" s="180" t="str">
        <x:v>运行对象/模型</x:v>
      </x:c>
      <x:c r="J230" s="179" t="str">
        <x:v>类/实例候选</x:v>
      </x:c>
      <x:c r="K230" s="180" t="str">
        <x:v>生命周期：Definition</x:v>
      </x:c>
      <x:c r="L230" s="183" t="str">
        <x:v>设计候选，尚待源码验证</x:v>
      </x:c>
      <x:c r="M230" s="183" t="str">
        <x:v>M34.TwinMapping</x:v>
      </x:c>
      <x:c r="N230" s="184"/>
      <x:c r="O230" s="183" t="str">
        <x:v>V4.9对象/属性/方法
V2.01：未匹配V2.01；处置=暂无可信对应
V7.8：V7.8未检出同名词法声明</x:v>
      </x:c>
      <x:c r="P230" s="136" t="str">
        <x:v>V4.9对象/属性/方法</x:v>
      </x:c>
    </x:row>
    <x:row r="231" ht="72" customHeight="1">
      <x:c r="A231" s="179" t="str">
        <x:v>M34</x:v>
      </x:c>
      <x:c r="B231" s="180" t="str">
        <x:v>仿真与验证｜Simulation / Virtualization / Fault Injection
Simulation Virtualization</x:v>
      </x:c>
      <x:c r="C231" s="180" t="str">
        <x:v>MSVVirtualDeviceDefinition</x:v>
      </x:c>
      <x:c r="D231" s="179" t="str">
        <x:v>增构候选·待查重</x:v>
      </x:c>
      <x:c r="E231" s="180" t="str">
        <x:v>虚拟设备</x:v>
      </x:c>
      <x:c r="F231" s="180" t="str">
        <x:v>Capabilities；Behavior；Latency；Faults</x:v>
      </x:c>
      <x:c r="G231" s="180" t="str">
        <x:v>虚拟设备</x:v>
      </x:c>
      <x:c r="H231" s="180" t="str">
        <x:v>待逐对象核实</x:v>
      </x:c>
      <x:c r="I231" s="180" t="str">
        <x:v>VirtualDeviceDefinition</x:v>
      </x:c>
      <x:c r="J231" s="179" t="str">
        <x:v>类/实例候选</x:v>
      </x:c>
      <x:c r="K231" s="180" t="str">
        <x:v>生命周期：Definition</x:v>
      </x:c>
      <x:c r="L231" s="183" t="str">
        <x:v>设计候选，尚待源码验证</x:v>
      </x:c>
      <x:c r="M231" s="183" t="str">
        <x:v>M34.VirtualDeviceDefinition</x:v>
      </x:c>
      <x:c r="N231" s="184"/>
      <x:c r="O231" s="183" t="str">
        <x:v>V4.9对象/属性/方法
V2.01：未匹配V2.01；处置=暂无可信对应
V7.8：V7.8未检出同名词法声明</x:v>
      </x:c>
      <x:c r="P231" s="136" t="str">
        <x:v>V4.9对象/属性/方法</x:v>
      </x:c>
    </x:row>
    <x:row r="232" ht="72" customHeight="1">
      <x:c r="A232" s="179" t="str">
        <x:v>M34</x:v>
      </x:c>
      <x:c r="B232" s="180" t="str">
        <x:v>仿真与验证｜Simulation / Virtualization / Fault Injection
Simulation Virtualization</x:v>
      </x:c>
      <x:c r="C232" s="180" t="str">
        <x:v>MSVVirtualPlantDefinition</x:v>
      </x:c>
      <x:c r="D232" s="179" t="str">
        <x:v>增构候选·待查重</x:v>
      </x:c>
      <x:c r="E232" s="180" t="str">
        <x:v>虚拟工厂/过程</x:v>
      </x:c>
      <x:c r="F232" s="180" t="str">
        <x:v>Components；Links；Models</x:v>
      </x:c>
      <x:c r="G232" s="180" t="str">
        <x:v>虚拟工厂/过程</x:v>
      </x:c>
      <x:c r="H232" s="180" t="str">
        <x:v>待逐对象核实</x:v>
      </x:c>
      <x:c r="I232" s="180" t="str">
        <x:v>VirtualPlantDefinition</x:v>
      </x:c>
      <x:c r="J232" s="179" t="str">
        <x:v>类/实例候选</x:v>
      </x:c>
      <x:c r="K232" s="180" t="str">
        <x:v>生命周期：Definition</x:v>
      </x:c>
      <x:c r="L232" s="183" t="str">
        <x:v>设计候选，尚待源码验证</x:v>
      </x:c>
      <x:c r="M232" s="183" t="str">
        <x:v>M34.VirtualPlantDefinition</x:v>
      </x:c>
      <x:c r="N232" s="184"/>
      <x:c r="O232" s="183" t="str">
        <x:v>V4.9对象/属性/方法
V2.01：未匹配V2.01；处置=暂无可信对应
V7.8：V7.8未检出同名词法声明</x:v>
      </x:c>
      <x:c r="P232" s="136" t="str">
        <x:v>V4.9对象/属性/方法</x:v>
      </x:c>
    </x:row>
  </x:sheetData>
  <x:mergeCells>
    <x:mergeCell ref="A6:A37"/>
    <x:mergeCell ref="A38:A73"/>
    <x:mergeCell ref="A74:A113"/>
    <x:mergeCell ref="A114:A121"/>
    <x:mergeCell ref="A122:A129"/>
    <x:mergeCell ref="A130:A167"/>
    <x:mergeCell ref="A168:A192"/>
    <x:mergeCell ref="A193:A224"/>
    <x:mergeCell ref="A225:A232"/>
    <x:mergeCell ref="A1:P1"/>
    <x:mergeCell ref="A2:P2"/>
    <x:mergeCell ref="A3:P3"/>
    <x:mergeCell ref="A4:P4"/>
    <x:mergeCell ref="B6:B37"/>
    <x:mergeCell ref="B38:B73"/>
    <x:mergeCell ref="B74:B113"/>
    <x:mergeCell ref="B114:B121"/>
    <x:mergeCell ref="B122:B129"/>
    <x:mergeCell ref="B130:B167"/>
    <x:mergeCell ref="B168:B192"/>
    <x:mergeCell ref="B193:B224"/>
    <x:mergeCell ref="B225:B232"/>
  </x:mergeCells>
  <x:pageMargins left="0.7" right="0.7" top="0.75" bottom="0.75" header="0.3" footer="0.3"/>
</x:worksheet>
</file>

<file path=xl/worksheets/sheet1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CxVisual.Mechanism.Lifecycle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子方面：M39、M40｜来源：V1.19旧类型 + V4.9对象 + V7.8源码 + V5.0/R3架构裁决｜本项目 16 项待审核类型。</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M39</x:v>
      </x:c>
      <x:c r="B6" s="180" t="str">
        <x:v>工程与发布｜Version / Migration / Package / Deploy
Version Deployment</x:v>
      </x:c>
      <x:c r="C6" s="180" t="str">
        <x:v>MVDCompatibilityResult</x:v>
      </x:c>
      <x:c r="D6" s="179" t="str">
        <x:v>增构候选·待查重</x:v>
      </x:c>
      <x:c r="E6" s="180" t="str">
        <x:v>兼容结果</x:v>
      </x:c>
      <x:c r="F6" s="180" t="str">
        <x:v>Compatible；Issues；RequiredVersions</x:v>
      </x:c>
      <x:c r="G6" s="180" t="str">
        <x:v>兼容结果</x:v>
      </x:c>
      <x:c r="H6" s="180" t="str">
        <x:v>待逐对象核实</x:v>
      </x:c>
      <x:c r="I6" s="180" t="str">
        <x:v>运行对象/模型</x:v>
      </x:c>
      <x:c r="J6" s="179" t="str">
        <x:v>类/实例候选</x:v>
      </x:c>
      <x:c r="K6" s="180" t="str">
        <x:v>生命周期：Resolved</x:v>
      </x:c>
      <x:c r="L6" s="183" t="str">
        <x:v>设计候选，尚待源码验证</x:v>
      </x:c>
      <x:c r="M6" s="183" t="str">
        <x:v>M39.CompatibilityResult</x:v>
      </x:c>
      <x:c r="N6" s="184"/>
      <x:c r="O6" s="183" t="str">
        <x:v>V4.9对象/属性/方法
V2.01：未匹配V2.01；处置=暂无可信对应
V7.8：V7.8未检出同名词法声明</x:v>
      </x:c>
      <x:c r="P6" s="136" t="str">
        <x:v>V4.9对象/属性/方法</x:v>
      </x:c>
      <x:c r="Q6"/>
      <x:c r="R6"/>
      <x:c r="S6"/>
    </x:row>
    <x:row r="7" ht="72" customHeight="1">
      <x:c r="A7" s="179" t="str">
        <x:v>M39</x:v>
      </x:c>
      <x:c r="B7" s="180" t="str">
        <x:v>工程与发布｜Version / Migration / Package / Deploy
Version Deployment</x:v>
      </x:c>
      <x:c r="C7" s="180" t="str">
        <x:v>MVDDeployPlan</x:v>
      </x:c>
      <x:c r="D7" s="179" t="str">
        <x:v>增构候选·待查重</x:v>
      </x:c>
      <x:c r="E7" s="180" t="str">
        <x:v>部署计划</x:v>
      </x:c>
      <x:c r="F7" s="180" t="str">
        <x:v>Targets；Packages；Bindings；Order；Rollback</x:v>
      </x:c>
      <x:c r="G7" s="180" t="str">
        <x:v>部署计划</x:v>
      </x:c>
      <x:c r="H7" s="180" t="str">
        <x:v>待逐对象核实</x:v>
      </x:c>
      <x:c r="I7" s="180" t="str">
        <x:v>运行对象/模型</x:v>
      </x:c>
      <x:c r="J7" s="179" t="str">
        <x:v>类/实例候选</x:v>
      </x:c>
      <x:c r="K7" s="180" t="str">
        <x:v>生命周期：Release</x:v>
      </x:c>
      <x:c r="L7" s="183" t="str">
        <x:v>设计候选，尚待源码验证</x:v>
      </x:c>
      <x:c r="M7" s="183" t="str">
        <x:v>M39.DeployPlan</x:v>
      </x:c>
      <x:c r="N7" s="184"/>
      <x:c r="O7" s="183" t="str">
        <x:v>V4.9对象/属性/方法
V2.01：未匹配V2.01；处置=暂无可信对应
V7.8：V7.8未检出同名词法声明</x:v>
      </x:c>
      <x:c r="P7" s="136" t="str">
        <x:v>V4.9对象/属性/方法</x:v>
      </x:c>
      <x:c r="Q7"/>
      <x:c r="R7"/>
      <x:c r="S7"/>
    </x:row>
    <x:row r="8" ht="72" customHeight="1">
      <x:c r="A8" s="179" t="str">
        <x:v>M39</x:v>
      </x:c>
      <x:c r="B8" s="180" t="str">
        <x:v>工程与发布｜Version / Migration / Package / Deploy
Version Deployment</x:v>
      </x:c>
      <x:c r="C8" s="180" t="str">
        <x:v>MVDManifest</x:v>
      </x:c>
      <x:c r="D8" s="179" t="str">
        <x:v>增构候选·待查重</x:v>
      </x:c>
      <x:c r="E8" s="180" t="str">
        <x:v>运行清单</x:v>
      </x:c>
      <x:c r="F8" s="180" t="str">
        <x:v>DefinitionVersions；Dependencies；Bindings；Targets；Hashes</x:v>
      </x:c>
      <x:c r="G8" s="180" t="str">
        <x:v>运行清单</x:v>
      </x:c>
      <x:c r="H8" s="180" t="str">
        <x:v>待逐对象核实</x:v>
      </x:c>
      <x:c r="I8" s="180" t="str">
        <x:v>运行对象/模型</x:v>
      </x:c>
      <x:c r="J8" s="179" t="str">
        <x:v>类/实例候选</x:v>
      </x:c>
      <x:c r="K8" s="180" t="str">
        <x:v>生命周期：Plan</x:v>
      </x:c>
      <x:c r="L8" s="183" t="str">
        <x:v>设计候选，尚待源码验证</x:v>
      </x:c>
      <x:c r="M8" s="183" t="str">
        <x:v>M39.Manifest</x:v>
      </x:c>
      <x:c r="N8" s="184"/>
      <x:c r="O8" s="183" t="str">
        <x:v>V4.9对象/属性/方法
V2.01：未匹配V2.01；处置=暂无可信对应
V7.8：V7.8未检出同名词法声明</x:v>
      </x:c>
      <x:c r="P8" s="136" t="str">
        <x:v>V4.9对象/属性/方法</x:v>
      </x:c>
      <x:c r="Q8"/>
      <x:c r="R8"/>
      <x:c r="S8"/>
    </x:row>
    <x:row r="9" ht="72" customHeight="1">
      <x:c r="A9" s="179" t="str">
        <x:v>M39</x:v>
      </x:c>
      <x:c r="B9" s="180" t="str">
        <x:v>工程与发布｜Version / Migration / Package / Deploy
Version Deployment</x:v>
      </x:c>
      <x:c r="C9" s="180" t="str">
        <x:v>MVDMigrationProvider</x:v>
      </x:c>
      <x:c r="D9" s="179" t="str">
        <x:v>增构候选·待查重</x:v>
      </x:c>
      <x:c r="E9" s="180" t="str">
        <x:v>迁移</x:v>
      </x:c>
      <x:c r="F9" s="180" t="str">
        <x:v>From；To；CanMigrate；Migrate</x:v>
      </x:c>
      <x:c r="G9" s="180" t="str">
        <x:v>迁移</x:v>
      </x:c>
      <x:c r="H9" s="180" t="str">
        <x:v>待逐对象核实</x:v>
      </x:c>
      <x:c r="I9" s="180" t="str">
        <x:v>运行对象/模型</x:v>
      </x:c>
      <x:c r="J9" s="179" t="str">
        <x:v>类/实例候选</x:v>
      </x:c>
      <x:c r="K9" s="180" t="str">
        <x:v>生命周期：Studio</x:v>
      </x:c>
      <x:c r="L9" s="183" t="str">
        <x:v>设计候选，尚待源码验证</x:v>
      </x:c>
      <x:c r="M9" s="183" t="str">
        <x:v>M39.MigrationProvider</x:v>
      </x:c>
      <x:c r="N9" s="184"/>
      <x:c r="O9" s="183" t="str">
        <x:v>V4.9对象/属性/方法
V2.01：未匹配V2.01；处置=暂无可信对应
V7.8：V7.8未检出同名词法声明</x:v>
      </x:c>
      <x:c r="P9" s="136" t="str">
        <x:v>V4.9对象/属性/方法</x:v>
      </x:c>
      <x:c r="Q9"/>
      <x:c r="R9"/>
      <x:c r="S9"/>
    </x:row>
    <x:row r="10" ht="72" customHeight="1">
      <x:c r="A10" s="179" t="str">
        <x:v>M39</x:v>
      </x:c>
      <x:c r="B10" s="180" t="str">
        <x:v>工程与发布｜Version / Migration / Package / Deploy
Version Deployment</x:v>
      </x:c>
      <x:c r="C10" s="180" t="str">
        <x:v>MVDPackageDescriptor</x:v>
      </x:c>
      <x:c r="D10" s="179" t="str">
        <x:v>增构候选·待查重</x:v>
      </x:c>
      <x:c r="E10" s="180" t="str">
        <x:v>发布包</x:v>
      </x:c>
      <x:c r="F10" s="180" t="str">
        <x:v>Resources；Plugins；Models；Manifests</x:v>
      </x:c>
      <x:c r="G10" s="180" t="str">
        <x:v>发布包</x:v>
      </x:c>
      <x:c r="H10" s="180" t="str">
        <x:v>待逐对象核实</x:v>
      </x:c>
      <x:c r="I10" s="180" t="str">
        <x:v>运行对象/模型</x:v>
      </x:c>
      <x:c r="J10" s="179" t="str">
        <x:v>类/实例候选</x:v>
      </x:c>
      <x:c r="K10" s="180" t="str">
        <x:v>生命周期：Release</x:v>
      </x:c>
      <x:c r="L10" s="183" t="str">
        <x:v>设计候选，尚待源码验证</x:v>
      </x:c>
      <x:c r="M10" s="183" t="str">
        <x:v>M39.PackageDescriptor</x:v>
      </x:c>
      <x:c r="N10" s="184"/>
      <x:c r="O10" s="183" t="str">
        <x:v>V4.9对象/属性/方法
V2.01：未匹配V2.01；处置=暂无可信对应
V7.8：V7.8未检出同名词法声明</x:v>
      </x:c>
      <x:c r="P10" s="136" t="str">
        <x:v>V4.9对象/属性/方法</x:v>
      </x:c>
      <x:c r="Q10"/>
      <x:c r="R10"/>
      <x:c r="S10"/>
    </x:row>
    <x:row r="11" ht="72" customHeight="1">
      <x:c r="A11" s="179" t="str">
        <x:v>M39</x:v>
      </x:c>
      <x:c r="B11" s="180" t="str">
        <x:v>工程与发布｜Version / Migration / Package / Deploy
Version Deployment</x:v>
      </x:c>
      <x:c r="C11" s="180" t="str">
        <x:v>MVDProjectVersion</x:v>
      </x:c>
      <x:c r="D11" s="179" t="str">
        <x:v>增构候选·待查重</x:v>
      </x:c>
      <x:c r="E11" s="180" t="str">
        <x:v>工程版本</x:v>
      </x:c>
      <x:c r="F11" s="180" t="str">
        <x:v>Version；Revision；Commit；Released</x:v>
      </x:c>
      <x:c r="G11" s="180" t="str">
        <x:v>工程版本</x:v>
      </x:c>
      <x:c r="H11" s="180" t="str">
        <x:v>待逐对象核实</x:v>
      </x:c>
      <x:c r="I11" s="180" t="str">
        <x:v>ProjectVersion</x:v>
      </x:c>
      <x:c r="J11" s="179" t="str">
        <x:v>枚举</x:v>
      </x:c>
      <x:c r="K11" s="180" t="str">
        <x:v>生命周期：Definition</x:v>
      </x:c>
      <x:c r="L11" s="183" t="str">
        <x:v>设计候选，尚待源码验证</x:v>
      </x:c>
      <x:c r="M11" s="183" t="str">
        <x:v>M39.ProjectVersion</x:v>
      </x:c>
      <x:c r="N11" s="184"/>
      <x:c r="O11" s="183" t="str">
        <x:v>V4.9对象/属性/方法
V2.01：未匹配V2.01；处置=暂无可信对应
V7.8：V7.8未检出同名词法声明</x:v>
      </x:c>
      <x:c r="P11" s="136" t="str">
        <x:v>V4.9对象/属性/方法</x:v>
      </x:c>
      <x:c r="Q11"/>
      <x:c r="R11"/>
      <x:c r="S11"/>
    </x:row>
    <x:row r="12" ht="72" customHeight="1">
      <x:c r="A12" s="179" t="str">
        <x:v>M39</x:v>
      </x:c>
      <x:c r="B12" s="180" t="str">
        <x:v>工程与发布｜Version / Migration / Package / Deploy
Version Deployment</x:v>
      </x:c>
      <x:c r="C12" s="180" t="str">
        <x:v>MVDRollbackPlan</x:v>
      </x:c>
      <x:c r="D12" s="179" t="str">
        <x:v>增构候选·待查重</x:v>
      </x:c>
      <x:c r="E12" s="180" t="str">
        <x:v>回滚</x:v>
      </x:c>
      <x:c r="F12" s="180" t="str">
        <x:v>PreviousManifest；Actions；Validation</x:v>
      </x:c>
      <x:c r="G12" s="180" t="str">
        <x:v>回滚</x:v>
      </x:c>
      <x:c r="H12" s="180" t="str">
        <x:v>待逐对象核实</x:v>
      </x:c>
      <x:c r="I12" s="180" t="str">
        <x:v>运行对象/模型</x:v>
      </x:c>
      <x:c r="J12" s="179" t="str">
        <x:v>类/实例候选</x:v>
      </x:c>
      <x:c r="K12" s="180" t="str">
        <x:v>生命周期：Release</x:v>
      </x:c>
      <x:c r="L12" s="183" t="str">
        <x:v>设计候选，尚待源码验证</x:v>
      </x:c>
      <x:c r="M12" s="183" t="str">
        <x:v>M39.RollbackPlan</x:v>
      </x:c>
      <x:c r="N12" s="184"/>
      <x:c r="O12" s="183" t="str">
        <x:v>V4.9对象/属性/方法
V2.01：未匹配V2.01；处置=暂无可信对应
V7.8：V7.8未检出同名词法声明</x:v>
      </x:c>
      <x:c r="P12" s="136" t="str">
        <x:v>V4.9对象/属性/方法</x:v>
      </x:c>
      <x:c r="Q12"/>
      <x:c r="R12"/>
      <x:c r="S12"/>
    </x:row>
    <x:row r="13" ht="72" customHeight="1">
      <x:c r="A13" s="179" t="str">
        <x:v>M39</x:v>
      </x:c>
      <x:c r="B13" s="180" t="str">
        <x:v>工程与发布｜Version / Migration / Package / Deploy
Version Deployment</x:v>
      </x:c>
      <x:c r="C13" s="180" t="str">
        <x:v>MVDSchemaVersion</x:v>
      </x:c>
      <x:c r="D13" s="179" t="str">
        <x:v>增构候选·待查重</x:v>
      </x:c>
      <x:c r="E13" s="180" t="str">
        <x:v>Schema版本</x:v>
      </x:c>
      <x:c r="F13" s="180" t="str">
        <x:v>SchemaId；Version</x:v>
      </x:c>
      <x:c r="G13" s="180" t="str">
        <x:v>Schema版本</x:v>
      </x:c>
      <x:c r="H13" s="180" t="str">
        <x:v>待逐对象核实</x:v>
      </x:c>
      <x:c r="I13" s="180" t="str">
        <x:v>SchemaVersion</x:v>
      </x:c>
      <x:c r="J13" s="179" t="str">
        <x:v>枚举</x:v>
      </x:c>
      <x:c r="K13" s="180" t="str">
        <x:v>生命周期：Definition</x:v>
      </x:c>
      <x:c r="L13" s="183" t="str">
        <x:v>设计候选，尚待源码验证</x:v>
      </x:c>
      <x:c r="M13" s="183" t="str">
        <x:v>M39.SchemaVersion</x:v>
      </x:c>
      <x:c r="N13" s="184"/>
      <x:c r="O13" s="183" t="str">
        <x:v>V4.9对象/属性/方法
V2.01：未匹配V2.01；处置=暂无可信对应
V7.8：V7.8未检出同名词法声明</x:v>
      </x:c>
      <x:c r="P13" s="136" t="str">
        <x:v>V4.9对象/属性/方法</x:v>
      </x:c>
      <x:c r="Q13"/>
      <x:c r="R13"/>
      <x:c r="S13"/>
    </x:row>
    <x:row r="14" ht="72" customHeight="1">
      <x:c r="A14" s="179" t="str">
        <x:v>M40</x:v>
      </x:c>
      <x:c r="B14" s="180" t="str">
        <x:v>工程与扩展｜Plugin / Registry / Extension
Plugin Registry</x:v>
      </x:c>
      <x:c r="C14" s="180" t="str">
        <x:v>MPRCompilerExtension</x:v>
      </x:c>
      <x:c r="D14" s="179" t="str">
        <x:v>增构候选·待查重</x:v>
      </x:c>
      <x:c r="E14" s="180" t="str">
        <x:v>专业编译扩展</x:v>
      </x:c>
      <x:c r="F14" s="180" t="str">
        <x:v>CanCompile；Compile</x:v>
      </x:c>
      <x:c r="G14" s="180" t="str">
        <x:v>专业编译扩展</x:v>
      </x:c>
      <x:c r="H14" s="180" t="str">
        <x:v>待逐对象核实</x:v>
      </x:c>
      <x:c r="I14" s="180" t="str">
        <x:v>运行对象/模型</x:v>
      </x:c>
      <x:c r="J14" s="179" t="str">
        <x:v>类/实例候选</x:v>
      </x:c>
      <x:c r="K14" s="180" t="str">
        <x:v>生命周期：Plan</x:v>
      </x:c>
      <x:c r="L14" s="183" t="str">
        <x:v>设计候选，尚待源码验证</x:v>
      </x:c>
      <x:c r="M14" s="183" t="str">
        <x:v>M40.CompilerExtension</x:v>
      </x:c>
      <x:c r="N14" s="184"/>
      <x:c r="O14" s="183" t="str">
        <x:v>V4.9对象/属性/方法
V2.01：未匹配V2.01；处置=暂无可信对应
V7.8：V7.8未检出同名词法声明</x:v>
      </x:c>
      <x:c r="P14" s="136" t="str">
        <x:v>V4.9对象/属性/方法</x:v>
      </x:c>
      <x:c r="Q14"/>
      <x:c r="R14"/>
      <x:c r="S14"/>
    </x:row>
    <x:row r="15" ht="72" customHeight="1">
      <x:c r="A15" s="179" t="str">
        <x:v>M40</x:v>
      </x:c>
      <x:c r="B15" s="180" t="str">
        <x:v>工程与扩展｜Plugin / Registry / Extension
Plugin Registry</x:v>
      </x:c>
      <x:c r="C15" s="180" t="str">
        <x:v>MPRDebugContribution</x:v>
      </x:c>
      <x:c r="D15" s="179" t="str">
        <x:v>增构候选·待查重</x:v>
      </x:c>
      <x:c r="E15" s="180" t="str">
        <x:v>专业调试贡献</x:v>
      </x:c>
      <x:c r="F15" s="180" t="str">
        <x:v>Inspectors；Commands；Metrics；Viewers</x:v>
      </x:c>
      <x:c r="G15" s="180" t="str">
        <x:v>专业调试贡献</x:v>
      </x:c>
      <x:c r="H15" s="180" t="str">
        <x:v>待逐对象核实</x:v>
      </x:c>
      <x:c r="I15" s="180" t="str">
        <x:v>运行对象/模型</x:v>
      </x:c>
      <x:c r="J15" s="179" t="str">
        <x:v>类/实例候选</x:v>
      </x:c>
      <x:c r="K15" s="180" t="str">
        <x:v>生命周期：Runtime</x:v>
      </x:c>
      <x:c r="L15" s="183" t="str">
        <x:v>设计候选，尚待源码验证</x:v>
      </x:c>
      <x:c r="M15" s="183" t="str">
        <x:v>M40.DebugContribution</x:v>
      </x:c>
      <x:c r="N15" s="184"/>
      <x:c r="O15" s="183" t="str">
        <x:v>V4.9对象/属性/方法
V2.01：未匹配V2.01；处置=暂无可信对应
V7.8：V7.8未检出同名词法声明</x:v>
      </x:c>
      <x:c r="P15" s="136" t="str">
        <x:v>V4.9对象/属性/方法</x:v>
      </x:c>
      <x:c r="Q15"/>
      <x:c r="R15"/>
      <x:c r="S15"/>
    </x:row>
    <x:row r="16" ht="72" customHeight="1">
      <x:c r="A16" s="179" t="str">
        <x:v>M40</x:v>
      </x:c>
      <x:c r="B16" s="180" t="str">
        <x:v>工程与扩展｜Plugin / Registry / Extension
Plugin Registry</x:v>
      </x:c>
      <x:c r="C16" s="180" t="str">
        <x:v>MPRExtensionRegistry</x:v>
      </x:c>
      <x:c r="D16" s="179" t="str">
        <x:v>增构候选·待查重</x:v>
      </x:c>
      <x:c r="E16" s="180" t="str">
        <x:v>扩展注册</x:v>
      </x:c>
      <x:c r="F16" s="180" t="str">
        <x:v>Extensions by Type；Id</x:v>
      </x:c>
      <x:c r="G16" s="180" t="str">
        <x:v>扩展注册</x:v>
      </x:c>
      <x:c r="H16" s="180" t="str">
        <x:v>待逐对象核实</x:v>
      </x:c>
      <x:c r="I16" s="180" t="str">
        <x:v>运行对象/模型</x:v>
      </x:c>
      <x:c r="J16" s="179" t="str">
        <x:v>类/实例候选</x:v>
      </x:c>
      <x:c r="K16" s="180" t="str">
        <x:v>生命周期：Resolved</x:v>
      </x:c>
      <x:c r="L16" s="183" t="str">
        <x:v>设计候选，尚待源码验证</x:v>
      </x:c>
      <x:c r="M16" s="183" t="str">
        <x:v>M40.ExtensionRegistry</x:v>
      </x:c>
      <x:c r="N16" s="184"/>
      <x:c r="O16" s="183" t="str">
        <x:v>V4.9对象/属性/方法
V2.01：未匹配V2.01；处置=暂无可信对应
V7.8：V7.8未检出同名词法声明</x:v>
      </x:c>
      <x:c r="P16" s="136" t="str">
        <x:v>V4.9对象/属性/方法</x:v>
      </x:c>
      <x:c r="Q16"/>
      <x:c r="R16"/>
      <x:c r="S16"/>
    </x:row>
    <x:row r="17" ht="72" customHeight="1">
      <x:c r="A17" s="179" t="str">
        <x:v>M40</x:v>
      </x:c>
      <x:c r="B17" s="180" t="str">
        <x:v>工程与扩展｜Plugin / Registry / Extension
Plugin Registry</x:v>
      </x:c>
      <x:c r="C17" s="180" t="str">
        <x:v>MPRMigrationProviderExtension</x:v>
      </x:c>
      <x:c r="D17" s="179" t="str">
        <x:v>增构候选·待查重</x:v>
      </x:c>
      <x:c r="E17" s="180" t="str">
        <x:v>专业迁移</x:v>
      </x:c>
      <x:c r="F17" s="180" t="str">
        <x:v>Migrations</x:v>
      </x:c>
      <x:c r="G17" s="180" t="str">
        <x:v>专业迁移</x:v>
      </x:c>
      <x:c r="H17" s="180" t="str">
        <x:v>待逐对象核实</x:v>
      </x:c>
      <x:c r="I17" s="180" t="str">
        <x:v>运行对象/模型</x:v>
      </x:c>
      <x:c r="J17" s="179" t="str">
        <x:v>类/实例候选</x:v>
      </x:c>
      <x:c r="K17" s="180" t="str">
        <x:v>生命周期：Release</x:v>
      </x:c>
      <x:c r="L17" s="183" t="str">
        <x:v>设计候选，尚待源码验证</x:v>
      </x:c>
      <x:c r="M17" s="183" t="str">
        <x:v>M40.MigrationProviderExtension</x:v>
      </x:c>
      <x:c r="N17" s="184"/>
      <x:c r="O17" s="183" t="str">
        <x:v>V4.9对象/属性/方法
V2.01：未匹配V2.01；处置=暂无可信对应
V7.8：V7.8未检出同名词法声明</x:v>
      </x:c>
      <x:c r="P17" s="136" t="str">
        <x:v>V4.9对象/属性/方法</x:v>
      </x:c>
      <x:c r="Q17"/>
      <x:c r="R17"/>
      <x:c r="S17"/>
    </x:row>
    <x:row r="18" ht="72" customHeight="1">
      <x:c r="A18" s="179" t="str">
        <x:v>M40</x:v>
      </x:c>
      <x:c r="B18" s="180" t="str">
        <x:v>工程与扩展｜Plugin / Registry / Extension
Plugin Registry</x:v>
      </x:c>
      <x:c r="C18" s="180" t="str">
        <x:v>MPRPluginCatalog</x:v>
      </x:c>
      <x:c r="D18" s="179" t="str">
        <x:v>增构候选·待查重</x:v>
      </x:c>
      <x:c r="E18" s="180" t="str">
        <x:v>插件目录</x:v>
      </x:c>
      <x:c r="F18" s="180" t="str">
        <x:v>Installed；Enabled；Loaded；Status</x:v>
      </x:c>
      <x:c r="G18" s="180" t="str">
        <x:v>插件目录</x:v>
      </x:c>
      <x:c r="H18" s="180" t="str">
        <x:v>待逐对象核实</x:v>
      </x:c>
      <x:c r="I18" s="180" t="str">
        <x:v>运行对象/模型</x:v>
      </x:c>
      <x:c r="J18" s="179" t="str">
        <x:v>类/实例候选</x:v>
      </x:c>
      <x:c r="K18" s="180" t="str">
        <x:v>生命周期：Runtime</x:v>
      </x:c>
      <x:c r="L18" s="183" t="str">
        <x:v>设计候选，尚待源码验证</x:v>
      </x:c>
      <x:c r="M18" s="183" t="str">
        <x:v>M40.PluginCatalog</x:v>
      </x:c>
      <x:c r="N18" s="184"/>
      <x:c r="O18" s="183" t="str">
        <x:v>V4.9对象/属性/方法
V2.01：未匹配V2.01；处置=暂无可信对应
V7.8：V7.8未检出同名词法声明</x:v>
      </x:c>
      <x:c r="P18" s="136" t="str">
        <x:v>V4.9对象/属性/方法</x:v>
      </x:c>
      <x:c r="Q18"/>
      <x:c r="R18"/>
      <x:c r="S18"/>
    </x:row>
    <x:row r="19" ht="72" customHeight="1">
      <x:c r="A19" s="179" t="str">
        <x:v>M40</x:v>
      </x:c>
      <x:c r="B19" s="180" t="str">
        <x:v>工程与扩展｜Plugin / Registry / Extension
Plugin Registry</x:v>
      </x:c>
      <x:c r="C19" s="180" t="str">
        <x:v>MPRPluginDescriptor</x:v>
      </x:c>
      <x:c r="D19" s="179" t="str">
        <x:v>增构候选·待查重</x:v>
      </x:c>
      <x:c r="E19" s="180" t="str">
        <x:v>插件描述</x:v>
      </x:c>
      <x:c r="F19" s="180" t="str">
        <x:v>Id；Version；Dependencies；Capabilities；EntryPoints</x:v>
      </x:c>
      <x:c r="G19" s="180" t="str">
        <x:v>插件描述</x:v>
      </x:c>
      <x:c r="H19" s="180" t="str">
        <x:v>待逐对象核实</x:v>
      </x:c>
      <x:c r="I19" s="180" t="str">
        <x:v>运行对象/模型</x:v>
      </x:c>
      <x:c r="J19" s="179" t="str">
        <x:v>类/实例候选</x:v>
      </x:c>
      <x:c r="K19" s="180" t="str">
        <x:v>生命周期：Definition</x:v>
      </x:c>
      <x:c r="L19" s="183" t="str">
        <x:v>设计候选，尚待源码验证</x:v>
      </x:c>
      <x:c r="M19" s="183" t="str">
        <x:v>M40.PluginDescriptor</x:v>
      </x:c>
      <x:c r="N19" s="184"/>
      <x:c r="O19" s="183" t="str">
        <x:v>V4.9对象/属性/方法
V2.01：未匹配V2.01；处置=暂无可信对应
V7.8：V7.8未检出同名词法声明</x:v>
      </x:c>
      <x:c r="P19" s="136" t="str">
        <x:v>V4.9对象/属性/方法</x:v>
      </x:c>
      <x:c r="Q19"/>
      <x:c r="R19"/>
      <x:c r="S19"/>
    </x:row>
    <x:row r="20" ht="72" customHeight="1">
      <x:c r="A20" s="179" t="str">
        <x:v>M40</x:v>
      </x:c>
      <x:c r="B20" s="180" t="str">
        <x:v>工程与扩展｜Plugin / Registry / Extension
Plugin Registry</x:v>
      </x:c>
      <x:c r="C20" s="180" t="str">
        <x:v>MPRRuntimeExtension</x:v>
      </x:c>
      <x:c r="D20" s="179" t="str">
        <x:v>增构候选·待查重</x:v>
      </x:c>
      <x:c r="E20" s="180" t="str">
        <x:v>专业Runtime扩展</x:v>
      </x:c>
      <x:c r="F20" s="180" t="str">
        <x:v>CanExecute；CreateRuntime</x:v>
      </x:c>
      <x:c r="G20" s="180" t="str">
        <x:v>专业Runtime扩展</x:v>
      </x:c>
      <x:c r="H20" s="180" t="str">
        <x:v>待逐对象核实</x:v>
      </x:c>
      <x:c r="I20" s="180" t="str">
        <x:v>运行对象/模型</x:v>
      </x:c>
      <x:c r="J20" s="179" t="str">
        <x:v>类/实例候选</x:v>
      </x:c>
      <x:c r="K20" s="180" t="str">
        <x:v>生命周期：Runtime</x:v>
      </x:c>
      <x:c r="L20" s="183" t="str">
        <x:v>设计候选，尚待源码验证</x:v>
      </x:c>
      <x:c r="M20" s="183" t="str">
        <x:v>M40.RuntimeExtension</x:v>
      </x:c>
      <x:c r="N20" s="184"/>
      <x:c r="O20" s="183" t="str">
        <x:v>V4.9对象/属性/方法
V2.01：未匹配V2.01；处置=暂无可信对应
V7.8：V7.8未检出同名词法声明</x:v>
      </x:c>
      <x:c r="P20" s="136" t="str">
        <x:v>V4.9对象/属性/方法</x:v>
      </x:c>
      <x:c r="Q20"/>
      <x:c r="R20"/>
      <x:c r="S20"/>
    </x:row>
    <x:row r="21" ht="72" customHeight="1">
      <x:c r="A21" s="179" t="str">
        <x:v>M40</x:v>
      </x:c>
      <x:c r="B21" s="180" t="str">
        <x:v>工程与扩展｜Plugin / Registry / Extension
Plugin Registry</x:v>
      </x:c>
      <x:c r="C21" s="180" t="str">
        <x:v>MPRStaticUtilityRegistry</x:v>
      </x:c>
      <x:c r="D21" s="179" t="str">
        <x:v>增构候选·待查重</x:v>
      </x:c>
      <x:c r="E21" s="180" t="str">
        <x:v>静态工具元数据注册表：Discover、Validate</x:v>
      </x:c>
      <x:c r="F21" s="180" t="str">
        <x:v>Operations；Signatures</x:v>
      </x:c>
      <x:c r="G21" s="180" t="str">
        <x:v>Discover；Validate</x:v>
      </x:c>
      <x:c r="H21" s="180" t="str">
        <x:v>待逐对象核实</x:v>
      </x:c>
      <x:c r="I21" s="180" t="str">
        <x:v>StaticUtilityRegistry</x:v>
      </x:c>
      <x:c r="J21" s="179" t="str">
        <x:v>类/实例候选</x:v>
      </x:c>
      <x:c r="K21" s="180" t="str">
        <x:v>生命周期：Studio</x:v>
      </x:c>
      <x:c r="L21" s="183" t="str">
        <x:v>设计候选，尚待源码验证</x:v>
      </x:c>
      <x:c r="M21" s="183" t="str">
        <x:v>M40.StaticUtilityRegistry</x:v>
      </x:c>
      <x:c r="N21" s="184"/>
      <x:c r="O21" s="183" t="str">
        <x:v>V4.9对象/属性/方法
V2.01：未匹配V2.01；处置=暂无可信对应
V7.8：V7.8未检出同名词法声明</x:v>
      </x:c>
      <x:c r="P21" s="136" t="str">
        <x:v>V4.9对象/属性/方法</x:v>
      </x:c>
      <x:c r="Q21"/>
      <x:c r="R21"/>
      <x:c r="S21"/>
    </x:row>
    <x:row r="22" ht="72" customHeight="1">
      <x:c r="A22" s="188"/>
      <x:c r="B22" s="187"/>
      <x:c r="C22" s="187"/>
      <x:c r="D22" s="188"/>
      <x:c r="E22" s="187"/>
      <x:c r="F22" s="187"/>
      <x:c r="G22" s="187"/>
      <x:c r="H22" s="187"/>
      <x:c r="I22" s="187"/>
      <x:c r="J22" s="188"/>
      <x:c r="K22" s="187"/>
      <x:c r="L22" s="190"/>
      <x:c r="M22" s="190"/>
      <x:c r="N22" s="190"/>
      <x:c r="O22" s="190"/>
      <x:c r="P22" s="46"/>
      <x:c r="Q22" s="46"/>
      <x:c r="R22" s="46"/>
      <x:c r="S22" s="46"/>
    </x:row>
    <x:row r="23" ht="72" customHeight="1">
      <x:c r="A23" s="188"/>
      <x:c r="B23" s="187"/>
      <x:c r="C23" s="187"/>
      <x:c r="D23" s="188"/>
      <x:c r="E23" s="187"/>
      <x:c r="F23" s="187"/>
      <x:c r="G23" s="187"/>
      <x:c r="H23" s="187"/>
      <x:c r="I23" s="187"/>
      <x:c r="J23" s="188"/>
      <x:c r="K23" s="187"/>
      <x:c r="L23" s="190"/>
      <x:c r="M23" s="190"/>
      <x:c r="N23" s="190"/>
      <x:c r="O23" s="190"/>
      <x:c r="P23" s="46"/>
      <x:c r="Q23" s="46"/>
      <x:c r="R23" s="46"/>
      <x:c r="S23" s="46"/>
    </x:row>
    <x:row r="24" ht="72" customHeight="1">
      <x:c r="A24" s="188"/>
      <x:c r="B24" s="187"/>
      <x:c r="C24" s="187"/>
      <x:c r="D24" s="188"/>
      <x:c r="E24" s="187"/>
      <x:c r="F24" s="187"/>
      <x:c r="G24" s="187"/>
      <x:c r="H24" s="187"/>
      <x:c r="I24" s="187"/>
      <x:c r="J24" s="188"/>
      <x:c r="K24" s="187"/>
      <x:c r="L24" s="190"/>
      <x:c r="M24" s="190"/>
      <x:c r="N24" s="190"/>
      <x:c r="O24" s="190"/>
      <x:c r="P24" s="46"/>
      <x:c r="Q24" s="46"/>
      <x:c r="R24" s="46"/>
      <x:c r="S24" s="46"/>
    </x:row>
    <x:row r="25" ht="72" customHeight="1">
      <x:c r="A25" s="188"/>
      <x:c r="B25" s="187"/>
      <x:c r="C25" s="187"/>
      <x:c r="D25" s="188"/>
      <x:c r="E25" s="187"/>
      <x:c r="F25" s="187"/>
      <x:c r="G25" s="187"/>
      <x:c r="H25" s="187"/>
      <x:c r="I25" s="187"/>
      <x:c r="J25" s="188"/>
      <x:c r="K25" s="187"/>
      <x:c r="L25" s="190"/>
      <x:c r="M25" s="190"/>
      <x:c r="N25" s="190"/>
      <x:c r="O25" s="190"/>
      <x:c r="P25" s="46"/>
      <x:c r="Q25" s="46"/>
      <x:c r="R25" s="46"/>
      <x:c r="S25" s="46"/>
    </x:row>
    <x:row r="26" ht="72" customHeight="1">
      <x:c r="A26" s="188"/>
      <x:c r="B26" s="187"/>
      <x:c r="C26" s="187"/>
      <x:c r="D26" s="188"/>
      <x:c r="E26" s="187"/>
      <x:c r="F26" s="187"/>
      <x:c r="G26" s="187"/>
      <x:c r="H26" s="187"/>
      <x:c r="I26" s="187"/>
      <x:c r="J26" s="188"/>
      <x:c r="K26" s="187"/>
      <x:c r="L26" s="190"/>
      <x:c r="M26" s="190"/>
      <x:c r="N26" s="190"/>
      <x:c r="O26" s="190"/>
      <x:c r="P26" s="46"/>
      <x:c r="Q26" s="46"/>
      <x:c r="R26" s="46"/>
      <x:c r="S26" s="46"/>
    </x:row>
    <x:row r="27" ht="72" customHeight="1">
      <x:c r="A27" s="188"/>
      <x:c r="B27" s="187"/>
      <x:c r="C27" s="187"/>
      <x:c r="D27" s="188"/>
      <x:c r="E27" s="187"/>
      <x:c r="F27" s="187"/>
      <x:c r="G27" s="187"/>
      <x:c r="H27" s="187"/>
      <x:c r="I27" s="187"/>
      <x:c r="J27" s="188"/>
      <x:c r="K27" s="187"/>
      <x:c r="L27" s="190"/>
      <x:c r="M27" s="190"/>
      <x:c r="N27" s="190"/>
      <x:c r="O27" s="190"/>
      <x:c r="P27" s="46"/>
      <x:c r="Q27" s="46"/>
      <x:c r="R27" s="46"/>
      <x:c r="S27" s="46"/>
    </x:row>
    <x:row r="28" ht="72" customHeight="1">
      <x:c r="A28" s="188"/>
      <x:c r="B28" s="187"/>
      <x:c r="C28" s="187"/>
      <x:c r="D28" s="188"/>
      <x:c r="E28" s="187"/>
      <x:c r="F28" s="187"/>
      <x:c r="G28" s="187"/>
      <x:c r="H28" s="187"/>
      <x:c r="I28" s="187"/>
      <x:c r="J28" s="188"/>
      <x:c r="K28" s="187"/>
      <x:c r="L28" s="190"/>
      <x:c r="M28" s="190"/>
      <x:c r="N28" s="190"/>
      <x:c r="O28" s="190"/>
      <x:c r="P28" s="46"/>
      <x:c r="Q28" s="46"/>
      <x:c r="R28" s="46"/>
      <x:c r="S28" s="46"/>
    </x:row>
    <x:row r="29" ht="72" customHeight="1">
      <x:c r="A29" s="188"/>
      <x:c r="B29" s="187"/>
      <x:c r="C29" s="187"/>
      <x:c r="D29" s="188"/>
      <x:c r="E29" s="187"/>
      <x:c r="F29" s="187"/>
      <x:c r="G29" s="187"/>
      <x:c r="H29" s="187"/>
      <x:c r="I29" s="187"/>
      <x:c r="J29" s="188"/>
      <x:c r="K29" s="187"/>
      <x:c r="L29" s="190"/>
      <x:c r="M29" s="190"/>
      <x:c r="N29" s="190"/>
      <x:c r="O29" s="190"/>
      <x:c r="P29" s="46"/>
      <x:c r="Q29" s="46"/>
      <x:c r="R29" s="46"/>
      <x:c r="S29" s="46"/>
    </x:row>
    <x:row r="30" ht="72" customHeight="1">
      <x:c r="A30" s="188"/>
      <x:c r="B30" s="187"/>
      <x:c r="C30" s="187"/>
      <x:c r="D30" s="188"/>
      <x:c r="E30" s="187"/>
      <x:c r="F30" s="187"/>
      <x:c r="G30" s="187"/>
      <x:c r="H30" s="187"/>
      <x:c r="I30" s="187"/>
      <x:c r="J30" s="188"/>
      <x:c r="K30" s="187"/>
      <x:c r="L30" s="190"/>
      <x:c r="M30" s="190"/>
      <x:c r="N30" s="190"/>
      <x:c r="O30" s="190"/>
      <x:c r="P30" s="46"/>
      <x:c r="Q30" s="46"/>
      <x:c r="R30" s="46"/>
      <x:c r="S30" s="46"/>
    </x:row>
    <x:row r="31" ht="72" customHeight="1">
      <x:c r="A31" s="188"/>
      <x:c r="B31" s="187"/>
      <x:c r="C31" s="187"/>
      <x:c r="D31" s="188"/>
      <x:c r="E31" s="187"/>
      <x:c r="F31" s="187"/>
      <x:c r="G31" s="187"/>
      <x:c r="H31" s="187"/>
      <x:c r="I31" s="187"/>
      <x:c r="J31" s="188"/>
      <x:c r="K31" s="187"/>
      <x:c r="L31" s="190"/>
      <x:c r="M31" s="190"/>
      <x:c r="N31" s="190"/>
      <x:c r="O31" s="190"/>
      <x:c r="P31" s="46"/>
      <x:c r="Q31" s="46"/>
      <x:c r="R31" s="46"/>
      <x:c r="S31" s="46"/>
    </x:row>
    <x:row r="32" ht="72" customHeight="1">
      <x:c r="A32" s="188"/>
      <x:c r="B32" s="187"/>
      <x:c r="C32" s="187"/>
      <x:c r="D32" s="188"/>
      <x:c r="E32" s="187"/>
      <x:c r="F32" s="187"/>
      <x:c r="G32" s="187"/>
      <x:c r="H32" s="187"/>
      <x:c r="I32" s="187"/>
      <x:c r="J32" s="188"/>
      <x:c r="K32" s="187"/>
      <x:c r="L32" s="190"/>
      <x:c r="M32" s="190"/>
      <x:c r="N32" s="190"/>
      <x:c r="O32" s="190"/>
      <x:c r="P32" s="46"/>
      <x:c r="Q32" s="46"/>
      <x:c r="R32" s="46"/>
      <x:c r="S32" s="46"/>
    </x:row>
    <x:row r="33" ht="72" customHeight="1">
      <x:c r="A33" s="188"/>
      <x:c r="B33" s="187"/>
      <x:c r="C33" s="187"/>
      <x:c r="D33" s="188"/>
      <x:c r="E33" s="187"/>
      <x:c r="F33" s="187"/>
      <x:c r="G33" s="187"/>
      <x:c r="H33" s="187"/>
      <x:c r="I33" s="187"/>
      <x:c r="J33" s="188"/>
      <x:c r="K33" s="187"/>
      <x:c r="L33" s="190"/>
      <x:c r="M33" s="190"/>
      <x:c r="N33" s="190"/>
      <x:c r="O33" s="190"/>
      <x:c r="P33" s="46"/>
      <x:c r="Q33" s="46"/>
      <x:c r="R33" s="46"/>
      <x:c r="S33" s="46"/>
    </x:row>
    <x:row r="34" ht="72" customHeight="1">
      <x:c r="A34" s="188"/>
      <x:c r="B34" s="187"/>
      <x:c r="C34" s="187"/>
      <x:c r="D34" s="188"/>
      <x:c r="E34" s="187"/>
      <x:c r="F34" s="187"/>
      <x:c r="G34" s="187"/>
      <x:c r="H34" s="187"/>
      <x:c r="I34" s="187"/>
      <x:c r="J34" s="188"/>
      <x:c r="K34" s="187"/>
      <x:c r="L34" s="190"/>
      <x:c r="M34" s="190"/>
      <x:c r="N34" s="190"/>
      <x:c r="O34" s="190"/>
      <x:c r="P34" s="46"/>
      <x:c r="Q34" s="46"/>
      <x:c r="R34" s="46"/>
      <x:c r="S34" s="46"/>
    </x:row>
    <x:row r="35" ht="72" customHeight="1">
      <x:c r="A35" s="188"/>
      <x:c r="B35" s="187"/>
      <x:c r="C35" s="187"/>
      <x:c r="D35" s="188"/>
      <x:c r="E35" s="187"/>
      <x:c r="F35" s="187"/>
      <x:c r="G35" s="187"/>
      <x:c r="H35" s="187"/>
      <x:c r="I35" s="187"/>
      <x:c r="J35" s="188"/>
      <x:c r="K35" s="187"/>
      <x:c r="L35" s="190"/>
      <x:c r="M35" s="190"/>
      <x:c r="N35" s="190"/>
      <x:c r="O35" s="190"/>
      <x:c r="P35" s="46"/>
      <x:c r="Q35" s="46"/>
      <x:c r="R35" s="46"/>
      <x:c r="S35" s="46"/>
    </x:row>
    <x:row r="36" ht="72" customHeight="1">
      <x:c r="A36" s="188"/>
      <x:c r="B36" s="187"/>
      <x:c r="C36" s="187"/>
      <x:c r="D36" s="188"/>
      <x:c r="E36" s="187"/>
      <x:c r="F36" s="187"/>
      <x:c r="G36" s="187"/>
      <x:c r="H36" s="187"/>
      <x:c r="I36" s="187"/>
      <x:c r="J36" s="188"/>
      <x:c r="K36" s="187"/>
      <x:c r="L36" s="190"/>
      <x:c r="M36" s="190"/>
      <x:c r="N36" s="190"/>
      <x:c r="O36" s="190"/>
      <x:c r="P36" s="46"/>
      <x:c r="Q36" s="46"/>
      <x:c r="R36" s="46"/>
      <x:c r="S36" s="46"/>
    </x:row>
    <x:row r="37" ht="72" customHeight="1">
      <x:c r="A37" s="188"/>
      <x:c r="B37" s="187"/>
      <x:c r="C37" s="187"/>
      <x:c r="D37" s="188"/>
      <x:c r="E37" s="187"/>
      <x:c r="F37" s="187"/>
      <x:c r="G37" s="187"/>
      <x:c r="H37" s="187"/>
      <x:c r="I37" s="187"/>
      <x:c r="J37" s="188"/>
      <x:c r="K37" s="187"/>
      <x:c r="L37" s="190"/>
      <x:c r="M37" s="190"/>
      <x:c r="N37" s="190"/>
      <x:c r="O37" s="190"/>
      <x:c r="P37" s="46"/>
      <x:c r="Q37" s="46"/>
      <x:c r="R37" s="46"/>
      <x:c r="S37" s="46"/>
    </x:row>
    <x:row r="38" ht="72" customHeight="1">
      <x:c r="A38" s="188"/>
      <x:c r="B38" s="187"/>
      <x:c r="C38" s="187"/>
      <x:c r="D38" s="188"/>
      <x:c r="E38" s="187"/>
      <x:c r="F38" s="187"/>
      <x:c r="G38" s="187"/>
      <x:c r="H38" s="187"/>
      <x:c r="I38" s="187"/>
      <x:c r="J38" s="188"/>
      <x:c r="K38" s="187"/>
      <x:c r="L38" s="190"/>
      <x:c r="M38" s="190"/>
      <x:c r="N38" s="190"/>
      <x:c r="O38" s="190"/>
      <x:c r="P38" s="46"/>
      <x:c r="Q38" s="46"/>
      <x:c r="R38" s="46"/>
      <x:c r="S38" s="46"/>
    </x:row>
    <x:row r="39" ht="72" customHeight="1">
      <x:c r="A39" s="188"/>
      <x:c r="B39" s="187"/>
      <x:c r="C39" s="187"/>
      <x:c r="D39" s="188"/>
      <x:c r="E39" s="187"/>
      <x:c r="F39" s="187"/>
      <x:c r="G39" s="187"/>
      <x:c r="H39" s="187"/>
      <x:c r="I39" s="187"/>
      <x:c r="J39" s="188"/>
      <x:c r="K39" s="187"/>
      <x:c r="L39" s="190"/>
      <x:c r="M39" s="190"/>
      <x:c r="N39" s="190"/>
      <x:c r="O39" s="190"/>
      <x:c r="P39" s="46"/>
      <x:c r="Q39" s="46"/>
      <x:c r="R39" s="46"/>
      <x:c r="S39" s="46"/>
    </x:row>
    <x:row r="40" ht="72" customHeight="1">
      <x:c r="A40" s="188"/>
      <x:c r="B40" s="187"/>
      <x:c r="C40" s="187"/>
      <x:c r="D40" s="188"/>
      <x:c r="E40" s="187"/>
      <x:c r="F40" s="187"/>
      <x:c r="G40" s="187"/>
      <x:c r="H40" s="187"/>
      <x:c r="I40" s="187"/>
      <x:c r="J40" s="188"/>
      <x:c r="K40" s="187"/>
      <x:c r="L40" s="190"/>
      <x:c r="M40" s="190"/>
      <x:c r="N40" s="190"/>
      <x:c r="O40" s="190"/>
      <x:c r="P40" s="46"/>
      <x:c r="Q40" s="46"/>
      <x:c r="R40" s="46"/>
      <x:c r="S40" s="46"/>
    </x:row>
    <x:row r="41" ht="72" customHeight="1">
      <x:c r="A41" s="188"/>
      <x:c r="B41" s="187"/>
      <x:c r="C41" s="187"/>
      <x:c r="D41" s="188"/>
      <x:c r="E41" s="187"/>
      <x:c r="F41" s="187"/>
      <x:c r="G41" s="187"/>
      <x:c r="H41" s="187"/>
      <x:c r="I41" s="187"/>
      <x:c r="J41" s="188"/>
      <x:c r="K41" s="187"/>
      <x:c r="L41" s="190"/>
      <x:c r="M41" s="190"/>
      <x:c r="N41" s="190"/>
      <x:c r="O41" s="190"/>
      <x:c r="P41" s="46"/>
      <x:c r="Q41" s="46"/>
      <x:c r="R41" s="46"/>
      <x:c r="S41" s="46"/>
    </x:row>
    <x:row r="42" ht="72" customHeight="1">
      <x:c r="A42" s="188"/>
      <x:c r="B42" s="187"/>
      <x:c r="C42" s="187"/>
      <x:c r="D42" s="188"/>
      <x:c r="E42" s="187"/>
      <x:c r="F42" s="187"/>
      <x:c r="G42" s="187"/>
      <x:c r="H42" s="187"/>
      <x:c r="I42" s="187"/>
      <x:c r="J42" s="188"/>
      <x:c r="K42" s="187"/>
      <x:c r="L42" s="190"/>
      <x:c r="M42" s="190"/>
      <x:c r="N42" s="190"/>
      <x:c r="O42" s="190"/>
      <x:c r="P42" s="46"/>
      <x:c r="Q42" s="46"/>
      <x:c r="R42" s="46"/>
      <x:c r="S42" s="46"/>
    </x:row>
    <x:row r="43" ht="72" customHeight="1">
      <x:c r="A43" s="188"/>
      <x:c r="B43" s="187"/>
      <x:c r="C43" s="187"/>
      <x:c r="D43" s="188"/>
      <x:c r="E43" s="187"/>
      <x:c r="F43" s="187"/>
      <x:c r="G43" s="187"/>
      <x:c r="H43" s="187"/>
      <x:c r="I43" s="187"/>
      <x:c r="J43" s="188"/>
      <x:c r="K43" s="187"/>
      <x:c r="L43" s="190"/>
      <x:c r="M43" s="190"/>
      <x:c r="N43" s="190"/>
      <x:c r="O43" s="190"/>
      <x:c r="P43" s="46"/>
      <x:c r="Q43" s="46"/>
      <x:c r="R43" s="46"/>
      <x:c r="S43" s="46"/>
    </x:row>
    <x:row r="44" ht="72" customHeight="1">
      <x:c r="A44" s="188"/>
      <x:c r="B44" s="187"/>
      <x:c r="C44" s="187"/>
      <x:c r="D44" s="188"/>
      <x:c r="E44" s="187"/>
      <x:c r="F44" s="187"/>
      <x:c r="G44" s="187"/>
      <x:c r="H44" s="187"/>
      <x:c r="I44" s="187"/>
      <x:c r="J44" s="188"/>
      <x:c r="K44" s="187"/>
      <x:c r="L44" s="190"/>
      <x:c r="M44" s="190"/>
      <x:c r="N44" s="190"/>
      <x:c r="O44" s="190"/>
      <x:c r="P44" s="46"/>
      <x:c r="Q44" s="46"/>
      <x:c r="R44" s="46"/>
      <x:c r="S44" s="46"/>
    </x:row>
    <x:row r="45" ht="72" customHeight="1">
      <x:c r="A45" s="188"/>
      <x:c r="B45" s="187"/>
      <x:c r="C45" s="187"/>
      <x:c r="D45" s="188"/>
      <x:c r="E45" s="187"/>
      <x:c r="F45" s="187"/>
      <x:c r="G45" s="187"/>
      <x:c r="H45" s="187"/>
      <x:c r="I45" s="187"/>
      <x:c r="J45" s="188"/>
      <x:c r="K45" s="187"/>
      <x:c r="L45" s="190"/>
      <x:c r="M45" s="190"/>
      <x:c r="N45" s="190"/>
      <x:c r="O45" s="190"/>
      <x:c r="P45" s="46"/>
      <x:c r="Q45" s="46"/>
      <x:c r="R45" s="46"/>
      <x:c r="S45" s="46"/>
    </x:row>
    <x:row r="46" ht="72" customHeight="1">
      <x:c r="A46" s="188"/>
      <x:c r="B46" s="187"/>
      <x:c r="C46" s="187"/>
      <x:c r="D46" s="188"/>
      <x:c r="E46" s="187"/>
      <x:c r="F46" s="187"/>
      <x:c r="G46" s="187"/>
      <x:c r="H46" s="187"/>
      <x:c r="I46" s="187"/>
      <x:c r="J46" s="188"/>
      <x:c r="K46" s="187"/>
      <x:c r="L46" s="190"/>
      <x:c r="M46" s="190"/>
      <x:c r="N46" s="190"/>
      <x:c r="O46" s="190"/>
      <x:c r="P46" s="46"/>
      <x:c r="Q46" s="46"/>
      <x:c r="R46" s="46"/>
      <x:c r="S46" s="46"/>
    </x:row>
    <x:row r="47" ht="72" customHeight="1">
      <x:c r="A47" s="188"/>
      <x:c r="B47" s="187"/>
      <x:c r="C47" s="187"/>
      <x:c r="D47" s="188"/>
      <x:c r="E47" s="187"/>
      <x:c r="F47" s="187"/>
      <x:c r="G47" s="187"/>
      <x:c r="H47" s="187"/>
      <x:c r="I47" s="187"/>
      <x:c r="J47" s="188"/>
      <x:c r="K47" s="187"/>
      <x:c r="L47" s="190"/>
      <x:c r="M47" s="190"/>
      <x:c r="N47" s="190"/>
      <x:c r="O47" s="190"/>
      <x:c r="P47" s="46"/>
      <x:c r="Q47" s="46"/>
      <x:c r="R47" s="46"/>
      <x:c r="S47" s="46"/>
    </x:row>
    <x:row r="48" ht="72" customHeight="1">
      <x:c r="A48" s="188"/>
      <x:c r="B48" s="187"/>
      <x:c r="C48" s="187"/>
      <x:c r="D48" s="188"/>
      <x:c r="E48" s="187"/>
      <x:c r="F48" s="187"/>
      <x:c r="G48" s="187"/>
      <x:c r="H48" s="187"/>
      <x:c r="I48" s="187"/>
      <x:c r="J48" s="188"/>
      <x:c r="K48" s="187"/>
      <x:c r="L48" s="190"/>
      <x:c r="M48" s="190"/>
      <x:c r="N48" s="190"/>
      <x:c r="O48" s="190"/>
      <x:c r="P48" s="46"/>
      <x:c r="Q48" s="46"/>
      <x:c r="R48" s="46"/>
      <x:c r="S48" s="46"/>
    </x:row>
    <x:row r="49" ht="72" customHeight="1">
      <x:c r="A49" s="188"/>
      <x:c r="B49" s="187"/>
      <x:c r="C49" s="187"/>
      <x:c r="D49" s="188"/>
      <x:c r="E49" s="187"/>
      <x:c r="F49" s="187"/>
      <x:c r="G49" s="187"/>
      <x:c r="H49" s="187"/>
      <x:c r="I49" s="187"/>
      <x:c r="J49" s="188"/>
      <x:c r="K49" s="187"/>
      <x:c r="L49" s="190"/>
      <x:c r="M49" s="190"/>
      <x:c r="N49" s="190"/>
      <x:c r="O49" s="190"/>
      <x:c r="P49" s="46"/>
      <x:c r="Q49" s="46"/>
      <x:c r="R49" s="46"/>
      <x:c r="S49" s="46"/>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6:A13"/>
    <x:mergeCell ref="A14:A21"/>
    <x:mergeCell ref="A1:P1"/>
    <x:mergeCell ref="A2:P2"/>
    <x:mergeCell ref="A3:P3"/>
    <x:mergeCell ref="A4:P4"/>
    <x:mergeCell ref="B6:B13"/>
    <x:mergeCell ref="B14:B21"/>
  </x:mergeCells>
  <x:pageMargins left="0.7" right="0.7" top="0.75" bottom="0.75" header="0.3" footer="0.3"/>
</x:worksheet>
</file>

<file path=xl/worksheets/sheet1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25" hidden="0" customWidth="1"/>
    <x:col min="2" max="2" width="12.5" hidden="0" customWidth="1"/>
    <x:col min="3" max="3" width="17.5" hidden="0" customWidth="1"/>
    <x:col min="4" max="4" width="7.75" hidden="0" customWidth="1"/>
    <x:col min="5" max="5" width="27.8799991607666" hidden="0" customWidth="1"/>
    <x:col min="6" max="6" width="24.8799991607666" hidden="0" customWidth="1"/>
    <x:col min="7" max="7" width="31" hidden="0" customWidth="1"/>
    <x:col min="8" max="8" width="11" hidden="0" customWidth="1"/>
    <x:col min="9" max="9" width="20" hidden="0" customWidth="1"/>
    <x:col min="10" max="10" width="8.75" hidden="0" customWidth="1"/>
    <x:col min="11" max="11" width="25.5" hidden="0" customWidth="1"/>
    <x:col min="12" max="12" width="19.5" hidden="0" customWidth="1"/>
    <x:col min="13" max="13" width="12.5" hidden="0" customWidth="1"/>
    <x:col min="14" max="14" width="30" hidden="0" customWidth="1"/>
    <x:col min="15" max="15" width="41.25" hidden="0" customWidth="1"/>
    <x:col min="16" max="16" width="34" hidden="0" customWidth="1"/>
    <x:col min="17" max="17" width="62" hidden="0" customWidth="1"/>
    <x:col min="18" max="18" width="45" hidden="0" customWidth="1"/>
    <x:col min="19" max="19" width="43" hidden="0" customWidth="1"/>
  </x:cols>
  <x:sheetData>
    <x:row r="1" ht="29" customHeight="1">
      <x:c r="A1" s="142" t="str">
        <x:v>CxVisual | CxVisual.Mechanism.Presentation.Wpf | 统一架构与对象API设计规格 V6.4</x:v>
      </x:c>
      <x:c r="B1" s="142"/>
      <x:c r="C1" s="142"/>
      <x:c r="D1" s="142"/>
      <x:c r="E1" s="142"/>
      <x:c r="F1" s="142"/>
      <x:c r="G1" s="142"/>
      <x:c r="H1" s="142"/>
      <x:c r="I1" s="142"/>
      <x:c r="J1" s="142"/>
      <x:c r="K1" s="142"/>
      <x:c r="L1" s="142"/>
      <x:c r="M1" s="142"/>
      <x:c r="N1" s="171"/>
      <x:c r="O1" s="171"/>
      <x:c r="P1" s="171"/>
      <x:c r="Q1"/>
      <x:c r="R1"/>
      <x:c r="S1"/>
    </x:row>
    <x:row r="2" ht="20" customHeight="1">
      <x:c r="A2" s="147" t="str">
        <x:v>架构精髓：各方面都尽能力展现，便捷友好尽支撑各专业达到目标。</x:v>
      </x:c>
      <x:c r="B2" s="147"/>
      <x:c r="C2" s="147"/>
      <x:c r="D2" s="147"/>
      <x:c r="E2" s="147"/>
      <x:c r="F2" s="147"/>
      <x:c r="G2" s="147"/>
      <x:c r="H2" s="147"/>
      <x:c r="I2" s="147"/>
      <x:c r="J2" s="147"/>
      <x:c r="K2" s="147"/>
      <x:c r="L2" s="147"/>
      <x:c r="M2" s="147"/>
      <x:c r="N2" s="172"/>
      <x:c r="O2" s="172"/>
      <x:c r="P2" s="172"/>
      <x:c r="Q2"/>
      <x:c r="R2"/>
      <x:c r="S2"/>
    </x:row>
    <x:row r="3" ht="23" customHeight="1">
      <x:c r="A3" s="152" t="str">
        <x:v>WPF呈现适配，无独立M子方面；使用Mechanism.Core/Visual契约，不引用Foundation.Volume。</x:v>
      </x:c>
      <x:c r="B3" s="152"/>
      <x:c r="C3" s="152"/>
      <x:c r="D3" s="152"/>
      <x:c r="E3" s="152"/>
      <x:c r="F3" s="152"/>
      <x:c r="G3" s="152"/>
      <x:c r="H3" s="152"/>
      <x:c r="I3" s="152"/>
      <x:c r="J3" s="152"/>
      <x:c r="K3" s="152"/>
      <x:c r="L3" s="152"/>
      <x:c r="M3" s="152"/>
      <x:c r="N3" s="172"/>
      <x:c r="O3" s="172"/>
      <x:c r="P3" s="172"/>
      <x:c r="Q3"/>
      <x:c r="R3"/>
      <x:c r="S3"/>
    </x:row>
    <x:row r="4" ht="23" customHeight="1">
      <x:c r="A4" s="152" t="str">
        <x:v>阅读口径：原有≠验收通过；复用待核≠直接可迁移；增构候选≠确认缺少。完整能力与CapabilityId见05_测试验收与裁决。</x:v>
      </x:c>
      <x:c r="B4" s="152"/>
      <x:c r="C4" s="152"/>
      <x:c r="D4" s="152"/>
      <x:c r="E4" s="152"/>
      <x:c r="F4" s="152"/>
      <x:c r="G4" s="152"/>
      <x:c r="H4" s="152"/>
      <x:c r="I4" s="152"/>
      <x:c r="J4" s="152"/>
      <x:c r="K4" s="152"/>
      <x:c r="L4" s="152"/>
      <x:c r="M4" s="152"/>
      <x:c r="N4" s="172"/>
      <x:c r="O4" s="172"/>
      <x:c r="P4" s="172"/>
      <x:c r="Q4"/>
      <x:c r="R4"/>
      <x:c r="S4"/>
    </x:row>
    <x:row r="5" ht="36.75" customHeight="1">
      <x:c r="A5" s="174" t="str">
        <x:v>子方面ID</x:v>
      </x:c>
      <x:c r="B5" s="174" t="str">
        <x:v>子方面中文 / 英文名称</x:v>
      </x:c>
      <x:c r="C5" s="174" t="str">
        <x:v>类/接口/枚举（建议前缀名）</x:v>
      </x:c>
      <x:c r="D5" s="174" t="str">
        <x:v>实施调整方式</x:v>
      </x:c>
      <x:c r="E5" s="174" t="str">
        <x:v>职责 / 作用</x:v>
      </x:c>
      <x:c r="F5" s="174" t="str">
        <x:v>主要 / 公开属性</x:v>
      </x:c>
      <x:c r="G5" s="174" t="str">
        <x:v>主要 / 公开方法</x:v>
      </x:c>
      <x:c r="H5" s="174" t="str">
        <x:v>继承 / 实现接口</x:v>
      </x:c>
      <x:c r="I5" s="174" t="str">
        <x:v>原始源码 / 规格类型名</x:v>
      </x:c>
      <x:c r="J5" s="174" t="str">
        <x:v>类型形态</x:v>
      </x:c>
      <x:c r="K5" s="174" t="str">
        <x:v>备注 / 注意 / 特殊情况</x:v>
      </x:c>
      <x:c r="L5" s="156" t="str">
        <x:v>设计 / 源码状态</x:v>
      </x:c>
      <x:c r="M5" s="156" t="str">
        <x:v>来源记录ID</x:v>
      </x:c>
      <x:c r="N5" s="156" t="str">
        <x:v>V7.8源码 / 规格路径</x:v>
      </x:c>
      <x:c r="O5" s="156" t="str">
        <x:v>来源/证据（V2.01 + V7.8）</x:v>
      </x:c>
      <x:c r="P5" s="156" t="str">
        <x:v>来源及证据</x:v>
      </x:c>
      <x:c r="Q5"/>
      <x:c r="R5"/>
      <x:c r="S5"/>
    </x:row>
    <x:row r="6" ht="72" customHeight="1">
      <x:c r="A6" s="179" t="str">
        <x:v>—</x:v>
      </x:c>
      <x:c r="B6" s="180" t="str">
        <x:v>WPF呈现适配
UI Presentation</x:v>
      </x:c>
      <x:c r="C6" s="180" t="str">
        <x:v>CxCanvasDrawingTarget</x:v>
      </x:c>
      <x:c r="D6" s="179" t="str">
        <x:v>迁移/适配待核</x:v>
      </x:c>
      <x:c r="E6" s="180" t="str">
        <x:v>通过DrawingContext绘制通用2D图元和图片</x:v>
      </x:c>
      <x:c r="F6" s="180" t="str">
        <x:v>Theme · PixelScale</x:v>
      </x:c>
      <x:c r="G6" s="180" t="str">
        <x:v>DrawFrame</x:v>
      </x:c>
      <x:c r="H6" s="180" t="str">
        <x:v>Core/Visual/WPF单向依赖；无独立工程对象副本</x:v>
      </x:c>
      <x:c r="I6" s="180" t="str">
        <x:v>CxCanvasDrawingTarget</x:v>
      </x:c>
      <x:c r="J6" s="179" t="str">
        <x:v>class（待核）</x:v>
      </x:c>
      <x:c r="K6" s="180" t="str">
        <x:v>生命周期：WPF视图生命周期；审核：补充类型字典</x:v>
      </x:c>
      <x:c r="L6" s="183" t="str">
        <x:v>V7.8源码词法匹配，尚未验收</x:v>
      </x:c>
      <x:c r="M6" s="183" t="str">
        <x:v>R3B.WPF.CxCanvasDrawingTarget</x:v>
      </x:c>
      <x:c r="N6" s="184" t="str">
        <x:v>Platform.Presentation.Wpf/Rendering/CxCanvasDrawingTarget.cs</x:v>
      </x:c>
      <x:c r="O6" s="183" t="str">
        <x:v>补充类型字典
V2.01：未匹配V2.01；处置=暂无可信对应
V7.8：V7.8同名且源文件对应；Platform.Presentation.Wpf/Rendering/CxCanvasDrawingTarget.cs</x:v>
      </x:c>
      <x:c r="P6" s="136" t="str">
        <x:v>补充类型字典</x:v>
      </x:c>
      <x:c r="Q6"/>
      <x:c r="R6"/>
      <x:c r="S6"/>
    </x:row>
    <x:row r="7" ht="72" customHeight="1">
      <x:c r="A7" s="179" t="str">
        <x:v>—</x:v>
      </x:c>
      <x:c r="B7" s="180" t="str">
        <x:v>WPF呈现适配
UI Presentation</x:v>
      </x:c>
      <x:c r="C7" s="180" t="str">
        <x:v>CxDiagramDrawingTarget</x:v>
      </x:c>
      <x:c r="D7" s="179" t="str">
        <x:v>迁移/适配待核</x:v>
      </x:c>
      <x:c r="E7" s="180" t="str">
        <x:v>绘制Diagram节点、端口、连接和运行态装饰</x:v>
      </x:c>
      <x:c r="F7" s="180" t="str">
        <x:v>LinkStyle · NodeTemplate</x:v>
      </x:c>
      <x:c r="G7" s="180" t="str">
        <x:v>DrawDiagram</x:v>
      </x:c>
      <x:c r="H7" s="180" t="str">
        <x:v>Core/Visual/WPF单向依赖；无独立工程对象副本</x:v>
      </x:c>
      <x:c r="I7" s="180" t="str">
        <x:v>CxDiagramDrawingTarget</x:v>
      </x:c>
      <x:c r="J7" s="179" t="str">
        <x:v>class（待核）</x:v>
      </x:c>
      <x:c r="K7" s="180" t="str">
        <x:v>生命周期：WPF视图生命周期；审核：补充类型字典</x:v>
      </x:c>
      <x:c r="L7" s="183" t="str">
        <x:v>V7.8源码词法匹配，尚未验收</x:v>
      </x:c>
      <x:c r="M7" s="183" t="str">
        <x:v>R3B.WPF.CxDiagramDrawingTarget</x:v>
      </x:c>
      <x:c r="N7" s="184" t="str">
        <x:v>Platform.Presentation.Wpf/Rendering/CxDiagramDrawingTarget.cs</x:v>
      </x:c>
      <x:c r="O7" s="183" t="str">
        <x:v>补充类型字典
V2.01：未匹配V2.01；处置=暂无可信对应
V7.8：V7.8同名且源文件对应；Platform.Presentation.Wpf/Rendering/CxDiagramDrawingTarget.cs</x:v>
      </x:c>
      <x:c r="P7" s="136" t="str">
        <x:v>补充类型字典</x:v>
      </x:c>
      <x:c r="Q7"/>
      <x:c r="R7"/>
      <x:c r="S7"/>
    </x:row>
    <x:row r="8" ht="72" customHeight="1">
      <x:c r="A8" s="179" t="str">
        <x:v>—</x:v>
      </x:c>
      <x:c r="B8" s="180" t="str">
        <x:v>WPF呈现适配
UI Presentation</x:v>
      </x:c>
      <x:c r="C8" s="180" t="str">
        <x:v>DiagramCanvas</x:v>
      </x:c>
      <x:c r="D8" s="179" t="str">
        <x:v>迁移/适配待核</x:v>
      </x:c>
      <x:c r="E8" s="180" t="str">
        <x:v>原WPF Diagram节点控件集合；需与统一CxDiagramDrawingTarget收敛</x:v>
      </x:c>
      <x:c r="F8" s="180" t="str">
        <x:v>ItemsSource · Viewport</x:v>
      </x:c>
      <x:c r="G8" s="180" t="str">
        <x:v>RebuildVisualTree</x:v>
      </x:c>
      <x:c r="H8" s="180" t="str">
        <x:v>Core/Visual/WPF单向依赖；无独立工程对象副本</x:v>
      </x:c>
      <x:c r="I8" s="180" t="str">
        <x:v>DiagramCanvas</x:v>
      </x:c>
      <x:c r="J8" s="179" t="str">
        <x:v>class（待核）</x:v>
      </x:c>
      <x:c r="K8" s="180" t="str">
        <x:v>生命周期：WPF视图生命周期；审核：补充类型字典</x:v>
      </x:c>
      <x:c r="L8" s="183" t="str">
        <x:v>V7.8源码词法匹配，尚未验收</x:v>
      </x:c>
      <x:c r="M8" s="183" t="str">
        <x:v>R3B.WPF.DiagramCanvas</x:v>
      </x:c>
      <x:c r="N8" s="184" t="str">
        <x:v>Platform.Presentation.Wpf/Diagram/DiagramFoundation.cs</x:v>
      </x:c>
      <x:c r="O8" s="183" t="str">
        <x:v>补充类型字典
V2.01：未匹配V2.01；处置=暂无可信对应
V7.8：V7.8同名且源文件对应；Platform.Presentation.Wpf/Diagram/DiagramFoundation.cs</x:v>
      </x:c>
      <x:c r="P8" s="136" t="str">
        <x:v>补充类型字典</x:v>
      </x:c>
      <x:c r="Q8"/>
      <x:c r="R8"/>
      <x:c r="S8"/>
    </x:row>
    <x:row r="9" ht="72" customHeight="1">
      <x:c r="A9" s="179" t="str">
        <x:v>—</x:v>
      </x:c>
      <x:c r="B9" s="180" t="str">
        <x:v>WPF呈现适配
UI Presentation</x:v>
      </x:c>
      <x:c r="C9" s="180" t="str">
        <x:v>LogicDesignerControl</x:v>
      </x:c>
      <x:c r="D9" s="179" t="str">
        <x:v>迁移/适配待核</x:v>
      </x:c>
      <x:c r="E9" s="180" t="str">
        <x:v>逻辑编辑WPF容器；仅承载设计器视图与事件</x:v>
      </x:c>
      <x:c r="F9" s="180" t="str">
        <x:v>ViewSession · SourceAdapter</x:v>
      </x:c>
      <x:c r="G9" s="180" t="str">
        <x:v>SetDocument · InvalidateDiagram</x:v>
      </x:c>
      <x:c r="H9" s="180" t="str">
        <x:v>Core/Visual/WPF单向依赖；无独立工程对象副本</x:v>
      </x:c>
      <x:c r="I9" s="180" t="str">
        <x:v>LogicDesignerControl</x:v>
      </x:c>
      <x:c r="J9" s="179" t="str">
        <x:v>class（待核）</x:v>
      </x:c>
      <x:c r="K9" s="180" t="str">
        <x:v>生命周期：WPF视图生命周期；审核：补充类型字典</x:v>
      </x:c>
      <x:c r="L9" s="183" t="str">
        <x:v>V7.8源码词法匹配，尚未验收</x:v>
      </x:c>
      <x:c r="M9" s="183" t="str">
        <x:v>R3B.WPF.LogicDesignerControl</x:v>
      </x:c>
      <x:c r="N9" s="184" t="str">
        <x:v>Workbenches/Presentation.Wpf/Automation/LogicDesigner.cs</x:v>
      </x:c>
      <x:c r="O9" s="183" t="str">
        <x:v>补充类型字典
V2.01：未匹配V2.01；处置=暂无可信对应
V7.8：V7.8同名且源文件对应；Workbenches/Presentation.Wpf/Automation/LogicDesigner.cs</x:v>
      </x:c>
      <x:c r="P9" s="136" t="str">
        <x:v>补充类型字典</x:v>
      </x:c>
      <x:c r="Q9"/>
      <x:c r="R9"/>
      <x:c r="S9"/>
    </x:row>
    <x:row r="10" ht="72" customHeight="1">
      <x:c r="A10" s="179" t="str">
        <x:v>—</x:v>
      </x:c>
      <x:c r="B10" s="180" t="str">
        <x:v>WPF呈现适配
UI Presentation</x:v>
      </x:c>
      <x:c r="C10" s="180" t="str">
        <x:v>SceneView</x:v>
      </x:c>
      <x:c r="D10" s="179" t="str">
        <x:v>迁移/适配待核</x:v>
      </x:c>
      <x:c r="E10" s="180" t="str">
        <x:v>WPF可视宿主；将Visual Frame转为界面呈现并驱动刷新</x:v>
      </x:c>
      <x:c r="F10" s="180" t="str">
        <x:v>VisualFrame · FrameRenderTime</x:v>
      </x:c>
      <x:c r="G10" s="180" t="str">
        <x:v>BindSession · InvalidateFrame · OnRender</x:v>
      </x:c>
      <x:c r="H10" s="180" t="str">
        <x:v>Core/Visual/WPF单向依赖；无独立工程对象副本</x:v>
      </x:c>
      <x:c r="I10" s="180" t="str">
        <x:v>SceneView</x:v>
      </x:c>
      <x:c r="J10" s="179" t="str">
        <x:v>class（待核）</x:v>
      </x:c>
      <x:c r="K10" s="180" t="str">
        <x:v>生命周期：WPF视图生命周期；审核：补充类型字典</x:v>
      </x:c>
      <x:c r="L10" s="183" t="str">
        <x:v>V7.8源码词法匹配，尚未验收</x:v>
      </x:c>
      <x:c r="M10" s="183" t="str">
        <x:v>R3B.WPF.SceneView</x:v>
      </x:c>
      <x:c r="N10" s="184" t="str">
        <x:v>Platform.Presentation.Wpf/Rendering/SceneView.cs</x:v>
      </x:c>
      <x:c r="O10" s="183" t="str">
        <x:v>补充类型字典
V2.01：未匹配V2.01；处置=暂无可信对应
V7.8：V7.8同名且源文件对应；Platform.Presentation.Wpf/Rendering/SceneView.cs</x:v>
      </x:c>
      <x:c r="P10" s="136" t="str">
        <x:v>补充类型字典</x:v>
      </x:c>
      <x:c r="Q10"/>
      <x:c r="R10"/>
      <x:c r="S10"/>
    </x:row>
    <x:row r="11" ht="72" customHeight="1">
      <x:c r="A11" s="179" t="str">
        <x:v>—</x:v>
      </x:c>
      <x:c r="B11" s="180" t="str">
        <x:v>WPF呈现适配
UI Presentation</x:v>
      </x:c>
      <x:c r="C11" s="180" t="str">
        <x:v>WpfImagePresenter</x:v>
      </x:c>
      <x:c r="D11" s="179" t="str">
        <x:v>迁移/适配待核</x:v>
      </x:c>
      <x:c r="E11" s="180" t="str">
        <x:v>将Foundation.Imaging像素缓冲转换成BitmapSource/图像帧</x:v>
      </x:c>
      <x:c r="F11" s="180" t="str">
        <x:v>PixelFormat · CacheKey</x:v>
      </x:c>
      <x:c r="G11" s="180" t="str">
        <x:v>ToBitmapSource · Release</x:v>
      </x:c>
      <x:c r="H11" s="180" t="str">
        <x:v>Core/Visual/WPF单向依赖；无独立工程对象副本</x:v>
      </x:c>
      <x:c r="I11" s="180" t="str">
        <x:v>WpfImagePresenter</x:v>
      </x:c>
      <x:c r="J11" s="179" t="str">
        <x:v>class（待核）</x:v>
      </x:c>
      <x:c r="K11" s="180" t="str">
        <x:v>生命周期：WPF视图生命周期；审核：补充类型字典</x:v>
      </x:c>
      <x:c r="L11" s="183" t="str">
        <x:v>V7.8源码词法匹配，尚未验收</x:v>
      </x:c>
      <x:c r="M11" s="183" t="str">
        <x:v>R3B.WPF.WpfImagePresenter</x:v>
      </x:c>
      <x:c r="N11" s="184" t="str">
        <x:v>R3-B建议（WPF图像通用化）</x:v>
      </x:c>
      <x:c r="O11" s="183" t="str">
        <x:v>补充类型字典
V2.01：未匹配V2.01；处置=暂无可信对应
V7.8：V7.8未检出同名词法声明</x:v>
      </x:c>
      <x:c r="P11" s="136" t="str">
        <x:v>补充类型字典</x:v>
      </x:c>
      <x:c r="Q11"/>
      <x:c r="R11"/>
      <x:c r="S11"/>
    </x:row>
    <x:row r="12" ht="72" customHeight="1">
      <x:c r="A12" s="179" t="str">
        <x:v>—</x:v>
      </x:c>
      <x:c r="B12" s="180" t="str">
        <x:v>WPF呈现适配
UI Presentation</x:v>
      </x:c>
      <x:c r="C12" s="180" t="str">
        <x:v>WpfInputBridge</x:v>
      </x:c>
      <x:c r="D12" s="179" t="str">
        <x:v>迁移/适配待核</x:v>
      </x:c>
      <x:c r="E12" s="180" t="str">
        <x:v>把WPF鼠标/键盘/触控转为CxPointerInput，不决定业务编辑规则</x:v>
      </x:c>
      <x:c r="F12" s="180" t="str">
        <x:v>InputState · CaptureState</x:v>
      </x:c>
      <x:c r="G12" s="180" t="str">
        <x:v>TranslatePointer · TranslateKey</x:v>
      </x:c>
      <x:c r="H12" s="180" t="str">
        <x:v>Core/Visual/WPF单向依赖；无独立工程对象副本</x:v>
      </x:c>
      <x:c r="I12" s="180" t="str">
        <x:v>WpfInputBridge</x:v>
      </x:c>
      <x:c r="J12" s="179" t="str">
        <x:v>class（待核）</x:v>
      </x:c>
      <x:c r="K12" s="180" t="str">
        <x:v>生命周期：WPF视图生命周期；审核：补充类型字典</x:v>
      </x:c>
      <x:c r="L12" s="183" t="str">
        <x:v>V7.8源码词法匹配，尚未验收</x:v>
      </x:c>
      <x:c r="M12" s="183" t="str">
        <x:v>R3B.WPF.WpfInputBridge</x:v>
      </x:c>
      <x:c r="N12" s="184" t="str">
        <x:v>R3-B建议（V7.8事件处理抽取）</x:v>
      </x:c>
      <x:c r="O12" s="183" t="str">
        <x:v>补充类型字典
V2.01：未匹配V2.01；处置=暂无可信对应
V7.8：V7.8未检出同名词法声明</x:v>
      </x:c>
      <x:c r="P12" s="136" t="str">
        <x:v>补充类型字典</x:v>
      </x:c>
      <x:c r="Q12"/>
      <x:c r="R12"/>
      <x:c r="S12"/>
    </x:row>
    <x:row r="13" ht="72" customHeight="1">
      <x:c r="A13" s="179" t="str">
        <x:v>—</x:v>
      </x:c>
      <x:c r="B13" s="180" t="str">
        <x:v>WPF呈现适配
UI Presentation</x:v>
      </x:c>
      <x:c r="C13" s="180" t="str">
        <x:v>WpfSelectionAdorner</x:v>
      </x:c>
      <x:c r="D13" s="179" t="str">
        <x:v>迁移/适配待核</x:v>
      </x:c>
      <x:c r="E13" s="180" t="str">
        <x:v>绘制选区、Handle等装饰，不拥有Selection模型</x:v>
      </x:c>
      <x:c r="F13" s="180" t="str">
        <x:v>AdornerState</x:v>
      </x:c>
      <x:c r="G13" s="180" t="str">
        <x:v>RenderAdorner</x:v>
      </x:c>
      <x:c r="H13" s="180" t="str">
        <x:v>Core/Visual/WPF单向依赖；无独立工程对象副本</x:v>
      </x:c>
      <x:c r="I13" s="180" t="str">
        <x:v>WpfSelectionAdorner</x:v>
      </x:c>
      <x:c r="J13" s="179" t="str">
        <x:v>class（待核）</x:v>
      </x:c>
      <x:c r="K13" s="180" t="str">
        <x:v>生命周期：WPF视图生命周期；审核：补充类型字典</x:v>
      </x:c>
      <x:c r="L13" s="183" t="str">
        <x:v>V7.8源码词法匹配，尚未验收</x:v>
      </x:c>
      <x:c r="M13" s="183" t="str">
        <x:v>R3B.WPF.WpfSelectionAdorner</x:v>
      </x:c>
      <x:c r="N13" s="184" t="str">
        <x:v>R3-B建议（V7.8选择框绘制抽取）</x:v>
      </x:c>
      <x:c r="O13" s="183" t="str">
        <x:v>补充类型字典
V2.01：未匹配V2.01；处置=暂无可信对应
V7.8：V7.8未检出同名词法声明</x:v>
      </x:c>
      <x:c r="P13" s="136" t="str">
        <x:v>补充类型字典</x:v>
      </x:c>
      <x:c r="Q13"/>
      <x:c r="R13"/>
      <x:c r="S13"/>
    </x:row>
    <x:row r="14" ht="72" customHeight="1">
      <x:c r="A14" s="179" t="str">
        <x:v>—</x:v>
      </x:c>
      <x:c r="B14" s="180" t="str">
        <x:v>WPF呈现适配
UI Presentation</x:v>
      </x:c>
      <x:c r="C14" s="180" t="str">
        <x:v>WpfTextMetricsProvider</x:v>
      </x:c>
      <x:c r="D14" s="179" t="str">
        <x:v>迁移/适配待核</x:v>
      </x:c>
      <x:c r="E14" s="180" t="str">
        <x:v>利用WPF真实字体度量实现Visual只读文本测量接口</x:v>
      </x:c>
      <x:c r="F14" s="180" t="str">
        <x:v>Dpi · TextStyle</x:v>
      </x:c>
      <x:c r="G14" s="180" t="str">
        <x:v>MeasureText</x:v>
      </x:c>
      <x:c r="H14" s="180" t="str">
        <x:v>Core/Visual/WPF单向依赖；无独立工程对象副本</x:v>
      </x:c>
      <x:c r="I14" s="180" t="str">
        <x:v>WpfTextMetricsProvider</x:v>
      </x:c>
      <x:c r="J14" s="179" t="str">
        <x:v>class（待核）</x:v>
      </x:c>
      <x:c r="K14" s="180" t="str">
        <x:v>生命周期：WPF视图生命周期；审核：补充类型字典</x:v>
      </x:c>
      <x:c r="L14" s="183" t="str">
        <x:v>V7.8源码词法匹配，尚未验收</x:v>
      </x:c>
      <x:c r="M14" s="183" t="str">
        <x:v>R3B.WPF.WpfTextMetricsProvider</x:v>
      </x:c>
      <x:c r="N14" s="184" t="str">
        <x:v>R3-B建议（V7.8文本绘制抽取）</x:v>
      </x:c>
      <x:c r="O14" s="183" t="str">
        <x:v>补充类型字典
V2.01：未匹配V2.01；处置=暂无可信对应
V7.8：V7.8未检出同名词法声明</x:v>
      </x:c>
      <x:c r="P14" s="136" t="str">
        <x:v>补充类型字典</x:v>
      </x:c>
      <x:c r="Q14"/>
      <x:c r="R14"/>
      <x:c r="S14"/>
    </x:row>
    <x:row r="15" ht="72" customHeight="1">
      <x:c r="A15" s="179" t="str">
        <x:v>—</x:v>
      </x:c>
      <x:c r="B15" s="180" t="str">
        <x:v>WPF呈现适配
UI Presentation</x:v>
      </x:c>
      <x:c r="C15" s="180" t="str">
        <x:v>WpfViewportAdapter</x:v>
      </x:c>
      <x:c r="D15" s="179" t="str">
        <x:v>迁移/适配待核</x:v>
      </x:c>
      <x:c r="E15" s="180" t="str">
        <x:v>统一DPI/窗口缩放和逻辑坐标转换；视口源数据来自Visual</x:v>
      </x:c>
      <x:c r="F15" s="180" t="str">
        <x:v>DpiScale · ActualViewport</x:v>
      </x:c>
      <x:c r="G15" s="180" t="str">
        <x:v>UpdateSize · TransformInputPoint</x:v>
      </x:c>
      <x:c r="H15" s="180" t="str">
        <x:v>Core/Visual/WPF单向依赖；无独立工程对象副本</x:v>
      </x:c>
      <x:c r="I15" s="180" t="str">
        <x:v>WpfViewportAdapter</x:v>
      </x:c>
      <x:c r="J15" s="179" t="str">
        <x:v>class（待核）</x:v>
      </x:c>
      <x:c r="K15" s="180" t="str">
        <x:v>生命周期：WPF视图生命周期；审核：补充类型字典</x:v>
      </x:c>
      <x:c r="L15" s="183" t="str">
        <x:v>V7.8源码词法匹配，尚未验收</x:v>
      </x:c>
      <x:c r="M15" s="183" t="str">
        <x:v>R3B.WPF.WpfViewportAdapter</x:v>
      </x:c>
      <x:c r="N15" s="184" t="str">
        <x:v>R3-B建议（WPF适配层）</x:v>
      </x:c>
      <x:c r="O15" s="183" t="str">
        <x:v>补充类型字典
V2.01：未匹配V2.01；处置=暂无可信对应
V7.8：V7.8未检出同名词法声明</x:v>
      </x:c>
      <x:c r="P15" s="136" t="str">
        <x:v>补充类型字典</x:v>
      </x:c>
      <x:c r="Q15"/>
      <x:c r="R15"/>
      <x:c r="S15"/>
    </x:row>
    <x:row r="16" ht="72" customHeight="1">
      <x:c r="A16" s="179" t="str">
        <x:v>—</x:v>
      </x:c>
      <x:c r="B16" s="180" t="str">
        <x:v>WPF呈现适配
UI Presentation</x:v>
      </x:c>
      <x:c r="C16" s="180" t="str">
        <x:v>WpfVisualFrameScheduler</x:v>
      </x:c>
      <x:c r="D16" s="179" t="str">
        <x:v>迁移/适配待核</x:v>
      </x:c>
      <x:c r="E16" s="180" t="str">
        <x:v>调度WPF Dispatcher刷新，合并脏矩形/重绘请求</x:v>
      </x:c>
      <x:c r="F16" s="180" t="str">
        <x:v>IsScheduled</x:v>
      </x:c>
      <x:c r="G16" s="180" t="str">
        <x:v>RequestFrame · Flush</x:v>
      </x:c>
      <x:c r="H16" s="180" t="str">
        <x:v>Core/Visual/WPF单向依赖；无独立工程对象副本</x:v>
      </x:c>
      <x:c r="I16" s="180" t="str">
        <x:v>WpfVisualFrameScheduler</x:v>
      </x:c>
      <x:c r="J16" s="179" t="str">
        <x:v>class（待核）</x:v>
      </x:c>
      <x:c r="K16" s="180" t="str">
        <x:v>生命周期：WPF视图生命周期；审核：补充类型字典</x:v>
      </x:c>
      <x:c r="L16" s="183" t="str">
        <x:v>V7.8源码词法匹配，尚未验收</x:v>
      </x:c>
      <x:c r="M16" s="183" t="str">
        <x:v>R3B.WPF.WpfVisualFrameScheduler</x:v>
      </x:c>
      <x:c r="N16" s="184" t="str">
        <x:v>R3-B建议（渲染刷新统一）</x:v>
      </x:c>
      <x:c r="O16" s="183" t="str">
        <x:v>补充类型字典
V2.01：未匹配V2.01；处置=暂无可信对应
V7.8：V7.8未检出同名词法声明</x:v>
      </x:c>
      <x:c r="P16" s="136" t="str">
        <x:v>补充类型字典</x:v>
      </x:c>
      <x:c r="Q16"/>
      <x:c r="R16"/>
      <x:c r="S16"/>
    </x:row>
    <x:row r="17" ht="72" customHeight="1">
      <x:c r="A17" s="188"/>
      <x:c r="B17" s="187"/>
      <x:c r="C17" s="187"/>
      <x:c r="D17" s="188"/>
      <x:c r="E17" s="187"/>
      <x:c r="F17" s="187"/>
      <x:c r="G17" s="187"/>
      <x:c r="H17" s="187"/>
      <x:c r="I17" s="187"/>
      <x:c r="J17" s="188"/>
      <x:c r="K17" s="187"/>
      <x:c r="L17" s="190"/>
      <x:c r="M17" s="190"/>
      <x:c r="N17" s="190"/>
      <x:c r="O17" s="190"/>
      <x:c r="P17" s="46"/>
      <x:c r="Q17" s="46"/>
      <x:c r="R17" s="46"/>
      <x:c r="S17" s="46"/>
    </x:row>
    <x:row r="18" ht="72" customHeight="1">
      <x:c r="A18" s="188"/>
      <x:c r="B18" s="187"/>
      <x:c r="C18" s="187"/>
      <x:c r="D18" s="188"/>
      <x:c r="E18" s="187"/>
      <x:c r="F18" s="187"/>
      <x:c r="G18" s="187"/>
      <x:c r="H18" s="187"/>
      <x:c r="I18" s="187"/>
      <x:c r="J18" s="188"/>
      <x:c r="K18" s="187"/>
      <x:c r="L18" s="190"/>
      <x:c r="M18" s="190"/>
      <x:c r="N18" s="190"/>
      <x:c r="O18" s="190"/>
      <x:c r="P18" s="46"/>
      <x:c r="Q18" s="46"/>
      <x:c r="R18" s="46"/>
      <x:c r="S18" s="46"/>
    </x:row>
    <x:row r="19" ht="72" customHeight="1">
      <x:c r="A19" s="188"/>
      <x:c r="B19" s="187"/>
      <x:c r="C19" s="187"/>
      <x:c r="D19" s="188"/>
      <x:c r="E19" s="187"/>
      <x:c r="F19" s="187"/>
      <x:c r="G19" s="187"/>
      <x:c r="H19" s="187"/>
      <x:c r="I19" s="187"/>
      <x:c r="J19" s="188"/>
      <x:c r="K19" s="187"/>
      <x:c r="L19" s="190"/>
      <x:c r="M19" s="190"/>
      <x:c r="N19" s="190"/>
      <x:c r="O19" s="190"/>
      <x:c r="P19" s="46"/>
      <x:c r="Q19" s="46"/>
      <x:c r="R19" s="46"/>
      <x:c r="S19" s="46"/>
    </x:row>
    <x:row r="20" ht="72" customHeight="1">
      <x:c r="A20" s="188"/>
      <x:c r="B20" s="187"/>
      <x:c r="C20" s="187"/>
      <x:c r="D20" s="188"/>
      <x:c r="E20" s="187"/>
      <x:c r="F20" s="187"/>
      <x:c r="G20" s="187"/>
      <x:c r="H20" s="187"/>
      <x:c r="I20" s="187"/>
      <x:c r="J20" s="188"/>
      <x:c r="K20" s="187"/>
      <x:c r="L20" s="190"/>
      <x:c r="M20" s="190"/>
      <x:c r="N20" s="190"/>
      <x:c r="O20" s="190"/>
      <x:c r="P20" s="46"/>
      <x:c r="Q20" s="46"/>
      <x:c r="R20" s="46"/>
      <x:c r="S20" s="46"/>
    </x:row>
    <x:row r="21" ht="72" customHeight="1">
      <x:c r="A21" s="188"/>
      <x:c r="B21" s="187"/>
      <x:c r="C21" s="187"/>
      <x:c r="D21" s="188"/>
      <x:c r="E21" s="187"/>
      <x:c r="F21" s="187"/>
      <x:c r="G21" s="187"/>
      <x:c r="H21" s="187"/>
      <x:c r="I21" s="187"/>
      <x:c r="J21" s="188"/>
      <x:c r="K21" s="187"/>
      <x:c r="L21" s="190"/>
      <x:c r="M21" s="190"/>
      <x:c r="N21" s="190"/>
      <x:c r="O21" s="190"/>
      <x:c r="P21" s="46"/>
      <x:c r="Q21" s="46"/>
      <x:c r="R21" s="46"/>
      <x:c r="S21" s="46"/>
    </x:row>
    <x:row r="22" ht="72" customHeight="1">
      <x:c r="A22" s="188"/>
      <x:c r="B22" s="187"/>
      <x:c r="C22" s="187"/>
      <x:c r="D22" s="188"/>
      <x:c r="E22" s="187"/>
      <x:c r="F22" s="187"/>
      <x:c r="G22" s="187"/>
      <x:c r="H22" s="187"/>
      <x:c r="I22" s="187"/>
      <x:c r="J22" s="188"/>
      <x:c r="K22" s="187"/>
      <x:c r="L22" s="190"/>
      <x:c r="M22" s="190"/>
      <x:c r="N22" s="190"/>
      <x:c r="O22" s="190"/>
      <x:c r="P22" s="46"/>
      <x:c r="Q22" s="46"/>
      <x:c r="R22" s="46"/>
      <x:c r="S22" s="46"/>
    </x:row>
    <x:row r="23" ht="72" customHeight="1">
      <x:c r="A23" s="188"/>
      <x:c r="B23" s="187"/>
      <x:c r="C23" s="187"/>
      <x:c r="D23" s="188"/>
      <x:c r="E23" s="187"/>
      <x:c r="F23" s="187"/>
      <x:c r="G23" s="187"/>
      <x:c r="H23" s="187"/>
      <x:c r="I23" s="187"/>
      <x:c r="J23" s="188"/>
      <x:c r="K23" s="187"/>
      <x:c r="L23" s="190"/>
      <x:c r="M23" s="190"/>
      <x:c r="N23" s="190"/>
      <x:c r="O23" s="190"/>
      <x:c r="P23" s="46"/>
      <x:c r="Q23" s="46"/>
      <x:c r="R23" s="46"/>
      <x:c r="S23" s="46"/>
    </x:row>
    <x:row r="24" ht="72" customHeight="1">
      <x:c r="A24" s="188"/>
      <x:c r="B24" s="187"/>
      <x:c r="C24" s="187"/>
      <x:c r="D24" s="188"/>
      <x:c r="E24" s="187"/>
      <x:c r="F24" s="187"/>
      <x:c r="G24" s="187"/>
      <x:c r="H24" s="187"/>
      <x:c r="I24" s="187"/>
      <x:c r="J24" s="188"/>
      <x:c r="K24" s="187"/>
      <x:c r="L24" s="190"/>
      <x:c r="M24" s="190"/>
      <x:c r="N24" s="190"/>
      <x:c r="O24" s="190"/>
      <x:c r="P24" s="46"/>
      <x:c r="Q24" s="46"/>
      <x:c r="R24" s="46"/>
      <x:c r="S24" s="46"/>
    </x:row>
    <x:row r="25" ht="72" customHeight="1">
      <x:c r="A25" s="188"/>
      <x:c r="B25" s="187"/>
      <x:c r="C25" s="187"/>
      <x:c r="D25" s="188"/>
      <x:c r="E25" s="187"/>
      <x:c r="F25" s="187"/>
      <x:c r="G25" s="187"/>
      <x:c r="H25" s="187"/>
      <x:c r="I25" s="187"/>
      <x:c r="J25" s="188"/>
      <x:c r="K25" s="187"/>
      <x:c r="L25" s="190"/>
      <x:c r="M25" s="190"/>
      <x:c r="N25" s="190"/>
      <x:c r="O25" s="190"/>
      <x:c r="P25" s="46"/>
      <x:c r="Q25" s="46"/>
      <x:c r="R25" s="46"/>
      <x:c r="S25" s="46"/>
    </x:row>
    <x:row r="26" ht="72" customHeight="1">
      <x:c r="A26" s="188"/>
      <x:c r="B26" s="187"/>
      <x:c r="C26" s="187"/>
      <x:c r="D26" s="188"/>
      <x:c r="E26" s="187"/>
      <x:c r="F26" s="187"/>
      <x:c r="G26" s="187"/>
      <x:c r="H26" s="187"/>
      <x:c r="I26" s="187"/>
      <x:c r="J26" s="188"/>
      <x:c r="K26" s="187"/>
      <x:c r="L26" s="190"/>
      <x:c r="M26" s="190"/>
      <x:c r="N26" s="190"/>
      <x:c r="O26" s="190"/>
      <x:c r="P26" s="46"/>
      <x:c r="Q26" s="46"/>
      <x:c r="R26" s="46"/>
      <x:c r="S26" s="46"/>
    </x:row>
    <x:row r="27" ht="72" customHeight="1">
      <x:c r="A27" s="188"/>
      <x:c r="B27" s="187"/>
      <x:c r="C27" s="187"/>
      <x:c r="D27" s="188"/>
      <x:c r="E27" s="187"/>
      <x:c r="F27" s="187"/>
      <x:c r="G27" s="187"/>
      <x:c r="H27" s="187"/>
      <x:c r="I27" s="187"/>
      <x:c r="J27" s="188"/>
      <x:c r="K27" s="187"/>
      <x:c r="L27" s="190"/>
      <x:c r="M27" s="190"/>
      <x:c r="N27" s="190"/>
      <x:c r="O27" s="190"/>
      <x:c r="P27" s="46"/>
      <x:c r="Q27" s="46"/>
      <x:c r="R27" s="46"/>
      <x:c r="S27" s="46"/>
    </x:row>
    <x:row r="28" ht="72" customHeight="1">
      <x:c r="A28" s="188"/>
      <x:c r="B28" s="187"/>
      <x:c r="C28" s="187"/>
      <x:c r="D28" s="188"/>
      <x:c r="E28" s="187"/>
      <x:c r="F28" s="187"/>
      <x:c r="G28" s="187"/>
      <x:c r="H28" s="187"/>
      <x:c r="I28" s="187"/>
      <x:c r="J28" s="188"/>
      <x:c r="K28" s="187"/>
      <x:c r="L28" s="190"/>
      <x:c r="M28" s="190"/>
      <x:c r="N28" s="190"/>
      <x:c r="O28" s="190"/>
      <x:c r="P28" s="46"/>
      <x:c r="Q28" s="46"/>
      <x:c r="R28" s="46"/>
      <x:c r="S28" s="46"/>
    </x:row>
    <x:row r="29" ht="72" customHeight="1">
      <x:c r="A29" s="188"/>
      <x:c r="B29" s="187"/>
      <x:c r="C29" s="187"/>
      <x:c r="D29" s="188"/>
      <x:c r="E29" s="187"/>
      <x:c r="F29" s="187"/>
      <x:c r="G29" s="187"/>
      <x:c r="H29" s="187"/>
      <x:c r="I29" s="187"/>
      <x:c r="J29" s="188"/>
      <x:c r="K29" s="187"/>
      <x:c r="L29" s="190"/>
      <x:c r="M29" s="190"/>
      <x:c r="N29" s="190"/>
      <x:c r="O29" s="190"/>
      <x:c r="P29" s="46"/>
      <x:c r="Q29" s="46"/>
      <x:c r="R29" s="46"/>
      <x:c r="S29" s="46"/>
    </x:row>
    <x:row r="30" ht="72" customHeight="1">
      <x:c r="A30" s="188"/>
      <x:c r="B30" s="187"/>
      <x:c r="C30" s="187"/>
      <x:c r="D30" s="188"/>
      <x:c r="E30" s="187"/>
      <x:c r="F30" s="187"/>
      <x:c r="G30" s="187"/>
      <x:c r="H30" s="187"/>
      <x:c r="I30" s="187"/>
      <x:c r="J30" s="188"/>
      <x:c r="K30" s="187"/>
      <x:c r="L30" s="190"/>
      <x:c r="M30" s="190"/>
      <x:c r="N30" s="190"/>
      <x:c r="O30" s="190"/>
      <x:c r="P30" s="46"/>
      <x:c r="Q30" s="46"/>
      <x:c r="R30" s="46"/>
      <x:c r="S30" s="46"/>
    </x:row>
    <x:row r="31" ht="72" customHeight="1">
      <x:c r="A31" s="188"/>
      <x:c r="B31" s="187"/>
      <x:c r="C31" s="187"/>
      <x:c r="D31" s="188"/>
      <x:c r="E31" s="187"/>
      <x:c r="F31" s="187"/>
      <x:c r="G31" s="187"/>
      <x:c r="H31" s="187"/>
      <x:c r="I31" s="187"/>
      <x:c r="J31" s="188"/>
      <x:c r="K31" s="187"/>
      <x:c r="L31" s="190"/>
      <x:c r="M31" s="190"/>
      <x:c r="N31" s="190"/>
      <x:c r="O31" s="190"/>
      <x:c r="P31" s="46"/>
      <x:c r="Q31" s="46"/>
      <x:c r="R31" s="46"/>
      <x:c r="S31" s="46"/>
    </x:row>
    <x:row r="32" ht="72" customHeight="1">
      <x:c r="A32" s="188"/>
      <x:c r="B32" s="187"/>
      <x:c r="C32" s="187"/>
      <x:c r="D32" s="188"/>
      <x:c r="E32" s="187"/>
      <x:c r="F32" s="187"/>
      <x:c r="G32" s="187"/>
      <x:c r="H32" s="187"/>
      <x:c r="I32" s="187"/>
      <x:c r="J32" s="188"/>
      <x:c r="K32" s="187"/>
      <x:c r="L32" s="190"/>
      <x:c r="M32" s="190"/>
      <x:c r="N32" s="190"/>
      <x:c r="O32" s="190"/>
      <x:c r="P32" s="46"/>
      <x:c r="Q32" s="46"/>
      <x:c r="R32" s="46"/>
      <x:c r="S32" s="46"/>
    </x:row>
    <x:row r="33" ht="72" customHeight="1">
      <x:c r="A33" s="188"/>
      <x:c r="B33" s="187"/>
      <x:c r="C33" s="187"/>
      <x:c r="D33" s="188"/>
      <x:c r="E33" s="187"/>
      <x:c r="F33" s="187"/>
      <x:c r="G33" s="187"/>
      <x:c r="H33" s="187"/>
      <x:c r="I33" s="187"/>
      <x:c r="J33" s="188"/>
      <x:c r="K33" s="187"/>
      <x:c r="L33" s="190"/>
      <x:c r="M33" s="190"/>
      <x:c r="N33" s="190"/>
      <x:c r="O33" s="190"/>
      <x:c r="P33" s="46"/>
      <x:c r="Q33" s="46"/>
      <x:c r="R33" s="46"/>
      <x:c r="S33" s="46"/>
    </x:row>
    <x:row r="34" ht="72" customHeight="1">
      <x:c r="A34" s="188"/>
      <x:c r="B34" s="187"/>
      <x:c r="C34" s="187"/>
      <x:c r="D34" s="188"/>
      <x:c r="E34" s="187"/>
      <x:c r="F34" s="187"/>
      <x:c r="G34" s="187"/>
      <x:c r="H34" s="187"/>
      <x:c r="I34" s="187"/>
      <x:c r="J34" s="188"/>
      <x:c r="K34" s="187"/>
      <x:c r="L34" s="190"/>
      <x:c r="M34" s="190"/>
      <x:c r="N34" s="190"/>
      <x:c r="O34" s="190"/>
      <x:c r="P34" s="46"/>
      <x:c r="Q34" s="46"/>
      <x:c r="R34" s="46"/>
      <x:c r="S34" s="46"/>
    </x:row>
    <x:row r="35" ht="72" customHeight="1">
      <x:c r="A35" s="188"/>
      <x:c r="B35" s="187"/>
      <x:c r="C35" s="187"/>
      <x:c r="D35" s="188"/>
      <x:c r="E35" s="187"/>
      <x:c r="F35" s="187"/>
      <x:c r="G35" s="187"/>
      <x:c r="H35" s="187"/>
      <x:c r="I35" s="187"/>
      <x:c r="J35" s="188"/>
      <x:c r="K35" s="187"/>
      <x:c r="L35" s="190"/>
      <x:c r="M35" s="190"/>
      <x:c r="N35" s="190"/>
      <x:c r="O35" s="190"/>
      <x:c r="P35" s="46"/>
      <x:c r="Q35" s="46"/>
      <x:c r="R35" s="46"/>
      <x:c r="S35" s="46"/>
    </x:row>
    <x:row r="36" ht="72" customHeight="1">
      <x:c r="A36" s="188"/>
      <x:c r="B36" s="187"/>
      <x:c r="C36" s="187"/>
      <x:c r="D36" s="188"/>
      <x:c r="E36" s="187"/>
      <x:c r="F36" s="187"/>
      <x:c r="G36" s="187"/>
      <x:c r="H36" s="187"/>
      <x:c r="I36" s="187"/>
      <x:c r="J36" s="188"/>
      <x:c r="K36" s="187"/>
      <x:c r="L36" s="190"/>
      <x:c r="M36" s="190"/>
      <x:c r="N36" s="190"/>
      <x:c r="O36" s="190"/>
      <x:c r="P36" s="46"/>
      <x:c r="Q36" s="46"/>
      <x:c r="R36" s="46"/>
      <x:c r="S36" s="46"/>
    </x:row>
    <x:row r="37" ht="72" customHeight="1">
      <x:c r="A37" s="188"/>
      <x:c r="B37" s="187"/>
      <x:c r="C37" s="187"/>
      <x:c r="D37" s="188"/>
      <x:c r="E37" s="187"/>
      <x:c r="F37" s="187"/>
      <x:c r="G37" s="187"/>
      <x:c r="H37" s="187"/>
      <x:c r="I37" s="187"/>
      <x:c r="J37" s="188"/>
      <x:c r="K37" s="187"/>
      <x:c r="L37" s="190"/>
      <x:c r="M37" s="190"/>
      <x:c r="N37" s="190"/>
      <x:c r="O37" s="190"/>
      <x:c r="P37" s="46"/>
      <x:c r="Q37" s="46"/>
      <x:c r="R37" s="46"/>
      <x:c r="S37" s="46"/>
    </x:row>
    <x:row r="38" ht="72" customHeight="1">
      <x:c r="A38" s="188"/>
      <x:c r="B38" s="187"/>
      <x:c r="C38" s="187"/>
      <x:c r="D38" s="188"/>
      <x:c r="E38" s="187"/>
      <x:c r="F38" s="187"/>
      <x:c r="G38" s="187"/>
      <x:c r="H38" s="187"/>
      <x:c r="I38" s="187"/>
      <x:c r="J38" s="188"/>
      <x:c r="K38" s="187"/>
      <x:c r="L38" s="190"/>
      <x:c r="M38" s="190"/>
      <x:c r="N38" s="190"/>
      <x:c r="O38" s="190"/>
      <x:c r="P38" s="46"/>
      <x:c r="Q38" s="46"/>
      <x:c r="R38" s="46"/>
      <x:c r="S38" s="46"/>
    </x:row>
    <x:row r="39" ht="72" customHeight="1">
      <x:c r="A39" s="188"/>
      <x:c r="B39" s="187"/>
      <x:c r="C39" s="187"/>
      <x:c r="D39" s="188"/>
      <x:c r="E39" s="187"/>
      <x:c r="F39" s="187"/>
      <x:c r="G39" s="187"/>
      <x:c r="H39" s="187"/>
      <x:c r="I39" s="187"/>
      <x:c r="J39" s="188"/>
      <x:c r="K39" s="187"/>
      <x:c r="L39" s="190"/>
      <x:c r="M39" s="190"/>
      <x:c r="N39" s="190"/>
      <x:c r="O39" s="190"/>
      <x:c r="P39" s="46"/>
      <x:c r="Q39" s="46"/>
      <x:c r="R39" s="46"/>
      <x:c r="S39" s="46"/>
    </x:row>
    <x:row r="40" ht="72" customHeight="1">
      <x:c r="A40" s="188"/>
      <x:c r="B40" s="187"/>
      <x:c r="C40" s="187"/>
      <x:c r="D40" s="188"/>
      <x:c r="E40" s="187"/>
      <x:c r="F40" s="187"/>
      <x:c r="G40" s="187"/>
      <x:c r="H40" s="187"/>
      <x:c r="I40" s="187"/>
      <x:c r="J40" s="188"/>
      <x:c r="K40" s="187"/>
      <x:c r="L40" s="190"/>
      <x:c r="M40" s="190"/>
      <x:c r="N40" s="190"/>
      <x:c r="O40" s="190"/>
      <x:c r="P40" s="46"/>
      <x:c r="Q40" s="46"/>
      <x:c r="R40" s="46"/>
      <x:c r="S40" s="46"/>
    </x:row>
    <x:row r="41" ht="72" customHeight="1">
      <x:c r="A41" s="188"/>
      <x:c r="B41" s="187"/>
      <x:c r="C41" s="187"/>
      <x:c r="D41" s="188"/>
      <x:c r="E41" s="187"/>
      <x:c r="F41" s="187"/>
      <x:c r="G41" s="187"/>
      <x:c r="H41" s="187"/>
      <x:c r="I41" s="187"/>
      <x:c r="J41" s="188"/>
      <x:c r="K41" s="187"/>
      <x:c r="L41" s="190"/>
      <x:c r="M41" s="190"/>
      <x:c r="N41" s="190"/>
      <x:c r="O41" s="190"/>
      <x:c r="P41" s="46"/>
      <x:c r="Q41" s="46"/>
      <x:c r="R41" s="46"/>
      <x:c r="S41" s="46"/>
    </x:row>
    <x:row r="42" ht="72" customHeight="1">
      <x:c r="A42" s="188"/>
      <x:c r="B42" s="187"/>
      <x:c r="C42" s="187"/>
      <x:c r="D42" s="188"/>
      <x:c r="E42" s="187"/>
      <x:c r="F42" s="187"/>
      <x:c r="G42" s="187"/>
      <x:c r="H42" s="187"/>
      <x:c r="I42" s="187"/>
      <x:c r="J42" s="188"/>
      <x:c r="K42" s="187"/>
      <x:c r="L42" s="190"/>
      <x:c r="M42" s="190"/>
      <x:c r="N42" s="190"/>
      <x:c r="O42" s="190"/>
      <x:c r="P42" s="46"/>
      <x:c r="Q42" s="46"/>
      <x:c r="R42" s="46"/>
      <x:c r="S42" s="46"/>
    </x:row>
    <x:row r="43" ht="72" customHeight="1">
      <x:c r="A43" s="188"/>
      <x:c r="B43" s="187"/>
      <x:c r="C43" s="187"/>
      <x:c r="D43" s="188"/>
      <x:c r="E43" s="187"/>
      <x:c r="F43" s="187"/>
      <x:c r="G43" s="187"/>
      <x:c r="H43" s="187"/>
      <x:c r="I43" s="187"/>
      <x:c r="J43" s="188"/>
      <x:c r="K43" s="187"/>
      <x:c r="L43" s="190"/>
      <x:c r="M43" s="190"/>
      <x:c r="N43" s="190"/>
      <x:c r="O43" s="190"/>
      <x:c r="P43" s="46"/>
      <x:c r="Q43" s="46"/>
      <x:c r="R43" s="46"/>
      <x:c r="S43" s="46"/>
    </x:row>
    <x:row r="44" ht="72" customHeight="1">
      <x:c r="A44" s="188"/>
      <x:c r="B44" s="187"/>
      <x:c r="C44" s="187"/>
      <x:c r="D44" s="188"/>
      <x:c r="E44" s="187"/>
      <x:c r="F44" s="187"/>
      <x:c r="G44" s="187"/>
      <x:c r="H44" s="187"/>
      <x:c r="I44" s="187"/>
      <x:c r="J44" s="188"/>
      <x:c r="K44" s="187"/>
      <x:c r="L44" s="190"/>
      <x:c r="M44" s="190"/>
      <x:c r="N44" s="190"/>
      <x:c r="O44" s="190"/>
      <x:c r="P44" s="46"/>
      <x:c r="Q44" s="46"/>
      <x:c r="R44" s="46"/>
      <x:c r="S44" s="46"/>
    </x:row>
    <x:row r="45" ht="72" customHeight="1">
      <x:c r="A45" s="188"/>
      <x:c r="B45" s="187"/>
      <x:c r="C45" s="187"/>
      <x:c r="D45" s="188"/>
      <x:c r="E45" s="187"/>
      <x:c r="F45" s="187"/>
      <x:c r="G45" s="187"/>
      <x:c r="H45" s="187"/>
      <x:c r="I45" s="187"/>
      <x:c r="J45" s="188"/>
      <x:c r="K45" s="187"/>
      <x:c r="L45" s="190"/>
      <x:c r="M45" s="190"/>
      <x:c r="N45" s="190"/>
      <x:c r="O45" s="190"/>
      <x:c r="P45" s="46"/>
      <x:c r="Q45" s="46"/>
      <x:c r="R45" s="46"/>
      <x:c r="S45" s="46"/>
    </x:row>
    <x:row r="46" ht="72" customHeight="1">
      <x:c r="A46" s="188"/>
      <x:c r="B46" s="187"/>
      <x:c r="C46" s="187"/>
      <x:c r="D46" s="188"/>
      <x:c r="E46" s="187"/>
      <x:c r="F46" s="187"/>
      <x:c r="G46" s="187"/>
      <x:c r="H46" s="187"/>
      <x:c r="I46" s="187"/>
      <x:c r="J46" s="188"/>
      <x:c r="K46" s="187"/>
      <x:c r="L46" s="190"/>
      <x:c r="M46" s="190"/>
      <x:c r="N46" s="190"/>
      <x:c r="O46" s="190"/>
      <x:c r="P46" s="46"/>
      <x:c r="Q46" s="46"/>
      <x:c r="R46" s="46"/>
      <x:c r="S46" s="46"/>
    </x:row>
    <x:row r="47" ht="72" customHeight="1">
      <x:c r="A47" s="188"/>
      <x:c r="B47" s="187"/>
      <x:c r="C47" s="187"/>
      <x:c r="D47" s="188"/>
      <x:c r="E47" s="187"/>
      <x:c r="F47" s="187"/>
      <x:c r="G47" s="187"/>
      <x:c r="H47" s="187"/>
      <x:c r="I47" s="187"/>
      <x:c r="J47" s="188"/>
      <x:c r="K47" s="187"/>
      <x:c r="L47" s="190"/>
      <x:c r="M47" s="190"/>
      <x:c r="N47" s="190"/>
      <x:c r="O47" s="190"/>
      <x:c r="P47" s="46"/>
      <x:c r="Q47" s="46"/>
      <x:c r="R47" s="46"/>
      <x:c r="S47" s="46"/>
    </x:row>
    <x:row r="48" ht="72" customHeight="1">
      <x:c r="A48" s="188"/>
      <x:c r="B48" s="187"/>
      <x:c r="C48" s="187"/>
      <x:c r="D48" s="188"/>
      <x:c r="E48" s="187"/>
      <x:c r="F48" s="187"/>
      <x:c r="G48" s="187"/>
      <x:c r="H48" s="187"/>
      <x:c r="I48" s="187"/>
      <x:c r="J48" s="188"/>
      <x:c r="K48" s="187"/>
      <x:c r="L48" s="190"/>
      <x:c r="M48" s="190"/>
      <x:c r="N48" s="190"/>
      <x:c r="O48" s="190"/>
      <x:c r="P48" s="46"/>
      <x:c r="Q48" s="46"/>
      <x:c r="R48" s="46"/>
      <x:c r="S48" s="46"/>
    </x:row>
    <x:row r="49" ht="72" customHeight="1">
      <x:c r="A49" s="188"/>
      <x:c r="B49" s="187"/>
      <x:c r="C49" s="187"/>
      <x:c r="D49" s="188"/>
      <x:c r="E49" s="187"/>
      <x:c r="F49" s="187"/>
      <x:c r="G49" s="187"/>
      <x:c r="H49" s="187"/>
      <x:c r="I49" s="187"/>
      <x:c r="J49" s="188"/>
      <x:c r="K49" s="187"/>
      <x:c r="L49" s="190"/>
      <x:c r="M49" s="190"/>
      <x:c r="N49" s="190"/>
      <x:c r="O49" s="190"/>
      <x:c r="P49" s="46"/>
      <x:c r="Q49" s="46"/>
      <x:c r="R49" s="46"/>
      <x:c r="S49" s="46"/>
    </x:row>
    <x:row r="50" ht="72" customHeight="1">
      <x:c r="A50" s="188"/>
      <x:c r="B50" s="187"/>
      <x:c r="C50" s="187"/>
      <x:c r="D50" s="188"/>
      <x:c r="E50" s="187"/>
      <x:c r="F50" s="187"/>
      <x:c r="G50" s="187"/>
      <x:c r="H50" s="187"/>
      <x:c r="I50" s="187"/>
      <x:c r="J50" s="188"/>
      <x:c r="K50" s="187"/>
      <x:c r="L50" s="190"/>
      <x:c r="M50" s="190"/>
      <x:c r="N50" s="190"/>
      <x:c r="O50" s="190"/>
      <x:c r="P50" s="46"/>
      <x:c r="Q50" s="46"/>
      <x:c r="R50" s="46"/>
      <x:c r="S50" s="46"/>
    </x:row>
    <x:row r="51" ht="72" customHeight="1">
      <x:c r="A51" s="188"/>
      <x:c r="B51" s="187"/>
      <x:c r="C51" s="187"/>
      <x:c r="D51" s="188"/>
      <x:c r="E51" s="187"/>
      <x:c r="F51" s="187"/>
      <x:c r="G51" s="187"/>
      <x:c r="H51" s="187"/>
      <x:c r="I51" s="187"/>
      <x:c r="J51" s="188"/>
      <x:c r="K51" s="187"/>
      <x:c r="L51" s="190"/>
      <x:c r="M51" s="190"/>
      <x:c r="N51" s="190"/>
      <x:c r="O51" s="190"/>
      <x:c r="P51" s="46"/>
      <x:c r="Q51" s="46"/>
      <x:c r="R51" s="46"/>
      <x:c r="S51" s="46"/>
    </x:row>
    <x:row r="52" ht="72" customHeight="1">
      <x:c r="A52" s="188"/>
      <x:c r="B52" s="187"/>
      <x:c r="C52" s="187"/>
      <x:c r="D52" s="188"/>
      <x:c r="E52" s="187"/>
      <x:c r="F52" s="187"/>
      <x:c r="G52" s="187"/>
      <x:c r="H52" s="187"/>
      <x:c r="I52" s="187"/>
      <x:c r="J52" s="188"/>
      <x:c r="K52" s="187"/>
      <x:c r="L52" s="190"/>
      <x:c r="M52" s="190"/>
      <x:c r="N52" s="190"/>
      <x:c r="O52" s="190"/>
      <x:c r="P52" s="46"/>
      <x:c r="Q52" s="46"/>
      <x:c r="R52" s="46"/>
      <x:c r="S52" s="46"/>
    </x:row>
    <x:row r="53" ht="72" customHeight="1">
      <x:c r="A53" s="188"/>
      <x:c r="B53" s="187"/>
      <x:c r="C53" s="187"/>
      <x:c r="D53" s="188"/>
      <x:c r="E53" s="187"/>
      <x:c r="F53" s="187"/>
      <x:c r="G53" s="187"/>
      <x:c r="H53" s="187"/>
      <x:c r="I53" s="187"/>
      <x:c r="J53" s="188"/>
      <x:c r="K53" s="187"/>
      <x:c r="L53" s="190"/>
      <x:c r="M53" s="190"/>
      <x:c r="N53" s="190"/>
      <x:c r="O53" s="190"/>
      <x:c r="P53" s="46"/>
      <x:c r="Q53" s="46"/>
      <x:c r="R53" s="46"/>
      <x:c r="S53" s="46"/>
    </x:row>
    <x:row r="54" ht="72" customHeight="1">
      <x:c r="A54" s="188"/>
      <x:c r="B54" s="187"/>
      <x:c r="C54" s="187"/>
      <x:c r="D54" s="188"/>
      <x:c r="E54" s="187"/>
      <x:c r="F54" s="187"/>
      <x:c r="G54" s="187"/>
      <x:c r="H54" s="187"/>
      <x:c r="I54" s="187"/>
      <x:c r="J54" s="188"/>
      <x:c r="K54" s="187"/>
      <x:c r="L54" s="190"/>
      <x:c r="M54" s="190"/>
      <x:c r="N54" s="190"/>
      <x:c r="O54" s="190"/>
      <x:c r="P54" s="46"/>
      <x:c r="Q54" s="46"/>
      <x:c r="R54" s="46"/>
      <x:c r="S54" s="46"/>
    </x:row>
    <x:row r="55" ht="72" customHeight="1">
      <x:c r="A55" s="188"/>
      <x:c r="B55" s="187"/>
      <x:c r="C55" s="187"/>
      <x:c r="D55" s="188"/>
      <x:c r="E55" s="187"/>
      <x:c r="F55" s="187"/>
      <x:c r="G55" s="187"/>
      <x:c r="H55" s="187"/>
      <x:c r="I55" s="187"/>
      <x:c r="J55" s="188"/>
      <x:c r="K55" s="187"/>
      <x:c r="L55" s="190"/>
      <x:c r="M55" s="190"/>
      <x:c r="N55" s="190"/>
      <x:c r="O55" s="190"/>
      <x:c r="P55" s="46"/>
      <x:c r="Q55" s="46"/>
      <x:c r="R55" s="46"/>
      <x:c r="S55" s="46"/>
    </x:row>
  </x:sheetData>
  <x:mergeCells>
    <x:mergeCell ref="A1:P1"/>
    <x:mergeCell ref="A2:P2"/>
    <x:mergeCell ref="A3:P3"/>
    <x:mergeCell ref="A4:P4"/>
  </x:mergeCells>
  <x:pageMargins left="0.7" right="0.7" top="0.75" bottom="0.75" header="0.3" footer="0.3"/>
</x:worksheet>
</file>

<file path=xl/worksheets/sheet2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26" hidden="0" customWidth="1"/>
    <x:col min="3" max="3" width="26" hidden="0" customWidth="1"/>
    <x:col min="4" max="4" width="44" hidden="0" customWidth="1"/>
    <x:col min="5" max="5" width="44" hidden="0" customWidth="1"/>
    <x:col min="6" max="6" width="44" hidden="0" customWidth="1"/>
    <x:col min="7" max="7" width="44" hidden="0" customWidth="1"/>
  </x:cols>
  <x:sheetData>
    <x:row r="1" ht="33" customHeight="1">
      <x:c r="A1" s="96" t="str">
        <x:v>01 | 项目、Owner子方面、依赖DAG与工程边界</x:v>
      </x:c>
      <x:c r="B1" s="96"/>
      <x:c r="C1" s="96"/>
      <x:c r="D1" s="96"/>
      <x:c r="E1" s="96"/>
      <x:c r="F1" s="96"/>
      <x:c r="G1" s="96"/>
      <x:c r="H1" s="11"/>
      <x:c r="I1" s="11"/>
      <x:c r="J1" s="11"/>
      <x:c r="K1" s="11"/>
      <x:c r="L1" s="11"/>
      <x:c r="M1" s="11"/>
    </x:row>
    <x:row r="2">
      <x:c r="A2" s="105" t="str">
        <x:v>本册17张项目Sheet；完整解决方案仍含Professional/Application/Intelligence/Tests共28项目。引用规则是V1.4拟定，不等于V1.3真实csproj已修改。</x:v>
      </x:c>
      <x:c r="B2" s="105"/>
      <x:c r="C2" s="105"/>
      <x:c r="D2" s="105"/>
      <x:c r="E2" s="105"/>
      <x:c r="F2" s="105"/>
      <x:c r="G2" s="105"/>
    </x:row>
    <x:row r="3">
      <x:c r="A3" s="105" t="str">
        <x:v>项目总计28  |  Foundation 8  |  Mechanism 9  |  Professional 6  |  Applications 2  |  Intelligence 1  |  Tests 2</x:v>
      </x:c>
      <x:c r="B3" s="105"/>
      <x:c r="C3" s="105"/>
      <x:c r="D3" s="105"/>
      <x:c r="E3" s="105"/>
      <x:c r="F3" s="105"/>
      <x:c r="G3" s="105"/>
    </x:row>
    <x:row r="4">
      <x:c r="A4" s="82"/>
      <x:c r="B4" s="82"/>
      <x:c r="C4" s="82"/>
      <x:c r="D4" s="82"/>
      <x:c r="E4" s="82"/>
      <x:c r="F4" s="82"/>
      <x:c r="G4" s="82"/>
    </x:row>
    <x:row r="5" ht="27" customHeight="1">
      <x:c r="A5" s="108" t="str">
        <x:v>A. 28项目唯一目录与设计归属（沿用R3-A工程划分）</x:v>
      </x:c>
      <x:c r="B5" s="108"/>
      <x:c r="C5" s="108"/>
      <x:c r="D5" s="108"/>
      <x:c r="E5" s="108"/>
      <x:c r="F5" s="108"/>
      <x:c r="G5" s="108"/>
    </x:row>
    <x:row r="6" ht="36" customHeight="1">
      <x:c r="A6" s="113" t="str">
        <x:v>层</x:v>
      </x:c>
      <x:c r="B6" s="113" t="str">
        <x:v>目标项目</x:v>
      </x:c>
      <x:c r="C6" s="113" t="str">
        <x:v>Owner子方面</x:v>
      </x:c>
      <x:c r="D6" s="113" t="str">
        <x:v>唯一职责</x:v>
      </x:c>
      <x:c r="E6" s="113" t="str">
        <x:v>建议允许依赖</x:v>
      </x:c>
      <x:c r="F6" s="113" t="str">
        <x:v>禁止/特别说明</x:v>
      </x:c>
      <x:c r="G6" s="113" t="str">
        <x:v>状态</x:v>
      </x:c>
    </x:row>
    <x:row r="7">
      <x:c r="A7" s="82" t="str">
        <x:v>Foundation</x:v>
      </x:c>
      <x:c r="B7" s="82" t="str">
        <x:v>CxVisual.Foundation.Core</x:v>
      </x:c>
      <x:c r="C7" s="82" t="str">
        <x:v>F01 F02 F08 F09</x:v>
      </x:c>
      <x:c r="D7" s="82" t="str">
        <x:v>对象/集合/时钟/量纲</x:v>
      </x:c>
      <x:c r="E7" s="82" t="str">
        <x:v>（基础；尽量无外部项目强依赖）</x:v>
      </x:c>
      <x:c r="F7" s="82" t="str">
        <x:v>禁止：Mechanism/Professional依赖</x:v>
      </x:c>
      <x:c r="G7" s="82" t="str">
        <x:v>V1.4建议（待实际CSProj同步）</x:v>
      </x:c>
    </x:row>
    <x:row r="8">
      <x:c r="A8" s="82" t="str">
        <x:v>Foundation</x:v>
      </x:c>
      <x:c r="B8" s="82" t="str">
        <x:v>CxVisual.Foundation.Numerics</x:v>
      </x:c>
      <x:c r="C8" s="82" t="str">
        <x:v>F03 F04 F10 F13</x:v>
      </x:c>
      <x:c r="D8" s="82" t="str">
        <x:v>数学优化/信号/张量</x:v>
      </x:c>
      <x:c r="E8" s="82" t="str">
        <x:v>Foundation.Core（按需）</x:v>
      </x:c>
      <x:c r="F8" s="82" t="str">
        <x:v>禁止：Mechanism/Professional依赖</x:v>
      </x:c>
      <x:c r="G8" s="82" t="str">
        <x:v>V1.4建议（待实际CSProj同步）</x:v>
      </x:c>
    </x:row>
    <x:row r="9">
      <x:c r="A9" s="82" t="str">
        <x:v>Foundation</x:v>
      </x:c>
      <x:c r="B9" s="82" t="str">
        <x:v>CxVisual.Foundation.Geometry</x:v>
      </x:c>
      <x:c r="C9" s="82" t="str">
        <x:v>F05 F06 F07</x:v>
      </x:c>
      <x:c r="D9" s="82" t="str">
        <x:v>2D/3D几何与变换</x:v>
      </x:c>
      <x:c r="E9" s="82" t="str">
        <x:v>Foundation.Numerics、Foundation.Core（按需）</x:v>
      </x:c>
      <x:c r="F9" s="82" t="str">
        <x:v>禁止：Mechanism/Professional依赖</x:v>
      </x:c>
      <x:c r="G9" s="82" t="str">
        <x:v>V1.4建议（待实际CSProj同步）</x:v>
      </x:c>
    </x:row>
    <x:row r="10">
      <x:c r="A10" s="82" t="str">
        <x:v>Foundation</x:v>
      </x:c>
      <x:c r="B10" s="82" t="str">
        <x:v>CxVisual.Foundation.Imaging</x:v>
      </x:c>
      <x:c r="C10" s="82" t="str">
        <x:v>F11 F22</x:v>
      </x:c>
      <x:c r="D10" s="82" t="str">
        <x:v>图像、颜色、基础2D呈现原语</x:v>
      </x:c>
      <x:c r="E10" s="82" t="str">
        <x:v>Foundation.Core / Foundation.Geometry（按需）</x:v>
      </x:c>
      <x:c r="F10" s="82" t="str">
        <x:v>禁止：Mechanism/Professional依赖</x:v>
      </x:c>
      <x:c r="G10" s="82" t="str">
        <x:v>V1.4建议（待实际CSProj同步）</x:v>
      </x:c>
    </x:row>
    <x:row r="11">
      <x:c r="A11" s="82" t="str">
        <x:v>Foundation</x:v>
      </x:c>
      <x:c r="B11" s="82" t="str">
        <x:v>CxVisual.Foundation.Volume</x:v>
      </x:c>
      <x:c r="C11" s="82" t="str">
        <x:v>F12</x:v>
      </x:c>
      <x:c r="D11" s="82" t="str">
        <x:v>体数据、网格与独立3D基础</x:v>
      </x:c>
      <x:c r="E11" s="82" t="str">
        <x:v>Foundation.Geometry / Foundation.Imaging（按需）</x:v>
      </x:c>
      <x:c r="F11" s="82" t="str">
        <x:v>禁止：Mechanism/Professional依赖</x:v>
      </x:c>
      <x:c r="G11" s="82" t="str">
        <x:v>V1.4建议（待实际CSProj同步）</x:v>
      </x:c>
    </x:row>
    <x:row r="12">
      <x:c r="A12" s="82" t="str">
        <x:v>Foundation</x:v>
      </x:c>
      <x:c r="B12" s="82" t="str">
        <x:v>CxVisual.Foundation.Data</x:v>
      </x:c>
      <x:c r="C12" s="82" t="str">
        <x:v>F14 F15 F18 F21</x:v>
      </x:c>
      <x:c r="D12" s="82" t="str">
        <x:v>编码配置文件与溯源</x:v>
      </x:c>
      <x:c r="E12" s="82" t="str">
        <x:v>Foundation.Core（按需）</x:v>
      </x:c>
      <x:c r="F12" s="82" t="str">
        <x:v>禁止：Mechanism/Professional依赖</x:v>
      </x:c>
      <x:c r="G12" s="82" t="str">
        <x:v>V1.4建议（待实际CSProj同步）</x:v>
      </x:c>
    </x:row>
    <x:row r="13">
      <x:c r="A13" s="82" t="str">
        <x:v>Foundation</x:v>
      </x:c>
      <x:c r="B13" s="82" t="str">
        <x:v>CxVisual.Foundation.Infrastructure</x:v>
      </x:c>
      <x:c r="C13" s="82" t="str">
        <x:v>F16 F19 F20</x:v>
      </x:c>
      <x:c r="D13" s="82" t="str">
        <x:v>日志并发安全</x:v>
      </x:c>
      <x:c r="E13" s="82" t="str">
        <x:v>Foundation.Core / Foundation.Data（按需）</x:v>
      </x:c>
      <x:c r="F13" s="82" t="str">
        <x:v>禁止：Mechanism/Professional依赖</x:v>
      </x:c>
      <x:c r="G13" s="82" t="str">
        <x:v>V1.4建议（待实际CSProj同步）</x:v>
      </x:c>
    </x:row>
    <x:row r="14">
      <x:c r="A14" s="82" t="str">
        <x:v>Foundation</x:v>
      </x:c>
      <x:c r="B14" s="82" t="str">
        <x:v>CxVisual.Foundation.Transport</x:v>
      </x:c>
      <x:c r="C14" s="82" t="str">
        <x:v>F17</x:v>
      </x:c>
      <x:c r="D14" s="82" t="str">
        <x:v>传输描述与缓存基础</x:v>
      </x:c>
      <x:c r="E14" s="82" t="str">
        <x:v>Foundation.Core / Foundation.Data（按需）</x:v>
      </x:c>
      <x:c r="F14" s="82" t="str">
        <x:v>禁止：Mechanism/Professional依赖</x:v>
      </x:c>
      <x:c r="G14" s="82" t="str">
        <x:v>V1.4建议（待实际CSProj同步）</x:v>
      </x:c>
    </x:row>
    <x:row r="15">
      <x:c r="A15" s="82" t="str">
        <x:v>Mechanism</x:v>
      </x:c>
      <x:c r="B15" s="82" t="str">
        <x:v>CxVisual.Mechanism.Core</x:v>
      </x:c>
      <x:c r="C15" s="82" t="str">
        <x:v>M01-M08 M38</x:v>
      </x:c>
      <x:c r="D15" s="82" t="str">
        <x:v>对象树、引用、契约、事务、通用模板</x:v>
      </x:c>
      <x:c r="E15" s="82" t="str">
        <x:v>Foundation.Core、Foundation.Geometry（按需）；不能依赖Visual</x:v>
      </x:c>
      <x:c r="F15" s="82" t="str">
        <x:v>应用层组合依赖，严禁形成循环</x:v>
      </x:c>
      <x:c r="G15" s="82" t="str">
        <x:v>V1.4建议（待实际CSProj同步）</x:v>
      </x:c>
    </x:row>
    <x:row r="16">
      <x:c r="A16" s="82" t="str">
        <x:v>Mechanism</x:v>
      </x:c>
      <x:c r="B16" s="82" t="str">
        <x:v>CxVisual.Mechanism.Data</x:v>
      </x:c>
      <x:c r="C16" s="82" t="str">
        <x:v>M09 M10 M35 M36</x:v>
      </x:c>
      <x:c r="D16" s="82" t="str">
        <x:v>变量、DataHandle、历史与通知</x:v>
      </x:c>
      <x:c r="E16" s="82" t="str">
        <x:v>Mechanism.Core；Foundation相关</x:v>
      </x:c>
      <x:c r="F16" s="82" t="str">
        <x:v>应用层组合依赖，严禁形成循环</x:v>
      </x:c>
      <x:c r="G16" s="82" t="str">
        <x:v>V1.4建议（待实际CSProj同步）</x:v>
      </x:c>
    </x:row>
    <x:row r="17">
      <x:c r="A17" s="82" t="str">
        <x:v>Mechanism</x:v>
      </x:c>
      <x:c r="B17" s="82" t="str">
        <x:v>CxVisual.Mechanism.Logic</x:v>
      </x:c>
      <x:c r="C17" s="82" t="str">
        <x:v>M11 M12</x:v>
      </x:c>
      <x:c r="D17" s="82" t="str">
        <x:v>表达式、规则、状态、命令</x:v>
      </x:c>
      <x:c r="E17" s="82" t="str">
        <x:v>Mechanism.Core；Foundation相关</x:v>
      </x:c>
      <x:c r="F17" s="82" t="str">
        <x:v>应用层组合依赖，严禁形成循环</x:v>
      </x:c>
      <x:c r="G17" s="82" t="str">
        <x:v>V1.4建议（待实际CSProj同步）</x:v>
      </x:c>
    </x:row>
    <x:row r="18">
      <x:c r="A18" s="82" t="str">
        <x:v>Mechanism</x:v>
      </x:c>
      <x:c r="B18" s="82" t="str">
        <x:v>CxVisual.Mechanism.Connectivity</x:v>
      </x:c>
      <x:c r="C18" s="82" t="str">
        <x:v>M13-M15</x:v>
      </x:c>
      <x:c r="D18" s="82" t="str">
        <x:v>通道、规约、Driver/Provider契约</x:v>
      </x:c>
      <x:c r="E18" s="82" t="str">
        <x:v>Mechanism.Core；Foundation.Transport / Data</x:v>
      </x:c>
      <x:c r="F18" s="82" t="str">
        <x:v>应用层组合依赖，严禁形成循环</x:v>
      </x:c>
      <x:c r="G18" s="82" t="str">
        <x:v>V1.4建议（待实际CSProj同步）</x:v>
      </x:c>
    </x:row>
    <x:row r="19">
      <x:c r="A19" s="82" t="str">
        <x:v>Mechanism</x:v>
      </x:c>
      <x:c r="B19" s="82" t="str">
        <x:v>CxVisual.Mechanism.Visual</x:v>
      </x:c>
      <x:c r="C19" s="82" t="str">
        <x:v>M16 M17 M37</x:v>
      </x:c>
      <x:c r="D19" s="82" t="str">
        <x:v>无UI可视投影、Diagram、编辑/Undo</x:v>
      </x:c>
      <x:c r="E19" s="82" t="str">
        <x:v>Mechanism.Core；Foundation.Geometry / Imaging</x:v>
      </x:c>
      <x:c r="F19" s="82" t="str">
        <x:v>禁止反向引用WPF或Professional</x:v>
      </x:c>
      <x:c r="G19" s="82" t="str">
        <x:v>V1.4建议（待实际CSProj同步）</x:v>
      </x:c>
    </x:row>
    <x:row r="20">
      <x:c r="A20" s="82" t="str">
        <x:v>Mechanism</x:v>
      </x:c>
      <x:c r="B20" s="82" t="str">
        <x:v>CxVisual.Mechanism.Orchestration</x:v>
      </x:c>
      <x:c r="C20" s="82" t="str">
        <x:v>M18-M25</x:v>
      </x:c>
      <x:c r="D20" s="82" t="str">
        <x:v>流程拓扑、控制流、数据流、组合</x:v>
      </x:c>
      <x:c r="E20" s="82" t="str">
        <x:v>Mechanism.Core / Data / Logic；不依赖Visual</x:v>
      </x:c>
      <x:c r="F20" s="82" t="str">
        <x:v>应用层组合依赖，严禁形成循环</x:v>
      </x:c>
      <x:c r="G20" s="82" t="str">
        <x:v>V1.4建议（待实际CSProj同步）</x:v>
      </x:c>
    </x:row>
    <x:row r="21">
      <x:c r="A21" s="82" t="str">
        <x:v>Mechanism</x:v>
      </x:c>
      <x:c r="B21" s="82" t="str">
        <x:v>CxVisual.Mechanism.Runtime</x:v>
      </x:c>
      <x:c r="C21" s="82" t="str">
        <x:v>M26-M34</x:v>
      </x:c>
      <x:c r="D21" s="82" t="str">
        <x:v>资源、安全、编译执行、调试仿真</x:v>
      </x:c>
      <x:c r="E21" s="82" t="str">
        <x:v>Mechanism.Core / Data / Logic / Orchestration / Connectivity</x:v>
      </x:c>
      <x:c r="F21" s="82" t="str">
        <x:v>应用层组合依赖，严禁形成循环</x:v>
      </x:c>
      <x:c r="G21" s="82" t="str">
        <x:v>V1.4建议（待实际CSProj同步）</x:v>
      </x:c>
    </x:row>
    <x:row r="22">
      <x:c r="A22" s="82" t="str">
        <x:v>Mechanism</x:v>
      </x:c>
      <x:c r="B22" s="82" t="str">
        <x:v>CxVisual.Mechanism.Lifecycle</x:v>
      </x:c>
      <x:c r="C22" s="82" t="str">
        <x:v>M39 M40</x:v>
      </x:c>
      <x:c r="D22" s="82" t="str">
        <x:v>版本、迁移、部署、插件</x:v>
      </x:c>
      <x:c r="E22" s="82" t="str">
        <x:v>Mechanism.Core；其余通过契约/组合根</x:v>
      </x:c>
      <x:c r="F22" s="82" t="str">
        <x:v>应用层组合依赖，严禁形成循环</x:v>
      </x:c>
      <x:c r="G22" s="82" t="str">
        <x:v>V1.4建议（待实际CSProj同步）</x:v>
      </x:c>
    </x:row>
    <x:row r="23">
      <x:c r="A23" s="82" t="str">
        <x:v>Mechanism</x:v>
      </x:c>
      <x:c r="B23" s="82" t="str">
        <x:v>CxVisual.Mechanism.Presentation.Wpf</x:v>
      </x:c>
      <x:c r="C23" s="82" t="str">
        <x:v>无编号</x:v>
      </x:c>
      <x:c r="D23" s="82" t="str">
        <x:v>WPF画布、输入适配、绘制控件</x:v>
      </x:c>
      <x:c r="E23" s="82" t="str">
        <x:v>Mechanism.Visual / Core；Foundation.Geometry / Imaging；禁止Volume</x:v>
      </x:c>
      <x:c r="F23" s="82" t="str">
        <x:v>应用层组合依赖，严禁形成循环</x:v>
      </x:c>
      <x:c r="G23" s="82" t="str">
        <x:v>V1.4建议（待实际CSProj同步）</x:v>
      </x:c>
    </x:row>
    <x:row r="24">
      <x:c r="A24" s="82" t="str">
        <x:v>Professional</x:v>
      </x:c>
      <x:c r="B24" s="82" t="str">
        <x:v>CxVisual.Professional.Automation</x:v>
      </x:c>
      <x:c r="C24" s="82" t="str">
        <x:v>P01-P18</x:v>
      </x:c>
      <x:c r="D24" s="82" t="str">
        <x:v>设备、运控、PLC、采集</x:v>
      </x:c>
      <x:c r="E24" s="82" t="str">
        <x:v>Mechanism公共能力按需</x:v>
      </x:c>
      <x:c r="F24" s="82" t="str">
        <x:v>应用层组合依赖，严禁形成循环</x:v>
      </x:c>
      <x:c r="G24" s="82" t="str">
        <x:v>V1.4建议（待实际CSProj同步）</x:v>
      </x:c>
    </x:row>
    <x:row r="25">
      <x:c r="A25" s="82" t="str">
        <x:v>Professional</x:v>
      </x:c>
      <x:c r="B25" s="82" t="str">
        <x:v>CxVisual.Professional.HMI</x:v>
      </x:c>
      <x:c r="C25" s="82" t="str">
        <x:v>P19-P29</x:v>
      </x:c>
      <x:c r="D25" s="82" t="str">
        <x:v>工业可视运行画面</x:v>
      </x:c>
      <x:c r="E25" s="82" t="str">
        <x:v>Mechanism公共能力按需</x:v>
      </x:c>
      <x:c r="F25" s="82" t="str">
        <x:v>应用层组合依赖，严禁形成循环</x:v>
      </x:c>
      <x:c r="G25" s="82" t="str">
        <x:v>V1.4建议（待实际CSProj同步）</x:v>
      </x:c>
    </x:row>
    <x:row r="26">
      <x:c r="A26" s="82" t="str">
        <x:v>Professional</x:v>
      </x:c>
      <x:c r="B26" s="82" t="str">
        <x:v>CxVisual.Professional.Vision</x:v>
      </x:c>
      <x:c r="C26" s="82" t="str">
        <x:v>P30-P42</x:v>
      </x:c>
      <x:c r="D26" s="82" t="str">
        <x:v>图像处理/AI检测</x:v>
      </x:c>
      <x:c r="E26" s="82" t="str">
        <x:v>Mechanism公共能力按需</x:v>
      </x:c>
      <x:c r="F26" s="82" t="str">
        <x:v>应用层组合依赖，严禁形成循环</x:v>
      </x:c>
      <x:c r="G26" s="82" t="str">
        <x:v>V1.4建议（待实际CSProj同步）</x:v>
      </x:c>
    </x:row>
    <x:row r="27">
      <x:c r="A27" s="82" t="str">
        <x:v>Professional</x:v>
      </x:c>
      <x:c r="B27" s="82" t="str">
        <x:v>CxVisual.Professional.CT3D</x:v>
      </x:c>
      <x:c r="C27" s="82" t="str">
        <x:v>P43-P53</x:v>
      </x:c>
      <x:c r="D27" s="82" t="str">
        <x:v>CT扫描、重建、Viewer</x:v>
      </x:c>
      <x:c r="E27" s="82" t="str">
        <x:v>Mechanism公共能力 / Foundation.Volume</x:v>
      </x:c>
      <x:c r="F27" s="82" t="str">
        <x:v>应用层组合依赖，严禁形成循环</x:v>
      </x:c>
      <x:c r="G27" s="82" t="str">
        <x:v>V1.4建议（待实际CSProj同步）</x:v>
      </x:c>
    </x:row>
    <x:row r="28">
      <x:c r="A28" s="82" t="str">
        <x:v>Professional</x:v>
      </x:c>
      <x:c r="B28" s="82" t="str">
        <x:v>CxVisual.Professional.Inspection</x:v>
      </x:c>
      <x:c r="C28" s="82" t="str">
        <x:v>P54-P65</x:v>
      </x:c>
      <x:c r="D28" s="82" t="str">
        <x:v>质量检测/判定</x:v>
      </x:c>
      <x:c r="E28" s="82" t="str">
        <x:v>Mechanism公共能力按需</x:v>
      </x:c>
      <x:c r="F28" s="82" t="str">
        <x:v>应用层组合依赖，严禁形成循环</x:v>
      </x:c>
      <x:c r="G28" s="82" t="str">
        <x:v>V1.4建议（待实际CSProj同步）</x:v>
      </x:c>
    </x:row>
    <x:row r="29">
      <x:c r="A29" s="82" t="str">
        <x:v>Professional</x:v>
      </x:c>
      <x:c r="B29" s="82" t="str">
        <x:v>CxVisual.Professional.Simulation</x:v>
      </x:c>
      <x:c r="C29" s="82" t="str">
        <x:v>P66-P73</x:v>
      </x:c>
      <x:c r="D29" s="82" t="str">
        <x:v>虚拟工业场景与数字孪生</x:v>
      </x:c>
      <x:c r="E29" s="82" t="str">
        <x:v>Mechanism.Runtime仿真机制</x:v>
      </x:c>
      <x:c r="F29" s="82" t="str">
        <x:v>应用层组合依赖，严禁形成循环</x:v>
      </x:c>
      <x:c r="G29" s="82" t="str">
        <x:v>V1.4建议（待实际CSProj同步）</x:v>
      </x:c>
    </x:row>
    <x:row r="30">
      <x:c r="A30" s="82" t="str">
        <x:v>Applications</x:v>
      </x:c>
      <x:c r="B30" s="82" t="str">
        <x:v>CxVisual.Studio</x:v>
      </x:c>
      <x:c r="C30" s="82" t="str">
        <x:v>—</x:v>
      </x:c>
      <x:c r="D30" s="82" t="str">
        <x:v>WPF应用组合</x:v>
      </x:c>
      <x:c r="E30" s="82" t="str">
        <x:v>Mechanism.Presentation.Wpf、专业UI适配</x:v>
      </x:c>
      <x:c r="F30" s="82" t="str">
        <x:v>应用层组合依赖，严禁形成循环</x:v>
      </x:c>
      <x:c r="G30" s="82" t="str">
        <x:v>V1.4建议（待实际CSProj同步）</x:v>
      </x:c>
    </x:row>
    <x:row r="31">
      <x:c r="A31" s="82" t="str">
        <x:v>Applications</x:v>
      </x:c>
      <x:c r="B31" s="82" t="str">
        <x:v>CxVisual.Runtime.Host</x:v>
      </x:c>
      <x:c r="C31" s="82" t="str">
        <x:v>—</x:v>
      </x:c>
      <x:c r="D31" s="82" t="str">
        <x:v>服务及执行宿主</x:v>
      </x:c>
      <x:c r="E31" s="82" t="str">
        <x:v>Mechanism.Runtime、专业Provider</x:v>
      </x:c>
      <x:c r="F31" s="82" t="str">
        <x:v>应用层组合依赖，严禁形成循环</x:v>
      </x:c>
      <x:c r="G31" s="82" t="str">
        <x:v>V1.4建议（待实际CSProj同步）</x:v>
      </x:c>
    </x:row>
    <x:row r="32">
      <x:c r="A32" s="82" t="str">
        <x:v>Intelligence</x:v>
      </x:c>
      <x:c r="B32" s="82" t="str">
        <x:v>CxVisual.Intelligence</x:v>
      </x:c>
      <x:c r="C32" s="82" t="str">
        <x:v>—</x:v>
      </x:c>
      <x:c r="D32" s="82" t="str">
        <x:v>AI工程生成/检查</x:v>
      </x:c>
      <x:c r="E32" s="82" t="str">
        <x:v>Mechanism公开契约</x:v>
      </x:c>
      <x:c r="F32" s="82" t="str">
        <x:v>应用层组合依赖，严禁形成循环</x:v>
      </x:c>
      <x:c r="G32" s="82" t="str">
        <x:v>V1.4建议（待实际CSProj同步）</x:v>
      </x:c>
    </x:row>
    <x:row r="33">
      <x:c r="A33" s="82" t="str">
        <x:v>Tests</x:v>
      </x:c>
      <x:c r="B33" s="82" t="str">
        <x:v>CxVisual.Tests.FoundationSmoke</x:v>
      </x:c>
      <x:c r="C33" s="82" t="str">
        <x:v>—</x:v>
      </x:c>
      <x:c r="D33" s="82" t="str">
        <x:v>Foundation测试</x:v>
      </x:c>
      <x:c r="E33" s="82" t="str">
        <x:v>Foundation各项目</x:v>
      </x:c>
      <x:c r="F33" s="82" t="str">
        <x:v>应用层组合依赖，严禁形成循环</x:v>
      </x:c>
      <x:c r="G33" s="82" t="str">
        <x:v>V1.4建议（待实际CSProj同步）</x:v>
      </x:c>
    </x:row>
    <x:row r="34">
      <x:c r="A34" s="82" t="str">
        <x:v>Tests</x:v>
      </x:c>
      <x:c r="B34" s="82" t="str">
        <x:v>CxVisual.Tests.ArchitectureSmoke</x:v>
      </x:c>
      <x:c r="C34" s="82" t="str">
        <x:v>—</x:v>
      </x:c>
      <x:c r="D34" s="82" t="str">
        <x:v>架构/集成检查</x:v>
      </x:c>
      <x:c r="E34" s="82" t="str">
        <x:v>按测试用例定向引用</x:v>
      </x:c>
      <x:c r="F34" s="82" t="str">
        <x:v>应用层组合依赖，严禁形成循环</x:v>
      </x:c>
      <x:c r="G34" s="82" t="str">
        <x:v>V1.4建议（待实际CSProj同步）</x:v>
      </x:c>
    </x:row>
    <x:row r="35">
      <x:c r="A35" s="82"/>
      <x:c r="B35" s="82"/>
      <x:c r="C35" s="82"/>
      <x:c r="D35" s="82"/>
      <x:c r="E35" s="82"/>
      <x:c r="F35" s="82"/>
      <x:c r="G35" s="82"/>
    </x:row>
    <x:row r="36">
      <x:c r="A36" s="82"/>
      <x:c r="B36" s="82"/>
      <x:c r="C36" s="82"/>
      <x:c r="D36" s="82"/>
      <x:c r="E36" s="82"/>
      <x:c r="F36" s="82"/>
      <x:c r="G36" s="82"/>
    </x:row>
    <x:row r="37" ht="27" customHeight="1">
      <x:c r="A37" s="108" t="str">
        <x:v>B. 核心项目直接引用与架构禁令</x:v>
      </x:c>
      <x:c r="B37" s="108"/>
      <x:c r="C37" s="108"/>
      <x:c r="D37" s="108"/>
      <x:c r="E37" s="108"/>
      <x:c r="F37" s="108"/>
      <x:c r="G37" s="108"/>
    </x:row>
    <x:row r="38">
      <x:c r="A38" s="82" t="str">
        <x:v>引用方</x:v>
      </x:c>
      <x:c r="B38" s="82" t="str">
        <x:v>允许直接引用</x:v>
      </x:c>
      <x:c r="C38" s="82" t="str">
        <x:v>禁止反向/高风险依赖</x:v>
      </x:c>
      <x:c r="D38" s="82" t="str">
        <x:v>职责边界</x:v>
      </x:c>
      <x:c r="E38" s="82"/>
      <x:c r="F38" s="82"/>
      <x:c r="G38" s="82"/>
    </x:row>
    <x:row r="39">
      <x:c r="A39" s="82" t="str">
        <x:v>Mechanism.Core</x:v>
      </x:c>
      <x:c r="B39" s="82" t="str">
        <x:v>Foundation.Core/Geometry/Imaging等按声明需要</x:v>
      </x:c>
      <x:c r="C39" s="82" t="str">
        <x:v>Core不依赖Visual或WPF</x:v>
      </x:c>
      <x:c r="D39" s="82" t="str">
        <x:v>M01～M08、M38；数据事务无可视意图</x:v>
      </x:c>
      <x:c r="E39" s="82"/>
      <x:c r="F39" s="82"/>
      <x:c r="G39" s="82"/>
    </x:row>
    <x:row r="40">
      <x:c r="A40" s="82" t="str">
        <x:v>Mechanism.Visual</x:v>
      </x:c>
      <x:c r="B40" s="82" t="str">
        <x:v>Mechanism.Core；Foundation.Geometry；Foundation.Imaging</x:v>
      </x:c>
      <x:c r="C40" s="82" t="str">
        <x:v>禁止依赖WPF/WinForms/WebView；禁止依赖专业SDK</x:v>
      </x:c>
      <x:c r="D40" s="82" t="str">
        <x:v>M16/M17/M37；纯视图状态与绘制语义</x:v>
      </x:c>
      <x:c r="E40" s="82"/>
      <x:c r="F40" s="82"/>
      <x:c r="G40" s="82"/>
    </x:row>
    <x:row r="41">
      <x:c r="A41" s="82" t="str">
        <x:v>Mechanism.Presentation.Wpf</x:v>
      </x:c>
      <x:c r="B41" s="82" t="str">
        <x:v>Mechanism.Visual；Mechanism.Core；Foundation.Geometry；Foundation.Imaging</x:v>
      </x:c>
      <x:c r="C41" s="82" t="str">
        <x:v>不引用Foundation.Volume/Runtime/专业设备SDK</x:v>
      </x:c>
      <x:c r="D41" s="82" t="str">
        <x:v>纯WPF呈现及输入技术；不拥有M编号</x:v>
      </x:c>
      <x:c r="E41" s="82"/>
      <x:c r="F41" s="82"/>
      <x:c r="G41" s="82"/>
    </x:row>
    <x:row r="42">
      <x:c r="A42" s="82" t="str">
        <x:v>Mechanism.Orchestration</x:v>
      </x:c>
      <x:c r="B42" s="82" t="str">
        <x:v>Mechanism.Core及必要数据/逻辑契约</x:v>
      </x:c>
      <x:c r="C42" s="82" t="str">
        <x:v>禁止反向依赖Visual和WPF</x:v>
      </x:c>
      <x:c r="D42" s="82" t="str">
        <x:v>M18～M25控制/数据/多层子流程</x:v>
      </x:c>
      <x:c r="E42" s="82"/>
      <x:c r="F42" s="82"/>
      <x:c r="G42" s="82"/>
    </x:row>
    <x:row r="43">
      <x:c r="A43" s="82" t="str">
        <x:v>Mechanism.Runtime</x:v>
      </x:c>
      <x:c r="B43" s="82" t="str">
        <x:v>Core+Data+Logic+Orchestration及运行相关Mechanism</x:v>
      </x:c>
      <x:c r="C43" s="82" t="str">
        <x:v>运行内核不依赖Visual/WPF</x:v>
      </x:c>
      <x:c r="D43" s="82" t="str">
        <x:v>M26～M34；M07外部副作用在此实现</x:v>
      </x:c>
      <x:c r="E43" s="82"/>
      <x:c r="F43" s="82"/>
      <x:c r="G43" s="82"/>
    </x:row>
    <x:row r="44">
      <x:c r="A44" s="82" t="str">
        <x:v>Mechanism.Lifecycle</x:v>
      </x:c>
      <x:c r="B44" s="82" t="str">
        <x:v>Core+Runtime抽象及必要机制</x:v>
      </x:c>
      <x:c r="C44" s="82" t="str">
        <x:v>勿强制Core引用Lifecycle</x:v>
      </x:c>
      <x:c r="D44" s="82" t="str">
        <x:v>M39/M40；M38模板契约留Core</x:v>
      </x:c>
      <x:c r="E44" s="82"/>
      <x:c r="F44" s="82"/>
      <x:c r="G44" s="82"/>
    </x:row>
    <x:row r="45">
      <x:c r="A45" s="82" t="str">
        <x:v>Foundation</x:v>
      </x:c>
      <x:c r="B45" s="82" t="str">
        <x:v>仅使用Foundation内部明确的单向依赖</x:v>
      </x:c>
      <x:c r="C45" s="82" t="str">
        <x:v>禁止任何Foundation→Mechanism/Professional依赖</x:v>
      </x:c>
      <x:c r="D45" s="82" t="str">
        <x:v>F01～F22仍按8程序集汇总</x:v>
      </x:c>
      <x:c r="E45" s="82"/>
      <x:c r="F45" s="82"/>
      <x:c r="G45" s="82"/>
    </x:row>
    <x:row r="46">
      <x:c r="A46" s="82" t="str">
        <x:v>CxVisual.Studio</x:v>
      </x:c>
      <x:c r="B46" s="82" t="str">
        <x:v>Mechanism.Presentation.Wpf + Visual/Orchestration/Runtime等</x:v>
      </x:c>
      <x:c r="C46" s="82" t="str">
        <x:v>Studio负责专业编排投影桥接，不反向被基础项目引用</x:v>
      </x:c>
      <x:c r="D46" s="82" t="str">
        <x:v>只负责UI组合，不持有第二套工程数据</x:v>
      </x:c>
      <x:c r="E46" s="82"/>
      <x:c r="F46" s="82"/>
      <x:c r="G46" s="82"/>
    </x:row>
    <x:row r="47">
      <x:c r="A47" s="82"/>
      <x:c r="B47" s="82"/>
      <x:c r="C47" s="82"/>
      <x:c r="D47" s="82"/>
      <x:c r="E47" s="82"/>
      <x:c r="F47" s="82"/>
      <x:c r="G47" s="82"/>
    </x:row>
    <x:row r="48">
      <x:c r="A48" s="82"/>
      <x:c r="B48" s="82"/>
      <x:c r="C48" s="82"/>
      <x:c r="D48" s="82"/>
      <x:c r="E48" s="82"/>
      <x:c r="F48" s="82"/>
      <x:c r="G48" s="82"/>
    </x:row>
    <x:row r="49" ht="27" customHeight="1">
      <x:c r="A49" s="108" t="str">
        <x:v>C. R2项目依赖方向门禁（原24条逐项保留）</x:v>
      </x:c>
      <x:c r="B49" s="108"/>
      <x:c r="C49" s="108"/>
      <x:c r="D49" s="108"/>
      <x:c r="E49" s="108"/>
      <x:c r="F49" s="108"/>
      <x:c r="G49" s="108"/>
    </x:row>
    <x:row r="50">
      <x:c r="A50" s="82" t="str">
        <x:v>引用方</x:v>
      </x:c>
      <x:c r="B50" s="82" t="str">
        <x:v>被引用方</x:v>
      </x:c>
      <x:c r="C50" s="82" t="str">
        <x:v>裁决</x:v>
      </x:c>
      <x:c r="D50" s="82" t="str">
        <x:v>依赖类别</x:v>
      </x:c>
      <x:c r="E50" s="82" t="str">
        <x:v>原因</x:v>
      </x:c>
      <x:c r="F50" s="82" t="str">
        <x:v>可执行验证</x:v>
      </x:c>
      <x:c r="G50" s="82"/>
    </x:row>
    <x:row r="51">
      <x:c r="A51" s="82" t="str">
        <x:v>Foundation.Core</x:v>
      </x:c>
      <x:c r="B51" s="82" t="str">
        <x:v>Foundation其他基础</x:v>
      </x:c>
      <x:c r="C51" s="82" t="str">
        <x:v>禁止反向依赖</x:v>
      </x:c>
      <x:c r="D51" s="82" t="str">
        <x:v>Foundation内部DAG</x:v>
      </x:c>
      <x:c r="E51" s="82" t="str">
        <x:v>原子核心不可反向调用图像/体数据</x:v>
      </x:c>
      <x:c r="F51" s="82" t="str">
        <x:v>扫描csproj依赖</x:v>
      </x:c>
      <x:c r="G51" s="82"/>
    </x:row>
    <x:row r="52">
      <x:c r="A52" s="82" t="str">
        <x:v>Mechanism.Core</x:v>
      </x:c>
      <x:c r="B52" s="82" t="str">
        <x:v>Foundation.Core</x:v>
      </x:c>
      <x:c r="C52" s="82" t="str">
        <x:v>允许必要依赖</x:v>
      </x:c>
      <x:c r="D52" s="82" t="str">
        <x:v>引用</x:v>
      </x:c>
      <x:c r="E52" s="82" t="str">
        <x:v>身份/基础集合/时间</x:v>
      </x:c>
      <x:c r="F52" s="82" t="str">
        <x:v>工程树单测</x:v>
      </x:c>
      <x:c r="G52" s="82"/>
    </x:row>
    <x:row r="53">
      <x:c r="A53" s="82" t="str">
        <x:v>Mechanism.Core</x:v>
      </x:c>
      <x:c r="B53" s="82" t="str">
        <x:v>Foundation.Geometry</x:v>
      </x:c>
      <x:c r="C53" s="82" t="str">
        <x:v>允许必要依赖</x:v>
      </x:c>
      <x:c r="D53" s="82" t="str">
        <x:v>引用</x:v>
      </x:c>
      <x:c r="E53" s="82" t="str">
        <x:v>Element Bounds/Transform和坐标</x:v>
      </x:c>
      <x:c r="F53" s="82" t="str">
        <x:v>无WPF加载</x:v>
      </x:c>
      <x:c r="G53" s="82"/>
    </x:row>
    <x:row r="54">
      <x:c r="A54" s="82" t="str">
        <x:v>Mechanism.Core</x:v>
      </x:c>
      <x:c r="B54" s="82" t="str">
        <x:v>Foundation.Imaging</x:v>
      </x:c>
      <x:c r="C54" s="82" t="str">
        <x:v>仅在基础色彩模型需要时</x:v>
      </x:c>
      <x:c r="D54" s="82" t="str">
        <x:v>引用</x:v>
      </x:c>
      <x:c r="E54" s="82" t="str">
        <x:v>颜色像素数据不能强绑具体图像库</x:v>
      </x:c>
      <x:c r="F54" s="82" t="str">
        <x:v>Core无UI</x:v>
      </x:c>
      <x:c r="G54" s="82"/>
    </x:row>
    <x:row r="55">
      <x:c r="A55" s="82" t="str">
        <x:v>Mechanism.Core</x:v>
      </x:c>
      <x:c r="B55" s="82" t="str">
        <x:v>Mechanism.Visual</x:v>
      </x:c>
      <x:c r="C55" s="82" t="str">
        <x:v>禁止</x:v>
      </x:c>
      <x:c r="D55" s="82" t="str">
        <x:v>反向依赖</x:v>
      </x:c>
      <x:c r="E55" s="82" t="str">
        <x:v>Core不得理解Canvas/Drag/Handle</x:v>
      </x:c>
      <x:c r="F55" s="82" t="str">
        <x:v>独立Core构建</x:v>
      </x:c>
      <x:c r="G55" s="82"/>
    </x:row>
    <x:row r="56">
      <x:c r="A56" s="82" t="str">
        <x:v>Mechanism.Core</x:v>
      </x:c>
      <x:c r="B56" s="82" t="str">
        <x:v>Presentation.Wpf</x:v>
      </x:c>
      <x:c r="C56" s="82" t="str">
        <x:v>禁止</x:v>
      </x:c>
      <x:c r="D56" s="82" t="str">
        <x:v>反向依赖</x:v>
      </x:c>
      <x:c r="E56" s="82" t="str">
        <x:v>Core不得持有Brush/UIElement/Dispatcher</x:v>
      </x:c>
      <x:c r="F56" s="82" t="str">
        <x:v>反射扫描程序集</x:v>
      </x:c>
      <x:c r="G56" s="82"/>
    </x:row>
    <x:row r="57">
      <x:c r="A57" s="82" t="str">
        <x:v>Mechanism.Visual</x:v>
      </x:c>
      <x:c r="B57" s="82" t="str">
        <x:v>Mechanism.Core</x:v>
      </x:c>
      <x:c r="C57" s="82" t="str">
        <x:v>直接</x:v>
      </x:c>
      <x:c r="D57" s="82" t="str">
        <x:v>引用</x:v>
      </x:c>
      <x:c r="E57" s="82" t="str">
        <x:v>Element/Group/Symbol/Content、事务</x:v>
      </x:c>
      <x:c r="F57" s="82" t="str">
        <x:v>无UI集成测试</x:v>
      </x:c>
      <x:c r="G57" s="82"/>
    </x:row>
    <x:row r="58">
      <x:c r="A58" s="82" t="str">
        <x:v>Mechanism.Visual</x:v>
      </x:c>
      <x:c r="B58" s="82" t="str">
        <x:v>Foundation.Geometry</x:v>
      </x:c>
      <x:c r="C58" s="82" t="str">
        <x:v>直接</x:v>
      </x:c>
      <x:c r="D58" s="82" t="str">
        <x:v>引用</x:v>
      </x:c>
      <x:c r="E58" s="82" t="str">
        <x:v>Transform/HitTest/布局</x:v>
      </x:c>
      <x:c r="F58" s="82" t="str">
        <x:v>几何边界测试</x:v>
      </x:c>
      <x:c r="G58" s="82"/>
    </x:row>
    <x:row r="59">
      <x:c r="A59" s="82" t="str">
        <x:v>Mechanism.Visual</x:v>
      </x:c>
      <x:c r="B59" s="82" t="str">
        <x:v>Foundation.Imaging</x:v>
      </x:c>
      <x:c r="C59" s="82" t="str">
        <x:v>直接</x:v>
      </x:c>
      <x:c r="D59" s="82" t="str">
        <x:v>引用</x:v>
      </x:c>
      <x:c r="E59" s="82" t="str">
        <x:v>颜色/像素与2D可视</x:v>
      </x:c>
      <x:c r="F59" s="82" t="str">
        <x:v>图像叠加测试</x:v>
      </x:c>
      <x:c r="G59" s="82"/>
    </x:row>
    <x:row r="60">
      <x:c r="A60" s="82" t="str">
        <x:v>Mechanism.Visual</x:v>
      </x:c>
      <x:c r="B60" s="82" t="str">
        <x:v>Mechanism.Orchestration</x:v>
      </x:c>
      <x:c r="C60" s="82" t="str">
        <x:v>不直接</x:v>
      </x:c>
      <x:c r="D60" s="82" t="str">
        <x:v>上层适配</x:v>
      </x:c>
      <x:c r="E60" s="82" t="str">
        <x:v>不让纯画布被流程语义锁定</x:v>
      </x:c>
      <x:c r="F60" s="82" t="str">
        <x:v>空Diagram/普通绘图</x:v>
      </x:c>
      <x:c r="G60" s="82"/>
    </x:row>
    <x:row r="61">
      <x:c r="A61" s="82" t="str">
        <x:v>Mechanism.Visual</x:v>
      </x:c>
      <x:c r="B61" s="82" t="str">
        <x:v>Mechanism.Runtime</x:v>
      </x:c>
      <x:c r="C61" s="82" t="str">
        <x:v>禁止</x:v>
      </x:c>
      <x:c r="D61" s="82" t="str">
        <x:v>反向依赖</x:v>
      </x:c>
      <x:c r="E61" s="82" t="str">
        <x:v>运行状态由上层提供只读Snapshot</x:v>
      </x:c>
      <x:c r="F61" s="82" t="str">
        <x:v>Runtime可Headless</x:v>
      </x:c>
      <x:c r="G61" s="82"/>
    </x:row>
    <x:row r="62">
      <x:c r="A62" s="82" t="str">
        <x:v>Mechanism.Visual</x:v>
      </x:c>
      <x:c r="B62" s="82" t="str">
        <x:v>Presentation.Wpf</x:v>
      </x:c>
      <x:c r="C62" s="82" t="str">
        <x:v>禁止</x:v>
      </x:c>
      <x:c r="D62" s="82" t="str">
        <x:v>反向依赖</x:v>
      </x:c>
      <x:c r="E62" s="82" t="str">
        <x:v>UI技术可替换</x:v>
      </x:c>
      <x:c r="F62" s="82" t="str">
        <x:v>无WPF引用扫描</x:v>
      </x:c>
      <x:c r="G62" s="82"/>
    </x:row>
    <x:row r="63">
      <x:c r="A63" s="82" t="str">
        <x:v>Presentation.Wpf</x:v>
      </x:c>
      <x:c r="B63" s="82" t="str">
        <x:v>Mechanism.Core</x:v>
      </x:c>
      <x:c r="C63" s="82" t="str">
        <x:v>直接</x:v>
      </x:c>
      <x:c r="D63" s="82" t="str">
        <x:v>引用</x:v>
      </x:c>
      <x:c r="E63" s="82" t="str">
        <x:v>属性编辑绑定Core元数据</x:v>
      </x:c>
      <x:c r="F63" s="82" t="str">
        <x:v>属性编辑</x:v>
      </x:c>
      <x:c r="G63" s="82"/>
    </x:row>
    <x:row r="64">
      <x:c r="A64" s="82" t="str">
        <x:v>Presentation.Wpf</x:v>
      </x:c>
      <x:c r="B64" s="82" t="str">
        <x:v>Mechanism.Visual</x:v>
      </x:c>
      <x:c r="C64" s="82" t="str">
        <x:v>直接</x:v>
      </x:c>
      <x:c r="D64" s="82" t="str">
        <x:v>引用</x:v>
      </x:c>
      <x:c r="E64" s="82" t="str">
        <x:v>画布、帧、编辑工具</x:v>
      </x:c>
      <x:c r="F64" s="82" t="str">
        <x:v>鼠标输入闭环</x:v>
      </x:c>
      <x:c r="G64" s="82"/>
    </x:row>
    <x:row r="65">
      <x:c r="A65" s="82" t="str">
        <x:v>Presentation.Wpf</x:v>
      </x:c>
      <x:c r="B65" s="82" t="str">
        <x:v>Foundation.Geometry</x:v>
      </x:c>
      <x:c r="C65" s="82" t="str">
        <x:v>按需直接</x:v>
      </x:c>
      <x:c r="D65" s="82" t="str">
        <x:v>引用</x:v>
      </x:c>
      <x:c r="E65" s="82" t="str">
        <x:v>DPI/点坐标互换</x:v>
      </x:c>
      <x:c r="F65" s="82" t="str">
        <x:v>多DPI验证</x:v>
      </x:c>
      <x:c r="G65" s="82"/>
    </x:row>
    <x:row r="66">
      <x:c r="A66" s="82" t="str">
        <x:v>Presentation.Wpf</x:v>
      </x:c>
      <x:c r="B66" s="82" t="str">
        <x:v>Foundation.Imaging</x:v>
      </x:c>
      <x:c r="C66" s="82" t="str">
        <x:v>按需直接</x:v>
      </x:c>
      <x:c r="D66" s="82" t="str">
        <x:v>引用</x:v>
      </x:c>
      <x:c r="E66" s="82" t="str">
        <x:v>位图、画笔颜色基础</x:v>
      </x:c>
      <x:c r="F66" s="82" t="str">
        <x:v>图像显示</x:v>
      </x:c>
      <x:c r="G66" s="82"/>
    </x:row>
    <x:row r="67">
      <x:c r="A67" s="82" t="str">
        <x:v>Presentation.Wpf</x:v>
      </x:c>
      <x:c r="B67" s="82" t="str">
        <x:v>Foundation.Volume</x:v>
      </x:c>
      <x:c r="C67" s="82" t="str">
        <x:v>禁止（当前期）</x:v>
      </x:c>
      <x:c r="D67" s="82" t="str">
        <x:v>引用</x:v>
      </x:c>
      <x:c r="E67" s="82" t="str">
        <x:v>3D体绘独立，不拖进二维画布</x:v>
      </x:c>
      <x:c r="F67" s="82" t="str">
        <x:v>csproj扫描</x:v>
      </x:c>
      <x:c r="G67" s="82"/>
    </x:row>
    <x:row r="68">
      <x:c r="A68" s="82" t="str">
        <x:v>Presentation.Wpf</x:v>
      </x:c>
      <x:c r="B68" s="82" t="str">
        <x:v>Mechanism.Orchestration</x:v>
      </x:c>
      <x:c r="C68" s="82" t="str">
        <x:v>尽量不直接</x:v>
      </x:c>
      <x:c r="D68" s="82" t="str">
        <x:v>组合层适配</x:v>
      </x:c>
      <x:c r="E68" s="82" t="str">
        <x:v>流程业务由Studio适配到Visual</x:v>
      </x:c>
      <x:c r="F68" s="82" t="str">
        <x:v>多专业节点编辑</x:v>
      </x:c>
      <x:c r="G68" s="82"/>
    </x:row>
    <x:row r="69">
      <x:c r="A69" s="82" t="str">
        <x:v>Mechanism.Orchestration</x:v>
      </x:c>
      <x:c r="B69" s="82" t="str">
        <x:v>Presentation.Wpf</x:v>
      </x:c>
      <x:c r="C69" s="82" t="str">
        <x:v>禁止</x:v>
      </x:c>
      <x:c r="D69" s="82" t="str">
        <x:v>反向依赖</x:v>
      </x:c>
      <x:c r="E69" s="82" t="str">
        <x:v>业务执行无需UI</x:v>
      </x:c>
      <x:c r="F69" s="82" t="str">
        <x:v>Headless流程</x:v>
      </x:c>
      <x:c r="G69" s="82"/>
    </x:row>
    <x:row r="70">
      <x:c r="A70" s="82" t="str">
        <x:v>Mechanism.Runtime</x:v>
      </x:c>
      <x:c r="B70" s="82" t="str">
        <x:v>Presentation.Wpf</x:v>
      </x:c>
      <x:c r="C70" s="82" t="str">
        <x:v>禁止</x:v>
      </x:c>
      <x:c r="D70" s="82" t="str">
        <x:v>反向依赖</x:v>
      </x:c>
      <x:c r="E70" s="82" t="str">
        <x:v>服务端不加载WPF</x:v>
      </x:c>
      <x:c r="F70" s="82" t="str">
        <x:v>后台Host运行</x:v>
      </x:c>
      <x:c r="G70" s="82"/>
    </x:row>
    <x:row r="71">
      <x:c r="A71" s="82" t="str">
        <x:v>CxVisual.Studio</x:v>
      </x:c>
      <x:c r="B71" s="82" t="str">
        <x:v>Presentation.Wpf</x:v>
      </x:c>
      <x:c r="C71" s="82" t="str">
        <x:v>直接</x:v>
      </x:c>
      <x:c r="D71" s="82" t="str">
        <x:v>引用</x:v>
      </x:c>
      <x:c r="E71" s="82" t="str">
        <x:v>组装公共WPF控件</x:v>
      </x:c>
      <x:c r="F71" s="82" t="str">
        <x:v>完整Studio</x:v>
      </x:c>
      <x:c r="G71" s="82"/>
    </x:row>
    <x:row r="72">
      <x:c r="A72" s="82" t="str">
        <x:v>CxVisual.Studio</x:v>
      </x:c>
      <x:c r="B72" s="82" t="str">
        <x:v>Mechanism.Orchestration</x:v>
      </x:c>
      <x:c r="C72" s="82" t="str">
        <x:v>直接</x:v>
      </x:c>
      <x:c r="D72" s="82" t="str">
        <x:v>引用</x:v>
      </x:c>
      <x:c r="E72" s="82" t="str">
        <x:v>跨专业编辑流程</x:v>
      </x:c>
      <x:c r="F72" s="82" t="str">
        <x:v>子流程调用</x:v>
      </x:c>
      <x:c r="G72" s="82"/>
    </x:row>
    <x:row r="73">
      <x:c r="A73" s="82" t="str">
        <x:v>CxVisual.Studio</x:v>
      </x:c>
      <x:c r="B73" s="82" t="str">
        <x:v>Mechanism.Runtime</x:v>
      </x:c>
      <x:c r="C73" s="82" t="str">
        <x:v>按需通过服务接口</x:v>
      </x:c>
      <x:c r="D73" s="82" t="str">
        <x:v>调用</x:v>
      </x:c>
      <x:c r="E73" s="82" t="str">
        <x:v>运行监控与执行命令</x:v>
      </x:c>
      <x:c r="F73" s="82" t="str">
        <x:v>远程监控</x:v>
      </x:c>
      <x:c r="G73" s="82"/>
    </x:row>
    <x:row r="74">
      <x:c r="A74" s="82" t="str">
        <x:v>Professional.*</x:v>
      </x:c>
      <x:c r="B74" s="82" t="str">
        <x:v>Presentation.Wpf</x:v>
      </x:c>
      <x:c r="C74" s="82" t="str">
        <x:v>避免直接</x:v>
      </x:c>
      <x:c r="D74" s="82" t="str">
        <x:v>专业视图通过宿主</x:v>
      </x:c>
      <x:c r="E74" s="82" t="str">
        <x:v>避免专业核心加载WPF</x:v>
      </x:c>
      <x:c r="F74" s="82" t="str">
        <x:v>专业Headless测试</x:v>
      </x:c>
      <x:c r="G74" s="82"/>
    </x:row>
    <x:row r="75">
      <x:c r="A75" s="82"/>
      <x:c r="B75" s="82"/>
      <x:c r="C75" s="82"/>
      <x:c r="D75" s="82"/>
      <x:c r="E75" s="82"/>
      <x:c r="F75" s="82"/>
      <x:c r="G75" s="82"/>
    </x:row>
    <x:row r="76">
      <x:c r="A76" s="82"/>
      <x:c r="B76" s="82"/>
      <x:c r="C76" s="82"/>
      <x:c r="D76" s="82"/>
      <x:c r="E76" s="82"/>
      <x:c r="F76" s="82"/>
      <x:c r="G76" s="82"/>
    </x:row>
    <x:row r="77" ht="27" customHeight="1">
      <x:c r="A77" s="108" t="str">
        <x:v>D. R3-A依赖/副作用归属裁决（原13条保留）</x:v>
      </x:c>
      <x:c r="B77" s="108"/>
      <x:c r="C77" s="108"/>
      <x:c r="D77" s="108"/>
      <x:c r="E77" s="108"/>
      <x:c r="F77" s="108"/>
      <x:c r="G77" s="108"/>
    </x:row>
    <x:row r="78">
      <x:c r="A78" s="82" t="str">
        <x:v>引用方</x:v>
      </x:c>
      <x:c r="B78" s="82" t="str">
        <x:v>被引用方</x:v>
      </x:c>
      <x:c r="C78" s="82" t="str">
        <x:v>是否允许</x:v>
      </x:c>
      <x:c r="D78" s="82" t="str">
        <x:v>目的</x:v>
      </x:c>
      <x:c r="E78" s="82" t="str">
        <x:v>约束</x:v>
      </x:c>
      <x:c r="F78" s="82" t="str">
        <x:v>检验方法</x:v>
      </x:c>
      <x:c r="G78" s="82"/>
    </x:row>
    <x:row r="79">
      <x:c r="A79" s="82" t="str">
        <x:v>Core</x:v>
      </x:c>
      <x:c r="B79" s="82" t="str">
        <x:v>Foundation.Core / Foundation.Geometry / Foundation.Imaging（仅需时）</x:v>
      </x:c>
      <x:c r="C79" s="82" t="str">
        <x:v>允许</x:v>
      </x:c>
      <x:c r="D79" s="82" t="str">
        <x:v>基础Id/几何值/颜色模型</x:v>
      </x:c>
      <x:c r="E79" s="82" t="str">
        <x:v>Core绝不引用WPF/Visual/Runtime</x:v>
      </x:c>
      <x:c r="F79" s="82" t="str">
        <x:v>Core程序集单独编译</x:v>
      </x:c>
      <x:c r="G79" s="82"/>
    </x:row>
    <x:row r="80">
      <x:c r="A80" s="82" t="str">
        <x:v>Core</x:v>
      </x:c>
      <x:c r="B80" s="82" t="str">
        <x:v>Foundation.Volume</x:v>
      </x:c>
      <x:c r="C80" s="82" t="str">
        <x:v>禁止</x:v>
      </x:c>
      <x:c r="D80" s="82" t="str">
        <x:v>3D体数据属于独立专业路径</x:v>
      </x:c>
      <x:c r="E80" s="82" t="str">
        <x:v>避免Core对体纹理产生强依赖</x:v>
      </x:c>
      <x:c r="F80" s="82" t="str">
        <x:v>无Volume AssemblyReference</x:v>
      </x:c>
      <x:c r="G80" s="82"/>
    </x:row>
    <x:row r="81">
      <x:c r="A81" s="82" t="str">
        <x:v>Core</x:v>
      </x:c>
      <x:c r="B81" s="82" t="str">
        <x:v>Mechanism.Visual / Presentation.Wpf</x:v>
      </x:c>
      <x:c r="C81" s="82" t="str">
        <x:v>禁止</x:v>
      </x:c>
      <x:c r="D81" s="82" t="str">
        <x:v>基础机制只能被使用</x:v>
      </x:c>
      <x:c r="E81" s="82" t="str">
        <x:v>禁止逆向依赖</x:v>
      </x:c>
      <x:c r="F81" s="82" t="str">
        <x:v>工程DAG扫描</x:v>
      </x:c>
      <x:c r="G81" s="82"/>
    </x:row>
    <x:row r="82">
      <x:c r="A82" s="82" t="str">
        <x:v>Core</x:v>
      </x:c>
      <x:c r="B82" s="82" t="str">
        <x:v>Mechanism.Runtime / Professional.*</x:v>
      </x:c>
      <x:c r="C82" s="82" t="str">
        <x:v>禁止</x:v>
      </x:c>
      <x:c r="D82" s="82" t="str">
        <x:v>不能持有运行执行器/设备SDK</x:v>
      </x:c>
      <x:c r="E82" s="82" t="str">
        <x:v>M07运行实现放Runtime</x:v>
      </x:c>
      <x:c r="F82" s="82" t="str">
        <x:v>项目引用+using扫描</x:v>
      </x:c>
      <x:c r="G82" s="82"/>
    </x:row>
    <x:row r="83">
      <x:c r="A83" s="82" t="str">
        <x:v>Visual</x:v>
      </x:c>
      <x:c r="B83" s="82" t="str">
        <x:v>Core / F.Geometry / F.Imaging</x:v>
      </x:c>
      <x:c r="C83" s="82" t="str">
        <x:v>允许</x:v>
      </x:c>
      <x:c r="D83" s="82" t="str">
        <x:v>消费模型与几何进行编辑投影</x:v>
      </x:c>
      <x:c r="E83" s="82" t="str">
        <x:v>保持UI无关</x:v>
      </x:c>
      <x:c r="F83" s="82" t="str">
        <x:v>无System.Windows控件类型</x:v>
      </x:c>
      <x:c r="G83" s="82"/>
    </x:row>
    <x:row r="84">
      <x:c r="A84" s="82" t="str">
        <x:v>Visual</x:v>
      </x:c>
      <x:c r="B84" s="82" t="str">
        <x:v>Presentation.Wpf</x:v>
      </x:c>
      <x:c r="C84" s="82" t="str">
        <x:v>禁止</x:v>
      </x:c>
      <x:c r="D84" s="82" t="str">
        <x:v>Visual输出绘制描述和标准交互契约</x:v>
      </x:c>
      <x:c r="E84" s="82" t="str">
        <x:v>避免WPF类型泄漏</x:v>
      </x:c>
      <x:c r="F84" s="82" t="str">
        <x:v>独立单元测试</x:v>
      </x:c>
      <x:c r="G84" s="82"/>
    </x:row>
    <x:row r="85">
      <x:c r="A85" s="82" t="str">
        <x:v>Presentation.Wpf</x:v>
      </x:c>
      <x:c r="B85" s="82" t="str">
        <x:v>Visual / Core / F.Geometry / F.Imaging</x:v>
      </x:c>
      <x:c r="C85" s="82" t="str">
        <x:v>允许</x:v>
      </x:c>
      <x:c r="D85" s="82" t="str">
        <x:v>绘制输入与资源编辑</x:v>
      </x:c>
      <x:c r="E85" s="82" t="str">
        <x:v>不引用F.Volume</x:v>
      </x:c>
      <x:c r="F85" s="82" t="str">
        <x:v>WPF仅一个2D公共控件项目</x:v>
      </x:c>
      <x:c r="G85" s="82"/>
    </x:row>
    <x:row r="86">
      <x:c r="A86" s="82" t="str">
        <x:v>Presentation.Wpf</x:v>
      </x:c>
      <x:c r="B86" s="82" t="str">
        <x:v>Foundation.Volume</x:v>
      </x:c>
      <x:c r="C86" s="82" t="str">
        <x:v>禁止（本阶段）</x:v>
      </x:c>
      <x:c r="D86" s="82" t="str">
        <x:v>3D Viewer独立</x:v>
      </x:c>
      <x:c r="E86" s="82" t="str">
        <x:v>不隐式导入CT3D体绘</x:v>
      </x:c>
      <x:c r="F86" s="82" t="str">
        <x:v>依赖检查</x:v>
      </x:c>
      <x:c r="G86" s="82"/>
    </x:row>
    <x:row r="87">
      <x:c r="A87" s="82" t="str">
        <x:v>Orchestration</x:v>
      </x:c>
      <x:c r="B87" s="82" t="str">
        <x:v>Core</x:v>
      </x:c>
      <x:c r="C87" s="82" t="str">
        <x:v>允许</x:v>
      </x:c>
      <x:c r="D87" s="82" t="str">
        <x:v>使用Content/Logic引用与通用契约</x:v>
      </x:c>
      <x:c r="E87" s="82" t="str">
        <x:v>不得引用WPF</x:v>
      </x:c>
      <x:c r="F87" s="82" t="str">
        <x:v>无界面编译测试</x:v>
      </x:c>
      <x:c r="G87" s="82"/>
    </x:row>
    <x:row r="88">
      <x:c r="A88" s="82" t="str">
        <x:v>Orchestration</x:v>
      </x:c>
      <x:c r="B88" s="82" t="str">
        <x:v>Visual</x:v>
      </x:c>
      <x:c r="C88" s="82" t="str">
        <x:v>禁止</x:v>
      </x:c>
      <x:c r="D88" s="82" t="str">
        <x:v>流程运行真源与图形无关</x:v>
      </x:c>
      <x:c r="E88" s="82" t="str">
        <x:v>界面编排通过上层适配投影</x:v>
      </x:c>
      <x:c r="F88" s="82" t="str">
        <x:v>无UI执行用例</x:v>
      </x:c>
      <x:c r="G88" s="82"/>
    </x:row>
    <x:row r="89">
      <x:c r="A89" s="82" t="str">
        <x:v>Runtime</x:v>
      </x:c>
      <x:c r="B89" s="82" t="str">
        <x:v>Core + Orchestration + Data等</x:v>
      </x:c>
      <x:c r="C89" s="82" t="str">
        <x:v>允许</x:v>
      </x:c>
      <x:c r="D89" s="82" t="str">
        <x:v>执行已验证Plan，提供监控事实</x:v>
      </x:c>
      <x:c r="E89" s="82" t="str">
        <x:v>不得为执行调用WPF</x:v>
      </x:c>
      <x:c r="F89" s="82" t="str">
        <x:v>Host无UI装载</x:v>
      </x:c>
      <x:c r="G89" s="82"/>
    </x:row>
    <x:row r="90">
      <x:c r="A90" s="82" t="str">
        <x:v>Lifecycle</x:v>
      </x:c>
      <x:c r="B90" s="82" t="str">
        <x:v>Core</x:v>
      </x:c>
      <x:c r="C90" s="82" t="str">
        <x:v>允许</x:v>
      </x:c>
      <x:c r="D90" s="82" t="str">
        <x:v>执行Schema迁移/模板版本升级</x:v>
      </x:c>
      <x:c r="E90" s="82" t="str">
        <x:v>Core不得依赖Lifecycle</x:v>
      </x:c>
      <x:c r="F90" s="82" t="str">
        <x:v>旧新Schema往返</x:v>
      </x:c>
      <x:c r="G90" s="82"/>
    </x:row>
    <x:row r="91">
      <x:c r="A91" s="82" t="str">
        <x:v>专业/Studio</x:v>
      </x:c>
      <x:c r="B91" s="82" t="str">
        <x:v>Core + Visual + WPF（按需）</x:v>
      </x:c>
      <x:c r="C91" s="82" t="str">
        <x:v>允许</x:v>
      </x:c>
      <x:c r="D91" s="82" t="str">
        <x:v>合成多个子方面的编辑器</x:v>
      </x:c>
      <x:c r="E91" s="82" t="str">
        <x:v>不反向修改基础契约</x:v>
      </x:c>
      <x:c r="F91" s="82" t="str">
        <x:v>设备无SDK替身测试</x:v>
      </x:c>
      <x:c r="G91" s="82"/>
    </x:row>
    <x:row r="92">
      <x:c r="A92" s="82"/>
      <x:c r="B92" s="82"/>
      <x:c r="C92" s="82"/>
      <x:c r="D92" s="82"/>
      <x:c r="E92" s="82"/>
      <x:c r="F92" s="82"/>
      <x:c r="G92" s="82"/>
    </x:row>
    <x:row r="93">
      <x:c r="A93" s="82"/>
      <x:c r="B93" s="82"/>
      <x:c r="C93" s="82"/>
      <x:c r="D93" s="82"/>
      <x:c r="E93" s="82"/>
      <x:c r="F93" s="82"/>
      <x:c r="G93" s="82"/>
    </x:row>
    <x:row r="94" ht="27" customHeight="1">
      <x:c r="A94" s="108" t="str">
        <x:v>E. 62个子方面唯一Owner词典（动态与项目页相互核对）</x:v>
      </x:c>
      <x:c r="B94" s="108"/>
      <x:c r="C94" s="108"/>
      <x:c r="D94" s="108"/>
      <x:c r="E94" s="108"/>
      <x:c r="F94" s="108"/>
      <x:c r="G94" s="108"/>
    </x:row>
    <x:row r="95" ht="36" customHeight="1">
      <x:c r="A95" s="113" t="str">
        <x:v>子方面ID</x:v>
      </x:c>
      <x:c r="B95" s="113" t="str">
        <x:v>前缀</x:v>
      </x:c>
      <x:c r="C95" s="113" t="str">
        <x:v>子方面名</x:v>
      </x:c>
      <x:c r="D95" s="113" t="str">
        <x:v>唯一Owner项目</x:v>
      </x:c>
      <x:c r="E95" s="113" t="str">
        <x:v>能力职责</x:v>
      </x:c>
      <x:c r="F95" s="113" t="str">
        <x:v>归属约束</x:v>
      </x:c>
      <x:c r="G95" s="113"/>
    </x:row>
    <x:row r="96">
      <x:c r="A96" s="82" t="str">
        <x:v>F01</x:v>
      </x:c>
      <x:c r="B96" s="82" t="str">
        <x:v>FOI</x:v>
      </x:c>
      <x:c r="C96" s="82" t="str">
        <x:v>标识、值语义与类型</x:v>
      </x:c>
      <x:c r="D96" s="82" t="str">
        <x:v>CxVisual.Foundation.Core</x:v>
      </x:c>
      <x:c r="E96" s="82" t="str">
        <x:v>提供标识、值语义与类型的可复用数据类型、纯计算与明确边界</x:v>
      </x:c>
      <x:c r="F96" s="82" t="str">
        <x:v>唯一Owner；其他项目仅引用该能力</x:v>
      </x:c>
      <x:c r="G96" s="82"/>
    </x:row>
    <x:row r="97">
      <x:c r="A97" s="82" t="str">
        <x:v>F02</x:v>
      </x:c>
      <x:c r="B97" s="82" t="str">
        <x:v>FCI</x:v>
      </x:c>
      <x:c r="C97" s="82" t="str">
        <x:v>集合、索引与结构</x:v>
      </x:c>
      <x:c r="D97" s="82" t="str">
        <x:v>CxVisual.Foundation.Core</x:v>
      </x:c>
      <x:c r="E97" s="82" t="str">
        <x:v>提供集合、索引与结构的可复用数据类型、纯计算与明确边界</x:v>
      </x:c>
      <x:c r="F97" s="82" t="str">
        <x:v>唯一Owner；其他项目仅引用该能力</x:v>
      </x:c>
      <x:c r="G97" s="82"/>
    </x:row>
    <x:row r="98">
      <x:c r="A98" s="82" t="str">
        <x:v>F03</x:v>
      </x:c>
      <x:c r="B98" s="82" t="str">
        <x:v>FLA</x:v>
      </x:c>
      <x:c r="C98" s="82" t="str">
        <x:v>标量、向量与矩阵</x:v>
      </x:c>
      <x:c r="D98" s="82" t="str">
        <x:v>CxVisual.Foundation.Numerics</x:v>
      </x:c>
      <x:c r="E98" s="82" t="str">
        <x:v>提供标量、向量与矩阵的可复用数据类型、纯计算与明确边界</x:v>
      </x:c>
      <x:c r="F98" s="82" t="str">
        <x:v>唯一Owner；其他项目仅引用该能力</x:v>
      </x:c>
      <x:c r="G98" s="82"/>
    </x:row>
    <x:row r="99">
      <x:c r="A99" s="82" t="str">
        <x:v>F04</x:v>
      </x:c>
      <x:c r="B99" s="82" t="str">
        <x:v>FNO</x:v>
      </x:c>
      <x:c r="C99" s="82" t="str">
        <x:v>数值求解与优化</x:v>
      </x:c>
      <x:c r="D99" s="82" t="str">
        <x:v>CxVisual.Foundation.Numerics</x:v>
      </x:c>
      <x:c r="E99" s="82" t="str">
        <x:v>提供数值求解与优化的可复用数据类型、纯计算与明确边界</x:v>
      </x:c>
      <x:c r="F99" s="82" t="str">
        <x:v>唯一Owner；其他项目仅引用该能力</x:v>
      </x:c>
      <x:c r="G99" s="82"/>
    </x:row>
    <x:row r="100">
      <x:c r="A100" s="82" t="str">
        <x:v>F05</x:v>
      </x:c>
      <x:c r="B100" s="82" t="str">
        <x:v>FPG</x:v>
      </x:c>
      <x:c r="C100" s="82" t="str">
        <x:v>二维几何图元</x:v>
      </x:c>
      <x:c r="D100" s="82" t="str">
        <x:v>CxVisual.Foundation.Geometry</x:v>
      </x:c>
      <x:c r="E100" s="82" t="str">
        <x:v>提供二维几何图元的可复用数据类型、纯计算与明确边界</x:v>
      </x:c>
      <x:c r="F100" s="82" t="str">
        <x:v>唯一Owner；其他项目仅引用该能力</x:v>
      </x:c>
      <x:c r="G100" s="82"/>
    </x:row>
    <x:row r="101">
      <x:c r="A101" s="82" t="str">
        <x:v>F06</x:v>
      </x:c>
      <x:c r="B101" s="82" t="str">
        <x:v>FSG</x:v>
      </x:c>
      <x:c r="C101" s="82" t="str">
        <x:v>三维几何图元</x:v>
      </x:c>
      <x:c r="D101" s="82" t="str">
        <x:v>CxVisual.Foundation.Geometry</x:v>
      </x:c>
      <x:c r="E101" s="82" t="str">
        <x:v>提供三维几何图元的可复用数据类型、纯计算与明确边界</x:v>
      </x:c>
      <x:c r="F101" s="82" t="str">
        <x:v>唯一Owner；其他项目仅引用该能力</x:v>
      </x:c>
      <x:c r="G101" s="82"/>
    </x:row>
    <x:row r="102">
      <x:c r="A102" s="82" t="str">
        <x:v>F07</x:v>
      </x:c>
      <x:c r="B102" s="82" t="str">
        <x:v>FCT</x:v>
      </x:c>
      <x:c r="C102" s="82" t="str">
        <x:v>坐标框架与空间变换</x:v>
      </x:c>
      <x:c r="D102" s="82" t="str">
        <x:v>CxVisual.Foundation.Geometry</x:v>
      </x:c>
      <x:c r="E102" s="82" t="str">
        <x:v>提供坐标框架与空间变换的可复用数据类型、纯计算与明确边界</x:v>
      </x:c>
      <x:c r="F102" s="82" t="str">
        <x:v>唯一Owner；其他项目仅引用该能力</x:v>
      </x:c>
      <x:c r="G102" s="82"/>
    </x:row>
    <x:row r="103">
      <x:c r="A103" s="82" t="str">
        <x:v>F08</x:v>
      </x:c>
      <x:c r="B103" s="82" t="str">
        <x:v>FTS</x:v>
      </x:c>
      <x:c r="C103" s="82" t="str">
        <x:v>时间与同步</x:v>
      </x:c>
      <x:c r="D103" s="82" t="str">
        <x:v>CxVisual.Foundation.Core</x:v>
      </x:c>
      <x:c r="E103" s="82" t="str">
        <x:v>提供时间与同步的可复用数据类型、纯计算与明确边界</x:v>
      </x:c>
      <x:c r="F103" s="82" t="str">
        <x:v>唯一Owner；其他项目仅引用该能力</x:v>
      </x:c>
      <x:c r="G103" s="82"/>
    </x:row>
    <x:row r="104">
      <x:c r="A104" s="82" t="str">
        <x:v>F09</x:v>
      </x:c>
      <x:c r="B104" s="82" t="str">
        <x:v>FUM</x:v>
      </x:c>
      <x:c r="C104" s="82" t="str">
        <x:v>单位、误差与测量</x:v>
      </x:c>
      <x:c r="D104" s="82" t="str">
        <x:v>CxVisual.Foundation.Core</x:v>
      </x:c>
      <x:c r="E104" s="82" t="str">
        <x:v>提供单位、误差与测量的可复用数据类型、纯计算与明确边界</x:v>
      </x:c>
      <x:c r="F104" s="82" t="str">
        <x:v>唯一Owner；其他项目仅引用该能力</x:v>
      </x:c>
      <x:c r="G104" s="82"/>
    </x:row>
    <x:row r="105">
      <x:c r="A105" s="82" t="str">
        <x:v>F10</x:v>
      </x:c>
      <x:c r="B105" s="82" t="str">
        <x:v>FSP</x:v>
      </x:c>
      <x:c r="C105" s="82" t="str">
        <x:v>离散采样与时频</x:v>
      </x:c>
      <x:c r="D105" s="82" t="str">
        <x:v>CxVisual.Foundation.Numerics</x:v>
      </x:c>
      <x:c r="E105" s="82" t="str">
        <x:v>提供离散采样与时频的可复用数据类型、纯计算与明确边界</x:v>
      </x:c>
      <x:c r="F105" s="82" t="str">
        <x:v>唯一Owner；其他项目仅引用该能力</x:v>
      </x:c>
      <x:c r="G105" s="82"/>
    </x:row>
    <x:row r="106">
      <x:c r="A106" s="82" t="str">
        <x:v>F11</x:v>
      </x:c>
      <x:c r="B106" s="82" t="str">
        <x:v>FIP</x:v>
      </x:c>
      <x:c r="C106" s="82" t="str">
        <x:v>图像空间及像素格式</x:v>
      </x:c>
      <x:c r="D106" s="82" t="str">
        <x:v>CxVisual.Foundation.Imaging</x:v>
      </x:c>
      <x:c r="E106" s="82" t="str">
        <x:v>提供图像空间及像素格式的可复用数据类型、纯计算与明确边界</x:v>
      </x:c>
      <x:c r="F106" s="82" t="str">
        <x:v>唯一Owner；其他项目仅引用该能力</x:v>
      </x:c>
      <x:c r="G106" s="82"/>
    </x:row>
    <x:row r="107">
      <x:c r="A107" s="82" t="str">
        <x:v>F12</x:v>
      </x:c>
      <x:c r="B107" s="82" t="str">
        <x:v>FVM</x:v>
      </x:c>
      <x:c r="C107" s="82" t="str">
        <x:v>体数据与网格基础</x:v>
      </x:c>
      <x:c r="D107" s="82" t="str">
        <x:v>CxVisual.Foundation.Volume</x:v>
      </x:c>
      <x:c r="E107" s="82" t="str">
        <x:v>提供体数据与网格基础的可复用数据类型、纯计算与明确边界</x:v>
      </x:c>
      <x:c r="F107" s="82" t="str">
        <x:v>唯一Owner；其他项目仅引用该能力</x:v>
      </x:c>
      <x:c r="G107" s="82"/>
    </x:row>
    <x:row r="108">
      <x:c r="A108" s="82" t="str">
        <x:v>F13</x:v>
      </x:c>
      <x:c r="B108" s="82" t="str">
        <x:v>FTO</x:v>
      </x:c>
      <x:c r="C108" s="82" t="str">
        <x:v>张量类型与运算</x:v>
      </x:c>
      <x:c r="D108" s="82" t="str">
        <x:v>CxVisual.Foundation.Numerics</x:v>
      </x:c>
      <x:c r="E108" s="82" t="str">
        <x:v>提供张量类型与运算的可复用数据类型、纯计算与明确边界</x:v>
      </x:c>
      <x:c r="F108" s="82" t="str">
        <x:v>唯一Owner；其他项目仅引用该能力</x:v>
      </x:c>
      <x:c r="G108" s="82"/>
    </x:row>
    <x:row r="109">
      <x:c r="A109" s="82" t="str">
        <x:v>F14</x:v>
      </x:c>
      <x:c r="B109" s="82" t="str">
        <x:v>FEC</x:v>
      </x:c>
      <x:c r="C109" s="82" t="str">
        <x:v>编码、Codec与协议帧</x:v>
      </x:c>
      <x:c r="D109" s="82" t="str">
        <x:v>CxVisual.Foundation.Data</x:v>
      </x:c>
      <x:c r="E109" s="82" t="str">
        <x:v>提供编码、Codec与协议帧的可复用数据类型、纯计算与明确边界</x:v>
      </x:c>
      <x:c r="F109" s="82" t="str">
        <x:v>唯一Owner；其他项目仅引用该能力</x:v>
      </x:c>
      <x:c r="G109" s="82"/>
    </x:row>
    <x:row r="110">
      <x:c r="A110" s="82" t="str">
        <x:v>F15</x:v>
      </x:c>
      <x:c r="B110" s="82" t="str">
        <x:v>FCM</x:v>
      </x:c>
      <x:c r="C110" s="82" t="str">
        <x:v>配置模型与静态辅助</x:v>
      </x:c>
      <x:c r="D110" s="82" t="str">
        <x:v>CxVisual.Foundation.Data</x:v>
      </x:c>
      <x:c r="E110" s="82" t="str">
        <x:v>提供配置模型与静态辅助的可复用数据类型、纯计算与明确边界</x:v>
      </x:c>
      <x:c r="F110" s="82" t="str">
        <x:v>唯一Owner；其他项目仅引用该能力</x:v>
      </x:c>
      <x:c r="G110" s="82"/>
    </x:row>
    <x:row r="111">
      <x:c r="A111" s="82" t="str">
        <x:v>F16</x:v>
      </x:c>
      <x:c r="B111" s="82" t="str">
        <x:v>FLD</x:v>
      </x:c>
      <x:c r="C111" s="82" t="str">
        <x:v>日志记录与诊断基础</x:v>
      </x:c>
      <x:c r="D111" s="82" t="str">
        <x:v>CxVisual.Foundation.Infrastructure</x:v>
      </x:c>
      <x:c r="E111" s="82" t="str">
        <x:v>提供日志记录与诊断基础的可复用数据类型、纯计算与明确边界</x:v>
      </x:c>
      <x:c r="F111" s="82" t="str">
        <x:v>唯一Owner；其他项目仅引用该能力</x:v>
      </x:c>
      <x:c r="G111" s="82"/>
    </x:row>
    <x:row r="112">
      <x:c r="A112" s="82" t="str">
        <x:v>F17</x:v>
      </x:c>
      <x:c r="B112" s="82" t="str">
        <x:v>FTB</x:v>
      </x:c>
      <x:c r="C112" s="82" t="str">
        <x:v>传输描述与缓冲基础</x:v>
      </x:c>
      <x:c r="D112" s="82" t="str">
        <x:v>CxVisual.Foundation.Transport</x:v>
      </x:c>
      <x:c r="E112" s="82" t="str">
        <x:v>提供传输描述与缓冲基础的可复用数据类型、纯计算与明确边界</x:v>
      </x:c>
      <x:c r="F112" s="82" t="str">
        <x:v>唯一Owner；其他项目仅引用该能力</x:v>
      </x:c>
      <x:c r="G112" s="82"/>
    </x:row>
    <x:row r="113">
      <x:c r="A113" s="82" t="str">
        <x:v>F18</x:v>
      </x:c>
      <x:c r="B113" s="82" t="str">
        <x:v>FFS</x:v>
      </x:c>
      <x:c r="C113" s="82" t="str">
        <x:v>路径、文件和流基础</x:v>
      </x:c>
      <x:c r="D113" s="82" t="str">
        <x:v>CxVisual.Foundation.Data</x:v>
      </x:c>
      <x:c r="E113" s="82" t="str">
        <x:v>提供路径、文件和流基础的可复用数据类型、纯计算与明确边界</x:v>
      </x:c>
      <x:c r="F113" s="82" t="str">
        <x:v>唯一Owner；其他项目仅引用该能力</x:v>
      </x:c>
      <x:c r="G113" s="82"/>
    </x:row>
    <x:row r="114">
      <x:c r="A114" s="82" t="str">
        <x:v>F19</x:v>
      </x:c>
      <x:c r="B114" s="82" t="str">
        <x:v>FCR</x:v>
      </x:c>
      <x:c r="C114" s="82" t="str">
        <x:v>线程协调与容量计算</x:v>
      </x:c>
      <x:c r="D114" s="82" t="str">
        <x:v>CxVisual.Foundation.Infrastructure</x:v>
      </x:c>
      <x:c r="E114" s="82" t="str">
        <x:v>提供线程协调与容量计算的可复用数据类型、纯计算与明确边界</x:v>
      </x:c>
      <x:c r="F114" s="82" t="str">
        <x:v>唯一Owner；其他项目仅引用该能力</x:v>
      </x:c>
      <x:c r="G114" s="82"/>
    </x:row>
    <x:row r="115">
      <x:c r="A115" s="82" t="str">
        <x:v>F20</x:v>
      </x:c>
      <x:c r="B115" s="82" t="str">
        <x:v>FCE</x:v>
      </x:c>
      <x:c r="C115" s="82" t="str">
        <x:v>加密及编码基础</x:v>
      </x:c>
      <x:c r="D115" s="82" t="str">
        <x:v>CxVisual.Foundation.Infrastructure</x:v>
      </x:c>
      <x:c r="E115" s="82" t="str">
        <x:v>提供加密及编码基础的可复用数据类型、纯计算与明确边界</x:v>
      </x:c>
      <x:c r="F115" s="82" t="str">
        <x:v>唯一Owner；其他项目仅引用该能力</x:v>
      </x:c>
      <x:c r="G115" s="82"/>
    </x:row>
    <x:row r="116">
      <x:c r="A116" s="82" t="str">
        <x:v>F21</x:v>
      </x:c>
      <x:c r="B116" s="82" t="str">
        <x:v>FDP</x:v>
      </x:c>
      <x:c r="C116" s="82" t="str">
        <x:v>基础元数据与校验</x:v>
      </x:c>
      <x:c r="D116" s="82" t="str">
        <x:v>CxVisual.Foundation.Data</x:v>
      </x:c>
      <x:c r="E116" s="82" t="str">
        <x:v>提供基础元数据与校验的可复用数据类型、纯计算与明确边界</x:v>
      </x:c>
      <x:c r="F116" s="82" t="str">
        <x:v>唯一Owner；其他项目仅引用该能力</x:v>
      </x:c>
      <x:c r="G116" s="82"/>
    </x:row>
    <x:row r="117">
      <x:c r="A117" s="82" t="str">
        <x:v>F22</x:v>
      </x:c>
      <x:c r="B117" s="82" t="str">
        <x:v>FCL</x:v>
      </x:c>
      <x:c r="C117" s="82" t="str">
        <x:v>颜色、视口与基础排版</x:v>
      </x:c>
      <x:c r="D117" s="82" t="str">
        <x:v>CxVisual.Foundation.Imaging</x:v>
      </x:c>
      <x:c r="E117" s="82" t="str">
        <x:v>提供颜色、视口与基础排版的可复用数据类型、纯计算与明确边界</x:v>
      </x:c>
      <x:c r="F117" s="82" t="str">
        <x:v>唯一Owner；其他项目仅引用该能力</x:v>
      </x:c>
      <x:c r="G117" s="82"/>
    </x:row>
    <x:row r="118">
      <x:c r="A118" s="82" t="str">
        <x:v>M01</x:v>
      </x:c>
      <x:c r="B118" s="82" t="str">
        <x:v>MEM</x:v>
      </x:c>
      <x:c r="C118" s="82" t="str">
        <x:v>工程对象/资源组织</x:v>
      </x:c>
      <x:c r="D118" s="82" t="str">
        <x:v>CxVisual.Mechanism.Core</x:v>
      </x:c>
      <x:c r="E118" s="82" t="str">
        <x:v>统一 Project/Page/Content/Symbol/Group/Element、工程资源与Ownership树</x:v>
      </x:c>
      <x:c r="F118" s="82" t="str">
        <x:v>唯一Owner；其他项目仅引用该能力</x:v>
      </x:c>
      <x:c r="G118" s="82"/>
    </x:row>
    <x:row r="119">
      <x:c r="A119" s="82" t="str">
        <x:v>M02</x:v>
      </x:c>
      <x:c r="B119" s="82" t="str">
        <x:v>MRC</x:v>
      </x:c>
      <x:c r="C119" s="82" t="str">
        <x:v>功能组织与复用</x:v>
      </x:c>
      <x:c r="D119" s="82" t="str">
        <x:v>CxVisual.Mechanism.Core</x:v>
      </x:c>
      <x:c r="E119" s="82" t="str">
        <x:v>Content、Symbol、Reference、Template、实例化、公开契约与作用域</x:v>
      </x:c>
      <x:c r="F119" s="82" t="str">
        <x:v>唯一Owner；其他项目仅引用该能力</x:v>
      </x:c>
      <x:c r="G119" s="82"/>
    </x:row>
    <x:row r="120">
      <x:c r="A120" s="82" t="str">
        <x:v>M03</x:v>
      </x:c>
      <x:c r="B120" s="82" t="str">
        <x:v>MRI</x:v>
      </x:c>
      <x:c r="C120" s="82" t="str">
        <x:v>Reference / Address / Index</x:v>
      </x:c>
      <x:c r="D120" s="82" t="str">
        <x:v>CxVisual.Mechanism.Core</x:v>
      </x:c>
      <x:c r="E120" s="82" t="str">
        <x:v>稳定ID引用、对象地址、索引、导航、依赖关系</x:v>
      </x:c>
      <x:c r="F120" s="82" t="str">
        <x:v>唯一Owner；其他项目仅引用该能力</x:v>
      </x:c>
      <x:c r="G120" s="82"/>
    </x:row>
    <x:row r="121">
      <x:c r="A121" s="82" t="str">
        <x:v>M04</x:v>
      </x:c>
      <x:c r="B121" s="82" t="str">
        <x:v>MPM</x:v>
      </x:c>
      <x:c r="C121" s="82" t="str">
        <x:v>Property / Metadata / Type</x:v>
      </x:c>
      <x:c r="D121" s="82" t="str">
        <x:v>CxVisual.Mechanism.Core</x:v>
      </x:c>
      <x:c r="E121" s="82" t="str">
        <x:v>统一属性元数据、类型、单位、枚举、范围、验证、Schema</x:v>
      </x:c>
      <x:c r="F121" s="82" t="str">
        <x:v>唯一Owner；其他项目仅引用该能力</x:v>
      </x:c>
      <x:c r="G121" s="82"/>
    </x:row>
    <x:row r="122">
      <x:c r="A122" s="82" t="str">
        <x:v>M05</x:v>
      </x:c>
      <x:c r="B122" s="82" t="str">
        <x:v>MPC</x:v>
      </x:c>
      <x:c r="C122" s="82" t="str">
        <x:v>Port / Connection / Contract</x:v>
      </x:c>
      <x:c r="D122" s="82" t="str">
        <x:v>CxVisual.Mechanism.Core</x:v>
      </x:c>
      <x:c r="E122" s="82" t="str">
        <x:v>Data/Event/Command/Flow/Resource/Visual Port，方向、基数、类型、公开映射与连接校验</x:v>
      </x:c>
      <x:c r="F122" s="82" t="str">
        <x:v>唯一Owner；其他项目仅引用该能力</x:v>
      </x:c>
      <x:c r="G122" s="82"/>
    </x:row>
    <x:row r="123">
      <x:c r="A123" s="82" t="str">
        <x:v>M06</x:v>
      </x:c>
      <x:c r="B123" s="82" t="str">
        <x:v>MTU</x:v>
      </x:c>
      <x:c r="C123" s="82" t="str">
        <x:v>统一时间、空间坐标与量纲契约</x:v>
      </x:c>
      <x:c r="D123" s="82" t="str">
        <x:v>CxVisual.Mechanism.Core</x:v>
      </x:c>
      <x:c r="E123" s="82" t="str">
        <x:v>跨设备、运动、2D视觉、CT/3D、测试及历史数据共享时间语义、坐标框架、量纲和标定引用，允许带不确定度的转换与联合校验。</x:v>
      </x:c>
      <x:c r="F123" s="82" t="str">
        <x:v>唯一Owner；其他项目仅引用该能力</x:v>
      </x:c>
      <x:c r="G123" s="82"/>
    </x:row>
    <x:row r="124">
      <x:c r="A124" s="82" t="str">
        <x:v>M07</x:v>
      </x:c>
      <x:c r="B124" s="82" t="str">
        <x:v>MTC</x:v>
      </x:c>
      <x:c r="C124" s="82" t="str">
        <x:v>事务、一致性与可靠交付契约</x:v>
      </x:c>
      <x:c r="D124" s="82" t="str">
        <x:v>CxVisual.Mechanism.Core</x:v>
      </x:c>
      <x:c r="E124" s="82" t="str">
        <x:v>跨资源编辑、设备命令、长事务、跨进程任务、IoT/MES交付统一定义提交边界、一致性等级、幂等、副作用、对账和故障恢复。</x:v>
      </x:c>
      <x:c r="F124" s="82" t="str">
        <x:v>唯一Owner；其他项目仅引用该能力</x:v>
      </x:c>
      <x:c r="G124" s="82"/>
    </x:row>
    <x:row r="125">
      <x:c r="A125" s="82" t="str">
        <x:v>M08</x:v>
      </x:c>
      <x:c r="B125" s="82" t="str">
        <x:v>MVE</x:v>
      </x:c>
      <x:c r="C125" s="82" t="str">
        <x:v>通用验证、验收与证据契约</x:v>
      </x:c>
      <x:c r="D125" s="82" t="str">
        <x:v>CxVisual.Mechanism.Core</x:v>
      </x:c>
      <x:c r="E125" s="82" t="str">
        <x:v>对每项Capability建立输入、预期、真实运行证据、环境、硬件/仿真区别、异常和性能门槛的统一验收与追溯口径。</x:v>
      </x:c>
      <x:c r="F125" s="82" t="str">
        <x:v>唯一Owner；其他项目仅引用该能力</x:v>
      </x:c>
      <x:c r="G125" s="82"/>
    </x:row>
    <x:row r="126">
      <x:c r="A126" s="82" t="str">
        <x:v>M09</x:v>
      </x:c>
      <x:c r="B126" s="82" t="str">
        <x:v>MVB</x:v>
      </x:c>
      <x:c r="C126" s="82" t="str">
        <x:v>Variable / Binding</x:v>
      </x:c>
      <x:c r="D126" s="82" t="str">
        <x:v>CxVisual.Mechanism.Data</x:v>
      </x:c>
      <x:c r="E126" s="82" t="str">
        <x:v>变量定义、引用、Provider、Quality、Timestamp、Calculated、Binding、Subscription、Snapshot</x:v>
      </x:c>
      <x:c r="F126" s="82" t="str">
        <x:v>唯一Owner；其他项目仅引用该能力</x:v>
      </x:c>
      <x:c r="G126" s="82"/>
    </x:row>
    <x:row r="127">
      <x:c r="A127" s="82" t="str">
        <x:v>M10</x:v>
      </x:c>
      <x:c r="B127" s="82" t="str">
        <x:v>MDS</x:v>
      </x:c>
      <x:c r="C127" s="82" t="str">
        <x:v>DataHandle / Stream / Artifact</x:v>
      </x:c>
      <x:c r="D127" s="82" t="str">
        <x:v>CxVisual.Mechanism.Data</x:v>
      </x:c>
      <x:c r="E127" s="82" t="str">
        <x:v>大对象Handle、连续Stream、Artifact、Buffer、Backpressure、生命周期与传输</x:v>
      </x:c>
      <x:c r="F127" s="82" t="str">
        <x:v>唯一Owner；其他项目仅引用该能力</x:v>
      </x:c>
      <x:c r="G127" s="82"/>
    </x:row>
    <x:row r="128">
      <x:c r="A128" s="82" t="str">
        <x:v>M11</x:v>
      </x:c>
      <x:c r="B128" s="82" t="str">
        <x:v>MER</x:v>
      </x:c>
      <x:c r="C128" s="82" t="str">
        <x:v>Expression / Rule / Script</x:v>
      </x:c>
      <x:c r="D128" s="82" t="str">
        <x:v>CxVisual.Mechanism.Logic</x:v>
      </x:c>
      <x:c r="E128" s="82" t="str">
        <x:v>Literal、VariableRef、Expression、Condition、Rule、RuleSet、Function、Script Sandbox</x:v>
      </x:c>
      <x:c r="F128" s="82" t="str">
        <x:v>唯一Owner；其他项目仅引用该能力</x:v>
      </x:c>
      <x:c r="G128" s="82"/>
    </x:row>
    <x:row r="129">
      <x:c r="A129" s="82" t="str">
        <x:v>M12</x:v>
      </x:c>
      <x:c r="B129" s="82" t="str">
        <x:v>MCE</x:v>
      </x:c>
      <x:c r="C129" s="82" t="str">
        <x:v>Command / State / Event / Action</x:v>
      </x:c>
      <x:c r="D129" s="82" t="str">
        <x:v>CxVisual.Mechanism.Logic</x:v>
      </x:c>
      <x:c r="E129" s="82" t="str">
        <x:v>命令、状态、事件、Action、Result、Subscription、Route与稳定Payload</x:v>
      </x:c>
      <x:c r="F129" s="82" t="str">
        <x:v>唯一Owner；其他项目仅引用该能力</x:v>
      </x:c>
      <x:c r="G129" s="82"/>
    </x:row>
    <x:row r="130">
      <x:c r="A130" s="82" t="str">
        <x:v>M13</x:v>
      </x:c>
      <x:c r="B130" s="82" t="str">
        <x:v>MCC</x:v>
      </x:c>
      <x:c r="C130" s="82" t="str">
        <x:v>Channel Foundation</x:v>
      </x:c>
      <x:c r="D130" s="82" t="str">
        <x:v>CxVisual.Mechanism.Connectivity</x:v>
      </x:c>
      <x:c r="E130" s="82" t="str">
        <x:v>InProc/IPC/TCP/UDP/Serial/NamedPipe/SharedMemory/WebSocket/Message/Stream；Buffer、Health、Reconnect</x:v>
      </x:c>
      <x:c r="F130" s="82" t="str">
        <x:v>唯一Owner；其他项目仅引用该能力</x:v>
      </x:c>
      <x:c r="G130" s="82"/>
    </x:row>
    <x:row r="131">
      <x:c r="A131" s="82" t="str">
        <x:v>M14</x:v>
      </x:c>
      <x:c r="B131" s="82" t="str">
        <x:v>MPA</x:v>
      </x:c>
      <x:c r="C131" s="82" t="str">
        <x:v>Protocol Foundation</x:v>
      </x:c>
      <x:c r="D131" s="82" t="str">
        <x:v>CxVisual.Mechanism.Connectivity</x:v>
      </x:c>
      <x:c r="E131" s="82" t="str">
        <x:v>Frame/Message Schema、Codec、Parser、Request/Response、Session、Handshake、Heartbeat、Version、Error Mapping</x:v>
      </x:c>
      <x:c r="F131" s="82" t="str">
        <x:v>唯一Owner；其他项目仅引用该能力</x:v>
      </x:c>
      <x:c r="G131" s="82"/>
    </x:row>
    <x:row r="132">
      <x:c r="A132" s="82" t="str">
        <x:v>M15</x:v>
      </x:c>
      <x:c r="B132" s="82" t="str">
        <x:v>MDP</x:v>
      </x:c>
      <x:c r="C132" s="82" t="str">
        <x:v>Driver / Provider / Capability</x:v>
      </x:c>
      <x:c r="D132" s="82" t="str">
        <x:v>CxVisual.Mechanism.Connectivity</x:v>
      </x:c>
      <x:c r="E132" s="82" t="str">
        <x:v>把Vendor/协议语义映射为稳定设备/算法/服务能力，Provider/Worker/RuntimeAdapter注册</x:v>
      </x:c>
      <x:c r="F132" s="82" t="str">
        <x:v>唯一Owner；其他项目仅引用该能力</x:v>
      </x:c>
      <x:c r="G132" s="82"/>
    </x:row>
    <x:row r="133">
      <x:c r="A133" s="82" t="str">
        <x:v>M16</x:v>
      </x:c>
      <x:c r="B133" s="82" t="str">
        <x:v>MDL</x:v>
      </x:c>
      <x:c r="C133" s="82" t="str">
        <x:v>Drawing / Layer / Geometry</x:v>
      </x:c>
      <x:c r="D133" s="82" t="str">
        <x:v>CxVisual.Mechanism.Visual</x:v>
      </x:c>
      <x:c r="E133" s="82" t="str">
        <x:v>Canvas、Viewport、Zoom/Pan、Selection、HitTest、Transform、Handle、Snap、Layer、Geometry、SVG、Overlay、Annotation、Coordinate</x:v>
      </x:c>
      <x:c r="F133" s="82" t="str">
        <x:v>唯一Owner；其他项目仅引用该能力</x:v>
      </x:c>
      <x:c r="G133" s="82"/>
    </x:row>
    <x:row r="134">
      <x:c r="A134" s="82" t="str">
        <x:v>M17</x:v>
      </x:c>
      <x:c r="B134" s="82" t="str">
        <x:v>MDV</x:v>
      </x:c>
      <x:c r="C134" s="82" t="str">
        <x:v>Diagram / Node Visual</x:v>
      </x:c>
      <x:c r="D134" s="82" t="str">
        <x:v>CxVisual.Mechanism.Visual</x:v>
      </x:c>
      <x:c r="E134" s="82" t="str">
        <x:v>GraphCanvas、Node/Port/Edge视觉、Routing、Layout、Minimap、Collapse、SemanticZoom、LayerVisibility</x:v>
      </x:c>
      <x:c r="F134" s="82" t="str">
        <x:v>唯一Owner；其他项目仅引用该能力</x:v>
      </x:c>
      <x:c r="G134" s="82"/>
    </x:row>
    <x:row r="135">
      <x:c r="A135" s="82" t="str">
        <x:v>M18</x:v>
      </x:c>
      <x:c r="B135" s="82" t="str">
        <x:v>MNT</x:v>
      </x:c>
      <x:c r="C135" s="82" t="str">
        <x:v>Graph Core</x:v>
      </x:c>
      <x:c r="D135" s="82" t="str">
        <x:v>CxVisual.Mechanism.Orchestration</x:v>
      </x:c>
      <x:c r="E135" s="82" t="str">
        <x:v>Graph、Node、Port、Edge、SubGraph、Parameter、I/O、Descriptor、Version</x:v>
      </x:c>
      <x:c r="F135" s="82" t="str">
        <x:v>唯一Owner；其他项目仅引用该能力</x:v>
      </x:c>
      <x:c r="G135" s="82"/>
    </x:row>
    <x:row r="136">
      <x:c r="A136" s="82" t="str">
        <x:v>M19</x:v>
      </x:c>
      <x:c r="B136" s="82" t="str">
        <x:v>MCF</x:v>
      </x:c>
      <x:c r="C136" s="82" t="str">
        <x:v>ControlFlow</x:v>
      </x:c>
      <x:c r="D136" s="82" t="str">
        <x:v>CxVisual.Mechanism.Orchestration</x:v>
      </x:c>
      <x:c r="E136" s="82" t="str">
        <x:v>Start/End、Sequence、If/Switch、Fork/Parallel/Join、Loop、Wait、Try/Catch/Finally</x:v>
      </x:c>
      <x:c r="F136" s="82" t="str">
        <x:v>唯一Owner；其他项目仅引用该能力</x:v>
      </x:c>
      <x:c r="G136" s="82"/>
    </x:row>
    <x:row r="137">
      <x:c r="A137" s="82" t="str">
        <x:v>M20</x:v>
      </x:c>
      <x:c r="B137" s="82" t="str">
        <x:v>MDF</x:v>
      </x:c>
      <x:c r="C137" s="82" t="str">
        <x:v>DataFlow / Streaming</x:v>
      </x:c>
      <x:c r="D137" s="82" t="str">
        <x:v>CxVisual.Mechanism.Orchestration</x:v>
      </x:c>
      <x:c r="E137" s="82" t="str">
        <x:v>Typed DataFlow、FanOut/Join、Buffer、Queue、Worker、Backpressure、Streaming</x:v>
      </x:c>
      <x:c r="F137" s="82" t="str">
        <x:v>唯一Owner；其他项目仅引用该能力</x:v>
      </x:c>
      <x:c r="G137" s="82"/>
    </x:row>
    <x:row r="138">
      <x:c r="A138" s="82" t="str">
        <x:v>M21</x:v>
      </x:c>
      <x:c r="B138" s="82" t="str">
        <x:v>MSM</x:v>
      </x:c>
      <x:c r="C138" s="82" t="str">
        <x:v>StateMachine</x:v>
      </x:c>
      <x:c r="D138" s="82" t="str">
        <x:v>CxVisual.Mechanism.Orchestration</x:v>
      </x:c>
      <x:c r="E138" s="82" t="str">
        <x:v>State、Transition、Guard、Entry/Exit、Compound、Parallel Region、History、Internal Transition</x:v>
      </x:c>
      <x:c r="F138" s="82" t="str">
        <x:v>唯一Owner；其他项目仅引用该能力</x:v>
      </x:c>
      <x:c r="G138" s="82"/>
    </x:row>
    <x:row r="139">
      <x:c r="A139" s="82" t="str">
        <x:v>M22</x:v>
      </x:c>
      <x:c r="B139" s="82" t="str">
        <x:v>MDW</x:v>
      </x:c>
      <x:c r="C139" s="82" t="str">
        <x:v>Durable Workflow / ExternalTask</x:v>
      </x:c>
      <x:c r="D139" s="82" t="str">
        <x:v>CxVisual.Mechanism.Orchestration</x:v>
      </x:c>
      <x:c r="E139" s="82" t="str">
        <x:v>长期业务流程、Checkpoint、Journal、ExternalTask、HumanTask、Resume、Idempotency</x:v>
      </x:c>
      <x:c r="F139" s="82" t="str">
        <x:v>唯一Owner；其他项目仅引用该能力</x:v>
      </x:c>
      <x:c r="G139" s="82"/>
    </x:row>
    <x:row r="140">
      <x:c r="A140" s="82" t="str">
        <x:v>M23</x:v>
      </x:c>
      <x:c r="B140" s="82" t="str">
        <x:v>MTS</x:v>
      </x:c>
      <x:c r="C140" s="82" t="str">
        <x:v>Trigger / Subscription / Reactive</x:v>
      </x:c>
      <x:c r="D140" s="82" t="str">
        <x:v>CxVisual.Mechanism.Orchestration</x:v>
      </x:c>
      <x:c r="E140" s="82" t="str">
        <x:v>Event/Message/Timer/Variable变化触发执行，长期订阅/规则网络</x:v>
      </x:c>
      <x:c r="F140" s="82" t="str">
        <x:v>唯一Owner；其他项目仅引用该能力</x:v>
      </x:c>
      <x:c r="G140" s="82"/>
    </x:row>
    <x:row r="141">
      <x:c r="A141" s="82" t="str">
        <x:v>M24</x:v>
      </x:c>
      <x:c r="B141" s="82" t="str">
        <x:v>MIC</x:v>
      </x:c>
      <x:c r="C141" s="82" t="str">
        <x:v>Invocation / Composition / MultiInstance</x:v>
      </x:c>
      <x:c r="D141" s="82" t="str">
        <x:v>CxVisual.Mechanism.Orchestration</x:v>
      </x:c>
      <x:c r="E141" s="82" t="str">
        <x:v>EmbeddedScope、Invocation、AsyncJob、Parent/Child、MultiInstance、Join/Aggregation、Parameter/Result Mapping</x:v>
      </x:c>
      <x:c r="F141" s="82" t="str">
        <x:v>唯一Owner；其他项目仅引用该能力</x:v>
      </x:c>
      <x:c r="G141" s="82"/>
    </x:row>
    <x:row r="142">
      <x:c r="A142" s="82" t="str">
        <x:v>M25</x:v>
      </x:c>
      <x:c r="B142" s="82" t="str">
        <x:v>MSQ</x:v>
      </x:c>
      <x:c r="C142" s="82" t="str">
        <x:v>Time / Scheduler / Queue</x:v>
      </x:c>
      <x:c r="D142" s="82" t="str">
        <x:v>CxVisual.Mechanism.Orchestration</x:v>
      </x:c>
      <x:c r="E142" s="82" t="str">
        <x:v>Clock、Timer、Delay、Deadline、Schedule、Cyclic、Priority、Queue、Concurrency、Affinity</x:v>
      </x:c>
      <x:c r="F142" s="82" t="str">
        <x:v>唯一Owner；其他项目仅引用该能力</x:v>
      </x:c>
      <x:c r="G142" s="82"/>
    </x:row>
    <x:row r="143">
      <x:c r="A143" s="82" t="str">
        <x:v>M26</x:v>
      </x:c>
      <x:c r="B143" s="82" t="str">
        <x:v>MRL</x:v>
      </x:c>
      <x:c r="C143" s="82" t="str">
        <x:v>Runtime Resource / Lease / Placement</x:v>
      </x:c>
      <x:c r="D143" s="82" t="str">
        <x:v>CxVisual.Mechanism.Runtime</x:v>
      </x:c>
      <x:c r="E143" s="82" t="str">
        <x:v>ResourceRequirement、ResourceScope、Lease、Exclusive/Shared、Mutex、Semaphore、WaitQueue、Placement、Transfer</x:v>
      </x:c>
      <x:c r="F143" s="82" t="str">
        <x:v>唯一Owner；其他项目仅引用该能力</x:v>
      </x:c>
      <x:c r="G143" s="82"/>
    </x:row>
    <x:row r="144">
      <x:c r="A144" s="82" t="str">
        <x:v>M27</x:v>
      </x:c>
      <x:c r="B144" s="82" t="str">
        <x:v>MFR</x:v>
      </x:c>
      <x:c r="C144" s="82" t="str">
        <x:v>Policy / Fault / Recovery</x:v>
      </x:c>
      <x:c r="D144" s="82" t="str">
        <x:v>CxVisual.Mechanism.Runtime</x:v>
      </x:c>
      <x:c r="E144" s="82" t="str">
        <x:v>Timeout、Retry/Backoff、Fallback、CircuitBreaker、RateLimit、Failure/Cancellation/ParentClose、Compensation、Recovery、Idempotency</x:v>
      </x:c>
      <x:c r="F144" s="82" t="str">
        <x:v>唯一Owner；其他项目仅引用该能力</x:v>
      </x:c>
      <x:c r="G144" s="82"/>
    </x:row>
    <x:row r="145">
      <x:c r="A145" s="82" t="str">
        <x:v>M28</x:v>
      </x:c>
      <x:c r="B145" s="82" t="str">
        <x:v>MSI</x:v>
      </x:c>
      <x:c r="C145" s="82" t="str">
        <x:v>Security / Interlock / Audit</x:v>
      </x:c>
      <x:c r="D145" s="82" t="str">
        <x:v>CxVisual.Mechanism.Runtime</x:v>
      </x:c>
      <x:c r="E145" s="82" t="str">
        <x:v>Identity、Role、Permission、RunMode、Pre/PostCondition、软件Interlock、Audit Gate</x:v>
      </x:c>
      <x:c r="F145" s="82" t="str">
        <x:v>唯一Owner；其他项目仅引用该能力</x:v>
      </x:c>
      <x:c r="G145" s="82"/>
    </x:row>
    <x:row r="146">
      <x:c r="A146" s="82" t="str">
        <x:v>M29</x:v>
      </x:c>
      <x:c r="B146" s="82" t="str">
        <x:v>MCP</x:v>
      </x:c>
      <x:c r="C146" s="82" t="str">
        <x:v>Validate / Resolve / Compile / Plan</x:v>
      </x:c>
      <x:c r="D146" s="82" t="str">
        <x:v>CxVisual.Mechanism.Runtime</x:v>
      </x:c>
      <x:c r="E146" s="82" t="str">
        <x:v>Structural/Type/Reference/Cycle/Capability/Resource/Security/Placement/Plugin/Version检查；生成ResolvedProject/Plan</x:v>
      </x:c>
      <x:c r="F146" s="82" t="str">
        <x:v>唯一Owner；其他项目仅引用该能力</x:v>
      </x:c>
      <x:c r="G146" s="82"/>
    </x:row>
    <x:row r="147">
      <x:c r="A147" s="82" t="str">
        <x:v>M30</x:v>
      </x:c>
      <x:c r="B147" s="82" t="str">
        <x:v>MRK</x:v>
      </x:c>
      <x:c r="C147" s="82" t="str">
        <x:v>Runtime Kernel / Instance / Scope / Context</x:v>
      </x:c>
      <x:c r="D147" s="82" t="str">
        <x:v>CxVisual.Mechanism.Runtime</x:v>
      </x:c>
      <x:c r="E147" s="82" t="str">
        <x:v>ProjectRuntimeHost、RuntimeSession、ExecutionInstance、ExecutionTree、ExecutionScope、ExecutionContext、Lifecycle/Cancellation</x:v>
      </x:c>
      <x:c r="F147" s="82" t="str">
        <x:v>唯一Owner；其他项目仅引用该能力</x:v>
      </x:c>
      <x:c r="G147" s="82"/>
    </x:row>
    <x:row r="148">
      <x:c r="A148" s="82" t="str">
        <x:v>M31</x:v>
      </x:c>
      <x:c r="B148" s="82" t="str">
        <x:v>MRD</x:v>
      </x:c>
      <x:c r="C148" s="82" t="str">
        <x:v>Runtime Data / Event / Resource Planes</x:v>
      </x:c>
      <x:c r="D148" s="82" t="str">
        <x:v>CxVisual.Mechanism.Runtime</x:v>
      </x:c>
      <x:c r="E148" s="82" t="str">
        <x:v>RuntimeDataScope、RuntimeEventBus、ResourceScope、Snapshot、WaitingReason、Progress、Placement状态</x:v>
      </x:c>
      <x:c r="F148" s="82" t="str">
        <x:v>唯一Owner；其他项目仅引用该能力</x:v>
      </x:c>
      <x:c r="G148" s="82"/>
    </x:row>
    <x:row r="149">
      <x:c r="A149" s="82" t="str">
        <x:v>M32</x:v>
      </x:c>
      <x:c r="B149" s="82" t="str">
        <x:v>MRM</x:v>
      </x:c>
      <x:c r="C149" s="82" t="str">
        <x:v>Runtime Visual / Monitor</x:v>
      </x:c>
      <x:c r="D149" s="82" t="str">
        <x:v>CxVisual.Mechanism.Runtime</x:v>
      </x:c>
      <x:c r="E149" s="82" t="str">
        <x:v>Definition Overlay、InstanceTree、ResourceTree、EventStream、DataProbe、Placement/Worker/Queue视图、双向定位</x:v>
      </x:c>
      <x:c r="F149" s="82" t="str">
        <x:v>唯一Owner；其他项目仅引用该能力</x:v>
      </x:c>
      <x:c r="G149" s="82"/>
    </x:row>
    <x:row r="150">
      <x:c r="A150" s="82" t="str">
        <x:v>M33</x:v>
      </x:c>
      <x:c r="B150" s="82" t="str">
        <x:v>MDT</x:v>
      </x:c>
      <x:c r="C150" s="82" t="str">
        <x:v>Debug / Trace / Timeline / Performance / Replay</x:v>
      </x:c>
      <x:c r="D150" s="82" t="str">
        <x:v>CxVisual.Mechanism.Runtime</x:v>
      </x:c>
      <x:c r="E150" s="82" t="str">
        <x:v>Node/Edge/Event/Data/Fault断点、Step、Watch、Trace、Correlation、Timeline、Metrics、CriticalPath、Replay</x:v>
      </x:c>
      <x:c r="F150" s="82" t="str">
        <x:v>唯一Owner；其他项目仅引用该能力</x:v>
      </x:c>
      <x:c r="G150" s="82"/>
    </x:row>
    <x:row r="151">
      <x:c r="A151" s="82" t="str">
        <x:v>M34</x:v>
      </x:c>
      <x:c r="B151" s="82" t="str">
        <x:v>MSV</x:v>
      </x:c>
      <x:c r="C151" s="82" t="str">
        <x:v>Simulation / Virtualization / Fault Injection</x:v>
      </x:c>
      <x:c r="D151" s="82" t="str">
        <x:v>CxVisual.Mechanism.Runtime</x:v>
      </x:c>
      <x:c r="E151" s="82" t="str">
        <x:v>VirtualDevice/Plant、VirtualChannel/Protocol、VirtualTime、FaultModel、Hybrid/HIL、Twin、Scenario</x:v>
      </x:c>
      <x:c r="F151" s="82" t="str">
        <x:v>唯一Owner；其他项目仅引用该能力</x:v>
      </x:c>
      <x:c r="G151" s="82"/>
    </x:row>
    <x:row r="152">
      <x:c r="A152" s="82" t="str">
        <x:v>M35</x:v>
      </x:c>
      <x:c r="B152" s="82" t="str">
        <x:v>MHS</x:v>
      </x:c>
      <x:c r="C152" s="82" t="str">
        <x:v>History / Storage / Retention</x:v>
      </x:c>
      <x:c r="D152" s="82" t="str">
        <x:v>CxVisual.Mechanism.Data</x:v>
      </x:c>
      <x:c r="E152" s="82" t="str">
        <x:v>Historian、SnapshotStore、ArtifactStore、ReplayStore、Retention/Aggregation</x:v>
      </x:c>
      <x:c r="F152" s="82" t="str">
        <x:v>唯一Owner；其他项目仅引用该能力</x:v>
      </x:c>
      <x:c r="G152" s="82"/>
    </x:row>
    <x:row r="153">
      <x:c r="A153" s="82" t="str">
        <x:v>M36</x:v>
      </x:c>
      <x:c r="B153" s="82" t="str">
        <x:v>MNM</x:v>
      </x:c>
      <x:c r="C153" s="82" t="str">
        <x:v>Notification / Messaging</x:v>
      </x:c>
      <x:c r="D153" s="82" t="str">
        <x:v>CxVisual.Mechanism.Data</x:v>
      </x:c>
      <x:c r="E153" s="82" t="str">
        <x:v>用户通知、Alarm推送、Topic/Message、跨模块非实时消息</x:v>
      </x:c>
      <x:c r="F153" s="82" t="str">
        <x:v>唯一Owner；其他项目仅引用该能力</x:v>
      </x:c>
      <x:c r="G153" s="82"/>
    </x:row>
    <x:row r="154">
      <x:c r="A154" s="82" t="str">
        <x:v>M37</x:v>
      </x:c>
      <x:c r="B154" s="82" t="str">
        <x:v>MSE</x:v>
      </x:c>
      <x:c r="C154" s="82" t="str">
        <x:v>Editing / Studio Contribution</x:v>
      </x:c>
      <x:c r="D154" s="82" t="str">
        <x:v>CxVisual.Mechanism.Visual</x:v>
      </x:c>
      <x:c r="E154" s="82" t="str">
        <x:v>DocumentHost、Selection、Context、Undo/Redo、Clipboard、Search、Navigation、Dirty、CommandRouter、Ribbon/Toolbox/Outline/Property/Dock Contribution</x:v>
      </x:c>
      <x:c r="F154" s="82" t="str">
        <x:v>唯一Owner；其他项目仅引用该能力</x:v>
      </x:c>
      <x:c r="G154" s="82"/>
    </x:row>
    <x:row r="155">
      <x:c r="A155" s="82" t="str">
        <x:v>M38</x:v>
      </x:c>
      <x:c r="B155" s="82" t="str">
        <x:v>MTI</x:v>
      </x:c>
      <x:c r="C155" s="82" t="str">
        <x:v>Template / ImportExport / Baseline</x:v>
      </x:c>
      <x:c r="D155" s="82" t="str">
        <x:v>CxVisual.Mechanism.Core</x:v>
      </x:c>
      <x:c r="E155" s="82" t="str">
        <x:v>Template、Preset、Wizard、Snippet、Importer/Exporter、Golden/Baseline/Diff</x:v>
      </x:c>
      <x:c r="F155" s="82" t="str">
        <x:v>唯一Owner；其他项目仅引用该能力</x:v>
      </x:c>
      <x:c r="G155" s="82"/>
    </x:row>
    <x:row r="156">
      <x:c r="A156" s="82" t="str">
        <x:v>M39</x:v>
      </x:c>
      <x:c r="B156" s="82" t="str">
        <x:v>MVD</x:v>
      </x:c>
      <x:c r="C156" s="82" t="str">
        <x:v>Version / Migration / Package / Deploy</x:v>
      </x:c>
      <x:c r="D156" s="82" t="str">
        <x:v>CxVisual.Mechanism.Lifecycle</x:v>
      </x:c>
      <x:c r="E156" s="82" t="str">
        <x:v>Project/Schema/Graph/Node/Protocol/ChannelConfig版本、Migration、Compatibility、Manifest、Package、Deploy、Rollback</x:v>
      </x:c>
      <x:c r="F156" s="82" t="str">
        <x:v>唯一Owner；其他项目仅引用该能力</x:v>
      </x:c>
      <x:c r="G156" s="82"/>
    </x:row>
    <x:row r="157">
      <x:c r="A157" s="82" t="str">
        <x:v>M40</x:v>
      </x:c>
      <x:c r="B157" s="82" t="str">
        <x:v>MPR</x:v>
      </x:c>
      <x:c r="C157" s="82" t="str">
        <x:v>Plugin / Registry / Extension</x:v>
      </x:c>
      <x:c r="D157" s="82" t="str">
        <x:v>CxVisual.Mechanism.Lifecycle</x:v>
      </x:c>
      <x:c r="E157" s="82" t="str">
        <x:v>插件注册、Capability/Descriptor/NodeFactory、编译扩展、Runtime扩展、兼容与隔离</x:v>
      </x:c>
      <x:c r="F157" s="82" t="str">
        <x:v>唯一Owner；其他项目仅引用该能力</x:v>
      </x:c>
      <x:c r="G157" s="82"/>
    </x:row>
  </x:sheetData>
  <x:mergeCells>
    <x:mergeCell ref="A1:G1"/>
  </x:mergeCells>
  <x:pageMargins left="0.7" right="0.7" top="0.75" bottom="0.75" header="0.3" footer="0.3"/>
</x:worksheet>
</file>

<file path=xl/worksheets/sheet2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26" hidden="0" customWidth="1"/>
    <x:col min="3" max="3" width="26" hidden="0" customWidth="1"/>
    <x:col min="4" max="4" width="44" hidden="0" customWidth="1"/>
    <x:col min="5" max="5" width="44" hidden="0" customWidth="1"/>
    <x:col min="6" max="6" width="44" hidden="0" customWidth="1"/>
    <x:col min="7" max="7" width="44" hidden="0" customWidth="1"/>
    <x:col min="8" max="8" width="44" hidden="0" customWidth="1"/>
    <x:col min="9" max="9" width="44" hidden="0" customWidth="1"/>
    <x:col min="10" max="10" width="44" hidden="0" customWidth="1"/>
  </x:cols>
  <x:sheetData>
    <x:row r="1" ht="33" customHeight="1">
      <x:c r="A1" s="96" t="str">
        <x:v>02 | 类型/接口/对象关系与唯一Owner</x:v>
      </x:c>
      <x:c r="B1" s="96"/>
      <x:c r="C1" s="96"/>
      <x:c r="D1" s="96"/>
      <x:c r="E1" s="96"/>
      <x:c r="F1" s="96"/>
      <x:c r="G1" s="96"/>
      <x:c r="H1" s="96"/>
      <x:c r="I1" s="96"/>
      <x:c r="J1" s="96"/>
      <x:c r="K1" s="11"/>
      <x:c r="L1" s="11"/>
      <x:c r="M1" s="11"/>
    </x:row>
    <x:row r="2">
      <x:c r="A2" s="105" t="str">
        <x:v>对象Owner唯一；源码声明、设计草案、前缀建议分开。R3-A类型字典61项为API闭合候选，不代表批准新增。Logic与Diagram不同Owner，不能建立第二持久Graph树。</x:v>
      </x:c>
      <x:c r="B2" s="105"/>
      <x:c r="C2" s="105"/>
      <x:c r="D2" s="105"/>
      <x:c r="E2" s="105"/>
      <x:c r="F2" s="105"/>
      <x:c r="G2" s="105"/>
      <x:c r="H2" s="105"/>
      <x:c r="I2" s="105"/>
      <x:c r="J2" s="105"/>
    </x:row>
    <x:row r="3">
      <x:c r="A3" s="105" t="str">
        <x:v>原V4.9 553候选  |  R3-A DTO/Interface 61条  |  R2关键类型43条  |  V4.9关系24条  |  R2类型闭合45条</x:v>
      </x:c>
      <x:c r="B3" s="105"/>
      <x:c r="C3" s="105"/>
      <x:c r="D3" s="105"/>
      <x:c r="E3" s="105"/>
      <x:c r="F3" s="105"/>
      <x:c r="G3" s="105"/>
      <x:c r="H3" s="105"/>
      <x:c r="I3" s="105"/>
      <x:c r="J3" s="105"/>
    </x:row>
    <x:row r="4">
      <x:c r="A4" s="82"/>
      <x:c r="B4" s="82"/>
      <x:c r="C4" s="82"/>
      <x:c r="D4" s="82"/>
      <x:c r="E4" s="82"/>
      <x:c r="F4" s="82"/>
      <x:c r="G4" s="82"/>
      <x:c r="H4" s="82"/>
      <x:c r="I4" s="82"/>
      <x:c r="J4" s="82"/>
    </x:row>
    <x:row r="5" ht="27" customHeight="1">
      <x:c r="A5" s="108" t="str">
        <x:v>A. 重要对象关系与典型反例（本轮交叉裁决）</x:v>
      </x:c>
      <x:c r="B5" s="108"/>
      <x:c r="C5" s="108"/>
      <x:c r="D5" s="108"/>
      <x:c r="E5" s="108"/>
      <x:c r="F5" s="108"/>
      <x:c r="G5" s="108"/>
      <x:c r="H5" s="108"/>
      <x:c r="I5" s="108"/>
      <x:c r="J5" s="108"/>
    </x:row>
    <x:row r="6" ht="36" customHeight="1">
      <x:c r="A6" s="113" t="str">
        <x:v>关系主题</x:v>
      </x:c>
      <x:c r="B6" s="113" t="str">
        <x:v>参与对象</x:v>
      </x:c>
      <x:c r="C6" s="113" t="str">
        <x:v>归属与方向</x:v>
      </x:c>
      <x:c r="D6" s="113" t="str">
        <x:v>必须成立的关系</x:v>
      </x:c>
      <x:c r="E6" s="113" t="str">
        <x:v>禁止/反例</x:v>
      </x:c>
      <x:c r="F6" s="113" t="str">
        <x:v>对应子方面</x:v>
      </x:c>
      <x:c r="G6" s="113"/>
      <x:c r="H6" s="113"/>
      <x:c r="I6" s="113"/>
      <x:c r="J6" s="113"/>
    </x:row>
    <x:row r="7">
      <x:c r="A7" s="82" t="str">
        <x:v>统一工程对象</x:v>
      </x:c>
      <x:c r="B7" s="82" t="str">
        <x:v>CxNode → Project/Page/Content/Symbol/Group/Element</x:v>
      </x:c>
      <x:c r="C7" s="82" t="str">
        <x:v>Core/M01/M02</x:v>
      </x:c>
      <x:c r="D7" s="82" t="str">
        <x:v>唯一Owner树；强类型Children投影，Ref绝不改变Parent</x:v>
      </x:c>
      <x:c r="E7" s="82" t="str">
        <x:v>两棵工程树/多父节点不允许</x:v>
      </x:c>
      <x:c r="F7" s="82" t="str">
        <x:v>M01、M02、M03</x:v>
      </x:c>
      <x:c r="G7" s="82"/>
      <x:c r="H7" s="82"/>
      <x:c r="I7" s="82"/>
      <x:c r="J7" s="82"/>
    </x:row>
    <x:row r="8">
      <x:c r="A8" s="82" t="str">
        <x:v>Group继承</x:v>
      </x:c>
      <x:c r="B8" s="82" t="str">
        <x:v>GroupElementModel : ElementModel</x:v>
      </x:c>
      <x:c r="C8" s="82" t="str">
        <x:v>Core/M02</x:v>
      </x:c>
      <x:c r="D8" s="82" t="str">
        <x:v>Group能包含Group/Element；自身也是Element；必须防循环</x:v>
      </x:c>
      <x:c r="E8" s="82" t="str">
        <x:v>不能用WPF Group容器代替</x:v>
      </x:c>
      <x:c r="F8" s="82" t="str">
        <x:v>M02</x:v>
      </x:c>
      <x:c r="G8" s="82"/>
      <x:c r="H8" s="82"/>
      <x:c r="I8" s="82"/>
      <x:c r="J8" s="82"/>
    </x:row>
    <x:row r="9">
      <x:c r="A9" s="82" t="str">
        <x:v>Symbol定义</x:v>
      </x:c>
      <x:c r="B9" s="82" t="str">
        <x:v>SymbolDefinition → RootGroup</x:v>
      </x:c>
      <x:c r="C9" s="82" t="str">
        <x:v>Core/M02</x:v>
      </x:c>
      <x:c r="D9" s="82" t="str">
        <x:v>单RootGroup的定义，实例通过SymbolReference形成投影</x:v>
      </x:c>
      <x:c r="E9" s="82" t="str">
        <x:v>改变某个实例不污染其他实例</x:v>
      </x:c>
      <x:c r="F9" s="82" t="str">
        <x:v>M02</x:v>
      </x:c>
      <x:c r="G9" s="82"/>
      <x:c r="H9" s="82"/>
      <x:c r="I9" s="82"/>
      <x:c r="J9" s="82"/>
    </x:row>
    <x:row r="10">
      <x:c r="A10" s="82" t="str">
        <x:v>Content组合</x:v>
      </x:c>
      <x:c r="B10" s="82" t="str">
        <x:v>ContentDefinition → OwnedContent/Ref/VisualAspect/LogicAspect</x:v>
      </x:c>
      <x:c r="C10" s="82" t="str">
        <x:v>Core/M02</x:v>
      </x:c>
      <x:c r="D10" s="82" t="str">
        <x:v>定义/拥有/引用分离；VisualChildren旧数据迁移需验收</x:v>
      </x:c>
      <x:c r="E10" s="82" t="str">
        <x:v>不得Content=Group；不得再存Graph树</x:v>
      </x:c>
      <x:c r="F10" s="82" t="str">
        <x:v>M01～M03</x:v>
      </x:c>
      <x:c r="G10" s="82"/>
      <x:c r="H10" s="82"/>
      <x:c r="I10" s="82"/>
      <x:c r="J10" s="82"/>
    </x:row>
    <x:row r="11">
      <x:c r="A11" s="82" t="str">
        <x:v>引用模型</x:v>
      </x:c>
      <x:c r="B11" s="82" t="str">
        <x:v>ContentReference / SymbolReference</x:v>
      </x:c>
      <x:c r="C11" s="82" t="str">
        <x:v>Core/M03</x:v>
      </x:c>
      <x:c r="D11" s="82" t="str">
        <x:v>稳定ID解析与实例作用域；丢失引用保留诊断</x:v>
      </x:c>
      <x:c r="E11" s="82" t="str">
        <x:v>不复制源定义/不偷偷换ID</x:v>
      </x:c>
      <x:c r="F11" s="82" t="str">
        <x:v>M03</x:v>
      </x:c>
      <x:c r="G11" s="82"/>
      <x:c r="H11" s="82"/>
      <x:c r="I11" s="82"/>
      <x:c r="J11" s="82"/>
    </x:row>
    <x:row r="12">
      <x:c r="A12" s="82" t="str">
        <x:v>属性描述</x:v>
      </x:c>
      <x:c r="B12" s="82" t="str">
        <x:v>PropertyDescriptor / TypeDescriptor</x:v>
      </x:c>
      <x:c r="C12" s="82" t="str">
        <x:v>Core/M04</x:v>
      </x:c>
      <x:c r="D12" s="82" t="str">
        <x:v>Schema、只读访问、合法写入Core M07</x:v>
      </x:c>
      <x:c r="E12" s="82" t="str">
        <x:v>不让WPF决定属性约束</x:v>
      </x:c>
      <x:c r="F12" s="82" t="str">
        <x:v>M04</x:v>
      </x:c>
      <x:c r="G12" s="82"/>
      <x:c r="H12" s="82"/>
      <x:c r="I12" s="82"/>
      <x:c r="J12" s="82"/>
    </x:row>
    <x:row r="13">
      <x:c r="A13" s="82" t="str">
        <x:v>端口连接</x:v>
      </x:c>
      <x:c r="B13" s="82" t="str">
        <x:v>CxPortDefinition / CxPortEndpoint</x:v>
      </x:c>
      <x:c r="C13" s="82" t="str">
        <x:v>Core/M05</x:v>
      </x:c>
      <x:c r="D13" s="82" t="str">
        <x:v>端点为值对象；通用类型契约；专业语义由Orchestration复验</x:v>
      </x:c>
      <x:c r="E13" s="82" t="str">
        <x:v>CxPortEndpoint绝不是enum</x:v>
      </x:c>
      <x:c r="F13" s="82" t="str">
        <x:v>M05/M19</x:v>
      </x:c>
      <x:c r="G13" s="82"/>
      <x:c r="H13" s="82"/>
      <x:c r="I13" s="82"/>
      <x:c r="J13" s="82"/>
    </x:row>
    <x:row r="14">
      <x:c r="A14" s="82" t="str">
        <x:v>数据变更</x:v>
      </x:c>
      <x:c r="B14" s="82" t="str">
        <x:v>IProjectMutation.TryApply(CxMutationBatch...)</x:v>
      </x:c>
      <x:c r="C14" s="82" t="str">
        <x:v>Core/M07</x:v>
      </x:c>
      <x:c r="D14" s="82" t="str">
        <x:v>单一权威提交、expectedRevision、AllOrNothing、Receipt</x:v>
      </x:c>
      <x:c r="E14" s="82" t="str">
        <x:v>不可让Visual或WPF绕过事务</x:v>
      </x:c>
      <x:c r="F14" s="82" t="str">
        <x:v>M07</x:v>
      </x:c>
      <x:c r="G14" s="82"/>
      <x:c r="H14" s="82"/>
      <x:c r="I14" s="82"/>
      <x:c r="J14" s="82"/>
    </x:row>
    <x:row r="15">
      <x:c r="A15" s="82" t="str">
        <x:v>可视事务</x:v>
      </x:c>
      <x:c r="B15" s="82" t="str">
        <x:v>ICxVisualEditCommand / CxVisualUndoHistory</x:v>
      </x:c>
      <x:c r="C15" s="82" t="str">
        <x:v>Visual/M37</x:v>
      </x:c>
      <x:c r="D15" s="82" t="str">
        <x:v>一个拖动=一条历史；Undo生成合法反向事务提交Core</x:v>
      </x:c>
      <x:c r="E15" s="82" t="str">
        <x:v>Core不理解拖动/Handle</x:v>
      </x:c>
      <x:c r="F15" s="82" t="str">
        <x:v>M37/M07</x:v>
      </x:c>
      <x:c r="G15" s="82"/>
      <x:c r="H15" s="82"/>
      <x:c r="I15" s="82"/>
      <x:c r="J15" s="82"/>
    </x:row>
    <x:row r="16">
      <x:c r="A16" s="82" t="str">
        <x:v>视图状态</x:v>
      </x:c>
      <x:c r="B16" s="82" t="str">
        <x:v>CxVisualSession + CxViewportState</x:v>
      </x:c>
      <x:c r="C16" s="82" t="str">
        <x:v>Visual/M16</x:v>
      </x:c>
      <x:c r="D16" s="82" t="str">
        <x:v>每View独立缩放、选择、悬停与拖动预览</x:v>
      </x:c>
      <x:c r="E16" s="82" t="str">
        <x:v>WPF不维护第二权威选择</x:v>
      </x:c>
      <x:c r="F16" s="82" t="str">
        <x:v>M16/M37</x:v>
      </x:c>
      <x:c r="G16" s="82"/>
      <x:c r="H16" s="82"/>
      <x:c r="I16" s="82"/>
      <x:c r="J16" s="82"/>
    </x:row>
    <x:row r="17">
      <x:c r="A17" s="82" t="str">
        <x:v>绘制描述</x:v>
      </x:c>
      <x:c r="B17" s="82" t="str">
        <x:v>CxVisualFrame/CxDrawPrimitive</x:v>
      </x:c>
      <x:c r="C17" s="82" t="str">
        <x:v>Visual/M16/M17</x:v>
      </x:c>
      <x:c r="D17" s="82" t="str">
        <x:v>UI无关图形快照；WPF仅消费结果绘制</x:v>
      </x:c>
      <x:c r="E17" s="82" t="str">
        <x:v>DrawPrimitive不能包含WPF Brush</x:v>
      </x:c>
      <x:c r="F17" s="82" t="str">
        <x:v>M16/M17</x:v>
      </x:c>
      <x:c r="G17" s="82"/>
      <x:c r="H17" s="82"/>
      <x:c r="I17" s="82"/>
      <x:c r="J17" s="82"/>
    </x:row>
    <x:row r="18">
      <x:c r="A18" s="82" t="str">
        <x:v>WPF适配</x:v>
      </x:c>
      <x:c r="B18" s="82" t="str">
        <x:v>SceneView / DrawingTarget / WpfInputBridge</x:v>
      </x:c>
      <x:c r="C18" s="82" t="str">
        <x:v>Presentation.Wpf</x:v>
      </x:c>
      <x:c r="D18" s="82" t="str">
        <x:v>只处理WPF绘制及输入转换，不拥有工程节点</x:v>
      </x:c>
      <x:c r="E18" s="82" t="str">
        <x:v>禁止引用Foundation.Volume</x:v>
      </x:c>
      <x:c r="F18" s="82" t="str">
        <x:v>Presentation.Wpf</x:v>
      </x:c>
      <x:c r="G18" s="82"/>
      <x:c r="H18" s="82"/>
      <x:c r="I18" s="82"/>
      <x:c r="J18" s="82"/>
    </x:row>
    <x:row r="19">
      <x:c r="A19" s="82" t="str">
        <x:v>编排逻辑</x:v>
      </x:c>
      <x:c r="B19" s="82" t="str">
        <x:v>LogicUnit + LogicLink + LogicDefinition</x:v>
      </x:c>
      <x:c r="C19" s="82" t="str">
        <x:v>Orchestration/M18-M24; Core承载定义</x:v>
      </x:c>
      <x:c r="D19" s="82" t="str">
        <x:v>控制/数据/运行语义保持唯一真源</x:v>
      </x:c>
      <x:c r="E19" s="82" t="str">
        <x:v>Diagram位置不能作为逻辑执行条件</x:v>
      </x:c>
      <x:c r="F19" s="82" t="str">
        <x:v>M18-M24</x:v>
      </x:c>
      <x:c r="G19" s="82"/>
      <x:c r="H19" s="82"/>
      <x:c r="I19" s="82"/>
      <x:c r="J19" s="82"/>
    </x:row>
    <x:row r="20">
      <x:c r="A20" s="82" t="str">
        <x:v>多视图布局</x:v>
      </x:c>
      <x:c r="B20" s="82" t="str">
        <x:v>LogicDefinitionId → 多DiagramLayout</x:v>
      </x:c>
      <x:c r="C20" s="82" t="str">
        <x:v>Core关联资源 + Visual投影</x:v>
      </x:c>
      <x:c r="D20" s="82" t="str">
        <x:v>一逻辑多布局，稳定UnitId映射</x:v>
      </x:c>
      <x:c r="E20" s="82" t="str">
        <x:v>不得第二套持久化Graph数据</x:v>
      </x:c>
      <x:c r="F20" s="82" t="str">
        <x:v>M17/M18</x:v>
      </x:c>
      <x:c r="G20" s="82"/>
      <x:c r="H20" s="82"/>
      <x:c r="I20" s="82"/>
      <x:c r="J20" s="82"/>
    </x:row>
    <x:row r="21">
      <x:c r="A21" s="82" t="str">
        <x:v>运行态展示</x:v>
      </x:c>
      <x:c r="B21" s="82" t="str">
        <x:v>RuntimeStatusSnapshot → Studio桥接 → VisualFrame → WPF</x:v>
      </x:c>
      <x:c r="C21" s="82" t="str">
        <x:v>Runtime/Studio/Visual/WPF</x:v>
      </x:c>
      <x:c r="D21" s="82" t="str">
        <x:v>只读状态可视，不反向修改运行工程</x:v>
      </x:c>
      <x:c r="E21" s="82" t="str">
        <x:v>WPF不得直接调度Runtime内核</x:v>
      </x:c>
      <x:c r="F21" s="82" t="str">
        <x:v>M30～M33</x:v>
      </x:c>
      <x:c r="G21" s="82"/>
      <x:c r="H21" s="82"/>
      <x:c r="I21" s="82"/>
      <x:c r="J21" s="82"/>
    </x:row>
    <x:row r="22">
      <x:c r="A22" s="82" t="str">
        <x:v>API类型闭合</x:v>
      </x:c>
      <x:c r="B22" s="82" t="str">
        <x:v>R3A DTO + V7.8已有类型证据</x:v>
      </x:c>
      <x:c r="C22" s="82" t="str">
        <x:v>各自唯一Owner</x:v>
      </x:c>
      <x:c r="D22" s="82" t="str">
        <x:v>每个方法参数/返回值均应在类型字典注册</x:v>
      </x:c>
      <x:c r="E22" s="82" t="str">
        <x:v>无法闭合签名不得标API定案</x:v>
      </x:c>
      <x:c r="F22" s="82" t="str">
        <x:v>全域</x:v>
      </x:c>
      <x:c r="G22" s="82"/>
      <x:c r="H22" s="82"/>
      <x:c r="I22" s="82"/>
      <x:c r="J22" s="82"/>
    </x:row>
    <x:row r="23">
      <x:c r="A23" s="82"/>
      <x:c r="B23" s="82"/>
      <x:c r="C23" s="82"/>
      <x:c r="D23" s="82"/>
      <x:c r="E23" s="82"/>
      <x:c r="F23" s="82"/>
      <x:c r="G23" s="82"/>
      <x:c r="H23" s="82"/>
      <x:c r="I23" s="82"/>
      <x:c r="J23" s="82"/>
    </x:row>
    <x:row r="24">
      <x:c r="A24" s="82"/>
      <x:c r="B24" s="82"/>
      <x:c r="C24" s="82"/>
      <x:c r="D24" s="82"/>
      <x:c r="E24" s="82"/>
      <x:c r="F24" s="82"/>
      <x:c r="G24" s="82"/>
      <x:c r="H24" s="82"/>
      <x:c r="I24" s="82"/>
      <x:c r="J24" s="82"/>
    </x:row>
    <x:row r="25" ht="27" customHeight="1">
      <x:c r="A25" s="108" t="str">
        <x:v>B. V4.9/R1现有对象关系证据（24条）</x:v>
      </x:c>
      <x:c r="B25" s="108"/>
      <x:c r="C25" s="108"/>
      <x:c r="D25" s="108"/>
      <x:c r="E25" s="108"/>
      <x:c r="F25" s="108"/>
      <x:c r="G25" s="108"/>
      <x:c r="H25" s="108"/>
      <x:c r="I25" s="108"/>
      <x:c r="J25" s="108"/>
    </x:row>
    <x:row r="26">
      <x:c r="A26" s="82" t="str">
        <x:v>关系ID</x:v>
      </x:c>
      <x:c r="B26" s="82" t="str">
        <x:v>关系类型</x:v>
      </x:c>
      <x:c r="C26" s="82" t="str">
        <x:v>源对象/模块</x:v>
      </x:c>
      <x:c r="D26" s="82" t="str">
        <x:v>目标对象/模块</x:v>
      </x:c>
      <x:c r="E26" s="82" t="str">
        <x:v>Owner / 依赖方向</x:v>
      </x:c>
      <x:c r="F26" s="82" t="str">
        <x:v>具体规则</x:v>
      </x:c>
      <x:c r="G26" s="82" t="str">
        <x:v>判断性质</x:v>
      </x:c>
      <x:c r="H26" s="82" t="str">
        <x:v>验证案例</x:v>
      </x:c>
      <x:c r="I26" s="82"/>
      <x:c r="J26" s="82"/>
    </x:row>
    <x:row r="27">
      <x:c r="A27" s="82" t="str">
        <x:v>R01</x:v>
      </x:c>
      <x:c r="B27" s="82" t="str">
        <x:v>继承</x:v>
      </x:c>
      <x:c r="C27" s="82" t="str">
        <x:v>GroupElementModel</x:v>
      </x:c>
      <x:c r="D27" s="82" t="str">
        <x:v>ElementModel</x:v>
      </x:c>
      <x:c r="E27" s="82" t="str">
        <x:v>Mechanism.Core</x:v>
      </x:c>
      <x:c r="F27" s="82" t="str">
        <x:v>结构继承；Group≠第二套图元树</x:v>
      </x:c>
      <x:c r="G27" s="82" t="str">
        <x:v>V7.8已有关系</x:v>
      </x:c>
      <x:c r="H27" s="82" t="str">
        <x:v>嵌套Group变换</x:v>
      </x:c>
      <x:c r="I27" s="82"/>
      <x:c r="J27" s="82"/>
    </x:row>
    <x:row r="28">
      <x:c r="A28" s="82" t="str">
        <x:v>R02</x:v>
      </x:c>
      <x:c r="B28" s="82" t="str">
        <x:v>继承</x:v>
      </x:c>
      <x:c r="C28" s="82" t="str">
        <x:v>ContentDefinition</x:v>
      </x:c>
      <x:c r="D28" s="82" t="str">
        <x:v>CxNode</x:v>
      </x:c>
      <x:c r="E28" s="82" t="str">
        <x:v>Mechanism.Core</x:v>
      </x:c>
      <x:c r="F28" s="82" t="str">
        <x:v>Content拥有唯一Node身份</x:v>
      </x:c>
      <x:c r="G28" s="82" t="str">
        <x:v>V7.8已有体系</x:v>
      </x:c>
      <x:c r="H28" s="82" t="str">
        <x:v>保存加载</x:v>
      </x:c>
      <x:c r="I28" s="82"/>
      <x:c r="J28" s="82"/>
    </x:row>
    <x:row r="29">
      <x:c r="A29" s="82" t="str">
        <x:v>R03</x:v>
      </x:c>
      <x:c r="B29" s="82" t="str">
        <x:v>继承</x:v>
      </x:c>
      <x:c r="C29" s="82" t="str">
        <x:v>SymbolDefinition</x:v>
      </x:c>
      <x:c r="D29" s="82" t="str">
        <x:v>CxNode</x:v>
      </x:c>
      <x:c r="E29" s="82" t="str">
        <x:v>Mechanism.Core</x:v>
      </x:c>
      <x:c r="F29" s="82" t="str">
        <x:v>Symbol定义实体同源Node身份</x:v>
      </x:c>
      <x:c r="G29" s="82" t="str">
        <x:v>V7.8已有体系</x:v>
      </x:c>
      <x:c r="H29" s="82" t="str">
        <x:v>定义与实例拆分</x:v>
      </x:c>
      <x:c r="I29" s="82"/>
      <x:c r="J29" s="82"/>
    </x:row>
    <x:row r="30">
      <x:c r="A30" s="82" t="str">
        <x:v>R04</x:v>
      </x:c>
      <x:c r="B30" s="82" t="str">
        <x:v>组合</x:v>
      </x:c>
      <x:c r="C30" s="82" t="str">
        <x:v>ProjectModel</x:v>
      </x:c>
      <x:c r="D30" s="82" t="str">
        <x:v>PageModel / ContentDefinition</x:v>
      </x:c>
      <x:c r="E30" s="82" t="str">
        <x:v>Mechanism.Core</x:v>
      </x:c>
      <x:c r="F30" s="82" t="str">
        <x:v>只通过OwnershipService维护Owner</x:v>
      </x:c>
      <x:c r="G30" s="82" t="str">
        <x:v>已定</x:v>
      </x:c>
      <x:c r="H30" s="82" t="str">
        <x:v>跨Project移动</x:v>
      </x:c>
      <x:c r="I30" s="82"/>
      <x:c r="J30" s="82"/>
    </x:row>
    <x:row r="31">
      <x:c r="A31" s="82" t="str">
        <x:v>R05</x:v>
      </x:c>
      <x:c r="B31" s="82" t="str">
        <x:v>组合</x:v>
      </x:c>
      <x:c r="C31" s="82" t="str">
        <x:v>SymbolDefinition</x:v>
      </x:c>
      <x:c r="D31" s="82" t="str">
        <x:v>GroupElementModel RootGroup</x:v>
      </x:c>
      <x:c r="E31" s="82" t="str">
        <x:v>Mechanism.Core</x:v>
      </x:c>
      <x:c r="F31" s="82" t="str">
        <x:v>一个Symbol对应一个RootGroup</x:v>
      </x:c>
      <x:c r="G31" s="82" t="str">
        <x:v>已定</x:v>
      </x:c>
      <x:c r="H31" s="82" t="str">
        <x:v>删除与重用</x:v>
      </x:c>
      <x:c r="I31" s="82"/>
      <x:c r="J31" s="82"/>
    </x:row>
    <x:row r="32">
      <x:c r="A32" s="82" t="str">
        <x:v>R06</x:v>
      </x:c>
      <x:c r="B32" s="82" t="str">
        <x:v>组合</x:v>
      </x:c>
      <x:c r="C32" s="82" t="str">
        <x:v>GroupElementModel</x:v>
      </x:c>
      <x:c r="D32" s="82" t="str">
        <x:v>ElementModel / GroupElementModel</x:v>
      </x:c>
      <x:c r="E32" s="82" t="str">
        <x:v>Mechanism.Core</x:v>
      </x:c>
      <x:c r="F32" s="82" t="str">
        <x:v>可递归但禁止形成Ownership环</x:v>
      </x:c>
      <x:c r="G32" s="82" t="str">
        <x:v>已定</x:v>
      </x:c>
      <x:c r="H32" s="82" t="str">
        <x:v>循环拒绝</x:v>
      </x:c>
      <x:c r="I32" s="82"/>
      <x:c r="J32" s="82"/>
    </x:row>
    <x:row r="33">
      <x:c r="A33" s="82" t="str">
        <x:v>R07</x:v>
      </x:c>
      <x:c r="B33" s="82" t="str">
        <x:v>引用</x:v>
      </x:c>
      <x:c r="C33" s="82" t="str">
        <x:v>ContentDefinition</x:v>
      </x:c>
      <x:c r="D33" s="82" t="str">
        <x:v>ContentReference</x:v>
      </x:c>
      <x:c r="E33" s="82" t="str">
        <x:v>Mechanism.Core</x:v>
      </x:c>
      <x:c r="F33" s="82" t="str">
        <x:v>Reference不是Owner；解析时带Scope</x:v>
      </x:c>
      <x:c r="G33" s="82" t="str">
        <x:v>已定</x:v>
      </x:c>
      <x:c r="H33" s="82" t="str">
        <x:v>缺失/cycle</x:v>
      </x:c>
      <x:c r="I33" s="82"/>
      <x:c r="J33" s="82"/>
    </x:row>
    <x:row r="34">
      <x:c r="A34" s="82" t="str">
        <x:v>R08</x:v>
      </x:c>
      <x:c r="B34" s="82" t="str">
        <x:v>引用</x:v>
      </x:c>
      <x:c r="C34" s="82" t="str">
        <x:v>ContentDefinition</x:v>
      </x:c>
      <x:c r="D34" s="82" t="str">
        <x:v>SymbolReference</x:v>
      </x:c>
      <x:c r="E34" s="82" t="str">
        <x:v>Mechanism.Core</x:v>
      </x:c>
      <x:c r="F34" s="82" t="str">
        <x:v>定义一份，多个实例引用与独立变换</x:v>
      </x:c>
      <x:c r="G34" s="82" t="str">
        <x:v>已定</x:v>
      </x:c>
      <x:c r="H34" s="82" t="str">
        <x:v>10实例</x:v>
      </x:c>
      <x:c r="I34" s="82"/>
      <x:c r="J34" s="82"/>
    </x:row>
    <x:row r="35">
      <x:c r="A35" s="82" t="str">
        <x:v>R09</x:v>
      </x:c>
      <x:c r="B35" s="82" t="str">
        <x:v>持有（会话）</x:v>
      </x:c>
      <x:c r="C35" s="82" t="str">
        <x:v>VisualSession</x:v>
      </x:c>
      <x:c r="D35" s="82" t="str">
        <x:v>ViewportState</x:v>
      </x:c>
      <x:c r="E35" s="82" t="str">
        <x:v>Mechanism.Visual</x:v>
      </x:c>
      <x:c r="F35" s="82" t="str">
        <x:v>每视图独立，默认不持久化</x:v>
      </x:c>
      <x:c r="G35" s="82" t="str">
        <x:v>建议新对象</x:v>
      </x:c>
      <x:c r="H35" s="82" t="str">
        <x:v>双窗口</x:v>
      </x:c>
      <x:c r="I35" s="82"/>
      <x:c r="J35" s="82"/>
    </x:row>
    <x:row r="36">
      <x:c r="A36" s="82" t="str">
        <x:v>R10</x:v>
      </x:c>
      <x:c r="B36" s="82" t="str">
        <x:v>持有（会话）</x:v>
      </x:c>
      <x:c r="C36" s="82" t="str">
        <x:v>VisualSession</x:v>
      </x:c>
      <x:c r="D36" s="82" t="str">
        <x:v>SelectionState</x:v>
      </x:c>
      <x:c r="E36" s="82" t="str">
        <x:v>Mechanism.Visual</x:v>
      </x:c>
      <x:c r="F36" s="82" t="str">
        <x:v>不进入CxNode工程树</x:v>
      </x:c>
      <x:c r="G36" s="82" t="str">
        <x:v>建议新对象</x:v>
      </x:c>
      <x:c r="H36" s="82" t="str">
        <x:v>双窗口选中不同</x:v>
      </x:c>
      <x:c r="I36" s="82"/>
      <x:c r="J36" s="82"/>
    </x:row>
    <x:row r="37">
      <x:c r="A37" s="82" t="str">
        <x:v>R11</x:v>
      </x:c>
      <x:c r="B37" s="82" t="str">
        <x:v>调用</x:v>
      </x:c>
      <x:c r="C37" s="82" t="str">
        <x:v>Visual编辑工具</x:v>
      </x:c>
      <x:c r="D37" s="82" t="str">
        <x:v>OwnershipService / IDataMutationSession</x:v>
      </x:c>
      <x:c r="E37" s="82" t="str">
        <x:v>Visual→Core</x:v>
      </x:c>
      <x:c r="F37" s="82" t="str">
        <x:v>Visual语义、Core事务；不循环</x:v>
      </x:c>
      <x:c r="G37" s="82" t="str">
        <x:v>已定</x:v>
      </x:c>
      <x:c r="H37" s="82" t="str">
        <x:v>Undo/Redo复合</x:v>
      </x:c>
      <x:c r="I37" s="82"/>
      <x:c r="J37" s="82"/>
    </x:row>
    <x:row r="38">
      <x:c r="A38" s="82" t="str">
        <x:v>R12</x:v>
      </x:c>
      <x:c r="B38" s="82" t="str">
        <x:v>投影</x:v>
      </x:c>
      <x:c r="C38" s="82" t="str">
        <x:v>VisualProjectionService</x:v>
      </x:c>
      <x:c r="D38" s="82" t="str">
        <x:v>ContentDefinition</x:v>
      </x:c>
      <x:c r="E38" s="82" t="str">
        <x:v>Visual→Core</x:v>
      </x:c>
      <x:c r="F38" s="82" t="str">
        <x:v>Frame中存ID/绘图描述，不存另一个ElementModel克隆</x:v>
      </x:c>
      <x:c r="G38" s="82" t="str">
        <x:v>已定</x:v>
      </x:c>
      <x:c r="H38" s="82" t="str">
        <x:v>无UI渲染数据</x:v>
      </x:c>
      <x:c r="I38" s="82"/>
      <x:c r="J38" s="82"/>
    </x:row>
    <x:row r="39">
      <x:c r="A39" s="82" t="str">
        <x:v>R13</x:v>
      </x:c>
      <x:c r="B39" s="82" t="str">
        <x:v>调用</x:v>
      </x:c>
      <x:c r="C39" s="82" t="str">
        <x:v>WpfSceneView</x:v>
      </x:c>
      <x:c r="D39" s="82" t="str">
        <x:v>VisualFrame</x:v>
      </x:c>
      <x:c r="E39" s="82" t="str">
        <x:v>WPF→Visual</x:v>
      </x:c>
      <x:c r="F39" s="82" t="str">
        <x:v>WPF不管理独立Selection权威值</x:v>
      </x:c>
      <x:c r="G39" s="82" t="str">
        <x:v>已定</x:v>
      </x:c>
      <x:c r="H39" s="82" t="str">
        <x:v>DPI显示</x:v>
      </x:c>
      <x:c r="I39" s="82"/>
      <x:c r="J39" s="82"/>
    </x:row>
    <x:row r="40">
      <x:c r="A40" s="82" t="str">
        <x:v>R14</x:v>
      </x:c>
      <x:c r="B40" s="82" t="str">
        <x:v>调用</x:v>
      </x:c>
      <x:c r="C40" s="82" t="str">
        <x:v>WpfInputAdapter</x:v>
      </x:c>
      <x:c r="D40" s="82" t="str">
        <x:v>VisualEditIntent</x:v>
      </x:c>
      <x:c r="E40" s="82" t="str">
        <x:v>WPF→Visual</x:v>
      </x:c>
      <x:c r="F40" s="82" t="str">
        <x:v>标准化坐标与输入，不提交业务数据</x:v>
      </x:c>
      <x:c r="G40" s="82" t="str">
        <x:v>已定</x:v>
      </x:c>
      <x:c r="H40" s="82" t="str">
        <x:v>拖动</x:v>
      </x:c>
      <x:c r="I40" s="82"/>
      <x:c r="J40" s="82"/>
    </x:row>
    <x:row r="41">
      <x:c r="A41" s="82" t="str">
        <x:v>R15</x:v>
      </x:c>
      <x:c r="B41" s="82" t="str">
        <x:v>引用</x:v>
      </x:c>
      <x:c r="C41" s="82" t="str">
        <x:v>DiagramLayout</x:v>
      </x:c>
      <x:c r="D41" s="82" t="str">
        <x:v>LogicUnitId</x:v>
      </x:c>
      <x:c r="E41" s="82" t="str">
        <x:v>Core数据 / Visual解析</x:v>
      </x:c>
      <x:c r="F41" s="82" t="str">
        <x:v>布局可多份，稳定ID关联唯一逻辑</x:v>
      </x:c>
      <x:c r="G41" s="82" t="str">
        <x:v>需DTO定案</x:v>
      </x:c>
      <x:c r="H41" s="82" t="str">
        <x:v>主流程+监控布局</x:v>
      </x:c>
      <x:c r="I41" s="82"/>
      <x:c r="J41" s="82"/>
    </x:row>
    <x:row r="42">
      <x:c r="A42" s="82" t="str">
        <x:v>R16</x:v>
      </x:c>
      <x:c r="B42" s="82" t="str">
        <x:v>逻辑关系</x:v>
      </x:c>
      <x:c r="C42" s="82" t="str">
        <x:v>FlowDefinition</x:v>
      </x:c>
      <x:c r="D42" s="82" t="str">
        <x:v>LogicUnit / LogicLink</x:v>
      </x:c>
      <x:c r="E42" s="82" t="str">
        <x:v>Orchestration语义</x:v>
      </x:c>
      <x:c r="F42" s="82" t="str">
        <x:v>真实LogicLink不是WPF连线</x:v>
      </x:c>
      <x:c r="G42" s="82" t="str">
        <x:v>已定</x:v>
      </x:c>
      <x:c r="H42" s="82" t="str">
        <x:v>连接验证</x:v>
      </x:c>
      <x:c r="I42" s="82"/>
      <x:c r="J42" s="82"/>
    </x:row>
    <x:row r="43">
      <x:c r="A43" s="82" t="str">
        <x:v>R17</x:v>
      </x:c>
      <x:c r="B43" s="82" t="str">
        <x:v>投影适配</x:v>
      </x:c>
      <x:c r="C43" s="82" t="str">
        <x:v>FlowDefinitionSnapshot</x:v>
      </x:c>
      <x:c r="D43" s="82" t="str">
        <x:v>DiagramFrame</x:v>
      </x:c>
      <x:c r="E43" s="82" t="str">
        <x:v>Studio组合层</x:v>
      </x:c>
      <x:c r="F43" s="82" t="str">
        <x:v>Visual不要直接依赖Orchestration、反过来也不依赖</x:v>
      </x:c>
      <x:c r="G43" s="82" t="str">
        <x:v>建议</x:v>
      </x:c>
      <x:c r="H43" s="82" t="str">
        <x:v>子流程可视</x:v>
      </x:c>
      <x:c r="I43" s="82"/>
      <x:c r="J43" s="82"/>
    </x:row>
    <x:row r="44">
      <x:c r="A44" s="82" t="str">
        <x:v>R18</x:v>
      </x:c>
      <x:c r="B44" s="82" t="str">
        <x:v>聚合事务</x:v>
      </x:c>
      <x:c r="C44" s="82" t="str">
        <x:v>CompositeVisualCommand</x:v>
      </x:c>
      <x:c r="D44" s="82" t="str">
        <x:v>ChangeSet</x:v>
      </x:c>
      <x:c r="E44" s="82" t="str">
        <x:v>Visual→Core</x:v>
      </x:c>
      <x:c r="F44" s="82" t="str">
        <x:v>一次综合编辑=一次可撤销语义</x:v>
      </x:c>
      <x:c r="G44" s="82" t="str">
        <x:v>已定</x:v>
      </x:c>
      <x:c r="H44" s="82" t="str">
        <x:v>Align+Group+Binding</x:v>
      </x:c>
      <x:c r="I44" s="82"/>
      <x:c r="J44" s="82"/>
    </x:row>
    <x:row r="45">
      <x:c r="A45" s="82" t="str">
        <x:v>R19</x:v>
      </x:c>
      <x:c r="B45" s="82" t="str">
        <x:v>引用</x:v>
      </x:c>
      <x:c r="C45" s="82" t="str">
        <x:v>CxDataHandle</x:v>
      </x:c>
      <x:c r="D45" s="82" t="str">
        <x:v>DataLease</x:v>
      </x:c>
      <x:c r="E45" s="82" t="str">
        <x:v>Mechanism.Data</x:v>
      </x:c>
      <x:c r="F45" s="82" t="str">
        <x:v>拥有者/租约明确，避免图像/体数据跨流泄漏</x:v>
      </x:c>
      <x:c r="G45" s="82" t="str">
        <x:v>需定案</x:v>
      </x:c>
      <x:c r="H45" s="82" t="str">
        <x:v>10GB数据</x:v>
      </x:c>
      <x:c r="I45" s="82"/>
      <x:c r="J45" s="82"/>
    </x:row>
    <x:row r="46">
      <x:c r="A46" s="82" t="str">
        <x:v>R20</x:v>
      </x:c>
      <x:c r="B46" s="82" t="str">
        <x:v>执行</x:v>
      </x:c>
      <x:c r="C46" s="82" t="str">
        <x:v>IExecutionPlanCompiler</x:v>
      </x:c>
      <x:c r="D46" s="82" t="str">
        <x:v>FlowDefinitionSnapshot</x:v>
      </x:c>
      <x:c r="E46" s="82" t="str">
        <x:v>Runtime→Orchestration</x:v>
      </x:c>
      <x:c r="F46" s="82" t="str">
        <x:v>编译与执行不可生成第二套可持久Graph</x:v>
      </x:c>
      <x:c r="G46" s="82" t="str">
        <x:v>建议</x:v>
      </x:c>
      <x:c r="H46" s="82" t="str">
        <x:v>后台运行</x:v>
      </x:c>
      <x:c r="I46" s="82"/>
      <x:c r="J46" s="82"/>
    </x:row>
    <x:row r="47">
      <x:c r="A47" s="82" t="str">
        <x:v>R21</x:v>
      </x:c>
      <x:c r="B47" s="82" t="str">
        <x:v>引用禁令</x:v>
      </x:c>
      <x:c r="C47" s="82" t="str">
        <x:v>Mechanism.Visual</x:v>
      </x:c>
      <x:c r="D47" s="82" t="str">
        <x:v>Presentation.Wpf</x:v>
      </x:c>
      <x:c r="E47" s="82" t="str">
        <x:v>禁止</x:v>
      </x:c>
      <x:c r="F47" s="82" t="str">
        <x:v>Visual严禁直接引用WPF/WinForms/WebView/OpenGL</x:v>
      </x:c>
      <x:c r="G47" s="82" t="str">
        <x:v>已定</x:v>
      </x:c>
      <x:c r="H47" s="82" t="str">
        <x:v>依赖扫描</x:v>
      </x:c>
      <x:c r="I47" s="82"/>
      <x:c r="J47" s="82"/>
    </x:row>
    <x:row r="48">
      <x:c r="A48" s="82" t="str">
        <x:v>R22</x:v>
      </x:c>
      <x:c r="B48" s="82" t="str">
        <x:v>引用禁令</x:v>
      </x:c>
      <x:c r="C48" s="82" t="str">
        <x:v>Presentation.Wpf</x:v>
      </x:c>
      <x:c r="D48" s="82" t="str">
        <x:v>Foundation.Volume</x:v>
      </x:c>
      <x:c r="E48" s="82" t="str">
        <x:v>禁止</x:v>
      </x:c>
      <x:c r="F48" s="82" t="str">
        <x:v>通用2D不加载3D体绘</x:v>
      </x:c>
      <x:c r="G48" s="82" t="str">
        <x:v>已定</x:v>
      </x:c>
      <x:c r="H48" s="82" t="str">
        <x:v>无体绘环境启动</x:v>
      </x:c>
      <x:c r="I48" s="82"/>
      <x:c r="J48" s="82"/>
    </x:row>
    <x:row r="49">
      <x:c r="A49" s="82" t="str">
        <x:v>R23</x:v>
      </x:c>
      <x:c r="B49" s="82" t="str">
        <x:v>调用</x:v>
      </x:c>
      <x:c r="C49" s="82" t="str">
        <x:v>ITemplateInstantiationService</x:v>
      </x:c>
      <x:c r="D49" s="82" t="str">
        <x:v>OwnershipService</x:v>
      </x:c>
      <x:c r="E49" s="82" t="str">
        <x:v>Core内部</x:v>
      </x:c>
      <x:c r="F49" s="82" t="str">
        <x:v>模板实例化可逆、可回滚；具体SVG导入交给适配</x:v>
      </x:c>
      <x:c r="G49" s="82" t="str">
        <x:v>拟定</x:v>
      </x:c>
      <x:c r="H49" s="82" t="str">
        <x:v>导入失败回滚</x:v>
      </x:c>
      <x:c r="I49" s="82"/>
      <x:c r="J49" s="82"/>
    </x:row>
    <x:row r="50">
      <x:c r="A50" s="82" t="str">
        <x:v>R24</x:v>
      </x:c>
      <x:c r="B50" s="82" t="str">
        <x:v>扩展</x:v>
      </x:c>
      <x:c r="C50" s="82" t="str">
        <x:v>Professional Provider</x:v>
      </x:c>
      <x:c r="D50" s="82" t="str">
        <x:v>Mechanism Contracts</x:v>
      </x:c>
      <x:c r="E50" s="82" t="str">
        <x:v>Professional→Mechanism</x:v>
      </x:c>
      <x:c r="F50" s="82" t="str">
        <x:v>专业算法由专业持有，机制只持有能力契约</x:v>
      </x:c>
      <x:c r="G50" s="82" t="str">
        <x:v>已定</x:v>
      </x:c>
      <x:c r="H50" s="82" t="str">
        <x:v>CT/Vision/PLC</x:v>
      </x:c>
      <x:c r="I50" s="82"/>
      <x:c r="J50" s="82"/>
    </x:row>
    <x:row r="51">
      <x:c r="A51" s="82"/>
      <x:c r="B51" s="82"/>
      <x:c r="C51" s="82"/>
      <x:c r="D51" s="82"/>
      <x:c r="E51" s="82"/>
      <x:c r="F51" s="82"/>
      <x:c r="G51" s="82"/>
      <x:c r="H51" s="82"/>
      <x:c r="I51" s="82"/>
      <x:c r="J51" s="82"/>
    </x:row>
    <x:row r="52">
      <x:c r="A52" s="82"/>
      <x:c r="B52" s="82"/>
      <x:c r="C52" s="82"/>
      <x:c r="D52" s="82"/>
      <x:c r="E52" s="82"/>
      <x:c r="F52" s="82"/>
      <x:c r="G52" s="82"/>
      <x:c r="H52" s="82"/>
      <x:c r="I52" s="82"/>
      <x:c r="J52" s="82"/>
    </x:row>
    <x:row r="53" ht="27" customHeight="1">
      <x:c r="A53" s="108" t="str">
        <x:v>C. R3-A新增接口/DTO/枚举类型字典（61条，未批准生成）</x:v>
      </x:c>
      <x:c r="B53" s="108"/>
      <x:c r="C53" s="108"/>
      <x:c r="D53" s="108"/>
      <x:c r="E53" s="108"/>
      <x:c r="F53" s="108"/>
      <x:c r="G53" s="108"/>
      <x:c r="H53" s="108"/>
      <x:c r="I53" s="108"/>
      <x:c r="J53" s="108"/>
    </x:row>
    <x:row r="54">
      <x:c r="A54" s="82" t="str">
        <x:v>类型名</x:v>
      </x:c>
      <x:c r="B54" s="82" t="str">
        <x:v>建议C#形态</x:v>
      </x:c>
      <x:c r="C54" s="82" t="str">
        <x:v>Owner子方面</x:v>
      </x:c>
      <x:c r="D54" s="82" t="str">
        <x:v>最小字段或API</x:v>
      </x:c>
      <x:c r="E54" s="82" t="str">
        <x:v>证据与备注</x:v>
      </x:c>
      <x:c r="F54" s="82" t="str">
        <x:v>实现状态</x:v>
      </x:c>
      <x:c r="G54" s="82"/>
      <x:c r="H54" s="82"/>
      <x:c r="I54" s="82"/>
      <x:c r="J54" s="82"/>
    </x:row>
    <x:row r="55">
      <x:c r="A55" s="82" t="str">
        <x:v>CxNodeType</x:v>
      </x:c>
      <x:c r="B55" s="82" t="str">
        <x:v>enum</x:v>
      </x:c>
      <x:c r="C55" s="82" t="str">
        <x:v>M01</x:v>
      </x:c>
      <x:c r="D55" s="82" t="str">
        <x:v>Project,Page,Content,Symbol,Group,Element</x:v>
      </x:c>
      <x:c r="E55" s="82" t="str">
        <x:v>闭合：原V7.8已有枚举，但内容需迁移核对</x:v>
      </x:c>
      <x:c r="F55" s="82" t="str">
        <x:v>拟建/待复核</x:v>
      </x:c>
      <x:c r="G55" s="82"/>
      <x:c r="H55" s="82"/>
      <x:c r="I55" s="82"/>
      <x:c r="J55" s="82"/>
    </x:row>
    <x:row r="56">
      <x:c r="A56" s="82" t="str">
        <x:v>IProjectMutation</x:v>
      </x:c>
      <x:c r="B56" s="82" t="str">
        <x:v>interface</x:v>
      </x:c>
      <x:c r="C56" s="82" t="str">
        <x:v>M07</x:v>
      </x:c>
      <x:c r="D56" s="82" t="str">
        <x:v>TryApply/TryApplyInverse/TryApplyForward统一提交</x:v>
      </x:c>
      <x:c r="E56" s="82" t="str">
        <x:v>设计：单写事务门面</x:v>
      </x:c>
      <x:c r="F56" s="82" t="str">
        <x:v>拟建/待复核</x:v>
      </x:c>
      <x:c r="G56" s="82"/>
      <x:c r="H56" s="82"/>
      <x:c r="I56" s="82"/>
      <x:c r="J56" s="82"/>
    </x:row>
    <x:row r="57">
      <x:c r="A57" s="82" t="str">
        <x:v>CxMutationBatch</x:v>
      </x:c>
      <x:c r="B57" s="82" t="str">
        <x:v>sealed class</x:v>
      </x:c>
      <x:c r="C57" s="82" t="str">
        <x:v>M07</x:v>
      </x:c>
      <x:c r="D57" s="82" t="str">
        <x:v>Operations,Source,ChangeReason,ExpectedRevision</x:v>
      </x:c>
      <x:c r="E57" s="82" t="str">
        <x:v>设计：无UI命令名称</x:v>
      </x:c>
      <x:c r="F57" s="82" t="str">
        <x:v>拟建/待复核</x:v>
      </x:c>
      <x:c r="G57" s="82"/>
      <x:c r="H57" s="82"/>
      <x:c r="I57" s="82"/>
      <x:c r="J57" s="82"/>
    </x:row>
    <x:row r="58">
      <x:c r="A58" s="82" t="str">
        <x:v>ICxMutationOperation</x:v>
      </x:c>
      <x:c r="B58" s="82" t="str">
        <x:v>interface</x:v>
      </x:c>
      <x:c r="C58" s="82" t="str">
        <x:v>M07</x:v>
      </x:c>
      <x:c r="D58" s="82" t="str">
        <x:v>Kind,TargetId,Validate;变更操作分型</x:v>
      </x:c>
      <x:c r="E58" s="82" t="str">
        <x:v>设计：不得公开任意object数据写入</x:v>
      </x:c>
      <x:c r="F58" s="82" t="str">
        <x:v>拟建/待复核</x:v>
      </x:c>
      <x:c r="G58" s="82"/>
      <x:c r="H58" s="82"/>
      <x:c r="I58" s="82"/>
      <x:c r="J58" s="82"/>
    </x:row>
    <x:row r="59">
      <x:c r="A59" s="82" t="str">
        <x:v>CxMutationKind</x:v>
      </x:c>
      <x:c r="B59" s="82" t="str">
        <x:v>enum</x:v>
      </x:c>
      <x:c r="C59" s="82" t="str">
        <x:v>M07</x:v>
      </x:c>
      <x:c r="D59" s="82" t="str">
        <x:v>Attach/Detach/Reparent/SetProperty/SetLayout/AddReference/RemoveReference</x:v>
      </x:c>
      <x:c r="E59" s="82" t="str">
        <x:v>设计：按结构约束分组</x:v>
      </x:c>
      <x:c r="F59" s="82" t="str">
        <x:v>拟建/待复核</x:v>
      </x:c>
      <x:c r="G59" s="82"/>
      <x:c r="H59" s="82"/>
      <x:c r="I59" s="82"/>
      <x:c r="J59" s="82"/>
    </x:row>
    <x:row r="60">
      <x:c r="A60" s="82" t="str">
        <x:v>CxMutationReceipt</x:v>
      </x:c>
      <x:c r="B60" s="82" t="str">
        <x:v>sealed class</x:v>
      </x:c>
      <x:c r="C60" s="82" t="str">
        <x:v>M07</x:v>
      </x:c>
      <x:c r="D60" s="82" t="str">
        <x:v>OldRevision,NewRevision,ChangeSet,Error,Success</x:v>
      </x:c>
      <x:c r="E60" s="82" t="str">
        <x:v>设计：提交返回事实</x:v>
      </x:c>
      <x:c r="F60" s="82" t="str">
        <x:v>拟建/待复核</x:v>
      </x:c>
      <x:c r="G60" s="82"/>
      <x:c r="H60" s="82"/>
      <x:c r="I60" s="82"/>
      <x:c r="J60" s="82"/>
    </x:row>
    <x:row r="61">
      <x:c r="A61" s="82" t="str">
        <x:v>CxMutationError</x:v>
      </x:c>
      <x:c r="B61" s="82" t="str">
        <x:v>enum</x:v>
      </x:c>
      <x:c r="C61" s="82" t="str">
        <x:v>M07</x:v>
      </x:c>
      <x:c r="D61" s="82" t="str">
        <x:v>None,RevisionConflict,DuplicateId,InvalidOwner,Cycle,MissingRef,PolicyDenied,ValidationFailed</x:v>
      </x:c>
      <x:c r="E61" s="82" t="str">
        <x:v>设计：错误码枚举</x:v>
      </x:c>
      <x:c r="F61" s="82" t="str">
        <x:v>拟建/待复核</x:v>
      </x:c>
      <x:c r="G61" s="82"/>
      <x:c r="H61" s="82"/>
      <x:c r="I61" s="82"/>
      <x:c r="J61" s="82"/>
    </x:row>
    <x:row r="62">
      <x:c r="A62" s="82" t="str">
        <x:v>CxChangeSet</x:v>
      </x:c>
      <x:c r="B62" s="82" t="str">
        <x:v>sealed class</x:v>
      </x:c>
      <x:c r="C62" s="82" t="str">
        <x:v>M07</x:v>
      </x:c>
      <x:c r="D62" s="82" t="str">
        <x:v>Changes,ProjectId,SourceRevision,TargetRevision</x:v>
      </x:c>
      <x:c r="E62" s="82" t="str">
        <x:v>设计：应用数据差异而非编辑意图</x:v>
      </x:c>
      <x:c r="F62" s="82" t="str">
        <x:v>拟建/待复核</x:v>
      </x:c>
      <x:c r="G62" s="82"/>
      <x:c r="H62" s="82"/>
      <x:c r="I62" s="82"/>
      <x:c r="J62" s="82"/>
    </x:row>
    <x:row r="63">
      <x:c r="A63" s="82" t="str">
        <x:v>CxMutationSnapshot</x:v>
      </x:c>
      <x:c r="B63" s="82" t="str">
        <x:v>sealed class</x:v>
      </x:c>
      <x:c r="C63" s="82" t="str">
        <x:v>M07</x:v>
      </x:c>
      <x:c r="D63" s="82" t="str">
        <x:v>Revision,ScopedNodes,ScopedRefs</x:v>
      </x:c>
      <x:c r="E63" s="82" t="str">
        <x:v>设计：避免全工程深拷贝</x:v>
      </x:c>
      <x:c r="F63" s="82" t="str">
        <x:v>拟建/待复核</x:v>
      </x:c>
      <x:c r="G63" s="82"/>
      <x:c r="H63" s="82"/>
      <x:c r="I63" s="82"/>
      <x:c r="J63" s="82"/>
    </x:row>
    <x:row r="64">
      <x:c r="A64" s="82" t="str">
        <x:v>CxMutationContext</x:v>
      </x:c>
      <x:c r="B64" s="82" t="str">
        <x:v>sealed class</x:v>
      </x:c>
      <x:c r="C64" s="82" t="str">
        <x:v>M07</x:v>
      </x:c>
      <x:c r="D64" s="82" t="str">
        <x:v>Project,Revision,Policy,Indexes</x:v>
      </x:c>
      <x:c r="E64" s="82" t="str">
        <x:v>设计：只读校验环境</x:v>
      </x:c>
      <x:c r="F64" s="82" t="str">
        <x:v>拟建/待复核</x:v>
      </x:c>
      <x:c r="G64" s="82"/>
      <x:c r="H64" s="82"/>
      <x:c r="I64" s="82"/>
      <x:c r="J64" s="82"/>
    </x:row>
    <x:row r="65">
      <x:c r="A65" s="82" t="str">
        <x:v>IChangeSetRecorder</x:v>
      </x:c>
      <x:c r="B65" s="82" t="str">
        <x:v>interface</x:v>
      </x:c>
      <x:c r="C65" s="82" t="str">
        <x:v>M07</x:v>
      </x:c>
      <x:c r="D65" s="82" t="str">
        <x:v>BuildChangeSet</x:v>
      </x:c>
      <x:c r="E65" s="82" t="str">
        <x:v>设计：数据差异记录</x:v>
      </x:c>
      <x:c r="F65" s="82" t="str">
        <x:v>拟建/待复核</x:v>
      </x:c>
      <x:c r="G65" s="82"/>
      <x:c r="H65" s="82"/>
      <x:c r="I65" s="82"/>
      <x:c r="J65" s="82"/>
    </x:row>
    <x:row r="66">
      <x:c r="A66" s="82" t="str">
        <x:v>IEditHistorySink</x:v>
      </x:c>
      <x:c r="B66" s="82" t="str">
        <x:v>interface</x:v>
      </x:c>
      <x:c r="C66" s="82" t="str">
        <x:v>M37</x:v>
      </x:c>
      <x:c r="D66" s="82" t="str">
        <x:v>Record(DocumentId,HistoryEntry)</x:v>
      </x:c>
      <x:c r="E66" s="82" t="str">
        <x:v>跨项目建议：实际历史Owner在Visual，不应由Core定义具体历史行为</x:v>
      </x:c>
      <x:c r="F66" s="82" t="str">
        <x:v>拟建/待复核</x:v>
      </x:c>
      <x:c r="G66" s="82"/>
      <x:c r="H66" s="82"/>
      <x:c r="I66" s="82"/>
      <x:c r="J66" s="82"/>
    </x:row>
    <x:row r="67">
      <x:c r="A67" s="82" t="str">
        <x:v>CxEditHistoryEntry</x:v>
      </x:c>
      <x:c r="B67" s="82" t="str">
        <x:v>sealed class</x:v>
      </x:c>
      <x:c r="C67" s="82" t="str">
        <x:v>M37</x:v>
      </x:c>
      <x:c r="D67" s="82" t="str">
        <x:v>DocumentId,BeforeRevision,AfterRevision,ChangeSet,SemanticLabel</x:v>
      </x:c>
      <x:c r="E67" s="82" t="str">
        <x:v>设计：Visual历史条目</x:v>
      </x:c>
      <x:c r="F67" s="82" t="str">
        <x:v>拟建/待复核</x:v>
      </x:c>
      <x:c r="G67" s="82"/>
      <x:c r="H67" s="82"/>
      <x:c r="I67" s="82"/>
      <x:c r="J67" s="82"/>
    </x:row>
    <x:row r="68">
      <x:c r="A68" s="82" t="str">
        <x:v>CxValidationReport</x:v>
      </x:c>
      <x:c r="B68" s="82" t="str">
        <x:v>sealed class</x:v>
      </x:c>
      <x:c r="C68" s="82" t="str">
        <x:v>M08</x:v>
      </x:c>
      <x:c r="D68" s="82" t="str">
        <x:v>Issues,IsValid,ErrorCodes</x:v>
      </x:c>
      <x:c r="E68" s="82" t="str">
        <x:v>设计：统一只读验证报告</x:v>
      </x:c>
      <x:c r="F68" s="82" t="str">
        <x:v>拟建/待复核</x:v>
      </x:c>
      <x:c r="G68" s="82"/>
      <x:c r="H68" s="82"/>
      <x:c r="I68" s="82"/>
      <x:c r="J68" s="82"/>
    </x:row>
    <x:row r="69">
      <x:c r="A69" s="82" t="str">
        <x:v>CxResourceDefinition</x:v>
      </x:c>
      <x:c r="B69" s="82" t="str">
        <x:v>abstract class</x:v>
      </x:c>
      <x:c r="C69" s="82" t="str">
        <x:v>M01</x:v>
      </x:c>
      <x:c r="D69" s="82" t="str">
        <x:v>ResourceTypeId,ResourceId,SchemaVersion</x:v>
      </x:c>
      <x:c r="E69" s="82" t="str">
        <x:v>设计：基础资源定义与CxNode关系待裁决</x:v>
      </x:c>
      <x:c r="F69" s="82" t="str">
        <x:v>拟建/待复核</x:v>
      </x:c>
      <x:c r="G69" s="82"/>
      <x:c r="H69" s="82"/>
      <x:c r="I69" s="82"/>
      <x:c r="J69" s="82"/>
    </x:row>
    <x:row r="70">
      <x:c r="A70" s="82" t="str">
        <x:v>CxGeometryReference</x:v>
      </x:c>
      <x:c r="B70" s="82" t="str">
        <x:v>readonly struct</x:v>
      </x:c>
      <x:c r="C70" s="82" t="str">
        <x:v>M02</x:v>
      </x:c>
      <x:c r="D70" s="82" t="str">
        <x:v>GeometryKind,GeometryValueId</x:v>
      </x:c>
      <x:c r="E70" s="82" t="str">
        <x:v>设计：Foundation几何值引用；可能直接复用F05类型</x:v>
      </x:c>
      <x:c r="F70" s="82" t="str">
        <x:v>拟建/待复核</x:v>
      </x:c>
      <x:c r="G70" s="82"/>
      <x:c r="H70" s="82"/>
      <x:c r="I70" s="82"/>
      <x:c r="J70" s="82"/>
    </x:row>
    <x:row r="71">
      <x:c r="A71" s="82" t="str">
        <x:v>CxTransformValue</x:v>
      </x:c>
      <x:c r="B71" s="82" t="str">
        <x:v>待裁决</x:v>
      </x:c>
      <x:c r="C71" s="82" t="str">
        <x:v>F07</x:v>
      </x:c>
      <x:c r="D71" s="82" t="str">
        <x:v>M06多坐标维度的解析结果，需核已有F07 2D/3D类型</x:v>
      </x:c>
      <x:c r="E71" s="82" t="str">
        <x:v>2D Element直接复用V1.3已有FCTAffine2D；避免再造通用Transform</x:v>
      </x:c>
      <x:c r="F71" s="82" t="str">
        <x:v>拟建/待复核</x:v>
      </x:c>
      <x:c r="G71" s="82"/>
      <x:c r="H71" s="82"/>
      <x:c r="I71" s="82"/>
      <x:c r="J71" s="82"/>
    </x:row>
    <x:row r="72">
      <x:c r="A72" s="82" t="str">
        <x:v>CxPropertyOverride</x:v>
      </x:c>
      <x:c r="B72" s="82" t="str">
        <x:v>sealed class</x:v>
      </x:c>
      <x:c r="C72" s="82" t="str">
        <x:v>M02</x:v>
      </x:c>
      <x:c r="D72" s="82" t="str">
        <x:v>PropertyId,Value,OverridePolicy</x:v>
      </x:c>
      <x:c r="E72" s="82" t="str">
        <x:v>设计：实例专有Override</x:v>
      </x:c>
      <x:c r="F72" s="82" t="str">
        <x:v>拟建/待复核</x:v>
      </x:c>
      <x:c r="G72" s="82"/>
      <x:c r="H72" s="82"/>
      <x:c r="I72" s="82"/>
      <x:c r="J72" s="82"/>
    </x:row>
    <x:row r="73">
      <x:c r="A73" s="82" t="str">
        <x:v>ISymbolInstanceResolver</x:v>
      </x:c>
      <x:c r="B73" s="82" t="str">
        <x:v>interface</x:v>
      </x:c>
      <x:c r="C73" s="82" t="str">
        <x:v>M02</x:v>
      </x:c>
      <x:c r="D73" s="82" t="str">
        <x:v>Resolve(reference,context)</x:v>
      </x:c>
      <x:c r="E73" s="82" t="str">
        <x:v>设计：Symbol定义与实例分离</x:v>
      </x:c>
      <x:c r="F73" s="82" t="str">
        <x:v>拟建/待复核</x:v>
      </x:c>
      <x:c r="G73" s="82"/>
      <x:c r="H73" s="82"/>
      <x:c r="I73" s="82"/>
      <x:c r="J73" s="82"/>
    </x:row>
    <x:row r="74">
      <x:c r="A74" s="82" t="str">
        <x:v>CxResolveContext</x:v>
      </x:c>
      <x:c r="B74" s="82" t="str">
        <x:v>sealed class</x:v>
      </x:c>
      <x:c r="C74" s="82" t="str">
        <x:v>M03</x:v>
      </x:c>
      <x:c r="D74" s="82" t="str">
        <x:v>Project,CallerScope,MaxDepth</x:v>
      </x:c>
      <x:c r="E74" s="82" t="str">
        <x:v>设计：引用解析环境</x:v>
      </x:c>
      <x:c r="F74" s="82" t="str">
        <x:v>拟建/待复核</x:v>
      </x:c>
      <x:c r="G74" s="82"/>
      <x:c r="H74" s="82"/>
      <x:c r="I74" s="82"/>
      <x:c r="J74" s="82"/>
    </x:row>
    <x:row r="75">
      <x:c r="A75" s="82" t="str">
        <x:v>CxSymbolInstanceView</x:v>
      </x:c>
      <x:c r="B75" s="82" t="str">
        <x:v>sealed class</x:v>
      </x:c>
      <x:c r="C75" s="82" t="str">
        <x:v>M02</x:v>
      </x:c>
      <x:c r="D75" s="82" t="str">
        <x:v>InstanceId,DefinitionId,EffectiveProperties,EffectiveTransform</x:v>
      </x:c>
      <x:c r="E75" s="82" t="str">
        <x:v>设计：非持久投影</x:v>
      </x:c>
      <x:c r="F75" s="82" t="str">
        <x:v>拟建/待复核</x:v>
      </x:c>
      <x:c r="G75" s="82"/>
      <x:c r="H75" s="82"/>
      <x:c r="I75" s="82"/>
      <x:c r="J75" s="82"/>
    </x:row>
    <x:row r="76">
      <x:c r="A76" s="82" t="str">
        <x:v>IScopeResolver</x:v>
      </x:c>
      <x:c r="B76" s="82" t="str">
        <x:v>interface</x:v>
      </x:c>
      <x:c r="C76" s="82" t="str">
        <x:v>M02</x:v>
      </x:c>
      <x:c r="D76" s="82" t="str">
        <x:v>FindPublicProperty</x:v>
      </x:c>
      <x:c r="E76" s="82" t="str">
        <x:v>设计：作用域与公开契约</x:v>
      </x:c>
      <x:c r="F76" s="82" t="str">
        <x:v>拟建/待复核</x:v>
      </x:c>
      <x:c r="G76" s="82"/>
      <x:c r="H76" s="82"/>
      <x:c r="I76" s="82"/>
      <x:c r="J76" s="82"/>
    </x:row>
    <x:row r="77">
      <x:c r="A77" s="82" t="str">
        <x:v>CxObjectAddress</x:v>
      </x:c>
      <x:c r="B77" s="82" t="str">
        <x:v>readonly struct</x:v>
      </x:c>
      <x:c r="C77" s="82" t="str">
        <x:v>M03</x:v>
      </x:c>
      <x:c r="D77" s="82" t="str">
        <x:v>ProjectId,ObjectId,ScopeId</x:v>
      </x:c>
      <x:c r="E77" s="82" t="str">
        <x:v>V4.9候选升级为不可变值对象</x:v>
      </x:c>
      <x:c r="F77" s="82" t="str">
        <x:v>拟建/待复核</x:v>
      </x:c>
      <x:c r="G77" s="82"/>
      <x:c r="H77" s="82"/>
      <x:c r="I77" s="82"/>
      <x:c r="J77" s="82"/>
    </x:row>
    <x:row r="78">
      <x:c r="A78" s="82" t="str">
        <x:v>CxReferenceStatus</x:v>
      </x:c>
      <x:c r="B78" s="82" t="str">
        <x:v>enum</x:v>
      </x:c>
      <x:c r="C78" s="82" t="str">
        <x:v>M03</x:v>
      </x:c>
      <x:c r="D78" s="82" t="str">
        <x:v>Resolved,Missing,Stale,WrongType,ForbiddenCycle</x:v>
      </x:c>
      <x:c r="E78" s="82" t="str">
        <x:v>设计：不丢失坏引用</x:v>
      </x:c>
      <x:c r="F78" s="82" t="str">
        <x:v>拟建/待复核</x:v>
      </x:c>
      <x:c r="G78" s="82"/>
      <x:c r="H78" s="82"/>
      <x:c r="I78" s="82"/>
      <x:c r="J78" s="82"/>
    </x:row>
    <x:row r="79">
      <x:c r="A79" s="82" t="str">
        <x:v>IReferenceResolver</x:v>
      </x:c>
      <x:c r="B79" s="82" t="str">
        <x:v>interface</x:v>
      </x:c>
      <x:c r="C79" s="82" t="str">
        <x:v>M03</x:v>
      </x:c>
      <x:c r="D79" s="82" t="str">
        <x:v>Resolve</x:v>
      </x:c>
      <x:c r="E79" s="82" t="str">
        <x:v>设计：唯一解析入口</x:v>
      </x:c>
      <x:c r="F79" s="82" t="str">
        <x:v>拟建/待复核</x:v>
      </x:c>
      <x:c r="G79" s="82"/>
      <x:c r="H79" s="82"/>
      <x:c r="I79" s="82"/>
      <x:c r="J79" s="82"/>
    </x:row>
    <x:row r="80">
      <x:c r="A80" s="82" t="str">
        <x:v>CxResolveOptions</x:v>
      </x:c>
      <x:c r="B80" s="82" t="str">
        <x:v>sealed class</x:v>
      </x:c>
      <x:c r="C80" s="82" t="str">
        <x:v>M03</x:v>
      </x:c>
      <x:c r="D80" s="82" t="str">
        <x:v>AllowMissing,MaxDepth,AllowCrossProject</x:v>
      </x:c>
      <x:c r="E80" s="82" t="str">
        <x:v>设计：策略显式化</x:v>
      </x:c>
      <x:c r="F80" s="82" t="str">
        <x:v>拟建/待复核</x:v>
      </x:c>
      <x:c r="G80" s="82"/>
      <x:c r="H80" s="82"/>
      <x:c r="I80" s="82"/>
      <x:c r="J80" s="82"/>
    </x:row>
    <x:row r="81">
      <x:c r="A81" s="82" t="str">
        <x:v>CxResolveResult</x:v>
      </x:c>
      <x:c r="B81" s="82" t="str">
        <x:v>sealed class</x:v>
      </x:c>
      <x:c r="C81" s="82" t="str">
        <x:v>M03</x:v>
      </x:c>
      <x:c r="D81" s="82" t="str">
        <x:v>Status,Target,ReferenceToken,Diagnostics</x:v>
      </x:c>
      <x:c r="E81" s="82" t="str">
        <x:v>设计：失败也留证据</x:v>
      </x:c>
      <x:c r="F81" s="82" t="str">
        <x:v>拟建/待复核</x:v>
      </x:c>
      <x:c r="G81" s="82"/>
      <x:c r="H81" s="82"/>
      <x:c r="I81" s="82"/>
      <x:c r="J81" s="82"/>
    </x:row>
    <x:row r="82">
      <x:c r="A82" s="82" t="str">
        <x:v>IResourceDependencyIndex</x:v>
      </x:c>
      <x:c r="B82" s="82" t="str">
        <x:v>interface</x:v>
      </x:c>
      <x:c r="C82" s="82" t="str">
        <x:v>M03</x:v>
      </x:c>
      <x:c r="D82" s="82" t="str">
        <x:v>GetDependents</x:v>
      </x:c>
      <x:c r="E82" s="82" t="str">
        <x:v>设计：派生图非持久Owner</x:v>
      </x:c>
      <x:c r="F82" s="82" t="str">
        <x:v>拟建/待复核</x:v>
      </x:c>
      <x:c r="G82" s="82"/>
      <x:c r="H82" s="82"/>
      <x:c r="I82" s="82"/>
      <x:c r="J82" s="82"/>
    </x:row>
    <x:row r="83">
      <x:c r="A83" s="82" t="str">
        <x:v>CxTypeReference</x:v>
      </x:c>
      <x:c r="B83" s="82" t="str">
        <x:v>readonly struct</x:v>
      </x:c>
      <x:c r="C83" s="82" t="str">
        <x:v>M04</x:v>
      </x:c>
      <x:c r="D83" s="82" t="str">
        <x:v>TypeId,Version,Nullable</x:v>
      </x:c>
      <x:c r="E83" s="82" t="str">
        <x:v>设计：类型标识</x:v>
      </x:c>
      <x:c r="F83" s="82" t="str">
        <x:v>拟建/待复核</x:v>
      </x:c>
      <x:c r="G83" s="82"/>
      <x:c r="H83" s="82"/>
      <x:c r="I83" s="82"/>
      <x:c r="J83" s="82"/>
    </x:row>
    <x:row r="84">
      <x:c r="A84" s="82" t="str">
        <x:v>CxRuleDescriptor</x:v>
      </x:c>
      <x:c r="B84" s="82" t="str">
        <x:v>sealed class</x:v>
      </x:c>
      <x:c r="C84" s="82" t="str">
        <x:v>M04</x:v>
      </x:c>
      <x:c r="D84" s="82" t="str">
        <x:v>RuleId,Severity,Parameters</x:v>
      </x:c>
      <x:c r="E84" s="82" t="str">
        <x:v>设计：校验规则声明</x:v>
      </x:c>
      <x:c r="F84" s="82" t="str">
        <x:v>拟建/待复核</x:v>
      </x:c>
      <x:c r="G84" s="82"/>
      <x:c r="H84" s="82"/>
      <x:c r="I84" s="82"/>
      <x:c r="J84" s="82"/>
    </x:row>
    <x:row r="85">
      <x:c r="A85" s="82" t="str">
        <x:v>IPropertyCatalog</x:v>
      </x:c>
      <x:c r="B85" s="82" t="str">
        <x:v>interface</x:v>
      </x:c>
      <x:c r="C85" s="82" t="str">
        <x:v>M04</x:v>
      </x:c>
      <x:c r="D85" s="82" t="str">
        <x:v>GetProperties</x:v>
      </x:c>
      <x:c r="E85" s="82" t="str">
        <x:v>设计：对象属性元数据</x:v>
      </x:c>
      <x:c r="F85" s="82" t="str">
        <x:v>拟建/待复核</x:v>
      </x:c>
      <x:c r="G85" s="82"/>
      <x:c r="H85" s="82"/>
      <x:c r="I85" s="82"/>
      <x:c r="J85" s="82"/>
    </x:row>
    <x:row r="86">
      <x:c r="A86" s="82" t="str">
        <x:v>IPropertyValidator</x:v>
      </x:c>
      <x:c r="B86" s="82" t="str">
        <x:v>interface</x:v>
      </x:c>
      <x:c r="C86" s="82" t="str">
        <x:v>M04</x:v>
      </x:c>
      <x:c r="D86" s="82" t="str">
        <x:v>Validate</x:v>
      </x:c>
      <x:c r="E86" s="82" t="str">
        <x:v>设计：只读属性验证</x:v>
      </x:c>
      <x:c r="F86" s="82" t="str">
        <x:v>拟建/待复核</x:v>
      </x:c>
      <x:c r="G86" s="82"/>
      <x:c r="H86" s="82"/>
      <x:c r="I86" s="82"/>
      <x:c r="J86" s="82"/>
    </x:row>
    <x:row r="87">
      <x:c r="A87" s="82" t="str">
        <x:v>IPropertyReader</x:v>
      </x:c>
      <x:c r="B87" s="82" t="str">
        <x:v>interface</x:v>
      </x:c>
      <x:c r="C87" s="82" t="str">
        <x:v>M04</x:v>
      </x:c>
      <x:c r="D87" s="82" t="str">
        <x:v>TryRead</x:v>
      </x:c>
      <x:c r="E87" s="82" t="str">
        <x:v>设计：只读访问</x:v>
      </x:c>
      <x:c r="F87" s="82" t="str">
        <x:v>拟建/待复核</x:v>
      </x:c>
      <x:c r="G87" s="82"/>
      <x:c r="H87" s="82"/>
      <x:c r="I87" s="82"/>
      <x:c r="J87" s="82"/>
    </x:row>
    <x:row r="88">
      <x:c r="A88" s="82" t="str">
        <x:v>CxPortDirection</x:v>
      </x:c>
      <x:c r="B88" s="82" t="str">
        <x:v>enum</x:v>
      </x:c>
      <x:c r="C88" s="82" t="str">
        <x:v>M05</x:v>
      </x:c>
      <x:c r="D88" s="82" t="str">
        <x:v>Input,Output,InOut(需审核)</x:v>
      </x:c>
      <x:c r="E88" s="82" t="str">
        <x:v>设计：控制流和数据流在更上层补语义</x:v>
      </x:c>
      <x:c r="F88" s="82" t="str">
        <x:v>拟建/待复核</x:v>
      </x:c>
      <x:c r="G88" s="82"/>
      <x:c r="H88" s="82"/>
      <x:c r="I88" s="82"/>
      <x:c r="J88" s="82"/>
    </x:row>
    <x:row r="89">
      <x:c r="A89" s="82" t="str">
        <x:v>CxPortEndpoint</x:v>
      </x:c>
      <x:c r="B89" s="82" t="str">
        <x:v>readonly struct</x:v>
      </x:c>
      <x:c r="C89" s="82" t="str">
        <x:v>M05</x:v>
      </x:c>
      <x:c r="D89" s="82" t="str">
        <x:v>OwnerId,PortId</x:v>
      </x:c>
      <x:c r="E89" s="82" t="str">
        <x:v>重要纠偏：不是enum</x:v>
      </x:c>
      <x:c r="F89" s="82" t="str">
        <x:v>拟建/待复核</x:v>
      </x:c>
      <x:c r="G89" s="82"/>
      <x:c r="H89" s="82"/>
      <x:c r="I89" s="82"/>
      <x:c r="J89" s="82"/>
    </x:row>
    <x:row r="90">
      <x:c r="A90" s="82" t="str">
        <x:v>IPortCompatibility</x:v>
      </x:c>
      <x:c r="B90" s="82" t="str">
        <x:v>interface</x:v>
      </x:c>
      <x:c r="C90" s="82" t="str">
        <x:v>M05</x:v>
      </x:c>
      <x:c r="D90" s="82" t="str">
        <x:v>Check</x:v>
      </x:c>
      <x:c r="E90" s="82" t="str">
        <x:v>设计：通用连接前提</x:v>
      </x:c>
      <x:c r="F90" s="82" t="str">
        <x:v>拟建/待复核</x:v>
      </x:c>
      <x:c r="G90" s="82"/>
      <x:c r="H90" s="82"/>
      <x:c r="I90" s="82"/>
      <x:c r="J90" s="82"/>
    </x:row>
    <x:row r="91">
      <x:c r="A91" s="82" t="str">
        <x:v>IConnectionMutation</x:v>
      </x:c>
      <x:c r="B91" s="82" t="str">
        <x:v>interface</x:v>
      </x:c>
      <x:c r="C91" s="82" t="str">
        <x:v>M05</x:v>
      </x:c>
      <x:c r="D91" s="82" t="str">
        <x:v>TryConnect</x:v>
      </x:c>
      <x:c r="E91" s="82" t="str">
        <x:v>设计：通用连接，逻辑连线由Orchestration批准</x:v>
      </x:c>
      <x:c r="F91" s="82" t="str">
        <x:v>拟建/待复核</x:v>
      </x:c>
      <x:c r="G91" s="82"/>
      <x:c r="H91" s="82"/>
      <x:c r="I91" s="82"/>
      <x:c r="J91" s="82"/>
    </x:row>
    <x:row r="92">
      <x:c r="A92" s="82" t="str">
        <x:v>CxContractContext</x:v>
      </x:c>
      <x:c r="B92" s="82" t="str">
        <x:v>sealed class</x:v>
      </x:c>
      <x:c r="C92" s="82" t="str">
        <x:v>M06</x:v>
      </x:c>
      <x:c r="D92" s="82" t="str">
        <x:v>UnitRegistry,FrameRegistry,TypeCatalog</x:v>
      </x:c>
      <x:c r="E92" s="82" t="str">
        <x:v>设计：对时空契约只读</x:v>
      </x:c>
      <x:c r="F92" s="82" t="str">
        <x:v>拟建/待复核</x:v>
      </x:c>
      <x:c r="G92" s="82"/>
      <x:c r="H92" s="82"/>
      <x:c r="I92" s="82"/>
      <x:c r="J92" s="82"/>
    </x:row>
    <x:row r="93">
      <x:c r="A93" s="82" t="str">
        <x:v>ITimeSpaceValidator</x:v>
      </x:c>
      <x:c r="B93" s="82" t="str">
        <x:v>interface</x:v>
      </x:c>
      <x:c r="C93" s="82" t="str">
        <x:v>M06</x:v>
      </x:c>
      <x:c r="D93" s="82" t="str">
        <x:v>Validate</x:v>
      </x:c>
      <x:c r="E93" s="82" t="str">
        <x:v>设计：时空/量纲校验</x:v>
      </x:c>
      <x:c r="F93" s="82" t="str">
        <x:v>拟建/待复核</x:v>
      </x:c>
      <x:c r="G93" s="82"/>
      <x:c r="H93" s="82"/>
      <x:c r="I93" s="82"/>
      <x:c r="J93" s="82"/>
    </x:row>
    <x:row r="94">
      <x:c r="A94" s="82" t="str">
        <x:v>IFrameTransformResolver</x:v>
      </x:c>
      <x:c r="B94" s="82" t="str">
        <x:v>interface</x:v>
      </x:c>
      <x:c r="C94" s="82" t="str">
        <x:v>M06</x:v>
      </x:c>
      <x:c r="D94" s="82" t="str">
        <x:v>TryResolve</x:v>
      </x:c>
      <x:c r="E94" s="82" t="str">
        <x:v>设计：具体计算F07</x:v>
      </x:c>
      <x:c r="F94" s="82" t="str">
        <x:v>拟建/待复核</x:v>
      </x:c>
      <x:c r="G94" s="82"/>
      <x:c r="H94" s="82"/>
      <x:c r="I94" s="82"/>
      <x:c r="J94" s="82"/>
    </x:row>
    <x:row r="95">
      <x:c r="A95" s="82" t="str">
        <x:v>CxVerificationStatus</x:v>
      </x:c>
      <x:c r="B95" s="82" t="str">
        <x:v>enum</x:v>
      </x:c>
      <x:c r="C95" s="82" t="str">
        <x:v>M08</x:v>
      </x:c>
      <x:c r="D95" s="82" t="str">
        <x:v>Unknown,NotRun,Pass,Fail,Inconclusive</x:v>
      </x:c>
      <x:c r="E95" s="82" t="str">
        <x:v>设计：不得将未知标通过</x:v>
      </x:c>
      <x:c r="F95" s="82" t="str">
        <x:v>拟建/待复核</x:v>
      </x:c>
      <x:c r="G95" s="82"/>
      <x:c r="H95" s="82"/>
      <x:c r="I95" s="82"/>
      <x:c r="J95" s="82"/>
    </x:row>
    <x:row r="96">
      <x:c r="A96" s="82" t="str">
        <x:v>VerificationReport</x:v>
      </x:c>
      <x:c r="B96" s="82" t="str">
        <x:v>sealed class</x:v>
      </x:c>
      <x:c r="C96" s="82" t="str">
        <x:v>M08</x:v>
      </x:c>
      <x:c r="D96" s="82" t="str">
        <x:v>Status,Criteria,Diagnostics,EvidenceIds</x:v>
      </x:c>
      <x:c r="E96" s="82" t="str">
        <x:v>复用V4.9原有VerificationReport候选，不新建CxVerificationReport</x:v>
      </x:c>
      <x:c r="F96" s="82" t="str">
        <x:v>拟建/待复核</x:v>
      </x:c>
      <x:c r="G96" s="82"/>
      <x:c r="H96" s="82"/>
      <x:c r="I96" s="82"/>
      <x:c r="J96" s="82"/>
    </x:row>
    <x:row r="97">
      <x:c r="A97" s="82" t="str">
        <x:v>CxVerificationRequest</x:v>
      </x:c>
      <x:c r="B97" s="82" t="str">
        <x:v>sealed class</x:v>
      </x:c>
      <x:c r="C97" s="82" t="str">
        <x:v>M08</x:v>
      </x:c>
      <x:c r="D97" s="82" t="str">
        <x:v>Requirements,Evidence,Context</x:v>
      </x:c>
      <x:c r="E97" s="82" t="str">
        <x:v>设计：纯证据评估</x:v>
      </x:c>
      <x:c r="F97" s="82" t="str">
        <x:v>拟建/待复核</x:v>
      </x:c>
      <x:c r="G97" s="82"/>
      <x:c r="H97" s="82"/>
      <x:c r="I97" s="82"/>
      <x:c r="J97" s="82"/>
    </x:row>
    <x:row r="98">
      <x:c r="A98" s="82" t="str">
        <x:v>IVerificationEngine</x:v>
      </x:c>
      <x:c r="B98" s="82" t="str">
        <x:v>interface</x:v>
      </x:c>
      <x:c r="C98" s="82" t="str">
        <x:v>M08</x:v>
      </x:c>
      <x:c r="D98" s="82" t="str">
        <x:v>Evaluate</x:v>
      </x:c>
      <x:c r="E98" s="82" t="str">
        <x:v>设计：不启动硬件</x:v>
      </x:c>
      <x:c r="F98" s="82" t="str">
        <x:v>拟建/待复核</x:v>
      </x:c>
      <x:c r="G98" s="82"/>
      <x:c r="H98" s="82"/>
      <x:c r="I98" s="82"/>
      <x:c r="J98" s="82"/>
    </x:row>
    <x:row r="99">
      <x:c r="A99" s="82" t="str">
        <x:v>IEvidenceVerifier</x:v>
      </x:c>
      <x:c r="B99" s="82" t="str">
        <x:v>interface</x:v>
      </x:c>
      <x:c r="C99" s="82" t="str">
        <x:v>M08</x:v>
      </x:c>
      <x:c r="D99" s="82" t="str">
        <x:v>Verify</x:v>
      </x:c>
      <x:c r="E99" s="82" t="str">
        <x:v>设计：完整性校验</x:v>
      </x:c>
      <x:c r="F99" s="82" t="str">
        <x:v>拟建/待复核</x:v>
      </x:c>
      <x:c r="G99" s="82"/>
      <x:c r="H99" s="82"/>
      <x:c r="I99" s="82"/>
      <x:c r="J99" s="82"/>
    </x:row>
    <x:row r="100">
      <x:c r="A100" s="82" t="str">
        <x:v>CxEvidencePolicy</x:v>
      </x:c>
      <x:c r="B100" s="82" t="str">
        <x:v>sealed class</x:v>
      </x:c>
      <x:c r="C100" s="82" t="str">
        <x:v>M08</x:v>
      </x:c>
      <x:c r="D100" s="82" t="str">
        <x:v>RequireHash,MaxAge,TrustedSources</x:v>
      </x:c>
      <x:c r="E100" s="82" t="str">
        <x:v>设计：证据策略</x:v>
      </x:c>
      <x:c r="F100" s="82" t="str">
        <x:v>拟建/待复核</x:v>
      </x:c>
      <x:c r="G100" s="82"/>
      <x:c r="H100" s="82"/>
      <x:c r="I100" s="82"/>
      <x:c r="J100" s="82"/>
    </x:row>
    <x:row r="101">
      <x:c r="A101" s="82" t="str">
        <x:v>ICoverageAnalyzer</x:v>
      </x:c>
      <x:c r="B101" s="82" t="str">
        <x:v>interface</x:v>
      </x:c>
      <x:c r="C101" s="82" t="str">
        <x:v>M08</x:v>
      </x:c>
      <x:c r="D101" s="82" t="str">
        <x:v>FindGaps</x:v>
      </x:c>
      <x:c r="E101" s="82" t="str">
        <x:v>设计：覆盖度不等于实测通过</x:v>
      </x:c>
      <x:c r="F101" s="82" t="str">
        <x:v>拟建/待复核</x:v>
      </x:c>
      <x:c r="G101" s="82"/>
      <x:c r="H101" s="82"/>
      <x:c r="I101" s="82"/>
      <x:c r="J101" s="82"/>
    </x:row>
    <x:row r="102">
      <x:c r="A102" s="82" t="str">
        <x:v>CxCoverageGap</x:v>
      </x:c>
      <x:c r="B102" s="82" t="str">
        <x:v>sealed class</x:v>
      </x:c>
      <x:c r="C102" s="82" t="str">
        <x:v>M08</x:v>
      </x:c>
      <x:c r="D102" s="82" t="str">
        <x:v>RequirementId,MissingTestIds,Reason</x:v>
      </x:c>
      <x:c r="E102" s="82" t="str">
        <x:v>设计：缺口</x:v>
      </x:c>
      <x:c r="F102" s="82" t="str">
        <x:v>拟建/待复核</x:v>
      </x:c>
      <x:c r="G102" s="82"/>
      <x:c r="H102" s="82"/>
      <x:c r="I102" s="82"/>
      <x:c r="J102" s="82"/>
    </x:row>
    <x:row r="103">
      <x:c r="A103" s="82" t="str">
        <x:v>CxIdRemap</x:v>
      </x:c>
      <x:c r="B103" s="82" t="str">
        <x:v>sealed class</x:v>
      </x:c>
      <x:c r="C103" s="82" t="str">
        <x:v>M38</x:v>
      </x:c>
      <x:c r="D103" s="82" t="str">
        <x:v>Mappings</x:v>
      </x:c>
      <x:c r="E103" s="82" t="str">
        <x:v>设计：导入映射</x:v>
      </x:c>
      <x:c r="F103" s="82" t="str">
        <x:v>拟建/待复核</x:v>
      </x:c>
      <x:c r="G103" s="82"/>
      <x:c r="H103" s="82"/>
      <x:c r="I103" s="82"/>
      <x:c r="J103" s="82"/>
    </x:row>
    <x:row r="104">
      <x:c r="A104" s="82" t="str">
        <x:v>ITemplateInstantiator</x:v>
      </x:c>
      <x:c r="B104" s="82" t="str">
        <x:v>interface</x:v>
      </x:c>
      <x:c r="C104" s="82" t="str">
        <x:v>M38</x:v>
      </x:c>
      <x:c r="D104" s="82" t="str">
        <x:v>TryInstantiate</x:v>
      </x:c>
      <x:c r="E104" s="82" t="str">
        <x:v>设计：实例化</x:v>
      </x:c>
      <x:c r="F104" s="82" t="str">
        <x:v>拟建/待复核</x:v>
      </x:c>
      <x:c r="G104" s="82"/>
      <x:c r="H104" s="82"/>
      <x:c r="I104" s="82"/>
      <x:c r="J104" s="82"/>
    </x:row>
    <x:row r="105">
      <x:c r="A105" s="82" t="str">
        <x:v>CxTemplateArguments</x:v>
      </x:c>
      <x:c r="B105" s="82" t="str">
        <x:v>sealed class</x:v>
      </x:c>
      <x:c r="C105" s="82" t="str">
        <x:v>M38</x:v>
      </x:c>
      <x:c r="D105" s="82" t="str">
        <x:v>Parameters,ReferenceOverrides</x:v>
      </x:c>
      <x:c r="E105" s="82" t="str">
        <x:v>设计：参数输入</x:v>
      </x:c>
      <x:c r="F105" s="82" t="str">
        <x:v>拟建/待复核</x:v>
      </x:c>
      <x:c r="G105" s="82"/>
      <x:c r="H105" s="82"/>
      <x:c r="I105" s="82"/>
      <x:c r="J105" s="82"/>
    </x:row>
    <x:row r="106">
      <x:c r="A106" s="82" t="str">
        <x:v>IResourceSerializer</x:v>
      </x:c>
      <x:c r="B106" s="82" t="str">
        <x:v>interface</x:v>
      </x:c>
      <x:c r="C106" s="82" t="str">
        <x:v>M38</x:v>
      </x:c>
      <x:c r="D106" s="82" t="str">
        <x:v>Serialize/Deserialize</x:v>
      </x:c>
      <x:c r="E106" s="82" t="str">
        <x:v>设计：一致性序列化</x:v>
      </x:c>
      <x:c r="F106" s="82" t="str">
        <x:v>拟建/待复核</x:v>
      </x:c>
      <x:c r="G106" s="82"/>
      <x:c r="H106" s="82"/>
      <x:c r="I106" s="82"/>
      <x:c r="J106" s="82"/>
    </x:row>
    <x:row r="107">
      <x:c r="A107" s="82" t="str">
        <x:v>CxSerializationOptions</x:v>
      </x:c>
      <x:c r="B107" s="82" t="str">
        <x:v>sealed class</x:v>
      </x:c>
      <x:c r="C107" s="82" t="str">
        <x:v>M38</x:v>
      </x:c>
      <x:c r="D107" s="82" t="str">
        <x:v>TargetSchemaVersion,PreserveUnknown,MaxSizeBytes</x:v>
      </x:c>
      <x:c r="E107" s="82" t="str">
        <x:v>设计：大小限制</x:v>
      </x:c>
      <x:c r="F107" s="82" t="str">
        <x:v>拟建/待复核</x:v>
      </x:c>
      <x:c r="G107" s="82"/>
      <x:c r="H107" s="82"/>
      <x:c r="I107" s="82"/>
      <x:c r="J107" s="82"/>
    </x:row>
    <x:row r="108">
      <x:c r="A108" s="82" t="str">
        <x:v>CxResourceSnapshot</x:v>
      </x:c>
      <x:c r="B108" s="82" t="str">
        <x:v>sealed class</x:v>
      </x:c>
      <x:c r="C108" s="82" t="str">
        <x:v>M38</x:v>
      </x:c>
      <x:c r="D108" s="82" t="str">
        <x:v>ResourceId,ProjectRevision,ImmutablePayload</x:v>
      </x:c>
      <x:c r="E108" s="82" t="str">
        <x:v>设计：纯资源快照</x:v>
      </x:c>
      <x:c r="F108" s="82" t="str">
        <x:v>拟建/待复核</x:v>
      </x:c>
      <x:c r="G108" s="82"/>
      <x:c r="H108" s="82"/>
      <x:c r="I108" s="82"/>
      <x:c r="J108" s="82"/>
    </x:row>
    <x:row r="109">
      <x:c r="A109" s="82" t="str">
        <x:v>CxDeserializeResult</x:v>
      </x:c>
      <x:c r="B109" s="82" t="str">
        <x:v>sealed class</x:v>
      </x:c>
      <x:c r="C109" s="82" t="str">
        <x:v>M38</x:v>
      </x:c>
      <x:c r="D109" s="82" t="str">
        <x:v>Draft,Diagnostics,SchemaVersion</x:v>
      </x:c>
      <x:c r="E109" s="82" t="str">
        <x:v>设计：草稿隔离</x:v>
      </x:c>
      <x:c r="F109" s="82" t="str">
        <x:v>拟建/待复核</x:v>
      </x:c>
      <x:c r="G109" s="82"/>
      <x:c r="H109" s="82"/>
      <x:c r="I109" s="82"/>
      <x:c r="J109" s="82"/>
    </x:row>
    <x:row r="110">
      <x:c r="A110" s="82" t="str">
        <x:v>IResourceImporter</x:v>
      </x:c>
      <x:c r="B110" s="82" t="str">
        <x:v>interface</x:v>
      </x:c>
      <x:c r="C110" s="82" t="str">
        <x:v>M38</x:v>
      </x:c>
      <x:c r="D110" s="82" t="str">
        <x:v>Import</x:v>
      </x:c>
      <x:c r="E110" s="82" t="str">
        <x:v>设计：原Importer候选裁成接口</x:v>
      </x:c>
      <x:c r="F110" s="82" t="str">
        <x:v>拟建/待复核</x:v>
      </x:c>
      <x:c r="G110" s="82"/>
      <x:c r="H110" s="82"/>
      <x:c r="I110" s="82"/>
      <x:c r="J110" s="82"/>
    </x:row>
    <x:row r="111">
      <x:c r="A111" s="82" t="str">
        <x:v>IResourceExporter</x:v>
      </x:c>
      <x:c r="B111" s="82" t="str">
        <x:v>interface</x:v>
      </x:c>
      <x:c r="C111" s="82" t="str">
        <x:v>M38</x:v>
      </x:c>
      <x:c r="D111" s="82" t="str">
        <x:v>Export</x:v>
      </x:c>
      <x:c r="E111" s="82" t="str">
        <x:v>设计：原Exporter候选裁成接口</x:v>
      </x:c>
      <x:c r="F111" s="82" t="str">
        <x:v>拟建/待复核</x:v>
      </x:c>
      <x:c r="G111" s="82"/>
      <x:c r="H111" s="82"/>
      <x:c r="I111" s="82"/>
      <x:c r="J111" s="82"/>
    </x:row>
    <x:row r="112">
      <x:c r="A112" s="82" t="str">
        <x:v>IResourceImportCommit</x:v>
      </x:c>
      <x:c r="B112" s="82" t="str">
        <x:v>interface</x:v>
      </x:c>
      <x:c r="C112" s="82" t="str">
        <x:v>M38</x:v>
      </x:c>
      <x:c r="D112" s="82" t="str">
        <x:v>TryCommit</x:v>
      </x:c>
      <x:c r="E112" s="82" t="str">
        <x:v>设计：提交前核心验证</x:v>
      </x:c>
      <x:c r="F112" s="82" t="str">
        <x:v>拟建/待复核</x:v>
      </x:c>
      <x:c r="G112" s="82"/>
      <x:c r="H112" s="82"/>
      <x:c r="I112" s="82"/>
      <x:c r="J112" s="82"/>
    </x:row>
    <x:row r="113">
      <x:c r="A113" s="82" t="str">
        <x:v>CxImportOptions</x:v>
      </x:c>
      <x:c r="B113" s="82" t="str">
        <x:v>sealed class</x:v>
      </x:c>
      <x:c r="C113" s="82" t="str">
        <x:v>M38</x:v>
      </x:c>
      <x:c r="D113" s="82" t="str">
        <x:v>FormatId,MaxSizeBytes,UnknownTypePolicy</x:v>
      </x:c>
      <x:c r="E113" s="82" t="str">
        <x:v>设计：安全导入</x:v>
      </x:c>
      <x:c r="F113" s="82" t="str">
        <x:v>拟建/待复核</x:v>
      </x:c>
      <x:c r="G113" s="82"/>
      <x:c r="H113" s="82"/>
      <x:c r="I113" s="82"/>
      <x:c r="J113" s="82"/>
    </x:row>
    <x:row r="114">
      <x:c r="A114" s="82" t="str">
        <x:v>CxImportDraft</x:v>
      </x:c>
      <x:c r="B114" s="82" t="str">
        <x:v>sealed class</x:v>
      </x:c>
      <x:c r="C114" s="82" t="str">
        <x:v>M38</x:v>
      </x:c>
      <x:c r="D114" s="82" t="str">
        <x:v>Resources,Remap,Validation</x:v>
      </x:c>
      <x:c r="E114" s="82" t="str">
        <x:v>设计：草稿隔离</x:v>
      </x:c>
      <x:c r="F114" s="82" t="str">
        <x:v>拟建/待复核</x:v>
      </x:c>
      <x:c r="G114" s="82"/>
      <x:c r="H114" s="82"/>
      <x:c r="I114" s="82"/>
      <x:c r="J114" s="82"/>
    </x:row>
    <x:row r="115">
      <x:c r="A115" s="82" t="str">
        <x:v>CxExportOptions</x:v>
      </x:c>
      <x:c r="B115" s="82" t="str">
        <x:v>sealed class</x:v>
      </x:c>
      <x:c r="C115" s="82" t="str">
        <x:v>M38</x:v>
      </x:c>
      <x:c r="D115" s="82" t="str">
        <x:v>FormatId,TargetVersion</x:v>
      </x:c>
      <x:c r="E115" s="82" t="str">
        <x:v>设计：导出</x:v>
      </x:c>
      <x:c r="F115" s="82" t="str">
        <x:v>拟建/待复核</x:v>
      </x:c>
      <x:c r="G115" s="82"/>
      <x:c r="H115" s="82"/>
      <x:c r="I115" s="82"/>
      <x:c r="J115" s="82"/>
    </x:row>
    <x:row r="116">
      <x:c r="A116" s="82"/>
      <x:c r="B116" s="82"/>
      <x:c r="C116" s="82"/>
      <x:c r="D116" s="82"/>
      <x:c r="E116" s="82"/>
      <x:c r="F116" s="82"/>
      <x:c r="G116" s="82"/>
      <x:c r="H116" s="82"/>
      <x:c r="I116" s="82"/>
      <x:c r="J116" s="82"/>
    </x:row>
    <x:row r="117">
      <x:c r="A117" s="82"/>
      <x:c r="B117" s="82"/>
      <x:c r="C117" s="82"/>
      <x:c r="D117" s="82"/>
      <x:c r="E117" s="82"/>
      <x:c r="F117" s="82"/>
      <x:c r="G117" s="82"/>
      <x:c r="H117" s="82"/>
      <x:c r="I117" s="82"/>
      <x:c r="J117" s="82"/>
    </x:row>
    <x:row r="118" ht="27" customHeight="1">
      <x:c r="A118" s="108" t="str">
        <x:v>D. R2关键类型归属与边界（43条）</x:v>
      </x:c>
      <x:c r="B118" s="108"/>
      <x:c r="C118" s="108"/>
      <x:c r="D118" s="108"/>
      <x:c r="E118" s="108"/>
      <x:c r="F118" s="108"/>
      <x:c r="G118" s="108"/>
      <x:c r="H118" s="108"/>
      <x:c r="I118" s="108"/>
      <x:c r="J118" s="108"/>
    </x:row>
    <x:row r="119">
      <x:c r="A119" s="82" t="str">
        <x:v>候选键或建议ID</x:v>
      </x:c>
      <x:c r="B119" s="82" t="str">
        <x:v>目标类型</x:v>
      </x:c>
      <x:c r="C119" s="82" t="str">
        <x:v>建议形态</x:v>
      </x:c>
      <x:c r="D119" s="82" t="str">
        <x:v>Owner项目</x:v>
      </x:c>
      <x:c r="E119" s="82" t="str">
        <x:v>M子方面</x:v>
      </x:c>
      <x:c r="F119" s="82" t="str">
        <x:v>唯一职责/公开作用</x:v>
      </x:c>
      <x:c r="G119" s="82" t="str">
        <x:v>裁决</x:v>
      </x:c>
      <x:c r="H119" s="82" t="str">
        <x:v>理由/禁止重叠</x:v>
      </x:c>
      <x:c r="I119" s="82" t="str">
        <x:v>V7.8对照文件</x:v>
      </x:c>
      <x:c r="J119" s="82" t="str">
        <x:v>成熟度</x:v>
      </x:c>
    </x:row>
    <x:row r="120">
      <x:c r="A120" s="82" t="str">
        <x:v>M01.CxNode</x:v>
      </x:c>
      <x:c r="B120" s="82" t="str">
        <x:v>CxNode</x:v>
      </x:c>
      <x:c r="C120" s="82" t="str">
        <x:v>abstract class</x:v>
      </x:c>
      <x:c r="D120" s="82" t="str">
        <x:v>Core</x:v>
      </x:c>
      <x:c r="E120" s="82" t="str">
        <x:v>M01</x:v>
      </x:c>
      <x:c r="F120" s="82" t="str">
        <x:v>工程对象统一身份/导航；仅一棵Owner树</x:v>
      </x:c>
      <x:c r="G120" s="82" t="str">
        <x:v>保留+重构</x:v>
      </x:c>
      <x:c r="H120" s="82" t="str">
        <x:v>属性不得由WPF拥有</x:v>
      </x:c>
      <x:c r="I120" s="82" t="str">
        <x:v>Platform/Core/CxNode.cs</x:v>
      </x:c>
      <x:c r="J120" s="82" t="str">
        <x:v>R2建议：尚待类型/签名/迁移单测确认</x:v>
      </x:c>
    </x:row>
    <x:row r="121">
      <x:c r="A121" s="82" t="str">
        <x:v>M01.ProjectModel</x:v>
      </x:c>
      <x:c r="B121" s="82" t="str">
        <x:v>ProjectModel</x:v>
      </x:c>
      <x:c r="C121" s="82" t="str">
        <x:v>class</x:v>
      </x:c>
      <x:c r="D121" s="82" t="str">
        <x:v>Core</x:v>
      </x:c>
      <x:c r="E121" s="82" t="str">
        <x:v>M01</x:v>
      </x:c>
      <x:c r="F121" s="82" t="str">
        <x:v>根工程定义和资源集合</x:v>
      </x:c>
      <x:c r="G121" s="82" t="str">
        <x:v>保留+重构</x:v>
      </x:c>
      <x:c r="H121" s="82" t="str">
        <x:v>持久工程根不可混运行实例</x:v>
      </x:c>
      <x:c r="I121" s="82" t="str">
        <x:v>Platform/Core/Projects.cs</x:v>
      </x:c>
      <x:c r="J121" s="82" t="str">
        <x:v>R2建议：尚待类型/签名/迁移单测确认</x:v>
      </x:c>
    </x:row>
    <x:row r="122">
      <x:c r="A122" s="82" t="str">
        <x:v>M01.PageModel</x:v>
      </x:c>
      <x:c r="B122" s="82" t="str">
        <x:v>PageModel</x:v>
      </x:c>
      <x:c r="C122" s="82" t="str">
        <x:v>class</x:v>
      </x:c>
      <x:c r="D122" s="82" t="str">
        <x:v>Core</x:v>
      </x:c>
      <x:c r="E122" s="82" t="str">
        <x:v>M01</x:v>
      </x:c>
      <x:c r="F122" s="82" t="str">
        <x:v>页面资源与可视定义关联</x:v>
      </x:c>
      <x:c r="G122" s="82" t="str">
        <x:v>保留+重构</x:v>
      </x:c>
      <x:c r="H122" s="82" t="str">
        <x:v>页面不是WPF Page实例</x:v>
      </x:c>
      <x:c r="I122" s="82" t="str">
        <x:v>Platform/Core/Projects.cs</x:v>
      </x:c>
      <x:c r="J122" s="82" t="str">
        <x:v>R2建议：尚待类型/签名/迁移单测确认</x:v>
      </x:c>
    </x:row>
    <x:row r="123">
      <x:c r="A123" s="82" t="str">
        <x:v>M02.ContentDefinition</x:v>
      </x:c>
      <x:c r="B123" s="82" t="str">
        <x:v>ContentDefinition</x:v>
      </x:c>
      <x:c r="C123" s="82" t="str">
        <x:v>class</x:v>
      </x:c>
      <x:c r="D123" s="82" t="str">
        <x:v>Core</x:v>
      </x:c>
      <x:c r="E123" s="82" t="str">
        <x:v>M02</x:v>
      </x:c>
      <x:c r="F123" s="82" t="str">
        <x:v>多正交方面承载及作用域</x:v>
      </x:c>
      <x:c r="G123" s="82" t="str">
        <x:v>保留+重构</x:v>
      </x:c>
      <x:c r="H123" s="82" t="str">
        <x:v>包含与引用必须分开</x:v>
      </x:c>
      <x:c r="I123" s="82" t="str">
        <x:v>Platform/Core/Projects.cs</x:v>
      </x:c>
      <x:c r="J123" s="82" t="str">
        <x:v>R2建议：尚待类型/签名/迁移单测确认</x:v>
      </x:c>
    </x:row>
    <x:row r="124">
      <x:c r="A124" s="82" t="str">
        <x:v>M02.SymbolDefinition</x:v>
      </x:c>
      <x:c r="B124" s="82" t="str">
        <x:v>SymbolDefinition</x:v>
      </x:c>
      <x:c r="C124" s="82" t="str">
        <x:v>class</x:v>
      </x:c>
      <x:c r="D124" s="82" t="str">
        <x:v>Core</x:v>
      </x:c>
      <x:c r="E124" s="82" t="str">
        <x:v>M02</x:v>
      </x:c>
      <x:c r="F124" s="82" t="str">
        <x:v>单一RootGroup及公开属性契约</x:v>
      </x:c>
      <x:c r="G124" s="82" t="str">
        <x:v>保留+重构</x:v>
      </x:c>
      <x:c r="H124" s="82" t="str">
        <x:v>Definition与实例独立</x:v>
      </x:c>
      <x:c r="I124" s="82" t="str">
        <x:v>Platform/Core/Symbols.cs</x:v>
      </x:c>
      <x:c r="J124" s="82" t="str">
        <x:v>R2建议：尚待类型/签名/迁移单测确认</x:v>
      </x:c>
    </x:row>
    <x:row r="125">
      <x:c r="A125" s="82" t="str">
        <x:v>M02.ElementModel</x:v>
      </x:c>
      <x:c r="B125" s="82" t="str">
        <x:v>ElementModel</x:v>
      </x:c>
      <x:c r="C125" s="82" t="str">
        <x:v>abstract class</x:v>
      </x:c>
      <x:c r="D125" s="82" t="str">
        <x:v>Core</x:v>
      </x:c>
      <x:c r="E125" s="82" t="str">
        <x:v>M02</x:v>
      </x:c>
      <x:c r="F125" s="82" t="str">
        <x:v>基础工程可视对象，附加能力通过组合</x:v>
      </x:c>
      <x:c r="G125" s="82" t="str">
        <x:v>保留+重构</x:v>
      </x:c>
      <x:c r="H125" s="82" t="str">
        <x:v>Geometry与编辑行为不进入Core</x:v>
      </x:c>
      <x:c r="I125" s="82" t="str">
        <x:v>Platform/Core/Elements.cs</x:v>
      </x:c>
      <x:c r="J125" s="82" t="str">
        <x:v>R2建议：尚待类型/签名/迁移单测确认</x:v>
      </x:c>
    </x:row>
    <x:row r="126">
      <x:c r="A126" s="82" t="str">
        <x:v>M02.GroupElementModel</x:v>
      </x:c>
      <x:c r="B126" s="82" t="str">
        <x:v>GroupElementModel</x:v>
      </x:c>
      <x:c r="C126" s="82" t="str">
        <x:v>class</x:v>
      </x:c>
      <x:c r="D126" s="82" t="str">
        <x:v>Core</x:v>
      </x:c>
      <x:c r="E126" s="82" t="str">
        <x:v>M02</x:v>
      </x:c>
      <x:c r="F126" s="82" t="str">
        <x:v>允许Element/Group嵌套组合</x:v>
      </x:c>
      <x:c r="G126" s="82" t="str">
        <x:v>保留+重构</x:v>
      </x:c>
      <x:c r="H126" s="82" t="str">
        <x:v>它继承ElementModel，不要第二套树</x:v>
      </x:c>
      <x:c r="I126" s="82" t="str">
        <x:v>Platform/Core/Elements.cs</x:v>
      </x:c>
      <x:c r="J126" s="82" t="str">
        <x:v>R2建议：尚待类型/签名/迁移单测确认</x:v>
      </x:c>
    </x:row>
    <x:row r="127">
      <x:c r="A127" s="82" t="str">
        <x:v>M02.ContentReference</x:v>
      </x:c>
      <x:c r="B127" s="82" t="str">
        <x:v>ContentReference</x:v>
      </x:c>
      <x:c r="C127" s="82" t="str">
        <x:v>class</x:v>
      </x:c>
      <x:c r="D127" s="82" t="str">
        <x:v>Core</x:v>
      </x:c>
      <x:c r="E127" s="82" t="str">
        <x:v>M02/M03</x:v>
      </x:c>
      <x:c r="F127" s="82" t="str">
        <x:v>指向共享Content的稳定引用</x:v>
      </x:c>
      <x:c r="G127" s="82" t="str">
        <x:v>保留+重构</x:v>
      </x:c>
      <x:c r="H127" s="82" t="str">
        <x:v>独立引用身份与目标身份</x:v>
      </x:c>
      <x:c r="I127" s="82" t="str">
        <x:v>Platform/Core/Projects.cs</x:v>
      </x:c>
      <x:c r="J127" s="82" t="str">
        <x:v>R2建议：尚待类型/签名/迁移单测确认</x:v>
      </x:c>
    </x:row>
    <x:row r="128">
      <x:c r="A128" s="82" t="str">
        <x:v>M02.SymbolReference</x:v>
      </x:c>
      <x:c r="B128" s="82" t="str">
        <x:v>SymbolReference</x:v>
      </x:c>
      <x:c r="C128" s="82" t="str">
        <x:v>class</x:v>
      </x:c>
      <x:c r="D128" s="82" t="str">
        <x:v>Core</x:v>
      </x:c>
      <x:c r="E128" s="82" t="str">
        <x:v>M02/M03</x:v>
      </x:c>
      <x:c r="F128" s="82" t="str">
        <x:v>符号定义的独立实例引用</x:v>
      </x:c>
      <x:c r="G128" s="82" t="str">
        <x:v>保留+重构</x:v>
      </x:c>
      <x:c r="H128" s="82" t="str">
        <x:v>实例Transform/Override与Definition隔离</x:v>
      </x:c>
      <x:c r="I128" s="82" t="str">
        <x:v>Platform/Core/Symbols.cs</x:v>
      </x:c>
      <x:c r="J128" s="82" t="str">
        <x:v>R2建议：尚待类型/签名/迁移单测确认</x:v>
      </x:c>
    </x:row>
    <x:row r="129">
      <x:c r="A129" s="82" t="str">
        <x:v>M03.ProjectObjectIndex</x:v>
      </x:c>
      <x:c r="B129" s="82" t="str">
        <x:v>ProjectObjectIndex</x:v>
      </x:c>
      <x:c r="C129" s="82" t="str">
        <x:v>class</x:v>
      </x:c>
      <x:c r="D129" s="82" t="str">
        <x:v>Core</x:v>
      </x:c>
      <x:c r="E129" s="82" t="str">
        <x:v>M03</x:v>
      </x:c>
      <x:c r="F129" s="82" t="str">
        <x:v>ID索引，失效刷新及跨资源查找</x:v>
      </x:c>
      <x:c r="G129" s="82" t="str">
        <x:v>保留+重构</x:v>
      </x:c>
      <x:c r="H129" s="82" t="str">
        <x:v>不是持久Graph</x:v>
      </x:c>
      <x:c r="I129" s="82" t="str">
        <x:v>Platform/Core/ProjectObjectIndex.cs</x:v>
      </x:c>
      <x:c r="J129" s="82" t="str">
        <x:v>R2建议：尚待类型/签名/迁移单测确认</x:v>
      </x:c>
    </x:row>
    <x:row r="130">
      <x:c r="A130" s="82" t="str">
        <x:v>M03.ReferenceResolver</x:v>
      </x:c>
      <x:c r="B130" s="82" t="str">
        <x:v>ReferenceResolver</x:v>
      </x:c>
      <x:c r="C130" s="82" t="str">
        <x:v>class</x:v>
      </x:c>
      <x:c r="D130" s="82" t="str">
        <x:v>Core</x:v>
      </x:c>
      <x:c r="E130" s="82" t="str">
        <x:v>M03</x:v>
      </x:c>
      <x:c r="F130" s="82" t="str">
        <x:v>统一解析ContentRef/SymbolRef</x:v>
      </x:c>
      <x:c r="G130" s="82" t="str">
        <x:v>保留+重构</x:v>
      </x:c>
      <x:c r="H130" s="82" t="str">
        <x:v>失效Ref提供诊断，不静默复制定义</x:v>
      </x:c>
      <x:c r="I130" s="82" t="str">
        <x:v>Platform/Core/CxNodeReferences.cs</x:v>
      </x:c>
      <x:c r="J130" s="82" t="str">
        <x:v>R2建议：尚待类型/签名/迁移单测确认</x:v>
      </x:c>
    </x:row>
    <x:row r="131">
      <x:c r="A131" s="82" t="str">
        <x:v>M04.PropertyDescriptor</x:v>
      </x:c>
      <x:c r="B131" s="82" t="str">
        <x:v>PropertyDescriptor</x:v>
      </x:c>
      <x:c r="C131" s="82" t="str">
        <x:v>class</x:v>
      </x:c>
      <x:c r="D131" s="82" t="str">
        <x:v>Core</x:v>
      </x:c>
      <x:c r="E131" s="82" t="str">
        <x:v>M04</x:v>
      </x:c>
      <x:c r="F131" s="82" t="str">
        <x:v>类型/可写性/校验/显示元数据</x:v>
      </x:c>
      <x:c r="G131" s="82" t="str">
        <x:v>保留+重构</x:v>
      </x:c>
      <x:c r="H131" s="82" t="str">
        <x:v>WPF使用同一元数据，不新建属性模型</x:v>
      </x:c>
      <x:c r="I131" s="82" t="str">
        <x:v>Platform/Core/PropertyMetadataRegistry.cs</x:v>
      </x:c>
      <x:c r="J131" s="82" t="str">
        <x:v>R2建议：尚待类型/签名/迁移单测确认</x:v>
      </x:c>
    </x:row>
    <x:row r="132">
      <x:c r="A132" s="82" t="str">
        <x:v>M05.CxPortDefinition</x:v>
      </x:c>
      <x:c r="B132" s="82" t="str">
        <x:v>CxPortDefinition</x:v>
      </x:c>
      <x:c r="C132" s="82" t="str">
        <x:v>class</x:v>
      </x:c>
      <x:c r="D132" s="82" t="str">
        <x:v>Core</x:v>
      </x:c>
      <x:c r="E132" s="82" t="str">
        <x:v>M05</x:v>
      </x:c>
      <x:c r="F132" s="82" t="str">
        <x:v>可编排端口稳定Key和方向/类型</x:v>
      </x:c>
      <x:c r="G132" s="82" t="str">
        <x:v>保留+改形态</x:v>
      </x:c>
      <x:c r="H132" s="82" t="str">
        <x:v>原候选写为接口需审实证；Port定义通常是DTO</x:v>
      </x:c>
      <x:c r="I132" s="82" t="str">
        <x:v>Platform/Core/CxNodePorts.cs</x:v>
      </x:c>
      <x:c r="J132" s="82" t="str">
        <x:v>R2建议：尚待类型/签名/迁移单测确认</x:v>
      </x:c>
    </x:row>
    <x:row r="133">
      <x:c r="A133" s="82" t="str">
        <x:v>M05.CxPortEndpoint</x:v>
      </x:c>
      <x:c r="B133" s="82" t="str">
        <x:v>CxPortEndpoint</x:v>
      </x:c>
      <x:c r="C133" s="82" t="str">
        <x:v>struct</x:v>
      </x:c>
      <x:c r="D133" s="82" t="str">
        <x:v>Core</x:v>
      </x:c>
      <x:c r="E133" s="82" t="str">
        <x:v>M05</x:v>
      </x:c>
      <x:c r="F133" s="82" t="str">
        <x:v>端点由OwnerId + PortKey组成</x:v>
      </x:c>
      <x:c r="G133" s="82" t="str">
        <x:v>变更形态</x:v>
      </x:c>
      <x:c r="H133" s="82" t="str">
        <x:v>原候选写为枚举；端点不是有限常量，宜值对象</x:v>
      </x:c>
      <x:c r="I133" s="82" t="str">
        <x:v>Platform/Core/CxNodePorts.cs</x:v>
      </x:c>
      <x:c r="J133" s="82" t="str">
        <x:v>R2建议：尚待类型/签名/迁移单测确认</x:v>
      </x:c>
    </x:row>
    <x:row r="134">
      <x:c r="A134" s="82" t="str">
        <x:v>M05.CxConnectionDefinition</x:v>
      </x:c>
      <x:c r="B134" s="82" t="str">
        <x:v>CxConnectionDefinition</x:v>
      </x:c>
      <x:c r="C134" s="82" t="str">
        <x:v>class</x:v>
      </x:c>
      <x:c r="D134" s="82" t="str">
        <x:v>Core</x:v>
      </x:c>
      <x:c r="E134" s="82" t="str">
        <x:v>M05</x:v>
      </x:c>
      <x:c r="F134" s="82" t="str">
        <x:v>关系连接身份与两端点</x:v>
      </x:c>
      <x:c r="G134" s="82" t="str">
        <x:v>保留+重构</x:v>
      </x:c>
      <x:c r="H134" s="82" t="str">
        <x:v>Diagram画线路径≠连接语义</x:v>
      </x:c>
      <x:c r="I134" s="82" t="str">
        <x:v>Platform/Core/CxConnections.cs</x:v>
      </x:c>
      <x:c r="J134" s="82" t="str">
        <x:v>R2建议：尚待类型/签名/迁移单测确认</x:v>
      </x:c>
    </x:row>
    <x:row r="135">
      <x:c r="A135" s="82" t="str">
        <x:v>M07.TransactionalMutation</x:v>
      </x:c>
      <x:c r="B135" s="82" t="str">
        <x:v>TransactionalMutation</x:v>
      </x:c>
      <x:c r="C135" s="82" t="str">
        <x:v>class</x:v>
      </x:c>
      <x:c r="D135" s="82" t="str">
        <x:v>Core</x:v>
      </x:c>
      <x:c r="E135" s="82" t="str">
        <x:v>M07</x:v>
      </x:c>
      <x:c r="F135" s="82" t="str">
        <x:v>事务式数据变更及变更记录</x:v>
      </x:c>
      <x:c r="G135" s="82" t="str">
        <x:v>收敛</x:v>
      </x:c>
      <x:c r="H135" s="82" t="str">
        <x:v>不持有拖拽/Handle/Undo栈</x:v>
      </x:c>
      <x:c r="I135" s="82" t="str">
        <x:v>Platform/Core/CxNodeMutationTransaction.cs</x:v>
      </x:c>
      <x:c r="J135" s="82" t="str">
        <x:v>R2建议：尚待类型/签名/迁移单测确认</x:v>
      </x:c>
    </x:row>
    <x:row r="136">
      <x:c r="A136" s="82" t="str">
        <x:v>M07.UnitOfWork</x:v>
      </x:c>
      <x:c r="B136" s="82" t="str">
        <x:v>UnitOfWork</x:v>
      </x:c>
      <x:c r="C136" s="82" t="str">
        <x:v>class</x:v>
      </x:c>
      <x:c r="D136" s="82" t="str">
        <x:v>Core</x:v>
      </x:c>
      <x:c r="E136" s="82" t="str">
        <x:v>M07</x:v>
      </x:c>
      <x:c r="F136" s="82" t="str">
        <x:v>定义对象多个变更的原子提交</x:v>
      </x:c>
      <x:c r="G136" s="82" t="str">
        <x:v>保留+重构</x:v>
      </x:c>
      <x:c r="H136" s="82" t="str">
        <x:v>不同于跨设备Saga补偿</x:v>
      </x:c>
      <x:c r="I136" s="82" t="str">
        <x:v>Platform/Core/CxNodeMutationTransaction.cs</x:v>
      </x:c>
      <x:c r="J136" s="82" t="str">
        <x:v>R2建议：尚待类型/签名/迁移单测确认</x:v>
      </x:c>
    </x:row>
    <x:row r="137">
      <x:c r="A137" s="82" t="str">
        <x:v>M38.TemplateDefinition</x:v>
      </x:c>
      <x:c r="B137" s="82" t="str">
        <x:v>TemplateDefinition</x:v>
      </x:c>
      <x:c r="C137" s="82" t="str">
        <x:v>class</x:v>
      </x:c>
      <x:c r="D137" s="82" t="str">
        <x:v>Core</x:v>
      </x:c>
      <x:c r="E137" s="82" t="str">
        <x:v>M38</x:v>
      </x:c>
      <x:c r="F137" s="82" t="str">
        <x:v>通用工程资源模板定义</x:v>
      </x:c>
      <x:c r="G137" s="82" t="str">
        <x:v>新增/原候选核对</x:v>
      </x:c>
      <x:c r="H137" s="82" t="str">
        <x:v>正式Owner迁自旧Visual归属；不得引用WPF</x:v>
      </x:c>
      <x:c r="I137" s="82" t="str">
        <x:v>Platform/Core/Templates.cs</x:v>
      </x:c>
      <x:c r="J137" s="82" t="str">
        <x:v>R2新增/跨边界建议：未写入553候选真源</x:v>
      </x:c>
    </x:row>
    <x:row r="138">
      <x:c r="A138" s="82" t="str">
        <x:v>M38.TemplateInstantiator</x:v>
      </x:c>
      <x:c r="B138" s="82" t="str">
        <x:v>TemplateInstantiator</x:v>
      </x:c>
      <x:c r="C138" s="82" t="str">
        <x:v>class</x:v>
      </x:c>
      <x:c r="D138" s="82" t="str">
        <x:v>Core</x:v>
      </x:c>
      <x:c r="E138" s="82" t="str">
        <x:v>M38</x:v>
      </x:c>
      <x:c r="F138" s="82" t="str">
        <x:v>在新Scope下实例化模板、重映射ID</x:v>
      </x:c>
      <x:c r="G138" s="82" t="str">
        <x:v>新增/原候选核对</x:v>
      </x:c>
      <x:c r="H138" s="82" t="str">
        <x:v>格式扩展通过接口，专业解析留上层</x:v>
      </x:c>
      <x:c r="I138" s="82" t="str">
        <x:v>Platform/Core/CxTemplateDefinitions.cs</x:v>
      </x:c>
      <x:c r="J138" s="82" t="str">
        <x:v>R2新增/跨边界建议：未写入553候选真源</x:v>
      </x:c>
    </x:row>
    <x:row r="139">
      <x:c r="A139" s="82" t="str">
        <x:v>M16.CanvasHost</x:v>
      </x:c>
      <x:c r="B139" s="82" t="str">
        <x:v>CxCanvasHost</x:v>
      </x:c>
      <x:c r="C139" s="82" t="str">
        <x:v>class</x:v>
      </x:c>
      <x:c r="D139" s="82" t="str">
        <x:v>Visual</x:v>
      </x:c>
      <x:c r="E139" s="82" t="str">
        <x:v>M16</x:v>
      </x:c>
      <x:c r="F139" s="82" t="str">
        <x:v>Content/Page到可视帧的唯一投影入口</x:v>
      </x:c>
      <x:c r="G139" s="82" t="str">
        <x:v>保留+重构</x:v>
      </x:c>
      <x:c r="H139" s="82" t="str">
        <x:v>不可持有WPF控件</x:v>
      </x:c>
      <x:c r="I139" s="82" t="str">
        <x:v>Platform/Workbench/Drawing/CxCanvasHost.cs</x:v>
      </x:c>
      <x:c r="J139" s="82" t="str">
        <x:v>R2建议：尚待类型/签名/迁移单测确认</x:v>
      </x:c>
    </x:row>
    <x:row r="140">
      <x:c r="A140" s="82" t="str">
        <x:v>M16.HitTestService</x:v>
      </x:c>
      <x:c r="B140" s="82" t="str">
        <x:v>CxHitTestService</x:v>
      </x:c>
      <x:c r="C140" s="82" t="str">
        <x:v>class</x:v>
      </x:c>
      <x:c r="D140" s="82" t="str">
        <x:v>Visual</x:v>
      </x:c>
      <x:c r="E140" s="82" t="str">
        <x:v>M16</x:v>
      </x:c>
      <x:c r="F140" s="82" t="str">
        <x:v>画布坐标/几何命中与优先级</x:v>
      </x:c>
      <x:c r="G140" s="82" t="str">
        <x:v>整合</x:v>
      </x:c>
      <x:c r="H140" s="82" t="str">
        <x:v>消除SceneView第二套HitTest</x:v>
      </x:c>
      <x:c r="I140" s="82" t="str">
        <x:v>Platform/Workbench/Drawing/CxCanvasHost.cs</x:v>
      </x:c>
      <x:c r="J140" s="82" t="str">
        <x:v>R2建议：尚待类型/签名/迁移单测确认</x:v>
      </x:c>
    </x:row>
    <x:row r="141">
      <x:c r="A141" s="82" t="str">
        <x:v>M16.SelectionService</x:v>
      </x:c>
      <x:c r="B141" s="82" t="str">
        <x:v>CxSelectionState</x:v>
      </x:c>
      <x:c r="C141" s="82" t="str">
        <x:v>class</x:v>
      </x:c>
      <x:c r="D141" s="82" t="str">
        <x:v>Visual</x:v>
      </x:c>
      <x:c r="E141" s="82" t="str">
        <x:v>M16</x:v>
      </x:c>
      <x:c r="F141" s="82" t="str">
        <x:v>按画布会话记录Selection/Hover</x:v>
      </x:c>
      <x:c r="G141" s="82" t="str">
        <x:v>变更为每会话状态</x:v>
      </x:c>
      <x:c r="H141" s="82" t="str">
        <x:v>不能被DocumentContext全局单例选择代替</x:v>
      </x:c>
      <x:c r="I141" s="82" t="str">
        <x:v>Platform/Workbench/Editing/CxSelectionService.cs</x:v>
      </x:c>
      <x:c r="J141" s="82" t="str">
        <x:v>R2建议：尚待类型/签名/迁移单测确认</x:v>
      </x:c>
    </x:row>
    <x:row r="142">
      <x:c r="A142" s="82" t="str">
        <x:v>M16.ViewTransform</x:v>
      </x:c>
      <x:c r="B142" s="82" t="str">
        <x:v>CxViewportState</x:v>
      </x:c>
      <x:c r="C142" s="82" t="str">
        <x:v>class</x:v>
      </x:c>
      <x:c r="D142" s="82" t="str">
        <x:v>Visual</x:v>
      </x:c>
      <x:c r="E142" s="82" t="str">
        <x:v>M16</x:v>
      </x:c>
      <x:c r="F142" s="82" t="str">
        <x:v>每画布视口的Zoom/Pan/Rotation</x:v>
      </x:c>
      <x:c r="G142" s="82" t="str">
        <x:v>由错误枚举形态调整</x:v>
      </x:c>
      <x:c r="H142" s="82" t="str">
        <x:v>原候选Enum不合适；模型状态</x:v>
      </x:c>
      <x:c r="I142" s="82" t="str">
        <x:v>Platform/Workbench/Drawing/CxCanvasDefinitions.cs</x:v>
      </x:c>
      <x:c r="J142" s="82" t="str">
        <x:v>R2建议：尚待类型/签名/迁移单测确认</x:v>
      </x:c>
    </x:row>
    <x:row r="143">
      <x:c r="A143" s="82" t="str">
        <x:v>M16.LayerManager</x:v>
      </x:c>
      <x:c r="B143" s="82" t="str">
        <x:v>CxLayerProjection</x:v>
      </x:c>
      <x:c r="C143" s="82" t="str">
        <x:v>class</x:v>
      </x:c>
      <x:c r="D143" s="82" t="str">
        <x:v>Visual</x:v>
      </x:c>
      <x:c r="E143" s="82" t="str">
        <x:v>M16</x:v>
      </x:c>
      <x:c r="F143" s="82" t="str">
        <x:v>工程图层的投影排序和显示控制</x:v>
      </x:c>
      <x:c r="G143" s="82" t="str">
        <x:v>收敛</x:v>
      </x:c>
      <x:c r="H143" s="82" t="str">
        <x:v>持久Layer仍Core</x:v>
      </x:c>
      <x:c r="I143" s="82" t="str">
        <x:v>Platform/Workbench/Drawing/CxCanvasDefinitions.cs</x:v>
      </x:c>
      <x:c r="J143" s="82" t="str">
        <x:v>R2建议：尚待类型/签名/迁移单测确认</x:v>
      </x:c>
    </x:row>
    <x:row r="144">
      <x:c r="A144" s="82" t="str">
        <x:v>M17.GraphCanvas</x:v>
      </x:c>
      <x:c r="B144" s="82" t="str">
        <x:v>CxDiagramCanvas</x:v>
      </x:c>
      <x:c r="C144" s="82" t="str">
        <x:v>class</x:v>
      </x:c>
      <x:c r="D144" s="82" t="str">
        <x:v>Visual</x:v>
      </x:c>
      <x:c r="E144" s="82" t="str">
        <x:v>M17</x:v>
      </x:c>
      <x:c r="F144" s="82" t="str">
        <x:v>Diagram节点端口连线的非UI投影</x:v>
      </x:c>
      <x:c r="G144" s="82" t="str">
        <x:v>重命名收敛</x:v>
      </x:c>
      <x:c r="H144" s="82" t="str">
        <x:v>GraphCanvas是原候选名，不做第二个Canvas</x:v>
      </x:c>
      <x:c r="I144" s="82" t="str">
        <x:v>Platform/Workbench/Drawing/CxDiagramCanvas.cs</x:v>
      </x:c>
      <x:c r="J144" s="82" t="str">
        <x:v>R2建议：尚待类型/签名/迁移单测确认</x:v>
      </x:c>
    </x:row>
    <x:row r="145">
      <x:c r="A145" s="82" t="str">
        <x:v>M17.GraphNodePresenter</x:v>
      </x:c>
      <x:c r="B145" s="82" t="str">
        <x:v>CxNodePresenter</x:v>
      </x:c>
      <x:c r="C145" s="82" t="str">
        <x:v>class</x:v>
      </x:c>
      <x:c r="D145" s="82" t="str">
        <x:v>Visual</x:v>
      </x:c>
      <x:c r="E145" s="82" t="str">
        <x:v>M17</x:v>
      </x:c>
      <x:c r="F145" s="82" t="str">
        <x:v>Node外观信息与DrawPrimitive</x:v>
      </x:c>
      <x:c r="G145" s="82" t="str">
        <x:v>保留+重构</x:v>
      </x:c>
      <x:c r="H145" s="82" t="str">
        <x:v>无执行语义</x:v>
      </x:c>
      <x:c r="I145" s="82" t="str">
        <x:v>Platform/Workbench/Drawing/CxDiagramPresenters.cs</x:v>
      </x:c>
      <x:c r="J145" s="82" t="str">
        <x:v>R2建议：尚待类型/签名/迁移单测确认</x:v>
      </x:c>
    </x:row>
    <x:row r="146">
      <x:c r="A146" s="82" t="str">
        <x:v>M17.GraphEdgePresenter</x:v>
      </x:c>
      <x:c r="B146" s="82" t="str">
        <x:v>CxEdgePresenter</x:v>
      </x:c>
      <x:c r="C146" s="82" t="str">
        <x:v>class</x:v>
      </x:c>
      <x:c r="D146" s="82" t="str">
        <x:v>Visual</x:v>
      </x:c>
      <x:c r="E146" s="82" t="str">
        <x:v>M17</x:v>
      </x:c>
      <x:c r="F146" s="82" t="str">
        <x:v>Edge外观和路由</x:v>
      </x:c>
      <x:c r="G146" s="82" t="str">
        <x:v>保留+重构</x:v>
      </x:c>
      <x:c r="H146" s="82" t="str">
        <x:v>LogicLink才是逻辑关系</x:v>
      </x:c>
      <x:c r="I146" s="82" t="str">
        <x:v>Platform/Workbench/Drawing/CxDiagramPresenters.cs</x:v>
      </x:c>
      <x:c r="J146" s="82" t="str">
        <x:v>R2建议：尚待类型/签名/迁移单测确认</x:v>
      </x:c>
    </x:row>
    <x:row r="147">
      <x:c r="A147" s="82" t="str">
        <x:v>M17.IEdgeRouter</x:v>
      </x:c>
      <x:c r="B147" s="82" t="str">
        <x:v>ICxEdgeRouter</x:v>
      </x:c>
      <x:c r="C147" s="82" t="str">
        <x:v>interface</x:v>
      </x:c>
      <x:c r="D147" s="82" t="str">
        <x:v>Visual</x:v>
      </x:c>
      <x:c r="E147" s="82" t="str">
        <x:v>M17</x:v>
      </x:c>
      <x:c r="F147" s="82" t="str">
        <x:v>连线路由算法可替换接口</x:v>
      </x:c>
      <x:c r="G147" s="82" t="str">
        <x:v>保留</x:v>
      </x:c>
      <x:c r="H147" s="82" t="str">
        <x:v>边路由属于布局，不修改逻辑关系</x:v>
      </x:c>
      <x:c r="I147" s="82" t="str">
        <x:v>Platform/Workbench/Drawing/CxEdgeRouter.cs</x:v>
      </x:c>
      <x:c r="J147" s="82" t="str">
        <x:v>R2建议：尚待类型/签名/迁移单测确认</x:v>
      </x:c>
    </x:row>
    <x:row r="148">
      <x:c r="A148" s="82" t="str">
        <x:v>M17.IGraphLayout</x:v>
      </x:c>
      <x:c r="B148" s="82" t="str">
        <x:v>ICxDiagramLayout</x:v>
      </x:c>
      <x:c r="C148" s="82" t="str">
        <x:v>interface</x:v>
      </x:c>
      <x:c r="D148" s="82" t="str">
        <x:v>Visual</x:v>
      </x:c>
      <x:c r="E148" s="82" t="str">
        <x:v>M17</x:v>
      </x:c>
      <x:c r="F148" s="82" t="str">
        <x:v>Diagram的UI无关自动布局</x:v>
      </x:c>
      <x:c r="G148" s="82" t="str">
        <x:v>改名保留</x:v>
      </x:c>
      <x:c r="H148" s="82" t="str">
        <x:v>只读拓扑生成布局，保存交Core事务</x:v>
      </x:c>
      <x:c r="I148" s="82" t="str">
        <x:v>Platform/Workbench/Drawing/CxAutoLayoutService.cs</x:v>
      </x:c>
      <x:c r="J148" s="82" t="str">
        <x:v>R2建议：尚待类型/签名/迁移单测确认</x:v>
      </x:c>
    </x:row>
    <x:row r="149">
      <x:c r="A149" s="82" t="str">
        <x:v>M37.VisualEditCommand</x:v>
      </x:c>
      <x:c r="B149" s="82" t="str">
        <x:v>ICxVisualEditCommand</x:v>
      </x:c>
      <x:c r="C149" s="82" t="str">
        <x:v>interface</x:v>
      </x:c>
      <x:c r="D149" s="82" t="str">
        <x:v>Visual</x:v>
      </x:c>
      <x:c r="E149" s="82" t="str">
        <x:v>M37</x:v>
      </x:c>
      <x:c r="F149" s="82" t="str">
        <x:v>Move/Resize/Align/Connect可逆命令抽象</x:v>
      </x:c>
      <x:c r="G149" s="82" t="str">
        <x:v>新增/原候选核对</x:v>
      </x:c>
      <x:c r="H149" s="82" t="str">
        <x:v>Core只保障变更提交</x:v>
      </x:c>
      <x:c r="I149" s="82" t="str">
        <x:v>Platform/Workbench/Editing/CxUndoService.cs</x:v>
      </x:c>
      <x:c r="J149" s="82" t="str">
        <x:v>R2新增/跨边界建议：未写入553候选真源</x:v>
      </x:c>
    </x:row>
    <x:row r="150">
      <x:c r="A150" s="82" t="str">
        <x:v>M37.VisualUndoHistory</x:v>
      </x:c>
      <x:c r="B150" s="82" t="str">
        <x:v>CxVisualUndoHistory</x:v>
      </x:c>
      <x:c r="C150" s="82" t="str">
        <x:v>class</x:v>
      </x:c>
      <x:c r="D150" s="82" t="str">
        <x:v>Visual</x:v>
      </x:c>
      <x:c r="E150" s="82" t="str">
        <x:v>M37</x:v>
      </x:c>
      <x:c r="F150" s="82" t="str">
        <x:v>视觉编辑命令分组、撤销重做与故障态</x:v>
      </x:c>
      <x:c r="G150" s="82" t="str">
        <x:v>重构</x:v>
      </x:c>
      <x:c r="H150" s="82" t="str">
        <x:v>作用域为编辑文档，不能静默跨文档撤销</x:v>
      </x:c>
      <x:c r="I150" s="82" t="str">
        <x:v>Platform/Workbench/Editing/CxUndoService.cs</x:v>
      </x:c>
      <x:c r="J150" s="82" t="str">
        <x:v>R2新增/跨边界建议：未写入553候选真源</x:v>
      </x:c>
    </x:row>
    <x:row r="151">
      <x:c r="A151" s="82" t="str">
        <x:v>M37.MoveElementsCommand</x:v>
      </x:c>
      <x:c r="B151" s="82" t="str">
        <x:v>CxMoveElementsCommand</x:v>
      </x:c>
      <x:c r="C151" s="82" t="str">
        <x:v>class</x:v>
      </x:c>
      <x:c r="D151" s="82" t="str">
        <x:v>Visual</x:v>
      </x:c>
      <x:c r="E151" s="82" t="str">
        <x:v>M37</x:v>
      </x:c>
      <x:c r="F151" s="82" t="str">
        <x:v>可逆复合移动命令</x:v>
      </x:c>
      <x:c r="G151" s="82" t="str">
        <x:v>新增/原候选核对</x:v>
      </x:c>
      <x:c r="H151" s="82" t="str">
        <x:v>Group父级变换优先；一次拖动一次记录</x:v>
      </x:c>
      <x:c r="I151" s="82" t="str">
        <x:v>Platform/Workbench/Editing/CxUndoService.cs</x:v>
      </x:c>
      <x:c r="J151" s="82" t="str">
        <x:v>R2新增/跨边界建议：未写入553候选真源</x:v>
      </x:c>
    </x:row>
    <x:row r="152">
      <x:c r="A152" s="82" t="str">
        <x:v>M37.EditSession</x:v>
      </x:c>
      <x:c r="B152" s="82" t="str">
        <x:v>CxVisualEditSession</x:v>
      </x:c>
      <x:c r="C152" s="82" t="str">
        <x:v>class</x:v>
      </x:c>
      <x:c r="D152" s="82" t="str">
        <x:v>Visual</x:v>
      </x:c>
      <x:c r="E152" s="82" t="str">
        <x:v>M37</x:v>
      </x:c>
      <x:c r="F152" s="82" t="str">
        <x:v>一画布编辑会话、工具与拖动预览</x:v>
      </x:c>
      <x:c r="G152" s="82" t="str">
        <x:v>新增/原候选核对</x:v>
      </x:c>
      <x:c r="H152" s="82" t="str">
        <x:v>会话状态不直接持久化</x:v>
      </x:c>
      <x:c r="I152" s="82" t="str">
        <x:v>Platform/Workbench/Editing/CxDocumentContext.cs</x:v>
      </x:c>
      <x:c r="J152" s="82" t="str">
        <x:v>R2新增/跨边界建议：未写入553候选真源</x:v>
      </x:c>
    </x:row>
    <x:row r="153">
      <x:c r="A153" s="82" t="str">
        <x:v>WPF.SceneView</x:v>
      </x:c>
      <x:c r="B153" s="82" t="str">
        <x:v>CxSceneView</x:v>
      </x:c>
      <x:c r="C153" s="82" t="str">
        <x:v>class</x:v>
      </x:c>
      <x:c r="D153" s="82" t="str">
        <x:v>WPF</x:v>
      </x:c>
      <x:c r="E153" s="82" t="str">
        <x:v>—</x:v>
      </x:c>
      <x:c r="F153" s="82" t="str">
        <x:v>WPF视觉控件宿主</x:v>
      </x:c>
      <x:c r="G153" s="82" t="str">
        <x:v>旧类迁移</x:v>
      </x:c>
      <x:c r="H153" s="82" t="str">
        <x:v>只负责OnRender、输入适配、DPI与焦点</x:v>
      </x:c>
      <x:c r="I153" s="82" t="str">
        <x:v>Platform.Presentation.Wpf/Rendering/SceneView.cs</x:v>
      </x:c>
      <x:c r="J153" s="82" t="str">
        <x:v>R2新增/跨边界建议：未写入553候选真源</x:v>
      </x:c>
    </x:row>
    <x:row r="154">
      <x:c r="A154" s="82" t="str">
        <x:v>WPF.CanvasDrawingTarget</x:v>
      </x:c>
      <x:c r="B154" s="82" t="str">
        <x:v>CxWpfCanvasDrawingTarget</x:v>
      </x:c>
      <x:c r="C154" s="82" t="str">
        <x:v>class</x:v>
      </x:c>
      <x:c r="D154" s="82" t="str">
        <x:v>WPF</x:v>
      </x:c>
      <x:c r="E154" s="82" t="str">
        <x:v>—</x:v>
      </x:c>
      <x:c r="F154" s="82" t="str">
        <x:v>将CxCanvasFrame绘为WPF DrawingContext</x:v>
      </x:c>
      <x:c r="G154" s="82" t="str">
        <x:v>旧类迁移</x:v>
      </x:c>
      <x:c r="H154" s="82" t="str">
        <x:v>不得直接改变Element/逻辑对象</x:v>
      </x:c>
      <x:c r="I154" s="82" t="str">
        <x:v>Platform.Presentation.Wpf/Rendering/CxCanvasDrawingTarget.cs</x:v>
      </x:c>
      <x:c r="J154" s="82" t="str">
        <x:v>R2新增/跨边界建议：未写入553候选真源</x:v>
      </x:c>
    </x:row>
    <x:row r="155">
      <x:c r="A155" s="82" t="str">
        <x:v>WPF.DiagramDrawingTarget</x:v>
      </x:c>
      <x:c r="B155" s="82" t="str">
        <x:v>CxWpfDiagramDrawingTarget</x:v>
      </x:c>
      <x:c r="C155" s="82" t="str">
        <x:v>class</x:v>
      </x:c>
      <x:c r="D155" s="82" t="str">
        <x:v>WPF</x:v>
      </x:c>
      <x:c r="E155" s="82" t="str">
        <x:v>—</x:v>
      </x:c>
      <x:c r="F155" s="82" t="str">
        <x:v>将DiagramFrame绘为WPF</x:v>
      </x:c>
      <x:c r="G155" s="82" t="str">
        <x:v>旧类迁移</x:v>
      </x:c>
      <x:c r="H155" s="82" t="str">
        <x:v>不能拥有Diagram业务连接</x:v>
      </x:c>
      <x:c r="I155" s="82" t="str">
        <x:v>Platform.Presentation.Wpf/Rendering/CxDiagramDrawingTarget.cs</x:v>
      </x:c>
      <x:c r="J155" s="82" t="str">
        <x:v>R2新增/跨边界建议：未写入553候选真源</x:v>
      </x:c>
    </x:row>
    <x:row r="156">
      <x:c r="A156" s="82" t="str">
        <x:v>WPF.InputAdapter</x:v>
      </x:c>
      <x:c r="B156" s="82" t="str">
        <x:v>CxWpfInputAdapter</x:v>
      </x:c>
      <x:c r="C156" s="82" t="str">
        <x:v>class</x:v>
      </x:c>
      <x:c r="D156" s="82" t="str">
        <x:v>WPF</x:v>
      </x:c>
      <x:c r="E156" s="82" t="str">
        <x:v>—</x:v>
      </x:c>
      <x:c r="F156" s="82" t="str">
        <x:v>WPF鼠标键盘输入→UI无关VisualIntent</x:v>
      </x:c>
      <x:c r="G156" s="82" t="str">
        <x:v>建议新增</x:v>
      </x:c>
      <x:c r="H156" s="82" t="str">
        <x:v>不得建立第二套Selection/Viewport</x:v>
      </x:c>
      <x:c r="I156" s="82" t="str">
        <x:v>Platform.Presentation.Wpf/Rendering/SceneView.cs</x:v>
      </x:c>
      <x:c r="J156" s="82" t="str">
        <x:v>R2新增/跨边界建议：未写入553候选真源</x:v>
      </x:c>
    </x:row>
    <x:row r="157">
      <x:c r="A157" s="82" t="str">
        <x:v>WPF.TextMeasurer</x:v>
      </x:c>
      <x:c r="B157" s="82" t="str">
        <x:v>CxWpfTextMeasurer</x:v>
      </x:c>
      <x:c r="C157" s="82" t="str">
        <x:v>class</x:v>
      </x:c>
      <x:c r="D157" s="82" t="str">
        <x:v>WPF</x:v>
      </x:c>
      <x:c r="E157" s="82" t="str">
        <x:v>—</x:v>
      </x:c>
      <x:c r="F157" s="82" t="str">
        <x:v>通过WPF测量字体并反馈Visual</x:v>
      </x:c>
      <x:c r="G157" s="82" t="str">
        <x:v>建议新增</x:v>
      </x:c>
      <x:c r="H157" s="82" t="str">
        <x:v>字体测量与DPI相关，Visual不直接使用WPF</x:v>
      </x:c>
      <x:c r="I157" s="82" t="str">
        <x:v>Platform.Presentation.Wpf/Rendering/SceneView.cs</x:v>
      </x:c>
      <x:c r="J157" s="82" t="str">
        <x:v>R2新增/跨边界建议：未写入553候选真源</x:v>
      </x:c>
    </x:row>
    <x:row r="158">
      <x:c r="A158" s="82" t="str">
        <x:v>M18.LogicDefinition</x:v>
      </x:c>
      <x:c r="B158" s="82" t="str">
        <x:v>LogicDefinition</x:v>
      </x:c>
      <x:c r="C158" s="82" t="str">
        <x:v>class</x:v>
      </x:c>
      <x:c r="D158" s="82" t="str">
        <x:v>Core（定义存储）</x:v>
      </x:c>
      <x:c r="E158" s="82" t="str">
        <x:v>M18/M02</x:v>
      </x:c>
      <x:c r="F158" s="82" t="str">
        <x:v>Content逻辑方面定义，语义交Orchestration</x:v>
      </x:c>
      <x:c r="G158" s="82" t="str">
        <x:v>跨项目边界</x:v>
      </x:c>
      <x:c r="H158" s="82" t="str">
        <x:v>原源码附着Content；保留定义Owner但不让Core执行流程</x:v>
      </x:c>
      <x:c r="I158" s="82" t="str">
        <x:v>Platform/Core/LogicDefinitions.cs</x:v>
      </x:c>
      <x:c r="J158" s="82" t="str">
        <x:v>R2新增/跨边界建议：未写入553候选真源</x:v>
      </x:c>
    </x:row>
    <x:row r="159">
      <x:c r="A159" s="82" t="str">
        <x:v>M18.LogicUnit</x:v>
      </x:c>
      <x:c r="B159" s="82" t="str">
        <x:v>LogicUnit</x:v>
      </x:c>
      <x:c r="C159" s="82" t="str">
        <x:v>class</x:v>
      </x:c>
      <x:c r="D159" s="82" t="str">
        <x:v>Core（定义存储）</x:v>
      </x:c>
      <x:c r="E159" s="82" t="str">
        <x:v>M18</x:v>
      </x:c>
      <x:c r="F159" s="82" t="str">
        <x:v>逻辑单元及稳定UnitId</x:v>
      </x:c>
      <x:c r="G159" s="82" t="str">
        <x:v>跨项目边界</x:v>
      </x:c>
      <x:c r="H159" s="82" t="str">
        <x:v>位置不再存于LogicUnit；转可视布局关联</x:v>
      </x:c>
      <x:c r="I159" s="82" t="str">
        <x:v>Platform/Core/LogicDefinitions.cs</x:v>
      </x:c>
      <x:c r="J159" s="82" t="str">
        <x:v>R2新增/跨边界建议：未写入553候选真源</x:v>
      </x:c>
    </x:row>
    <x:row r="160">
      <x:c r="A160" s="82" t="str">
        <x:v>M19.LogicLink</x:v>
      </x:c>
      <x:c r="B160" s="82" t="str">
        <x:v>LogicLink</x:v>
      </x:c>
      <x:c r="C160" s="82" t="str">
        <x:v>class</x:v>
      </x:c>
      <x:c r="D160" s="82" t="str">
        <x:v>Core（定义存储）</x:v>
      </x:c>
      <x:c r="E160" s="82" t="str">
        <x:v>M19/M05</x:v>
      </x:c>
      <x:c r="F160" s="82" t="str">
        <x:v>源/目标端口、连接种类和条件</x:v>
      </x:c>
      <x:c r="G160" s="82" t="str">
        <x:v>跨项目边界</x:v>
      </x:c>
      <x:c r="H160" s="82" t="str">
        <x:v>几何路由不能替代LogicLink</x:v>
      </x:c>
      <x:c r="I160" s="82" t="str">
        <x:v>Platform/Core/LogicDefinitions.cs</x:v>
      </x:c>
      <x:c r="J160" s="82" t="str">
        <x:v>R2新增/跨边界建议：未写入553候选真源</x:v>
      </x:c>
    </x:row>
    <x:row r="161">
      <x:c r="A161" s="82" t="str">
        <x:v>M29.LogicCompiler</x:v>
      </x:c>
      <x:c r="B161" s="82" t="str">
        <x:v>LogicDefinitionCompiler</x:v>
      </x:c>
      <x:c r="C161" s="82" t="str">
        <x:v>class</x:v>
      </x:c>
      <x:c r="D161" s="82" t="str">
        <x:v>Runtime</x:v>
      </x:c>
      <x:c r="E161" s="82" t="str">
        <x:v>M29</x:v>
      </x:c>
      <x:c r="F161" s="82" t="str">
        <x:v>将已验证逻辑编译为不可变计划</x:v>
      </x:c>
      <x:c r="G161" s="82" t="str">
        <x:v>保持边界</x:v>
      </x:c>
      <x:c r="H161" s="82" t="str">
        <x:v>不得引用WPF/Visual</x:v>
      </x:c>
      <x:c r="I161" s="82" t="str">
        <x:v>Platform/Orchestration/Compiler/LogicDefinitionCompiler.cs</x:v>
      </x:c>
      <x:c r="J161" s="82" t="str">
        <x:v>R2新增/跨边界建议：未写入553候选真源</x:v>
      </x:c>
    </x:row>
    <x:row r="162">
      <x:c r="A162" s="82" t="str">
        <x:v>M10.DataHandle</x:v>
      </x:c>
      <x:c r="B162" s="82" t="str">
        <x:v>DataHandle</x:v>
      </x:c>
      <x:c r="C162" s="82" t="str">
        <x:v>interface</x:v>
      </x:c>
      <x:c r="D162" s="82" t="str">
        <x:v>Data</x:v>
      </x:c>
      <x:c r="E162" s="82" t="str">
        <x:v>M10</x:v>
      </x:c>
      <x:c r="F162" s="82" t="str">
        <x:v>跨流程数据租约/所有权/引用</x:v>
      </x:c>
      <x:c r="G162" s="82" t="str">
        <x:v>待具体化</x:v>
      </x:c>
      <x:c r="H162" s="82" t="str">
        <x:v>CT大数据生命周期与失败归还需要专项测试</x:v>
      </x:c>
      <x:c r="I162" s="82" t="str">
        <x:v>Platform/Core/CxDataAspect.cs</x:v>
      </x:c>
      <x:c r="J162" s="82" t="str">
        <x:v>R2新增/跨边界建议：未写入553候选真源</x:v>
      </x:c>
    </x:row>
    <x:row r="163">
      <x:c r="A163" s="82"/>
      <x:c r="B163" s="82"/>
      <x:c r="C163" s="82"/>
      <x:c r="D163" s="82"/>
      <x:c r="E163" s="82"/>
      <x:c r="F163" s="82"/>
      <x:c r="G163" s="82"/>
      <x:c r="H163" s="82"/>
      <x:c r="I163" s="82"/>
      <x:c r="J163" s="82"/>
    </x:row>
    <x:row r="164">
      <x:c r="A164" s="82"/>
      <x:c r="B164" s="82"/>
      <x:c r="C164" s="82"/>
      <x:c r="D164" s="82"/>
      <x:c r="E164" s="82"/>
      <x:c r="F164" s="82"/>
      <x:c r="G164" s="82"/>
      <x:c r="H164" s="82"/>
      <x:c r="I164" s="82"/>
      <x:c r="J164" s="82"/>
    </x:row>
    <x:row r="165" ht="27" customHeight="1">
      <x:c r="A165" s="108" t="str">
        <x:v>E. R2公开API类型签名闭合（45条）</x:v>
      </x:c>
      <x:c r="B165" s="108"/>
      <x:c r="C165" s="108"/>
      <x:c r="D165" s="108"/>
      <x:c r="E165" s="108"/>
      <x:c r="F165" s="108"/>
      <x:c r="G165" s="108"/>
      <x:c r="H165" s="108"/>
      <x:c r="I165" s="108"/>
      <x:c r="J165" s="108"/>
    </x:row>
    <x:row r="166">
      <x:c r="A166" s="82" t="str">
        <x:v>API依赖类型</x:v>
      </x:c>
      <x:c r="B166" s="82" t="str">
        <x:v>建议形态</x:v>
      </x:c>
      <x:c r="C166" s="82" t="str">
        <x:v>唯一Owner（待裁决）</x:v>
      </x:c>
      <x:c r="D166" s="82" t="str">
        <x:v>必须定义的最小字段/行为</x:v>
      </x:c>
      <x:c r="E166" s="82" t="str">
        <x:v>来源性质</x:v>
      </x:c>
      <x:c r="F166" s="82" t="str">
        <x:v>测试关联</x:v>
      </x:c>
      <x:c r="G166" s="82"/>
      <x:c r="H166" s="82"/>
      <x:c r="I166" s="82"/>
      <x:c r="J166" s="82"/>
    </x:row>
    <x:row r="167">
      <x:c r="A167" s="82" t="str">
        <x:v>CxMutationError</x:v>
      </x:c>
      <x:c r="B167" s="82" t="str">
        <x:v>enum</x:v>
      </x:c>
      <x:c r="C167" s="82" t="str">
        <x:v>Core/M07</x:v>
      </x:c>
      <x:c r="D167" s="82" t="str">
        <x:v>Owner/索引/权限/版本/环/跨Project错误</x:v>
      </x:c>
      <x:c r="E167" s="82" t="str">
        <x:v>拟新增</x:v>
      </x:c>
      <x:c r="F167" s="82" t="str">
        <x:v>T01/T02</x:v>
      </x:c>
      <x:c r="G167" s="82"/>
      <x:c r="H167" s="82"/>
      <x:c r="I167" s="82"/>
      <x:c r="J167" s="82"/>
    </x:row>
    <x:row r="168">
      <x:c r="A168" s="82" t="str">
        <x:v>CxMutationResult</x:v>
      </x:c>
      <x:c r="B168" s="82" t="str">
        <x:v>class</x:v>
      </x:c>
      <x:c r="C168" s="82" t="str">
        <x:v>Core/M07</x:v>
      </x:c>
      <x:c r="D168" s="82" t="str">
        <x:v>成功标志、ChangedIds、Version、Errors</x:v>
      </x:c>
      <x:c r="E168" s="82" t="str">
        <x:v>拟新增</x:v>
      </x:c>
      <x:c r="F168" s="82" t="str">
        <x:v>T02/T14</x:v>
      </x:c>
      <x:c r="G168" s="82"/>
      <x:c r="H168" s="82"/>
      <x:c r="I168" s="82"/>
      <x:c r="J168" s="82"/>
    </x:row>
    <x:row r="169">
      <x:c r="A169" s="82" t="str">
        <x:v>CxNodeMutation</x:v>
      </x:c>
      <x:c r="B169" s="82" t="str">
        <x:v>class</x:v>
      </x:c>
      <x:c r="C169" s="82" t="str">
        <x:v>Core/M07</x:v>
      </x:c>
      <x:c r="D169" s="82" t="str">
        <x:v>操作类别、NodeId、变更值、前置版本</x:v>
      </x:c>
      <x:c r="E169" s="82" t="str">
        <x:v>拟新增</x:v>
      </x:c>
      <x:c r="F169" s="82" t="str">
        <x:v>T02</x:v>
      </x:c>
      <x:c r="G169" s="82"/>
      <x:c r="H169" s="82"/>
      <x:c r="I169" s="82"/>
      <x:c r="J169" s="82"/>
    </x:row>
    <x:row r="170">
      <x:c r="A170" s="82" t="str">
        <x:v>CxNodeChange</x:v>
      </x:c>
      <x:c r="B170" s="82" t="str">
        <x:v>class</x:v>
      </x:c>
      <x:c r="C170" s="82" t="str">
        <x:v>Core/M07</x:v>
      </x:c>
      <x:c r="D170" s="82" t="str">
        <x:v>可逆字段差异；不含Drag语义</x:v>
      </x:c>
      <x:c r="E170" s="82" t="str">
        <x:v>拟新增</x:v>
      </x:c>
      <x:c r="F170" s="82" t="str">
        <x:v>T14</x:v>
      </x:c>
      <x:c r="G170" s="82"/>
      <x:c r="H170" s="82"/>
      <x:c r="I170" s="82"/>
      <x:c r="J170" s="82"/>
    </x:row>
    <x:row r="171">
      <x:c r="A171" s="82" t="str">
        <x:v>ICxMutationTransaction</x:v>
      </x:c>
      <x:c r="B171" s="82" t="str">
        <x:v>interface</x:v>
      </x:c>
      <x:c r="C171" s="82" t="str">
        <x:v>Core/M07</x:v>
      </x:c>
      <x:c r="D171" s="82" t="str">
        <x:v>Apply/Commit/Rollback/Changes/Dispose</x:v>
      </x:c>
      <x:c r="E171" s="82" t="str">
        <x:v>拟新增</x:v>
      </x:c>
      <x:c r="F171" s="82" t="str">
        <x:v>T02</x:v>
      </x:c>
      <x:c r="G171" s="82"/>
      <x:c r="H171" s="82"/>
      <x:c r="I171" s="82"/>
      <x:c r="J171" s="82"/>
    </x:row>
    <x:row r="172">
      <x:c r="A172" s="82" t="str">
        <x:v>CxValidationResult</x:v>
      </x:c>
      <x:c r="B172" s="82" t="str">
        <x:v>class</x:v>
      </x:c>
      <x:c r="C172" s="82" t="str">
        <x:v>Core/M04/M08</x:v>
      </x:c>
      <x:c r="D172" s="82" t="str">
        <x:v>错误码、位置、参数、警告</x:v>
      </x:c>
      <x:c r="E172" s="82" t="str">
        <x:v>可复用待核</x:v>
      </x:c>
      <x:c r="F172" s="82" t="str">
        <x:v>T05/T06</x:v>
      </x:c>
      <x:c r="G172" s="82"/>
      <x:c r="H172" s="82"/>
      <x:c r="I172" s="82"/>
      <x:c r="J172" s="82"/>
    </x:row>
    <x:row r="173">
      <x:c r="A173" s="82" t="str">
        <x:v>CxValidationReport</x:v>
      </x:c>
      <x:c r="B173" s="82" t="str">
        <x:v>class</x:v>
      </x:c>
      <x:c r="C173" s="82" t="str">
        <x:v>Core/M08</x:v>
      </x:c>
      <x:c r="D173" s="82" t="str">
        <x:v>工程校验报告及证据</x:v>
      </x:c>
      <x:c r="E173" s="82" t="str">
        <x:v>可复用待核</x:v>
      </x:c>
      <x:c r="F173" s="82" t="str">
        <x:v>T07</x:v>
      </x:c>
      <x:c r="G173" s="82"/>
      <x:c r="H173" s="82"/>
      <x:c r="I173" s="82"/>
      <x:c r="J173" s="82"/>
    </x:row>
    <x:row r="174">
      <x:c r="A174" s="82" t="str">
        <x:v>CxReferenceError</x:v>
      </x:c>
      <x:c r="B174" s="82" t="str">
        <x:v>enum</x:v>
      </x:c>
      <x:c r="C174" s="82" t="str">
        <x:v>Core/M03</x:v>
      </x:c>
      <x:c r="D174" s="82" t="str">
        <x:v>NotFound/VersionMismatch/Cycle/Permission</x:v>
      </x:c>
      <x:c r="E174" s="82" t="str">
        <x:v>拟新增</x:v>
      </x:c>
      <x:c r="F174" s="82" t="str">
        <x:v>T03</x:v>
      </x:c>
      <x:c r="G174" s="82"/>
      <x:c r="H174" s="82"/>
      <x:c r="I174" s="82"/>
      <x:c r="J174" s="82"/>
    </x:row>
    <x:row r="175">
      <x:c r="A175" s="82" t="str">
        <x:v>CxPortDirection</x:v>
      </x:c>
      <x:c r="B175" s="82" t="str">
        <x:v>enum</x:v>
      </x:c>
      <x:c r="C175" s="82" t="str">
        <x:v>Core/M05</x:v>
      </x:c>
      <x:c r="D175" s="82" t="str">
        <x:v>Input/Output/InOut</x:v>
      </x:c>
      <x:c r="E175" s="82" t="str">
        <x:v>旧代码枚举待核</x:v>
      </x:c>
      <x:c r="F175" s="82" t="str">
        <x:v>T06</x:v>
      </x:c>
      <x:c r="G175" s="82"/>
      <x:c r="H175" s="82"/>
      <x:c r="I175" s="82"/>
      <x:c r="J175" s="82"/>
    </x:row>
    <x:row r="176">
      <x:c r="A176" s="82" t="str">
        <x:v>CxPortEndpoint</x:v>
      </x:c>
      <x:c r="B176" s="82" t="str">
        <x:v>struct</x:v>
      </x:c>
      <x:c r="C176" s="82" t="str">
        <x:v>Core/M05</x:v>
      </x:c>
      <x:c r="D176" s="82" t="str">
        <x:v>OwnerId+PortKey值对象</x:v>
      </x:c>
      <x:c r="E176" s="82" t="str">
        <x:v>修改R1候选类型</x:v>
      </x:c>
      <x:c r="F176" s="82" t="str">
        <x:v>T06</x:v>
      </x:c>
      <x:c r="G176" s="82"/>
      <x:c r="H176" s="82"/>
      <x:c r="I176" s="82"/>
      <x:c r="J176" s="82"/>
    </x:row>
    <x:row r="177">
      <x:c r="A177" s="82" t="str">
        <x:v>CxPropertyDescriptor</x:v>
      </x:c>
      <x:c r="B177" s="82" t="str">
        <x:v>class</x:v>
      </x:c>
      <x:c r="C177" s="82" t="str">
        <x:v>Core/M04</x:v>
      </x:c>
      <x:c r="D177" s="82" t="str">
        <x:v>Key/Type/Rules</x:v>
      </x:c>
      <x:c r="E177" s="82" t="str">
        <x:v>原PropertyDescriptor改名待核</x:v>
      </x:c>
      <x:c r="F177" s="82" t="str">
        <x:v>T05</x:v>
      </x:c>
      <x:c r="G177" s="82"/>
      <x:c r="H177" s="82"/>
      <x:c r="I177" s="82"/>
      <x:c r="J177" s="82"/>
    </x:row>
    <x:row r="178">
      <x:c r="A178" s="82" t="str">
        <x:v>CxTemplateDefinition</x:v>
      </x:c>
      <x:c r="B178" s="82" t="str">
        <x:v>class</x:v>
      </x:c>
      <x:c r="C178" s="82" t="str">
        <x:v>Core/M38</x:v>
      </x:c>
      <x:c r="D178" s="82" t="str">
        <x:v>TemplateId/Schema/Owner/Parameters</x:v>
      </x:c>
      <x:c r="E178" s="82" t="str">
        <x:v>拟新增</x:v>
      </x:c>
      <x:c r="F178" s="82" t="str">
        <x:v>T08</x:v>
      </x:c>
      <x:c r="G178" s="82"/>
      <x:c r="H178" s="82"/>
      <x:c r="I178" s="82"/>
      <x:c r="J178" s="82"/>
    </x:row>
    <x:row r="179">
      <x:c r="A179" s="82" t="str">
        <x:v>CxTemplateArguments</x:v>
      </x:c>
      <x:c r="B179" s="82" t="str">
        <x:v>class</x:v>
      </x:c>
      <x:c r="C179" s="82" t="str">
        <x:v>Core/M38</x:v>
      </x:c>
      <x:c r="D179" s="82" t="str">
        <x:v>参数映射及版本</x:v>
      </x:c>
      <x:c r="E179" s="82" t="str">
        <x:v>拟新增</x:v>
      </x:c>
      <x:c r="F179" s="82" t="str">
        <x:v>T08</x:v>
      </x:c>
      <x:c r="G179" s="82"/>
      <x:c r="H179" s="82"/>
      <x:c r="I179" s="82"/>
      <x:c r="J179" s="82"/>
    </x:row>
    <x:row r="180">
      <x:c r="A180" s="82" t="str">
        <x:v>CxTemplateResult</x:v>
      </x:c>
      <x:c r="B180" s="82" t="str">
        <x:v>class</x:v>
      </x:c>
      <x:c r="C180" s="82" t="str">
        <x:v>Core/M38</x:v>
      </x:c>
      <x:c r="D180" s="82" t="str">
        <x:v>新建对象/ID重映射/诊断</x:v>
      </x:c>
      <x:c r="E180" s="82" t="str">
        <x:v>拟新增</x:v>
      </x:c>
      <x:c r="F180" s="82" t="str">
        <x:v>T08</x:v>
      </x:c>
      <x:c r="G180" s="82"/>
      <x:c r="H180" s="82"/>
      <x:c r="I180" s="82"/>
      <x:c r="J180" s="82"/>
    </x:row>
    <x:row r="181">
      <x:c r="A181" s="82" t="str">
        <x:v>CxSerializationOptions</x:v>
      </x:c>
      <x:c r="B181" s="82" t="str">
        <x:v>class</x:v>
      </x:c>
      <x:c r="C181" s="82" t="str">
        <x:v>Core/M38</x:v>
      </x:c>
      <x:c r="D181" s="82" t="str">
        <x:v>SchemaVersion/UnknownFields处理</x:v>
      </x:c>
      <x:c r="E181" s="82" t="str">
        <x:v>拟新增</x:v>
      </x:c>
      <x:c r="F181" s="82" t="str">
        <x:v>T08</x:v>
      </x:c>
      <x:c r="G181" s="82"/>
      <x:c r="H181" s="82"/>
      <x:c r="I181" s="82"/>
      <x:c r="J181" s="82"/>
    </x:row>
    <x:row r="182">
      <x:c r="A182" s="82" t="str">
        <x:v>CxLoadOptions</x:v>
      </x:c>
      <x:c r="B182" s="82" t="str">
        <x:v>class</x:v>
      </x:c>
      <x:c r="C182" s="82" t="str">
        <x:v>Core/M38</x:v>
      </x:c>
      <x:c r="D182" s="82" t="str">
        <x:v>兼容加载政策</x:v>
      </x:c>
      <x:c r="E182" s="82" t="str">
        <x:v>拟新增</x:v>
      </x:c>
      <x:c r="F182" s="82" t="str">
        <x:v>T08</x:v>
      </x:c>
      <x:c r="G182" s="82"/>
      <x:c r="H182" s="82"/>
      <x:c r="I182" s="82"/>
      <x:c r="J182" s="82"/>
    </x:row>
    <x:row r="183">
      <x:c r="A183" s="82" t="str">
        <x:v>CxLoadResult</x:v>
      </x:c>
      <x:c r="B183" s="82" t="str">
        <x:v>class</x:v>
      </x:c>
      <x:c r="C183" s="82" t="str">
        <x:v>Core/M38</x:v>
      </x:c>
      <x:c r="D183" s="82" t="str">
        <x:v>加载工程与诊断</x:v>
      </x:c>
      <x:c r="E183" s="82" t="str">
        <x:v>拟新增</x:v>
      </x:c>
      <x:c r="F183" s="82" t="str">
        <x:v>T08</x:v>
      </x:c>
      <x:c r="G183" s="82"/>
      <x:c r="H183" s="82"/>
      <x:c r="I183" s="82"/>
      <x:c r="J183" s="82"/>
    </x:row>
    <x:row r="184">
      <x:c r="A184" s="82" t="str">
        <x:v>CxResourceDefinition</x:v>
      </x:c>
      <x:c r="B184" s="82" t="str">
        <x:v>class</x:v>
      </x:c>
      <x:c r="C184" s="82" t="str">
        <x:v>Core/M01</x:v>
      </x:c>
      <x:c r="D184" s="82" t="str">
        <x:v>Project独立资源与引用</x:v>
      </x:c>
      <x:c r="E184" s="82" t="str">
        <x:v>V7.8核对</x:v>
      </x:c>
      <x:c r="F184" s="82" t="str">
        <x:v>T01</x:v>
      </x:c>
      <x:c r="G184" s="82"/>
      <x:c r="H184" s="82"/>
      <x:c r="I184" s="82"/>
      <x:c r="J184" s="82"/>
    </x:row>
    <x:row r="185">
      <x:c r="A185" s="82" t="str">
        <x:v>CxCanvasFrame</x:v>
      </x:c>
      <x:c r="B185" s="82" t="str">
        <x:v>class</x:v>
      </x:c>
      <x:c r="C185" s="82" t="str">
        <x:v>Visual/M16</x:v>
      </x:c>
      <x:c r="D185" s="82" t="str">
        <x:v>帧信息、Items、Viewport快照</x:v>
      </x:c>
      <x:c r="E185" s="82" t="str">
        <x:v>V7.8已有</x:v>
      </x:c>
      <x:c r="F185" s="82" t="str">
        <x:v>T09</x:v>
      </x:c>
      <x:c r="G185" s="82"/>
      <x:c r="H185" s="82"/>
      <x:c r="I185" s="82"/>
      <x:c r="J185" s="82"/>
    </x:row>
    <x:row r="186">
      <x:c r="A186" s="82" t="str">
        <x:v>CxCanvasItem</x:v>
      </x:c>
      <x:c r="B186" s="82" t="str">
        <x:v>class</x:v>
      </x:c>
      <x:c r="C186" s="82" t="str">
        <x:v>Visual/M16</x:v>
      </x:c>
      <x:c r="D186" s="82" t="str">
        <x:v>NodeAddress、几何和样式快照</x:v>
      </x:c>
      <x:c r="E186" s="82" t="str">
        <x:v>V7.8已有</x:v>
      </x:c>
      <x:c r="F186" s="82" t="str">
        <x:v>T09</x:v>
      </x:c>
      <x:c r="G186" s="82"/>
      <x:c r="H186" s="82"/>
      <x:c r="I186" s="82"/>
      <x:c r="J186" s="82"/>
    </x:row>
    <x:row r="187">
      <x:c r="A187" s="82" t="str">
        <x:v>CxViewportState</x:v>
      </x:c>
      <x:c r="B187" s="82" t="str">
        <x:v>class</x:v>
      </x:c>
      <x:c r="C187" s="82" t="str">
        <x:v>Visual/M16</x:v>
      </x:c>
      <x:c r="D187" s="82" t="str">
        <x:v>单画布Zoom/Pan/Rotation</x:v>
      </x:c>
      <x:c r="E187" s="82" t="str">
        <x:v>R2提议</x:v>
      </x:c>
      <x:c r="F187" s="82" t="str">
        <x:v>T09</x:v>
      </x:c>
      <x:c r="G187" s="82"/>
      <x:c r="H187" s="82"/>
      <x:c r="I187" s="82"/>
      <x:c r="J187" s="82"/>
    </x:row>
    <x:row r="188">
      <x:c r="A188" s="82" t="str">
        <x:v>CxHitResult</x:v>
      </x:c>
      <x:c r="B188" s="82" t="str">
        <x:v>struct</x:v>
      </x:c>
      <x:c r="C188" s="82" t="str">
        <x:v>Visual/M16</x:v>
      </x:c>
      <x:c r="D188" s="82" t="str">
        <x:v>命中路径、距离、Handle、ZOrder</x:v>
      </x:c>
      <x:c r="E188" s="82" t="str">
        <x:v>R2提议</x:v>
      </x:c>
      <x:c r="F188" s="82" t="str">
        <x:v>T10</x:v>
      </x:c>
      <x:c r="G188" s="82"/>
      <x:c r="H188" s="82"/>
      <x:c r="I188" s="82"/>
      <x:c r="J188" s="82"/>
    </x:row>
    <x:row r="189">
      <x:c r="A189" s="82" t="str">
        <x:v>CxHitOptions</x:v>
      </x:c>
      <x:c r="B189" s="82" t="str">
        <x:v>class</x:v>
      </x:c>
      <x:c r="C189" s="82" t="str">
        <x:v>Visual/M16</x:v>
      </x:c>
      <x:c r="D189" s="82" t="str">
        <x:v>筛选规则、容差与可选容器</x:v>
      </x:c>
      <x:c r="E189" s="82" t="str">
        <x:v>R2提议</x:v>
      </x:c>
      <x:c r="F189" s="82" t="str">
        <x:v>T10</x:v>
      </x:c>
      <x:c r="G189" s="82"/>
      <x:c r="H189" s="82"/>
      <x:c r="I189" s="82"/>
      <x:c r="J189" s="82"/>
    </x:row>
    <x:row r="190">
      <x:c r="A190" s="82" t="str">
        <x:v>CxSelectionMode</x:v>
      </x:c>
      <x:c r="B190" s="82" t="str">
        <x:v>enum</x:v>
      </x:c>
      <x:c r="C190" s="82" t="str">
        <x:v>Visual/M16</x:v>
      </x:c>
      <x:c r="D190" s="82" t="str">
        <x:v>Replace/Add/Toggle</x:v>
      </x:c>
      <x:c r="E190" s="82" t="str">
        <x:v>R2提议</x:v>
      </x:c>
      <x:c r="F190" s="82" t="str">
        <x:v>T10</x:v>
      </x:c>
      <x:c r="G190" s="82"/>
      <x:c r="H190" s="82"/>
      <x:c r="I190" s="82"/>
      <x:c r="J190" s="82"/>
    </x:row>
    <x:row r="191">
      <x:c r="A191" s="82" t="str">
        <x:v>CxSnapRequest</x:v>
      </x:c>
      <x:c r="B191" s="82" t="str">
        <x:v>class</x:v>
      </x:c>
      <x:c r="C191" s="82" t="str">
        <x:v>Visual/M16</x:v>
      </x:c>
      <x:c r="D191" s="82" t="str">
        <x:v>对象ID、拖动Delta和候选</x:v>
      </x:c>
      <x:c r="E191" s="82" t="str">
        <x:v>R2提议</x:v>
      </x:c>
      <x:c r="F191" s="82" t="str">
        <x:v>T11</x:v>
      </x:c>
      <x:c r="G191" s="82"/>
      <x:c r="H191" s="82"/>
      <x:c r="I191" s="82"/>
      <x:c r="J191" s="82"/>
    </x:row>
    <x:row r="192">
      <x:c r="A192" s="82" t="str">
        <x:v>CxSnapResult</x:v>
      </x:c>
      <x:c r="B192" s="82" t="str">
        <x:v>class</x:v>
      </x:c>
      <x:c r="C192" s="82" t="str">
        <x:v>Visual/M16</x:v>
      </x:c>
      <x:c r="D192" s="82" t="str">
        <x:v>吸附Delta、Guides、Distance</x:v>
      </x:c>
      <x:c r="E192" s="82" t="str">
        <x:v>R2提议</x:v>
      </x:c>
      <x:c r="F192" s="82" t="str">
        <x:v>T11</x:v>
      </x:c>
      <x:c r="G192" s="82"/>
      <x:c r="H192" s="82"/>
      <x:c r="I192" s="82"/>
      <x:c r="J192" s="82"/>
    </x:row>
    <x:row r="193">
      <x:c r="A193" s="82" t="str">
        <x:v>CxDiagramProjection</x:v>
      </x:c>
      <x:c r="B193" s="82" t="str">
        <x:v>class</x:v>
      </x:c>
      <x:c r="C193" s="82" t="str">
        <x:v>Visual/M17（只读）</x:v>
      </x:c>
      <x:c r="D193" s="82" t="str">
        <x:v>对Orchestration的布局外观只读投影</x:v>
      </x:c>
      <x:c r="E193" s="82" t="str">
        <x:v>R2提议</x:v>
      </x:c>
      <x:c r="F193" s="82" t="str">
        <x:v>T12/T13</x:v>
      </x:c>
      <x:c r="G193" s="82"/>
      <x:c r="H193" s="82"/>
      <x:c r="I193" s="82"/>
      <x:c r="J193" s="82"/>
    </x:row>
    <x:row r="194">
      <x:c r="A194" s="82" t="str">
        <x:v>CxDiagramFrame</x:v>
      </x:c>
      <x:c r="B194" s="82" t="str">
        <x:v>class</x:v>
      </x:c>
      <x:c r="C194" s="82" t="str">
        <x:v>Visual/M17</x:v>
      </x:c>
      <x:c r="D194" s="82" t="str">
        <x:v>Nodes/Edges/Viewport不可变</x:v>
      </x:c>
      <x:c r="E194" s="82" t="str">
        <x:v>V7.8已有</x:v>
      </x:c>
      <x:c r="F194" s="82" t="str">
        <x:v>T12</x:v>
      </x:c>
      <x:c r="G194" s="82"/>
      <x:c r="H194" s="82"/>
      <x:c r="I194" s="82"/>
      <x:c r="J194" s="82"/>
    </x:row>
    <x:row r="195">
      <x:c r="A195" s="82" t="str">
        <x:v>CxDiagramNodeVisual</x:v>
      </x:c>
      <x:c r="B195" s="82" t="str">
        <x:v>class</x:v>
      </x:c>
      <x:c r="C195" s="82" t="str">
        <x:v>Visual/M17</x:v>
      </x:c>
      <x:c r="D195" s="82" t="str">
        <x:v>UnitId与样式/端口外观</x:v>
      </x:c>
      <x:c r="E195" s="82" t="str">
        <x:v>V7.8已有线索</x:v>
      </x:c>
      <x:c r="F195" s="82" t="str">
        <x:v>T12</x:v>
      </x:c>
      <x:c r="G195" s="82"/>
      <x:c r="H195" s="82"/>
      <x:c r="I195" s="82"/>
      <x:c r="J195" s="82"/>
    </x:row>
    <x:row r="196">
      <x:c r="A196" s="82" t="str">
        <x:v>CxDiagramEdgeVisual</x:v>
      </x:c>
      <x:c r="B196" s="82" t="str">
        <x:v>class</x:v>
      </x:c>
      <x:c r="C196" s="82" t="str">
        <x:v>Visual/M17</x:v>
      </x:c>
      <x:c r="D196" s="82" t="str">
        <x:v>Source/Target/路由位置</x:v>
      </x:c>
      <x:c r="E196" s="82" t="str">
        <x:v>V7.8已有线索</x:v>
      </x:c>
      <x:c r="F196" s="82" t="str">
        <x:v>T12</x:v>
      </x:c>
      <x:c r="G196" s="82"/>
      <x:c r="H196" s="82"/>
      <x:c r="I196" s="82"/>
      <x:c r="J196" s="82"/>
    </x:row>
    <x:row r="197">
      <x:c r="A197" s="82" t="str">
        <x:v>CxRouteResult</x:v>
      </x:c>
      <x:c r="B197" s="82" t="str">
        <x:v>class</x:v>
      </x:c>
      <x:c r="C197" s="82" t="str">
        <x:v>Visual/M17</x:v>
      </x:c>
      <x:c r="D197" s="82" t="str">
        <x:v>路由点列/错误/回退状态</x:v>
      </x:c>
      <x:c r="E197" s="82" t="str">
        <x:v>R2提议</x:v>
      </x:c>
      <x:c r="F197" s="82" t="str">
        <x:v>T12</x:v>
      </x:c>
      <x:c r="G197" s="82"/>
      <x:c r="H197" s="82"/>
      <x:c r="I197" s="82"/>
      <x:c r="J197" s="82"/>
    </x:row>
    <x:row r="198">
      <x:c r="A198" s="82" t="str">
        <x:v>CxDiagramLayoutResult</x:v>
      </x:c>
      <x:c r="B198" s="82" t="str">
        <x:v>class</x:v>
      </x:c>
      <x:c r="C198" s="82" t="str">
        <x:v>Visual/M17</x:v>
      </x:c>
      <x:c r="D198" s="82" t="str">
        <x:v>LayoutId+各UnitId坐标</x:v>
      </x:c>
      <x:c r="E198" s="82" t="str">
        <x:v>R2提议</x:v>
      </x:c>
      <x:c r="F198" s="82" t="str">
        <x:v>T13</x:v>
      </x:c>
      <x:c r="G198" s="82"/>
      <x:c r="H198" s="82"/>
      <x:c r="I198" s="82"/>
      <x:c r="J198" s="82"/>
    </x:row>
    <x:row r="199">
      <x:c r="A199" s="82" t="str">
        <x:v>CxLayoutOptions</x:v>
      </x:c>
      <x:c r="B199" s="82" t="str">
        <x:v>class</x:v>
      </x:c>
      <x:c r="C199" s="82" t="str">
        <x:v>Visual/M17</x:v>
      </x:c>
      <x:c r="D199" s="82" t="str">
        <x:v>布局算法参数</x:v>
      </x:c>
      <x:c r="E199" s="82" t="str">
        <x:v>R2提议</x:v>
      </x:c>
      <x:c r="F199" s="82" t="str">
        <x:v>T13</x:v>
      </x:c>
      <x:c r="G199" s="82"/>
      <x:c r="H199" s="82"/>
      <x:c r="I199" s="82"/>
      <x:c r="J199" s="82"/>
    </x:row>
    <x:row r="200">
      <x:c r="A200" s="82" t="str">
        <x:v>CxEditResult</x:v>
      </x:c>
      <x:c r="B200" s="82" t="str">
        <x:v>class</x:v>
      </x:c>
      <x:c r="C200" s="82" t="str">
        <x:v>Visual/M37</x:v>
      </x:c>
      <x:c r="D200" s="82" t="str">
        <x:v>OperationId、执行/回退状态、失败证据</x:v>
      </x:c>
      <x:c r="E200" s="82" t="str">
        <x:v>R2提议</x:v>
      </x:c>
      <x:c r="F200" s="82" t="str">
        <x:v>T14</x:v>
      </x:c>
      <x:c r="G200" s="82"/>
      <x:c r="H200" s="82"/>
      <x:c r="I200" s="82"/>
      <x:c r="J200" s="82"/>
    </x:row>
    <x:row r="201">
      <x:c r="A201" s="82" t="str">
        <x:v>ICxVisualEditContext</x:v>
      </x:c>
      <x:c r="B201" s="82" t="str">
        <x:v>interface</x:v>
      </x:c>
      <x:c r="C201" s="82" t="str">
        <x:v>Visual/M37</x:v>
      </x:c>
      <x:c r="D201" s="82" t="str">
        <x:v>对Core事务与当前文档的能力入口</x:v>
      </x:c>
      <x:c r="E201" s="82" t="str">
        <x:v>R2提议</x:v>
      </x:c>
      <x:c r="F201" s="82" t="str">
        <x:v>T14</x:v>
      </x:c>
      <x:c r="G201" s="82"/>
      <x:c r="H201" s="82"/>
      <x:c r="I201" s="82"/>
      <x:c r="J201" s="82"/>
    </x:row>
    <x:row r="202">
      <x:c r="A202" s="82" t="str">
        <x:v>CxPointerInput</x:v>
      </x:c>
      <x:c r="B202" s="82" t="str">
        <x:v>struct</x:v>
      </x:c>
      <x:c r="C202" s="82" t="str">
        <x:v>Visual/M37</x:v>
      </x:c>
      <x:c r="D202" s="82" t="str">
        <x:v>逻辑坐标、按钮、Modifiers、时标</x:v>
      </x:c>
      <x:c r="E202" s="82" t="str">
        <x:v>R2提议</x:v>
      </x:c>
      <x:c r="F202" s="82" t="str">
        <x:v>T15</x:v>
      </x:c>
      <x:c r="G202" s="82"/>
      <x:c r="H202" s="82"/>
      <x:c r="I202" s="82"/>
      <x:c r="J202" s="82"/>
    </x:row>
    <x:row r="203">
      <x:c r="A203" s="82" t="str">
        <x:v>CxPreviewFrame</x:v>
      </x:c>
      <x:c r="B203" s="82" t="str">
        <x:v>class</x:v>
      </x:c>
      <x:c r="C203" s="82" t="str">
        <x:v>Visual/M37</x:v>
      </x:c>
      <x:c r="D203" s="82" t="str">
        <x:v>只读拖动预览帧</x:v>
      </x:c>
      <x:c r="E203" s="82" t="str">
        <x:v>R2提议</x:v>
      </x:c>
      <x:c r="F203" s="82" t="str">
        <x:v>T15</x:v>
      </x:c>
      <x:c r="G203" s="82"/>
      <x:c r="H203" s="82"/>
      <x:c r="I203" s="82"/>
      <x:c r="J203" s="82"/>
    </x:row>
    <x:row r="204">
      <x:c r="A204" s="82" t="str">
        <x:v>CxKeyInput</x:v>
      </x:c>
      <x:c r="B204" s="82" t="str">
        <x:v>struct</x:v>
      </x:c>
      <x:c r="C204" s="82" t="str">
        <x:v>Visual/M37</x:v>
      </x:c>
      <x:c r="D204" s="82" t="str">
        <x:v>与WPF Key解耦的按键描述</x:v>
      </x:c>
      <x:c r="E204" s="82" t="str">
        <x:v>R2提议</x:v>
      </x:c>
      <x:c r="F204" s="82" t="str">
        <x:v>T16</x:v>
      </x:c>
      <x:c r="G204" s="82"/>
      <x:c r="H204" s="82"/>
      <x:c r="I204" s="82"/>
      <x:c r="J204" s="82"/>
    </x:row>
    <x:row r="205">
      <x:c r="A205" s="82" t="str">
        <x:v>ICxTextMeasurer</x:v>
      </x:c>
      <x:c r="B205" s="82" t="str">
        <x:v>interface</x:v>
      </x:c>
      <x:c r="C205" s="82" t="str">
        <x:v>Visual/M16</x:v>
      </x:c>
      <x:c r="D205" s="82" t="str">
        <x:v>Measure返回文字尺寸</x:v>
      </x:c>
      <x:c r="E205" s="82" t="str">
        <x:v>R2提议</x:v>
      </x:c>
      <x:c r="F205" s="82" t="str">
        <x:v>T17</x:v>
      </x:c>
      <x:c r="G205" s="82"/>
      <x:c r="H205" s="82"/>
      <x:c r="I205" s="82"/>
      <x:c r="J205" s="82"/>
    </x:row>
    <x:row r="206">
      <x:c r="A206" s="82" t="str">
        <x:v>CxTextMetrics</x:v>
      </x:c>
      <x:c r="B206" s="82" t="str">
        <x:v>struct</x:v>
      </x:c>
      <x:c r="C206" s="82" t="str">
        <x:v>Visual/M16</x:v>
      </x:c>
      <x:c r="D206" s="82" t="str">
        <x:v>宽/高/基线等</x:v>
      </x:c>
      <x:c r="E206" s="82" t="str">
        <x:v>R2提议</x:v>
      </x:c>
      <x:c r="F206" s="82" t="str">
        <x:v>T17</x:v>
      </x:c>
      <x:c r="G206" s="82"/>
      <x:c r="H206" s="82"/>
      <x:c r="I206" s="82"/>
      <x:c r="J206" s="82"/>
    </x:row>
    <x:row r="207">
      <x:c r="A207" s="82" t="str">
        <x:v>CxTextRun</x:v>
      </x:c>
      <x:c r="B207" s="82" t="str">
        <x:v>class</x:v>
      </x:c>
      <x:c r="C207" s="82" t="str">
        <x:v>Visual/M16</x:v>
      </x:c>
      <x:c r="D207" s="82" t="str">
        <x:v>文本、FontFamily、字体样式中性描述</x:v>
      </x:c>
      <x:c r="E207" s="82" t="str">
        <x:v>R2提议</x:v>
      </x:c>
      <x:c r="F207" s="82" t="str">
        <x:v>T17</x:v>
      </x:c>
      <x:c r="G207" s="82"/>
      <x:c r="H207" s="82"/>
      <x:c r="I207" s="82"/>
      <x:c r="J207" s="82"/>
    </x:row>
    <x:row r="208">
      <x:c r="A208" s="82" t="str">
        <x:v>CxConnectionResult</x:v>
      </x:c>
      <x:c r="B208" s="82" t="str">
        <x:v>class</x:v>
      </x:c>
      <x:c r="C208" s="82" t="str">
        <x:v>Orchestration/M24</x:v>
      </x:c>
      <x:c r="D208" s="82" t="str">
        <x:v>连接是否合法和真实LinkId</x:v>
      </x:c>
      <x:c r="E208" s="82" t="str">
        <x:v>R2提议</x:v>
      </x:c>
      <x:c r="F208" s="82" t="str">
        <x:v>T19</x:v>
      </x:c>
      <x:c r="G208" s="82"/>
      <x:c r="H208" s="82"/>
      <x:c r="I208" s="82"/>
      <x:c r="J208" s="82"/>
    </x:row>
    <x:row r="209">
      <x:c r="A209" s="82" t="str">
        <x:v>CxCompileResult</x:v>
      </x:c>
      <x:c r="B209" s="82" t="str">
        <x:v>class</x:v>
      </x:c>
      <x:c r="C209" s="82" t="str">
        <x:v>Runtime/M29</x:v>
      </x:c>
      <x:c r="D209" s="82" t="str">
        <x:v>Plan+ValidationErrors</x:v>
      </x:c>
      <x:c r="E209" s="82" t="str">
        <x:v>R2提议</x:v>
      </x:c>
      <x:c r="F209" s="82" t="str">
        <x:v>T20</x:v>
      </x:c>
      <x:c r="G209" s="82"/>
      <x:c r="H209" s="82"/>
      <x:c r="I209" s="82"/>
      <x:c r="J209" s="82"/>
    </x:row>
    <x:row r="210">
      <x:c r="A210" s="82" t="str">
        <x:v>CxCompileOptions</x:v>
      </x:c>
      <x:c r="B210" s="82" t="str">
        <x:v>class</x:v>
      </x:c>
      <x:c r="C210" s="82" t="str">
        <x:v>Runtime/M29</x:v>
      </x:c>
      <x:c r="D210" s="82" t="str">
        <x:v>校验模式、目标能力版本</x:v>
      </x:c>
      <x:c r="E210" s="82" t="str">
        <x:v>R2提议</x:v>
      </x:c>
      <x:c r="F210" s="82" t="str">
        <x:v>T20</x:v>
      </x:c>
      <x:c r="G210" s="82"/>
      <x:c r="H210" s="82"/>
      <x:c r="I210" s="82"/>
      <x:c r="J210" s="82"/>
    </x:row>
    <x:row r="211">
      <x:c r="A211" s="82" t="str">
        <x:v>CxRuntimeSnapshot</x:v>
      </x:c>
      <x:c r="B211" s="82" t="str">
        <x:v>class</x:v>
      </x:c>
      <x:c r="C211" s="82" t="str">
        <x:v>Runtime/M32</x:v>
      </x:c>
      <x:c r="D211" s="82" t="str">
        <x:v>RunId/UnitId/State/TimeStamp</x:v>
      </x:c>
      <x:c r="E211" s="82" t="str">
        <x:v>R2提议</x:v>
      </x:c>
      <x:c r="F211" s="82" t="str">
        <x:v>T21</x:v>
      </x:c>
      <x:c r="G211" s="82"/>
      <x:c r="H211" s="82"/>
      <x:c r="I211" s="82"/>
      <x:c r="J211" s="82"/>
    </x:row>
  </x:sheetData>
  <x:mergeCells>
    <x:mergeCell ref="A1:J1"/>
  </x:mergeCells>
  <x:pageMargins left="0.7" right="0.7" top="0.75" bottom="0.75" header="0.3" footer="0.3"/>
</x:worksheet>
</file>

<file path=xl/worksheets/sheet22.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26" hidden="0" customWidth="1"/>
    <x:col min="3" max="3" width="26" hidden="0" customWidth="1"/>
    <x:col min="4" max="4" width="44" hidden="0" customWidth="1"/>
    <x:col min="5" max="5" width="44" hidden="0" customWidth="1"/>
    <x:col min="6" max="6" width="44" hidden="0" customWidth="1"/>
    <x:col min="7" max="7" width="44" hidden="0" customWidth="1"/>
    <x:col min="8" max="8" width="44" hidden="0" customWidth="1"/>
    <x:col min="9" max="9" width="44" hidden="0" customWidth="1"/>
  </x:cols>
  <x:sheetData>
    <x:row r="1" ht="33" customHeight="1">
      <x:c r="A1" s="96" t="str">
        <x:v>03 | 从图元、WPF、编排到Runtime的协作闭环</x:v>
      </x:c>
      <x:c r="B1" s="96"/>
      <x:c r="C1" s="96"/>
      <x:c r="D1" s="96"/>
      <x:c r="E1" s="96"/>
      <x:c r="F1" s="96"/>
      <x:c r="G1" s="96"/>
      <x:c r="H1" s="96"/>
      <x:c r="I1" s="96"/>
      <x:c r="J1" s="11"/>
      <x:c r="K1" s="11"/>
      <x:c r="L1" s="11"/>
      <x:c r="M1" s="11"/>
    </x:row>
    <x:row r="2">
      <x:c r="A2" s="105" t="str">
        <x:v>同一工程对象可无界面保存和运行；Visual只持有可视编辑会话；WPF不持有工程数据。每组案例区分正常、边界与失效条件，执行验收仍需实测。</x:v>
      </x:c>
      <x:c r="B2" s="105"/>
      <x:c r="C2" s="105"/>
      <x:c r="D2" s="105"/>
      <x:c r="E2" s="105"/>
      <x:c r="F2" s="105"/>
      <x:c r="G2" s="105"/>
      <x:c r="H2" s="105"/>
      <x:c r="I2" s="105"/>
    </x:row>
    <x:row r="3">
      <x:c r="A3" s="105" t="str">
        <x:v>来源：V4.9场景 → R2 45步 → R3-A Core 15步/17用例 → 本轮核心边界复核</x:v>
      </x:c>
      <x:c r="B3" s="105"/>
      <x:c r="C3" s="105"/>
      <x:c r="D3" s="105"/>
      <x:c r="E3" s="105"/>
      <x:c r="F3" s="105"/>
      <x:c r="G3" s="105"/>
      <x:c r="H3" s="105"/>
      <x:c r="I3" s="105"/>
    </x:row>
    <x:row r="4">
      <x:c r="A4" s="82"/>
      <x:c r="B4" s="82"/>
      <x:c r="C4" s="82"/>
      <x:c r="D4" s="82"/>
      <x:c r="E4" s="82"/>
      <x:c r="F4" s="82"/>
      <x:c r="G4" s="82"/>
      <x:c r="H4" s="82"/>
      <x:c r="I4" s="82"/>
    </x:row>
    <x:row r="5" ht="27" customHeight="1">
      <x:c r="A5" s="108" t="str">
        <x:v>A. 核心端到端协作链路与特殊反例（12组）</x:v>
      </x:c>
      <x:c r="B5" s="108"/>
      <x:c r="C5" s="108"/>
      <x:c r="D5" s="108"/>
      <x:c r="E5" s="108"/>
      <x:c r="F5" s="108"/>
      <x:c r="G5" s="108"/>
      <x:c r="H5" s="108"/>
      <x:c r="I5" s="108"/>
    </x:row>
    <x:row r="6" ht="36" customHeight="1">
      <x:c r="A6" s="113" t="str">
        <x:v>场景</x:v>
      </x:c>
      <x:c r="B6" s="113" t="str">
        <x:v>参与项目/链路</x:v>
      </x:c>
      <x:c r="C6" s="113" t="str">
        <x:v>必须维持的语义</x:v>
      </x:c>
      <x:c r="D6" s="113" t="str">
        <x:v>异常/特殊边界</x:v>
      </x:c>
      <x:c r="E6" s="113" t="str">
        <x:v>验收判据</x:v>
      </x:c>
      <x:c r="F6" s="113"/>
      <x:c r="G6" s="113"/>
      <x:c r="H6" s="113"/>
      <x:c r="I6" s="113"/>
    </x:row>
    <x:row r="7">
      <x:c r="A7" s="82" t="str">
        <x:v>普通图元绘制</x:v>
      </x:c>
      <x:c r="B7" s="82" t="str">
        <x:v>WPF鼠标 → Visual工具/命中 → Core M07提交 → Visual投影帧 → WPF重绘</x:v>
      </x:c>
      <x:c r="C7" s="82" t="str">
        <x:v>一次拖动一条Undo，MouseMove仅预览</x:v>
      </x:c>
      <x:c r="D7" s="82" t="str">
        <x:v>中途取消、跨Revision冲突、只读权限</x:v>
      </x:c>
      <x:c r="E7" s="82" t="str">
        <x:v>不运行WPF也可编辑及保存Core内容</x:v>
      </x:c>
      <x:c r="F7" s="82"/>
      <x:c r="G7" s="82"/>
      <x:c r="H7" s="82"/>
      <x:c r="I7" s="82"/>
    </x:row>
    <x:row r="8">
      <x:c r="A8" s="82" t="str">
        <x:v>多选拖动</x:v>
      </x:c>
      <x:c r="B8" s="82" t="str">
        <x:v>Visual SelectionSnapshot → CompositeMove → Core MutationBatch</x:v>
      </x:c>
      <x:c r="C8" s="82" t="str">
        <x:v>Group只修改父变换；非Group根据选中拓扑排除重复祖先</x:v>
      </x:c>
      <x:c r="D8" s="82" t="str">
        <x:v>嵌套Group+子Element同时入选不能双移</x:v>
      </x:c>
      <x:c r="E8" s="82" t="str">
        <x:v>撤销前后几何位置等价</x:v>
      </x:c>
      <x:c r="F8" s="82"/>
      <x:c r="G8" s="82"/>
      <x:c r="H8" s="82"/>
      <x:c r="I8" s="82"/>
    </x:row>
    <x:row r="9">
      <x:c r="A9" s="82" t="str">
        <x:v>Symbol引用</x:v>
      </x:c>
      <x:c r="B9" s="82" t="str">
        <x:v>Core一份SymbolDefinition + n份SymbolReference → Visual n份实例投影</x:v>
      </x:c>
      <x:c r="C9" s="82" t="str">
        <x:v>实例覆盖属性与根变换隔离</x:v>
      </x:c>
      <x:c r="D9" s="82" t="str">
        <x:v>删除定义时实例引用成为可诊断悬挂引用</x:v>
      </x:c>
      <x:c r="E9" s="82" t="str">
        <x:v>修改定义所有实例刷新不改各自覆写</x:v>
      </x:c>
      <x:c r="F9" s="82"/>
      <x:c r="G9" s="82"/>
      <x:c r="H9" s="82"/>
      <x:c r="I9" s="82"/>
    </x:row>
    <x:row r="10">
      <x:c r="A10" s="82" t="str">
        <x:v>多画布</x:v>
      </x:c>
      <x:c r="B10" s="82" t="str">
        <x:v>Core同一ProjectRevision → Session A/B各自Viewport与Selection</x:v>
      </x:c>
      <x:c r="C10" s="82" t="str">
        <x:v>A改工程触发B失效投影刷新；会话态独立</x:v>
      </x:c>
      <x:c r="D10" s="82" t="str">
        <x:v>并发编辑版本冲突应由Core拒绝</x:v>
      </x:c>
      <x:c r="E10" s="82" t="str">
        <x:v>两个WPF View显示独立但数据一致</x:v>
      </x:c>
      <x:c r="F10" s="82"/>
      <x:c r="G10" s="82"/>
      <x:c r="H10" s="82"/>
      <x:c r="I10" s="82"/>
    </x:row>
    <x:row r="11">
      <x:c r="A11" s="82" t="str">
        <x:v>编排连线</x:v>
      </x:c>
      <x:c r="B11" s="82" t="str">
        <x:v>WPF端点拖拽 → Visual预览 → Studio调用Orchestration验证 → Core提交LogicLink</x:v>
      </x:c>
      <x:c r="C11" s="82" t="str">
        <x:v>可视线不等于真实流程连线</x:v>
      </x:c>
      <x:c r="D11" s="82" t="str">
        <x:v>端口单位不兼容、跨Scope、循环、权限拒绝</x:v>
      </x:c>
      <x:c r="E11" s="82" t="str">
        <x:v>拒绝时未写入LogicDefinition</x:v>
      </x:c>
      <x:c r="F11" s="82"/>
      <x:c r="G11" s="82"/>
      <x:c r="H11" s="82"/>
      <x:c r="I11" s="82"/>
    </x:row>
    <x:row r="12">
      <x:c r="A12" s="82" t="str">
        <x:v>一逻辑多布局</x:v>
      </x:c>
      <x:c r="B12" s="82" t="str">
        <x:v>Core LogicDefinition稳定UnitId + 多LayoutResource → Visual多DiagramFrame</x:v>
      </x:c>
      <x:c r="C12" s="82" t="str">
        <x:v>布局位置与逻辑连接是不同数据</x:v>
      </x:c>
      <x:c r="D12" s="82" t="str">
        <x:v>布局被删除不影响运行计划</x:v>
      </x:c>
      <x:c r="E12" s="82" t="str">
        <x:v>两种布局编译输出相同</x:v>
      </x:c>
      <x:c r="F12" s="82"/>
      <x:c r="G12" s="82"/>
      <x:c r="H12" s="82"/>
      <x:c r="I12" s="82"/>
    </x:row>
    <x:row r="13">
      <x:c r="A13" s="82" t="str">
        <x:v>数据引用</x:v>
      </x:c>
      <x:c r="B13" s="82" t="str">
        <x:v>Content/Ref → DataHandle → Scope/Lease → Orchestration实例参数映射</x:v>
      </x:c>
      <x:c r="C13" s="82" t="str">
        <x:v>跨流程同一数据所有权、释放、引用计数明晰</x:v>
      </x:c>
      <x:c r="D13" s="82" t="str">
        <x:v>2-10GB影像数据不能随意复制</x:v>
      </x:c>
      <x:c r="E13" s="82" t="str">
        <x:v>流程退出后资源零泄漏</x:v>
      </x:c>
      <x:c r="F13" s="82"/>
      <x:c r="G13" s="82"/>
      <x:c r="H13" s="82"/>
      <x:c r="I13" s="82"/>
    </x:row>
    <x:row r="14">
      <x:c r="A14" s="82" t="str">
        <x:v>运行态监控</x:v>
      </x:c>
      <x:c r="B14" s="82" t="str">
        <x:v>RuntimeSnapshot → Studio组合桥接 → Visual状态Overlay → WPF绘制</x:v>
      </x:c>
      <x:c r="C14" s="82" t="str">
        <x:v>运行监控默认只读；不依赖WPF</x:v>
      </x:c>
      <x:c r="D14" s="82" t="str">
        <x:v>UI断连、进度滞后、重新连接仍可恢复</x:v>
      </x:c>
      <x:c r="E14" s="82" t="str">
        <x:v>运行定义不变且状态可追溯</x:v>
      </x:c>
      <x:c r="F14" s="82"/>
      <x:c r="G14" s="82"/>
      <x:c r="H14" s="82"/>
      <x:c r="I14" s="82"/>
    </x:row>
    <x:row r="15">
      <x:c r="A15" s="82" t="str">
        <x:v>WPF迁移</x:v>
      </x:c>
      <x:c r="B15" s="82" t="str">
        <x:v>V7.8 SceneView/DiagramCanvas/LogicDesigner → 单一Visual帧与WPF适配</x:v>
      </x:c>
      <x:c r="C15" s="82" t="str">
        <x:v>不能迁移第二套WPF节点持久模型</x:v>
      </x:c>
      <x:c r="D15" s="82" t="str">
        <x:v>绘图缓存、DPI、焦点、MouseCapture泄漏</x:v>
      </x:c>
      <x:c r="E15" s="82" t="str">
        <x:v>WPF关闭重开不改变工程Revision</x:v>
      </x:c>
      <x:c r="F15" s="82"/>
      <x:c r="G15" s="82"/>
      <x:c r="H15" s="82"/>
      <x:c r="I15" s="82"/>
    </x:row>
    <x:row r="16">
      <x:c r="A16" s="82" t="str">
        <x:v>2D/3D隔离</x:v>
      </x:c>
      <x:c r="B16" s="82" t="str">
        <x:v>Mechanism.Presentation.Wpf → Geometry/Imaging/Visual（无Volume）</x:v>
      </x:c>
      <x:c r="C16" s="82" t="str">
        <x:v>3D由专业CT3D的独立Viewer处理</x:v>
      </x:c>
      <x:c r="D16" s="82" t="str">
        <x:v>公共WPF直接加载CT体绘SDK引起强依赖</x:v>
      </x:c>
      <x:c r="E16" s="82" t="str">
        <x:v>无CT组件的Studio仍能绘制2D/编排</x:v>
      </x:c>
      <x:c r="F16" s="82"/>
      <x:c r="G16" s="82"/>
      <x:c r="H16" s="82"/>
      <x:c r="I16" s="82"/>
    </x:row>
    <x:row r="17">
      <x:c r="A17" s="82" t="str">
        <x:v>基础数值</x:v>
      </x:c>
      <x:c r="B17" s="82" t="str">
        <x:v>F03/F05/F07/F11基础计算 → Visual布局与专业算法调用</x:v>
      </x:c>
      <x:c r="C17" s="82" t="str">
        <x:v>算法无UI上下文，输入输出和异常明确</x:v>
      </x:c>
      <x:c r="D17" s="82" t="str">
        <x:v>NaN/Inf、奇异变换、Stride错误</x:v>
      </x:c>
      <x:c r="E17" s="82" t="str">
        <x:v>可做独立随机参考值验证</x:v>
      </x:c>
      <x:c r="F17" s="82"/>
      <x:c r="G17" s="82"/>
      <x:c r="H17" s="82"/>
      <x:c r="I17" s="82"/>
    </x:row>
    <x:row r="18">
      <x:c r="A18" s="82" t="str">
        <x:v>数据事务失败</x:v>
      </x:c>
      <x:c r="B18" s="82" t="str">
        <x:v>M07 TryApply批提交 → Validate → Commit/Abort → Receipt</x:v>
      </x:c>
      <x:c r="C18" s="82" t="str">
        <x:v>失效无部分数据，Receipt有revision</x:v>
      </x:c>
      <x:c r="D18" s="82" t="str">
        <x:v>多对象修改中途失败、写入冲突</x:v>
      </x:c>
      <x:c r="E18" s="82" t="str">
        <x:v>强所有权/引用索引保持不变量</x:v>
      </x:c>
      <x:c r="F18" s="82"/>
      <x:c r="G18" s="82"/>
      <x:c r="H18" s="82"/>
      <x:c r="I18" s="82"/>
    </x:row>
    <x:row r="19">
      <x:c r="A19" s="82"/>
      <x:c r="B19" s="82"/>
      <x:c r="C19" s="82"/>
      <x:c r="D19" s="82"/>
      <x:c r="E19" s="82"/>
      <x:c r="F19" s="82"/>
      <x:c r="G19" s="82"/>
      <x:c r="H19" s="82"/>
      <x:c r="I19" s="82"/>
    </x:row>
    <x:row r="20">
      <x:c r="A20" s="82"/>
      <x:c r="B20" s="82"/>
      <x:c r="C20" s="82"/>
      <x:c r="D20" s="82"/>
      <x:c r="E20" s="82"/>
      <x:c r="F20" s="82"/>
      <x:c r="G20" s="82"/>
      <x:c r="H20" s="82"/>
      <x:c r="I20" s="82"/>
    </x:row>
    <x:row r="21" ht="27" customHeight="1">
      <x:c r="A21" s="108" t="str">
        <x:v>B. R1典型与特殊场景（20组，全量来源）</x:v>
      </x:c>
      <x:c r="B21" s="108"/>
      <x:c r="C21" s="108"/>
      <x:c r="D21" s="108"/>
      <x:c r="E21" s="108"/>
      <x:c r="F21" s="108"/>
      <x:c r="G21" s="108"/>
      <x:c r="H21" s="108"/>
      <x:c r="I21" s="108"/>
    </x:row>
    <x:row r="22">
      <x:c r="A22" s="82" t="str">
        <x:v>案例ID</x:v>
      </x:c>
      <x:c r="B22" s="82" t="str">
        <x:v>场景</x:v>
      </x:c>
      <x:c r="C22" s="82" t="str">
        <x:v>完整工作链</x:v>
      </x:c>
      <x:c r="D22" s="82" t="str">
        <x:v>关联子方面</x:v>
      </x:c>
      <x:c r="E22" s="82" t="str">
        <x:v>一致性要求</x:v>
      </x:c>
      <x:c r="F22" s="82" t="str">
        <x:v>特殊/故障分支</x:v>
      </x:c>
      <x:c r="G22" s="82" t="str">
        <x:v>可观察验收</x:v>
      </x:c>
      <x:c r="H22" s="82"/>
      <x:c r="I22" s="82"/>
    </x:row>
    <x:row r="23">
      <x:c r="A23" s="82" t="str">
        <x:v>C01</x:v>
      </x:c>
      <x:c r="B23" s="82" t="str">
        <x:v>基础二维矩形</x:v>
      </x:c>
      <x:c r="C23" s="82" t="str">
        <x:v>Core创建Element→Visual投影→WPF绘制→Visual拖动→Core事务提交</x:v>
      </x:c>
      <x:c r="D23" s="82" t="str">
        <x:v>M01/M16/M37/M07</x:v>
      </x:c>
      <x:c r="E23" s="82" t="str">
        <x:v>矩形位置、DrawCommand一致</x:v>
      </x:c>
      <x:c r="F23" s="82" t="str">
        <x:v>DPI变化、越界、ESC取消</x:v>
      </x:c>
      <x:c r="G23" s="82" t="str">
        <x:v>一条Undo可恢复；WPF不写真实位置</x:v>
      </x:c>
      <x:c r="H23" s="82"/>
      <x:c r="I23" s="82"/>
    </x:row>
    <x:row r="24">
      <x:c r="A24" s="82" t="str">
        <x:v>C02</x:v>
      </x:c>
      <x:c r="B24" s="82" t="str">
        <x:v>Group嵌套与父变换</x:v>
      </x:c>
      <x:c r="C24" s="82" t="str">
        <x:v>多层Group→组合变换→命中→整体移动</x:v>
      </x:c>
      <x:c r="D24" s="82" t="str">
        <x:v>M02/M16/M37</x:v>
      </x:c>
      <x:c r="E24" s="82" t="str">
        <x:v>父组Transform一次提交</x:v>
      </x:c>
      <x:c r="F24" s="82" t="str">
        <x:v>嵌套循环、空组、变换不可逆</x:v>
      </x:c>
      <x:c r="G24" s="82" t="str">
        <x:v>组移动不机械改全部子元素</x:v>
      </x:c>
      <x:c r="H24" s="82"/>
      <x:c r="I24" s="82"/>
    </x:row>
    <x:row r="25">
      <x:c r="A25" s="82" t="str">
        <x:v>C03</x:v>
      </x:c>
      <x:c r="B25" s="82" t="str">
        <x:v>Symbol十实例复用</x:v>
      </x:c>
      <x:c r="C25" s="82" t="str">
        <x:v>SymbolDefinition→10 SymbolRef→多布局投影</x:v>
      </x:c>
      <x:c r="D25" s="82" t="str">
        <x:v>M02/M03/M16</x:v>
      </x:c>
      <x:c r="E25" s="82" t="str">
        <x:v>定义唯一、实例变换独立</x:v>
      </x:c>
      <x:c r="F25" s="82" t="str">
        <x:v>删除定义、版本冲突</x:v>
      </x:c>
      <x:c r="G25" s="82" t="str">
        <x:v>改定义影响所有实例；移动实例不串扰</x:v>
      </x:c>
      <x:c r="H25" s="82"/>
      <x:c r="I25" s="82"/>
    </x:row>
    <x:row r="26">
      <x:c r="A26" s="82" t="str">
        <x:v>C04</x:v>
      </x:c>
      <x:c r="B26" s="82" t="str">
        <x:v>Content递归与引用</x:v>
      </x:c>
      <x:c r="C26" s="82" t="str">
        <x:v>Content包含子Content与ContentRef→作用域解析</x:v>
      </x:c>
      <x:c r="D26" s="82" t="str">
        <x:v>M01/M02/M03</x:v>
      </x:c>
      <x:c r="E26" s="82" t="str">
        <x:v>稳定引用与单Owner</x:v>
      </x:c>
      <x:c r="F26" s="82" t="str">
        <x:v>循环引用、跨工程缺失引用</x:v>
      </x:c>
      <x:c r="G26" s="82" t="str">
        <x:v>检测循环并显示可追踪错误</x:v>
      </x:c>
      <x:c r="H26" s="82"/>
      <x:c r="I26" s="82"/>
    </x:row>
    <x:row r="27">
      <x:c r="A27" s="82" t="str">
        <x:v>C05</x:v>
      </x:c>
      <x:c r="B27" s="82" t="str">
        <x:v>双画布编辑</x:v>
      </x:c>
      <x:c r="C27" s="82" t="str">
        <x:v>同Content打开A/B双画布→A编辑→B刷新</x:v>
      </x:c>
      <x:c r="D27" s="82" t="str">
        <x:v>M01/M07/M16</x:v>
      </x:c>
      <x:c r="E27" s="82" t="str">
        <x:v>同一工程Definition、两个ViewSession</x:v>
      </x:c>
      <x:c r="F27" s="82" t="str">
        <x:v>一方拖动中另一方变更</x:v>
      </x:c>
      <x:c r="G27" s="82" t="str">
        <x:v>Version冲突清晰处理，不覆盖编辑</x:v>
      </x:c>
      <x:c r="H27" s="82"/>
      <x:c r="I27" s="82"/>
    </x:row>
    <x:row r="28">
      <x:c r="A28" s="82" t="str">
        <x:v>C06</x:v>
      </x:c>
      <x:c r="B28" s="82" t="str">
        <x:v>拖动一次Undo</x:v>
      </x:c>
      <x:c r="C28" s="82" t="str">
        <x:v>鼠标连续拖动500帧→预览→一次Commit</x:v>
      </x:c>
      <x:c r="D28" s="82" t="str">
        <x:v>M07/M37</x:v>
      </x:c>
      <x:c r="E28" s="82" t="str">
        <x:v>EditCommand与ChangeSet相互关联</x:v>
      </x:c>
      <x:c r="F28" s="82" t="str">
        <x:v>ESC取消/窗口失焦/Undo失败</x:v>
      </x:c>
      <x:c r="G28" s="82" t="str">
        <x:v>Undo/Redo各只一条记录</x:v>
      </x:c>
      <x:c r="H28" s="82"/>
      <x:c r="I28" s="82"/>
    </x:row>
    <x:row r="29">
      <x:c r="A29" s="82" t="str">
        <x:v>C07</x:v>
      </x:c>
      <x:c r="B29" s="82" t="str">
        <x:v>多对象对齐</x:v>
      </x:c>
      <x:c r="C29" s="82" t="str">
        <x:v>多选10个Element→对齐→提交</x:v>
      </x:c>
      <x:c r="D29" s="82" t="str">
        <x:v>M07/M37</x:v>
      </x:c>
      <x:c r="E29" s="82" t="str">
        <x:v>统一变更集合</x:v>
      </x:c>
      <x:c r="F29" s="82" t="str">
        <x:v>子对象锁定、一对象校验失败</x:v>
      </x:c>
      <x:c r="G29" s="82" t="str">
        <x:v>整批撤销或整批失败，无半提交</x:v>
      </x:c>
      <x:c r="H29" s="82"/>
      <x:c r="I29" s="82"/>
    </x:row>
    <x:row r="30">
      <x:c r="A30" s="82" t="str">
        <x:v>C08</x:v>
      </x:c>
      <x:c r="B30" s="82" t="str">
        <x:v>属性面板改尺寸</x:v>
      </x:c>
      <x:c r="C30" s="82" t="str">
        <x:v>WPF属性编辑→Core Property Schema校验→Visual刷新</x:v>
      </x:c>
      <x:c r="D30" s="82" t="str">
        <x:v>M04/M07/M16</x:v>
      </x:c>
      <x:c r="E30" s="82" t="str">
        <x:v>一个Source of Truth</x:v>
      </x:c>
      <x:c r="F30" s="82" t="str">
        <x:v>异步外部编辑/非法尺寸</x:v>
      </x:c>
      <x:c r="G30" s="82" t="str">
        <x:v>属性变更+画布撤销历史协调</x:v>
      </x:c>
      <x:c r="H30" s="82"/>
      <x:c r="I30" s="82"/>
    </x:row>
    <x:row r="31">
      <x:c r="A31" s="82" t="str">
        <x:v>C09</x:v>
      </x:c>
      <x:c r="B31" s="82" t="str">
        <x:v>编排节点端口连接</x:v>
      </x:c>
      <x:c r="C31" s="82" t="str">
        <x:v>LogicUnit节点投影→拖动Link→Port Validate→提交LogicLink</x:v>
      </x:c>
      <x:c r="D31" s="82" t="str">
        <x:v>M05/M17/M18/M19/M20</x:v>
      </x:c>
      <x:c r="E31" s="82" t="str">
        <x:v>业务LogicLink唯一，Diagram只作投影</x:v>
      </x:c>
      <x:c r="F31" s="82" t="str">
        <x:v>方向错误、类型/单位不匹配</x:v>
      </x:c>
      <x:c r="G31" s="82" t="str">
        <x:v>Visual不能仅凭线条绘制宣称连接成功</x:v>
      </x:c>
      <x:c r="H31" s="82"/>
      <x:c r="I31" s="82"/>
    </x:row>
    <x:row r="32">
      <x:c r="A32" s="82" t="str">
        <x:v>C10</x:v>
      </x:c>
      <x:c r="B32" s="82" t="str">
        <x:v>同逻辑两种布局</x:v>
      </x:c>
      <x:c r="C32" s="82" t="str">
        <x:v>同一LogicDefinition→主流程图/监控布局</x:v>
      </x:c>
      <x:c r="D32" s="82" t="str">
        <x:v>M01/M17/M18</x:v>
      </x:c>
      <x:c r="E32" s="82" t="str">
        <x:v>多个Layout引用稳定LogicUnit ID</x:v>
      </x:c>
      <x:c r="F32" s="82" t="str">
        <x:v>删除LogicUnit后旧布局</x:v>
      </x:c>
      <x:c r="G32" s="82" t="str">
        <x:v>逻辑不复制、布局可清理</x:v>
      </x:c>
      <x:c r="H32" s="82"/>
      <x:c r="I32" s="82"/>
    </x:row>
    <x:row r="33">
      <x:c r="A33" s="82" t="str">
        <x:v>C11</x:v>
      </x:c>
      <x:c r="B33" s="82" t="str">
        <x:v>多层异构子流程</x:v>
      </x:c>
      <x:c r="C33" s="82" t="str">
        <x:v>Automation→Vision→CT3D→Inspection三级子流程</x:v>
      </x:c>
      <x:c r="D33" s="82" t="str">
        <x:v>M18-M25/M09-M10</x:v>
      </x:c>
      <x:c r="E33" s="82" t="str">
        <x:v>作用域、参数、结果契约统一</x:v>
      </x:c>
      <x:c r="F33" s="82" t="str">
        <x:v>循环调用、缺插件、版本漂移</x:v>
      </x:c>
      <x:c r="G33" s="82" t="str">
        <x:v>解析失败时禁止执行并留诊断</x:v>
      </x:c>
      <x:c r="H33" s="82"/>
      <x:c r="I33" s="82"/>
    </x:row>
    <x:row r="34">
      <x:c r="A34" s="82" t="str">
        <x:v>C12</x:v>
      </x:c>
      <x:c r="B34" s="82" t="str">
        <x:v>大图像数据跨流程</x:v>
      </x:c>
      <x:c r="C34" s="82" t="str">
        <x:v>图像采集DataHandle→AI→检测→结果归档</x:v>
      </x:c>
      <x:c r="D34" s="82" t="str">
        <x:v>M09/M10/M20/M31</x:v>
      </x:c>
      <x:c r="E34" s="82" t="str">
        <x:v>Zero-copy/Lease与资源所有权</x:v>
      </x:c>
      <x:c r="F34" s="82" t="str">
        <x:v>10GB数据、超时、部分消费者失败</x:v>
      </x:c>
      <x:c r="G34" s="82" t="str">
        <x:v>无悬空引用或内存泄漏</x:v>
      </x:c>
      <x:c r="H34" s="82"/>
      <x:c r="I34" s="82"/>
    </x:row>
    <x:row r="35">
      <x:c r="A35" s="82" t="str">
        <x:v>C13</x:v>
      </x:c>
      <x:c r="B35" s="82" t="str">
        <x:v>运行态只读Diagram</x:v>
      </x:c>
      <x:c r="C35" s="82" t="str">
        <x:v>RuntimeEvent→Visual状态装饰→WPF显示</x:v>
      </x:c>
      <x:c r="D35" s="82" t="str">
        <x:v>M30/M32/M17</x:v>
      </x:c>
      <x:c r="E35" s="82" t="str">
        <x:v>Definition与Runtime Instance隔离</x:v>
      </x:c>
      <x:c r="F35" s="82" t="str">
        <x:v>断线、乱序、迟到事件</x:v>
      </x:c>
      <x:c r="G35" s="82" t="str">
        <x:v>运行画面不更改流程定义</x:v>
      </x:c>
      <x:c r="H35" s="82"/>
      <x:c r="I35" s="82"/>
    </x:row>
    <x:row r="36">
      <x:c r="A36" s="82" t="str">
        <x:v>C14</x:v>
      </x:c>
      <x:c r="B36" s="82" t="str">
        <x:v>模板导入/实例化</x:v>
      </x:c>
      <x:c r="C36" s="82" t="str">
        <x:v>导入Content模板→ID重映射→引用绑定→添加到Project</x:v>
      </x:c>
      <x:c r="D36" s="82" t="str">
        <x:v>M38/M01/M03/M07</x:v>
      </x:c>
      <x:c r="E36" s="82" t="str">
        <x:v>Template Contract/Importer分离</x:v>
      </x:c>
      <x:c r="F36" s="82" t="str">
        <x:v>重复ID、恶意内容、版本不兼容</x:v>
      </x:c>
      <x:c r="G36" s="82" t="str">
        <x:v>部分失败全部回滚</x:v>
      </x:c>
      <x:c r="H36" s="82"/>
      <x:c r="I36" s="82"/>
    </x:row>
    <x:row r="37">
      <x:c r="A37" s="82" t="str">
        <x:v>C15</x:v>
      </x:c>
      <x:c r="B37" s="82" t="str">
        <x:v>SVG图元导出</x:v>
      </x:c>
      <x:c r="C37" s="82" t="str">
        <x:v>Core Element→Visual绘图描述→SVG导出实现</x:v>
      </x:c>
      <x:c r="D37" s="82" t="str">
        <x:v>M16/M38/F05/F22</x:v>
      </x:c>
      <x:c r="E37" s="82" t="str">
        <x:v>通用绘制模型+格式适配</x:v>
      </x:c>
      <x:c r="F37" s="82" t="str">
        <x:v>未知图元、字体替换</x:v>
      </x:c>
      <x:c r="G37" s="82" t="str">
        <x:v>导出可重导入但无第二业务树</x:v>
      </x:c>
      <x:c r="H37" s="82"/>
      <x:c r="I37" s="82"/>
    </x:row>
    <x:row r="38">
      <x:c r="A38" s="82" t="str">
        <x:v>C16</x:v>
      </x:c>
      <x:c r="B38" s="82" t="str">
        <x:v>断网与设备故障</x:v>
      </x:c>
      <x:c r="C38" s="82" t="str">
        <x:v>专业Provider失败→Runtime恢复与退避</x:v>
      </x:c>
      <x:c r="D38" s="82" t="str">
        <x:v>M13-M15/M26-M30</x:v>
      </x:c>
      <x:c r="E38" s="82" t="str">
        <x:v>机制不实现专业设备算法</x:v>
      </x:c>
      <x:c r="F38" s="82" t="str">
        <x:v>运动安全联锁不可软件替代</x:v>
      </x:c>
      <x:c r="G38" s="82" t="str">
        <x:v>正确停止、诊断、人工恢复</x:v>
      </x:c>
      <x:c r="H38" s="82"/>
      <x:c r="I38" s="82"/>
    </x:row>
    <x:row r="39">
      <x:c r="A39" s="82" t="str">
        <x:v>C17</x:v>
      </x:c>
      <x:c r="B39" s="82" t="str">
        <x:v>仿真时钟</x:v>
      </x:c>
      <x:c r="C39" s="82" t="str">
        <x:v>虚拟Clock→流程模拟运行→确定性Replay</x:v>
      </x:c>
      <x:c r="D39" s="82" t="str">
        <x:v>M34/M30/M33/F08</x:v>
      </x:c>
      <x:c r="E39" s="82" t="str">
        <x:v>通用仿真归Runtime</x:v>
      </x:c>
      <x:c r="F39" s="82" t="str">
        <x:v>真实硬件误触发</x:v>
      </x:c>
      <x:c r="G39" s="82" t="str">
        <x:v>测试与真实设备隔离</x:v>
      </x:c>
      <x:c r="H39" s="82"/>
      <x:c r="I39" s="82"/>
    </x:row>
    <x:row r="40">
      <x:c r="A40" s="82" t="str">
        <x:v>C18</x:v>
      </x:c>
      <x:c r="B40" s="82" t="str">
        <x:v>后台无界面运行</x:v>
      </x:c>
      <x:c r="C40" s="82" t="str">
        <x:v>保存工程→命令行加载→编译→执行</x:v>
      </x:c>
      <x:c r="D40" s="82" t="str">
        <x:v>M01/M29/M30</x:v>
      </x:c>
      <x:c r="E40" s="82" t="str">
        <x:v>Core/Visual/Orchestration无WPF反向依赖</x:v>
      </x:c>
      <x:c r="F40" s="82" t="str">
        <x:v>没有桌面环境和Display</x:v>
      </x:c>
      <x:c r="G40" s="82" t="str">
        <x:v>流程仍可执行</x:v>
      </x:c>
      <x:c r="H40" s="82"/>
      <x:c r="I40" s="82"/>
    </x:row>
    <x:row r="41">
      <x:c r="A41" s="82" t="str">
        <x:v>C19</x:v>
      </x:c>
      <x:c r="B41" s="82" t="str">
        <x:v>多平台UI替换</x:v>
      </x:c>
      <x:c r="C41" s="82" t="str">
        <x:v>同VisualFrame→WPF/假想Web渲染后端</x:v>
      </x:c>
      <x:c r="D41" s="82" t="str">
        <x:v>M16/M17/F22</x:v>
      </x:c>
      <x:c r="E41" s="82" t="str">
        <x:v>Visual无System.Windows引用</x:v>
      </x:c>
      <x:c r="F41" s="82" t="str">
        <x:v>DPI、字体测量差异</x:v>
      </x:c>
      <x:c r="G41" s="82" t="str">
        <x:v>不改Core/Visual源码即可替换绘制</x:v>
      </x:c>
      <x:c r="H41" s="82"/>
      <x:c r="I41" s="82"/>
    </x:row>
    <x:row r="42">
      <x:c r="A42" s="82" t="str">
        <x:v>C20</x:v>
      </x:c>
      <x:c r="B42" s="82" t="str">
        <x:v>3D隔离</x:v>
      </x:c>
      <x:c r="C42" s="82" t="str">
        <x:v>CT独立3D Viewer使用Volume；2D编排WPF无Volume引用</x:v>
      </x:c>
      <x:c r="D42" s="82" t="str">
        <x:v>F12/P43-P53</x:v>
      </x:c>
      <x:c r="E42" s="82" t="str">
        <x:v>公共2D WPF不加载体绘依赖</x:v>
      </x:c>
      <x:c r="F42" s="82" t="str">
        <x:v>不安装OpenGL/HALCON</x:v>
      </x:c>
      <x:c r="G42" s="82" t="str">
        <x:v>WPF图元编排独立启动</x:v>
      </x:c>
      <x:c r="H42" s="82"/>
      <x:c r="I42" s="82"/>
    </x:row>
    <x:row r="43">
      <x:c r="A43" s="82"/>
      <x:c r="B43" s="82"/>
      <x:c r="C43" s="82"/>
      <x:c r="D43" s="82"/>
      <x:c r="E43" s="82"/>
      <x:c r="F43" s="82"/>
      <x:c r="G43" s="82"/>
      <x:c r="H43" s="82"/>
      <x:c r="I43" s="82"/>
    </x:row>
    <x:row r="44">
      <x:c r="A44" s="82"/>
      <x:c r="B44" s="82"/>
      <x:c r="C44" s="82"/>
      <x:c r="D44" s="82"/>
      <x:c r="E44" s="82"/>
      <x:c r="F44" s="82"/>
      <x:c r="G44" s="82"/>
      <x:c r="H44" s="82"/>
      <x:c r="I44" s="82"/>
    </x:row>
    <x:row r="45" ht="27" customHeight="1">
      <x:c r="A45" s="108" t="str">
        <x:v>C. R2关键闭环场景步骤（45步骤）</x:v>
      </x:c>
      <x:c r="B45" s="108"/>
      <x:c r="C45" s="108"/>
      <x:c r="D45" s="108"/>
      <x:c r="E45" s="108"/>
      <x:c r="F45" s="108"/>
      <x:c r="G45" s="108"/>
      <x:c r="H45" s="108"/>
      <x:c r="I45" s="108"/>
    </x:row>
    <x:row r="46">
      <x:c r="A46" s="82" t="str">
        <x:v>案例ID</x:v>
      </x:c>
      <x:c r="B46" s="82" t="str">
        <x:v>案例名称</x:v>
      </x:c>
      <x:c r="C46" s="82" t="str">
        <x:v>步骤</x:v>
      </x:c>
      <x:c r="D46" s="82" t="str">
        <x:v>执行Owner</x:v>
      </x:c>
      <x:c r="E46" s="82" t="str">
        <x:v>输入/工况</x:v>
      </x:c>
      <x:c r="F46" s="82" t="str">
        <x:v>调用/操作</x:v>
      </x:c>
      <x:c r="G46" s="82" t="str">
        <x:v>通过标准</x:v>
      </x:c>
      <x:c r="H46" s="82" t="str">
        <x:v>反例/失败场景</x:v>
      </x:c>
      <x:c r="I46" s="82" t="str">
        <x:v>类型</x:v>
      </x:c>
    </x:row>
    <x:row r="47">
      <x:c r="A47" s="82" t="str">
        <x:v>T01</x:v>
      </x:c>
      <x:c r="B47" s="82" t="str">
        <x:v>工程对象唯一Owner</x:v>
      </x:c>
      <x:c r="C47" s="82" t="n">
        <x:v>1</x:v>
      </x:c>
      <x:c r="D47" s="82" t="str">
        <x:v>Core</x:v>
      </x:c>
      <x:c r="E47" s="82" t="str">
        <x:v>空工程</x:v>
      </x:c>
      <x:c r="F47" s="82" t="str">
        <x:v>创建Project/Page/Content</x:v>
      </x:c>
      <x:c r="G47" s="82" t="str">
        <x:v>只存在一份稳定Owner树</x:v>
      </x:c>
      <x:c r="H47" s="82" t="str">
        <x:v>Node重复ID</x:v>
      </x:c>
      <x:c r="I47" s="82" t="str">
        <x:v>正常+失效</x:v>
      </x:c>
    </x:row>
    <x:row r="48">
      <x:c r="A48" s="82" t="str">
        <x:v>T01</x:v>
      </x:c>
      <x:c r="B48" s="82" t="str">
        <x:v>工程对象唯一Owner</x:v>
      </x:c>
      <x:c r="C48" s="82" t="n">
        <x:v>2</x:v>
      </x:c>
      <x:c r="D48" s="82" t="str">
        <x:v>Core</x:v>
      </x:c>
      <x:c r="E48" s="82" t="str">
        <x:v>子节点</x:v>
      </x:c>
      <x:c r="F48" s="82" t="str">
        <x:v>绑定Parent/建立索引</x:v>
      </x:c>
      <x:c r="G48" s="82" t="str">
        <x:v>Parent双向一致</x:v>
      </x:c>
      <x:c r="H48" s="82" t="str">
        <x:v>环状父子</x:v>
      </x:c>
      <x:c r="I48" s="82" t="str">
        <x:v>正常+失效</x:v>
      </x:c>
    </x:row>
    <x:row r="49">
      <x:c r="A49" s="82" t="str">
        <x:v>T02</x:v>
      </x:c>
      <x:c r="B49" s="82" t="str">
        <x:v>复合Group变换</x:v>
      </x:c>
      <x:c r="C49" s="82" t="n">
        <x:v>1</x:v>
      </x:c>
      <x:c r="D49" s="82" t="str">
        <x:v>WPF</x:v>
      </x:c>
      <x:c r="E49" s="82" t="str">
        <x:v>Group拖动100px</x:v>
      </x:c>
      <x:c r="F49" s="82" t="str">
        <x:v>发送PointerGesture</x:v>
      </x:c>
      <x:c r="G49" s="82" t="str">
        <x:v>只发送标准化输入</x:v>
      </x:c>
      <x:c r="H49" s="82" t="str">
        <x:v>WPF修改Element.Bounds</x:v>
      </x:c>
      <x:c r="I49" s="82" t="str">
        <x:v>正常+失效</x:v>
      </x:c>
    </x:row>
    <x:row r="50">
      <x:c r="A50" s="82" t="str">
        <x:v>T02</x:v>
      </x:c>
      <x:c r="B50" s="82" t="str">
        <x:v>复合Group变换</x:v>
      </x:c>
      <x:c r="C50" s="82" t="n">
        <x:v>2</x:v>
      </x:c>
      <x:c r="D50" s="82" t="str">
        <x:v>Visual</x:v>
      </x:c>
      <x:c r="E50" s="82" t="str">
        <x:v>多层Group</x:v>
      </x:c>
      <x:c r="F50" s="82" t="str">
        <x:v>计算父级矩阵与吸附</x:v>
      </x:c>
      <x:c r="G50" s="82" t="str">
        <x:v>预览不改Core</x:v>
      </x:c>
      <x:c r="H50" s="82" t="str">
        <x:v>对每个子元素重复施加位移</x:v>
      </x:c>
      <x:c r="I50" s="82" t="str">
        <x:v>正常+失效</x:v>
      </x:c>
    </x:row>
    <x:row r="51">
      <x:c r="A51" s="82" t="str">
        <x:v>T02</x:v>
      </x:c>
      <x:c r="B51" s="82" t="str">
        <x:v>复合Group变换</x:v>
      </x:c>
      <x:c r="C51" s="82" t="n">
        <x:v>3</x:v>
      </x:c>
      <x:c r="D51" s="82" t="str">
        <x:v>Core</x:v>
      </x:c>
      <x:c r="E51" s="82" t="str">
        <x:v>CoreMutation</x:v>
      </x:c>
      <x:c r="F51" s="82" t="str">
        <x:v>事务提交一次</x:v>
      </x:c>
      <x:c r="G51" s="82" t="str">
        <x:v>完整修改/无部分提交</x:v>
      </x:c>
      <x:c r="H51" s="82" t="str">
        <x:v>部分修改</x:v>
      </x:c>
      <x:c r="I51" s="82" t="str">
        <x:v>正常+失效</x:v>
      </x:c>
    </x:row>
    <x:row r="52">
      <x:c r="A52" s="82" t="str">
        <x:v>T02</x:v>
      </x:c>
      <x:c r="B52" s="82" t="str">
        <x:v>复合Group变换</x:v>
      </x:c>
      <x:c r="C52" s="82" t="n">
        <x:v>4</x:v>
      </x:c>
      <x:c r="D52" s="82" t="str">
        <x:v>Visual</x:v>
      </x:c>
      <x:c r="E52" s="82" t="str">
        <x:v>Undo</x:v>
      </x:c>
      <x:c r="F52" s="82" t="str">
        <x:v>一条历史复原</x:v>
      </x:c>
      <x:c r="G52" s="82" t="str">
        <x:v>恢复原始父变换</x:v>
      </x:c>
      <x:c r="H52" s="82" t="str">
        <x:v>Undo一半</x:v>
      </x:c>
      <x:c r="I52" s="82" t="str">
        <x:v>正常+失效</x:v>
      </x:c>
    </x:row>
    <x:row r="53">
      <x:c r="A53" s="82" t="str">
        <x:v>T03</x:v>
      </x:c>
      <x:c r="B53" s="82" t="str">
        <x:v>ContentRef缺失与重连</x:v>
      </x:c>
      <x:c r="C53" s="82" t="n">
        <x:v>1</x:v>
      </x:c>
      <x:c r="D53" s="82" t="str">
        <x:v>Core</x:v>
      </x:c>
      <x:c r="E53" s="82" t="str">
        <x:v>ContentRef失效</x:v>
      </x:c>
      <x:c r="F53" s="82" t="str">
        <x:v>保留原TargetId</x:v>
      </x:c>
      <x:c r="G53" s="82" t="str">
        <x:v>工程仍可加载且诊断</x:v>
      </x:c>
      <x:c r="H53" s="82" t="str">
        <x:v>加载即删除Ref</x:v>
      </x:c>
      <x:c r="I53" s="82" t="str">
        <x:v>正常+失效</x:v>
      </x:c>
    </x:row>
    <x:row r="54">
      <x:c r="A54" s="82" t="str">
        <x:v>T03</x:v>
      </x:c>
      <x:c r="B54" s="82" t="str">
        <x:v>ContentRef缺失与重连</x:v>
      </x:c>
      <x:c r="C54" s="82" t="n">
        <x:v>2</x:v>
      </x:c>
      <x:c r="D54" s="82" t="str">
        <x:v>Core</x:v>
      </x:c>
      <x:c r="E54" s="82" t="str">
        <x:v>目标恢复</x:v>
      </x:c>
      <x:c r="F54" s="82" t="str">
        <x:v>Resolve再次执行</x:v>
      </x:c>
      <x:c r="G54" s="82" t="str">
        <x:v>恢复同一引用</x:v>
      </x:c>
      <x:c r="H54" s="82" t="str">
        <x:v>重新复制Content</x:v>
      </x:c>
      <x:c r="I54" s="82" t="str">
        <x:v>正常+失效</x:v>
      </x:c>
    </x:row>
    <x:row r="55">
      <x:c r="A55" s="82" t="str">
        <x:v>T04</x:v>
      </x:c>
      <x:c r="B55" s="82" t="str">
        <x:v>Symbol十实例</x:v>
      </x:c>
      <x:c r="C55" s="82" t="n">
        <x:v>1</x:v>
      </x:c>
      <x:c r="D55" s="82" t="str">
        <x:v>Core</x:v>
      </x:c>
      <x:c r="E55" s="82" t="str">
        <x:v>一个SymbolDefinition</x:v>
      </x:c>
      <x:c r="F55" s="82" t="str">
        <x:v>添加10实例</x:v>
      </x:c>
      <x:c r="G55" s="82" t="str">
        <x:v>只有一个定义Owner</x:v>
      </x:c>
      <x:c r="H55" s="82" t="str">
        <x:v>10份定义复制</x:v>
      </x:c>
      <x:c r="I55" s="82" t="str">
        <x:v>正常+失效</x:v>
      </x:c>
    </x:row>
    <x:row r="56">
      <x:c r="A56" s="82" t="str">
        <x:v>T04</x:v>
      </x:c>
      <x:c r="B56" s="82" t="str">
        <x:v>Symbol十实例</x:v>
      </x:c>
      <x:c r="C56" s="82" t="n">
        <x:v>2</x:v>
      </x:c>
      <x:c r="D56" s="82" t="str">
        <x:v>Visual</x:v>
      </x:c>
      <x:c r="E56" s="82" t="str">
        <x:v>实例3移动</x:v>
      </x:c>
      <x:c r="F56" s="82" t="str">
        <x:v>预览/事务提交</x:v>
      </x:c>
      <x:c r="G56" s="82" t="str">
        <x:v>其他9个实例不动</x:v>
      </x:c>
      <x:c r="H56" s="82" t="str">
        <x:v>修改定义RootGroup</x:v>
      </x:c>
      <x:c r="I56" s="82" t="str">
        <x:v>正常+失效</x:v>
      </x:c>
    </x:row>
    <x:row r="57">
      <x:c r="A57" s="82" t="str">
        <x:v>T04</x:v>
      </x:c>
      <x:c r="B57" s="82" t="str">
        <x:v>Symbol十实例</x:v>
      </x:c>
      <x:c r="C57" s="82" t="n">
        <x:v>3</x:v>
      </x:c>
      <x:c r="D57" s="82" t="str">
        <x:v>Core</x:v>
      </x:c>
      <x:c r="E57" s="82" t="str">
        <x:v>改定义</x:v>
      </x:c>
      <x:c r="F57" s="82" t="str">
        <x:v>同步各实例投影</x:v>
      </x:c>
      <x:c r="G57" s="82" t="str">
        <x:v>所有实例正确反映新定义</x:v>
      </x:c>
      <x:c r="H57" s="82" t="str">
        <x:v>失效缓存</x:v>
      </x:c>
      <x:c r="I57" s="82" t="str">
        <x:v>正常+失效</x:v>
      </x:c>
    </x:row>
    <x:row r="58">
      <x:c r="A58" s="82" t="str">
        <x:v>T05</x:v>
      </x:c>
      <x:c r="B58" s="82" t="str">
        <x:v>属性UI与画布一致</x:v>
      </x:c>
      <x:c r="C58" s="82" t="n">
        <x:v>1</x:v>
      </x:c>
      <x:c r="D58" s="82" t="str">
        <x:v>WPF</x:v>
      </x:c>
      <x:c r="E58" s="82" t="str">
        <x:v>属性面板</x:v>
      </x:c>
      <x:c r="F58" s="82" t="str">
        <x:v>编辑Width</x:v>
      </x:c>
      <x:c r="G58" s="82" t="str">
        <x:v>产生属性变更请求</x:v>
      </x:c>
      <x:c r="H58" s="82" t="str">
        <x:v>WPF本地独占数据</x:v>
      </x:c>
      <x:c r="I58" s="82" t="str">
        <x:v>正常+失效</x:v>
      </x:c>
    </x:row>
    <x:row r="59">
      <x:c r="A59" s="82" t="str">
        <x:v>T05</x:v>
      </x:c>
      <x:c r="B59" s="82" t="str">
        <x:v>属性UI与画布一致</x:v>
      </x:c>
      <x:c r="C59" s="82" t="n">
        <x:v>2</x:v>
      </x:c>
      <x:c r="D59" s="82" t="str">
        <x:v>Core</x:v>
      </x:c>
      <x:c r="E59" s="82" t="str">
        <x:v>属性事务</x:v>
      </x:c>
      <x:c r="F59" s="82" t="str">
        <x:v>Schema+约束验证</x:v>
      </x:c>
      <x:c r="G59" s="82" t="str">
        <x:v>合法则提交并通知</x:v>
      </x:c>
      <x:c r="H59" s="82" t="str">
        <x:v>非法尺寸</x:v>
      </x:c>
      <x:c r="I59" s="82" t="str">
        <x:v>正常+失效</x:v>
      </x:c>
    </x:row>
    <x:row r="60">
      <x:c r="A60" s="82" t="str">
        <x:v>T05</x:v>
      </x:c>
      <x:c r="B60" s="82" t="str">
        <x:v>属性UI与画布一致</x:v>
      </x:c>
      <x:c r="C60" s="82" t="n">
        <x:v>3</x:v>
      </x:c>
      <x:c r="D60" s="82" t="str">
        <x:v>Visual</x:v>
      </x:c>
      <x:c r="E60" s="82" t="str">
        <x:v>画布</x:v>
      </x:c>
      <x:c r="F60" s="82" t="str">
        <x:v>重新投影</x:v>
      </x:c>
      <x:c r="G60" s="82" t="str">
        <x:v>与属性面板同一值</x:v>
      </x:c>
      <x:c r="H60" s="82" t="str">
        <x:v>双向状态漂移</x:v>
      </x:c>
      <x:c r="I60" s="82" t="str">
        <x:v>正常+失效</x:v>
      </x:c>
    </x:row>
    <x:row r="61">
      <x:c r="A61" s="82" t="str">
        <x:v>T06</x:v>
      </x:c>
      <x:c r="B61" s="82" t="str">
        <x:v>Port兼容</x:v>
      </x:c>
      <x:c r="C61" s="82" t="n">
        <x:v>1</x:v>
      </x:c>
      <x:c r="D61" s="82" t="str">
        <x:v>Visual</x:v>
      </x:c>
      <x:c r="E61" s="82" t="str">
        <x:v>拉线预览</x:v>
      </x:c>
      <x:c r="F61" s="82" t="str">
        <x:v>计算端点/路由</x:v>
      </x:c>
      <x:c r="G61" s="82" t="str">
        <x:v>仅临时连线</x:v>
      </x:c>
      <x:c r="H61" s="82" t="str">
        <x:v>把视觉线当有效Link</x:v>
      </x:c>
      <x:c r="I61" s="82" t="str">
        <x:v>正常+失效</x:v>
      </x:c>
    </x:row>
    <x:row r="62">
      <x:c r="A62" s="82" t="str">
        <x:v>T06</x:v>
      </x:c>
      <x:c r="B62" s="82" t="str">
        <x:v>Port兼容</x:v>
      </x:c>
      <x:c r="C62" s="82" t="n">
        <x:v>2</x:v>
      </x:c>
      <x:c r="D62" s="82" t="str">
        <x:v>Core</x:v>
      </x:c>
      <x:c r="E62" s="82" t="str">
        <x:v>端口验证</x:v>
      </x:c>
      <x:c r="F62" s="82" t="str">
        <x:v>类型/方向/基数检查</x:v>
      </x:c>
      <x:c r="G62" s="82" t="str">
        <x:v>返回结构化结果</x:v>
      </x:c>
      <x:c r="H62" s="82" t="str">
        <x:v>不兼容端口</x:v>
      </x:c>
      <x:c r="I62" s="82" t="str">
        <x:v>正常+失效</x:v>
      </x:c>
    </x:row>
    <x:row r="63">
      <x:c r="A63" s="82" t="str">
        <x:v>T06</x:v>
      </x:c>
      <x:c r="B63" s="82" t="str">
        <x:v>Port兼容</x:v>
      </x:c>
      <x:c r="C63" s="82" t="n">
        <x:v>3</x:v>
      </x:c>
      <x:c r="D63" s="82" t="str">
        <x:v>Orchestration</x:v>
      </x:c>
      <x:c r="E63" s="82" t="str">
        <x:v>逻辑编辑</x:v>
      </x:c>
      <x:c r="F63" s="82" t="str">
        <x:v>TryConnect + Commit</x:v>
      </x:c>
      <x:c r="G63" s="82" t="str">
        <x:v>真实LogicLink唯一</x:v>
      </x:c>
      <x:c r="H63" s="82" t="str">
        <x:v>幽灵连线</x:v>
      </x:c>
      <x:c r="I63" s="82" t="str">
        <x:v>正常+失效</x:v>
      </x:c>
    </x:row>
    <x:row r="64">
      <x:c r="A64" s="82" t="str">
        <x:v>T07</x:v>
      </x:c>
      <x:c r="B64" s="82" t="str">
        <x:v>工程结构验证</x:v>
      </x:c>
      <x:c r="C64" s="82" t="n">
        <x:v>1</x:v>
      </x:c>
      <x:c r="D64" s="82" t="str">
        <x:v>Core</x:v>
      </x:c>
      <x:c r="E64" s="82" t="str">
        <x:v>含非法引用/ID</x:v>
      </x:c>
      <x:c r="F64" s="82" t="str">
        <x:v>Validate</x:v>
      </x:c>
      <x:c r="G64" s="82" t="str">
        <x:v>输出定位到ObjectId/RefId的证据</x:v>
      </x:c>
      <x:c r="H64" s="82" t="str">
        <x:v>静默通过</x:v>
      </x:c>
      <x:c r="I64" s="82" t="str">
        <x:v>正常+失效</x:v>
      </x:c>
    </x:row>
    <x:row r="65">
      <x:c r="A65" s="82" t="str">
        <x:v>T07</x:v>
      </x:c>
      <x:c r="B65" s="82" t="str">
        <x:v>工程结构验证</x:v>
      </x:c>
      <x:c r="C65" s="82" t="n">
        <x:v>2</x:v>
      </x:c>
      <x:c r="D65" s="82" t="str">
        <x:v>Studio</x:v>
      </x:c>
      <x:c r="E65" s="82" t="str">
        <x:v>工程面板</x:v>
      </x:c>
      <x:c r="F65" s="82" t="str">
        <x:v>显示问题并可跳转</x:v>
      </x:c>
      <x:c r="G65" s="82" t="str">
        <x:v>不自动修改工程</x:v>
      </x:c>
      <x:c r="H65" s="82" t="str">
        <x:v>错误被自动吞掉</x:v>
      </x:c>
      <x:c r="I65" s="82" t="str">
        <x:v>正常+失效</x:v>
      </x:c>
    </x:row>
    <x:row r="66">
      <x:c r="A66" s="82" t="str">
        <x:v>T08</x:v>
      </x:c>
      <x:c r="B66" s="82" t="str">
        <x:v>模板与保存恢复</x:v>
      </x:c>
      <x:c r="C66" s="82" t="n">
        <x:v>1</x:v>
      </x:c>
      <x:c r="D66" s="82" t="str">
        <x:v>Core</x:v>
      </x:c>
      <x:c r="E66" s="82" t="str">
        <x:v>Symbol/Content模板</x:v>
      </x:c>
      <x:c r="F66" s="82" t="str">
        <x:v>Instantiate及ID重映射</x:v>
      </x:c>
      <x:c r="G66" s="82" t="str">
        <x:v>所有内部引用正确</x:v>
      </x:c>
      <x:c r="H66" s="82" t="str">
        <x:v>重复ID/悬空Ref</x:v>
      </x:c>
      <x:c r="I66" s="82" t="str">
        <x:v>正常+失效</x:v>
      </x:c>
    </x:row>
    <x:row r="67">
      <x:c r="A67" s="82" t="str">
        <x:v>T08</x:v>
      </x:c>
      <x:c r="B67" s="82" t="str">
        <x:v>模板与保存恢复</x:v>
      </x:c>
      <x:c r="C67" s="82" t="n">
        <x:v>2</x:v>
      </x:c>
      <x:c r="D67" s="82" t="str">
        <x:v>Core</x:v>
      </x:c>
      <x:c r="E67" s="82" t="str">
        <x:v>工程定义</x:v>
      </x:c>
      <x:c r="F67" s="82" t="str">
        <x:v>Save/Load</x:v>
      </x:c>
      <x:c r="G67" s="82" t="str">
        <x:v>二次加载同构</x:v>
      </x:c>
      <x:c r="H67" s="82" t="str">
        <x:v>无版本或丢未知字段</x:v>
      </x:c>
      <x:c r="I67" s="82" t="str">
        <x:v>正常+失效</x:v>
      </x:c>
    </x:row>
    <x:row r="68">
      <x:c r="A68" s="82" t="str">
        <x:v>T09</x:v>
      </x:c>
      <x:c r="B68" s="82" t="str">
        <x:v>多画布视口</x:v>
      </x:c>
      <x:c r="C68" s="82" t="n">
        <x:v>1</x:v>
      </x:c>
      <x:c r="D68" s="82" t="str">
        <x:v>Visual</x:v>
      </x:c>
      <x:c r="E68" s="82" t="str">
        <x:v>同一Content画布A/B</x:v>
      </x:c>
      <x:c r="F68" s="82" t="str">
        <x:v>不同Zoom/Pan</x:v>
      </x:c>
      <x:c r="G68" s="82" t="str">
        <x:v>互不影响视口</x:v>
      </x:c>
      <x:c r="H68" s="82" t="str">
        <x:v>共享Viewport单例</x:v>
      </x:c>
      <x:c r="I68" s="82" t="str">
        <x:v>正常+失效</x:v>
      </x:c>
    </x:row>
    <x:row r="69">
      <x:c r="A69" s="82" t="str">
        <x:v>T09</x:v>
      </x:c>
      <x:c r="B69" s="82" t="str">
        <x:v>多画布视口</x:v>
      </x:c>
      <x:c r="C69" s="82" t="n">
        <x:v>2</x:v>
      </x:c>
      <x:c r="D69" s="82" t="str">
        <x:v>Core</x:v>
      </x:c>
      <x:c r="E69" s="82" t="str">
        <x:v>A修改图元</x:v>
      </x:c>
      <x:c r="F69" s="82" t="str">
        <x:v>事务提交</x:v>
      </x:c>
      <x:c r="G69" s="82" t="str">
        <x:v>B刷新反映同一工程状态</x:v>
      </x:c>
      <x:c r="H69" s="82" t="str">
        <x:v>各持有Element副本</x:v>
      </x:c>
      <x:c r="I69" s="82" t="str">
        <x:v>正常+失效</x:v>
      </x:c>
    </x:row>
    <x:row r="70">
      <x:c r="A70" s="82" t="str">
        <x:v>T10</x:v>
      </x:c>
      <x:c r="B70" s="82" t="str">
        <x:v>选择状态</x:v>
      </x:c>
      <x:c r="C70" s="82" t="n">
        <x:v>1</x:v>
      </x:c>
      <x:c r="D70" s="82" t="str">
        <x:v>Visual</x:v>
      </x:c>
      <x:c r="E70" s="82" t="str">
        <x:v>A选中Element1，B选中Element2</x:v>
      </x:c>
      <x:c r="F70" s="82" t="str">
        <x:v>会话状态隔离</x:v>
      </x:c>
      <x:c r="G70" s="82" t="str">
        <x:v>互不改变Selection</x:v>
      </x:c>
      <x:c r="H70" s="82" t="str">
        <x:v>Core写入选择状态</x:v>
      </x:c>
      <x:c r="I70" s="82" t="str">
        <x:v>正常+失效</x:v>
      </x:c>
    </x:row>
    <x:row r="71">
      <x:c r="A71" s="82" t="str">
        <x:v>T11</x:v>
      </x:c>
      <x:c r="B71" s="82" t="str">
        <x:v>吸附对齐</x:v>
      </x:c>
      <x:c r="C71" s="82" t="n">
        <x:v>1</x:v>
      </x:c>
      <x:c r="D71" s="82" t="str">
        <x:v>Visual</x:v>
      </x:c>
      <x:c r="E71" s="82" t="str">
        <x:v>多对象选择</x:v>
      </x:c>
      <x:c r="F71" s="82" t="str">
        <x:v>计算吸附/对齐建议</x:v>
      </x:c>
      <x:c r="G71" s="82" t="str">
        <x:v>只做Preview</x:v>
      </x:c>
      <x:c r="H71" s="82" t="str">
        <x:v>WPF自己计算布局</x:v>
      </x:c>
      <x:c r="I71" s="82" t="str">
        <x:v>正常+失效</x:v>
      </x:c>
    </x:row>
    <x:row r="72">
      <x:c r="A72" s="82" t="str">
        <x:v>T11</x:v>
      </x:c>
      <x:c r="B72" s="82" t="str">
        <x:v>吸附对齐</x:v>
      </x:c>
      <x:c r="C72" s="82" t="n">
        <x:v>2</x:v>
      </x:c>
      <x:c r="D72" s="82" t="str">
        <x:v>Core</x:v>
      </x:c>
      <x:c r="E72" s="82" t="str">
        <x:v>确认提交</x:v>
      </x:c>
      <x:c r="F72" s="82" t="str">
        <x:v>跨对象一次事务</x:v>
      </x:c>
      <x:c r="G72" s="82" t="str">
        <x:v>可Undo且同批次</x:v>
      </x:c>
      <x:c r="H72" s="82" t="str">
        <x:v>一半对象成功</x:v>
      </x:c>
      <x:c r="I72" s="82" t="str">
        <x:v>正常+失效</x:v>
      </x:c>
    </x:row>
    <x:row r="73">
      <x:c r="A73" s="82" t="str">
        <x:v>T12</x:v>
      </x:c>
      <x:c r="B73" s="82" t="str">
        <x:v>普通Canvas与Diagram</x:v>
      </x:c>
      <x:c r="C73" s="82" t="n">
        <x:v>1</x:v>
      </x:c>
      <x:c r="D73" s="82" t="str">
        <x:v>Visual</x:v>
      </x:c>
      <x:c r="E73" s="82" t="str">
        <x:v>普通矩形Canvas</x:v>
      </x:c>
      <x:c r="F73" s="82" t="str">
        <x:v>BuildFrame</x:v>
      </x:c>
      <x:c r="G73" s="82" t="str">
        <x:v>与WPF无关</x:v>
      </x:c>
      <x:c r="H73" s="82" t="str">
        <x:v>UI加载才能生成画帧</x:v>
      </x:c>
      <x:c r="I73" s="82" t="str">
        <x:v>正常+失效</x:v>
      </x:c>
    </x:row>
    <x:row r="74">
      <x:c r="A74" s="82" t="str">
        <x:v>T12</x:v>
      </x:c>
      <x:c r="B74" s="82" t="str">
        <x:v>普通Canvas与Diagram</x:v>
      </x:c>
      <x:c r="C74" s="82" t="n">
        <x:v>2</x:v>
      </x:c>
      <x:c r="D74" s="82" t="str">
        <x:v>Visual</x:v>
      </x:c>
      <x:c r="E74" s="82" t="str">
        <x:v>LogicDiagram</x:v>
      </x:c>
      <x:c r="F74" s="82" t="str">
        <x:v>BuildFrame</x:v>
      </x:c>
      <x:c r="G74" s="82" t="str">
        <x:v>Frame只含外观</x:v>
      </x:c>
      <x:c r="H74" s="82" t="str">
        <x:v>WPF另持LogicLink数据</x:v>
      </x:c>
      <x:c r="I74" s="82" t="str">
        <x:v>正常+失效</x:v>
      </x:c>
    </x:row>
    <x:row r="75">
      <x:c r="A75" s="82" t="str">
        <x:v>T13</x:v>
      </x:c>
      <x:c r="B75" s="82" t="str">
        <x:v>多布局</x:v>
      </x:c>
      <x:c r="C75" s="82" t="n">
        <x:v>1</x:v>
      </x:c>
      <x:c r="D75" s="82" t="str">
        <x:v>Core</x:v>
      </x:c>
      <x:c r="E75" s="82" t="str">
        <x:v>LogicDefinition-01</x:v>
      </x:c>
      <x:c r="F75" s="82" t="str">
        <x:v>布局A/B指向同UnitId</x:v>
      </x:c>
      <x:c r="G75" s="82" t="str">
        <x:v>两个布局独立位置</x:v>
      </x:c>
      <x:c r="H75" s="82" t="str">
        <x:v>复制LogicDefinition</x:v>
      </x:c>
      <x:c r="I75" s="82" t="str">
        <x:v>正常+失效</x:v>
      </x:c>
    </x:row>
    <x:row r="76">
      <x:c r="A76" s="82" t="str">
        <x:v>T13</x:v>
      </x:c>
      <x:c r="B76" s="82" t="str">
        <x:v>多布局</x:v>
      </x:c>
      <x:c r="C76" s="82" t="n">
        <x:v>2</x:v>
      </x:c>
      <x:c r="D76" s="82" t="str">
        <x:v>Visual</x:v>
      </x:c>
      <x:c r="E76" s="82" t="str">
        <x:v>重新排列布局B</x:v>
      </x:c>
      <x:c r="F76" s="82" t="str">
        <x:v>只提交B的Layout</x:v>
      </x:c>
      <x:c r="G76" s="82" t="str">
        <x:v>逻辑连接不变</x:v>
      </x:c>
      <x:c r="H76" s="82" t="str">
        <x:v>自动布局修改流程拓扑</x:v>
      </x:c>
      <x:c r="I76" s="82" t="str">
        <x:v>正常+失效</x:v>
      </x:c>
    </x:row>
    <x:row r="77">
      <x:c r="A77" s="82" t="str">
        <x:v>T14</x:v>
      </x:c>
      <x:c r="B77" s="82" t="str">
        <x:v>Undo历史完整性</x:v>
      </x:c>
      <x:c r="C77" s="82" t="n">
        <x:v>1</x:v>
      </x:c>
      <x:c r="D77" s="82" t="str">
        <x:v>Visual</x:v>
      </x:c>
      <x:c r="E77" s="82" t="str">
        <x:v>连续300 MouseMove</x:v>
      </x:c>
      <x:c r="F77" s="82" t="str">
        <x:v>合并一次历史</x:v>
      </x:c>
      <x:c r="G77" s="82" t="str">
        <x:v>Undo栈只增加1</x:v>
      </x:c>
      <x:c r="H77" s="82" t="str">
        <x:v>300条记录</x:v>
      </x:c>
      <x:c r="I77" s="82" t="str">
        <x:v>正常+失效</x:v>
      </x:c>
    </x:row>
    <x:row r="78">
      <x:c r="A78" s="82" t="str">
        <x:v>T14</x:v>
      </x:c>
      <x:c r="B78" s="82" t="str">
        <x:v>Undo历史完整性</x:v>
      </x:c>
      <x:c r="C78" s="82" t="n">
        <x:v>2</x:v>
      </x:c>
      <x:c r="D78" s="82" t="str">
        <x:v>Core</x:v>
      </x:c>
      <x:c r="E78" s="82" t="str">
        <x:v>事务冲突</x:v>
      </x:c>
      <x:c r="F78" s="82" t="str">
        <x:v>拒绝全量撤销</x:v>
      </x:c>
      <x:c r="G78" s="82" t="str">
        <x:v>历史进入可诊断Faulted</x:v>
      </x:c>
      <x:c r="H78" s="82" t="str">
        <x:v>部分撤销还宣称成功</x:v>
      </x:c>
      <x:c r="I78" s="82" t="str">
        <x:v>正常+失效</x:v>
      </x:c>
    </x:row>
    <x:row r="79">
      <x:c r="A79" s="82" t="str">
        <x:v>T15</x:v>
      </x:c>
      <x:c r="B79" s="82" t="str">
        <x:v>ESC取消</x:v>
      </x:c>
      <x:c r="C79" s="82" t="n">
        <x:v>1</x:v>
      </x:c>
      <x:c r="D79" s="82" t="str">
        <x:v>WPF</x:v>
      </x:c>
      <x:c r="E79" s="82" t="str">
        <x:v>开始拖动</x:v>
      </x:c>
      <x:c r="F79" s="82" t="str">
        <x:v>鼠标移动+ESC</x:v>
      </x:c>
      <x:c r="G79" s="82" t="str">
        <x:v>仅中止交互</x:v>
      </x:c>
      <x:c r="H79" s="82" t="str">
        <x:v>WPF已写数据</x:v>
      </x:c>
      <x:c r="I79" s="82" t="str">
        <x:v>正常+失效</x:v>
      </x:c>
    </x:row>
    <x:row r="80">
      <x:c r="A80" s="82" t="str">
        <x:v>T15</x:v>
      </x:c>
      <x:c r="B80" s="82" t="str">
        <x:v>ESC取消</x:v>
      </x:c>
      <x:c r="C80" s="82" t="n">
        <x:v>2</x:v>
      </x:c>
      <x:c r="D80" s="82" t="str">
        <x:v>Visual</x:v>
      </x:c>
      <x:c r="E80" s="82" t="str">
        <x:v>取消临时状态</x:v>
      </x:c>
      <x:c r="F80" s="82" t="str">
        <x:v>CancelDrag</x:v>
      </x:c>
      <x:c r="G80" s="82" t="str">
        <x:v>Core对象完全不变</x:v>
      </x:c>
      <x:c r="H80" s="82" t="str">
        <x:v>历史残留</x:v>
      </x:c>
      <x:c r="I80" s="82" t="str">
        <x:v>正常+失效</x:v>
      </x:c>
    </x:row>
    <x:row r="81">
      <x:c r="A81" s="82" t="str">
        <x:v>T16</x:v>
      </x:c>
      <x:c r="B81" s="82" t="str">
        <x:v>WPF绘制</x:v>
      </x:c>
      <x:c r="C81" s="82" t="n">
        <x:v>1</x:v>
      </x:c>
      <x:c r="D81" s="82" t="str">
        <x:v>WPF</x:v>
      </x:c>
      <x:c r="E81" s="82" t="str">
        <x:v>同一CanvasFrame</x:v>
      </x:c>
      <x:c r="F81" s="82" t="str">
        <x:v>Render</x:v>
      </x:c>
      <x:c r="G81" s="82" t="str">
        <x:v>输出2D界面图</x:v>
      </x:c>
      <x:c r="H81" s="82" t="str">
        <x:v>WPF修改原工程</x:v>
      </x:c>
      <x:c r="I81" s="82" t="str">
        <x:v>正常+失效</x:v>
      </x:c>
    </x:row>
    <x:row r="82">
      <x:c r="A82" s="82" t="str">
        <x:v>T16</x:v>
      </x:c>
      <x:c r="B82" s="82" t="str">
        <x:v>WPF绘制</x:v>
      </x:c>
      <x:c r="C82" s="82" t="n">
        <x:v>2</x:v>
      </x:c>
      <x:c r="D82" s="82" t="str">
        <x:v>Visual</x:v>
      </x:c>
      <x:c r="E82" s="82" t="str">
        <x:v>无WPF Headless</x:v>
      </x:c>
      <x:c r="F82" s="82" t="str">
        <x:v>BuildFrame</x:v>
      </x:c>
      <x:c r="G82" s="82" t="str">
        <x:v>可运行独立单测</x:v>
      </x:c>
      <x:c r="H82" s="82" t="str">
        <x:v>引用Presentation</x:v>
      </x:c>
      <x:c r="I82" s="82" t="str">
        <x:v>正常+失效</x:v>
      </x:c>
    </x:row>
    <x:row r="83">
      <x:c r="A83" s="82" t="str">
        <x:v>T17</x:v>
      </x:c>
      <x:c r="B83" s="82" t="str">
        <x:v>DPI/文字</x:v>
      </x:c>
      <x:c r="C83" s="82" t="n">
        <x:v>1</x:v>
      </x:c>
      <x:c r="D83" s="82" t="str">
        <x:v>WPF</x:v>
      </x:c>
      <x:c r="E83" s="82" t="str">
        <x:v>100%/150%/200%DPI</x:v>
      </x:c>
      <x:c r="F83" s="82" t="str">
        <x:v>Measure/Translate</x:v>
      </x:c>
      <x:c r="G83" s="82" t="str">
        <x:v>坐标和文本一致</x:v>
      </x:c>
      <x:c r="H83" s="82" t="str">
        <x:v>用屏幕像素当工程坐标</x:v>
      </x:c>
      <x:c r="I83" s="82" t="str">
        <x:v>正常+失效</x:v>
      </x:c>
    </x:row>
    <x:row r="84">
      <x:c r="A84" s="82" t="str">
        <x:v>T18</x:v>
      </x:c>
      <x:c r="B84" s="82" t="str">
        <x:v>逻辑布局独立</x:v>
      </x:c>
      <x:c r="C84" s="82" t="n">
        <x:v>1</x:v>
      </x:c>
      <x:c r="D84" s="82" t="str">
        <x:v>Core</x:v>
      </x:c>
      <x:c r="E84" s="82" t="str">
        <x:v>LogicUnit.ViewPosition旧字段</x:v>
      </x:c>
      <x:c r="F84" s="82" t="str">
        <x:v>迁移到VisualLayout</x:v>
      </x:c>
      <x:c r="G84" s="82" t="str">
        <x:v>稳定UnitId无复制</x:v>
      </x:c>
      <x:c r="H84" s="82" t="str">
        <x:v>迁移遗漏</x:v>
      </x:c>
      <x:c r="I84" s="82" t="str">
        <x:v>正常+失效</x:v>
      </x:c>
    </x:row>
    <x:row r="85">
      <x:c r="A85" s="82" t="str">
        <x:v>T18</x:v>
      </x:c>
      <x:c r="B85" s="82" t="str">
        <x:v>逻辑布局独立</x:v>
      </x:c>
      <x:c r="C85" s="82" t="n">
        <x:v>2</x:v>
      </x:c>
      <x:c r="D85" s="82" t="str">
        <x:v>Orchestration</x:v>
      </x:c>
      <x:c r="E85" s="82" t="str">
        <x:v>只取LogicDefinition</x:v>
      </x:c>
      <x:c r="F85" s="82" t="str">
        <x:v>Compile</x:v>
      </x:c>
      <x:c r="G85" s="82" t="str">
        <x:v>不读取Visual布局</x:v>
      </x:c>
      <x:c r="H85" s="82" t="str">
        <x:v>依赖WPF才能执行</x:v>
      </x:c>
      <x:c r="I85" s="82" t="str">
        <x:v>正常+失效</x:v>
      </x:c>
    </x:row>
    <x:row r="86">
      <x:c r="A86" s="82" t="str">
        <x:v>T19</x:v>
      </x:c>
      <x:c r="B86" s="82" t="str">
        <x:v>专业异构流程</x:v>
      </x:c>
      <x:c r="C86" s="82" t="n">
        <x:v>1</x:v>
      </x:c>
      <x:c r="D86" s="82" t="str">
        <x:v>Studio</x:v>
      </x:c>
      <x:c r="E86" s="82" t="str">
        <x:v>Automation+Vision+Inspection</x:v>
      </x:c>
      <x:c r="F86" s="82" t="str">
        <x:v>加入节点并连接</x:v>
      </x:c>
      <x:c r="G86" s="82" t="str">
        <x:v>跨专业契约全部有效</x:v>
      </x:c>
      <x:c r="H86" s="82" t="str">
        <x:v>根据节点颜色推断类型</x:v>
      </x:c>
      <x:c r="I86" s="82" t="str">
        <x:v>正常+失效</x:v>
      </x:c>
    </x:row>
    <x:row r="87">
      <x:c r="A87" s="82" t="str">
        <x:v>T19</x:v>
      </x:c>
      <x:c r="B87" s="82" t="str">
        <x:v>专业异构流程</x:v>
      </x:c>
      <x:c r="C87" s="82" t="n">
        <x:v>2</x:v>
      </x:c>
      <x:c r="D87" s="82" t="str">
        <x:v>Orchestration</x:v>
      </x:c>
      <x:c r="E87" s="82" t="str">
        <x:v>多子流程</x:v>
      </x:c>
      <x:c r="F87" s="82" t="str">
        <x:v>Validate/Invoke</x:v>
      </x:c>
      <x:c r="G87" s="82" t="str">
        <x:v>正确执行及错误报告</x:v>
      </x:c>
      <x:c r="H87" s="82" t="str">
        <x:v>重复运行引擎</x:v>
      </x:c>
      <x:c r="I87" s="82" t="str">
        <x:v>正常+失效</x:v>
      </x:c>
    </x:row>
    <x:row r="88">
      <x:c r="A88" s="82" t="str">
        <x:v>T20</x:v>
      </x:c>
      <x:c r="B88" s="82" t="str">
        <x:v>无界面运行</x:v>
      </x:c>
      <x:c r="C88" s="82" t="n">
        <x:v>1</x:v>
      </x:c>
      <x:c r="D88" s="82" t="str">
        <x:v>Runtime</x:v>
      </x:c>
      <x:c r="E88" s="82" t="str">
        <x:v>纯定义+DataHandle</x:v>
      </x:c>
      <x:c r="F88" s="82" t="str">
        <x:v>Compile/Execute</x:v>
      </x:c>
      <x:c r="G88" s="82" t="str">
        <x:v>不加载WPF/Visual</x:v>
      </x:c>
      <x:c r="H88" s="82" t="str">
        <x:v>后台Host引用WPF</x:v>
      </x:c>
      <x:c r="I88" s="82" t="str">
        <x:v>正常+失效</x:v>
      </x:c>
    </x:row>
    <x:row r="89">
      <x:c r="A89" s="82" t="str">
        <x:v>T20</x:v>
      </x:c>
      <x:c r="B89" s="82" t="str">
        <x:v>无界面运行</x:v>
      </x:c>
      <x:c r="C89" s="82" t="n">
        <x:v>2</x:v>
      </x:c>
      <x:c r="D89" s="82" t="str">
        <x:v>Data</x:v>
      </x:c>
      <x:c r="E89" s="82" t="str">
        <x:v>大型CT数据</x:v>
      </x:c>
      <x:c r="F89" s="82" t="str">
        <x:v>Lease跨流程转交</x:v>
      </x:c>
      <x:c r="G89" s="82" t="str">
        <x:v>释放及取消正确</x:v>
      </x:c>
      <x:c r="H89" s="82" t="str">
        <x:v>全量复制多份</x:v>
      </x:c>
      <x:c r="I89" s="82" t="str">
        <x:v>正常+失效</x:v>
      </x:c>
    </x:row>
    <x:row r="90">
      <x:c r="A90" s="82" t="str">
        <x:v>T21</x:v>
      </x:c>
      <x:c r="B90" s="82" t="str">
        <x:v>运行态只读</x:v>
      </x:c>
      <x:c r="C90" s="82" t="n">
        <x:v>1</x:v>
      </x:c>
      <x:c r="D90" s="82" t="str">
        <x:v>Runtime</x:v>
      </x:c>
      <x:c r="E90" s="82" t="str">
        <x:v>运行节点状态</x:v>
      </x:c>
      <x:c r="F90" s="82" t="str">
        <x:v>GetSnapshot</x:v>
      </x:c>
      <x:c r="G90" s="82" t="str">
        <x:v>时间戳/状态含义准确</x:v>
      </x:c>
      <x:c r="H90" s="82" t="str">
        <x:v>未经验证视觉变绿</x:v>
      </x:c>
      <x:c r="I90" s="82" t="str">
        <x:v>正常+失效</x:v>
      </x:c>
    </x:row>
    <x:row r="91">
      <x:c r="A91" s="82" t="str">
        <x:v>T21</x:v>
      </x:c>
      <x:c r="B91" s="82" t="str">
        <x:v>运行态只读</x:v>
      </x:c>
      <x:c r="C91" s="82" t="n">
        <x:v>2</x:v>
      </x:c>
      <x:c r="D91" s="82" t="str">
        <x:v>Visual</x:v>
      </x:c>
      <x:c r="E91" s="82" t="str">
        <x:v>RuntimeSnapshot</x:v>
      </x:c>
      <x:c r="F91" s="82" t="str">
        <x:v>只读叠加绘制</x:v>
      </x:c>
      <x:c r="G91" s="82" t="str">
        <x:v>不改变Definition</x:v>
      </x:c>
      <x:c r="H91" s="82" t="str">
        <x:v>运行态拖拽改逻辑</x:v>
      </x:c>
      <x:c r="I91" s="82" t="str">
        <x:v>正常+失效</x:v>
      </x:c>
    </x:row>
    <x:row r="92">
      <x:c r="A92" s="82"/>
      <x:c r="B92" s="82"/>
      <x:c r="C92" s="82"/>
      <x:c r="D92" s="82"/>
      <x:c r="E92" s="82"/>
      <x:c r="F92" s="82"/>
      <x:c r="G92" s="82"/>
      <x:c r="H92" s="82"/>
      <x:c r="I92" s="82"/>
    </x:row>
    <x:row r="93">
      <x:c r="A93" s="82"/>
      <x:c r="B93" s="82"/>
      <x:c r="C93" s="82"/>
      <x:c r="D93" s="82"/>
      <x:c r="E93" s="82"/>
      <x:c r="F93" s="82"/>
      <x:c r="G93" s="82"/>
      <x:c r="H93" s="82"/>
      <x:c r="I93" s="82"/>
    </x:row>
    <x:row r="94" ht="27" customHeight="1">
      <x:c r="A94" s="108" t="str">
        <x:v>D. R3-A完整数据事务与可视Undo协议（15步）</x:v>
      </x:c>
      <x:c r="B94" s="108"/>
      <x:c r="C94" s="108"/>
      <x:c r="D94" s="108"/>
      <x:c r="E94" s="108"/>
      <x:c r="F94" s="108"/>
      <x:c r="G94" s="108"/>
      <x:c r="H94" s="108"/>
      <x:c r="I94" s="108"/>
    </x:row>
    <x:row r="95">
      <x:c r="A95" s="82" t="str">
        <x:v>步骤</x:v>
      </x:c>
      <x:c r="B95" s="82" t="str">
        <x:v>阶段</x:v>
      </x:c>
      <x:c r="C95" s="82" t="str">
        <x:v>唯一执行Owner</x:v>
      </x:c>
      <x:c r="D95" s="82" t="str">
        <x:v>输入/动作</x:v>
      </x:c>
      <x:c r="E95" s="82" t="str">
        <x:v>契约/对象</x:v>
      </x:c>
      <x:c r="F95" s="82" t="str">
        <x:v>状态影响</x:v>
      </x:c>
      <x:c r="G95" s="82" t="str">
        <x:v>生命周期</x:v>
      </x:c>
      <x:c r="H95" s="82" t="str">
        <x:v>失效与约束</x:v>
      </x:c>
      <x:c r="I95" s="82"/>
    </x:row>
    <x:row r="96">
      <x:c r="A96" s="82" t="str">
        <x:v>P01</x:v>
      </x:c>
      <x:c r="B96" s="82" t="str">
        <x:v>开始编辑</x:v>
      </x:c>
      <x:c r="C96" s="82" t="str">
        <x:v>Presentation.Wpf</x:v>
      </x:c>
      <x:c r="D96" s="82" t="str">
        <x:v>标准化PointerDown/KeyboardIntent</x:v>
      </x:c>
      <x:c r="E96" s="82" t="str">
        <x:v>Visual.CxCanvasSession</x:v>
      </x:c>
      <x:c r="F96" s="82" t="str">
        <x:v>不修改Core</x:v>
      </x:c>
      <x:c r="G96" s="82" t="str">
        <x:v>InputState</x:v>
      </x:c>
      <x:c r="H96" s="82" t="str">
        <x:v>鼠标取消可释放PointerCapture</x:v>
      </x:c>
      <x:c r="I96" s="82"/>
    </x:row>
    <x:row r="97">
      <x:c r="A97" s="82" t="str">
        <x:v>P02</x:v>
      </x:c>
      <x:c r="B97" s="82" t="str">
        <x:v>预览选择</x:v>
      </x:c>
      <x:c r="C97" s="82" t="str">
        <x:v>Visual</x:v>
      </x:c>
      <x:c r="D97" s="82" t="str">
        <x:v>命中测试、框选、Handle拾取</x:v>
      </x:c>
      <x:c r="E97" s="82" t="str">
        <x:v>Visual.CxSelectionState</x:v>
      </x:c>
      <x:c r="F97" s="82" t="str">
        <x:v>不修改Core</x:v>
      </x:c>
      <x:c r="G97" s="82" t="str">
        <x:v>Transient</x:v>
      </x:c>
      <x:c r="H97" s="82" t="str">
        <x:v>选中不是持久化对象变更</x:v>
      </x:c>
      <x:c r="I97" s="82"/>
    </x:row>
    <x:row r="98">
      <x:c r="A98" s="82" t="str">
        <x:v>P03</x:v>
      </x:c>
      <x:c r="B98" s="82" t="str">
        <x:v>生成意图</x:v>
      </x:c>
      <x:c r="C98" s="82" t="str">
        <x:v>Visual</x:v>
      </x:c>
      <x:c r="D98" s="82" t="str">
        <x:v>Move/Align/Resize/Connect意图</x:v>
      </x:c>
      <x:c r="E98" s="82" t="str">
        <x:v>Visual.ICxVisualEditCommand</x:v>
      </x:c>
      <x:c r="F98" s="82" t="str">
        <x:v>不修改Core</x:v>
      </x:c>
      <x:c r="G98" s="82" t="str">
        <x:v>Transient</x:v>
      </x:c>
      <x:c r="H98" s="82" t="str">
        <x:v>统一用户意图与多次输入合并</x:v>
      </x:c>
      <x:c r="I98" s="82"/>
    </x:row>
    <x:row r="99">
      <x:c r="A99" s="82" t="str">
        <x:v>P04</x:v>
      </x:c>
      <x:c r="B99" s="82" t="str">
        <x:v>读取快照</x:v>
      </x:c>
      <x:c r="C99" s="82" t="str">
        <x:v>Core</x:v>
      </x:c>
      <x:c r="D99" s="82" t="str">
        <x:v>Snapshot+Revision+Owner索引</x:v>
      </x:c>
      <x:c r="E99" s="82" t="str">
        <x:v>CxMutationSnapshot</x:v>
      </x:c>
      <x:c r="F99" s="82" t="str">
        <x:v>只读</x:v>
      </x:c>
      <x:c r="G99" s="82" t="str">
        <x:v>Snapshot</x:v>
      </x:c>
      <x:c r="H99" s="82" t="str">
        <x:v>跨线程读时需稳定快照</x:v>
      </x:c>
      <x:c r="I99" s="82"/>
    </x:row>
    <x:row r="100">
      <x:c r="A100" s="82" t="str">
        <x:v>P05</x:v>
      </x:c>
      <x:c r="B100" s="82" t="str">
        <x:v>构造批次</x:v>
      </x:c>
      <x:c r="C100" s="82" t="str">
        <x:v>Visual</x:v>
      </x:c>
      <x:c r="D100" s="82" t="str">
        <x:v>对象改动和布局改动→CxMutationBatch</x:v>
      </x:c>
      <x:c r="E100" s="82" t="str">
        <x:v>不提交</x:v>
      </x:c>
      <x:c r="F100" s="82" t="str">
        <x:v>Draft</x:v>
      </x:c>
      <x:c r="G100" s="82" t="str">
        <x:v>不传鼠标坐标或WPF对象给Core</x:v>
      </x:c>
      <x:c r="H100" s="82"/>
      <x:c r="I100" s="82"/>
    </x:row>
    <x:row r="101">
      <x:c r="A101" s="82" t="str">
        <x:v>P06</x:v>
      </x:c>
      <x:c r="B101" s="82" t="str">
        <x:v>业务预验证</x:v>
      </x:c>
      <x:c r="C101" s="82" t="str">
        <x:v>Orchestration（流程连接时）</x:v>
      </x:c>
      <x:c r="D101" s="82" t="str">
        <x:v>LogicLink端口/执行语义校验</x:v>
      </x:c>
      <x:c r="E101" s="82" t="str">
        <x:v>CxValidationReport</x:v>
      </x:c>
      <x:c r="F101" s="82" t="str">
        <x:v>不修改Core</x:v>
      </x:c>
      <x:c r="G101" s="82" t="str">
        <x:v>Draft</x:v>
      </x:c>
      <x:c r="H101" s="82" t="str">
        <x:v>普通绘制线不得进入Orchestration</x:v>
      </x:c>
      <x:c r="I101" s="82"/>
    </x:row>
    <x:row r="102">
      <x:c r="A102" s="82" t="str">
        <x:v>P07</x:v>
      </x:c>
      <x:c r="B102" s="82" t="str">
        <x:v>原子提交</x:v>
      </x:c>
      <x:c r="C102" s="82" t="str">
        <x:v>Core</x:v>
      </x:c>
      <x:c r="D102" s="82" t="str">
        <x:v>TryApply(project,batch,expectedRevision,receipt)</x:v>
      </x:c>
      <x:c r="E102" s="82" t="str">
        <x:v>IProjectMutation</x:v>
      </x:c>
      <x:c r="F102" s="82" t="str">
        <x:v>提交所有或全部失败</x:v>
      </x:c>
      <x:c r="G102" s="82" t="str">
        <x:v>Definition</x:v>
      </x:c>
      <x:c r="H102" s="82" t="str">
        <x:v>所有ID/引用/Schema/端口一致性复验</x:v>
      </x:c>
      <x:c r="I102" s="82"/>
    </x:row>
    <x:row r="103">
      <x:c r="A103" s="82" t="str">
        <x:v>P08</x:v>
      </x:c>
      <x:c r="B103" s="82" t="str">
        <x:v>接受反馈</x:v>
      </x:c>
      <x:c r="C103" s="82" t="str">
        <x:v>Visual</x:v>
      </x:c>
      <x:c r="D103" s="82" t="str">
        <x:v>receipt.ChangeSet, NewRevision</x:v>
      </x:c>
      <x:c r="E103" s="82" t="str">
        <x:v>CxVisualEditSession</x:v>
      </x:c>
      <x:c r="F103" s="82" t="str">
        <x:v>更新历史/失效缓存</x:v>
      </x:c>
      <x:c r="G103" s="82" t="str">
        <x:v>Session</x:v>
      </x:c>
      <x:c r="H103" s="82" t="str">
        <x:v>失败不写成功历史</x:v>
      </x:c>
      <x:c r="I103" s="82"/>
    </x:row>
    <x:row r="104">
      <x:c r="A104" s="82" t="str">
        <x:v>P09</x:v>
      </x:c>
      <x:c r="B104" s="82" t="str">
        <x:v>绘制更新</x:v>
      </x:c>
      <x:c r="C104" s="82" t="str">
        <x:v>Presentation.Wpf</x:v>
      </x:c>
      <x:c r="D104" s="82" t="str">
        <x:v>刷新DrawingTarget/重投影</x:v>
      </x:c>
      <x:c r="E104" s="82" t="str">
        <x:v>WPF DrawingContext</x:v>
      </x:c>
      <x:c r="F104" s="82" t="str">
        <x:v>只绘制</x:v>
      </x:c>
      <x:c r="G104" s="82" t="str">
        <x:v>Render</x:v>
      </x:c>
      <x:c r="H104" s="82" t="str">
        <x:v>不拥有第二套Element对象</x:v>
      </x:c>
      <x:c r="I104" s="82"/>
    </x:row>
    <x:row r="105">
      <x:c r="A105" s="82" t="str">
        <x:v>P10</x:v>
      </x:c>
      <x:c r="B105" s="82" t="str">
        <x:v>Undo请求</x:v>
      </x:c>
      <x:c r="C105" s="82" t="str">
        <x:v>Presentation.Wpf</x:v>
      </x:c>
      <x:c r="D105" s="82" t="str">
        <x:v>Ctrl+Z标准化到Visual</x:v>
      </x:c>
      <x:c r="E105" s="82" t="str">
        <x:v>Visual.UndoHistory</x:v>
      </x:c>
      <x:c r="F105" s="82" t="str">
        <x:v>请求逆向变更</x:v>
      </x:c>
      <x:c r="G105" s="82" t="str">
        <x:v>Session</x:v>
      </x:c>
      <x:c r="H105" s="82" t="str">
        <x:v>不直接更改FrameworkElement</x:v>
      </x:c>
      <x:c r="I105" s="82"/>
    </x:row>
    <x:row r="106">
      <x:c r="A106" s="82" t="str">
        <x:v>P11</x:v>
      </x:c>
      <x:c r="B106" s="82" t="str">
        <x:v>Undo验证</x:v>
      </x:c>
      <x:c r="C106" s="82" t="str">
        <x:v>Core</x:v>
      </x:c>
      <x:c r="D106" s="82" t="str">
        <x:v>TryApplyInverse(changeSet,expectedRevision)</x:v>
      </x:c>
      <x:c r="E106" s="82" t="str">
        <x:v>IProjectMutation</x:v>
      </x:c>
      <x:c r="F106" s="82" t="str">
        <x:v>原子逆变更</x:v>
      </x:c>
      <x:c r="G106" s="82" t="str">
        <x:v>Definition</x:v>
      </x:c>
      <x:c r="H106" s="82" t="str">
        <x:v>版本冲突时History保留且给诊断</x:v>
      </x:c>
      <x:c r="I106" s="82"/>
    </x:row>
    <x:row r="107">
      <x:c r="A107" s="82" t="str">
        <x:v>P12</x:v>
      </x:c>
      <x:c r="B107" s="82" t="str">
        <x:v>Redo验证</x:v>
      </x:c>
      <x:c r="C107" s="82" t="str">
        <x:v>Core</x:v>
      </x:c>
      <x:c r="D107" s="82" t="str">
        <x:v>TryApplyForward(changeSet,expectedRevision)</x:v>
      </x:c>
      <x:c r="E107" s="82" t="str">
        <x:v>IProjectMutation</x:v>
      </x:c>
      <x:c r="F107" s="82" t="str">
        <x:v>原子正向变更</x:v>
      </x:c>
      <x:c r="G107" s="82" t="str">
        <x:v>Definition</x:v>
      </x:c>
      <x:c r="H107" s="82" t="str">
        <x:v>重做不能绕过校验</x:v>
      </x:c>
      <x:c r="I107" s="82"/>
    </x:row>
    <x:row r="108">
      <x:c r="A108" s="82" t="str">
        <x:v>P13</x:v>
      </x:c>
      <x:c r="B108" s="82" t="str">
        <x:v>取消/超时</x:v>
      </x:c>
      <x:c r="C108" s="82" t="str">
        <x:v>Visual</x:v>
      </x:c>
      <x:c r="D108" s="82" t="str">
        <x:v>丢弃预览及暂存Batch</x:v>
      </x:c>
      <x:c r="E108" s="82" t="str">
        <x:v>CxVisualEditSession</x:v>
      </x:c>
      <x:c r="F108" s="82" t="str">
        <x:v>Core Revision不变</x:v>
      </x:c>
      <x:c r="G108" s="82" t="str">
        <x:v>Transient</x:v>
      </x:c>
      <x:c r="H108" s="82" t="str">
        <x:v>鼠标取消不应留下半成品</x:v>
      </x:c>
      <x:c r="I108" s="82"/>
    </x:row>
    <x:row r="109">
      <x:c r="A109" s="82" t="str">
        <x:v>P14</x:v>
      </x:c>
      <x:c r="B109" s="82" t="str">
        <x:v>多人竞争</x:v>
      </x:c>
      <x:c r="C109" s="82" t="str">
        <x:v>Core</x:v>
      </x:c>
      <x:c r="D109" s="82" t="str">
        <x:v>Revision冲突与ChangeSet诊断</x:v>
      </x:c>
      <x:c r="E109" s="82" t="str">
        <x:v>CxMutationReceipt</x:v>
      </x:c>
      <x:c r="F109" s="82" t="str">
        <x:v>拒绝旧快照覆盖</x:v>
      </x:c>
      <x:c r="G109" s="82" t="str">
        <x:v>Definition</x:v>
      </x:c>
      <x:c r="H109" s="82" t="str">
        <x:v>交由上层决定重试或人工合并</x:v>
      </x:c>
      <x:c r="I109" s="82"/>
    </x:row>
    <x:row r="110">
      <x:c r="A110" s="82" t="str">
        <x:v>P15</x:v>
      </x:c>
      <x:c r="B110" s="82" t="str">
        <x:v>跨专业复合</x:v>
      </x:c>
      <x:c r="C110" s="82" t="str">
        <x:v>上层组合/Studio</x:v>
      </x:c>
      <x:c r="D110" s="82" t="str">
        <x:v>绑定+对象+流程多域批次</x:v>
      </x:c>
      <x:c r="E110" s="82" t="str">
        <x:v>适配器/协作事务</x:v>
      </x:c>
      <x:c r="F110" s="82" t="str">
        <x:v>无统一提交能力时须显式拒绝</x:v>
      </x:c>
      <x:c r="G110" s="82" t="str">
        <x:v>CrossDomain</x:v>
      </x:c>
      <x:c r="H110" s="82" t="str">
        <x:v>不得假设Core能回滚已经执行的设备动作</x:v>
      </x:c>
      <x:c r="I110" s="82"/>
    </x:row>
    <x:row r="111">
      <x:c r="A111" s="82"/>
      <x:c r="B111" s="82"/>
      <x:c r="C111" s="82"/>
      <x:c r="D111" s="82"/>
      <x:c r="E111" s="82"/>
      <x:c r="F111" s="82"/>
      <x:c r="G111" s="82"/>
      <x:c r="H111" s="82"/>
      <x:c r="I111" s="82"/>
    </x:row>
    <x:row r="112">
      <x:c r="A112" s="82"/>
      <x:c r="B112" s="82"/>
      <x:c r="C112" s="82"/>
      <x:c r="D112" s="82"/>
      <x:c r="E112" s="82"/>
      <x:c r="F112" s="82"/>
      <x:c r="G112" s="82"/>
      <x:c r="H112" s="82"/>
      <x:c r="I112" s="82"/>
    </x:row>
    <x:row r="113" ht="27" customHeight="1">
      <x:c r="A113" s="108" t="str">
        <x:v>E. R3-A Core验收用例（17组）</x:v>
      </x:c>
      <x:c r="B113" s="108"/>
      <x:c r="C113" s="108"/>
      <x:c r="D113" s="108"/>
      <x:c r="E113" s="108"/>
      <x:c r="F113" s="108"/>
      <x:c r="G113" s="108"/>
      <x:c r="H113" s="108"/>
      <x:c r="I113" s="108"/>
    </x:row>
    <x:row r="114">
      <x:c r="A114" s="82" t="str">
        <x:v>案例ID</x:v>
      </x:c>
      <x:c r="B114" s="82" t="str">
        <x:v>场景</x:v>
      </x:c>
      <x:c r="C114" s="82" t="str">
        <x:v>准备与反例</x:v>
      </x:c>
      <x:c r="D114" s="82" t="str">
        <x:v>执行调用</x:v>
      </x:c>
      <x:c r="E114" s="82" t="str">
        <x:v>正确结果</x:v>
      </x:c>
      <x:c r="F114" s="82" t="str">
        <x:v>关联M</x:v>
      </x:c>
      <x:c r="G114" s="82" t="str">
        <x:v>优先级</x:v>
      </x:c>
      <x:c r="H114" s="82" t="str">
        <x:v>验证状态</x:v>
      </x:c>
      <x:c r="I114" s="82"/>
    </x:row>
    <x:row r="115">
      <x:c r="A115" s="82" t="str">
        <x:v>T01</x:v>
      </x:c>
      <x:c r="B115" s="82" t="str">
        <x:v>Owner唯一/无环</x:v>
      </x:c>
      <x:c r="C115" s="82" t="str">
        <x:v>创建Project+Page+Content+Group+Element；再双Owner/反挂</x:v>
      </x:c>
      <x:c r="D115" s="82" t="str">
        <x:v>通过批提交创建；非法提交必须失败</x:v>
      </x:c>
      <x:c r="E115" s="82" t="str">
        <x:v>OwnerTree不重复、Revision不变、索引一致</x:v>
      </x:c>
      <x:c r="F115" s="82" t="str">
        <x:v>M01</x:v>
      </x:c>
      <x:c r="G115" s="82" t="str">
        <x:v>P0</x:v>
      </x:c>
      <x:c r="H115" s="82" t="str">
        <x:v>尚未执行</x:v>
      </x:c>
      <x:c r="I115" s="82"/>
    </x:row>
    <x:row r="116">
      <x:c r="A116" s="82" t="str">
        <x:v>T02</x:v>
      </x:c>
      <x:c r="B116" s="82" t="str">
        <x:v>对象ID稳定</x:v>
      </x:c>
      <x:c r="C116" s="82" t="str">
        <x:v>插入两个相同Id的Element</x:v>
      </x:c>
      <x:c r="D116" s="82" t="str">
        <x:v>第二个拒绝DuplicateId</x:v>
      </x:c>
      <x:c r="E116" s="82" t="str">
        <x:v>全局索引没有残留项</x:v>
      </x:c>
      <x:c r="F116" s="82" t="str">
        <x:v>M01</x:v>
      </x:c>
      <x:c r="G116" s="82" t="str">
        <x:v>P0</x:v>
      </x:c>
      <x:c r="H116" s="82" t="str">
        <x:v>尚未执行</x:v>
      </x:c>
      <x:c r="I116" s="82"/>
    </x:row>
    <x:row r="117">
      <x:c r="A117" s="82" t="str">
        <x:v>T03</x:v>
      </x:c>
      <x:c r="B117" s="82" t="str">
        <x:v>Symbol十实例</x:v>
      </x:c>
      <x:c r="C117" s="82" t="str">
        <x:v>一份SymbolDefinition加十个SymbolReference，修改#3 Override</x:v>
      </x:c>
      <x:c r="D117" s="82" t="str">
        <x:v>调用Symbol解析/实例化</x:v>
      </x:c>
      <x:c r="E117" s="82" t="str">
        <x:v>只实例#3变；定义和另九实例不变</x:v>
      </x:c>
      <x:c r="F117" s="82" t="str">
        <x:v>M02</x:v>
      </x:c>
      <x:c r="G117" s="82" t="str">
        <x:v>P0</x:v>
      </x:c>
      <x:c r="H117" s="82" t="str">
        <x:v>尚未执行</x:v>
      </x:c>
      <x:c r="I117" s="82"/>
    </x:row>
    <x:row r="118">
      <x:c r="A118" s="82" t="str">
        <x:v>T04</x:v>
      </x:c>
      <x:c r="B118" s="82" t="str">
        <x:v>ContentRef缺失及循环</x:v>
      </x:c>
      <x:c r="C118" s="82" t="str">
        <x:v>缺失目标、跨内容引用循环</x:v>
      </x:c>
      <x:c r="D118" s="82" t="str">
        <x:v>Resolve返回结构化错误并保留Token</x:v>
      </x:c>
      <x:c r="E118" s="82" t="str">
        <x:v>工程还能打开；Owner无环</x:v>
      </x:c>
      <x:c r="F118" s="82" t="str">
        <x:v>M02/M03</x:v>
      </x:c>
      <x:c r="G118" s="82" t="str">
        <x:v>P0</x:v>
      </x:c>
      <x:c r="H118" s="82" t="str">
        <x:v>尚未执行</x:v>
      </x:c>
      <x:c r="I118" s="82"/>
    </x:row>
    <x:row r="119">
      <x:c r="A119" s="82" t="str">
        <x:v>T05</x:v>
      </x:c>
      <x:c r="B119" s="82" t="str">
        <x:v>属性Schema误用</x:v>
      </x:c>
      <x:c r="C119" s="82" t="str">
        <x:v>尝试改只读属性、错误单位、错误枚举值</x:v>
      </x:c>
      <x:c r="D119" s="82" t="str">
        <x:v>Core IPropertyValidator 拒绝</x:v>
      </x:c>
      <x:c r="E119" s="82" t="str">
        <x:v>无副作用，Error可读</x:v>
      </x:c>
      <x:c r="F119" s="82" t="str">
        <x:v>M04</x:v>
      </x:c>
      <x:c r="G119" s="82" t="str">
        <x:v>P0</x:v>
      </x:c>
      <x:c r="H119" s="82" t="str">
        <x:v>尚未执行</x:v>
      </x:c>
      <x:c r="I119" s="82"/>
    </x:row>
    <x:row r="120">
      <x:c r="A120" s="82" t="str">
        <x:v>T06</x:v>
      </x:c>
      <x:c r="B120" s="82" t="str">
        <x:v>普通绘制线与编排连线</x:v>
      </x:c>
      <x:c r="C120" s="82" t="str">
        <x:v>分别画纯图元线和LogicLink</x:v>
      </x:c>
      <x:c r="D120" s="82" t="str">
        <x:v>FlowLink须Orchestration批准</x:v>
      </x:c>
      <x:c r="E120" s="82" t="str">
        <x:v>视觉线路不代表逻辑流生效</x:v>
      </x:c>
      <x:c r="F120" s="82" t="str">
        <x:v>M05/M18</x:v>
      </x:c>
      <x:c r="G120" s="82" t="str">
        <x:v>P0</x:v>
      </x:c>
      <x:c r="H120" s="82" t="str">
        <x:v>尚未执行</x:v>
      </x:c>
      <x:c r="I120" s="82"/>
    </x:row>
    <x:row r="121">
      <x:c r="A121" s="82" t="str">
        <x:v>T07</x:v>
      </x:c>
      <x:c r="B121" s="82" t="str">
        <x:v>时空单位转换失败</x:v>
      </x:c>
      <x:c r="C121" s="82" t="str">
        <x:v>像素→mm缺校准矩阵、UTC→设备时钟缺映射</x:v>
      </x:c>
      <x:c r="D121" s="82" t="str">
        <x:v>Contract校验失败</x:v>
      </x:c>
      <x:c r="E121" s="82" t="str">
        <x:v>不会静默Identity/同单位</x:v>
      </x:c>
      <x:c r="F121" s="82" t="str">
        <x:v>M06</x:v>
      </x:c>
      <x:c r="G121" s="82" t="str">
        <x:v>P0</x:v>
      </x:c>
      <x:c r="H121" s="82" t="str">
        <x:v>尚未执行</x:v>
      </x:c>
      <x:c r="I121" s="82"/>
    </x:row>
    <x:row r="122">
      <x:c r="A122" s="82" t="str">
        <x:v>T08</x:v>
      </x:c>
      <x:c r="B122" s="82" t="str">
        <x:v>原子事务回滚</x:v>
      </x:c>
      <x:c r="C122" s="82" t="str">
        <x:v>5操作中第3条非法，包含Owner/Ref/属性</x:v>
      </x:c>
      <x:c r="D122" s="82" t="str">
        <x:v>一次TryApply</x:v>
      </x:c>
      <x:c r="E122" s="82" t="str">
        <x:v>所有数据、索引、Revision与提交前一致</x:v>
      </x:c>
      <x:c r="F122" s="82" t="str">
        <x:v>M07</x:v>
      </x:c>
      <x:c r="G122" s="82" t="str">
        <x:v>P0</x:v>
      </x:c>
      <x:c r="H122" s="82" t="str">
        <x:v>尚未执行</x:v>
      </x:c>
      <x:c r="I122" s="82"/>
    </x:row>
    <x:row r="123">
      <x:c r="A123" s="82" t="str">
        <x:v>T09</x:v>
      </x:c>
      <x:c r="B123" s="82" t="str">
        <x:v>修订冲突</x:v>
      </x:c>
      <x:c r="C123" s="82" t="str">
        <x:v>窗口A/B并发编辑相同对象</x:v>
      </x:c>
      <x:c r="D123" s="82" t="str">
        <x:v>A提交后B以旧Revision提交</x:v>
      </x:c>
      <x:c r="E123" s="82" t="str">
        <x:v>B RevisionConflict；Undo/Redo不丢历史</x:v>
      </x:c>
      <x:c r="F123" s="82" t="str">
        <x:v>M07</x:v>
      </x:c>
      <x:c r="G123" s="82" t="str">
        <x:v>P0</x:v>
      </x:c>
      <x:c r="H123" s="82" t="str">
        <x:v>尚未执行</x:v>
      </x:c>
      <x:c r="I123" s="82"/>
    </x:row>
    <x:row r="124">
      <x:c r="A124" s="82" t="str">
        <x:v>T10</x:v>
      </x:c>
      <x:c r="B124" s="82" t="str">
        <x:v>一次复杂拖动单Undo</x:v>
      </x:c>
      <x:c r="C124" s="82" t="str">
        <x:v>多层Group拖动500个MouseMove，涉及实例Transform</x:v>
      </x:c>
      <x:c r="D124" s="82" t="str">
        <x:v>Visual累积预览，Core一次提交</x:v>
      </x:c>
      <x:c r="E124" s="82" t="str">
        <x:v>Undo恢复全部工程值、Selection由会话保持</x:v>
      </x:c>
      <x:c r="F124" s="82" t="str">
        <x:v>M07/M37</x:v>
      </x:c>
      <x:c r="G124" s="82" t="str">
        <x:v>P0</x:v>
      </x:c>
      <x:c r="H124" s="82" t="str">
        <x:v>尚未执行</x:v>
      </x:c>
      <x:c r="I124" s="82"/>
    </x:row>
    <x:row r="125">
      <x:c r="A125" s="82" t="str">
        <x:v>T11</x:v>
      </x:c>
      <x:c r="B125" s="82" t="str">
        <x:v>模板重复导入</x:v>
      </x:c>
      <x:c r="C125" s="82" t="str">
        <x:v>嵌套Symbol+Content引用导入两次</x:v>
      </x:c>
      <x:c r="D125" s="82" t="str">
        <x:v>先生成草稿、Remap、验证再Commit</x:v>
      </x:c>
      <x:c r="E125" s="82" t="str">
        <x:v>两次导入ID隔离，失败整组无污染</x:v>
      </x:c>
      <x:c r="F125" s="82" t="str">
        <x:v>M38</x:v>
      </x:c>
      <x:c r="G125" s="82" t="str">
        <x:v>P0</x:v>
      </x:c>
      <x:c r="H125" s="82" t="str">
        <x:v>尚未执行</x:v>
      </x:c>
      <x:c r="I125" s="82"/>
    </x:row>
    <x:row r="126">
      <x:c r="A126" s="82" t="str">
        <x:v>T12</x:v>
      </x:c>
      <x:c r="B126" s="82" t="str">
        <x:v>证据真假</x:v>
      </x:c>
      <x:c r="C126" s="82" t="str">
        <x:v>没有真实硬件证据仍要求HardwareTest通过</x:v>
      </x:c>
      <x:c r="D126" s="82" t="str">
        <x:v>IVerificationEngine.Evaluate</x:v>
      </x:c>
      <x:c r="E126" s="82" t="str">
        <x:v>NotRun/Inconclusive而不是Pass</x:v>
      </x:c>
      <x:c r="F126" s="82" t="str">
        <x:v>M08</x:v>
      </x:c>
      <x:c r="G126" s="82" t="str">
        <x:v>P0</x:v>
      </x:c>
      <x:c r="H126" s="82" t="str">
        <x:v>尚未执行</x:v>
      </x:c>
      <x:c r="I126" s="82"/>
    </x:row>
    <x:row r="127">
      <x:c r="A127" s="82" t="str">
        <x:v>T13</x:v>
      </x:c>
      <x:c r="B127" s="82" t="str">
        <x:v>可靠消息失联</x:v>
      </x:c>
      <x:c r="C127" s="82" t="str">
        <x:v>Outbox发布/Inbox重复/超时补偿</x:v>
      </x:c>
      <x:c r="D127" s="82" t="str">
        <x:v>Core构建与验证，不进行网络IO；Runtime执行</x:v>
      </x:c>
      <x:c r="E127" s="82" t="str">
        <x:v>重试可诊断且Core无SDK依赖</x:v>
      </x:c>
      <x:c r="F127" s="82" t="str">
        <x:v>M07/M30</x:v>
      </x:c>
      <x:c r="G127" s="82" t="str">
        <x:v>P1</x:v>
      </x:c>
      <x:c r="H127" s="82" t="str">
        <x:v>尚未执行</x:v>
      </x:c>
      <x:c r="I127" s="82"/>
    </x:row>
    <x:row r="128">
      <x:c r="A128" s="82" t="str">
        <x:v>T14</x:v>
      </x:c>
      <x:c r="B128" s="82" t="str">
        <x:v>旧工程完整往返</x:v>
      </x:c>
      <x:c r="C128" s="82" t="str">
        <x:v>V7.8含VisualChildren、LogicUnit.ViewPosition、未知字段</x:v>
      </x:c>
      <x:c r="D128" s="82" t="str">
        <x:v>旧工程导入迁移，再导出回载</x:v>
      </x:c>
      <x:c r="E128" s="82" t="str">
        <x:v>属性与引用保留；丢失应有显式告警</x:v>
      </x:c>
      <x:c r="F128" s="82" t="str">
        <x:v>M02/M38</x:v>
      </x:c>
      <x:c r="G128" s="82" t="str">
        <x:v>P0</x:v>
      </x:c>
      <x:c r="H128" s="82" t="str">
        <x:v>尚未执行</x:v>
      </x:c>
      <x:c r="I128" s="82"/>
    </x:row>
    <x:row r="129">
      <x:c r="A129" s="82" t="str">
        <x:v>T15</x:v>
      </x:c>
      <x:c r="B129" s="82" t="str">
        <x:v>无界面构建与执行</x:v>
      </x:c>
      <x:c r="C129" s="82" t="str">
        <x:v>在没有WPF程序集的Host引用Core+Orchestration+Runtime</x:v>
      </x:c>
      <x:c r="D129" s="82" t="str">
        <x:v>扫描项目依赖并执行流程</x:v>
      </x:c>
      <x:c r="E129" s="82" t="str">
        <x:v>无UI加载与循环引用</x:v>
      </x:c>
      <x:c r="F129" s="82" t="str">
        <x:v>跨机制</x:v>
      </x:c>
      <x:c r="G129" s="82" t="str">
        <x:v>P0</x:v>
      </x:c>
      <x:c r="H129" s="82" t="str">
        <x:v>尚未执行</x:v>
      </x:c>
      <x:c r="I129" s="82"/>
    </x:row>
    <x:row r="130">
      <x:c r="A130" s="82" t="str">
        <x:v>T16</x:v>
      </x:c>
      <x:c r="B130" s="82" t="str">
        <x:v>导入安全</x:v>
      </x:c>
      <x:c r="C130" s="82" t="str">
        <x:v>未知字段、巨大字段、无效Schema/序列化攻击</x:v>
      </x:c>
      <x:c r="D130" s="82" t="str">
        <x:v>Deserialize到隔离草稿</x:v>
      </x:c>
      <x:c r="E130" s="82" t="str">
        <x:v>限制大小、拒绝危险引用、工程不改变</x:v>
      </x:c>
      <x:c r="F130" s="82" t="str">
        <x:v>M38</x:v>
      </x:c>
      <x:c r="G130" s="82" t="str">
        <x:v>P0</x:v>
      </x:c>
      <x:c r="H130" s="82" t="str">
        <x:v>尚未执行</x:v>
      </x:c>
      <x:c r="I130" s="82"/>
    </x:row>
    <x:row r="131">
      <x:c r="A131" s="82" t="str">
        <x:v>T17</x:v>
      </x:c>
      <x:c r="B131" s="82" t="str">
        <x:v>双视图一致性</x:v>
      </x:c>
      <x:c r="C131" s="82" t="str">
        <x:v>两个WPF Canvas显示同一个Content</x:v>
      </x:c>
      <x:c r="D131" s="82" t="str">
        <x:v>A改变工程，B订阅Version刷新</x:v>
      </x:c>
      <x:c r="E131" s="82" t="str">
        <x:v>两套Zoom/Selection独立，共享唯一Core对象</x:v>
      </x:c>
      <x:c r="F131" s="82" t="str">
        <x:v>M01/M37</x:v>
      </x:c>
      <x:c r="G131" s="82" t="str">
        <x:v>P0</x:v>
      </x:c>
      <x:c r="H131" s="82" t="str">
        <x:v>尚未执行</x:v>
      </x:c>
      <x:c r="I131" s="82"/>
    </x:row>
  </x:sheetData>
  <x:mergeCells>
    <x:mergeCell ref="A1:I1"/>
  </x:mergeCells>
  <x:pageMargins left="0.7" right="0.7" top="0.75" bottom="0.75" header="0.3" footer="0.3"/>
</x:worksheet>
</file>

<file path=xl/worksheets/sheet23.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26" hidden="0" customWidth="1"/>
    <x:col min="3" max="3" width="26" hidden="0" customWidth="1"/>
    <x:col min="4" max="4" width="44" hidden="0" customWidth="1"/>
    <x:col min="5" max="5" width="44" hidden="0" customWidth="1"/>
    <x:col min="6" max="6" width="44" hidden="0" customWidth="1"/>
    <x:col min="7" max="7" width="44" hidden="0" customWidth="1"/>
    <x:col min="8" max="8" width="44" hidden="0" customWidth="1"/>
    <x:col min="9" max="9" width="44" hidden="0" customWidth="1"/>
    <x:col min="10" max="10" width="44" hidden="0" customWidth="1"/>
    <x:col min="11" max="11" width="44" hidden="0" customWidth="1"/>
  </x:cols>
  <x:sheetData>
    <x:row r="1" ht="33" customHeight="1">
      <x:c r="A1" s="96" t="str">
        <x:v>04 | V7.8已有实现、公开声明与新对象映射</x:v>
      </x:c>
      <x:c r="B1" s="96"/>
      <x:c r="C1" s="96"/>
      <x:c r="D1" s="96"/>
      <x:c r="E1" s="96"/>
      <x:c r="F1" s="96"/>
      <x:c r="G1" s="96"/>
      <x:c r="H1" s="96"/>
      <x:c r="I1" s="96"/>
      <x:c r="J1" s="96"/>
      <x:c r="K1" s="96"/>
      <x:c r="L1" s="11"/>
      <x:c r="M1" s="11"/>
    </x:row>
    <x:row r="2">
      <x:c r="A2" s="105" t="str">
        <x:v>553项原候选逐项追溯V7.8声明路径；同名/公开声明仅是静态证据，绝不等于实现完整或可直接迁移。具体迁移保留/重构/新增需逐项核实成员与行为。</x:v>
      </x:c>
      <x:c r="B2" s="105"/>
      <x:c r="C2" s="105"/>
      <x:c r="D2" s="105"/>
      <x:c r="E2" s="105"/>
      <x:c r="F2" s="105"/>
      <x:c r="G2" s="105"/>
      <x:c r="H2" s="105"/>
      <x:c r="I2" s="105"/>
      <x:c r="J2" s="105"/>
      <x:c r="K2" s="105"/>
    </x:row>
    <x:row r="3">
      <x:c r="A3" s="105" t="str">
        <x:v>553项V4.9原始对象追溯  |  335条V7.8真实公开声明原文  |  R3-A已有11项跨项目实施/合并裁决</x:v>
      </x:c>
      <x:c r="B3" s="105"/>
      <x:c r="C3" s="105"/>
      <x:c r="D3" s="105"/>
      <x:c r="E3" s="105"/>
      <x:c r="F3" s="105"/>
      <x:c r="G3" s="105"/>
      <x:c r="H3" s="105"/>
      <x:c r="I3" s="105"/>
      <x:c r="J3" s="105"/>
      <x:c r="K3" s="105"/>
    </x:row>
    <x:row r="4">
      <x:c r="A4" s="82"/>
      <x:c r="B4" s="82"/>
      <x:c r="C4" s="82"/>
      <x:c r="D4" s="82"/>
      <x:c r="E4" s="82"/>
      <x:c r="F4" s="82"/>
      <x:c r="G4" s="82"/>
      <x:c r="H4" s="82"/>
      <x:c r="I4" s="82"/>
      <x:c r="J4" s="82"/>
      <x:c r="K4" s="82"/>
    </x:row>
    <x:row r="5" ht="27" customHeight="1">
      <x:c r="A5" s="108" t="str">
        <x:v>A. 553项候选对象与V7.8复用证据/实施流向</x:v>
      </x:c>
      <x:c r="B5" s="108"/>
      <x:c r="C5" s="108"/>
      <x:c r="D5" s="108"/>
      <x:c r="E5" s="108"/>
      <x:c r="F5" s="108"/>
      <x:c r="G5" s="108"/>
      <x:c r="H5" s="108"/>
      <x:c r="I5" s="108"/>
      <x:c r="J5" s="108"/>
      <x:c r="K5" s="108"/>
    </x:row>
    <x:row r="6" ht="36" customHeight="1">
      <x:c r="A6" s="113" t="str">
        <x:v>原对象键</x:v>
      </x:c>
      <x:c r="B6" s="113" t="str">
        <x:v>原子ID</x:v>
      </x:c>
      <x:c r="C6" s="113" t="str">
        <x:v>V4.9目标项目</x:v>
      </x:c>
      <x:c r="D6" s="113" t="str">
        <x:v>候选类型</x:v>
      </x:c>
      <x:c r="E6" s="113" t="str">
        <x:v>V7.8命中数</x:v>
      </x:c>
      <x:c r="F6" s="113" t="str">
        <x:v>真实源码路径（最长4）</x:v>
      </x:c>
      <x:c r="G6" s="113" t="str">
        <x:v>建议迁移动作</x:v>
      </x:c>
      <x:c r="H6" s="113" t="str">
        <x:v>实施项目（需核）</x:v>
      </x:c>
      <x:c r="I6" s="113" t="str">
        <x:v>禁止耦合/兼容关注</x:v>
      </x:c>
      <x:c r="J6" s="113" t="str">
        <x:v>来源性质</x:v>
      </x:c>
      <x:c r="K6" s="113" t="str">
        <x:v>真实成熟度</x:v>
      </x:c>
    </x:row>
    <x:row r="7">
      <x:c r="A7" s="82" t="str">
        <x:v>F01.ChangeSet</x:v>
      </x:c>
      <x:c r="B7" s="82" t="str">
        <x:v>F01</x:v>
      </x:c>
      <x:c r="C7" s="82" t="str">
        <x:v>CxVisual.Foundation.Core</x:v>
      </x:c>
      <x:c r="D7" s="82" t="str">
        <x:v>ChangeSet</x:v>
      </x:c>
      <x:c r="E7" s="82" t="n">
        <x:v>0</x:v>
      </x:c>
      <x:c r="F7" s="82" t="str">
        <x:v>—</x:v>
      </x:c>
      <x:c r="G7" s="82" t="str">
        <x:v>尚未逐项裁决</x:v>
      </x:c>
      <x:c r="H7" s="82" t="str">
        <x:v>CxVisual.Foundation.Core</x:v>
      </x:c>
      <x:c r="I7" s="82" t="str">
        <x:v>需核原方法签名/行为、状态、依赖及实例生命周期</x:v>
      </x:c>
      <x:c r="J7" s="82" t="str">
        <x:v>V7.8词法声明证据</x:v>
      </x:c>
      <x:c r="K7" s="82" t="str">
        <x:v>设计审查中/未执行实测</x:v>
      </x:c>
    </x:row>
    <x:row r="8">
      <x:c r="A8" s="82" t="str">
        <x:v>F01.DefaultValueUtil</x:v>
      </x:c>
      <x:c r="B8" s="82" t="str">
        <x:v>F01</x:v>
      </x:c>
      <x:c r="C8" s="82" t="str">
        <x:v>CxVisual.Foundation.Core</x:v>
      </x:c>
      <x:c r="D8" s="82" t="str">
        <x:v>DefaultValueUtil</x:v>
      </x:c>
      <x:c r="E8" s="82" t="n">
        <x:v>0</x:v>
      </x:c>
      <x:c r="F8" s="82" t="str">
        <x:v>—</x:v>
      </x:c>
      <x:c r="G8" s="82" t="str">
        <x:v>尚未逐项裁决</x:v>
      </x:c>
      <x:c r="H8" s="82" t="str">
        <x:v>CxVisual.Foundation.Core</x:v>
      </x:c>
      <x:c r="I8" s="82" t="str">
        <x:v>需核原方法签名/行为、状态、依赖及实例生命周期</x:v>
      </x:c>
      <x:c r="J8" s="82" t="str">
        <x:v>V7.8词法声明证据</x:v>
      </x:c>
      <x:c r="K8" s="82" t="str">
        <x:v>设计审查中/未执行实测</x:v>
      </x:c>
    </x:row>
    <x:row r="9">
      <x:c r="A9" s="82" t="str">
        <x:v>F01.ObjectComparer</x:v>
      </x:c>
      <x:c r="B9" s="82" t="str">
        <x:v>F01</x:v>
      </x:c>
      <x:c r="C9" s="82" t="str">
        <x:v>CxVisual.Foundation.Core</x:v>
      </x:c>
      <x:c r="D9" s="82" t="str">
        <x:v>ObjectComparer</x:v>
      </x:c>
      <x:c r="E9" s="82" t="n">
        <x:v>0</x:v>
      </x:c>
      <x:c r="F9" s="82" t="str">
        <x:v>—</x:v>
      </x:c>
      <x:c r="G9" s="82" t="str">
        <x:v>尚未逐项裁决</x:v>
      </x:c>
      <x:c r="H9" s="82" t="str">
        <x:v>CxVisual.Foundation.Core</x:v>
      </x:c>
      <x:c r="I9" s="82" t="str">
        <x:v>需核原方法签名/行为、状态、依赖及实例生命周期</x:v>
      </x:c>
      <x:c r="J9" s="82" t="str">
        <x:v>V7.8词法声明证据</x:v>
      </x:c>
      <x:c r="K9" s="82" t="str">
        <x:v>设计审查中/未执行实测</x:v>
      </x:c>
    </x:row>
    <x:row r="10">
      <x:c r="A10" s="82" t="str">
        <x:v>F01.ObjectIdentity</x:v>
      </x:c>
      <x:c r="B10" s="82" t="str">
        <x:v>F01</x:v>
      </x:c>
      <x:c r="C10" s="82" t="str">
        <x:v>CxVisual.Foundation.Core</x:v>
      </x:c>
      <x:c r="D10" s="82" t="str">
        <x:v>ObjectIdentity</x:v>
      </x:c>
      <x:c r="E10" s="82" t="n">
        <x:v>0</x:v>
      </x:c>
      <x:c r="F10" s="82" t="str">
        <x:v>—</x:v>
      </x:c>
      <x:c r="G10" s="82" t="str">
        <x:v>尚未逐项裁决</x:v>
      </x:c>
      <x:c r="H10" s="82" t="str">
        <x:v>CxVisual.Foundation.Core</x:v>
      </x:c>
      <x:c r="I10" s="82" t="str">
        <x:v>需核原方法签名/行为、状态、依赖及实例生命周期</x:v>
      </x:c>
      <x:c r="J10" s="82" t="str">
        <x:v>V7.8词法声明证据</x:v>
      </x:c>
      <x:c r="K10" s="82" t="str">
        <x:v>设计审查中/未执行实测</x:v>
      </x:c>
    </x:row>
    <x:row r="11">
      <x:c r="A11" s="82" t="str">
        <x:v>F01.QualifiedName</x:v>
      </x:c>
      <x:c r="B11" s="82" t="str">
        <x:v>F01</x:v>
      </x:c>
      <x:c r="C11" s="82" t="str">
        <x:v>CxVisual.Foundation.Core</x:v>
      </x:c>
      <x:c r="D11" s="82" t="str">
        <x:v>QualifiedName</x:v>
      </x:c>
      <x:c r="E11" s="82" t="n">
        <x:v>0</x:v>
      </x:c>
      <x:c r="F11" s="82" t="str">
        <x:v>—</x:v>
      </x:c>
      <x:c r="G11" s="82" t="str">
        <x:v>尚未逐项裁决</x:v>
      </x:c>
      <x:c r="H11" s="82" t="str">
        <x:v>CxVisual.Foundation.Core</x:v>
      </x:c>
      <x:c r="I11" s="82" t="str">
        <x:v>需核原方法签名/行为、状态、依赖及实例生命周期</x:v>
      </x:c>
      <x:c r="J11" s="82" t="str">
        <x:v>V7.8词法声明证据</x:v>
      </x:c>
      <x:c r="K11" s="82" t="str">
        <x:v>设计审查中/未执行实测</x:v>
      </x:c>
    </x:row>
    <x:row r="12">
      <x:c r="A12" s="82" t="str">
        <x:v>F01.StableName</x:v>
      </x:c>
      <x:c r="B12" s="82" t="str">
        <x:v>F01</x:v>
      </x:c>
      <x:c r="C12" s="82" t="str">
        <x:v>CxVisual.Foundation.Core</x:v>
      </x:c>
      <x:c r="D12" s="82" t="str">
        <x:v>StableName</x:v>
      </x:c>
      <x:c r="E12" s="82" t="n">
        <x:v>0</x:v>
      </x:c>
      <x:c r="F12" s="82" t="str">
        <x:v>—</x:v>
      </x:c>
      <x:c r="G12" s="82" t="str">
        <x:v>尚未逐项裁决</x:v>
      </x:c>
      <x:c r="H12" s="82" t="str">
        <x:v>CxVisual.Foundation.Core</x:v>
      </x:c>
      <x:c r="I12" s="82" t="str">
        <x:v>需核原方法签名/行为、状态、依赖及实例生命周期</x:v>
      </x:c>
      <x:c r="J12" s="82" t="str">
        <x:v>V7.8词法声明证据</x:v>
      </x:c>
      <x:c r="K12" s="82" t="str">
        <x:v>设计审查中/未执行实测</x:v>
      </x:c>
    </x:row>
    <x:row r="13">
      <x:c r="A13" s="82" t="str">
        <x:v>F01.TypeConversionUtil</x:v>
      </x:c>
      <x:c r="B13" s="82" t="str">
        <x:v>F01</x:v>
      </x:c>
      <x:c r="C13" s="82" t="str">
        <x:v>CxVisual.Foundation.Core</x:v>
      </x:c>
      <x:c r="D13" s="82" t="str">
        <x:v>TypeConversionUtil</x:v>
      </x:c>
      <x:c r="E13" s="82" t="n">
        <x:v>0</x:v>
      </x:c>
      <x:c r="F13" s="82" t="str">
        <x:v>—</x:v>
      </x:c>
      <x:c r="G13" s="82" t="str">
        <x:v>尚未逐项裁决</x:v>
      </x:c>
      <x:c r="H13" s="82" t="str">
        <x:v>CxVisual.Foundation.Core</x:v>
      </x:c>
      <x:c r="I13" s="82" t="str">
        <x:v>需核原方法签名/行为、状态、依赖及实例生命周期</x:v>
      </x:c>
      <x:c r="J13" s="82" t="str">
        <x:v>V7.8词法声明证据</x:v>
      </x:c>
      <x:c r="K13" s="82" t="str">
        <x:v>设计审查中/未执行实测</x:v>
      </x:c>
    </x:row>
    <x:row r="14">
      <x:c r="A14" s="82" t="str">
        <x:v>F01.TypeShape</x:v>
      </x:c>
      <x:c r="B14" s="82" t="str">
        <x:v>F01</x:v>
      </x:c>
      <x:c r="C14" s="82" t="str">
        <x:v>CxVisual.Foundation.Core</x:v>
      </x:c>
      <x:c r="D14" s="82" t="str">
        <x:v>TypeShape</x:v>
      </x:c>
      <x:c r="E14" s="82" t="n">
        <x:v>0</x:v>
      </x:c>
      <x:c r="F14" s="82" t="str">
        <x:v>—</x:v>
      </x:c>
      <x:c r="G14" s="82" t="str">
        <x:v>尚未逐项裁决</x:v>
      </x:c>
      <x:c r="H14" s="82" t="str">
        <x:v>CxVisual.Foundation.Core</x:v>
      </x:c>
      <x:c r="I14" s="82" t="str">
        <x:v>需核原方法签名/行为、状态、依赖及实例生命周期</x:v>
      </x:c>
      <x:c r="J14" s="82" t="str">
        <x:v>V7.8词法声明证据</x:v>
      </x:c>
      <x:c r="K14" s="82" t="str">
        <x:v>设计审查中/未执行实测</x:v>
      </x:c>
    </x:row>
    <x:row r="15">
      <x:c r="A15" s="82" t="str">
        <x:v>F01.TypeToken</x:v>
      </x:c>
      <x:c r="B15" s="82" t="str">
        <x:v>F01</x:v>
      </x:c>
      <x:c r="C15" s="82" t="str">
        <x:v>CxVisual.Foundation.Core</x:v>
      </x:c>
      <x:c r="D15" s="82" t="str">
        <x:v>TypeToken</x:v>
      </x:c>
      <x:c r="E15" s="82" t="n">
        <x:v>0</x:v>
      </x:c>
      <x:c r="F15" s="82" t="str">
        <x:v>—</x:v>
      </x:c>
      <x:c r="G15" s="82" t="str">
        <x:v>尚未逐项裁决</x:v>
      </x:c>
      <x:c r="H15" s="82" t="str">
        <x:v>CxVisual.Foundation.Core</x:v>
      </x:c>
      <x:c r="I15" s="82" t="str">
        <x:v>需核原方法签名/行为、状态、依赖及实例生命周期</x:v>
      </x:c>
      <x:c r="J15" s="82" t="str">
        <x:v>V7.8词法声明证据</x:v>
      </x:c>
      <x:c r="K15" s="82" t="str">
        <x:v>设计审查中/未执行实测</x:v>
      </x:c>
    </x:row>
    <x:row r="16">
      <x:c r="A16" s="82" t="str">
        <x:v>F01.ValueSnapshot</x:v>
      </x:c>
      <x:c r="B16" s="82" t="str">
        <x:v>F01</x:v>
      </x:c>
      <x:c r="C16" s="82" t="str">
        <x:v>CxVisual.Foundation.Core</x:v>
      </x:c>
      <x:c r="D16" s="82" t="str">
        <x:v>ValueSnapshot</x:v>
      </x:c>
      <x:c r="E16" s="82" t="n">
        <x:v>0</x:v>
      </x:c>
      <x:c r="F16" s="82" t="str">
        <x:v>—</x:v>
      </x:c>
      <x:c r="G16" s="82" t="str">
        <x:v>尚未逐项裁决</x:v>
      </x:c>
      <x:c r="H16" s="82" t="str">
        <x:v>CxVisual.Foundation.Core</x:v>
      </x:c>
      <x:c r="I16" s="82" t="str">
        <x:v>需核原方法签名/行为、状态、依赖及实例生命周期</x:v>
      </x:c>
      <x:c r="J16" s="82" t="str">
        <x:v>V7.8词法声明证据</x:v>
      </x:c>
      <x:c r="K16" s="82" t="str">
        <x:v>设计审查中/未执行实测</x:v>
      </x:c>
    </x:row>
    <x:row r="17">
      <x:c r="A17" s="82" t="str">
        <x:v>F02.BidirectionalMap</x:v>
      </x:c>
      <x:c r="B17" s="82" t="str">
        <x:v>F02</x:v>
      </x:c>
      <x:c r="C17" s="82" t="str">
        <x:v>CxVisual.Foundation.Core</x:v>
      </x:c>
      <x:c r="D17" s="82" t="str">
        <x:v>BidirectionalMap</x:v>
      </x:c>
      <x:c r="E17" s="82" t="n">
        <x:v>0</x:v>
      </x:c>
      <x:c r="F17" s="82" t="str">
        <x:v>—</x:v>
      </x:c>
      <x:c r="G17" s="82" t="str">
        <x:v>尚未逐项裁决</x:v>
      </x:c>
      <x:c r="H17" s="82" t="str">
        <x:v>CxVisual.Foundation.Core</x:v>
      </x:c>
      <x:c r="I17" s="82" t="str">
        <x:v>需核原方法签名/行为、状态、依赖及实例生命周期</x:v>
      </x:c>
      <x:c r="J17" s="82" t="str">
        <x:v>V7.8词法声明证据</x:v>
      </x:c>
      <x:c r="K17" s="82" t="str">
        <x:v>设计审查中/未执行实测</x:v>
      </x:c>
    </x:row>
    <x:row r="18">
      <x:c r="A18" s="82" t="str">
        <x:v>F02.BitSet</x:v>
      </x:c>
      <x:c r="B18" s="82" t="str">
        <x:v>F02</x:v>
      </x:c>
      <x:c r="C18" s="82" t="str">
        <x:v>CxVisual.Foundation.Core</x:v>
      </x:c>
      <x:c r="D18" s="82" t="str">
        <x:v>BitSet</x:v>
      </x:c>
      <x:c r="E18" s="82" t="n">
        <x:v>0</x:v>
      </x:c>
      <x:c r="F18" s="82" t="str">
        <x:v>—</x:v>
      </x:c>
      <x:c r="G18" s="82" t="str">
        <x:v>尚未逐项裁决</x:v>
      </x:c>
      <x:c r="H18" s="82" t="str">
        <x:v>CxVisual.Foundation.Core</x:v>
      </x:c>
      <x:c r="I18" s="82" t="str">
        <x:v>需核原方法签名/行为、状态、依赖及实例生命周期</x:v>
      </x:c>
      <x:c r="J18" s="82" t="str">
        <x:v>V7.8词法声明证据</x:v>
      </x:c>
      <x:c r="K18" s="82" t="str">
        <x:v>设计审查中/未执行实测</x:v>
      </x:c>
    </x:row>
    <x:row r="19">
      <x:c r="A19" s="82" t="str">
        <x:v>F02.CollectionDiffUtil</x:v>
      </x:c>
      <x:c r="B19" s="82" t="str">
        <x:v>F02</x:v>
      </x:c>
      <x:c r="C19" s="82" t="str">
        <x:v>CxVisual.Foundation.Core</x:v>
      </x:c>
      <x:c r="D19" s="82" t="str">
        <x:v>CollectionDiffUtil</x:v>
      </x:c>
      <x:c r="E19" s="82" t="n">
        <x:v>0</x:v>
      </x:c>
      <x:c r="F19" s="82" t="str">
        <x:v>—</x:v>
      </x:c>
      <x:c r="G19" s="82" t="str">
        <x:v>尚未逐项裁决</x:v>
      </x:c>
      <x:c r="H19" s="82" t="str">
        <x:v>CxVisual.Foundation.Core</x:v>
      </x:c>
      <x:c r="I19" s="82" t="str">
        <x:v>需核原方法签名/行为、状态、依赖及实例生命周期</x:v>
      </x:c>
      <x:c r="J19" s="82" t="str">
        <x:v>V7.8词法声明证据</x:v>
      </x:c>
      <x:c r="K19" s="82" t="str">
        <x:v>设计审查中/未执行实测</x:v>
      </x:c>
    </x:row>
    <x:row r="20">
      <x:c r="A20" s="82" t="str">
        <x:v>F02.GraphTopologyUtil</x:v>
      </x:c>
      <x:c r="B20" s="82" t="str">
        <x:v>F02</x:v>
      </x:c>
      <x:c r="C20" s="82" t="str">
        <x:v>CxVisual.Foundation.Core</x:v>
      </x:c>
      <x:c r="D20" s="82" t="str">
        <x:v>GraphTopologyUtil</x:v>
      </x:c>
      <x:c r="E20" s="82" t="n">
        <x:v>0</x:v>
      </x:c>
      <x:c r="F20" s="82" t="str">
        <x:v>—</x:v>
      </x:c>
      <x:c r="G20" s="82" t="str">
        <x:v>尚未逐项裁决</x:v>
      </x:c>
      <x:c r="H20" s="82" t="str">
        <x:v>CxVisual.Foundation.Core</x:v>
      </x:c>
      <x:c r="I20" s="82" t="str">
        <x:v>需核原方法签名/行为、状态、依赖及实例生命周期</x:v>
      </x:c>
      <x:c r="J20" s="82" t="str">
        <x:v>V7.8词法声明证据</x:v>
      </x:c>
      <x:c r="K20" s="82" t="str">
        <x:v>设计审查中/未执行实测</x:v>
      </x:c>
    </x:row>
    <x:row r="21">
      <x:c r="A21" s="82" t="str">
        <x:v>F02.HierarchyTraversalUtil</x:v>
      </x:c>
      <x:c r="B21" s="82" t="str">
        <x:v>F02</x:v>
      </x:c>
      <x:c r="C21" s="82" t="str">
        <x:v>CxVisual.Foundation.Core</x:v>
      </x:c>
      <x:c r="D21" s="82" t="str">
        <x:v>HierarchyTraversalUtil</x:v>
      </x:c>
      <x:c r="E21" s="82" t="n">
        <x:v>0</x:v>
      </x:c>
      <x:c r="F21" s="82" t="str">
        <x:v>—</x:v>
      </x:c>
      <x:c r="G21" s="82" t="str">
        <x:v>尚未逐项裁决</x:v>
      </x:c>
      <x:c r="H21" s="82" t="str">
        <x:v>CxVisual.Foundation.Core</x:v>
      </x:c>
      <x:c r="I21" s="82" t="str">
        <x:v>需核原方法签名/行为、状态、依赖及实例生命周期</x:v>
      </x:c>
      <x:c r="J21" s="82" t="str">
        <x:v>V7.8词法声明证据</x:v>
      </x:c>
      <x:c r="K21" s="82" t="str">
        <x:v>设计审查中/未执行实测</x:v>
      </x:c>
    </x:row>
    <x:row r="22">
      <x:c r="A22" s="82" t="str">
        <x:v>F02.IndexMap</x:v>
      </x:c>
      <x:c r="B22" s="82" t="str">
        <x:v>F02</x:v>
      </x:c>
      <x:c r="C22" s="82" t="str">
        <x:v>CxVisual.Foundation.Core</x:v>
      </x:c>
      <x:c r="D22" s="82" t="str">
        <x:v>IndexMap</x:v>
      </x:c>
      <x:c r="E22" s="82" t="n">
        <x:v>0</x:v>
      </x:c>
      <x:c r="F22" s="82" t="str">
        <x:v>—</x:v>
      </x:c>
      <x:c r="G22" s="82" t="str">
        <x:v>尚未逐项裁决</x:v>
      </x:c>
      <x:c r="H22" s="82" t="str">
        <x:v>CxVisual.Foundation.Core</x:v>
      </x:c>
      <x:c r="I22" s="82" t="str">
        <x:v>需核原方法签名/行为、状态、依赖及实例生命周期</x:v>
      </x:c>
      <x:c r="J22" s="82" t="str">
        <x:v>V7.8词法声明证据</x:v>
      </x:c>
      <x:c r="K22" s="82" t="str">
        <x:v>设计审查中/未执行实测</x:v>
      </x:c>
    </x:row>
    <x:row r="23">
      <x:c r="A23" s="82" t="str">
        <x:v>F02.KeyValueEntry</x:v>
      </x:c>
      <x:c r="B23" s="82" t="str">
        <x:v>F02</x:v>
      </x:c>
      <x:c r="C23" s="82" t="str">
        <x:v>CxVisual.Foundation.Core</x:v>
      </x:c>
      <x:c r="D23" s="82" t="str">
        <x:v>KeyValueEntry</x:v>
      </x:c>
      <x:c r="E23" s="82" t="n">
        <x:v>0</x:v>
      </x:c>
      <x:c r="F23" s="82" t="str">
        <x:v>—</x:v>
      </x:c>
      <x:c r="G23" s="82" t="str">
        <x:v>尚未逐项裁决</x:v>
      </x:c>
      <x:c r="H23" s="82" t="str">
        <x:v>CxVisual.Foundation.Core</x:v>
      </x:c>
      <x:c r="I23" s="82" t="str">
        <x:v>需核原方法签名/行为、状态、依赖及实例生命周期</x:v>
      </x:c>
      <x:c r="J23" s="82" t="str">
        <x:v>V7.8词法声明证据</x:v>
      </x:c>
      <x:c r="K23" s="82" t="str">
        <x:v>设计审查中/未执行实测</x:v>
      </x:c>
    </x:row>
    <x:row r="24">
      <x:c r="A24" s="82" t="str">
        <x:v>F02.OrderedMultiMap</x:v>
      </x:c>
      <x:c r="B24" s="82" t="str">
        <x:v>F02</x:v>
      </x:c>
      <x:c r="C24" s="82" t="str">
        <x:v>CxVisual.Foundation.Core</x:v>
      </x:c>
      <x:c r="D24" s="82" t="str">
        <x:v>OrderedMultiMap</x:v>
      </x:c>
      <x:c r="E24" s="82" t="n">
        <x:v>0</x:v>
      </x:c>
      <x:c r="F24" s="82" t="str">
        <x:v>—</x:v>
      </x:c>
      <x:c r="G24" s="82" t="str">
        <x:v>尚未逐项裁决</x:v>
      </x:c>
      <x:c r="H24" s="82" t="str">
        <x:v>CxVisual.Foundation.Core</x:v>
      </x:c>
      <x:c r="I24" s="82" t="str">
        <x:v>需核原方法签名/行为、状态、依赖及实例生命周期</x:v>
      </x:c>
      <x:c r="J24" s="82" t="str">
        <x:v>V7.8词法声明证据</x:v>
      </x:c>
      <x:c r="K24" s="82" t="str">
        <x:v>设计审查中/未执行实测</x:v>
      </x:c>
    </x:row>
    <x:row r="25">
      <x:c r="A25" s="82" t="str">
        <x:v>F02.RangeInt</x:v>
      </x:c>
      <x:c r="B25" s="82" t="str">
        <x:v>F02</x:v>
      </x:c>
      <x:c r="C25" s="82" t="str">
        <x:v>CxVisual.Foundation.Core</x:v>
      </x:c>
      <x:c r="D25" s="82" t="str">
        <x:v>RangeInt</x:v>
      </x:c>
      <x:c r="E25" s="82" t="n">
        <x:v>0</x:v>
      </x:c>
      <x:c r="F25" s="82" t="str">
        <x:v>—</x:v>
      </x:c>
      <x:c r="G25" s="82" t="str">
        <x:v>尚未逐项裁决</x:v>
      </x:c>
      <x:c r="H25" s="82" t="str">
        <x:v>CxVisual.Foundation.Core</x:v>
      </x:c>
      <x:c r="I25" s="82" t="str">
        <x:v>需核原方法签名/行为、状态、依赖及实例生命周期</x:v>
      </x:c>
      <x:c r="J25" s="82" t="str">
        <x:v>V7.8词法声明证据</x:v>
      </x:c>
      <x:c r="K25" s="82" t="str">
        <x:v>设计审查中/未执行实测</x:v>
      </x:c>
    </x:row>
    <x:row r="26">
      <x:c r="A26" s="82" t="str">
        <x:v>F02.SliceSpec</x:v>
      </x:c>
      <x:c r="B26" s="82" t="str">
        <x:v>F02</x:v>
      </x:c>
      <x:c r="C26" s="82" t="str">
        <x:v>CxVisual.Foundation.Core</x:v>
      </x:c>
      <x:c r="D26" s="82" t="str">
        <x:v>SliceSpec</x:v>
      </x:c>
      <x:c r="E26" s="82" t="n">
        <x:v>0</x:v>
      </x:c>
      <x:c r="F26" s="82" t="str">
        <x:v>—</x:v>
      </x:c>
      <x:c r="G26" s="82" t="str">
        <x:v>尚未逐项裁决</x:v>
      </x:c>
      <x:c r="H26" s="82" t="str">
        <x:v>CxVisual.Foundation.Core</x:v>
      </x:c>
      <x:c r="I26" s="82" t="str">
        <x:v>需核原方法签名/行为、状态、依赖及实例生命周期</x:v>
      </x:c>
      <x:c r="J26" s="82" t="str">
        <x:v>V7.8词法声明证据</x:v>
      </x:c>
      <x:c r="K26" s="82" t="str">
        <x:v>设计审查中/未执行实测</x:v>
      </x:c>
    </x:row>
    <x:row r="27">
      <x:c r="A27" s="82" t="str">
        <x:v>F03.ComplexNumber</x:v>
      </x:c>
      <x:c r="B27" s="82" t="str">
        <x:v>F03</x:v>
      </x:c>
      <x:c r="C27" s="82" t="str">
        <x:v>CxVisual.Foundation.Numerics</x:v>
      </x:c>
      <x:c r="D27" s="82" t="str">
        <x:v>ComplexNumber</x:v>
      </x:c>
      <x:c r="E27" s="82" t="n">
        <x:v>0</x:v>
      </x:c>
      <x:c r="F27" s="82" t="str">
        <x:v>—</x:v>
      </x:c>
      <x:c r="G27" s="82" t="str">
        <x:v>尚未逐项裁决</x:v>
      </x:c>
      <x:c r="H27" s="82" t="str">
        <x:v>CxVisual.Foundation.Numerics</x:v>
      </x:c>
      <x:c r="I27" s="82" t="str">
        <x:v>需核原方法签名/行为、状态、依赖及实例生命周期</x:v>
      </x:c>
      <x:c r="J27" s="82" t="str">
        <x:v>V7.8词法声明证据</x:v>
      </x:c>
      <x:c r="K27" s="82" t="str">
        <x:v>设计审查中/未执行实测</x:v>
      </x:c>
    </x:row>
    <x:row r="28">
      <x:c r="A28" s="82" t="str">
        <x:v>F03.IntervalDouble</x:v>
      </x:c>
      <x:c r="B28" s="82" t="str">
        <x:v>F03</x:v>
      </x:c>
      <x:c r="C28" s="82" t="str">
        <x:v>CxVisual.Foundation.Numerics</x:v>
      </x:c>
      <x:c r="D28" s="82" t="str">
        <x:v>IntervalDouble</x:v>
      </x:c>
      <x:c r="E28" s="82" t="n">
        <x:v>0</x:v>
      </x:c>
      <x:c r="F28" s="82" t="str">
        <x:v>—</x:v>
      </x:c>
      <x:c r="G28" s="82" t="str">
        <x:v>尚未逐项裁决</x:v>
      </x:c>
      <x:c r="H28" s="82" t="str">
        <x:v>CxVisual.Foundation.Numerics</x:v>
      </x:c>
      <x:c r="I28" s="82" t="str">
        <x:v>需核原方法签名/行为、状态、依赖及实例生命周期</x:v>
      </x:c>
      <x:c r="J28" s="82" t="str">
        <x:v>V7.8词法声明证据</x:v>
      </x:c>
      <x:c r="K28" s="82" t="str">
        <x:v>设计审查中/未执行实测</x:v>
      </x:c>
    </x:row>
    <x:row r="29">
      <x:c r="A29" s="82" t="str">
        <x:v>F03.LinearAlgebraOps</x:v>
      </x:c>
      <x:c r="B29" s="82" t="str">
        <x:v>F03</x:v>
      </x:c>
      <x:c r="C29" s="82" t="str">
        <x:v>CxVisual.Foundation.Numerics</x:v>
      </x:c>
      <x:c r="D29" s="82" t="str">
        <x:v>LinearAlgebraOps</x:v>
      </x:c>
      <x:c r="E29" s="82" t="n">
        <x:v>0</x:v>
      </x:c>
      <x:c r="F29" s="82" t="str">
        <x:v>—</x:v>
      </x:c>
      <x:c r="G29" s="82" t="str">
        <x:v>尚未逐项裁决</x:v>
      </x:c>
      <x:c r="H29" s="82" t="str">
        <x:v>CxVisual.Foundation.Numerics</x:v>
      </x:c>
      <x:c r="I29" s="82" t="str">
        <x:v>需核原方法签名/行为、状态、依赖及实例生命周期</x:v>
      </x:c>
      <x:c r="J29" s="82" t="str">
        <x:v>V7.8词法声明证据</x:v>
      </x:c>
      <x:c r="K29" s="82" t="str">
        <x:v>设计审查中/未执行实测</x:v>
      </x:c>
    </x:row>
    <x:row r="30">
      <x:c r="A30" s="82" t="str">
        <x:v>F03.Matrix2x2</x:v>
      </x:c>
      <x:c r="B30" s="82" t="str">
        <x:v>F03</x:v>
      </x:c>
      <x:c r="C30" s="82" t="str">
        <x:v>CxVisual.Foundation.Numerics</x:v>
      </x:c>
      <x:c r="D30" s="82" t="str">
        <x:v>Matrix2x2</x:v>
      </x:c>
      <x:c r="E30" s="82" t="n">
        <x:v>0</x:v>
      </x:c>
      <x:c r="F30" s="82" t="str">
        <x:v>—</x:v>
      </x:c>
      <x:c r="G30" s="82" t="str">
        <x:v>尚未逐项裁决</x:v>
      </x:c>
      <x:c r="H30" s="82" t="str">
        <x:v>CxVisual.Foundation.Numerics</x:v>
      </x:c>
      <x:c r="I30" s="82" t="str">
        <x:v>需核原方法签名/行为、状态、依赖及实例生命周期</x:v>
      </x:c>
      <x:c r="J30" s="82" t="str">
        <x:v>V7.8词法声明证据</x:v>
      </x:c>
      <x:c r="K30" s="82" t="str">
        <x:v>设计审查中/未执行实测</x:v>
      </x:c>
    </x:row>
    <x:row r="31">
      <x:c r="A31" s="82" t="str">
        <x:v>F03.Matrix3x3</x:v>
      </x:c>
      <x:c r="B31" s="82" t="str">
        <x:v>F03</x:v>
      </x:c>
      <x:c r="C31" s="82" t="str">
        <x:v>CxVisual.Foundation.Numerics</x:v>
      </x:c>
      <x:c r="D31" s="82" t="str">
        <x:v>Matrix3x3</x:v>
      </x:c>
      <x:c r="E31" s="82" t="n">
        <x:v>0</x:v>
      </x:c>
      <x:c r="F31" s="82" t="str">
        <x:v>—</x:v>
      </x:c>
      <x:c r="G31" s="82" t="str">
        <x:v>尚未逐项裁决</x:v>
      </x:c>
      <x:c r="H31" s="82" t="str">
        <x:v>CxVisual.Foundation.Numerics</x:v>
      </x:c>
      <x:c r="I31" s="82" t="str">
        <x:v>需核原方法签名/行为、状态、依赖及实例生命周期</x:v>
      </x:c>
      <x:c r="J31" s="82" t="str">
        <x:v>V7.8词法声明证据</x:v>
      </x:c>
      <x:c r="K31" s="82" t="str">
        <x:v>设计审查中/未执行实测</x:v>
      </x:c>
    </x:row>
    <x:row r="32">
      <x:c r="A32" s="82" t="str">
        <x:v>F03.Matrix4x4</x:v>
      </x:c>
      <x:c r="B32" s="82" t="str">
        <x:v>F03</x:v>
      </x:c>
      <x:c r="C32" s="82" t="str">
        <x:v>CxVisual.Foundation.Numerics</x:v>
      </x:c>
      <x:c r="D32" s="82" t="str">
        <x:v>Matrix4x4</x:v>
      </x:c>
      <x:c r="E32" s="82" t="n">
        <x:v>0</x:v>
      </x:c>
      <x:c r="F32" s="82" t="str">
        <x:v>—</x:v>
      </x:c>
      <x:c r="G32" s="82" t="str">
        <x:v>尚未逐项裁决</x:v>
      </x:c>
      <x:c r="H32" s="82" t="str">
        <x:v>CxVisual.Foundation.Numerics</x:v>
      </x:c>
      <x:c r="I32" s="82" t="str">
        <x:v>需核原方法签名/行为、状态、依赖及实例生命周期</x:v>
      </x:c>
      <x:c r="J32" s="82" t="str">
        <x:v>V7.8词法声明证据</x:v>
      </x:c>
      <x:c r="K32" s="82" t="str">
        <x:v>设计审查中/未执行实测</x:v>
      </x:c>
    </x:row>
    <x:row r="33">
      <x:c r="A33" s="82" t="str">
        <x:v>F03.NumericUtil</x:v>
      </x:c>
      <x:c r="B33" s="82" t="str">
        <x:v>F03</x:v>
      </x:c>
      <x:c r="C33" s="82" t="str">
        <x:v>CxVisual.Foundation.Numerics</x:v>
      </x:c>
      <x:c r="D33" s="82" t="str">
        <x:v>NumericUtil</x:v>
      </x:c>
      <x:c r="E33" s="82" t="n">
        <x:v>1</x:v>
      </x:c>
      <x:c r="F33" s="82" t="str">
        <x:v>Platform/Core/Common/Utilities.cs (class)</x:v>
      </x:c>
      <x:c r="G33" s="82" t="str">
        <x:v>尚未逐项裁决</x:v>
      </x:c>
      <x:c r="H33" s="82" t="str">
        <x:v>CxVisual.Foundation.Numerics</x:v>
      </x:c>
      <x:c r="I33" s="82" t="str">
        <x:v>需核原方法签名/行为、状态、依赖及实例生命周期</x:v>
      </x:c>
      <x:c r="J33" s="82" t="str">
        <x:v>V7.8词法声明证据</x:v>
      </x:c>
      <x:c r="K33" s="82" t="str">
        <x:v>设计审查中/未执行实测</x:v>
      </x:c>
    </x:row>
    <x:row r="34">
      <x:c r="A34" s="82" t="str">
        <x:v>F03.Quaternion</x:v>
      </x:c>
      <x:c r="B34" s="82" t="str">
        <x:v>F03</x:v>
      </x:c>
      <x:c r="C34" s="82" t="str">
        <x:v>CxVisual.Foundation.Numerics</x:v>
      </x:c>
      <x:c r="D34" s="82" t="str">
        <x:v>Quaternion</x:v>
      </x:c>
      <x:c r="E34" s="82" t="n">
        <x:v>0</x:v>
      </x:c>
      <x:c r="F34" s="82" t="str">
        <x:v>—</x:v>
      </x:c>
      <x:c r="G34" s="82" t="str">
        <x:v>尚未逐项裁决</x:v>
      </x:c>
      <x:c r="H34" s="82" t="str">
        <x:v>CxVisual.Foundation.Numerics</x:v>
      </x:c>
      <x:c r="I34" s="82" t="str">
        <x:v>需核原方法签名/行为、状态、依赖及实例生命周期</x:v>
      </x:c>
      <x:c r="J34" s="82" t="str">
        <x:v>V7.8词法声明证据</x:v>
      </x:c>
      <x:c r="K34" s="82" t="str">
        <x:v>设计审查中/未执行实测</x:v>
      </x:c>
    </x:row>
    <x:row r="35">
      <x:c r="A35" s="82" t="str">
        <x:v>F03.StatisticsOps</x:v>
      </x:c>
      <x:c r="B35" s="82" t="str">
        <x:v>F03</x:v>
      </x:c>
      <x:c r="C35" s="82" t="str">
        <x:v>CxVisual.Foundation.Numerics</x:v>
      </x:c>
      <x:c r="D35" s="82" t="str">
        <x:v>StatisticsOps</x:v>
      </x:c>
      <x:c r="E35" s="82" t="n">
        <x:v>0</x:v>
      </x:c>
      <x:c r="F35" s="82" t="str">
        <x:v>—</x:v>
      </x:c>
      <x:c r="G35" s="82" t="str">
        <x:v>尚未逐项裁决</x:v>
      </x:c>
      <x:c r="H35" s="82" t="str">
        <x:v>CxVisual.Foundation.Numerics</x:v>
      </x:c>
      <x:c r="I35" s="82" t="str">
        <x:v>需核原方法签名/行为、状态、依赖及实例生命周期</x:v>
      </x:c>
      <x:c r="J35" s="82" t="str">
        <x:v>V7.8词法声明证据</x:v>
      </x:c>
      <x:c r="K35" s="82" t="str">
        <x:v>设计审查中/未执行实测</x:v>
      </x:c>
    </x:row>
    <x:row r="36">
      <x:c r="A36" s="82" t="str">
        <x:v>F03.Vector2</x:v>
      </x:c>
      <x:c r="B36" s="82" t="str">
        <x:v>F03</x:v>
      </x:c>
      <x:c r="C36" s="82" t="str">
        <x:v>CxVisual.Foundation.Numerics</x:v>
      </x:c>
      <x:c r="D36" s="82" t="str">
        <x:v>Vector2</x:v>
      </x:c>
      <x:c r="E36" s="82" t="n">
        <x:v>0</x:v>
      </x:c>
      <x:c r="F36" s="82" t="str">
        <x:v>—</x:v>
      </x:c>
      <x:c r="G36" s="82" t="str">
        <x:v>尚未逐项裁决</x:v>
      </x:c>
      <x:c r="H36" s="82" t="str">
        <x:v>CxVisual.Foundation.Numerics</x:v>
      </x:c>
      <x:c r="I36" s="82" t="str">
        <x:v>需核原方法签名/行为、状态、依赖及实例生命周期</x:v>
      </x:c>
      <x:c r="J36" s="82" t="str">
        <x:v>V7.8词法声明证据</x:v>
      </x:c>
      <x:c r="K36" s="82" t="str">
        <x:v>设计审查中/未执行实测</x:v>
      </x:c>
    </x:row>
    <x:row r="37">
      <x:c r="A37" s="82" t="str">
        <x:v>F03.Vector3</x:v>
      </x:c>
      <x:c r="B37" s="82" t="str">
        <x:v>F03</x:v>
      </x:c>
      <x:c r="C37" s="82" t="str">
        <x:v>CxVisual.Foundation.Numerics</x:v>
      </x:c>
      <x:c r="D37" s="82" t="str">
        <x:v>Vector3</x:v>
      </x:c>
      <x:c r="E37" s="82" t="n">
        <x:v>0</x:v>
      </x:c>
      <x:c r="F37" s="82" t="str">
        <x:v>—</x:v>
      </x:c>
      <x:c r="G37" s="82" t="str">
        <x:v>尚未逐项裁决</x:v>
      </x:c>
      <x:c r="H37" s="82" t="str">
        <x:v>CxVisual.Foundation.Numerics</x:v>
      </x:c>
      <x:c r="I37" s="82" t="str">
        <x:v>需核原方法签名/行为、状态、依赖及实例生命周期</x:v>
      </x:c>
      <x:c r="J37" s="82" t="str">
        <x:v>V7.8词法声明证据</x:v>
      </x:c>
      <x:c r="K37" s="82" t="str">
        <x:v>设计审查中/未执行实测</x:v>
      </x:c>
    </x:row>
    <x:row r="38">
      <x:c r="A38" s="82" t="str">
        <x:v>F03.Vector4</x:v>
      </x:c>
      <x:c r="B38" s="82" t="str">
        <x:v>F03</x:v>
      </x:c>
      <x:c r="C38" s="82" t="str">
        <x:v>CxVisual.Foundation.Numerics</x:v>
      </x:c>
      <x:c r="D38" s="82" t="str">
        <x:v>Vector4</x:v>
      </x:c>
      <x:c r="E38" s="82" t="n">
        <x:v>0</x:v>
      </x:c>
      <x:c r="F38" s="82" t="str">
        <x:v>—</x:v>
      </x:c>
      <x:c r="G38" s="82" t="str">
        <x:v>尚未逐项裁决</x:v>
      </x:c>
      <x:c r="H38" s="82" t="str">
        <x:v>CxVisual.Foundation.Numerics</x:v>
      </x:c>
      <x:c r="I38" s="82" t="str">
        <x:v>需核原方法签名/行为、状态、依赖及实例生命周期</x:v>
      </x:c>
      <x:c r="J38" s="82" t="str">
        <x:v>V7.8词法声明证据</x:v>
      </x:c>
      <x:c r="K38" s="82" t="str">
        <x:v>设计审查中/未执行实测</x:v>
      </x:c>
    </x:row>
    <x:row r="39">
      <x:c r="A39" s="82" t="str">
        <x:v>F04.DifferentiationOps</x:v>
      </x:c>
      <x:c r="B39" s="82" t="str">
        <x:v>F04</x:v>
      </x:c>
      <x:c r="C39" s="82" t="str">
        <x:v>CxVisual.Foundation.Numerics</x:v>
      </x:c>
      <x:c r="D39" s="82" t="str">
        <x:v>DifferentiationOps</x:v>
      </x:c>
      <x:c r="E39" s="82" t="n">
        <x:v>0</x:v>
      </x:c>
      <x:c r="F39" s="82" t="str">
        <x:v>—</x:v>
      </x:c>
      <x:c r="G39" s="82" t="str">
        <x:v>尚未逐项裁决</x:v>
      </x:c>
      <x:c r="H39" s="82" t="str">
        <x:v>CxVisual.Foundation.Numerics</x:v>
      </x:c>
      <x:c r="I39" s="82" t="str">
        <x:v>需核原方法签名/行为、状态、依赖及实例生命周期</x:v>
      </x:c>
      <x:c r="J39" s="82" t="str">
        <x:v>V7.8词法声明证据</x:v>
      </x:c>
      <x:c r="K39" s="82" t="str">
        <x:v>设计审查中/未执行实测</x:v>
      </x:c>
    </x:row>
    <x:row r="40">
      <x:c r="A40" s="82" t="str">
        <x:v>F04.InterpolationOps</x:v>
      </x:c>
      <x:c r="B40" s="82" t="str">
        <x:v>F04</x:v>
      </x:c>
      <x:c r="C40" s="82" t="str">
        <x:v>CxVisual.Foundation.Numerics</x:v>
      </x:c>
      <x:c r="D40" s="82" t="str">
        <x:v>InterpolationOps</x:v>
      </x:c>
      <x:c r="E40" s="82" t="n">
        <x:v>0</x:v>
      </x:c>
      <x:c r="F40" s="82" t="str">
        <x:v>—</x:v>
      </x:c>
      <x:c r="G40" s="82" t="str">
        <x:v>尚未逐项裁决</x:v>
      </x:c>
      <x:c r="H40" s="82" t="str">
        <x:v>CxVisual.Foundation.Numerics</x:v>
      </x:c>
      <x:c r="I40" s="82" t="str">
        <x:v>需核原方法签名/行为、状态、依赖及实例生命周期</x:v>
      </x:c>
      <x:c r="J40" s="82" t="str">
        <x:v>V7.8词法声明证据</x:v>
      </x:c>
      <x:c r="K40" s="82" t="str">
        <x:v>设计审查中/未执行实测</x:v>
      </x:c>
    </x:row>
    <x:row r="41">
      <x:c r="A41" s="82" t="str">
        <x:v>F04.LeastSquares</x:v>
      </x:c>
      <x:c r="B41" s="82" t="str">
        <x:v>F04</x:v>
      </x:c>
      <x:c r="C41" s="82" t="str">
        <x:v>CxVisual.Foundation.Numerics</x:v>
      </x:c>
      <x:c r="D41" s="82" t="str">
        <x:v>LeastSquares</x:v>
      </x:c>
      <x:c r="E41" s="82" t="n">
        <x:v>0</x:v>
      </x:c>
      <x:c r="F41" s="82" t="str">
        <x:v>—</x:v>
      </x:c>
      <x:c r="G41" s="82" t="str">
        <x:v>尚未逐项裁决</x:v>
      </x:c>
      <x:c r="H41" s="82" t="str">
        <x:v>CxVisual.Foundation.Numerics</x:v>
      </x:c>
      <x:c r="I41" s="82" t="str">
        <x:v>需核原方法签名/行为、状态、依赖及实例生命周期</x:v>
      </x:c>
      <x:c r="J41" s="82" t="str">
        <x:v>V7.8词法声明证据</x:v>
      </x:c>
      <x:c r="K41" s="82" t="str">
        <x:v>设计审查中/未执行实测</x:v>
      </x:c>
    </x:row>
    <x:row r="42">
      <x:c r="A42" s="82" t="str">
        <x:v>F04.NonlinearOptimization</x:v>
      </x:c>
      <x:c r="B42" s="82" t="str">
        <x:v>F04</x:v>
      </x:c>
      <x:c r="C42" s="82" t="str">
        <x:v>CxVisual.Foundation.Numerics</x:v>
      </x:c>
      <x:c r="D42" s="82" t="str">
        <x:v>NonlinearOptimization</x:v>
      </x:c>
      <x:c r="E42" s="82" t="n">
        <x:v>0</x:v>
      </x:c>
      <x:c r="F42" s="82" t="str">
        <x:v>—</x:v>
      </x:c>
      <x:c r="G42" s="82" t="str">
        <x:v>尚未逐项裁决</x:v>
      </x:c>
      <x:c r="H42" s="82" t="str">
        <x:v>CxVisual.Foundation.Numerics</x:v>
      </x:c>
      <x:c r="I42" s="82" t="str">
        <x:v>需核原方法签名/行为、状态、依赖及实例生命周期</x:v>
      </x:c>
      <x:c r="J42" s="82" t="str">
        <x:v>V7.8词法声明证据</x:v>
      </x:c>
      <x:c r="K42" s="82" t="str">
        <x:v>设计审查中/未执行实测</x:v>
      </x:c>
    </x:row>
    <x:row r="43">
      <x:c r="A43" s="82" t="str">
        <x:v>F04.NumericalConditioning</x:v>
      </x:c>
      <x:c r="B43" s="82" t="str">
        <x:v>F04</x:v>
      </x:c>
      <x:c r="C43" s="82" t="str">
        <x:v>CxVisual.Foundation.Numerics</x:v>
      </x:c>
      <x:c r="D43" s="82" t="str">
        <x:v>NumericalConditioning</x:v>
      </x:c>
      <x:c r="E43" s="82" t="n">
        <x:v>0</x:v>
      </x:c>
      <x:c r="F43" s="82" t="str">
        <x:v>—</x:v>
      </x:c>
      <x:c r="G43" s="82" t="str">
        <x:v>尚未逐项裁决</x:v>
      </x:c>
      <x:c r="H43" s="82" t="str">
        <x:v>CxVisual.Foundation.Numerics</x:v>
      </x:c>
      <x:c r="I43" s="82" t="str">
        <x:v>需核原方法签名/行为、状态、依赖及实例生命周期</x:v>
      </x:c>
      <x:c r="J43" s="82" t="str">
        <x:v>V7.8词法声明证据</x:v>
      </x:c>
      <x:c r="K43" s="82" t="str">
        <x:v>设计审查中/未执行实测</x:v>
      </x:c>
    </x:row>
    <x:row r="44">
      <x:c r="A44" s="82" t="str">
        <x:v>F04.NumericalIntegration</x:v>
      </x:c>
      <x:c r="B44" s="82" t="str">
        <x:v>F04</x:v>
      </x:c>
      <x:c r="C44" s="82" t="str">
        <x:v>CxVisual.Foundation.Numerics</x:v>
      </x:c>
      <x:c r="D44" s="82" t="str">
        <x:v>NumericalIntegration</x:v>
      </x:c>
      <x:c r="E44" s="82" t="n">
        <x:v>0</x:v>
      </x:c>
      <x:c r="F44" s="82" t="str">
        <x:v>—</x:v>
      </x:c>
      <x:c r="G44" s="82" t="str">
        <x:v>尚未逐项裁决</x:v>
      </x:c>
      <x:c r="H44" s="82" t="str">
        <x:v>CxVisual.Foundation.Numerics</x:v>
      </x:c>
      <x:c r="I44" s="82" t="str">
        <x:v>需核原方法签名/行为、状态、依赖及实例生命周期</x:v>
      </x:c>
      <x:c r="J44" s="82" t="str">
        <x:v>V7.8词法声明证据</x:v>
      </x:c>
      <x:c r="K44" s="82" t="str">
        <x:v>设计审查中/未执行实测</x:v>
      </x:c>
    </x:row>
    <x:row r="45">
      <x:c r="A45" s="82" t="str">
        <x:v>F04.Polynomial</x:v>
      </x:c>
      <x:c r="B45" s="82" t="str">
        <x:v>F04</x:v>
      </x:c>
      <x:c r="C45" s="82" t="str">
        <x:v>CxVisual.Foundation.Numerics</x:v>
      </x:c>
      <x:c r="D45" s="82" t="str">
        <x:v>Polynomial</x:v>
      </x:c>
      <x:c r="E45" s="82" t="n">
        <x:v>0</x:v>
      </x:c>
      <x:c r="F45" s="82" t="str">
        <x:v>—</x:v>
      </x:c>
      <x:c r="G45" s="82" t="str">
        <x:v>尚未逐项裁决</x:v>
      </x:c>
      <x:c r="H45" s="82" t="str">
        <x:v>CxVisual.Foundation.Numerics</x:v>
      </x:c>
      <x:c r="I45" s="82" t="str">
        <x:v>需核原方法签名/行为、状态、依赖及实例生命周期</x:v>
      </x:c>
      <x:c r="J45" s="82" t="str">
        <x:v>V7.8词法声明证据</x:v>
      </x:c>
      <x:c r="K45" s="82" t="str">
        <x:v>设计审查中/未执行实测</x:v>
      </x:c>
    </x:row>
    <x:row r="46">
      <x:c r="A46" s="82" t="str">
        <x:v>F04.RandomSampling</x:v>
      </x:c>
      <x:c r="B46" s="82" t="str">
        <x:v>F04</x:v>
      </x:c>
      <x:c r="C46" s="82" t="str">
        <x:v>CxVisual.Foundation.Numerics</x:v>
      </x:c>
      <x:c r="D46" s="82" t="str">
        <x:v>RandomSampling</x:v>
      </x:c>
      <x:c r="E46" s="82" t="n">
        <x:v>0</x:v>
      </x:c>
      <x:c r="F46" s="82" t="str">
        <x:v>—</x:v>
      </x:c>
      <x:c r="G46" s="82" t="str">
        <x:v>尚未逐项裁决</x:v>
      </x:c>
      <x:c r="H46" s="82" t="str">
        <x:v>CxVisual.Foundation.Numerics</x:v>
      </x:c>
      <x:c r="I46" s="82" t="str">
        <x:v>需核原方法签名/行为、状态、依赖及实例生命周期</x:v>
      </x:c>
      <x:c r="J46" s="82" t="str">
        <x:v>V7.8词法声明证据</x:v>
      </x:c>
      <x:c r="K46" s="82" t="str">
        <x:v>设计审查中/未执行实测</x:v>
      </x:c>
    </x:row>
    <x:row r="47">
      <x:c r="A47" s="82" t="str">
        <x:v>F04.RobustEstimation</x:v>
      </x:c>
      <x:c r="B47" s="82" t="str">
        <x:v>F04</x:v>
      </x:c>
      <x:c r="C47" s="82" t="str">
        <x:v>CxVisual.Foundation.Numerics</x:v>
      </x:c>
      <x:c r="D47" s="82" t="str">
        <x:v>RobustEstimation</x:v>
      </x:c>
      <x:c r="E47" s="82" t="n">
        <x:v>0</x:v>
      </x:c>
      <x:c r="F47" s="82" t="str">
        <x:v>—</x:v>
      </x:c>
      <x:c r="G47" s="82" t="str">
        <x:v>尚未逐项裁决</x:v>
      </x:c>
      <x:c r="H47" s="82" t="str">
        <x:v>CxVisual.Foundation.Numerics</x:v>
      </x:c>
      <x:c r="I47" s="82" t="str">
        <x:v>需核原方法签名/行为、状态、依赖及实例生命周期</x:v>
      </x:c>
      <x:c r="J47" s="82" t="str">
        <x:v>V7.8词法声明证据</x:v>
      </x:c>
      <x:c r="K47" s="82" t="str">
        <x:v>设计审查中/未执行实测</x:v>
      </x:c>
    </x:row>
    <x:row r="48">
      <x:c r="A48" s="82" t="str">
        <x:v>F04.RootFinding</x:v>
      </x:c>
      <x:c r="B48" s="82" t="str">
        <x:v>F04</x:v>
      </x:c>
      <x:c r="C48" s="82" t="str">
        <x:v>CxVisual.Foundation.Numerics</x:v>
      </x:c>
      <x:c r="D48" s="82" t="str">
        <x:v>RootFinding</x:v>
      </x:c>
      <x:c r="E48" s="82" t="n">
        <x:v>0</x:v>
      </x:c>
      <x:c r="F48" s="82" t="str">
        <x:v>—</x:v>
      </x:c>
      <x:c r="G48" s="82" t="str">
        <x:v>尚未逐项裁决</x:v>
      </x:c>
      <x:c r="H48" s="82" t="str">
        <x:v>CxVisual.Foundation.Numerics</x:v>
      </x:c>
      <x:c r="I48" s="82" t="str">
        <x:v>需核原方法签名/行为、状态、依赖及实例生命周期</x:v>
      </x:c>
      <x:c r="J48" s="82" t="str">
        <x:v>V7.8词法声明证据</x:v>
      </x:c>
      <x:c r="K48" s="82" t="str">
        <x:v>设计审查中/未执行实测</x:v>
      </x:c>
    </x:row>
    <x:row r="49">
      <x:c r="A49" s="82" t="str">
        <x:v>F05.Arc2</x:v>
      </x:c>
      <x:c r="B49" s="82" t="str">
        <x:v>F05</x:v>
      </x:c>
      <x:c r="C49" s="82" t="str">
        <x:v>CxVisual.Foundation.Geometry</x:v>
      </x:c>
      <x:c r="D49" s="82" t="str">
        <x:v>Arc2</x:v>
      </x:c>
      <x:c r="E49" s="82" t="n">
        <x:v>0</x:v>
      </x:c>
      <x:c r="F49" s="82" t="str">
        <x:v>—</x:v>
      </x:c>
      <x:c r="G49" s="82" t="str">
        <x:v>尚未逐项裁决</x:v>
      </x:c>
      <x:c r="H49" s="82" t="str">
        <x:v>CxVisual.Foundation.Geometry</x:v>
      </x:c>
      <x:c r="I49" s="82" t="str">
        <x:v>需核原方法签名/行为、状态、依赖及实例生命周期</x:v>
      </x:c>
      <x:c r="J49" s="82" t="str">
        <x:v>V7.8词法声明证据</x:v>
      </x:c>
      <x:c r="K49" s="82" t="str">
        <x:v>设计审查中/未执行实测</x:v>
      </x:c>
    </x:row>
    <x:row r="50">
      <x:c r="A50" s="82" t="str">
        <x:v>F05.BezierCurve2</x:v>
      </x:c>
      <x:c r="B50" s="82" t="str">
        <x:v>F05</x:v>
      </x:c>
      <x:c r="C50" s="82" t="str">
        <x:v>CxVisual.Foundation.Geometry</x:v>
      </x:c>
      <x:c r="D50" s="82" t="str">
        <x:v>BezierCurve2</x:v>
      </x:c>
      <x:c r="E50" s="82" t="n">
        <x:v>0</x:v>
      </x:c>
      <x:c r="F50" s="82" t="str">
        <x:v>—</x:v>
      </x:c>
      <x:c r="G50" s="82" t="str">
        <x:v>尚未逐项裁决</x:v>
      </x:c>
      <x:c r="H50" s="82" t="str">
        <x:v>CxVisual.Foundation.Geometry</x:v>
      </x:c>
      <x:c r="I50" s="82" t="str">
        <x:v>需核原方法签名/行为、状态、依赖及实例生命周期</x:v>
      </x:c>
      <x:c r="J50" s="82" t="str">
        <x:v>V7.8词法声明证据</x:v>
      </x:c>
      <x:c r="K50" s="82" t="str">
        <x:v>设计审查中/未执行实测</x:v>
      </x:c>
    </x:row>
    <x:row r="51">
      <x:c r="A51" s="82" t="str">
        <x:v>F05.Circle2</x:v>
      </x:c>
      <x:c r="B51" s="82" t="str">
        <x:v>F05</x:v>
      </x:c>
      <x:c r="C51" s="82" t="str">
        <x:v>CxVisual.Foundation.Geometry</x:v>
      </x:c>
      <x:c r="D51" s="82" t="str">
        <x:v>Circle2</x:v>
      </x:c>
      <x:c r="E51" s="82" t="n">
        <x:v>0</x:v>
      </x:c>
      <x:c r="F51" s="82" t="str">
        <x:v>—</x:v>
      </x:c>
      <x:c r="G51" s="82" t="str">
        <x:v>尚未逐项裁决</x:v>
      </x:c>
      <x:c r="H51" s="82" t="str">
        <x:v>CxVisual.Foundation.Geometry</x:v>
      </x:c>
      <x:c r="I51" s="82" t="str">
        <x:v>需核原方法签名/行为、状态、依赖及实例生命周期</x:v>
      </x:c>
      <x:c r="J51" s="82" t="str">
        <x:v>V7.8词法声明证据</x:v>
      </x:c>
      <x:c r="K51" s="82" t="str">
        <x:v>设计审查中/未执行实测</x:v>
      </x:c>
    </x:row>
    <x:row r="52">
      <x:c r="A52" s="82" t="str">
        <x:v>F05.Ellipse2</x:v>
      </x:c>
      <x:c r="B52" s="82" t="str">
        <x:v>F05</x:v>
      </x:c>
      <x:c r="C52" s="82" t="str">
        <x:v>CxVisual.Foundation.Geometry</x:v>
      </x:c>
      <x:c r="D52" s="82" t="str">
        <x:v>Ellipse2</x:v>
      </x:c>
      <x:c r="E52" s="82" t="n">
        <x:v>0</x:v>
      </x:c>
      <x:c r="F52" s="82" t="str">
        <x:v>—</x:v>
      </x:c>
      <x:c r="G52" s="82" t="str">
        <x:v>尚未逐项裁决</x:v>
      </x:c>
      <x:c r="H52" s="82" t="str">
        <x:v>CxVisual.Foundation.Geometry</x:v>
      </x:c>
      <x:c r="I52" s="82" t="str">
        <x:v>需核原方法签名/行为、状态、依赖及实例生命周期</x:v>
      </x:c>
      <x:c r="J52" s="82" t="str">
        <x:v>V7.8词法声明证据</x:v>
      </x:c>
      <x:c r="K52" s="82" t="str">
        <x:v>设计审查中/未执行实测</x:v>
      </x:c>
    </x:row>
    <x:row r="53">
      <x:c r="A53" s="82" t="str">
        <x:v>F05.Geometry2DUtil</x:v>
      </x:c>
      <x:c r="B53" s="82" t="str">
        <x:v>F05</x:v>
      </x:c>
      <x:c r="C53" s="82" t="str">
        <x:v>CxVisual.Foundation.Geometry</x:v>
      </x:c>
      <x:c r="D53" s="82" t="str">
        <x:v>Geometry2DUtil</x:v>
      </x:c>
      <x:c r="E53" s="82" t="n">
        <x:v>0</x:v>
      </x:c>
      <x:c r="F53" s="82" t="str">
        <x:v>—</x:v>
      </x:c>
      <x:c r="G53" s="82" t="str">
        <x:v>尚未逐项裁决</x:v>
      </x:c>
      <x:c r="H53" s="82" t="str">
        <x:v>CxVisual.Foundation.Geometry</x:v>
      </x:c>
      <x:c r="I53" s="82" t="str">
        <x:v>需核原方法签名/行为、状态、依赖及实例生命周期</x:v>
      </x:c>
      <x:c r="J53" s="82" t="str">
        <x:v>V7.8词法声明证据</x:v>
      </x:c>
      <x:c r="K53" s="82" t="str">
        <x:v>设计审查中/未执行实测</x:v>
      </x:c>
    </x:row>
    <x:row r="54">
      <x:c r="A54" s="82" t="str">
        <x:v>F05.Line2</x:v>
      </x:c>
      <x:c r="B54" s="82" t="str">
        <x:v>F05</x:v>
      </x:c>
      <x:c r="C54" s="82" t="str">
        <x:v>CxVisual.Foundation.Geometry</x:v>
      </x:c>
      <x:c r="D54" s="82" t="str">
        <x:v>Line2</x:v>
      </x:c>
      <x:c r="E54" s="82" t="n">
        <x:v>0</x:v>
      </x:c>
      <x:c r="F54" s="82" t="str">
        <x:v>—</x:v>
      </x:c>
      <x:c r="G54" s="82" t="str">
        <x:v>尚未逐项裁决</x:v>
      </x:c>
      <x:c r="H54" s="82" t="str">
        <x:v>CxVisual.Foundation.Geometry</x:v>
      </x:c>
      <x:c r="I54" s="82" t="str">
        <x:v>需核原方法签名/行为、状态、依赖及实例生命周期</x:v>
      </x:c>
      <x:c r="J54" s="82" t="str">
        <x:v>V7.8词法声明证据</x:v>
      </x:c>
      <x:c r="K54" s="82" t="str">
        <x:v>设计审查中/未执行实测</x:v>
      </x:c>
    </x:row>
    <x:row r="55">
      <x:c r="A55" s="82" t="str">
        <x:v>F05.Point2</x:v>
      </x:c>
      <x:c r="B55" s="82" t="str">
        <x:v>F05</x:v>
      </x:c>
      <x:c r="C55" s="82" t="str">
        <x:v>CxVisual.Foundation.Geometry</x:v>
      </x:c>
      <x:c r="D55" s="82" t="str">
        <x:v>Point2</x:v>
      </x:c>
      <x:c r="E55" s="82" t="n">
        <x:v>0</x:v>
      </x:c>
      <x:c r="F55" s="82" t="str">
        <x:v>—</x:v>
      </x:c>
      <x:c r="G55" s="82" t="str">
        <x:v>尚未逐项裁决</x:v>
      </x:c>
      <x:c r="H55" s="82" t="str">
        <x:v>CxVisual.Foundation.Geometry</x:v>
      </x:c>
      <x:c r="I55" s="82" t="str">
        <x:v>需核原方法签名/行为、状态、依赖及实例生命周期</x:v>
      </x:c>
      <x:c r="J55" s="82" t="str">
        <x:v>V7.8词法声明证据</x:v>
      </x:c>
      <x:c r="K55" s="82" t="str">
        <x:v>设计审查中/未执行实测</x:v>
      </x:c>
    </x:row>
    <x:row r="56">
      <x:c r="A56" s="82" t="str">
        <x:v>F05.Polygon2</x:v>
      </x:c>
      <x:c r="B56" s="82" t="str">
        <x:v>F05</x:v>
      </x:c>
      <x:c r="C56" s="82" t="str">
        <x:v>CxVisual.Foundation.Geometry</x:v>
      </x:c>
      <x:c r="D56" s="82" t="str">
        <x:v>Polygon2</x:v>
      </x:c>
      <x:c r="E56" s="82" t="n">
        <x:v>0</x:v>
      </x:c>
      <x:c r="F56" s="82" t="str">
        <x:v>—</x:v>
      </x:c>
      <x:c r="G56" s="82" t="str">
        <x:v>尚未逐项裁决</x:v>
      </x:c>
      <x:c r="H56" s="82" t="str">
        <x:v>CxVisual.Foundation.Geometry</x:v>
      </x:c>
      <x:c r="I56" s="82" t="str">
        <x:v>需核原方法签名/行为、状态、依赖及实例生命周期</x:v>
      </x:c>
      <x:c r="J56" s="82" t="str">
        <x:v>V7.8词法声明证据</x:v>
      </x:c>
      <x:c r="K56" s="82" t="str">
        <x:v>设计审查中/未执行实测</x:v>
      </x:c>
    </x:row>
    <x:row r="57">
      <x:c r="A57" s="82" t="str">
        <x:v>F05.Polyline2</x:v>
      </x:c>
      <x:c r="B57" s="82" t="str">
        <x:v>F05</x:v>
      </x:c>
      <x:c r="C57" s="82" t="str">
        <x:v>CxVisual.Foundation.Geometry</x:v>
      </x:c>
      <x:c r="D57" s="82" t="str">
        <x:v>Polyline2</x:v>
      </x:c>
      <x:c r="E57" s="82" t="n">
        <x:v>0</x:v>
      </x:c>
      <x:c r="F57" s="82" t="str">
        <x:v>—</x:v>
      </x:c>
      <x:c r="G57" s="82" t="str">
        <x:v>尚未逐项裁决</x:v>
      </x:c>
      <x:c r="H57" s="82" t="str">
        <x:v>CxVisual.Foundation.Geometry</x:v>
      </x:c>
      <x:c r="I57" s="82" t="str">
        <x:v>需核原方法签名/行为、状态、依赖及实例生命周期</x:v>
      </x:c>
      <x:c r="J57" s="82" t="str">
        <x:v>V7.8词法声明证据</x:v>
      </x:c>
      <x:c r="K57" s="82" t="str">
        <x:v>设计审查中/未执行实测</x:v>
      </x:c>
    </x:row>
    <x:row r="58">
      <x:c r="A58" s="82" t="str">
        <x:v>F05.Ray2</x:v>
      </x:c>
      <x:c r="B58" s="82" t="str">
        <x:v>F05</x:v>
      </x:c>
      <x:c r="C58" s="82" t="str">
        <x:v>CxVisual.Foundation.Geometry</x:v>
      </x:c>
      <x:c r="D58" s="82" t="str">
        <x:v>Ray2</x:v>
      </x:c>
      <x:c r="E58" s="82" t="n">
        <x:v>0</x:v>
      </x:c>
      <x:c r="F58" s="82" t="str">
        <x:v>—</x:v>
      </x:c>
      <x:c r="G58" s="82" t="str">
        <x:v>尚未逐项裁决</x:v>
      </x:c>
      <x:c r="H58" s="82" t="str">
        <x:v>CxVisual.Foundation.Geometry</x:v>
      </x:c>
      <x:c r="I58" s="82" t="str">
        <x:v>需核原方法签名/行为、状态、依赖及实例生命周期</x:v>
      </x:c>
      <x:c r="J58" s="82" t="str">
        <x:v>V7.8词法声明证据</x:v>
      </x:c>
      <x:c r="K58" s="82" t="str">
        <x:v>设计审查中/未执行实测</x:v>
      </x:c>
    </x:row>
    <x:row r="59">
      <x:c r="A59" s="82" t="str">
        <x:v>F05.Rect2</x:v>
      </x:c>
      <x:c r="B59" s="82" t="str">
        <x:v>F05</x:v>
      </x:c>
      <x:c r="C59" s="82" t="str">
        <x:v>CxVisual.Foundation.Geometry</x:v>
      </x:c>
      <x:c r="D59" s="82" t="str">
        <x:v>Rect2</x:v>
      </x:c>
      <x:c r="E59" s="82" t="n">
        <x:v>0</x:v>
      </x:c>
      <x:c r="F59" s="82" t="str">
        <x:v>—</x:v>
      </x:c>
      <x:c r="G59" s="82" t="str">
        <x:v>尚未逐项裁决</x:v>
      </x:c>
      <x:c r="H59" s="82" t="str">
        <x:v>CxVisual.Foundation.Geometry</x:v>
      </x:c>
      <x:c r="I59" s="82" t="str">
        <x:v>需核原方法签名/行为、状态、依赖及实例生命周期</x:v>
      </x:c>
      <x:c r="J59" s="82" t="str">
        <x:v>V7.8词法声明证据</x:v>
      </x:c>
      <x:c r="K59" s="82" t="str">
        <x:v>设计审查中/未执行实测</x:v>
      </x:c>
    </x:row>
    <x:row r="60">
      <x:c r="A60" s="82" t="str">
        <x:v>F05.Segment2</x:v>
      </x:c>
      <x:c r="B60" s="82" t="str">
        <x:v>F05</x:v>
      </x:c>
      <x:c r="C60" s="82" t="str">
        <x:v>CxVisual.Foundation.Geometry</x:v>
      </x:c>
      <x:c r="D60" s="82" t="str">
        <x:v>Segment2</x:v>
      </x:c>
      <x:c r="E60" s="82" t="n">
        <x:v>0</x:v>
      </x:c>
      <x:c r="F60" s="82" t="str">
        <x:v>—</x:v>
      </x:c>
      <x:c r="G60" s="82" t="str">
        <x:v>尚未逐项裁决</x:v>
      </x:c>
      <x:c r="H60" s="82" t="str">
        <x:v>CxVisual.Foundation.Geometry</x:v>
      </x:c>
      <x:c r="I60" s="82" t="str">
        <x:v>需核原方法签名/行为、状态、依赖及实例生命周期</x:v>
      </x:c>
      <x:c r="J60" s="82" t="str">
        <x:v>V7.8词法声明证据</x:v>
      </x:c>
      <x:c r="K60" s="82" t="str">
        <x:v>设计审查中/未执行实测</x:v>
      </x:c>
    </x:row>
    <x:row r="61">
      <x:c r="A61" s="82" t="str">
        <x:v>F06.Aabb3</x:v>
      </x:c>
      <x:c r="B61" s="82" t="str">
        <x:v>F06</x:v>
      </x:c>
      <x:c r="C61" s="82" t="str">
        <x:v>CxVisual.Foundation.Geometry</x:v>
      </x:c>
      <x:c r="D61" s="82" t="str">
        <x:v>Aabb3</x:v>
      </x:c>
      <x:c r="E61" s="82" t="n">
        <x:v>0</x:v>
      </x:c>
      <x:c r="F61" s="82" t="str">
        <x:v>—</x:v>
      </x:c>
      <x:c r="G61" s="82" t="str">
        <x:v>尚未逐项裁决</x:v>
      </x:c>
      <x:c r="H61" s="82" t="str">
        <x:v>CxVisual.Foundation.Geometry</x:v>
      </x:c>
      <x:c r="I61" s="82" t="str">
        <x:v>需核原方法签名/行为、状态、依赖及实例生命周期</x:v>
      </x:c>
      <x:c r="J61" s="82" t="str">
        <x:v>V7.8词法声明证据</x:v>
      </x:c>
      <x:c r="K61" s="82" t="str">
        <x:v>设计审查中/未执行实测</x:v>
      </x:c>
    </x:row>
    <x:row r="62">
      <x:c r="A62" s="82" t="str">
        <x:v>F06.Cone3</x:v>
      </x:c>
      <x:c r="B62" s="82" t="str">
        <x:v>F06</x:v>
      </x:c>
      <x:c r="C62" s="82" t="str">
        <x:v>CxVisual.Foundation.Geometry</x:v>
      </x:c>
      <x:c r="D62" s="82" t="str">
        <x:v>Cone3</x:v>
      </x:c>
      <x:c r="E62" s="82" t="n">
        <x:v>0</x:v>
      </x:c>
      <x:c r="F62" s="82" t="str">
        <x:v>—</x:v>
      </x:c>
      <x:c r="G62" s="82" t="str">
        <x:v>尚未逐项裁决</x:v>
      </x:c>
      <x:c r="H62" s="82" t="str">
        <x:v>CxVisual.Foundation.Geometry</x:v>
      </x:c>
      <x:c r="I62" s="82" t="str">
        <x:v>需核原方法签名/行为、状态、依赖及实例生命周期</x:v>
      </x:c>
      <x:c r="J62" s="82" t="str">
        <x:v>V7.8词法声明证据</x:v>
      </x:c>
      <x:c r="K62" s="82" t="str">
        <x:v>设计审查中/未执行实测</x:v>
      </x:c>
    </x:row>
    <x:row r="63">
      <x:c r="A63" s="82" t="str">
        <x:v>F06.Cylinder3</x:v>
      </x:c>
      <x:c r="B63" s="82" t="str">
        <x:v>F06</x:v>
      </x:c>
      <x:c r="C63" s="82" t="str">
        <x:v>CxVisual.Foundation.Geometry</x:v>
      </x:c>
      <x:c r="D63" s="82" t="str">
        <x:v>Cylinder3</x:v>
      </x:c>
      <x:c r="E63" s="82" t="n">
        <x:v>0</x:v>
      </x:c>
      <x:c r="F63" s="82" t="str">
        <x:v>—</x:v>
      </x:c>
      <x:c r="G63" s="82" t="str">
        <x:v>尚未逐项裁决</x:v>
      </x:c>
      <x:c r="H63" s="82" t="str">
        <x:v>CxVisual.Foundation.Geometry</x:v>
      </x:c>
      <x:c r="I63" s="82" t="str">
        <x:v>需核原方法签名/行为、状态、依赖及实例生命周期</x:v>
      </x:c>
      <x:c r="J63" s="82" t="str">
        <x:v>V7.8词法声明证据</x:v>
      </x:c>
      <x:c r="K63" s="82" t="str">
        <x:v>设计审查中/未执行实测</x:v>
      </x:c>
    </x:row>
    <x:row r="64">
      <x:c r="A64" s="82" t="str">
        <x:v>F06.Geometry3DUtil</x:v>
      </x:c>
      <x:c r="B64" s="82" t="str">
        <x:v>F06</x:v>
      </x:c>
      <x:c r="C64" s="82" t="str">
        <x:v>CxVisual.Foundation.Geometry</x:v>
      </x:c>
      <x:c r="D64" s="82" t="str">
        <x:v>Geometry3DUtil</x:v>
      </x:c>
      <x:c r="E64" s="82" t="n">
        <x:v>0</x:v>
      </x:c>
      <x:c r="F64" s="82" t="str">
        <x:v>—</x:v>
      </x:c>
      <x:c r="G64" s="82" t="str">
        <x:v>尚未逐项裁决</x:v>
      </x:c>
      <x:c r="H64" s="82" t="str">
        <x:v>CxVisual.Foundation.Geometry</x:v>
      </x:c>
      <x:c r="I64" s="82" t="str">
        <x:v>需核原方法签名/行为、状态、依赖及实例生命周期</x:v>
      </x:c>
      <x:c r="J64" s="82" t="str">
        <x:v>V7.8词法声明证据</x:v>
      </x:c>
      <x:c r="K64" s="82" t="str">
        <x:v>设计审查中/未执行实测</x:v>
      </x:c>
    </x:row>
    <x:row r="65">
      <x:c r="A65" s="82" t="str">
        <x:v>F06.Line3</x:v>
      </x:c>
      <x:c r="B65" s="82" t="str">
        <x:v>F06</x:v>
      </x:c>
      <x:c r="C65" s="82" t="str">
        <x:v>CxVisual.Foundation.Geometry</x:v>
      </x:c>
      <x:c r="D65" s="82" t="str">
        <x:v>Line3</x:v>
      </x:c>
      <x:c r="E65" s="82" t="n">
        <x:v>0</x:v>
      </x:c>
      <x:c r="F65" s="82" t="str">
        <x:v>—</x:v>
      </x:c>
      <x:c r="G65" s="82" t="str">
        <x:v>尚未逐项裁决</x:v>
      </x:c>
      <x:c r="H65" s="82" t="str">
        <x:v>CxVisual.Foundation.Geometry</x:v>
      </x:c>
      <x:c r="I65" s="82" t="str">
        <x:v>需核原方法签名/行为、状态、依赖及实例生命周期</x:v>
      </x:c>
      <x:c r="J65" s="82" t="str">
        <x:v>V7.8词法声明证据</x:v>
      </x:c>
      <x:c r="K65" s="82" t="str">
        <x:v>设计审查中/未执行实测</x:v>
      </x:c>
    </x:row>
    <x:row r="66">
      <x:c r="A66" s="82" t="str">
        <x:v>F06.MeshTopology</x:v>
      </x:c>
      <x:c r="B66" s="82" t="str">
        <x:v>F06</x:v>
      </x:c>
      <x:c r="C66" s="82" t="str">
        <x:v>CxVisual.Foundation.Geometry</x:v>
      </x:c>
      <x:c r="D66" s="82" t="str">
        <x:v>MeshTopology</x:v>
      </x:c>
      <x:c r="E66" s="82" t="n">
        <x:v>0</x:v>
      </x:c>
      <x:c r="F66" s="82" t="str">
        <x:v>—</x:v>
      </x:c>
      <x:c r="G66" s="82" t="str">
        <x:v>尚未逐项裁决</x:v>
      </x:c>
      <x:c r="H66" s="82" t="str">
        <x:v>CxVisual.Foundation.Geometry</x:v>
      </x:c>
      <x:c r="I66" s="82" t="str">
        <x:v>需核原方法签名/行为、状态、依赖及实例生命周期</x:v>
      </x:c>
      <x:c r="J66" s="82" t="str">
        <x:v>V7.8词法声明证据</x:v>
      </x:c>
      <x:c r="K66" s="82" t="str">
        <x:v>设计审查中/未执行实测</x:v>
      </x:c>
    </x:row>
    <x:row r="67">
      <x:c r="A67" s="82" t="str">
        <x:v>F06.Obb3</x:v>
      </x:c>
      <x:c r="B67" s="82" t="str">
        <x:v>F06</x:v>
      </x:c>
      <x:c r="C67" s="82" t="str">
        <x:v>CxVisual.Foundation.Geometry</x:v>
      </x:c>
      <x:c r="D67" s="82" t="str">
        <x:v>Obb3</x:v>
      </x:c>
      <x:c r="E67" s="82" t="n">
        <x:v>0</x:v>
      </x:c>
      <x:c r="F67" s="82" t="str">
        <x:v>—</x:v>
      </x:c>
      <x:c r="G67" s="82" t="str">
        <x:v>尚未逐项裁决</x:v>
      </x:c>
      <x:c r="H67" s="82" t="str">
        <x:v>CxVisual.Foundation.Geometry</x:v>
      </x:c>
      <x:c r="I67" s="82" t="str">
        <x:v>需核原方法签名/行为、状态、依赖及实例生命周期</x:v>
      </x:c>
      <x:c r="J67" s="82" t="str">
        <x:v>V7.8词法声明证据</x:v>
      </x:c>
      <x:c r="K67" s="82" t="str">
        <x:v>设计审查中/未执行实测</x:v>
      </x:c>
    </x:row>
    <x:row r="68">
      <x:c r="A68" s="82" t="str">
        <x:v>F06.Plane3</x:v>
      </x:c>
      <x:c r="B68" s="82" t="str">
        <x:v>F06</x:v>
      </x:c>
      <x:c r="C68" s="82" t="str">
        <x:v>CxVisual.Foundation.Geometry</x:v>
      </x:c>
      <x:c r="D68" s="82" t="str">
        <x:v>Plane3</x:v>
      </x:c>
      <x:c r="E68" s="82" t="n">
        <x:v>0</x:v>
      </x:c>
      <x:c r="F68" s="82" t="str">
        <x:v>—</x:v>
      </x:c>
      <x:c r="G68" s="82" t="str">
        <x:v>尚未逐项裁决</x:v>
      </x:c>
      <x:c r="H68" s="82" t="str">
        <x:v>CxVisual.Foundation.Geometry</x:v>
      </x:c>
      <x:c r="I68" s="82" t="str">
        <x:v>需核原方法签名/行为、状态、依赖及实例生命周期</x:v>
      </x:c>
      <x:c r="J68" s="82" t="str">
        <x:v>V7.8词法声明证据</x:v>
      </x:c>
      <x:c r="K68" s="82" t="str">
        <x:v>设计审查中/未执行实测</x:v>
      </x:c>
    </x:row>
    <x:row r="69">
      <x:c r="A69" s="82" t="str">
        <x:v>F06.Point3</x:v>
      </x:c>
      <x:c r="B69" s="82" t="str">
        <x:v>F06</x:v>
      </x:c>
      <x:c r="C69" s="82" t="str">
        <x:v>CxVisual.Foundation.Geometry</x:v>
      </x:c>
      <x:c r="D69" s="82" t="str">
        <x:v>Point3</x:v>
      </x:c>
      <x:c r="E69" s="82" t="n">
        <x:v>0</x:v>
      </x:c>
      <x:c r="F69" s="82" t="str">
        <x:v>—</x:v>
      </x:c>
      <x:c r="G69" s="82" t="str">
        <x:v>尚未逐项裁决</x:v>
      </x:c>
      <x:c r="H69" s="82" t="str">
        <x:v>CxVisual.Foundation.Geometry</x:v>
      </x:c>
      <x:c r="I69" s="82" t="str">
        <x:v>需核原方法签名/行为、状态、依赖及实例生命周期</x:v>
      </x:c>
      <x:c r="J69" s="82" t="str">
        <x:v>V7.8词法声明证据</x:v>
      </x:c>
      <x:c r="K69" s="82" t="str">
        <x:v>设计审查中/未执行实测</x:v>
      </x:c>
    </x:row>
    <x:row r="70">
      <x:c r="A70" s="82" t="str">
        <x:v>F06.PointSet3</x:v>
      </x:c>
      <x:c r="B70" s="82" t="str">
        <x:v>F06</x:v>
      </x:c>
      <x:c r="C70" s="82" t="str">
        <x:v>CxVisual.Foundation.Geometry</x:v>
      </x:c>
      <x:c r="D70" s="82" t="str">
        <x:v>PointSet3</x:v>
      </x:c>
      <x:c r="E70" s="82" t="n">
        <x:v>0</x:v>
      </x:c>
      <x:c r="F70" s="82" t="str">
        <x:v>—</x:v>
      </x:c>
      <x:c r="G70" s="82" t="str">
        <x:v>尚未逐项裁决</x:v>
      </x:c>
      <x:c r="H70" s="82" t="str">
        <x:v>CxVisual.Foundation.Geometry</x:v>
      </x:c>
      <x:c r="I70" s="82" t="str">
        <x:v>需核原方法签名/行为、状态、依赖及实例生命周期</x:v>
      </x:c>
      <x:c r="J70" s="82" t="str">
        <x:v>V7.8词法声明证据</x:v>
      </x:c>
      <x:c r="K70" s="82" t="str">
        <x:v>设计审查中/未执行实测</x:v>
      </x:c>
    </x:row>
    <x:row r="71">
      <x:c r="A71" s="82" t="str">
        <x:v>F06.Sphere3</x:v>
      </x:c>
      <x:c r="B71" s="82" t="str">
        <x:v>F06</x:v>
      </x:c>
      <x:c r="C71" s="82" t="str">
        <x:v>CxVisual.Foundation.Geometry</x:v>
      </x:c>
      <x:c r="D71" s="82" t="str">
        <x:v>Sphere3</x:v>
      </x:c>
      <x:c r="E71" s="82" t="n">
        <x:v>0</x:v>
      </x:c>
      <x:c r="F71" s="82" t="str">
        <x:v>—</x:v>
      </x:c>
      <x:c r="G71" s="82" t="str">
        <x:v>尚未逐项裁决</x:v>
      </x:c>
      <x:c r="H71" s="82" t="str">
        <x:v>CxVisual.Foundation.Geometry</x:v>
      </x:c>
      <x:c r="I71" s="82" t="str">
        <x:v>需核原方法签名/行为、状态、依赖及实例生命周期</x:v>
      </x:c>
      <x:c r="J71" s="82" t="str">
        <x:v>V7.8词法声明证据</x:v>
      </x:c>
      <x:c r="K71" s="82" t="str">
        <x:v>设计审查中/未执行实测</x:v>
      </x:c>
    </x:row>
    <x:row r="72">
      <x:c r="A72" s="82" t="str">
        <x:v>F06.Triangle3</x:v>
      </x:c>
      <x:c r="B72" s="82" t="str">
        <x:v>F06</x:v>
      </x:c>
      <x:c r="C72" s="82" t="str">
        <x:v>CxVisual.Foundation.Geometry</x:v>
      </x:c>
      <x:c r="D72" s="82" t="str">
        <x:v>Triangle3</x:v>
      </x:c>
      <x:c r="E72" s="82" t="n">
        <x:v>0</x:v>
      </x:c>
      <x:c r="F72" s="82" t="str">
        <x:v>—</x:v>
      </x:c>
      <x:c r="G72" s="82" t="str">
        <x:v>尚未逐项裁决</x:v>
      </x:c>
      <x:c r="H72" s="82" t="str">
        <x:v>CxVisual.Foundation.Geometry</x:v>
      </x:c>
      <x:c r="I72" s="82" t="str">
        <x:v>需核原方法签名/行为、状态、依赖及实例生命周期</x:v>
      </x:c>
      <x:c r="J72" s="82" t="str">
        <x:v>V7.8词法声明证据</x:v>
      </x:c>
      <x:c r="K72" s="82" t="str">
        <x:v>设计审查中/未执行实测</x:v>
      </x:c>
    </x:row>
    <x:row r="73">
      <x:c r="A73" s="82" t="str">
        <x:v>F07.AffineTransform2D</x:v>
      </x:c>
      <x:c r="B73" s="82" t="str">
        <x:v>F07</x:v>
      </x:c>
      <x:c r="C73" s="82" t="str">
        <x:v>CxVisual.Foundation.Geometry</x:v>
      </x:c>
      <x:c r="D73" s="82" t="str">
        <x:v>AffineTransform2D</x:v>
      </x:c>
      <x:c r="E73" s="82" t="n">
        <x:v>0</x:v>
      </x:c>
      <x:c r="F73" s="82" t="str">
        <x:v>—</x:v>
      </x:c>
      <x:c r="G73" s="82" t="str">
        <x:v>尚未逐项裁决</x:v>
      </x:c>
      <x:c r="H73" s="82" t="str">
        <x:v>CxVisual.Foundation.Geometry</x:v>
      </x:c>
      <x:c r="I73" s="82" t="str">
        <x:v>需核原方法签名/行为、状态、依赖及实例生命周期</x:v>
      </x:c>
      <x:c r="J73" s="82" t="str">
        <x:v>V7.8词法声明证据</x:v>
      </x:c>
      <x:c r="K73" s="82" t="str">
        <x:v>设计审查中/未执行实测</x:v>
      </x:c>
    </x:row>
    <x:row r="74">
      <x:c r="A74" s="82" t="str">
        <x:v>F07.AffineTransform3D</x:v>
      </x:c>
      <x:c r="B74" s="82" t="str">
        <x:v>F07</x:v>
      </x:c>
      <x:c r="C74" s="82" t="str">
        <x:v>CxVisual.Foundation.Geometry</x:v>
      </x:c>
      <x:c r="D74" s="82" t="str">
        <x:v>AffineTransform3D</x:v>
      </x:c>
      <x:c r="E74" s="82" t="n">
        <x:v>0</x:v>
      </x:c>
      <x:c r="F74" s="82" t="str">
        <x:v>—</x:v>
      </x:c>
      <x:c r="G74" s="82" t="str">
        <x:v>尚未逐项裁决</x:v>
      </x:c>
      <x:c r="H74" s="82" t="str">
        <x:v>CxVisual.Foundation.Geometry</x:v>
      </x:c>
      <x:c r="I74" s="82" t="str">
        <x:v>需核原方法签名/行为、状态、依赖及实例生命周期</x:v>
      </x:c>
      <x:c r="J74" s="82" t="str">
        <x:v>V7.8词法声明证据</x:v>
      </x:c>
      <x:c r="K74" s="82" t="str">
        <x:v>设计审查中/未执行实测</x:v>
      </x:c>
    </x:row>
    <x:row r="75">
      <x:c r="A75" s="82" t="str">
        <x:v>F07.CoordinateFrame2D</x:v>
      </x:c>
      <x:c r="B75" s="82" t="str">
        <x:v>F07</x:v>
      </x:c>
      <x:c r="C75" s="82" t="str">
        <x:v>CxVisual.Foundation.Geometry</x:v>
      </x:c>
      <x:c r="D75" s="82" t="str">
        <x:v>CoordinateFrame2D</x:v>
      </x:c>
      <x:c r="E75" s="82" t="n">
        <x:v>0</x:v>
      </x:c>
      <x:c r="F75" s="82" t="str">
        <x:v>—</x:v>
      </x:c>
      <x:c r="G75" s="82" t="str">
        <x:v>尚未逐项裁决</x:v>
      </x:c>
      <x:c r="H75" s="82" t="str">
        <x:v>CxVisual.Foundation.Geometry</x:v>
      </x:c>
      <x:c r="I75" s="82" t="str">
        <x:v>需核原方法签名/行为、状态、依赖及实例生命周期</x:v>
      </x:c>
      <x:c r="J75" s="82" t="str">
        <x:v>V7.8词法声明证据</x:v>
      </x:c>
      <x:c r="K75" s="82" t="str">
        <x:v>设计审查中/未执行实测</x:v>
      </x:c>
    </x:row>
    <x:row r="76">
      <x:c r="A76" s="82" t="str">
        <x:v>F07.CoordinateFrame3D</x:v>
      </x:c>
      <x:c r="B76" s="82" t="str">
        <x:v>F07</x:v>
      </x:c>
      <x:c r="C76" s="82" t="str">
        <x:v>CxVisual.Foundation.Geometry</x:v>
      </x:c>
      <x:c r="D76" s="82" t="str">
        <x:v>CoordinateFrame3D</x:v>
      </x:c>
      <x:c r="E76" s="82" t="n">
        <x:v>0</x:v>
      </x:c>
      <x:c r="F76" s="82" t="str">
        <x:v>—</x:v>
      </x:c>
      <x:c r="G76" s="82" t="str">
        <x:v>尚未逐项裁决</x:v>
      </x:c>
      <x:c r="H76" s="82" t="str">
        <x:v>CxVisual.Foundation.Geometry</x:v>
      </x:c>
      <x:c r="I76" s="82" t="str">
        <x:v>需核原方法签名/行为、状态、依赖及实例生命周期</x:v>
      </x:c>
      <x:c r="J76" s="82" t="str">
        <x:v>V7.8词法声明证据</x:v>
      </x:c>
      <x:c r="K76" s="82" t="str">
        <x:v>设计审查中/未执行实测</x:v>
      </x:c>
    </x:row>
    <x:row r="77">
      <x:c r="A77" s="82" t="str">
        <x:v>F07.CoordinateValidation</x:v>
      </x:c>
      <x:c r="B77" s="82" t="str">
        <x:v>F07</x:v>
      </x:c>
      <x:c r="C77" s="82" t="str">
        <x:v>CxVisual.Foundation.Geometry</x:v>
      </x:c>
      <x:c r="D77" s="82" t="str">
        <x:v>CoordinateValidation</x:v>
      </x:c>
      <x:c r="E77" s="82" t="n">
        <x:v>0</x:v>
      </x:c>
      <x:c r="F77" s="82" t="str">
        <x:v>—</x:v>
      </x:c>
      <x:c r="G77" s="82" t="str">
        <x:v>尚未逐项裁决</x:v>
      </x:c>
      <x:c r="H77" s="82" t="str">
        <x:v>CxVisual.Foundation.Geometry</x:v>
      </x:c>
      <x:c r="I77" s="82" t="str">
        <x:v>需核原方法签名/行为、状态、依赖及实例生命周期</x:v>
      </x:c>
      <x:c r="J77" s="82" t="str">
        <x:v>V7.8词法声明证据</x:v>
      </x:c>
      <x:c r="K77" s="82" t="str">
        <x:v>设计审查中/未执行实测</x:v>
      </x:c>
    </x:row>
    <x:row r="78">
      <x:c r="A78" s="82" t="str">
        <x:v>F07.Pose3D</x:v>
      </x:c>
      <x:c r="B78" s="82" t="str">
        <x:v>F07</x:v>
      </x:c>
      <x:c r="C78" s="82" t="str">
        <x:v>CxVisual.Foundation.Geometry</x:v>
      </x:c>
      <x:c r="D78" s="82" t="str">
        <x:v>Pose3D</x:v>
      </x:c>
      <x:c r="E78" s="82" t="n">
        <x:v>0</x:v>
      </x:c>
      <x:c r="F78" s="82" t="str">
        <x:v>—</x:v>
      </x:c>
      <x:c r="G78" s="82" t="str">
        <x:v>尚未逐项裁决</x:v>
      </x:c>
      <x:c r="H78" s="82" t="str">
        <x:v>CxVisual.Foundation.Geometry</x:v>
      </x:c>
      <x:c r="I78" s="82" t="str">
        <x:v>需核原方法签名/行为、状态、依赖及实例生命周期</x:v>
      </x:c>
      <x:c r="J78" s="82" t="str">
        <x:v>V7.8词法声明证据</x:v>
      </x:c>
      <x:c r="K78" s="82" t="str">
        <x:v>设计审查中/未执行实测</x:v>
      </x:c>
    </x:row>
    <x:row r="79">
      <x:c r="A79" s="82" t="str">
        <x:v>F07.ProjectiveTransform2D</x:v>
      </x:c>
      <x:c r="B79" s="82" t="str">
        <x:v>F07</x:v>
      </x:c>
      <x:c r="C79" s="82" t="str">
        <x:v>CxVisual.Foundation.Geometry</x:v>
      </x:c>
      <x:c r="D79" s="82" t="str">
        <x:v>ProjectiveTransform2D</x:v>
      </x:c>
      <x:c r="E79" s="82" t="n">
        <x:v>0</x:v>
      </x:c>
      <x:c r="F79" s="82" t="str">
        <x:v>—</x:v>
      </x:c>
      <x:c r="G79" s="82" t="str">
        <x:v>尚未逐项裁决</x:v>
      </x:c>
      <x:c r="H79" s="82" t="str">
        <x:v>CxVisual.Foundation.Geometry</x:v>
      </x:c>
      <x:c r="I79" s="82" t="str">
        <x:v>需核原方法签名/行为、状态、依赖及实例生命周期</x:v>
      </x:c>
      <x:c r="J79" s="82" t="str">
        <x:v>V7.8词法声明证据</x:v>
      </x:c>
      <x:c r="K79" s="82" t="str">
        <x:v>设计审查中/未执行实测</x:v>
      </x:c>
    </x:row>
    <x:row r="80">
      <x:c r="A80" s="82" t="str">
        <x:v>F07.RigidTransform2D</x:v>
      </x:c>
      <x:c r="B80" s="82" t="str">
        <x:v>F07</x:v>
      </x:c>
      <x:c r="C80" s="82" t="str">
        <x:v>CxVisual.Foundation.Geometry</x:v>
      </x:c>
      <x:c r="D80" s="82" t="str">
        <x:v>RigidTransform2D</x:v>
      </x:c>
      <x:c r="E80" s="82" t="n">
        <x:v>0</x:v>
      </x:c>
      <x:c r="F80" s="82" t="str">
        <x:v>—</x:v>
      </x:c>
      <x:c r="G80" s="82" t="str">
        <x:v>尚未逐项裁决</x:v>
      </x:c>
      <x:c r="H80" s="82" t="str">
        <x:v>CxVisual.Foundation.Geometry</x:v>
      </x:c>
      <x:c r="I80" s="82" t="str">
        <x:v>需核原方法签名/行为、状态、依赖及实例生命周期</x:v>
      </x:c>
      <x:c r="J80" s="82" t="str">
        <x:v>V7.8词法声明证据</x:v>
      </x:c>
      <x:c r="K80" s="82" t="str">
        <x:v>设计审查中/未执行实测</x:v>
      </x:c>
    </x:row>
    <x:row r="81">
      <x:c r="A81" s="82" t="str">
        <x:v>F07.RigidTransform3D</x:v>
      </x:c>
      <x:c r="B81" s="82" t="str">
        <x:v>F07</x:v>
      </x:c>
      <x:c r="C81" s="82" t="str">
        <x:v>CxVisual.Foundation.Geometry</x:v>
      </x:c>
      <x:c r="D81" s="82" t="str">
        <x:v>RigidTransform3D</x:v>
      </x:c>
      <x:c r="E81" s="82" t="n">
        <x:v>0</x:v>
      </x:c>
      <x:c r="F81" s="82" t="str">
        <x:v>—</x:v>
      </x:c>
      <x:c r="G81" s="82" t="str">
        <x:v>尚未逐项裁决</x:v>
      </x:c>
      <x:c r="H81" s="82" t="str">
        <x:v>CxVisual.Foundation.Geometry</x:v>
      </x:c>
      <x:c r="I81" s="82" t="str">
        <x:v>需核原方法签名/行为、状态、依赖及实例生命周期</x:v>
      </x:c>
      <x:c r="J81" s="82" t="str">
        <x:v>V7.8词法声明证据</x:v>
      </x:c>
      <x:c r="K81" s="82" t="str">
        <x:v>设计审查中/未执行实测</x:v>
      </x:c>
    </x:row>
    <x:row r="82">
      <x:c r="A82" s="82" t="str">
        <x:v>F07.SpatialTransformOps</x:v>
      </x:c>
      <x:c r="B82" s="82" t="str">
        <x:v>F07</x:v>
      </x:c>
      <x:c r="C82" s="82" t="str">
        <x:v>CxVisual.Foundation.Geometry</x:v>
      </x:c>
      <x:c r="D82" s="82" t="str">
        <x:v>SpatialTransformOps</x:v>
      </x:c>
      <x:c r="E82" s="82" t="n">
        <x:v>0</x:v>
      </x:c>
      <x:c r="F82" s="82" t="str">
        <x:v>—</x:v>
      </x:c>
      <x:c r="G82" s="82" t="str">
        <x:v>尚未逐项裁决</x:v>
      </x:c>
      <x:c r="H82" s="82" t="str">
        <x:v>CxVisual.Foundation.Geometry</x:v>
      </x:c>
      <x:c r="I82" s="82" t="str">
        <x:v>需核原方法签名/行为、状态、依赖及实例生命周期</x:v>
      </x:c>
      <x:c r="J82" s="82" t="str">
        <x:v>V7.8词法声明证据</x:v>
      </x:c>
      <x:c r="K82" s="82" t="str">
        <x:v>设计审查中/未执行实测</x:v>
      </x:c>
    </x:row>
    <x:row r="83">
      <x:c r="A83" s="82" t="str">
        <x:v>F07.TransformChain</x:v>
      </x:c>
      <x:c r="B83" s="82" t="str">
        <x:v>F07</x:v>
      </x:c>
      <x:c r="C83" s="82" t="str">
        <x:v>CxVisual.Foundation.Geometry</x:v>
      </x:c>
      <x:c r="D83" s="82" t="str">
        <x:v>TransformChain</x:v>
      </x:c>
      <x:c r="E83" s="82" t="n">
        <x:v>0</x:v>
      </x:c>
      <x:c r="F83" s="82" t="str">
        <x:v>—</x:v>
      </x:c>
      <x:c r="G83" s="82" t="str">
        <x:v>尚未逐项裁决</x:v>
      </x:c>
      <x:c r="H83" s="82" t="str">
        <x:v>CxVisual.Foundation.Geometry</x:v>
      </x:c>
      <x:c r="I83" s="82" t="str">
        <x:v>需核原方法签名/行为、状态、依赖及实例生命周期</x:v>
      </x:c>
      <x:c r="J83" s="82" t="str">
        <x:v>V7.8词法声明证据</x:v>
      </x:c>
      <x:c r="K83" s="82" t="str">
        <x:v>设计审查中/未执行实测</x:v>
      </x:c>
    </x:row>
    <x:row r="84">
      <x:c r="A84" s="82" t="str">
        <x:v>F08.ClockDriftEstimator</x:v>
      </x:c>
      <x:c r="B84" s="82" t="str">
        <x:v>F08</x:v>
      </x:c>
      <x:c r="C84" s="82" t="str">
        <x:v>CxVisual.Foundation.Core</x:v>
      </x:c>
      <x:c r="D84" s="82" t="str">
        <x:v>ClockDriftEstimator</x:v>
      </x:c>
      <x:c r="E84" s="82" t="n">
        <x:v>0</x:v>
      </x:c>
      <x:c r="F84" s="82" t="str">
        <x:v>—</x:v>
      </x:c>
      <x:c r="G84" s="82" t="str">
        <x:v>尚未逐项裁决</x:v>
      </x:c>
      <x:c r="H84" s="82" t="str">
        <x:v>CxVisual.Foundation.Core</x:v>
      </x:c>
      <x:c r="I84" s="82" t="str">
        <x:v>需核原方法签名/行为、状态、依赖及实例生命周期</x:v>
      </x:c>
      <x:c r="J84" s="82" t="str">
        <x:v>V7.8词法声明证据</x:v>
      </x:c>
      <x:c r="K84" s="82" t="str">
        <x:v>设计审查中/未执行实测</x:v>
      </x:c>
    </x:row>
    <x:row r="85">
      <x:c r="A85" s="82" t="str">
        <x:v>F08.Duration</x:v>
      </x:c>
      <x:c r="B85" s="82" t="str">
        <x:v>F08</x:v>
      </x:c>
      <x:c r="C85" s="82" t="str">
        <x:v>CxVisual.Foundation.Core</x:v>
      </x:c>
      <x:c r="D85" s="82" t="str">
        <x:v>Duration</x:v>
      </x:c>
      <x:c r="E85" s="82" t="n">
        <x:v>0</x:v>
      </x:c>
      <x:c r="F85" s="82" t="str">
        <x:v>—</x:v>
      </x:c>
      <x:c r="G85" s="82" t="str">
        <x:v>尚未逐项裁决</x:v>
      </x:c>
      <x:c r="H85" s="82" t="str">
        <x:v>CxVisual.Foundation.Core</x:v>
      </x:c>
      <x:c r="I85" s="82" t="str">
        <x:v>需核原方法签名/行为、状态、依赖及实例生命周期</x:v>
      </x:c>
      <x:c r="J85" s="82" t="str">
        <x:v>V7.8词法声明证据</x:v>
      </x:c>
      <x:c r="K85" s="82" t="str">
        <x:v>设计审查中/未执行实测</x:v>
      </x:c>
    </x:row>
    <x:row r="86">
      <x:c r="A86" s="82" t="str">
        <x:v>F08.TemporalAlignmentOps</x:v>
      </x:c>
      <x:c r="B86" s="82" t="str">
        <x:v>F08</x:v>
      </x:c>
      <x:c r="C86" s="82" t="str">
        <x:v>CxVisual.Foundation.Core</x:v>
      </x:c>
      <x:c r="D86" s="82" t="str">
        <x:v>TemporalAlignmentOps</x:v>
      </x:c>
      <x:c r="E86" s="82" t="n">
        <x:v>0</x:v>
      </x:c>
      <x:c r="F86" s="82" t="str">
        <x:v>—</x:v>
      </x:c>
      <x:c r="G86" s="82" t="str">
        <x:v>尚未逐项裁决</x:v>
      </x:c>
      <x:c r="H86" s="82" t="str">
        <x:v>CxVisual.Foundation.Core</x:v>
      </x:c>
      <x:c r="I86" s="82" t="str">
        <x:v>需核原方法签名/行为、状态、依赖及实例生命周期</x:v>
      </x:c>
      <x:c r="J86" s="82" t="str">
        <x:v>V7.8词法声明证据</x:v>
      </x:c>
      <x:c r="K86" s="82" t="str">
        <x:v>设计审查中/未执行实测</x:v>
      </x:c>
    </x:row>
    <x:row r="87">
      <x:c r="A87" s="82" t="str">
        <x:v>F08.TimeBase</x:v>
      </x:c>
      <x:c r="B87" s="82" t="str">
        <x:v>F08</x:v>
      </x:c>
      <x:c r="C87" s="82" t="str">
        <x:v>CxVisual.Foundation.Core</x:v>
      </x:c>
      <x:c r="D87" s="82" t="str">
        <x:v>TimeBase</x:v>
      </x:c>
      <x:c r="E87" s="82" t="n">
        <x:v>0</x:v>
      </x:c>
      <x:c r="F87" s="82" t="str">
        <x:v>—</x:v>
      </x:c>
      <x:c r="G87" s="82" t="str">
        <x:v>尚未逐项裁决</x:v>
      </x:c>
      <x:c r="H87" s="82" t="str">
        <x:v>CxVisual.Foundation.Core</x:v>
      </x:c>
      <x:c r="I87" s="82" t="str">
        <x:v>需核原方法签名/行为、状态、依赖及实例生命周期</x:v>
      </x:c>
      <x:c r="J87" s="82" t="str">
        <x:v>V7.8词法声明证据</x:v>
      </x:c>
      <x:c r="K87" s="82" t="str">
        <x:v>设计审查中/未执行实测</x:v>
      </x:c>
    </x:row>
    <x:row r="88">
      <x:c r="A88" s="82" t="str">
        <x:v>F08.TimeConversionUtil</x:v>
      </x:c>
      <x:c r="B88" s="82" t="str">
        <x:v>F08</x:v>
      </x:c>
      <x:c r="C88" s="82" t="str">
        <x:v>CxVisual.Foundation.Core</x:v>
      </x:c>
      <x:c r="D88" s="82" t="str">
        <x:v>TimeConversionUtil</x:v>
      </x:c>
      <x:c r="E88" s="82" t="n">
        <x:v>0</x:v>
      </x:c>
      <x:c r="F88" s="82" t="str">
        <x:v>—</x:v>
      </x:c>
      <x:c r="G88" s="82" t="str">
        <x:v>尚未逐项裁决</x:v>
      </x:c>
      <x:c r="H88" s="82" t="str">
        <x:v>CxVisual.Foundation.Core</x:v>
      </x:c>
      <x:c r="I88" s="82" t="str">
        <x:v>需核原方法签名/行为、状态、依赖及实例生命周期</x:v>
      </x:c>
      <x:c r="J88" s="82" t="str">
        <x:v>V7.8词法声明证据</x:v>
      </x:c>
      <x:c r="K88" s="82" t="str">
        <x:v>设计审查中/未执行实测</x:v>
      </x:c>
    </x:row>
    <x:row r="89">
      <x:c r="A89" s="82" t="str">
        <x:v>F08.TimeInterval</x:v>
      </x:c>
      <x:c r="B89" s="82" t="str">
        <x:v>F08</x:v>
      </x:c>
      <x:c r="C89" s="82" t="str">
        <x:v>CxVisual.Foundation.Core</x:v>
      </x:c>
      <x:c r="D89" s="82" t="str">
        <x:v>TimeInterval</x:v>
      </x:c>
      <x:c r="E89" s="82" t="n">
        <x:v>0</x:v>
      </x:c>
      <x:c r="F89" s="82" t="str">
        <x:v>—</x:v>
      </x:c>
      <x:c r="G89" s="82" t="str">
        <x:v>尚未逐项裁决</x:v>
      </x:c>
      <x:c r="H89" s="82" t="str">
        <x:v>CxVisual.Foundation.Core</x:v>
      </x:c>
      <x:c r="I89" s="82" t="str">
        <x:v>需核原方法签名/行为、状态、依赖及实例生命周期</x:v>
      </x:c>
      <x:c r="J89" s="82" t="str">
        <x:v>V7.8词法声明证据</x:v>
      </x:c>
      <x:c r="K89" s="82" t="str">
        <x:v>设计审查中/未执行实测</x:v>
      </x:c>
    </x:row>
    <x:row r="90">
      <x:c r="A90" s="82" t="str">
        <x:v>F08.TimeSyncSample</x:v>
      </x:c>
      <x:c r="B90" s="82" t="str">
        <x:v>F08</x:v>
      </x:c>
      <x:c r="C90" s="82" t="str">
        <x:v>CxVisual.Foundation.Core</x:v>
      </x:c>
      <x:c r="D90" s="82" t="str">
        <x:v>TimeSyncSample</x:v>
      </x:c>
      <x:c r="E90" s="82" t="n">
        <x:v>0</x:v>
      </x:c>
      <x:c r="F90" s="82" t="str">
        <x:v>—</x:v>
      </x:c>
      <x:c r="G90" s="82" t="str">
        <x:v>尚未逐项裁决</x:v>
      </x:c>
      <x:c r="H90" s="82" t="str">
        <x:v>CxVisual.Foundation.Core</x:v>
      </x:c>
      <x:c r="I90" s="82" t="str">
        <x:v>需核原方法签名/行为、状态、依赖及实例生命周期</x:v>
      </x:c>
      <x:c r="J90" s="82" t="str">
        <x:v>V7.8词法声明证据</x:v>
      </x:c>
      <x:c r="K90" s="82" t="str">
        <x:v>设计审查中/未执行实测</x:v>
      </x:c>
    </x:row>
    <x:row r="91">
      <x:c r="A91" s="82" t="str">
        <x:v>F08.Timestamp</x:v>
      </x:c>
      <x:c r="B91" s="82" t="str">
        <x:v>F08</x:v>
      </x:c>
      <x:c r="C91" s="82" t="str">
        <x:v>CxVisual.Foundation.Core</x:v>
      </x:c>
      <x:c r="D91" s="82" t="str">
        <x:v>Timestamp</x:v>
      </x:c>
      <x:c r="E91" s="82" t="n">
        <x:v>0</x:v>
      </x:c>
      <x:c r="F91" s="82" t="str">
        <x:v>—</x:v>
      </x:c>
      <x:c r="G91" s="82" t="str">
        <x:v>尚未逐项裁决</x:v>
      </x:c>
      <x:c r="H91" s="82" t="str">
        <x:v>CxVisual.Foundation.Core</x:v>
      </x:c>
      <x:c r="I91" s="82" t="str">
        <x:v>需核原方法签名/行为、状态、依赖及实例生命周期</x:v>
      </x:c>
      <x:c r="J91" s="82" t="str">
        <x:v>V7.8词法声明证据</x:v>
      </x:c>
      <x:c r="K91" s="82" t="str">
        <x:v>设计审查中/未执行实测</x:v>
      </x:c>
    </x:row>
    <x:row r="92">
      <x:c r="A92" s="82" t="str">
        <x:v>F09.DimensionVector</x:v>
      </x:c>
      <x:c r="B92" s="82" t="str">
        <x:v>F09</x:v>
      </x:c>
      <x:c r="C92" s="82" t="str">
        <x:v>CxVisual.Foundation.Core</x:v>
      </x:c>
      <x:c r="D92" s="82" t="str">
        <x:v>DimensionVector</x:v>
      </x:c>
      <x:c r="E92" s="82" t="n">
        <x:v>0</x:v>
      </x:c>
      <x:c r="F92" s="82" t="str">
        <x:v>—</x:v>
      </x:c>
      <x:c r="G92" s="82" t="str">
        <x:v>尚未逐项裁决</x:v>
      </x:c>
      <x:c r="H92" s="82" t="str">
        <x:v>CxVisual.Foundation.Core</x:v>
      </x:c>
      <x:c r="I92" s="82" t="str">
        <x:v>需核原方法签名/行为、状态、依赖及实例生命周期</x:v>
      </x:c>
      <x:c r="J92" s="82" t="str">
        <x:v>V7.8词法声明证据</x:v>
      </x:c>
      <x:c r="K92" s="82" t="str">
        <x:v>设计审查中/未执行实测</x:v>
      </x:c>
    </x:row>
    <x:row r="93">
      <x:c r="A93" s="82" t="str">
        <x:v>F09.MeasurementUncertainty</x:v>
      </x:c>
      <x:c r="B93" s="82" t="str">
        <x:v>F09</x:v>
      </x:c>
      <x:c r="C93" s="82" t="str">
        <x:v>CxVisual.Foundation.Core</x:v>
      </x:c>
      <x:c r="D93" s="82" t="str">
        <x:v>MeasurementUncertainty</x:v>
      </x:c>
      <x:c r="E93" s="82" t="n">
        <x:v>0</x:v>
      </x:c>
      <x:c r="F93" s="82" t="str">
        <x:v>—</x:v>
      </x:c>
      <x:c r="G93" s="82" t="str">
        <x:v>尚未逐项裁决</x:v>
      </x:c>
      <x:c r="H93" s="82" t="str">
        <x:v>CxVisual.Foundation.Core</x:v>
      </x:c>
      <x:c r="I93" s="82" t="str">
        <x:v>需核原方法签名/行为、状态、依赖及实例生命周期</x:v>
      </x:c>
      <x:c r="J93" s="82" t="str">
        <x:v>V7.8词法声明证据</x:v>
      </x:c>
      <x:c r="K93" s="82" t="str">
        <x:v>设计审查中/未执行实测</x:v>
      </x:c>
    </x:row>
    <x:row r="94">
      <x:c r="A94" s="82" t="str">
        <x:v>F09.NumericTolerance</x:v>
      </x:c>
      <x:c r="B94" s="82" t="str">
        <x:v>F09</x:v>
      </x:c>
      <x:c r="C94" s="82" t="str">
        <x:v>CxVisual.Foundation.Core</x:v>
      </x:c>
      <x:c r="D94" s="82" t="str">
        <x:v>NumericTolerance</x:v>
      </x:c>
      <x:c r="E94" s="82" t="n">
        <x:v>0</x:v>
      </x:c>
      <x:c r="F94" s="82" t="str">
        <x:v>—</x:v>
      </x:c>
      <x:c r="G94" s="82" t="str">
        <x:v>尚未逐项裁决</x:v>
      </x:c>
      <x:c r="H94" s="82" t="str">
        <x:v>CxVisual.Foundation.Core</x:v>
      </x:c>
      <x:c r="I94" s="82" t="str">
        <x:v>需核原方法签名/行为、状态、依赖及实例生命周期</x:v>
      </x:c>
      <x:c r="J94" s="82" t="str">
        <x:v>V7.8词法声明证据</x:v>
      </x:c>
      <x:c r="K94" s="82" t="str">
        <x:v>设计审查中/未执行实测</x:v>
      </x:c>
    </x:row>
    <x:row r="95">
      <x:c r="A95" s="82" t="str">
        <x:v>F09.PhysicalConstants</x:v>
      </x:c>
      <x:c r="B95" s="82" t="str">
        <x:v>F09</x:v>
      </x:c>
      <x:c r="C95" s="82" t="str">
        <x:v>CxVisual.Foundation.Core</x:v>
      </x:c>
      <x:c r="D95" s="82" t="str">
        <x:v>PhysicalConstants</x:v>
      </x:c>
      <x:c r="E95" s="82" t="n">
        <x:v>0</x:v>
      </x:c>
      <x:c r="F95" s="82" t="str">
        <x:v>—</x:v>
      </x:c>
      <x:c r="G95" s="82" t="str">
        <x:v>尚未逐项裁决</x:v>
      </x:c>
      <x:c r="H95" s="82" t="str">
        <x:v>CxVisual.Foundation.Core</x:v>
      </x:c>
      <x:c r="I95" s="82" t="str">
        <x:v>需核原方法签名/行为、状态、依赖及实例生命周期</x:v>
      </x:c>
      <x:c r="J95" s="82" t="str">
        <x:v>V7.8词法声明证据</x:v>
      </x:c>
      <x:c r="K95" s="82" t="str">
        <x:v>设计审查中/未执行实测</x:v>
      </x:c>
    </x:row>
    <x:row r="96">
      <x:c r="A96" s="82" t="str">
        <x:v>F09.PhysicalQuantity</x:v>
      </x:c>
      <x:c r="B96" s="82" t="str">
        <x:v>F09</x:v>
      </x:c>
      <x:c r="C96" s="82" t="str">
        <x:v>CxVisual.Foundation.Core</x:v>
      </x:c>
      <x:c r="D96" s="82" t="str">
        <x:v>PhysicalQuantity</x:v>
      </x:c>
      <x:c r="E96" s="82" t="n">
        <x:v>0</x:v>
      </x:c>
      <x:c r="F96" s="82" t="str">
        <x:v>—</x:v>
      </x:c>
      <x:c r="G96" s="82" t="str">
        <x:v>尚未逐项裁决</x:v>
      </x:c>
      <x:c r="H96" s="82" t="str">
        <x:v>CxVisual.Foundation.Core</x:v>
      </x:c>
      <x:c r="I96" s="82" t="str">
        <x:v>需核原方法签名/行为、状态、依赖及实例生命周期</x:v>
      </x:c>
      <x:c r="J96" s="82" t="str">
        <x:v>V7.8词法声明证据</x:v>
      </x:c>
      <x:c r="K96" s="82" t="str">
        <x:v>设计审查中/未执行实测</x:v>
      </x:c>
    </x:row>
    <x:row r="97">
      <x:c r="A97" s="82" t="str">
        <x:v>F09.SignificantDigitsUtil</x:v>
      </x:c>
      <x:c r="B97" s="82" t="str">
        <x:v>F09</x:v>
      </x:c>
      <x:c r="C97" s="82" t="str">
        <x:v>CxVisual.Foundation.Core</x:v>
      </x:c>
      <x:c r="D97" s="82" t="str">
        <x:v>SignificantDigitsUtil</x:v>
      </x:c>
      <x:c r="E97" s="82" t="n">
        <x:v>0</x:v>
      </x:c>
      <x:c r="F97" s="82" t="str">
        <x:v>—</x:v>
      </x:c>
      <x:c r="G97" s="82" t="str">
        <x:v>尚未逐项裁决</x:v>
      </x:c>
      <x:c r="H97" s="82" t="str">
        <x:v>CxVisual.Foundation.Core</x:v>
      </x:c>
      <x:c r="I97" s="82" t="str">
        <x:v>需核原方法签名/行为、状态、依赖及实例生命周期</x:v>
      </x:c>
      <x:c r="J97" s="82" t="str">
        <x:v>V7.8词法声明证据</x:v>
      </x:c>
      <x:c r="K97" s="82" t="str">
        <x:v>设计审查中/未执行实测</x:v>
      </x:c>
    </x:row>
    <x:row r="98">
      <x:c r="A98" s="82" t="str">
        <x:v>F09.UnitConversionUtil</x:v>
      </x:c>
      <x:c r="B98" s="82" t="str">
        <x:v>F09</x:v>
      </x:c>
      <x:c r="C98" s="82" t="str">
        <x:v>CxVisual.Foundation.Core</x:v>
      </x:c>
      <x:c r="D98" s="82" t="str">
        <x:v>UnitConversionUtil</x:v>
      </x:c>
      <x:c r="E98" s="82" t="n">
        <x:v>0</x:v>
      </x:c>
      <x:c r="F98" s="82" t="str">
        <x:v>—</x:v>
      </x:c>
      <x:c r="G98" s="82" t="str">
        <x:v>尚未逐项裁决</x:v>
      </x:c>
      <x:c r="H98" s="82" t="str">
        <x:v>CxVisual.Foundation.Core</x:v>
      </x:c>
      <x:c r="I98" s="82" t="str">
        <x:v>需核原方法签名/行为、状态、依赖及实例生命周期</x:v>
      </x:c>
      <x:c r="J98" s="82" t="str">
        <x:v>V7.8词法声明证据</x:v>
      </x:c>
      <x:c r="K98" s="82" t="str">
        <x:v>设计审查中/未执行实测</x:v>
      </x:c>
    </x:row>
    <x:row r="99">
      <x:c r="A99" s="82" t="str">
        <x:v>F09.UnitDefinition</x:v>
      </x:c>
      <x:c r="B99" s="82" t="str">
        <x:v>F09</x:v>
      </x:c>
      <x:c r="C99" s="82" t="str">
        <x:v>CxVisual.Foundation.Core</x:v>
      </x:c>
      <x:c r="D99" s="82" t="str">
        <x:v>UnitDefinition</x:v>
      </x:c>
      <x:c r="E99" s="82" t="n">
        <x:v>0</x:v>
      </x:c>
      <x:c r="F99" s="82" t="str">
        <x:v>—</x:v>
      </x:c>
      <x:c r="G99" s="82" t="str">
        <x:v>尚未逐项裁决</x:v>
      </x:c>
      <x:c r="H99" s="82" t="str">
        <x:v>CxVisual.Foundation.Core</x:v>
      </x:c>
      <x:c r="I99" s="82" t="str">
        <x:v>需核原方法签名/行为、状态、依赖及实例生命周期</x:v>
      </x:c>
      <x:c r="J99" s="82" t="str">
        <x:v>V7.8词法声明证据</x:v>
      </x:c>
      <x:c r="K99" s="82" t="str">
        <x:v>设计审查中/未执行实测</x:v>
      </x:c>
    </x:row>
    <x:row r="100">
      <x:c r="A100" s="82" t="str">
        <x:v>F10.ConvolutionOps</x:v>
      </x:c>
      <x:c r="B100" s="82" t="str">
        <x:v>F10</x:v>
      </x:c>
      <x:c r="C100" s="82" t="str">
        <x:v>CxVisual.Foundation.Numerics</x:v>
      </x:c>
      <x:c r="D100" s="82" t="str">
        <x:v>ConvolutionOps</x:v>
      </x:c>
      <x:c r="E100" s="82" t="n">
        <x:v>0</x:v>
      </x:c>
      <x:c r="F100" s="82" t="str">
        <x:v>—</x:v>
      </x:c>
      <x:c r="G100" s="82" t="str">
        <x:v>尚未逐项裁决</x:v>
      </x:c>
      <x:c r="H100" s="82" t="str">
        <x:v>CxVisual.Foundation.Numerics</x:v>
      </x:c>
      <x:c r="I100" s="82" t="str">
        <x:v>需核原方法签名/行为、状态、依赖及实例生命周期</x:v>
      </x:c>
      <x:c r="J100" s="82" t="str">
        <x:v>V7.8词法声明证据</x:v>
      </x:c>
      <x:c r="K100" s="82" t="str">
        <x:v>设计审查中/未执行实测</x:v>
      </x:c>
    </x:row>
    <x:row r="101">
      <x:c r="A101" s="82" t="str">
        <x:v>F10.FftOps</x:v>
      </x:c>
      <x:c r="B101" s="82" t="str">
        <x:v>F10</x:v>
      </x:c>
      <x:c r="C101" s="82" t="str">
        <x:v>CxVisual.Foundation.Numerics</x:v>
      </x:c>
      <x:c r="D101" s="82" t="str">
        <x:v>FftOps</x:v>
      </x:c>
      <x:c r="E101" s="82" t="n">
        <x:v>0</x:v>
      </x:c>
      <x:c r="F101" s="82" t="str">
        <x:v>—</x:v>
      </x:c>
      <x:c r="G101" s="82" t="str">
        <x:v>尚未逐项裁决</x:v>
      </x:c>
      <x:c r="H101" s="82" t="str">
        <x:v>CxVisual.Foundation.Numerics</x:v>
      </x:c>
      <x:c r="I101" s="82" t="str">
        <x:v>需核原方法签名/行为、状态、依赖及实例生命周期</x:v>
      </x:c>
      <x:c r="J101" s="82" t="str">
        <x:v>V7.8词法声明证据</x:v>
      </x:c>
      <x:c r="K101" s="82" t="str">
        <x:v>设计审查中/未执行实测</x:v>
      </x:c>
    </x:row>
    <x:row r="102">
      <x:c r="A102" s="82" t="str">
        <x:v>F10.FilterKernel</x:v>
      </x:c>
      <x:c r="B102" s="82" t="str">
        <x:v>F10</x:v>
      </x:c>
      <x:c r="C102" s="82" t="str">
        <x:v>CxVisual.Foundation.Numerics</x:v>
      </x:c>
      <x:c r="D102" s="82" t="str">
        <x:v>FilterKernel</x:v>
      </x:c>
      <x:c r="E102" s="82" t="n">
        <x:v>0</x:v>
      </x:c>
      <x:c r="F102" s="82" t="str">
        <x:v>—</x:v>
      </x:c>
      <x:c r="G102" s="82" t="str">
        <x:v>尚未逐项裁决</x:v>
      </x:c>
      <x:c r="H102" s="82" t="str">
        <x:v>CxVisual.Foundation.Numerics</x:v>
      </x:c>
      <x:c r="I102" s="82" t="str">
        <x:v>需核原方法签名/行为、状态、依赖及实例生命周期</x:v>
      </x:c>
      <x:c r="J102" s="82" t="str">
        <x:v>V7.8词法声明证据</x:v>
      </x:c>
      <x:c r="K102" s="82" t="str">
        <x:v>设计审查中/未执行实测</x:v>
      </x:c>
    </x:row>
    <x:row r="103">
      <x:c r="A103" s="82" t="str">
        <x:v>F10.PeakDetectionOps</x:v>
      </x:c>
      <x:c r="B103" s="82" t="str">
        <x:v>F10</x:v>
      </x:c>
      <x:c r="C103" s="82" t="str">
        <x:v>CxVisual.Foundation.Numerics</x:v>
      </x:c>
      <x:c r="D103" s="82" t="str">
        <x:v>PeakDetectionOps</x:v>
      </x:c>
      <x:c r="E103" s="82" t="n">
        <x:v>0</x:v>
      </x:c>
      <x:c r="F103" s="82" t="str">
        <x:v>—</x:v>
      </x:c>
      <x:c r="G103" s="82" t="str">
        <x:v>尚未逐项裁决</x:v>
      </x:c>
      <x:c r="H103" s="82" t="str">
        <x:v>CxVisual.Foundation.Numerics</x:v>
      </x:c>
      <x:c r="I103" s="82" t="str">
        <x:v>需核原方法签名/行为、状态、依赖及实例生命周期</x:v>
      </x:c>
      <x:c r="J103" s="82" t="str">
        <x:v>V7.8词法声明证据</x:v>
      </x:c>
      <x:c r="K103" s="82" t="str">
        <x:v>设计审查中/未执行实测</x:v>
      </x:c>
    </x:row>
    <x:row r="104">
      <x:c r="A104" s="82" t="str">
        <x:v>F10.ResamplingOps</x:v>
      </x:c>
      <x:c r="B104" s="82" t="str">
        <x:v>F10</x:v>
      </x:c>
      <x:c r="C104" s="82" t="str">
        <x:v>CxVisual.Foundation.Numerics</x:v>
      </x:c>
      <x:c r="D104" s="82" t="str">
        <x:v>ResamplingOps</x:v>
      </x:c>
      <x:c r="E104" s="82" t="n">
        <x:v>0</x:v>
      </x:c>
      <x:c r="F104" s="82" t="str">
        <x:v>—</x:v>
      </x:c>
      <x:c r="G104" s="82" t="str">
        <x:v>尚未逐项裁决</x:v>
      </x:c>
      <x:c r="H104" s="82" t="str">
        <x:v>CxVisual.Foundation.Numerics</x:v>
      </x:c>
      <x:c r="I104" s="82" t="str">
        <x:v>需核原方法签名/行为、状态、依赖及实例生命周期</x:v>
      </x:c>
      <x:c r="J104" s="82" t="str">
        <x:v>V7.8词法声明证据</x:v>
      </x:c>
      <x:c r="K104" s="82" t="str">
        <x:v>设计审查中/未执行实测</x:v>
      </x:c>
    </x:row>
    <x:row r="105">
      <x:c r="A105" s="82" t="str">
        <x:v>F10.SampleSeries</x:v>
      </x:c>
      <x:c r="B105" s="82" t="str">
        <x:v>F10</x:v>
      </x:c>
      <x:c r="C105" s="82" t="str">
        <x:v>CxVisual.Foundation.Numerics</x:v>
      </x:c>
      <x:c r="D105" s="82" t="str">
        <x:v>SampleSeries</x:v>
      </x:c>
      <x:c r="E105" s="82" t="n">
        <x:v>0</x:v>
      </x:c>
      <x:c r="F105" s="82" t="str">
        <x:v>—</x:v>
      </x:c>
      <x:c r="G105" s="82" t="str">
        <x:v>尚未逐项裁决</x:v>
      </x:c>
      <x:c r="H105" s="82" t="str">
        <x:v>CxVisual.Foundation.Numerics</x:v>
      </x:c>
      <x:c r="I105" s="82" t="str">
        <x:v>需核原方法签名/行为、状态、依赖及实例生命周期</x:v>
      </x:c>
      <x:c r="J105" s="82" t="str">
        <x:v>V7.8词法声明证据</x:v>
      </x:c>
      <x:c r="K105" s="82" t="str">
        <x:v>设计审查中/未执行实测</x:v>
      </x:c>
    </x:row>
    <x:row r="106">
      <x:c r="A106" s="82" t="str">
        <x:v>F10.SignalChannelData</x:v>
      </x:c>
      <x:c r="B106" s="82" t="str">
        <x:v>F10</x:v>
      </x:c>
      <x:c r="C106" s="82" t="str">
        <x:v>CxVisual.Foundation.Numerics</x:v>
      </x:c>
      <x:c r="D106" s="82" t="str">
        <x:v>SignalChannelData</x:v>
      </x:c>
      <x:c r="E106" s="82" t="n">
        <x:v>0</x:v>
      </x:c>
      <x:c r="F106" s="82" t="str">
        <x:v>—</x:v>
      </x:c>
      <x:c r="G106" s="82" t="str">
        <x:v>尚未逐项裁决</x:v>
      </x:c>
      <x:c r="H106" s="82" t="str">
        <x:v>CxVisual.Foundation.Numerics</x:v>
      </x:c>
      <x:c r="I106" s="82" t="str">
        <x:v>需核原方法签名/行为、状态、依赖及实例生命周期</x:v>
      </x:c>
      <x:c r="J106" s="82" t="str">
        <x:v>V7.8词法声明证据</x:v>
      </x:c>
      <x:c r="K106" s="82" t="str">
        <x:v>设计审查中/未执行实测</x:v>
      </x:c>
    </x:row>
    <x:row r="107">
      <x:c r="A107" s="82" t="str">
        <x:v>F10.SignalFilteringOps</x:v>
      </x:c>
      <x:c r="B107" s="82" t="str">
        <x:v>F10</x:v>
      </x:c>
      <x:c r="C107" s="82" t="str">
        <x:v>CxVisual.Foundation.Numerics</x:v>
      </x:c>
      <x:c r="D107" s="82" t="str">
        <x:v>SignalFilteringOps</x:v>
      </x:c>
      <x:c r="E107" s="82" t="n">
        <x:v>0</x:v>
      </x:c>
      <x:c r="F107" s="82" t="str">
        <x:v>—</x:v>
      </x:c>
      <x:c r="G107" s="82" t="str">
        <x:v>尚未逐项裁决</x:v>
      </x:c>
      <x:c r="H107" s="82" t="str">
        <x:v>CxVisual.Foundation.Numerics</x:v>
      </x:c>
      <x:c r="I107" s="82" t="str">
        <x:v>需核原方法签名/行为、状态、依赖及实例生命周期</x:v>
      </x:c>
      <x:c r="J107" s="82" t="str">
        <x:v>V7.8词法声明证据</x:v>
      </x:c>
      <x:c r="K107" s="82" t="str">
        <x:v>设计审查中/未执行实测</x:v>
      </x:c>
    </x:row>
    <x:row r="108">
      <x:c r="A108" s="82" t="str">
        <x:v>F10.SpectrumData</x:v>
      </x:c>
      <x:c r="B108" s="82" t="str">
        <x:v>F10</x:v>
      </x:c>
      <x:c r="C108" s="82" t="str">
        <x:v>CxVisual.Foundation.Numerics</x:v>
      </x:c>
      <x:c r="D108" s="82" t="str">
        <x:v>SpectrumData</x:v>
      </x:c>
      <x:c r="E108" s="82" t="n">
        <x:v>0</x:v>
      </x:c>
      <x:c r="F108" s="82" t="str">
        <x:v>—</x:v>
      </x:c>
      <x:c r="G108" s="82" t="str">
        <x:v>尚未逐项裁决</x:v>
      </x:c>
      <x:c r="H108" s="82" t="str">
        <x:v>CxVisual.Foundation.Numerics</x:v>
      </x:c>
      <x:c r="I108" s="82" t="str">
        <x:v>需核原方法签名/行为、状态、依赖及实例生命周期</x:v>
      </x:c>
      <x:c r="J108" s="82" t="str">
        <x:v>V7.8词法声明证据</x:v>
      </x:c>
      <x:c r="K108" s="82" t="str">
        <x:v>设计审查中/未执行实测</x:v>
      </x:c>
    </x:row>
    <x:row r="109">
      <x:c r="A109" s="82" t="str">
        <x:v>F10.WaveletOps</x:v>
      </x:c>
      <x:c r="B109" s="82" t="str">
        <x:v>F10</x:v>
      </x:c>
      <x:c r="C109" s="82" t="str">
        <x:v>CxVisual.Foundation.Numerics</x:v>
      </x:c>
      <x:c r="D109" s="82" t="str">
        <x:v>WaveletOps</x:v>
      </x:c>
      <x:c r="E109" s="82" t="n">
        <x:v>0</x:v>
      </x:c>
      <x:c r="F109" s="82" t="str">
        <x:v>—</x:v>
      </x:c>
      <x:c r="G109" s="82" t="str">
        <x:v>尚未逐项裁决</x:v>
      </x:c>
      <x:c r="H109" s="82" t="str">
        <x:v>CxVisual.Foundation.Numerics</x:v>
      </x:c>
      <x:c r="I109" s="82" t="str">
        <x:v>需核原方法签名/行为、状态、依赖及实例生命周期</x:v>
      </x:c>
      <x:c r="J109" s="82" t="str">
        <x:v>V7.8词法声明证据</x:v>
      </x:c>
      <x:c r="K109" s="82" t="str">
        <x:v>设计审查中/未执行实测</x:v>
      </x:c>
    </x:row>
    <x:row r="110">
      <x:c r="A110" s="82" t="str">
        <x:v>F10.WindowFunctions</x:v>
      </x:c>
      <x:c r="B110" s="82" t="str">
        <x:v>F10</x:v>
      </x:c>
      <x:c r="C110" s="82" t="str">
        <x:v>CxVisual.Foundation.Numerics</x:v>
      </x:c>
      <x:c r="D110" s="82" t="str">
        <x:v>WindowFunctions</x:v>
      </x:c>
      <x:c r="E110" s="82" t="n">
        <x:v>0</x:v>
      </x:c>
      <x:c r="F110" s="82" t="str">
        <x:v>—</x:v>
      </x:c>
      <x:c r="G110" s="82" t="str">
        <x:v>尚未逐项裁决</x:v>
      </x:c>
      <x:c r="H110" s="82" t="str">
        <x:v>CxVisual.Foundation.Numerics</x:v>
      </x:c>
      <x:c r="I110" s="82" t="str">
        <x:v>需核原方法签名/行为、状态、依赖及实例生命周期</x:v>
      </x:c>
      <x:c r="J110" s="82" t="str">
        <x:v>V7.8词法声明证据</x:v>
      </x:c>
      <x:c r="K110" s="82" t="str">
        <x:v>设计审查中/未执行实测</x:v>
      </x:c>
    </x:row>
    <x:row r="111">
      <x:c r="A111" s="82" t="str">
        <x:v>F11.ImageBuffer</x:v>
      </x:c>
      <x:c r="B111" s="82" t="str">
        <x:v>F11</x:v>
      </x:c>
      <x:c r="C111" s="82" t="str">
        <x:v>CxVisual.Foundation.Imaging</x:v>
      </x:c>
      <x:c r="D111" s="82" t="str">
        <x:v>ImageBuffer</x:v>
      </x:c>
      <x:c r="E111" s="82" t="n">
        <x:v>0</x:v>
      </x:c>
      <x:c r="F111" s="82" t="str">
        <x:v>—</x:v>
      </x:c>
      <x:c r="G111" s="82" t="str">
        <x:v>尚未逐项裁决</x:v>
      </x:c>
      <x:c r="H111" s="82" t="str">
        <x:v>CxVisual.Foundation.Imaging</x:v>
      </x:c>
      <x:c r="I111" s="82" t="str">
        <x:v>需核原方法签名/行为、状态、依赖及实例生命周期</x:v>
      </x:c>
      <x:c r="J111" s="82" t="str">
        <x:v>V7.8词法声明证据</x:v>
      </x:c>
      <x:c r="K111" s="82" t="str">
        <x:v>设计审查中/未执行实测</x:v>
      </x:c>
    </x:row>
    <x:row r="112">
      <x:c r="A112" s="82" t="str">
        <x:v>F11.ImageFilterOps</x:v>
      </x:c>
      <x:c r="B112" s="82" t="str">
        <x:v>F11</x:v>
      </x:c>
      <x:c r="C112" s="82" t="str">
        <x:v>CxVisual.Foundation.Imaging</x:v>
      </x:c>
      <x:c r="D112" s="82" t="str">
        <x:v>ImageFilterOps</x:v>
      </x:c>
      <x:c r="E112" s="82" t="n">
        <x:v>0</x:v>
      </x:c>
      <x:c r="F112" s="82" t="str">
        <x:v>—</x:v>
      </x:c>
      <x:c r="G112" s="82" t="str">
        <x:v>尚未逐项裁决</x:v>
      </x:c>
      <x:c r="H112" s="82" t="str">
        <x:v>CxVisual.Foundation.Imaging</x:v>
      </x:c>
      <x:c r="I112" s="82" t="str">
        <x:v>需核原方法签名/行为、状态、依赖及实例生命周期</x:v>
      </x:c>
      <x:c r="J112" s="82" t="str">
        <x:v>V7.8词法声明证据</x:v>
      </x:c>
      <x:c r="K112" s="82" t="str">
        <x:v>设计审查中/未执行实测</x:v>
      </x:c>
    </x:row>
    <x:row r="113">
      <x:c r="A113" s="82" t="str">
        <x:v>F11.ImageFormatUtil</x:v>
      </x:c>
      <x:c r="B113" s="82" t="str">
        <x:v>F11</x:v>
      </x:c>
      <x:c r="C113" s="82" t="str">
        <x:v>CxVisual.Foundation.Imaging</x:v>
      </x:c>
      <x:c r="D113" s="82" t="str">
        <x:v>ImageFormatUtil</x:v>
      </x:c>
      <x:c r="E113" s="82" t="n">
        <x:v>0</x:v>
      </x:c>
      <x:c r="F113" s="82" t="str">
        <x:v>—</x:v>
      </x:c>
      <x:c r="G113" s="82" t="str">
        <x:v>尚未逐项裁决</x:v>
      </x:c>
      <x:c r="H113" s="82" t="str">
        <x:v>CxVisual.Foundation.Imaging</x:v>
      </x:c>
      <x:c r="I113" s="82" t="str">
        <x:v>需核原方法签名/行为、状态、依赖及实例生命周期</x:v>
      </x:c>
      <x:c r="J113" s="82" t="str">
        <x:v>V7.8词法声明证据</x:v>
      </x:c>
      <x:c r="K113" s="82" t="str">
        <x:v>设计审查中/未执行实测</x:v>
      </x:c>
    </x:row>
    <x:row r="114">
      <x:c r="A114" s="82" t="str">
        <x:v>F11.ImageGeometryOps</x:v>
      </x:c>
      <x:c r="B114" s="82" t="str">
        <x:v>F11</x:v>
      </x:c>
      <x:c r="C114" s="82" t="str">
        <x:v>CxVisual.Foundation.Imaging</x:v>
      </x:c>
      <x:c r="D114" s="82" t="str">
        <x:v>ImageGeometryOps</x:v>
      </x:c>
      <x:c r="E114" s="82" t="n">
        <x:v>0</x:v>
      </x:c>
      <x:c r="F114" s="82" t="str">
        <x:v>—</x:v>
      </x:c>
      <x:c r="G114" s="82" t="str">
        <x:v>尚未逐项裁决</x:v>
      </x:c>
      <x:c r="H114" s="82" t="str">
        <x:v>CxVisual.Foundation.Imaging</x:v>
      </x:c>
      <x:c r="I114" s="82" t="str">
        <x:v>需核原方法签名/行为、状态、依赖及实例生命周期</x:v>
      </x:c>
      <x:c r="J114" s="82" t="str">
        <x:v>V7.8词法声明证据</x:v>
      </x:c>
      <x:c r="K114" s="82" t="str">
        <x:v>设计审查中/未执行实测</x:v>
      </x:c>
    </x:row>
    <x:row r="115">
      <x:c r="A115" s="82" t="str">
        <x:v>F11.ImageHistogram</x:v>
      </x:c>
      <x:c r="B115" s="82" t="str">
        <x:v>F11</x:v>
      </x:c>
      <x:c r="C115" s="82" t="str">
        <x:v>CxVisual.Foundation.Imaging</x:v>
      </x:c>
      <x:c r="D115" s="82" t="str">
        <x:v>ImageHistogram</x:v>
      </x:c>
      <x:c r="E115" s="82" t="n">
        <x:v>1</x:v>
      </x:c>
      <x:c r="F115" s="82" t="str">
        <x:v>Visions/CxECTImageWinForms/Services/ImageStatisticsService.cs (class)</x:v>
      </x:c>
      <x:c r="G115" s="82" t="str">
        <x:v>尚未逐项裁决</x:v>
      </x:c>
      <x:c r="H115" s="82" t="str">
        <x:v>CxVisual.Foundation.Imaging</x:v>
      </x:c>
      <x:c r="I115" s="82" t="str">
        <x:v>需核原方法签名/行为、状态、依赖及实例生命周期</x:v>
      </x:c>
      <x:c r="J115" s="82" t="str">
        <x:v>V7.8词法声明证据</x:v>
      </x:c>
      <x:c r="K115" s="82" t="str">
        <x:v>设计审查中/未执行实测</x:v>
      </x:c>
    </x:row>
    <x:row r="116">
      <x:c r="A116" s="82" t="str">
        <x:v>F11.ImageIntensityOps</x:v>
      </x:c>
      <x:c r="B116" s="82" t="str">
        <x:v>F11</x:v>
      </x:c>
      <x:c r="C116" s="82" t="str">
        <x:v>CxVisual.Foundation.Imaging</x:v>
      </x:c>
      <x:c r="D116" s="82" t="str">
        <x:v>ImageIntensityOps</x:v>
      </x:c>
      <x:c r="E116" s="82" t="n">
        <x:v>0</x:v>
      </x:c>
      <x:c r="F116" s="82" t="str">
        <x:v>—</x:v>
      </x:c>
      <x:c r="G116" s="82" t="str">
        <x:v>尚未逐项裁决</x:v>
      </x:c>
      <x:c r="H116" s="82" t="str">
        <x:v>CxVisual.Foundation.Imaging</x:v>
      </x:c>
      <x:c r="I116" s="82" t="str">
        <x:v>需核原方法签名/行为、状态、依赖及实例生命周期</x:v>
      </x:c>
      <x:c r="J116" s="82" t="str">
        <x:v>V7.8词法声明证据</x:v>
      </x:c>
      <x:c r="K116" s="82" t="str">
        <x:v>设计审查中/未执行实测</x:v>
      </x:c>
    </x:row>
    <x:row r="117">
      <x:c r="A117" s="82" t="str">
        <x:v>F11.ImagePlane</x:v>
      </x:c>
      <x:c r="B117" s="82" t="str">
        <x:v>F11</x:v>
      </x:c>
      <x:c r="C117" s="82" t="str">
        <x:v>CxVisual.Foundation.Imaging</x:v>
      </x:c>
      <x:c r="D117" s="82" t="str">
        <x:v>ImagePlane</x:v>
      </x:c>
      <x:c r="E117" s="82" t="n">
        <x:v>0</x:v>
      </x:c>
      <x:c r="F117" s="82" t="str">
        <x:v>—</x:v>
      </x:c>
      <x:c r="G117" s="82" t="str">
        <x:v>尚未逐项裁决</x:v>
      </x:c>
      <x:c r="H117" s="82" t="str">
        <x:v>CxVisual.Foundation.Imaging</x:v>
      </x:c>
      <x:c r="I117" s="82" t="str">
        <x:v>需核原方法签名/行为、状态、依赖及实例生命周期</x:v>
      </x:c>
      <x:c r="J117" s="82" t="str">
        <x:v>V7.8词法声明证据</x:v>
      </x:c>
      <x:c r="K117" s="82" t="str">
        <x:v>设计审查中/未执行实测</x:v>
      </x:c>
    </x:row>
    <x:row r="118">
      <x:c r="A118" s="82" t="str">
        <x:v>F11.ImageSize</x:v>
      </x:c>
      <x:c r="B118" s="82" t="str">
        <x:v>F11</x:v>
      </x:c>
      <x:c r="C118" s="82" t="str">
        <x:v>CxVisual.Foundation.Imaging</x:v>
      </x:c>
      <x:c r="D118" s="82" t="str">
        <x:v>ImageSize</x:v>
      </x:c>
      <x:c r="E118" s="82" t="n">
        <x:v>1</x:v>
      </x:c>
      <x:c r="F118" s="82" t="str">
        <x:v>Visions/CxECTImageWinForms/Models/ImageSize.cs (struct)</x:v>
      </x:c>
      <x:c r="G118" s="82" t="str">
        <x:v>尚未逐项裁决</x:v>
      </x:c>
      <x:c r="H118" s="82" t="str">
        <x:v>CxVisual.Foundation.Imaging</x:v>
      </x:c>
      <x:c r="I118" s="82" t="str">
        <x:v>需核原方法签名/行为、状态、依赖及实例生命周期</x:v>
      </x:c>
      <x:c r="J118" s="82" t="str">
        <x:v>V7.8词法声明证据</x:v>
      </x:c>
      <x:c r="K118" s="82" t="str">
        <x:v>设计审查中/未执行实测</x:v>
      </x:c>
    </x:row>
    <x:row r="119">
      <x:c r="A119" s="82" t="str">
        <x:v>F11.ImageSpace</x:v>
      </x:c>
      <x:c r="B119" s="82" t="str">
        <x:v>F11</x:v>
      </x:c>
      <x:c r="C119" s="82" t="str">
        <x:v>CxVisual.Foundation.Imaging</x:v>
      </x:c>
      <x:c r="D119" s="82" t="str">
        <x:v>ImageSpace</x:v>
      </x:c>
      <x:c r="E119" s="82" t="n">
        <x:v>0</x:v>
      </x:c>
      <x:c r="F119" s="82" t="str">
        <x:v>—</x:v>
      </x:c>
      <x:c r="G119" s="82" t="str">
        <x:v>尚未逐项裁决</x:v>
      </x:c>
      <x:c r="H119" s="82" t="str">
        <x:v>CxVisual.Foundation.Imaging</x:v>
      </x:c>
      <x:c r="I119" s="82" t="str">
        <x:v>需核原方法签名/行为、状态、依赖及实例生命周期</x:v>
      </x:c>
      <x:c r="J119" s="82" t="str">
        <x:v>V7.8词法声明证据</x:v>
      </x:c>
      <x:c r="K119" s="82" t="str">
        <x:v>设计审查中/未执行实测</x:v>
      </x:c>
    </x:row>
    <x:row r="120">
      <x:c r="A120" s="82" t="str">
        <x:v>F11.ImageStatistics</x:v>
      </x:c>
      <x:c r="B120" s="82" t="str">
        <x:v>F11</x:v>
      </x:c>
      <x:c r="C120" s="82" t="str">
        <x:v>CxVisual.Foundation.Imaging</x:v>
      </x:c>
      <x:c r="D120" s="82" t="str">
        <x:v>ImageStatistics</x:v>
      </x:c>
      <x:c r="E120" s="82" t="n">
        <x:v>1</x:v>
      </x:c>
      <x:c r="F120" s="82" t="str">
        <x:v>Visions/CxECTImageWinForms/Services/ImageStatisticsService.cs (class)</x:v>
      </x:c>
      <x:c r="G120" s="82" t="str">
        <x:v>尚未逐项裁决</x:v>
      </x:c>
      <x:c r="H120" s="82" t="str">
        <x:v>CxVisual.Foundation.Imaging</x:v>
      </x:c>
      <x:c r="I120" s="82" t="str">
        <x:v>需核原方法签名/行为、状态、依赖及实例生命周期</x:v>
      </x:c>
      <x:c r="J120" s="82" t="str">
        <x:v>V7.8词法声明证据</x:v>
      </x:c>
      <x:c r="K120" s="82" t="str">
        <x:v>设计审查中/未执行实测</x:v>
      </x:c>
    </x:row>
    <x:row r="121">
      <x:c r="A121" s="82" t="str">
        <x:v>F11.ImageStride</x:v>
      </x:c>
      <x:c r="B121" s="82" t="str">
        <x:v>F11</x:v>
      </x:c>
      <x:c r="C121" s="82" t="str">
        <x:v>CxVisual.Foundation.Imaging</x:v>
      </x:c>
      <x:c r="D121" s="82" t="str">
        <x:v>ImageStride</x:v>
      </x:c>
      <x:c r="E121" s="82" t="n">
        <x:v>0</x:v>
      </x:c>
      <x:c r="F121" s="82" t="str">
        <x:v>—</x:v>
      </x:c>
      <x:c r="G121" s="82" t="str">
        <x:v>尚未逐项裁决</x:v>
      </x:c>
      <x:c r="H121" s="82" t="str">
        <x:v>CxVisual.Foundation.Imaging</x:v>
      </x:c>
      <x:c r="I121" s="82" t="str">
        <x:v>需核原方法签名/行为、状态、依赖及实例生命周期</x:v>
      </x:c>
      <x:c r="J121" s="82" t="str">
        <x:v>V7.8词法声明证据</x:v>
      </x:c>
      <x:c r="K121" s="82" t="str">
        <x:v>设计审查中/未执行实测</x:v>
      </x:c>
    </x:row>
    <x:row r="122">
      <x:c r="A122" s="82" t="str">
        <x:v>F11.Morphology2DOps</x:v>
      </x:c>
      <x:c r="B122" s="82" t="str">
        <x:v>F11</x:v>
      </x:c>
      <x:c r="C122" s="82" t="str">
        <x:v>CxVisual.Foundation.Imaging</x:v>
      </x:c>
      <x:c r="D122" s="82" t="str">
        <x:v>Morphology2DOps</x:v>
      </x:c>
      <x:c r="E122" s="82" t="n">
        <x:v>0</x:v>
      </x:c>
      <x:c r="F122" s="82" t="str">
        <x:v>—</x:v>
      </x:c>
      <x:c r="G122" s="82" t="str">
        <x:v>尚未逐项裁决</x:v>
      </x:c>
      <x:c r="H122" s="82" t="str">
        <x:v>CxVisual.Foundation.Imaging</x:v>
      </x:c>
      <x:c r="I122" s="82" t="str">
        <x:v>需核原方法签名/行为、状态、依赖及实例生命周期</x:v>
      </x:c>
      <x:c r="J122" s="82" t="str">
        <x:v>V7.8词法声明证据</x:v>
      </x:c>
      <x:c r="K122" s="82" t="str">
        <x:v>设计审查中/未执行实测</x:v>
      </x:c>
    </x:row>
    <x:row r="123">
      <x:c r="A123" s="82" t="str">
        <x:v>F11.PixelAccessOps</x:v>
      </x:c>
      <x:c r="B123" s="82" t="str">
        <x:v>F11</x:v>
      </x:c>
      <x:c r="C123" s="82" t="str">
        <x:v>CxVisual.Foundation.Imaging</x:v>
      </x:c>
      <x:c r="D123" s="82" t="str">
        <x:v>PixelAccessOps</x:v>
      </x:c>
      <x:c r="E123" s="82" t="n">
        <x:v>0</x:v>
      </x:c>
      <x:c r="F123" s="82" t="str">
        <x:v>—</x:v>
      </x:c>
      <x:c r="G123" s="82" t="str">
        <x:v>尚未逐项裁决</x:v>
      </x:c>
      <x:c r="H123" s="82" t="str">
        <x:v>CxVisual.Foundation.Imaging</x:v>
      </x:c>
      <x:c r="I123" s="82" t="str">
        <x:v>需核原方法签名/行为、状态、依赖及实例生命周期</x:v>
      </x:c>
      <x:c r="J123" s="82" t="str">
        <x:v>V7.8词法声明证据</x:v>
      </x:c>
      <x:c r="K123" s="82" t="str">
        <x:v>设计审查中/未执行实测</x:v>
      </x:c>
    </x:row>
    <x:row r="124">
      <x:c r="A124" s="82" t="str">
        <x:v>F11.PixelFormat</x:v>
      </x:c>
      <x:c r="B124" s="82" t="str">
        <x:v>F11</x:v>
      </x:c>
      <x:c r="C124" s="82" t="str">
        <x:v>CxVisual.Foundation.Imaging</x:v>
      </x:c>
      <x:c r="D124" s="82" t="str">
        <x:v>PixelFormat</x:v>
      </x:c>
      <x:c r="E124" s="82" t="n">
        <x:v>0</x:v>
      </x:c>
      <x:c r="F124" s="82" t="str">
        <x:v>—</x:v>
      </x:c>
      <x:c r="G124" s="82" t="str">
        <x:v>尚未逐项裁决</x:v>
      </x:c>
      <x:c r="H124" s="82" t="str">
        <x:v>CxVisual.Foundation.Imaging</x:v>
      </x:c>
      <x:c r="I124" s="82" t="str">
        <x:v>需核原方法签名/行为、状态、依赖及实例生命周期</x:v>
      </x:c>
      <x:c r="J124" s="82" t="str">
        <x:v>V7.8词法声明证据</x:v>
      </x:c>
      <x:c r="K124" s="82" t="str">
        <x:v>设计审查中/未执行实测</x:v>
      </x:c>
    </x:row>
    <x:row r="125">
      <x:c r="A125" s="82" t="str">
        <x:v>F12.MeshGeometryOps</x:v>
      </x:c>
      <x:c r="B125" s="82" t="str">
        <x:v>F12</x:v>
      </x:c>
      <x:c r="C125" s="82" t="str">
        <x:v>CxVisual.Foundation.Volume</x:v>
      </x:c>
      <x:c r="D125" s="82" t="str">
        <x:v>MeshGeometryOps</x:v>
      </x:c>
      <x:c r="E125" s="82" t="n">
        <x:v>0</x:v>
      </x:c>
      <x:c r="F125" s="82" t="str">
        <x:v>—</x:v>
      </x:c>
      <x:c r="G125" s="82" t="str">
        <x:v>尚未逐项裁决</x:v>
      </x:c>
      <x:c r="H125" s="82" t="str">
        <x:v>CxVisual.Foundation.Volume</x:v>
      </x:c>
      <x:c r="I125" s="82" t="str">
        <x:v>需核原方法签名/行为、状态、依赖及实例生命周期</x:v>
      </x:c>
      <x:c r="J125" s="82" t="str">
        <x:v>V7.8词法声明证据</x:v>
      </x:c>
      <x:c r="K125" s="82" t="str">
        <x:v>设计审查中/未执行实测</x:v>
      </x:c>
    </x:row>
    <x:row r="126">
      <x:c r="A126" s="82" t="str">
        <x:v>F12.PointCloudBuffer</x:v>
      </x:c>
      <x:c r="B126" s="82" t="str">
        <x:v>F12</x:v>
      </x:c>
      <x:c r="C126" s="82" t="str">
        <x:v>CxVisual.Foundation.Volume</x:v>
      </x:c>
      <x:c r="D126" s="82" t="str">
        <x:v>PointCloudBuffer</x:v>
      </x:c>
      <x:c r="E126" s="82" t="n">
        <x:v>0</x:v>
      </x:c>
      <x:c r="F126" s="82" t="str">
        <x:v>—</x:v>
      </x:c>
      <x:c r="G126" s="82" t="str">
        <x:v>尚未逐项裁决</x:v>
      </x:c>
      <x:c r="H126" s="82" t="str">
        <x:v>CxVisual.Foundation.Volume</x:v>
      </x:c>
      <x:c r="I126" s="82" t="str">
        <x:v>需核原方法签名/行为、状态、依赖及实例生命周期</x:v>
      </x:c>
      <x:c r="J126" s="82" t="str">
        <x:v>V7.8词法声明证据</x:v>
      </x:c>
      <x:c r="K126" s="82" t="str">
        <x:v>设计审查中/未执行实测</x:v>
      </x:c>
    </x:row>
    <x:row r="127">
      <x:c r="A127" s="82" t="str">
        <x:v>F12.SpatialGrid</x:v>
      </x:c>
      <x:c r="B127" s="82" t="str">
        <x:v>F12</x:v>
      </x:c>
      <x:c r="C127" s="82" t="str">
        <x:v>CxVisual.Foundation.Volume</x:v>
      </x:c>
      <x:c r="D127" s="82" t="str">
        <x:v>SpatialGrid</x:v>
      </x:c>
      <x:c r="E127" s="82" t="n">
        <x:v>0</x:v>
      </x:c>
      <x:c r="F127" s="82" t="str">
        <x:v>—</x:v>
      </x:c>
      <x:c r="G127" s="82" t="str">
        <x:v>尚未逐项裁决</x:v>
      </x:c>
      <x:c r="H127" s="82" t="str">
        <x:v>CxVisual.Foundation.Volume</x:v>
      </x:c>
      <x:c r="I127" s="82" t="str">
        <x:v>需核原方法签名/行为、状态、依赖及实例生命周期</x:v>
      </x:c>
      <x:c r="J127" s="82" t="str">
        <x:v>V7.8词法声明证据</x:v>
      </x:c>
      <x:c r="K127" s="82" t="str">
        <x:v>设计审查中/未执行实测</x:v>
      </x:c>
    </x:row>
    <x:row r="128">
      <x:c r="A128" s="82" t="str">
        <x:v>F12.SpatialIndexOps</x:v>
      </x:c>
      <x:c r="B128" s="82" t="str">
        <x:v>F12</x:v>
      </x:c>
      <x:c r="C128" s="82" t="str">
        <x:v>CxVisual.Foundation.Volume</x:v>
      </x:c>
      <x:c r="D128" s="82" t="str">
        <x:v>SpatialIndexOps</x:v>
      </x:c>
      <x:c r="E128" s="82" t="n">
        <x:v>0</x:v>
      </x:c>
      <x:c r="F128" s="82" t="str">
        <x:v>—</x:v>
      </x:c>
      <x:c r="G128" s="82" t="str">
        <x:v>尚未逐项裁决</x:v>
      </x:c>
      <x:c r="H128" s="82" t="str">
        <x:v>CxVisual.Foundation.Volume</x:v>
      </x:c>
      <x:c r="I128" s="82" t="str">
        <x:v>需核原方法签名/行为、状态、依赖及实例生命周期</x:v>
      </x:c>
      <x:c r="J128" s="82" t="str">
        <x:v>V7.8词法声明证据</x:v>
      </x:c>
      <x:c r="K128" s="82" t="str">
        <x:v>设计审查中/未执行实测</x:v>
      </x:c>
    </x:row>
    <x:row r="129">
      <x:c r="A129" s="82" t="str">
        <x:v>F12.TriangleMesh</x:v>
      </x:c>
      <x:c r="B129" s="82" t="str">
        <x:v>F12</x:v>
      </x:c>
      <x:c r="C129" s="82" t="str">
        <x:v>CxVisual.Foundation.Volume</x:v>
      </x:c>
      <x:c r="D129" s="82" t="str">
        <x:v>TriangleMesh</x:v>
      </x:c>
      <x:c r="E129" s="82" t="n">
        <x:v>0</x:v>
      </x:c>
      <x:c r="F129" s="82" t="str">
        <x:v>—</x:v>
      </x:c>
      <x:c r="G129" s="82" t="str">
        <x:v>尚未逐项裁决</x:v>
      </x:c>
      <x:c r="H129" s="82" t="str">
        <x:v>CxVisual.Foundation.Volume</x:v>
      </x:c>
      <x:c r="I129" s="82" t="str">
        <x:v>需核原方法签名/行为、状态、依赖及实例生命周期</x:v>
      </x:c>
      <x:c r="J129" s="82" t="str">
        <x:v>V7.8词法声明证据</x:v>
      </x:c>
      <x:c r="K129" s="82" t="str">
        <x:v>设计审查中/未执行实测</x:v>
      </x:c>
    </x:row>
    <x:row r="130">
      <x:c r="A130" s="82" t="str">
        <x:v>F12.VolumeBlockIndex</x:v>
      </x:c>
      <x:c r="B130" s="82" t="str">
        <x:v>F12</x:v>
      </x:c>
      <x:c r="C130" s="82" t="str">
        <x:v>CxVisual.Foundation.Volume</x:v>
      </x:c>
      <x:c r="D130" s="82" t="str">
        <x:v>VolumeBlockIndex</x:v>
      </x:c>
      <x:c r="E130" s="82" t="n">
        <x:v>0</x:v>
      </x:c>
      <x:c r="F130" s="82" t="str">
        <x:v>—</x:v>
      </x:c>
      <x:c r="G130" s="82" t="str">
        <x:v>尚未逐项裁决</x:v>
      </x:c>
      <x:c r="H130" s="82" t="str">
        <x:v>CxVisual.Foundation.Volume</x:v>
      </x:c>
      <x:c r="I130" s="82" t="str">
        <x:v>需核原方法签名/行为、状态、依赖及实例生命周期</x:v>
      </x:c>
      <x:c r="J130" s="82" t="str">
        <x:v>V7.8词法声明证据</x:v>
      </x:c>
      <x:c r="K130" s="82" t="str">
        <x:v>设计审查中/未执行实测</x:v>
      </x:c>
    </x:row>
    <x:row r="131">
      <x:c r="A131" s="82" t="str">
        <x:v>F12.VolumeBuffer</x:v>
      </x:c>
      <x:c r="B131" s="82" t="str">
        <x:v>F12</x:v>
      </x:c>
      <x:c r="C131" s="82" t="str">
        <x:v>CxVisual.Foundation.Volume</x:v>
      </x:c>
      <x:c r="D131" s="82" t="str">
        <x:v>VolumeBuffer</x:v>
      </x:c>
      <x:c r="E131" s="82" t="n">
        <x:v>0</x:v>
      </x:c>
      <x:c r="F131" s="82" t="str">
        <x:v>—</x:v>
      </x:c>
      <x:c r="G131" s="82" t="str">
        <x:v>尚未逐项裁决</x:v>
      </x:c>
      <x:c r="H131" s="82" t="str">
        <x:v>CxVisual.Foundation.Volume</x:v>
      </x:c>
      <x:c r="I131" s="82" t="str">
        <x:v>需核原方法签名/行为、状态、依赖及实例生命周期</x:v>
      </x:c>
      <x:c r="J131" s="82" t="str">
        <x:v>V7.8词法声明证据</x:v>
      </x:c>
      <x:c r="K131" s="82" t="str">
        <x:v>设计审查中/未执行实测</x:v>
      </x:c>
    </x:row>
    <x:row r="132">
      <x:c r="A132" s="82" t="str">
        <x:v>F12.VolumeResamplingOps</x:v>
      </x:c>
      <x:c r="B132" s="82" t="str">
        <x:v>F12</x:v>
      </x:c>
      <x:c r="C132" s="82" t="str">
        <x:v>CxVisual.Foundation.Volume</x:v>
      </x:c>
      <x:c r="D132" s="82" t="str">
        <x:v>VolumeResamplingOps</x:v>
      </x:c>
      <x:c r="E132" s="82" t="n">
        <x:v>0</x:v>
      </x:c>
      <x:c r="F132" s="82" t="str">
        <x:v>—</x:v>
      </x:c>
      <x:c r="G132" s="82" t="str">
        <x:v>尚未逐项裁决</x:v>
      </x:c>
      <x:c r="H132" s="82" t="str">
        <x:v>CxVisual.Foundation.Volume</x:v>
      </x:c>
      <x:c r="I132" s="82" t="str">
        <x:v>需核原方法签名/行为、状态、依赖及实例生命周期</x:v>
      </x:c>
      <x:c r="J132" s="82" t="str">
        <x:v>V7.8词法声明证据</x:v>
      </x:c>
      <x:c r="K132" s="82" t="str">
        <x:v>设计审查中/未执行实测</x:v>
      </x:c>
    </x:row>
    <x:row r="133">
      <x:c r="A133" s="82" t="str">
        <x:v>F12.VolumeShape</x:v>
      </x:c>
      <x:c r="B133" s="82" t="str">
        <x:v>F12</x:v>
      </x:c>
      <x:c r="C133" s="82" t="str">
        <x:v>CxVisual.Foundation.Volume</x:v>
      </x:c>
      <x:c r="D133" s="82" t="str">
        <x:v>VolumeShape</x:v>
      </x:c>
      <x:c r="E133" s="82" t="n">
        <x:v>0</x:v>
      </x:c>
      <x:c r="F133" s="82" t="str">
        <x:v>—</x:v>
      </x:c>
      <x:c r="G133" s="82" t="str">
        <x:v>尚未逐项裁决</x:v>
      </x:c>
      <x:c r="H133" s="82" t="str">
        <x:v>CxVisual.Foundation.Volume</x:v>
      </x:c>
      <x:c r="I133" s="82" t="str">
        <x:v>需核原方法签名/行为、状态、依赖及实例生命周期</x:v>
      </x:c>
      <x:c r="J133" s="82" t="str">
        <x:v>V7.8词法声明证据</x:v>
      </x:c>
      <x:c r="K133" s="82" t="str">
        <x:v>设计审查中/未执行实测</x:v>
      </x:c>
    </x:row>
    <x:row r="134">
      <x:c r="A134" s="82" t="str">
        <x:v>F12.VolumeSpace</x:v>
      </x:c>
      <x:c r="B134" s="82" t="str">
        <x:v>F12</x:v>
      </x:c>
      <x:c r="C134" s="82" t="str">
        <x:v>CxVisual.Foundation.Volume</x:v>
      </x:c>
      <x:c r="D134" s="82" t="str">
        <x:v>VolumeSpace</x:v>
      </x:c>
      <x:c r="E134" s="82" t="n">
        <x:v>0</x:v>
      </x:c>
      <x:c r="F134" s="82" t="str">
        <x:v>—</x:v>
      </x:c>
      <x:c r="G134" s="82" t="str">
        <x:v>尚未逐项裁决</x:v>
      </x:c>
      <x:c r="H134" s="82" t="str">
        <x:v>CxVisual.Foundation.Volume</x:v>
      </x:c>
      <x:c r="I134" s="82" t="str">
        <x:v>需核原方法签名/行为、状态、依赖及实例生命周期</x:v>
      </x:c>
      <x:c r="J134" s="82" t="str">
        <x:v>V7.8词法声明证据</x:v>
      </x:c>
      <x:c r="K134" s="82" t="str">
        <x:v>设计审查中/未执行实测</x:v>
      </x:c>
    </x:row>
    <x:row r="135">
      <x:c r="A135" s="82" t="str">
        <x:v>F12.VoxelProcessingOps</x:v>
      </x:c>
      <x:c r="B135" s="82" t="str">
        <x:v>F12</x:v>
      </x:c>
      <x:c r="C135" s="82" t="str">
        <x:v>CxVisual.Foundation.Volume</x:v>
      </x:c>
      <x:c r="D135" s="82" t="str">
        <x:v>VoxelProcessingOps</x:v>
      </x:c>
      <x:c r="E135" s="82" t="n">
        <x:v>0</x:v>
      </x:c>
      <x:c r="F135" s="82" t="str">
        <x:v>—</x:v>
      </x:c>
      <x:c r="G135" s="82" t="str">
        <x:v>尚未逐项裁决</x:v>
      </x:c>
      <x:c r="H135" s="82" t="str">
        <x:v>CxVisual.Foundation.Volume</x:v>
      </x:c>
      <x:c r="I135" s="82" t="str">
        <x:v>需核原方法签名/行为、状态、依赖及实例生命周期</x:v>
      </x:c>
      <x:c r="J135" s="82" t="str">
        <x:v>V7.8词法声明证据</x:v>
      </x:c>
      <x:c r="K135" s="82" t="str">
        <x:v>设计审查中/未执行实测</x:v>
      </x:c>
    </x:row>
    <x:row r="136">
      <x:c r="A136" s="82" t="str">
        <x:v>F12.VoxelSpacing</x:v>
      </x:c>
      <x:c r="B136" s="82" t="str">
        <x:v>F12</x:v>
      </x:c>
      <x:c r="C136" s="82" t="str">
        <x:v>CxVisual.Foundation.Volume</x:v>
      </x:c>
      <x:c r="D136" s="82" t="str">
        <x:v>VoxelSpacing</x:v>
      </x:c>
      <x:c r="E136" s="82" t="n">
        <x:v>0</x:v>
      </x:c>
      <x:c r="F136" s="82" t="str">
        <x:v>—</x:v>
      </x:c>
      <x:c r="G136" s="82" t="str">
        <x:v>尚未逐项裁决</x:v>
      </x:c>
      <x:c r="H136" s="82" t="str">
        <x:v>CxVisual.Foundation.Volume</x:v>
      </x:c>
      <x:c r="I136" s="82" t="str">
        <x:v>需核原方法签名/行为、状态、依赖及实例生命周期</x:v>
      </x:c>
      <x:c r="J136" s="82" t="str">
        <x:v>V7.8词法声明证据</x:v>
      </x:c>
      <x:c r="K136" s="82" t="str">
        <x:v>设计审查中/未执行实测</x:v>
      </x:c>
    </x:row>
    <x:row r="137">
      <x:c r="A137" s="82" t="str">
        <x:v>F12.VoxelType</x:v>
      </x:c>
      <x:c r="B137" s="82" t="str">
        <x:v>F12</x:v>
      </x:c>
      <x:c r="C137" s="82" t="str">
        <x:v>CxVisual.Foundation.Volume</x:v>
      </x:c>
      <x:c r="D137" s="82" t="str">
        <x:v>VoxelType</x:v>
      </x:c>
      <x:c r="E137" s="82" t="n">
        <x:v>0</x:v>
      </x:c>
      <x:c r="F137" s="82" t="str">
        <x:v>—</x:v>
      </x:c>
      <x:c r="G137" s="82" t="str">
        <x:v>尚未逐项裁决</x:v>
      </x:c>
      <x:c r="H137" s="82" t="str">
        <x:v>CxVisual.Foundation.Volume</x:v>
      </x:c>
      <x:c r="I137" s="82" t="str">
        <x:v>需核原方法签名/行为、状态、依赖及实例生命周期</x:v>
      </x:c>
      <x:c r="J137" s="82" t="str">
        <x:v>V7.8词法声明证据</x:v>
      </x:c>
      <x:c r="K137" s="82" t="str">
        <x:v>设计审查中/未执行实测</x:v>
      </x:c>
    </x:row>
    <x:row r="138">
      <x:c r="A138" s="82" t="str">
        <x:v>F13.QuantizationOps</x:v>
      </x:c>
      <x:c r="B138" s="82" t="str">
        <x:v>F13</x:v>
      </x:c>
      <x:c r="C138" s="82" t="str">
        <x:v>CxVisual.Foundation.Numerics</x:v>
      </x:c>
      <x:c r="D138" s="82" t="str">
        <x:v>QuantizationOps</x:v>
      </x:c>
      <x:c r="E138" s="82" t="n">
        <x:v>0</x:v>
      </x:c>
      <x:c r="F138" s="82" t="str">
        <x:v>—</x:v>
      </x:c>
      <x:c r="G138" s="82" t="str">
        <x:v>尚未逐项裁决</x:v>
      </x:c>
      <x:c r="H138" s="82" t="str">
        <x:v>CxVisual.Foundation.Numerics</x:v>
      </x:c>
      <x:c r="I138" s="82" t="str">
        <x:v>需核原方法签名/行为、状态、依赖及实例生命周期</x:v>
      </x:c>
      <x:c r="J138" s="82" t="str">
        <x:v>V7.8词法声明证据</x:v>
      </x:c>
      <x:c r="K138" s="82" t="str">
        <x:v>设计审查中/未执行实测</x:v>
      </x:c>
    </x:row>
    <x:row r="139">
      <x:c r="A139" s="82" t="str">
        <x:v>F13.TensorDType</x:v>
      </x:c>
      <x:c r="B139" s="82" t="str">
        <x:v>F13</x:v>
      </x:c>
      <x:c r="C139" s="82" t="str">
        <x:v>CxVisual.Foundation.Numerics</x:v>
      </x:c>
      <x:c r="D139" s="82" t="str">
        <x:v>TensorDType</x:v>
      </x:c>
      <x:c r="E139" s="82" t="n">
        <x:v>0</x:v>
      </x:c>
      <x:c r="F139" s="82" t="str">
        <x:v>—</x:v>
      </x:c>
      <x:c r="G139" s="82" t="str">
        <x:v>尚未逐项裁决</x:v>
      </x:c>
      <x:c r="H139" s="82" t="str">
        <x:v>CxVisual.Foundation.Numerics</x:v>
      </x:c>
      <x:c r="I139" s="82" t="str">
        <x:v>需核原方法签名/行为、状态、依赖及实例生命周期</x:v>
      </x:c>
      <x:c r="J139" s="82" t="str">
        <x:v>V7.8词法声明证据</x:v>
      </x:c>
      <x:c r="K139" s="82" t="str">
        <x:v>设计审查中/未执行实测</x:v>
      </x:c>
    </x:row>
    <x:row r="140">
      <x:c r="A140" s="82" t="str">
        <x:v>F13.TensorIndexOps</x:v>
      </x:c>
      <x:c r="B140" s="82" t="str">
        <x:v>F13</x:v>
      </x:c>
      <x:c r="C140" s="82" t="str">
        <x:v>CxVisual.Foundation.Numerics</x:v>
      </x:c>
      <x:c r="D140" s="82" t="str">
        <x:v>TensorIndexOps</x:v>
      </x:c>
      <x:c r="E140" s="82" t="n">
        <x:v>0</x:v>
      </x:c>
      <x:c r="F140" s="82" t="str">
        <x:v>—</x:v>
      </x:c>
      <x:c r="G140" s="82" t="str">
        <x:v>尚未逐项裁决</x:v>
      </x:c>
      <x:c r="H140" s="82" t="str">
        <x:v>CxVisual.Foundation.Numerics</x:v>
      </x:c>
      <x:c r="I140" s="82" t="str">
        <x:v>需核原方法签名/行为、状态、依赖及实例生命周期</x:v>
      </x:c>
      <x:c r="J140" s="82" t="str">
        <x:v>V7.8词法声明证据</x:v>
      </x:c>
      <x:c r="K140" s="82" t="str">
        <x:v>设计审查中/未执行实测</x:v>
      </x:c>
    </x:row>
    <x:row r="141">
      <x:c r="A141" s="82" t="str">
        <x:v>F13.TensorLayout</x:v>
      </x:c>
      <x:c r="B141" s="82" t="str">
        <x:v>F13</x:v>
      </x:c>
      <x:c r="C141" s="82" t="str">
        <x:v>CxVisual.Foundation.Numerics</x:v>
      </x:c>
      <x:c r="D141" s="82" t="str">
        <x:v>TensorLayout</x:v>
      </x:c>
      <x:c r="E141" s="82" t="n">
        <x:v>0</x:v>
      </x:c>
      <x:c r="F141" s="82" t="str">
        <x:v>—</x:v>
      </x:c>
      <x:c r="G141" s="82" t="str">
        <x:v>尚未逐项裁决</x:v>
      </x:c>
      <x:c r="H141" s="82" t="str">
        <x:v>CxVisual.Foundation.Numerics</x:v>
      </x:c>
      <x:c r="I141" s="82" t="str">
        <x:v>需核原方法签名/行为、状态、依赖及实例生命周期</x:v>
      </x:c>
      <x:c r="J141" s="82" t="str">
        <x:v>V7.8词法声明证据</x:v>
      </x:c>
      <x:c r="K141" s="82" t="str">
        <x:v>设计审查中/未执行实测</x:v>
      </x:c>
    </x:row>
    <x:row r="142">
      <x:c r="A142" s="82" t="str">
        <x:v>F13.TensorMathOps</x:v>
      </x:c>
      <x:c r="B142" s="82" t="str">
        <x:v>F13</x:v>
      </x:c>
      <x:c r="C142" s="82" t="str">
        <x:v>CxVisual.Foundation.Numerics</x:v>
      </x:c>
      <x:c r="D142" s="82" t="str">
        <x:v>TensorMathOps</x:v>
      </x:c>
      <x:c r="E142" s="82" t="n">
        <x:v>0</x:v>
      </x:c>
      <x:c r="F142" s="82" t="str">
        <x:v>—</x:v>
      </x:c>
      <x:c r="G142" s="82" t="str">
        <x:v>尚未逐项裁决</x:v>
      </x:c>
      <x:c r="H142" s="82" t="str">
        <x:v>CxVisual.Foundation.Numerics</x:v>
      </x:c>
      <x:c r="I142" s="82" t="str">
        <x:v>需核原方法签名/行为、状态、依赖及实例生命周期</x:v>
      </x:c>
      <x:c r="J142" s="82" t="str">
        <x:v>V7.8词法声明证据</x:v>
      </x:c>
      <x:c r="K142" s="82" t="str">
        <x:v>设计审查中/未执行实测</x:v>
      </x:c>
    </x:row>
    <x:row r="143">
      <x:c r="A143" s="82" t="str">
        <x:v>F13.TensorNormalizationOps</x:v>
      </x:c>
      <x:c r="B143" s="82" t="str">
        <x:v>F13</x:v>
      </x:c>
      <x:c r="C143" s="82" t="str">
        <x:v>CxVisual.Foundation.Numerics</x:v>
      </x:c>
      <x:c r="D143" s="82" t="str">
        <x:v>TensorNormalizationOps</x:v>
      </x:c>
      <x:c r="E143" s="82" t="n">
        <x:v>0</x:v>
      </x:c>
      <x:c r="F143" s="82" t="str">
        <x:v>—</x:v>
      </x:c>
      <x:c r="G143" s="82" t="str">
        <x:v>尚未逐项裁决</x:v>
      </x:c>
      <x:c r="H143" s="82" t="str">
        <x:v>CxVisual.Foundation.Numerics</x:v>
      </x:c>
      <x:c r="I143" s="82" t="str">
        <x:v>需核原方法签名/行为、状态、依赖及实例生命周期</x:v>
      </x:c>
      <x:c r="J143" s="82" t="str">
        <x:v>V7.8词法声明证据</x:v>
      </x:c>
      <x:c r="K143" s="82" t="str">
        <x:v>设计审查中/未执行实测</x:v>
      </x:c>
    </x:row>
    <x:row r="144">
      <x:c r="A144" s="82" t="str">
        <x:v>F13.TensorShape</x:v>
      </x:c>
      <x:c r="B144" s="82" t="str">
        <x:v>F13</x:v>
      </x:c>
      <x:c r="C144" s="82" t="str">
        <x:v>CxVisual.Foundation.Numerics</x:v>
      </x:c>
      <x:c r="D144" s="82" t="str">
        <x:v>TensorShape</x:v>
      </x:c>
      <x:c r="E144" s="82" t="n">
        <x:v>0</x:v>
      </x:c>
      <x:c r="F144" s="82" t="str">
        <x:v>—</x:v>
      </x:c>
      <x:c r="G144" s="82" t="str">
        <x:v>尚未逐项裁决</x:v>
      </x:c>
      <x:c r="H144" s="82" t="str">
        <x:v>CxVisual.Foundation.Numerics</x:v>
      </x:c>
      <x:c r="I144" s="82" t="str">
        <x:v>需核原方法签名/行为、状态、依赖及实例生命周期</x:v>
      </x:c>
      <x:c r="J144" s="82" t="str">
        <x:v>V7.8词法声明证据</x:v>
      </x:c>
      <x:c r="K144" s="82" t="str">
        <x:v>设计审查中/未执行实测</x:v>
      </x:c>
    </x:row>
    <x:row r="145">
      <x:c r="A145" s="82" t="str">
        <x:v>F13.TensorView</x:v>
      </x:c>
      <x:c r="B145" s="82" t="str">
        <x:v>F13</x:v>
      </x:c>
      <x:c r="C145" s="82" t="str">
        <x:v>CxVisual.Foundation.Numerics</x:v>
      </x:c>
      <x:c r="D145" s="82" t="str">
        <x:v>TensorView</x:v>
      </x:c>
      <x:c r="E145" s="82" t="n">
        <x:v>0</x:v>
      </x:c>
      <x:c r="F145" s="82" t="str">
        <x:v>—</x:v>
      </x:c>
      <x:c r="G145" s="82" t="str">
        <x:v>尚未逐项裁决</x:v>
      </x:c>
      <x:c r="H145" s="82" t="str">
        <x:v>CxVisual.Foundation.Numerics</x:v>
      </x:c>
      <x:c r="I145" s="82" t="str">
        <x:v>需核原方法签名/行为、状态、依赖及实例生命周期</x:v>
      </x:c>
      <x:c r="J145" s="82" t="str">
        <x:v>V7.8词法声明证据</x:v>
      </x:c>
      <x:c r="K145" s="82" t="str">
        <x:v>设计审查中/未执行实测</x:v>
      </x:c>
    </x:row>
    <x:row r="146">
      <x:c r="A146" s="82" t="str">
        <x:v>F14.BinaryCodecUtil</x:v>
      </x:c>
      <x:c r="B146" s="82" t="str">
        <x:v>F14</x:v>
      </x:c>
      <x:c r="C146" s="82" t="str">
        <x:v>CxVisual.Foundation.Data</x:v>
      </x:c>
      <x:c r="D146" s="82" t="str">
        <x:v>BinaryCodecUtil</x:v>
      </x:c>
      <x:c r="E146" s="82" t="n">
        <x:v>0</x:v>
      </x:c>
      <x:c r="F146" s="82" t="str">
        <x:v>—</x:v>
      </x:c>
      <x:c r="G146" s="82" t="str">
        <x:v>尚未逐项裁决</x:v>
      </x:c>
      <x:c r="H146" s="82" t="str">
        <x:v>CxVisual.Foundation.Data</x:v>
      </x:c>
      <x:c r="I146" s="82" t="str">
        <x:v>需核原方法签名/行为、状态、依赖及实例生命周期</x:v>
      </x:c>
      <x:c r="J146" s="82" t="str">
        <x:v>V7.8词法声明证据</x:v>
      </x:c>
      <x:c r="K146" s="82" t="str">
        <x:v>设计审查中/未执行实测</x:v>
      </x:c>
    </x:row>
    <x:row r="147">
      <x:c r="A147" s="82" t="str">
        <x:v>F14.BinarySpanReader</x:v>
      </x:c>
      <x:c r="B147" s="82" t="str">
        <x:v>F14</x:v>
      </x:c>
      <x:c r="C147" s="82" t="str">
        <x:v>CxVisual.Foundation.Data</x:v>
      </x:c>
      <x:c r="D147" s="82" t="str">
        <x:v>BinarySpanReader</x:v>
      </x:c>
      <x:c r="E147" s="82" t="n">
        <x:v>0</x:v>
      </x:c>
      <x:c r="F147" s="82" t="str">
        <x:v>—</x:v>
      </x:c>
      <x:c r="G147" s="82" t="str">
        <x:v>尚未逐项裁决</x:v>
      </x:c>
      <x:c r="H147" s="82" t="str">
        <x:v>CxVisual.Foundation.Data</x:v>
      </x:c>
      <x:c r="I147" s="82" t="str">
        <x:v>需核原方法签名/行为、状态、依赖及实例生命周期</x:v>
      </x:c>
      <x:c r="J147" s="82" t="str">
        <x:v>V7.8词法声明证据</x:v>
      </x:c>
      <x:c r="K147" s="82" t="str">
        <x:v>设计审查中/未执行实测</x:v>
      </x:c>
    </x:row>
    <x:row r="148">
      <x:c r="A148" s="82" t="str">
        <x:v>F14.BinarySpanWriter</x:v>
      </x:c>
      <x:c r="B148" s="82" t="str">
        <x:v>F14</x:v>
      </x:c>
      <x:c r="C148" s="82" t="str">
        <x:v>CxVisual.Foundation.Data</x:v>
      </x:c>
      <x:c r="D148" s="82" t="str">
        <x:v>BinarySpanWriter</x:v>
      </x:c>
      <x:c r="E148" s="82" t="n">
        <x:v>0</x:v>
      </x:c>
      <x:c r="F148" s="82" t="str">
        <x:v>—</x:v>
      </x:c>
      <x:c r="G148" s="82" t="str">
        <x:v>尚未逐项裁决</x:v>
      </x:c>
      <x:c r="H148" s="82" t="str">
        <x:v>CxVisual.Foundation.Data</x:v>
      </x:c>
      <x:c r="I148" s="82" t="str">
        <x:v>需核原方法签名/行为、状态、依赖及实例生命周期</x:v>
      </x:c>
      <x:c r="J148" s="82" t="str">
        <x:v>V7.8词法声明证据</x:v>
      </x:c>
      <x:c r="K148" s="82" t="str">
        <x:v>设计审查中/未执行实测</x:v>
      </x:c>
    </x:row>
    <x:row r="149">
      <x:c r="A149" s="82" t="str">
        <x:v>F14.ByteSlice</x:v>
      </x:c>
      <x:c r="B149" s="82" t="str">
        <x:v>F14</x:v>
      </x:c>
      <x:c r="C149" s="82" t="str">
        <x:v>CxVisual.Foundation.Data</x:v>
      </x:c>
      <x:c r="D149" s="82" t="str">
        <x:v>ByteSlice</x:v>
      </x:c>
      <x:c r="E149" s="82" t="n">
        <x:v>0</x:v>
      </x:c>
      <x:c r="F149" s="82" t="str">
        <x:v>—</x:v>
      </x:c>
      <x:c r="G149" s="82" t="str">
        <x:v>尚未逐项裁决</x:v>
      </x:c>
      <x:c r="H149" s="82" t="str">
        <x:v>CxVisual.Foundation.Data</x:v>
      </x:c>
      <x:c r="I149" s="82" t="str">
        <x:v>需核原方法签名/行为、状态、依赖及实例生命周期</x:v>
      </x:c>
      <x:c r="J149" s="82" t="str">
        <x:v>V7.8词法声明证据</x:v>
      </x:c>
      <x:c r="K149" s="82" t="str">
        <x:v>设计审查中/未执行实测</x:v>
      </x:c>
    </x:row>
    <x:row r="150">
      <x:c r="A150" s="82" t="str">
        <x:v>F14.ChecksumUtil</x:v>
      </x:c>
      <x:c r="B150" s="82" t="str">
        <x:v>F14</x:v>
      </x:c>
      <x:c r="C150" s="82" t="str">
        <x:v>CxVisual.Foundation.Data</x:v>
      </x:c>
      <x:c r="D150" s="82" t="str">
        <x:v>ChecksumUtil</x:v>
      </x:c>
      <x:c r="E150" s="82" t="n">
        <x:v>0</x:v>
      </x:c>
      <x:c r="F150" s="82" t="str">
        <x:v>—</x:v>
      </x:c>
      <x:c r="G150" s="82" t="str">
        <x:v>尚未逐项裁决</x:v>
      </x:c>
      <x:c r="H150" s="82" t="str">
        <x:v>CxVisual.Foundation.Data</x:v>
      </x:c>
      <x:c r="I150" s="82" t="str">
        <x:v>需核原方法签名/行为、状态、依赖及实例生命周期</x:v>
      </x:c>
      <x:c r="J150" s="82" t="str">
        <x:v>V7.8词法声明证据</x:v>
      </x:c>
      <x:c r="K150" s="82" t="str">
        <x:v>设计审查中/未执行实测</x:v>
      </x:c>
    </x:row>
    <x:row r="151">
      <x:c r="A151" s="82" t="str">
        <x:v>F14.CompressionOps</x:v>
      </x:c>
      <x:c r="B151" s="82" t="str">
        <x:v>F14</x:v>
      </x:c>
      <x:c r="C151" s="82" t="str">
        <x:v>CxVisual.Foundation.Data</x:v>
      </x:c>
      <x:c r="D151" s="82" t="str">
        <x:v>CompressionOps</x:v>
      </x:c>
      <x:c r="E151" s="82" t="n">
        <x:v>0</x:v>
      </x:c>
      <x:c r="F151" s="82" t="str">
        <x:v>—</x:v>
      </x:c>
      <x:c r="G151" s="82" t="str">
        <x:v>尚未逐项裁决</x:v>
      </x:c>
      <x:c r="H151" s="82" t="str">
        <x:v>CxVisual.Foundation.Data</x:v>
      </x:c>
      <x:c r="I151" s="82" t="str">
        <x:v>需核原方法签名/行为、状态、依赖及实例生命周期</x:v>
      </x:c>
      <x:c r="J151" s="82" t="str">
        <x:v>V7.8词法声明证据</x:v>
      </x:c>
      <x:c r="K151" s="82" t="str">
        <x:v>设计审查中/未执行实测</x:v>
      </x:c>
    </x:row>
    <x:row r="152">
      <x:c r="A152" s="82" t="str">
        <x:v>F14.CsvCodec</x:v>
      </x:c>
      <x:c r="B152" s="82" t="str">
        <x:v>F14</x:v>
      </x:c>
      <x:c r="C152" s="82" t="str">
        <x:v>CxVisual.Foundation.Data</x:v>
      </x:c>
      <x:c r="D152" s="82" t="str">
        <x:v>CsvCodec</x:v>
      </x:c>
      <x:c r="E152" s="82" t="n">
        <x:v>0</x:v>
      </x:c>
      <x:c r="F152" s="82" t="str">
        <x:v>—</x:v>
      </x:c>
      <x:c r="G152" s="82" t="str">
        <x:v>尚未逐项裁决</x:v>
      </x:c>
      <x:c r="H152" s="82" t="str">
        <x:v>CxVisual.Foundation.Data</x:v>
      </x:c>
      <x:c r="I152" s="82" t="str">
        <x:v>需核原方法签名/行为、状态、依赖及实例生命周期</x:v>
      </x:c>
      <x:c r="J152" s="82" t="str">
        <x:v>V7.8词法声明证据</x:v>
      </x:c>
      <x:c r="K152" s="82" t="str">
        <x:v>设计审查中/未执行实测</x:v>
      </x:c>
    </x:row>
    <x:row r="153">
      <x:c r="A153" s="82" t="str">
        <x:v>F14.FrameCodecUtil</x:v>
      </x:c>
      <x:c r="B153" s="82" t="str">
        <x:v>F14</x:v>
      </x:c>
      <x:c r="C153" s="82" t="str">
        <x:v>CxVisual.Foundation.Data</x:v>
      </x:c>
      <x:c r="D153" s="82" t="str">
        <x:v>FrameCodecUtil</x:v>
      </x:c>
      <x:c r="E153" s="82" t="n">
        <x:v>0</x:v>
      </x:c>
      <x:c r="F153" s="82" t="str">
        <x:v>—</x:v>
      </x:c>
      <x:c r="G153" s="82" t="str">
        <x:v>尚未逐项裁决</x:v>
      </x:c>
      <x:c r="H153" s="82" t="str">
        <x:v>CxVisual.Foundation.Data</x:v>
      </x:c>
      <x:c r="I153" s="82" t="str">
        <x:v>需核原方法签名/行为、状态、依赖及实例生命周期</x:v>
      </x:c>
      <x:c r="J153" s="82" t="str">
        <x:v>V7.8词法声明证据</x:v>
      </x:c>
      <x:c r="K153" s="82" t="str">
        <x:v>设计审查中/未执行实测</x:v>
      </x:c>
    </x:row>
    <x:row r="154">
      <x:c r="A154" s="82" t="str">
        <x:v>F14.JsonCodec</x:v>
      </x:c>
      <x:c r="B154" s="82" t="str">
        <x:v>F14</x:v>
      </x:c>
      <x:c r="C154" s="82" t="str">
        <x:v>CxVisual.Foundation.Data</x:v>
      </x:c>
      <x:c r="D154" s="82" t="str">
        <x:v>JsonCodec</x:v>
      </x:c>
      <x:c r="E154" s="82" t="n">
        <x:v>0</x:v>
      </x:c>
      <x:c r="F154" s="82" t="str">
        <x:v>—</x:v>
      </x:c>
      <x:c r="G154" s="82" t="str">
        <x:v>尚未逐项裁决</x:v>
      </x:c>
      <x:c r="H154" s="82" t="str">
        <x:v>CxVisual.Foundation.Data</x:v>
      </x:c>
      <x:c r="I154" s="82" t="str">
        <x:v>需核原方法签名/行为、状态、依赖及实例生命周期</x:v>
      </x:c>
      <x:c r="J154" s="82" t="str">
        <x:v>V7.8词法声明证据</x:v>
      </x:c>
      <x:c r="K154" s="82" t="str">
        <x:v>设计审查中/未执行实测</x:v>
      </x:c>
    </x:row>
    <x:row r="155">
      <x:c r="A155" s="82" t="str">
        <x:v>F14.JsonValueUtil</x:v>
      </x:c>
      <x:c r="B155" s="82" t="str">
        <x:v>F14</x:v>
      </x:c>
      <x:c r="C155" s="82" t="str">
        <x:v>CxVisual.Foundation.Data</x:v>
      </x:c>
      <x:c r="D155" s="82" t="str">
        <x:v>JsonValueUtil</x:v>
      </x:c>
      <x:c r="E155" s="82" t="n">
        <x:v>0</x:v>
      </x:c>
      <x:c r="F155" s="82" t="str">
        <x:v>—</x:v>
      </x:c>
      <x:c r="G155" s="82" t="str">
        <x:v>尚未逐项裁决</x:v>
      </x:c>
      <x:c r="H155" s="82" t="str">
        <x:v>CxVisual.Foundation.Data</x:v>
      </x:c>
      <x:c r="I155" s="82" t="str">
        <x:v>需核原方法签名/行为、状态、依赖及实例生命周期</x:v>
      </x:c>
      <x:c r="J155" s="82" t="str">
        <x:v>V7.8词法声明证据</x:v>
      </x:c>
      <x:c r="K155" s="82" t="str">
        <x:v>设计审查中/未执行实测</x:v>
      </x:c>
    </x:row>
    <x:row r="156">
      <x:c r="A156" s="82" t="str">
        <x:v>F14.MessageFrame</x:v>
      </x:c>
      <x:c r="B156" s="82" t="str">
        <x:v>F14</x:v>
      </x:c>
      <x:c r="C156" s="82" t="str">
        <x:v>CxVisual.Foundation.Data</x:v>
      </x:c>
      <x:c r="D156" s="82" t="str">
        <x:v>MessageFrame</x:v>
      </x:c>
      <x:c r="E156" s="82" t="n">
        <x:v>0</x:v>
      </x:c>
      <x:c r="F156" s="82" t="str">
        <x:v>—</x:v>
      </x:c>
      <x:c r="G156" s="82" t="str">
        <x:v>尚未逐项裁决</x:v>
      </x:c>
      <x:c r="H156" s="82" t="str">
        <x:v>CxVisual.Foundation.Data</x:v>
      </x:c>
      <x:c r="I156" s="82" t="str">
        <x:v>需核原方法签名/行为、状态、依赖及实例生命周期</x:v>
      </x:c>
      <x:c r="J156" s="82" t="str">
        <x:v>V7.8词法声明证据</x:v>
      </x:c>
      <x:c r="K156" s="82" t="str">
        <x:v>设计审查中/未执行实测</x:v>
      </x:c>
    </x:row>
    <x:row r="157">
      <x:c r="A157" s="82" t="str">
        <x:v>F14.XmlCodec</x:v>
      </x:c>
      <x:c r="B157" s="82" t="str">
        <x:v>F14</x:v>
      </x:c>
      <x:c r="C157" s="82" t="str">
        <x:v>CxVisual.Foundation.Data</x:v>
      </x:c>
      <x:c r="D157" s="82" t="str">
        <x:v>XmlCodec</x:v>
      </x:c>
      <x:c r="E157" s="82" t="n">
        <x:v>0</x:v>
      </x:c>
      <x:c r="F157" s="82" t="str">
        <x:v>—</x:v>
      </x:c>
      <x:c r="G157" s="82" t="str">
        <x:v>尚未逐项裁决</x:v>
      </x:c>
      <x:c r="H157" s="82" t="str">
        <x:v>CxVisual.Foundation.Data</x:v>
      </x:c>
      <x:c r="I157" s="82" t="str">
        <x:v>需核原方法签名/行为、状态、依赖及实例生命周期</x:v>
      </x:c>
      <x:c r="J157" s="82" t="str">
        <x:v>V7.8词法声明证据</x:v>
      </x:c>
      <x:c r="K157" s="82" t="str">
        <x:v>设计审查中/未执行实测</x:v>
      </x:c>
    </x:row>
    <x:row r="158">
      <x:c r="A158" s="82" t="str">
        <x:v>F14.YamlCodec</x:v>
      </x:c>
      <x:c r="B158" s="82" t="str">
        <x:v>F14</x:v>
      </x:c>
      <x:c r="C158" s="82" t="str">
        <x:v>CxVisual.Foundation.Data</x:v>
      </x:c>
      <x:c r="D158" s="82" t="str">
        <x:v>YamlCodec</x:v>
      </x:c>
      <x:c r="E158" s="82" t="n">
        <x:v>0</x:v>
      </x:c>
      <x:c r="F158" s="82" t="str">
        <x:v>—</x:v>
      </x:c>
      <x:c r="G158" s="82" t="str">
        <x:v>尚未逐项裁决</x:v>
      </x:c>
      <x:c r="H158" s="82" t="str">
        <x:v>CxVisual.Foundation.Data</x:v>
      </x:c>
      <x:c r="I158" s="82" t="str">
        <x:v>需核原方法签名/行为、状态、依赖及实例生命周期</x:v>
      </x:c>
      <x:c r="J158" s="82" t="str">
        <x:v>V7.8词法声明证据</x:v>
      </x:c>
      <x:c r="K158" s="82" t="str">
        <x:v>设计审查中/未执行实测</x:v>
      </x:c>
    </x:row>
    <x:row r="159">
      <x:c r="A159" s="82" t="str">
        <x:v>F15.ConfigKey</x:v>
      </x:c>
      <x:c r="B159" s="82" t="str">
        <x:v>F15</x:v>
      </x:c>
      <x:c r="C159" s="82" t="str">
        <x:v>CxVisual.Foundation.Data</x:v>
      </x:c>
      <x:c r="D159" s="82" t="str">
        <x:v>ConfigKey</x:v>
      </x:c>
      <x:c r="E159" s="82" t="n">
        <x:v>0</x:v>
      </x:c>
      <x:c r="F159" s="82" t="str">
        <x:v>—</x:v>
      </x:c>
      <x:c r="G159" s="82" t="str">
        <x:v>尚未逐项裁决</x:v>
      </x:c>
      <x:c r="H159" s="82" t="str">
        <x:v>CxVisual.Foundation.Data</x:v>
      </x:c>
      <x:c r="I159" s="82" t="str">
        <x:v>需核原方法签名/行为、状态、依赖及实例生命周期</x:v>
      </x:c>
      <x:c r="J159" s="82" t="str">
        <x:v>V7.8词法声明证据</x:v>
      </x:c>
      <x:c r="K159" s="82" t="str">
        <x:v>设计审查中/未执行实测</x:v>
      </x:c>
    </x:row>
    <x:row r="160">
      <x:c r="A160" s="82" t="str">
        <x:v>F15.ConfigLayer</x:v>
      </x:c>
      <x:c r="B160" s="82" t="str">
        <x:v>F15</x:v>
      </x:c>
      <x:c r="C160" s="82" t="str">
        <x:v>CxVisual.Foundation.Data</x:v>
      </x:c>
      <x:c r="D160" s="82" t="str">
        <x:v>ConfigLayer</x:v>
      </x:c>
      <x:c r="E160" s="82" t="n">
        <x:v>0</x:v>
      </x:c>
      <x:c r="F160" s="82" t="str">
        <x:v>—</x:v>
      </x:c>
      <x:c r="G160" s="82" t="str">
        <x:v>尚未逐项裁决</x:v>
      </x:c>
      <x:c r="H160" s="82" t="str">
        <x:v>CxVisual.Foundation.Data</x:v>
      </x:c>
      <x:c r="I160" s="82" t="str">
        <x:v>需核原方法签名/行为、状态、依赖及实例生命周期</x:v>
      </x:c>
      <x:c r="J160" s="82" t="str">
        <x:v>V7.8词法声明证据</x:v>
      </x:c>
      <x:c r="K160" s="82" t="str">
        <x:v>设计审查中/未执行实测</x:v>
      </x:c>
    </x:row>
    <x:row r="161">
      <x:c r="A161" s="82" t="str">
        <x:v>F15.ConfigMergeUtil</x:v>
      </x:c>
      <x:c r="B161" s="82" t="str">
        <x:v>F15</x:v>
      </x:c>
      <x:c r="C161" s="82" t="str">
        <x:v>CxVisual.Foundation.Data</x:v>
      </x:c>
      <x:c r="D161" s="82" t="str">
        <x:v>ConfigMergeUtil</x:v>
      </x:c>
      <x:c r="E161" s="82" t="n">
        <x:v>0</x:v>
      </x:c>
      <x:c r="F161" s="82" t="str">
        <x:v>—</x:v>
      </x:c>
      <x:c r="G161" s="82" t="str">
        <x:v>尚未逐项裁决</x:v>
      </x:c>
      <x:c r="H161" s="82" t="str">
        <x:v>CxVisual.Foundation.Data</x:v>
      </x:c>
      <x:c r="I161" s="82" t="str">
        <x:v>需核原方法签名/行为、状态、依赖及实例生命周期</x:v>
      </x:c>
      <x:c r="J161" s="82" t="str">
        <x:v>V7.8词法声明证据</x:v>
      </x:c>
      <x:c r="K161" s="82" t="str">
        <x:v>设计审查中/未执行实测</x:v>
      </x:c>
    </x:row>
    <x:row r="162">
      <x:c r="A162" s="82" t="str">
        <x:v>F15.ConfigParsingUtil</x:v>
      </x:c>
      <x:c r="B162" s="82" t="str">
        <x:v>F15</x:v>
      </x:c>
      <x:c r="C162" s="82" t="str">
        <x:v>CxVisual.Foundation.Data</x:v>
      </x:c>
      <x:c r="D162" s="82" t="str">
        <x:v>ConfigParsingUtil</x:v>
      </x:c>
      <x:c r="E162" s="82" t="n">
        <x:v>0</x:v>
      </x:c>
      <x:c r="F162" s="82" t="str">
        <x:v>—</x:v>
      </x:c>
      <x:c r="G162" s="82" t="str">
        <x:v>尚未逐项裁决</x:v>
      </x:c>
      <x:c r="H162" s="82" t="str">
        <x:v>CxVisual.Foundation.Data</x:v>
      </x:c>
      <x:c r="I162" s="82" t="str">
        <x:v>需核原方法签名/行为、状态、依赖及实例生命周期</x:v>
      </x:c>
      <x:c r="J162" s="82" t="str">
        <x:v>V7.8词法声明证据</x:v>
      </x:c>
      <x:c r="K162" s="82" t="str">
        <x:v>设计审查中/未执行实测</x:v>
      </x:c>
    </x:row>
    <x:row r="163">
      <x:c r="A163" s="82" t="str">
        <x:v>F15.ConfigPathUtil</x:v>
      </x:c>
      <x:c r="B163" s="82" t="str">
        <x:v>F15</x:v>
      </x:c>
      <x:c r="C163" s="82" t="str">
        <x:v>CxVisual.Foundation.Data</x:v>
      </x:c>
      <x:c r="D163" s="82" t="str">
        <x:v>ConfigPathUtil</x:v>
      </x:c>
      <x:c r="E163" s="82" t="n">
        <x:v>0</x:v>
      </x:c>
      <x:c r="F163" s="82" t="str">
        <x:v>—</x:v>
      </x:c>
      <x:c r="G163" s="82" t="str">
        <x:v>尚未逐项裁决</x:v>
      </x:c>
      <x:c r="H163" s="82" t="str">
        <x:v>CxVisual.Foundation.Data</x:v>
      </x:c>
      <x:c r="I163" s="82" t="str">
        <x:v>需核原方法签名/行为、状态、依赖及实例生命周期</x:v>
      </x:c>
      <x:c r="J163" s="82" t="str">
        <x:v>V7.8词法声明证据</x:v>
      </x:c>
      <x:c r="K163" s="82" t="str">
        <x:v>设计审查中/未执行实测</x:v>
      </x:c>
    </x:row>
    <x:row r="164">
      <x:c r="A164" s="82" t="str">
        <x:v>F15.ConfigSchema</x:v>
      </x:c>
      <x:c r="B164" s="82" t="str">
        <x:v>F15</x:v>
      </x:c>
      <x:c r="C164" s="82" t="str">
        <x:v>CxVisual.Foundation.Data</x:v>
      </x:c>
      <x:c r="D164" s="82" t="str">
        <x:v>ConfigSchema</x:v>
      </x:c>
      <x:c r="E164" s="82" t="n">
        <x:v>0</x:v>
      </x:c>
      <x:c r="F164" s="82" t="str">
        <x:v>—</x:v>
      </x:c>
      <x:c r="G164" s="82" t="str">
        <x:v>尚未逐项裁决</x:v>
      </x:c>
      <x:c r="H164" s="82" t="str">
        <x:v>CxVisual.Foundation.Data</x:v>
      </x:c>
      <x:c r="I164" s="82" t="str">
        <x:v>需核原方法签名/行为、状态、依赖及实例生命周期</x:v>
      </x:c>
      <x:c r="J164" s="82" t="str">
        <x:v>V7.8词法声明证据</x:v>
      </x:c>
      <x:c r="K164" s="82" t="str">
        <x:v>设计审查中/未执行实测</x:v>
      </x:c>
    </x:row>
    <x:row r="165">
      <x:c r="A165" s="82" t="str">
        <x:v>F15.ConfigValue</x:v>
      </x:c>
      <x:c r="B165" s="82" t="str">
        <x:v>F15</x:v>
      </x:c>
      <x:c r="C165" s="82" t="str">
        <x:v>CxVisual.Foundation.Data</x:v>
      </x:c>
      <x:c r="D165" s="82" t="str">
        <x:v>ConfigValue</x:v>
      </x:c>
      <x:c r="E165" s="82" t="n">
        <x:v>0</x:v>
      </x:c>
      <x:c r="F165" s="82" t="str">
        <x:v>—</x:v>
      </x:c>
      <x:c r="G165" s="82" t="str">
        <x:v>尚未逐项裁决</x:v>
      </x:c>
      <x:c r="H165" s="82" t="str">
        <x:v>CxVisual.Foundation.Data</x:v>
      </x:c>
      <x:c r="I165" s="82" t="str">
        <x:v>需核原方法签名/行为、状态、依赖及实例生命周期</x:v>
      </x:c>
      <x:c r="J165" s="82" t="str">
        <x:v>V7.8词法声明证据</x:v>
      </x:c>
      <x:c r="K165" s="82" t="str">
        <x:v>设计审查中/未执行实测</x:v>
      </x:c>
    </x:row>
    <x:row r="166">
      <x:c r="A166" s="82" t="str">
        <x:v>F15.EnvironmentKeyUtil</x:v>
      </x:c>
      <x:c r="B166" s="82" t="str">
        <x:v>F15</x:v>
      </x:c>
      <x:c r="C166" s="82" t="str">
        <x:v>CxVisual.Foundation.Data</x:v>
      </x:c>
      <x:c r="D166" s="82" t="str">
        <x:v>EnvironmentKeyUtil</x:v>
      </x:c>
      <x:c r="E166" s="82" t="n">
        <x:v>0</x:v>
      </x:c>
      <x:c r="F166" s="82" t="str">
        <x:v>—</x:v>
      </x:c>
      <x:c r="G166" s="82" t="str">
        <x:v>尚未逐项裁决</x:v>
      </x:c>
      <x:c r="H166" s="82" t="str">
        <x:v>CxVisual.Foundation.Data</x:v>
      </x:c>
      <x:c r="I166" s="82" t="str">
        <x:v>需核原方法签名/行为、状态、依赖及实例生命周期</x:v>
      </x:c>
      <x:c r="J166" s="82" t="str">
        <x:v>V7.8词法声明证据</x:v>
      </x:c>
      <x:c r="K166" s="82" t="str">
        <x:v>设计审查中/未执行实测</x:v>
      </x:c>
    </x:row>
    <x:row r="167">
      <x:c r="A167" s="82" t="str">
        <x:v>F15.SecretReference</x:v>
      </x:c>
      <x:c r="B167" s="82" t="str">
        <x:v>F15</x:v>
      </x:c>
      <x:c r="C167" s="82" t="str">
        <x:v>CxVisual.Foundation.Data</x:v>
      </x:c>
      <x:c r="D167" s="82" t="str">
        <x:v>SecretReference</x:v>
      </x:c>
      <x:c r="E167" s="82" t="n">
        <x:v>0</x:v>
      </x:c>
      <x:c r="F167" s="82" t="str">
        <x:v>—</x:v>
      </x:c>
      <x:c r="G167" s="82" t="str">
        <x:v>尚未逐项裁决</x:v>
      </x:c>
      <x:c r="H167" s="82" t="str">
        <x:v>CxVisual.Foundation.Data</x:v>
      </x:c>
      <x:c r="I167" s="82" t="str">
        <x:v>需核原方法签名/行为、状态、依赖及实例生命周期</x:v>
      </x:c>
      <x:c r="J167" s="82" t="str">
        <x:v>V7.8词法声明证据</x:v>
      </x:c>
      <x:c r="K167" s="82" t="str">
        <x:v>设计审查中/未执行实测</x:v>
      </x:c>
    </x:row>
    <x:row r="168">
      <x:c r="A168" s="82" t="str">
        <x:v>F15.SettingsSnapshot</x:v>
      </x:c>
      <x:c r="B168" s="82" t="str">
        <x:v>F15</x:v>
      </x:c>
      <x:c r="C168" s="82" t="str">
        <x:v>CxVisual.Foundation.Data</x:v>
      </x:c>
      <x:c r="D168" s="82" t="str">
        <x:v>SettingsSnapshot</x:v>
      </x:c>
      <x:c r="E168" s="82" t="n">
        <x:v>0</x:v>
      </x:c>
      <x:c r="F168" s="82" t="str">
        <x:v>—</x:v>
      </x:c>
      <x:c r="G168" s="82" t="str">
        <x:v>尚未逐项裁决</x:v>
      </x:c>
      <x:c r="H168" s="82" t="str">
        <x:v>CxVisual.Foundation.Data</x:v>
      </x:c>
      <x:c r="I168" s="82" t="str">
        <x:v>需核原方法签名/行为、状态、依赖及实例生命周期</x:v>
      </x:c>
      <x:c r="J168" s="82" t="str">
        <x:v>V7.8词法声明证据</x:v>
      </x:c>
      <x:c r="K168" s="82" t="str">
        <x:v>设计审查中/未执行实测</x:v>
      </x:c>
    </x:row>
    <x:row r="169">
      <x:c r="A169" s="82" t="str">
        <x:v>F16.CorrelationKey</x:v>
      </x:c>
      <x:c r="B169" s="82" t="str">
        <x:v>F16</x:v>
      </x:c>
      <x:c r="C169" s="82" t="str">
        <x:v>CxVisual.Foundation.Infrastructure</x:v>
      </x:c>
      <x:c r="D169" s="82" t="str">
        <x:v>CorrelationKey</x:v>
      </x:c>
      <x:c r="E169" s="82" t="n">
        <x:v>0</x:v>
      </x:c>
      <x:c r="F169" s="82" t="str">
        <x:v>—</x:v>
      </x:c>
      <x:c r="G169" s="82" t="str">
        <x:v>尚未逐项裁决</x:v>
      </x:c>
      <x:c r="H169" s="82" t="str">
        <x:v>CxVisual.Foundation.Infrastructure</x:v>
      </x:c>
      <x:c r="I169" s="82" t="str">
        <x:v>需核原方法签名/行为、状态、依赖及实例生命周期</x:v>
      </x:c>
      <x:c r="J169" s="82" t="str">
        <x:v>V7.8词法声明证据</x:v>
      </x:c>
      <x:c r="K169" s="82" t="str">
        <x:v>设计审查中/未执行实测</x:v>
      </x:c>
    </x:row>
    <x:row r="170">
      <x:c r="A170" s="82" t="str">
        <x:v>F16.DiagnosticCode</x:v>
      </x:c>
      <x:c r="B170" s="82" t="str">
        <x:v>F16</x:v>
      </x:c>
      <x:c r="C170" s="82" t="str">
        <x:v>CxVisual.Foundation.Infrastructure</x:v>
      </x:c>
      <x:c r="D170" s="82" t="str">
        <x:v>DiagnosticCode</x:v>
      </x:c>
      <x:c r="E170" s="82" t="n">
        <x:v>0</x:v>
      </x:c>
      <x:c r="F170" s="82" t="str">
        <x:v>—</x:v>
      </x:c>
      <x:c r="G170" s="82" t="str">
        <x:v>尚未逐项裁决</x:v>
      </x:c>
      <x:c r="H170" s="82" t="str">
        <x:v>CxVisual.Foundation.Infrastructure</x:v>
      </x:c>
      <x:c r="I170" s="82" t="str">
        <x:v>需核原方法签名/行为、状态、依赖及实例生命周期</x:v>
      </x:c>
      <x:c r="J170" s="82" t="str">
        <x:v>V7.8词法声明证据</x:v>
      </x:c>
      <x:c r="K170" s="82" t="str">
        <x:v>设计审查中/未执行实测</x:v>
      </x:c>
    </x:row>
    <x:row r="171">
      <x:c r="A171" s="82" t="str">
        <x:v>F16.DiagnosticFormatUtil</x:v>
      </x:c>
      <x:c r="B171" s="82" t="str">
        <x:v>F16</x:v>
      </x:c>
      <x:c r="C171" s="82" t="str">
        <x:v>CxVisual.Foundation.Infrastructure</x:v>
      </x:c>
      <x:c r="D171" s="82" t="str">
        <x:v>DiagnosticFormatUtil</x:v>
      </x:c>
      <x:c r="E171" s="82" t="n">
        <x:v>0</x:v>
      </x:c>
      <x:c r="F171" s="82" t="str">
        <x:v>—</x:v>
      </x:c>
      <x:c r="G171" s="82" t="str">
        <x:v>尚未逐项裁决</x:v>
      </x:c>
      <x:c r="H171" s="82" t="str">
        <x:v>CxVisual.Foundation.Infrastructure</x:v>
      </x:c>
      <x:c r="I171" s="82" t="str">
        <x:v>需核原方法签名/行为、状态、依赖及实例生命周期</x:v>
      </x:c>
      <x:c r="J171" s="82" t="str">
        <x:v>V7.8词法声明证据</x:v>
      </x:c>
      <x:c r="K171" s="82" t="str">
        <x:v>设计审查中/未执行实测</x:v>
      </x:c>
    </x:row>
    <x:row r="172">
      <x:c r="A172" s="82" t="str">
        <x:v>F16.ExceptionDescriptor</x:v>
      </x:c>
      <x:c r="B172" s="82" t="str">
        <x:v>F16</x:v>
      </x:c>
      <x:c r="C172" s="82" t="str">
        <x:v>CxVisual.Foundation.Infrastructure</x:v>
      </x:c>
      <x:c r="D172" s="82" t="str">
        <x:v>ExceptionDescriptor</x:v>
      </x:c>
      <x:c r="E172" s="82" t="n">
        <x:v>0</x:v>
      </x:c>
      <x:c r="F172" s="82" t="str">
        <x:v>—</x:v>
      </x:c>
      <x:c r="G172" s="82" t="str">
        <x:v>尚未逐项裁决</x:v>
      </x:c>
      <x:c r="H172" s="82" t="str">
        <x:v>CxVisual.Foundation.Infrastructure</x:v>
      </x:c>
      <x:c r="I172" s="82" t="str">
        <x:v>需核原方法签名/行为、状态、依赖及实例生命周期</x:v>
      </x:c>
      <x:c r="J172" s="82" t="str">
        <x:v>V7.8词法声明证据</x:v>
      </x:c>
      <x:c r="K172" s="82" t="str">
        <x:v>设计审查中/未执行实测</x:v>
      </x:c>
    </x:row>
    <x:row r="173">
      <x:c r="A173" s="82" t="str">
        <x:v>F16.LogFormatter</x:v>
      </x:c>
      <x:c r="B173" s="82" t="str">
        <x:v>F16</x:v>
      </x:c>
      <x:c r="C173" s="82" t="str">
        <x:v>CxVisual.Foundation.Infrastructure</x:v>
      </x:c>
      <x:c r="D173" s="82" t="str">
        <x:v>LogFormatter</x:v>
      </x:c>
      <x:c r="E173" s="82" t="n">
        <x:v>0</x:v>
      </x:c>
      <x:c r="F173" s="82" t="str">
        <x:v>—</x:v>
      </x:c>
      <x:c r="G173" s="82" t="str">
        <x:v>尚未逐项裁决</x:v>
      </x:c>
      <x:c r="H173" s="82" t="str">
        <x:v>CxVisual.Foundation.Infrastructure</x:v>
      </x:c>
      <x:c r="I173" s="82" t="str">
        <x:v>需核原方法签名/行为、状态、依赖及实例生命周期</x:v>
      </x:c>
      <x:c r="J173" s="82" t="str">
        <x:v>V7.8词法声明证据</x:v>
      </x:c>
      <x:c r="K173" s="82" t="str">
        <x:v>设计审查中/未执行实测</x:v>
      </x:c>
    </x:row>
    <x:row r="174">
      <x:c r="A174" s="82" t="str">
        <x:v>F16.LogLevel</x:v>
      </x:c>
      <x:c r="B174" s="82" t="str">
        <x:v>F16</x:v>
      </x:c>
      <x:c r="C174" s="82" t="str">
        <x:v>CxVisual.Foundation.Infrastructure</x:v>
      </x:c>
      <x:c r="D174" s="82" t="str">
        <x:v>LogLevel</x:v>
      </x:c>
      <x:c r="E174" s="82" t="n">
        <x:v>1</x:v>
      </x:c>
      <x:c r="F174" s="82" t="str">
        <x:v>Platform/CommonInterfaces/LogHelper.cs (enum)</x:v>
      </x:c>
      <x:c r="G174" s="82" t="str">
        <x:v>尚未逐项裁决</x:v>
      </x:c>
      <x:c r="H174" s="82" t="str">
        <x:v>CxVisual.Foundation.Infrastructure</x:v>
      </x:c>
      <x:c r="I174" s="82" t="str">
        <x:v>需核原方法签名/行为、状态、依赖及实例生命周期</x:v>
      </x:c>
      <x:c r="J174" s="82" t="str">
        <x:v>V7.8词法声明证据</x:v>
      </x:c>
      <x:c r="K174" s="82" t="str">
        <x:v>设计审查中/未执行实测</x:v>
      </x:c>
    </x:row>
    <x:row r="175">
      <x:c r="A175" s="82" t="str">
        <x:v>F16.LogRecord</x:v>
      </x:c>
      <x:c r="B175" s="82" t="str">
        <x:v>F16</x:v>
      </x:c>
      <x:c r="C175" s="82" t="str">
        <x:v>CxVisual.Foundation.Infrastructure</x:v>
      </x:c>
      <x:c r="D175" s="82" t="str">
        <x:v>LogRecord</x:v>
      </x:c>
      <x:c r="E175" s="82" t="n">
        <x:v>0</x:v>
      </x:c>
      <x:c r="F175" s="82" t="str">
        <x:v>—</x:v>
      </x:c>
      <x:c r="G175" s="82" t="str">
        <x:v>尚未逐项裁决</x:v>
      </x:c>
      <x:c r="H175" s="82" t="str">
        <x:v>CxVisual.Foundation.Infrastructure</x:v>
      </x:c>
      <x:c r="I175" s="82" t="str">
        <x:v>需核原方法签名/行为、状态、依赖及实例生命周期</x:v>
      </x:c>
      <x:c r="J175" s="82" t="str">
        <x:v>V7.8词法声明证据</x:v>
      </x:c>
      <x:c r="K175" s="82" t="str">
        <x:v>设计审查中/未执行实测</x:v>
      </x:c>
    </x:row>
    <x:row r="176">
      <x:c r="A176" s="82" t="str">
        <x:v>F16.LogSamplingUtil</x:v>
      </x:c>
      <x:c r="B176" s="82" t="str">
        <x:v>F16</x:v>
      </x:c>
      <x:c r="C176" s="82" t="str">
        <x:v>CxVisual.Foundation.Infrastructure</x:v>
      </x:c>
      <x:c r="D176" s="82" t="str">
        <x:v>LogSamplingUtil</x:v>
      </x:c>
      <x:c r="E176" s="82" t="n">
        <x:v>0</x:v>
      </x:c>
      <x:c r="F176" s="82" t="str">
        <x:v>—</x:v>
      </x:c>
      <x:c r="G176" s="82" t="str">
        <x:v>尚未逐项裁决</x:v>
      </x:c>
      <x:c r="H176" s="82" t="str">
        <x:v>CxVisual.Foundation.Infrastructure</x:v>
      </x:c>
      <x:c r="I176" s="82" t="str">
        <x:v>需核原方法签名/行为、状态、依赖及实例生命周期</x:v>
      </x:c>
      <x:c r="J176" s="82" t="str">
        <x:v>V7.8词法声明证据</x:v>
      </x:c>
      <x:c r="K176" s="82" t="str">
        <x:v>设计审查中/未执行实测</x:v>
      </x:c>
    </x:row>
    <x:row r="177">
      <x:c r="A177" s="82" t="str">
        <x:v>F16.LogSanitizer</x:v>
      </x:c>
      <x:c r="B177" s="82" t="str">
        <x:v>F16</x:v>
      </x:c>
      <x:c r="C177" s="82" t="str">
        <x:v>CxVisual.Foundation.Infrastructure</x:v>
      </x:c>
      <x:c r="D177" s="82" t="str">
        <x:v>LogSanitizer</x:v>
      </x:c>
      <x:c r="E177" s="82" t="n">
        <x:v>0</x:v>
      </x:c>
      <x:c r="F177" s="82" t="str">
        <x:v>—</x:v>
      </x:c>
      <x:c r="G177" s="82" t="str">
        <x:v>尚未逐项裁决</x:v>
      </x:c>
      <x:c r="H177" s="82" t="str">
        <x:v>CxVisual.Foundation.Infrastructure</x:v>
      </x:c>
      <x:c r="I177" s="82" t="str">
        <x:v>需核原方法签名/行为、状态、依赖及实例生命周期</x:v>
      </x:c>
      <x:c r="J177" s="82" t="str">
        <x:v>V7.8词法声明证据</x:v>
      </x:c>
      <x:c r="K177" s="82" t="str">
        <x:v>设计审查中/未执行实测</x:v>
      </x:c>
    </x:row>
    <x:row r="178">
      <x:c r="A178" s="82" t="str">
        <x:v>F16.LogScope</x:v>
      </x:c>
      <x:c r="B178" s="82" t="str">
        <x:v>F16</x:v>
      </x:c>
      <x:c r="C178" s="82" t="str">
        <x:v>CxVisual.Foundation.Infrastructure</x:v>
      </x:c>
      <x:c r="D178" s="82" t="str">
        <x:v>LogScope</x:v>
      </x:c>
      <x:c r="E178" s="82" t="n">
        <x:v>0</x:v>
      </x:c>
      <x:c r="F178" s="82" t="str">
        <x:v>—</x:v>
      </x:c>
      <x:c r="G178" s="82" t="str">
        <x:v>尚未逐项裁决</x:v>
      </x:c>
      <x:c r="H178" s="82" t="str">
        <x:v>CxVisual.Foundation.Infrastructure</x:v>
      </x:c>
      <x:c r="I178" s="82" t="str">
        <x:v>需核原方法签名/行为、状态、依赖及实例生命周期</x:v>
      </x:c>
      <x:c r="J178" s="82" t="str">
        <x:v>V7.8词法声明证据</x:v>
      </x:c>
      <x:c r="K178" s="82" t="str">
        <x:v>设计审查中/未执行实测</x:v>
      </x:c>
    </x:row>
    <x:row r="179">
      <x:c r="A179" s="82" t="str">
        <x:v>F16.StackTraceParser</x:v>
      </x:c>
      <x:c r="B179" s="82" t="str">
        <x:v>F16</x:v>
      </x:c>
      <x:c r="C179" s="82" t="str">
        <x:v>CxVisual.Foundation.Infrastructure</x:v>
      </x:c>
      <x:c r="D179" s="82" t="str">
        <x:v>StackTraceParser</x:v>
      </x:c>
      <x:c r="E179" s="82" t="n">
        <x:v>0</x:v>
      </x:c>
      <x:c r="F179" s="82" t="str">
        <x:v>—</x:v>
      </x:c>
      <x:c r="G179" s="82" t="str">
        <x:v>尚未逐项裁决</x:v>
      </x:c>
      <x:c r="H179" s="82" t="str">
        <x:v>CxVisual.Foundation.Infrastructure</x:v>
      </x:c>
      <x:c r="I179" s="82" t="str">
        <x:v>需核原方法签名/行为、状态、依赖及实例生命周期</x:v>
      </x:c>
      <x:c r="J179" s="82" t="str">
        <x:v>V7.8词法声明证据</x:v>
      </x:c>
      <x:c r="K179" s="82" t="str">
        <x:v>设计审查中/未执行实测</x:v>
      </x:c>
    </x:row>
    <x:row r="180">
      <x:c r="A180" s="82" t="str">
        <x:v>F17.ChannelFrame</x:v>
      </x:c>
      <x:c r="B180" s="82" t="str">
        <x:v>F17</x:v>
      </x:c>
      <x:c r="C180" s="82" t="str">
        <x:v>CxVisual.Foundation.Transport</x:v>
      </x:c>
      <x:c r="D180" s="82" t="str">
        <x:v>ChannelFrame</x:v>
      </x:c>
      <x:c r="E180" s="82" t="n">
        <x:v>0</x:v>
      </x:c>
      <x:c r="F180" s="82" t="str">
        <x:v>—</x:v>
      </x:c>
      <x:c r="G180" s="82" t="str">
        <x:v>尚未逐项裁决</x:v>
      </x:c>
      <x:c r="H180" s="82" t="str">
        <x:v>CxVisual.Foundation.Transport</x:v>
      </x:c>
      <x:c r="I180" s="82" t="str">
        <x:v>需核原方法签名/行为、状态、依赖及实例生命周期</x:v>
      </x:c>
      <x:c r="J180" s="82" t="str">
        <x:v>V7.8词法声明证据</x:v>
      </x:c>
      <x:c r="K180" s="82" t="str">
        <x:v>设计审查中/未执行实测</x:v>
      </x:c>
    </x:row>
    <x:row r="181">
      <x:c r="A181" s="82" t="str">
        <x:v>F17.ChannelMetricSample</x:v>
      </x:c>
      <x:c r="B181" s="82" t="str">
        <x:v>F17</x:v>
      </x:c>
      <x:c r="C181" s="82" t="str">
        <x:v>CxVisual.Foundation.Transport</x:v>
      </x:c>
      <x:c r="D181" s="82" t="str">
        <x:v>ChannelMetricSample</x:v>
      </x:c>
      <x:c r="E181" s="82" t="n">
        <x:v>0</x:v>
      </x:c>
      <x:c r="F181" s="82" t="str">
        <x:v>—</x:v>
      </x:c>
      <x:c r="G181" s="82" t="str">
        <x:v>尚未逐项裁决</x:v>
      </x:c>
      <x:c r="H181" s="82" t="str">
        <x:v>CxVisual.Foundation.Transport</x:v>
      </x:c>
      <x:c r="I181" s="82" t="str">
        <x:v>需核原方法签名/行为、状态、依赖及实例生命周期</x:v>
      </x:c>
      <x:c r="J181" s="82" t="str">
        <x:v>V7.8词法声明证据</x:v>
      </x:c>
      <x:c r="K181" s="82" t="str">
        <x:v>设计审查中/未执行实测</x:v>
      </x:c>
    </x:row>
    <x:row r="182">
      <x:c r="A182" s="82" t="str">
        <x:v>F17.EndpointAddress</x:v>
      </x:c>
      <x:c r="B182" s="82" t="str">
        <x:v>F17</x:v>
      </x:c>
      <x:c r="C182" s="82" t="str">
        <x:v>CxVisual.Foundation.Transport</x:v>
      </x:c>
      <x:c r="D182" s="82" t="str">
        <x:v>EndpointAddress</x:v>
      </x:c>
      <x:c r="E182" s="82" t="n">
        <x:v>0</x:v>
      </x:c>
      <x:c r="F182" s="82" t="str">
        <x:v>—</x:v>
      </x:c>
      <x:c r="G182" s="82" t="str">
        <x:v>尚未逐项裁决</x:v>
      </x:c>
      <x:c r="H182" s="82" t="str">
        <x:v>CxVisual.Foundation.Transport</x:v>
      </x:c>
      <x:c r="I182" s="82" t="str">
        <x:v>需核原方法签名/行为、状态、依赖及实例生命周期</x:v>
      </x:c>
      <x:c r="J182" s="82" t="str">
        <x:v>V7.8词法声明证据</x:v>
      </x:c>
      <x:c r="K182" s="82" t="str">
        <x:v>设计审查中/未执行实测</x:v>
      </x:c>
    </x:row>
    <x:row r="183">
      <x:c r="A183" s="82" t="str">
        <x:v>F17.NetworkByteOrder</x:v>
      </x:c>
      <x:c r="B183" s="82" t="str">
        <x:v>F17</x:v>
      </x:c>
      <x:c r="C183" s="82" t="str">
        <x:v>CxVisual.Foundation.Transport</x:v>
      </x:c>
      <x:c r="D183" s="82" t="str">
        <x:v>NetworkByteOrder</x:v>
      </x:c>
      <x:c r="E183" s="82" t="n">
        <x:v>0</x:v>
      </x:c>
      <x:c r="F183" s="82" t="str">
        <x:v>—</x:v>
      </x:c>
      <x:c r="G183" s="82" t="str">
        <x:v>尚未逐项裁决</x:v>
      </x:c>
      <x:c r="H183" s="82" t="str">
        <x:v>CxVisual.Foundation.Transport</x:v>
      </x:c>
      <x:c r="I183" s="82" t="str">
        <x:v>需核原方法签名/行为、状态、依赖及实例生命周期</x:v>
      </x:c>
      <x:c r="J183" s="82" t="str">
        <x:v>V7.8词法声明证据</x:v>
      </x:c>
      <x:c r="K183" s="82" t="str">
        <x:v>设计审查中/未执行实测</x:v>
      </x:c>
    </x:row>
    <x:row r="184">
      <x:c r="A184" s="82" t="str">
        <x:v>F17.NetworkUriUtil</x:v>
      </x:c>
      <x:c r="B184" s="82" t="str">
        <x:v>F17</x:v>
      </x:c>
      <x:c r="C184" s="82" t="str">
        <x:v>CxVisual.Foundation.Transport</x:v>
      </x:c>
      <x:c r="D184" s="82" t="str">
        <x:v>NetworkUriUtil</x:v>
      </x:c>
      <x:c r="E184" s="82" t="n">
        <x:v>0</x:v>
      </x:c>
      <x:c r="F184" s="82" t="str">
        <x:v>—</x:v>
      </x:c>
      <x:c r="G184" s="82" t="str">
        <x:v>尚未逐项裁决</x:v>
      </x:c>
      <x:c r="H184" s="82" t="str">
        <x:v>CxVisual.Foundation.Transport</x:v>
      </x:c>
      <x:c r="I184" s="82" t="str">
        <x:v>需核原方法签名/行为、状态、依赖及实例生命周期</x:v>
      </x:c>
      <x:c r="J184" s="82" t="str">
        <x:v>V7.8词法声明证据</x:v>
      </x:c>
      <x:c r="K184" s="82" t="str">
        <x:v>设计审查中/未执行实测</x:v>
      </x:c>
    </x:row>
    <x:row r="185">
      <x:c r="A185" s="82" t="str">
        <x:v>F17.PacketBuffer</x:v>
      </x:c>
      <x:c r="B185" s="82" t="str">
        <x:v>F17</x:v>
      </x:c>
      <x:c r="C185" s="82" t="str">
        <x:v>CxVisual.Foundation.Transport</x:v>
      </x:c>
      <x:c r="D185" s="82" t="str">
        <x:v>PacketBuffer</x:v>
      </x:c>
      <x:c r="E185" s="82" t="n">
        <x:v>0</x:v>
      </x:c>
      <x:c r="F185" s="82" t="str">
        <x:v>—</x:v>
      </x:c>
      <x:c r="G185" s="82" t="str">
        <x:v>尚未逐项裁决</x:v>
      </x:c>
      <x:c r="H185" s="82" t="str">
        <x:v>CxVisual.Foundation.Transport</x:v>
      </x:c>
      <x:c r="I185" s="82" t="str">
        <x:v>需核原方法签名/行为、状态、依赖及实例生命周期</x:v>
      </x:c>
      <x:c r="J185" s="82" t="str">
        <x:v>V7.8词法声明证据</x:v>
      </x:c>
      <x:c r="K185" s="82" t="str">
        <x:v>设计审查中/未执行实测</x:v>
      </x:c>
    </x:row>
    <x:row r="186">
      <x:c r="A186" s="82" t="str">
        <x:v>F17.PacketFramingOps</x:v>
      </x:c>
      <x:c r="B186" s="82" t="str">
        <x:v>F17</x:v>
      </x:c>
      <x:c r="C186" s="82" t="str">
        <x:v>CxVisual.Foundation.Transport</x:v>
      </x:c>
      <x:c r="D186" s="82" t="str">
        <x:v>PacketFramingOps</x:v>
      </x:c>
      <x:c r="E186" s="82" t="n">
        <x:v>0</x:v>
      </x:c>
      <x:c r="F186" s="82" t="str">
        <x:v>—</x:v>
      </x:c>
      <x:c r="G186" s="82" t="str">
        <x:v>尚未逐项裁决</x:v>
      </x:c>
      <x:c r="H186" s="82" t="str">
        <x:v>CxVisual.Foundation.Transport</x:v>
      </x:c>
      <x:c r="I186" s="82" t="str">
        <x:v>需核原方法签名/行为、状态、依赖及实例生命周期</x:v>
      </x:c>
      <x:c r="J186" s="82" t="str">
        <x:v>V7.8词法声明证据</x:v>
      </x:c>
      <x:c r="K186" s="82" t="str">
        <x:v>设计审查中/未执行实测</x:v>
      </x:c>
    </x:row>
    <x:row r="187">
      <x:c r="A187" s="82" t="str">
        <x:v>F17.RingBuffer</x:v>
      </x:c>
      <x:c r="B187" s="82" t="str">
        <x:v>F17</x:v>
      </x:c>
      <x:c r="C187" s="82" t="str">
        <x:v>CxVisual.Foundation.Transport</x:v>
      </x:c>
      <x:c r="D187" s="82" t="str">
        <x:v>RingBuffer</x:v>
      </x:c>
      <x:c r="E187" s="82" t="n">
        <x:v>0</x:v>
      </x:c>
      <x:c r="F187" s="82" t="str">
        <x:v>—</x:v>
      </x:c>
      <x:c r="G187" s="82" t="str">
        <x:v>尚未逐项裁决</x:v>
      </x:c>
      <x:c r="H187" s="82" t="str">
        <x:v>CxVisual.Foundation.Transport</x:v>
      </x:c>
      <x:c r="I187" s="82" t="str">
        <x:v>需核原方法签名/行为、状态、依赖及实例生命周期</x:v>
      </x:c>
      <x:c r="J187" s="82" t="str">
        <x:v>V7.8词法声明证据</x:v>
      </x:c>
      <x:c r="K187" s="82" t="str">
        <x:v>设计审查中/未执行实测</x:v>
      </x:c>
    </x:row>
    <x:row r="188">
      <x:c r="A188" s="82" t="str">
        <x:v>F17.TransportChannelSpec</x:v>
      </x:c>
      <x:c r="B188" s="82" t="str">
        <x:v>F17</x:v>
      </x:c>
      <x:c r="C188" s="82" t="str">
        <x:v>CxVisual.Foundation.Transport</x:v>
      </x:c>
      <x:c r="D188" s="82" t="str">
        <x:v>TransportChannelSpec</x:v>
      </x:c>
      <x:c r="E188" s="82" t="n">
        <x:v>0</x:v>
      </x:c>
      <x:c r="F188" s="82" t="str">
        <x:v>—</x:v>
      </x:c>
      <x:c r="G188" s="82" t="str">
        <x:v>尚未逐项裁决</x:v>
      </x:c>
      <x:c r="H188" s="82" t="str">
        <x:v>CxVisual.Foundation.Transport</x:v>
      </x:c>
      <x:c r="I188" s="82" t="str">
        <x:v>需核原方法签名/行为、状态、依赖及实例生命周期</x:v>
      </x:c>
      <x:c r="J188" s="82" t="str">
        <x:v>V7.8词法声明证据</x:v>
      </x:c>
      <x:c r="K188" s="82" t="str">
        <x:v>设计审查中/未执行实测</x:v>
      </x:c>
    </x:row>
    <x:row r="189">
      <x:c r="A189" s="82" t="str">
        <x:v>F17.TransportRetryMath</x:v>
      </x:c>
      <x:c r="B189" s="82" t="str">
        <x:v>F17</x:v>
      </x:c>
      <x:c r="C189" s="82" t="str">
        <x:v>CxVisual.Foundation.Transport</x:v>
      </x:c>
      <x:c r="D189" s="82" t="str">
        <x:v>TransportRetryMath</x:v>
      </x:c>
      <x:c r="E189" s="82" t="n">
        <x:v>0</x:v>
      </x:c>
      <x:c r="F189" s="82" t="str">
        <x:v>—</x:v>
      </x:c>
      <x:c r="G189" s="82" t="str">
        <x:v>尚未逐项裁决</x:v>
      </x:c>
      <x:c r="H189" s="82" t="str">
        <x:v>CxVisual.Foundation.Transport</x:v>
      </x:c>
      <x:c r="I189" s="82" t="str">
        <x:v>需核原方法签名/行为、状态、依赖及实例生命周期</x:v>
      </x:c>
      <x:c r="J189" s="82" t="str">
        <x:v>V7.8词法声明证据</x:v>
      </x:c>
      <x:c r="K189" s="82" t="str">
        <x:v>设计审查中/未执行实测</x:v>
      </x:c>
    </x:row>
    <x:row r="190">
      <x:c r="A190" s="82" t="str">
        <x:v>F18.AtomicFileWriteUtil</x:v>
      </x:c>
      <x:c r="B190" s="82" t="str">
        <x:v>F18</x:v>
      </x:c>
      <x:c r="C190" s="82" t="str">
        <x:v>CxVisual.Foundation.Data</x:v>
      </x:c>
      <x:c r="D190" s="82" t="str">
        <x:v>AtomicFileWriteUtil</x:v>
      </x:c>
      <x:c r="E190" s="82" t="n">
        <x:v>0</x:v>
      </x:c>
      <x:c r="F190" s="82" t="str">
        <x:v>—</x:v>
      </x:c>
      <x:c r="G190" s="82" t="str">
        <x:v>尚未逐项裁决</x:v>
      </x:c>
      <x:c r="H190" s="82" t="str">
        <x:v>CxVisual.Foundation.Data</x:v>
      </x:c>
      <x:c r="I190" s="82" t="str">
        <x:v>需核原方法签名/行为、状态、依赖及实例生命周期</x:v>
      </x:c>
      <x:c r="J190" s="82" t="str">
        <x:v>V7.8词法声明证据</x:v>
      </x:c>
      <x:c r="K190" s="82" t="str">
        <x:v>设计审查中/未执行实测</x:v>
      </x:c>
    </x:row>
    <x:row r="191">
      <x:c r="A191" s="82" t="str">
        <x:v>F18.ContentAddress</x:v>
      </x:c>
      <x:c r="B191" s="82" t="str">
        <x:v>F18</x:v>
      </x:c>
      <x:c r="C191" s="82" t="str">
        <x:v>CxVisual.Foundation.Data</x:v>
      </x:c>
      <x:c r="D191" s="82" t="str">
        <x:v>ContentAddress</x:v>
      </x:c>
      <x:c r="E191" s="82" t="n">
        <x:v>0</x:v>
      </x:c>
      <x:c r="F191" s="82" t="str">
        <x:v>—</x:v>
      </x:c>
      <x:c r="G191" s="82" t="str">
        <x:v>尚未逐项裁决</x:v>
      </x:c>
      <x:c r="H191" s="82" t="str">
        <x:v>CxVisual.Foundation.Data</x:v>
      </x:c>
      <x:c r="I191" s="82" t="str">
        <x:v>需核原方法签名/行为、状态、依赖及实例生命周期</x:v>
      </x:c>
      <x:c r="J191" s="82" t="str">
        <x:v>V7.8词法声明证据</x:v>
      </x:c>
      <x:c r="K191" s="82" t="str">
        <x:v>设计审查中/未执行实测</x:v>
      </x:c>
    </x:row>
    <x:row r="192">
      <x:c r="A192" s="82" t="str">
        <x:v>F18.FileHashUtil</x:v>
      </x:c>
      <x:c r="B192" s="82" t="str">
        <x:v>F18</x:v>
      </x:c>
      <x:c r="C192" s="82" t="str">
        <x:v>CxVisual.Foundation.Data</x:v>
      </x:c>
      <x:c r="D192" s="82" t="str">
        <x:v>FileHashUtil</x:v>
      </x:c>
      <x:c r="E192" s="82" t="n">
        <x:v>0</x:v>
      </x:c>
      <x:c r="F192" s="82" t="str">
        <x:v>—</x:v>
      </x:c>
      <x:c r="G192" s="82" t="str">
        <x:v>尚未逐项裁决</x:v>
      </x:c>
      <x:c r="H192" s="82" t="str">
        <x:v>CxVisual.Foundation.Data</x:v>
      </x:c>
      <x:c r="I192" s="82" t="str">
        <x:v>需核原方法签名/行为、状态、依赖及实例生命周期</x:v>
      </x:c>
      <x:c r="J192" s="82" t="str">
        <x:v>V7.8词法声明证据</x:v>
      </x:c>
      <x:c r="K192" s="82" t="str">
        <x:v>设计审查中/未执行实测</x:v>
      </x:c>
    </x:row>
    <x:row r="193">
      <x:c r="A193" s="82" t="str">
        <x:v>F18.FileManifest</x:v>
      </x:c>
      <x:c r="B193" s="82" t="str">
        <x:v>F18</x:v>
      </x:c>
      <x:c r="C193" s="82" t="str">
        <x:v>CxVisual.Foundation.Data</x:v>
      </x:c>
      <x:c r="D193" s="82" t="str">
        <x:v>FileManifest</x:v>
      </x:c>
      <x:c r="E193" s="82" t="n">
        <x:v>0</x:v>
      </x:c>
      <x:c r="F193" s="82" t="str">
        <x:v>—</x:v>
      </x:c>
      <x:c r="G193" s="82" t="str">
        <x:v>尚未逐项裁决</x:v>
      </x:c>
      <x:c r="H193" s="82" t="str">
        <x:v>CxVisual.Foundation.Data</x:v>
      </x:c>
      <x:c r="I193" s="82" t="str">
        <x:v>需核原方法签名/行为、状态、依赖及实例生命周期</x:v>
      </x:c>
      <x:c r="J193" s="82" t="str">
        <x:v>V7.8词法声明证据</x:v>
      </x:c>
      <x:c r="K193" s="82" t="str">
        <x:v>设计审查中/未执行实测</x:v>
      </x:c>
    </x:row>
    <x:row r="194">
      <x:c r="A194" s="82" t="str">
        <x:v>F18.FilePath</x:v>
      </x:c>
      <x:c r="B194" s="82" t="str">
        <x:v>F18</x:v>
      </x:c>
      <x:c r="C194" s="82" t="str">
        <x:v>CxVisual.Foundation.Data</x:v>
      </x:c>
      <x:c r="D194" s="82" t="str">
        <x:v>FilePath</x:v>
      </x:c>
      <x:c r="E194" s="82" t="n">
        <x:v>0</x:v>
      </x:c>
      <x:c r="F194" s="82" t="str">
        <x:v>—</x:v>
      </x:c>
      <x:c r="G194" s="82" t="str">
        <x:v>尚未逐项裁决</x:v>
      </x:c>
      <x:c r="H194" s="82" t="str">
        <x:v>CxVisual.Foundation.Data</x:v>
      </x:c>
      <x:c r="I194" s="82" t="str">
        <x:v>需核原方法签名/行为、状态、依赖及实例生命周期</x:v>
      </x:c>
      <x:c r="J194" s="82" t="str">
        <x:v>V7.8词法声明证据</x:v>
      </x:c>
      <x:c r="K194" s="82" t="str">
        <x:v>设计审查中/未执行实测</x:v>
      </x:c>
    </x:row>
    <x:row r="195">
      <x:c r="A195" s="82" t="str">
        <x:v>F18.FileSignatureUtil</x:v>
      </x:c>
      <x:c r="B195" s="82" t="str">
        <x:v>F18</x:v>
      </x:c>
      <x:c r="C195" s="82" t="str">
        <x:v>CxVisual.Foundation.Data</x:v>
      </x:c>
      <x:c r="D195" s="82" t="str">
        <x:v>FileSignatureUtil</x:v>
      </x:c>
      <x:c r="E195" s="82" t="n">
        <x:v>0</x:v>
      </x:c>
      <x:c r="F195" s="82" t="str">
        <x:v>—</x:v>
      </x:c>
      <x:c r="G195" s="82" t="str">
        <x:v>尚未逐项裁决</x:v>
      </x:c>
      <x:c r="H195" s="82" t="str">
        <x:v>CxVisual.Foundation.Data</x:v>
      </x:c>
      <x:c r="I195" s="82" t="str">
        <x:v>需核原方法签名/行为、状态、依赖及实例生命周期</x:v>
      </x:c>
      <x:c r="J195" s="82" t="str">
        <x:v>V7.8词法声明证据</x:v>
      </x:c>
      <x:c r="K195" s="82" t="str">
        <x:v>设计审查中/未执行实测</x:v>
      </x:c>
    </x:row>
    <x:row r="196">
      <x:c r="A196" s="82" t="str">
        <x:v>F18.MemoryMappedRegion</x:v>
      </x:c>
      <x:c r="B196" s="82" t="str">
        <x:v>F18</x:v>
      </x:c>
      <x:c r="C196" s="82" t="str">
        <x:v>CxVisual.Foundation.Data</x:v>
      </x:c>
      <x:c r="D196" s="82" t="str">
        <x:v>MemoryMappedRegion</x:v>
      </x:c>
      <x:c r="E196" s="82" t="n">
        <x:v>0</x:v>
      </x:c>
      <x:c r="F196" s="82" t="str">
        <x:v>—</x:v>
      </x:c>
      <x:c r="G196" s="82" t="str">
        <x:v>尚未逐项裁决</x:v>
      </x:c>
      <x:c r="H196" s="82" t="str">
        <x:v>CxVisual.Foundation.Data</x:v>
      </x:c>
      <x:c r="I196" s="82" t="str">
        <x:v>需核原方法签名/行为、状态、依赖及实例生命周期</x:v>
      </x:c>
      <x:c r="J196" s="82" t="str">
        <x:v>V7.8词法声明证据</x:v>
      </x:c>
      <x:c r="K196" s="82" t="str">
        <x:v>设计审查中/未执行实测</x:v>
      </x:c>
    </x:row>
    <x:row r="197">
      <x:c r="A197" s="82" t="str">
        <x:v>F18.PathSafetyUtil</x:v>
      </x:c>
      <x:c r="B197" s="82" t="str">
        <x:v>F18</x:v>
      </x:c>
      <x:c r="C197" s="82" t="str">
        <x:v>CxVisual.Foundation.Data</x:v>
      </x:c>
      <x:c r="D197" s="82" t="str">
        <x:v>PathSafetyUtil</x:v>
      </x:c>
      <x:c r="E197" s="82" t="n">
        <x:v>0</x:v>
      </x:c>
      <x:c r="F197" s="82" t="str">
        <x:v>—</x:v>
      </x:c>
      <x:c r="G197" s="82" t="str">
        <x:v>尚未逐项裁决</x:v>
      </x:c>
      <x:c r="H197" s="82" t="str">
        <x:v>CxVisual.Foundation.Data</x:v>
      </x:c>
      <x:c r="I197" s="82" t="str">
        <x:v>需核原方法签名/行为、状态、依赖及实例生命周期</x:v>
      </x:c>
      <x:c r="J197" s="82" t="str">
        <x:v>V7.8词法声明证据</x:v>
      </x:c>
      <x:c r="K197" s="82" t="str">
        <x:v>设计审查中/未执行实测</x:v>
      </x:c>
    </x:row>
    <x:row r="198">
      <x:c r="A198" s="82" t="str">
        <x:v>F18.StorageSize</x:v>
      </x:c>
      <x:c r="B198" s="82" t="str">
        <x:v>F18</x:v>
      </x:c>
      <x:c r="C198" s="82" t="str">
        <x:v>CxVisual.Foundation.Data</x:v>
      </x:c>
      <x:c r="D198" s="82" t="str">
        <x:v>StorageSize</x:v>
      </x:c>
      <x:c r="E198" s="82" t="n">
        <x:v>0</x:v>
      </x:c>
      <x:c r="F198" s="82" t="str">
        <x:v>—</x:v>
      </x:c>
      <x:c r="G198" s="82" t="str">
        <x:v>尚未逐项裁决</x:v>
      </x:c>
      <x:c r="H198" s="82" t="str">
        <x:v>CxVisual.Foundation.Data</x:v>
      </x:c>
      <x:c r="I198" s="82" t="str">
        <x:v>需核原方法签名/行为、状态、依赖及实例生命周期</x:v>
      </x:c>
      <x:c r="J198" s="82" t="str">
        <x:v>V7.8词法声明证据</x:v>
      </x:c>
      <x:c r="K198" s="82" t="str">
        <x:v>设计审查中/未执行实测</x:v>
      </x:c>
    </x:row>
    <x:row r="199">
      <x:c r="A199" s="82" t="str">
        <x:v>F18.StreamCopyUtil</x:v>
      </x:c>
      <x:c r="B199" s="82" t="str">
        <x:v>F18</x:v>
      </x:c>
      <x:c r="C199" s="82" t="str">
        <x:v>CxVisual.Foundation.Data</x:v>
      </x:c>
      <x:c r="D199" s="82" t="str">
        <x:v>StreamCopyUtil</x:v>
      </x:c>
      <x:c r="E199" s="82" t="n">
        <x:v>0</x:v>
      </x:c>
      <x:c r="F199" s="82" t="str">
        <x:v>—</x:v>
      </x:c>
      <x:c r="G199" s="82" t="str">
        <x:v>尚未逐项裁决</x:v>
      </x:c>
      <x:c r="H199" s="82" t="str">
        <x:v>CxVisual.Foundation.Data</x:v>
      </x:c>
      <x:c r="I199" s="82" t="str">
        <x:v>需核原方法签名/行为、状态、依赖及实例生命周期</x:v>
      </x:c>
      <x:c r="J199" s="82" t="str">
        <x:v>V7.8词法声明证据</x:v>
      </x:c>
      <x:c r="K199" s="82" t="str">
        <x:v>设计审查中/未执行实测</x:v>
      </x:c>
    </x:row>
    <x:row r="200">
      <x:c r="A200" s="82" t="str">
        <x:v>F19.AsyncGate</x:v>
      </x:c>
      <x:c r="B200" s="82" t="str">
        <x:v>F19</x:v>
      </x:c>
      <x:c r="C200" s="82" t="str">
        <x:v>CxVisual.Foundation.Infrastructure</x:v>
      </x:c>
      <x:c r="D200" s="82" t="str">
        <x:v>AsyncGate</x:v>
      </x:c>
      <x:c r="E200" s="82" t="n">
        <x:v>0</x:v>
      </x:c>
      <x:c r="F200" s="82" t="str">
        <x:v>—</x:v>
      </x:c>
      <x:c r="G200" s="82" t="str">
        <x:v>尚未逐项裁决</x:v>
      </x:c>
      <x:c r="H200" s="82" t="str">
        <x:v>CxVisual.Foundation.Infrastructure</x:v>
      </x:c>
      <x:c r="I200" s="82" t="str">
        <x:v>需核原方法签名/行为、状态、依赖及实例生命周期</x:v>
      </x:c>
      <x:c r="J200" s="82" t="str">
        <x:v>V7.8词法声明证据</x:v>
      </x:c>
      <x:c r="K200" s="82" t="str">
        <x:v>设计审查中/未执行实测</x:v>
      </x:c>
    </x:row>
    <x:row r="201">
      <x:c r="A201" s="82" t="str">
        <x:v>F19.BackoffPolicy</x:v>
      </x:c>
      <x:c r="B201" s="82" t="str">
        <x:v>F19</x:v>
      </x:c>
      <x:c r="C201" s="82" t="str">
        <x:v>CxVisual.Foundation.Infrastructure</x:v>
      </x:c>
      <x:c r="D201" s="82" t="str">
        <x:v>BackoffPolicy</x:v>
      </x:c>
      <x:c r="E201" s="82" t="n">
        <x:v>0</x:v>
      </x:c>
      <x:c r="F201" s="82" t="str">
        <x:v>—</x:v>
      </x:c>
      <x:c r="G201" s="82" t="str">
        <x:v>尚未逐项裁决</x:v>
      </x:c>
      <x:c r="H201" s="82" t="str">
        <x:v>CxVisual.Foundation.Infrastructure</x:v>
      </x:c>
      <x:c r="I201" s="82" t="str">
        <x:v>需核原方法签名/行为、状态、依赖及实例生命周期</x:v>
      </x:c>
      <x:c r="J201" s="82" t="str">
        <x:v>V7.8词法声明证据</x:v>
      </x:c>
      <x:c r="K201" s="82" t="str">
        <x:v>设计审查中/未执行实测</x:v>
      </x:c>
    </x:row>
    <x:row r="202">
      <x:c r="A202" s="82" t="str">
        <x:v>F19.BoundedQueue</x:v>
      </x:c>
      <x:c r="B202" s="82" t="str">
        <x:v>F19</x:v>
      </x:c>
      <x:c r="C202" s="82" t="str">
        <x:v>CxVisual.Foundation.Infrastructure</x:v>
      </x:c>
      <x:c r="D202" s="82" t="str">
        <x:v>BoundedQueue</x:v>
      </x:c>
      <x:c r="E202" s="82" t="n">
        <x:v>0</x:v>
      </x:c>
      <x:c r="F202" s="82" t="str">
        <x:v>—</x:v>
      </x:c>
      <x:c r="G202" s="82" t="str">
        <x:v>尚未逐项裁决</x:v>
      </x:c>
      <x:c r="H202" s="82" t="str">
        <x:v>CxVisual.Foundation.Infrastructure</x:v>
      </x:c>
      <x:c r="I202" s="82" t="str">
        <x:v>需核原方法签名/行为、状态、依赖及实例生命周期</x:v>
      </x:c>
      <x:c r="J202" s="82" t="str">
        <x:v>V7.8词法声明证据</x:v>
      </x:c>
      <x:c r="K202" s="82" t="str">
        <x:v>设计审查中/未执行实测</x:v>
      </x:c>
    </x:row>
    <x:row r="203">
      <x:c r="A203" s="82" t="str">
        <x:v>F19.BufferPoolPolicy</x:v>
      </x:c>
      <x:c r="B203" s="82" t="str">
        <x:v>F19</x:v>
      </x:c>
      <x:c r="C203" s="82" t="str">
        <x:v>CxVisual.Foundation.Infrastructure</x:v>
      </x:c>
      <x:c r="D203" s="82" t="str">
        <x:v>BufferPoolPolicy</x:v>
      </x:c>
      <x:c r="E203" s="82" t="n">
        <x:v>0</x:v>
      </x:c>
      <x:c r="F203" s="82" t="str">
        <x:v>—</x:v>
      </x:c>
      <x:c r="G203" s="82" t="str">
        <x:v>尚未逐项裁决</x:v>
      </x:c>
      <x:c r="H203" s="82" t="str">
        <x:v>CxVisual.Foundation.Infrastructure</x:v>
      </x:c>
      <x:c r="I203" s="82" t="str">
        <x:v>需核原方法签名/行为、状态、依赖及实例生命周期</x:v>
      </x:c>
      <x:c r="J203" s="82" t="str">
        <x:v>V7.8词法声明证据</x:v>
      </x:c>
      <x:c r="K203" s="82" t="str">
        <x:v>设计审查中/未执行实测</x:v>
      </x:c>
    </x:row>
    <x:row r="204">
      <x:c r="A204" s="82" t="str">
        <x:v>F19.CancellationReason</x:v>
      </x:c>
      <x:c r="B204" s="82" t="str">
        <x:v>F19</x:v>
      </x:c>
      <x:c r="C204" s="82" t="str">
        <x:v>CxVisual.Foundation.Infrastructure</x:v>
      </x:c>
      <x:c r="D204" s="82" t="str">
        <x:v>CancellationReason</x:v>
      </x:c>
      <x:c r="E204" s="82" t="n">
        <x:v>0</x:v>
      </x:c>
      <x:c r="F204" s="82" t="str">
        <x:v>—</x:v>
      </x:c>
      <x:c r="G204" s="82" t="str">
        <x:v>尚未逐项裁决</x:v>
      </x:c>
      <x:c r="H204" s="82" t="str">
        <x:v>CxVisual.Foundation.Infrastructure</x:v>
      </x:c>
      <x:c r="I204" s="82" t="str">
        <x:v>需核原方法签名/行为、状态、依赖及实例生命周期</x:v>
      </x:c>
      <x:c r="J204" s="82" t="str">
        <x:v>V7.8词法声明证据</x:v>
      </x:c>
      <x:c r="K204" s="82" t="str">
        <x:v>设计审查中/未执行实测</x:v>
      </x:c>
    </x:row>
    <x:row r="205">
      <x:c r="A205" s="82" t="str">
        <x:v>F19.ConcurrencyMath</x:v>
      </x:c>
      <x:c r="B205" s="82" t="str">
        <x:v>F19</x:v>
      </x:c>
      <x:c r="C205" s="82" t="str">
        <x:v>CxVisual.Foundation.Infrastructure</x:v>
      </x:c>
      <x:c r="D205" s="82" t="str">
        <x:v>ConcurrencyMath</x:v>
      </x:c>
      <x:c r="E205" s="82" t="n">
        <x:v>0</x:v>
      </x:c>
      <x:c r="F205" s="82" t="str">
        <x:v>—</x:v>
      </x:c>
      <x:c r="G205" s="82" t="str">
        <x:v>尚未逐项裁决</x:v>
      </x:c>
      <x:c r="H205" s="82" t="str">
        <x:v>CxVisual.Foundation.Infrastructure</x:v>
      </x:c>
      <x:c r="I205" s="82" t="str">
        <x:v>需核原方法签名/行为、状态、依赖及实例生命周期</x:v>
      </x:c>
      <x:c r="J205" s="82" t="str">
        <x:v>V7.8词法声明证据</x:v>
      </x:c>
      <x:c r="K205" s="82" t="str">
        <x:v>设计审查中/未执行实测</x:v>
      </x:c>
    </x:row>
    <x:row r="206">
      <x:c r="A206" s="82" t="str">
        <x:v>F19.Deadline</x:v>
      </x:c>
      <x:c r="B206" s="82" t="str">
        <x:v>F19</x:v>
      </x:c>
      <x:c r="C206" s="82" t="str">
        <x:v>CxVisual.Foundation.Infrastructure</x:v>
      </x:c>
      <x:c r="D206" s="82" t="str">
        <x:v>Deadline</x:v>
      </x:c>
      <x:c r="E206" s="82" t="n">
        <x:v>0</x:v>
      </x:c>
      <x:c r="F206" s="82" t="str">
        <x:v>—</x:v>
      </x:c>
      <x:c r="G206" s="82" t="str">
        <x:v>尚未逐项裁决</x:v>
      </x:c>
      <x:c r="H206" s="82" t="str">
        <x:v>CxVisual.Foundation.Infrastructure</x:v>
      </x:c>
      <x:c r="I206" s="82" t="str">
        <x:v>需核原方法签名/行为、状态、依赖及实例生命周期</x:v>
      </x:c>
      <x:c r="J206" s="82" t="str">
        <x:v>V7.8词法声明证据</x:v>
      </x:c>
      <x:c r="K206" s="82" t="str">
        <x:v>设计审查中/未执行实测</x:v>
      </x:c>
    </x:row>
    <x:row r="207">
      <x:c r="A207" s="82" t="str">
        <x:v>F19.HashingUtil</x:v>
      </x:c>
      <x:c r="B207" s="82" t="str">
        <x:v>F19</x:v>
      </x:c>
      <x:c r="C207" s="82" t="str">
        <x:v>CxVisual.Foundation.Infrastructure</x:v>
      </x:c>
      <x:c r="D207" s="82" t="str">
        <x:v>HashingUtil</x:v>
      </x:c>
      <x:c r="E207" s="82" t="n">
        <x:v>0</x:v>
      </x:c>
      <x:c r="F207" s="82" t="str">
        <x:v>—</x:v>
      </x:c>
      <x:c r="G207" s="82" t="str">
        <x:v>尚未逐项裁决</x:v>
      </x:c>
      <x:c r="H207" s="82" t="str">
        <x:v>CxVisual.Foundation.Infrastructure</x:v>
      </x:c>
      <x:c r="I207" s="82" t="str">
        <x:v>需核原方法签名/行为、状态、依赖及实例生命周期</x:v>
      </x:c>
      <x:c r="J207" s="82" t="str">
        <x:v>V7.8词法声明证据</x:v>
      </x:c>
      <x:c r="K207" s="82" t="str">
        <x:v>设计审查中/未执行实测</x:v>
      </x:c>
    </x:row>
    <x:row r="208">
      <x:c r="A208" s="82" t="str">
        <x:v>F19.MemoryBudget</x:v>
      </x:c>
      <x:c r="B208" s="82" t="str">
        <x:v>F19</x:v>
      </x:c>
      <x:c r="C208" s="82" t="str">
        <x:v>CxVisual.Foundation.Infrastructure</x:v>
      </x:c>
      <x:c r="D208" s="82" t="str">
        <x:v>MemoryBudget</x:v>
      </x:c>
      <x:c r="E208" s="82" t="n">
        <x:v>0</x:v>
      </x:c>
      <x:c r="F208" s="82" t="str">
        <x:v>—</x:v>
      </x:c>
      <x:c r="G208" s="82" t="str">
        <x:v>尚未逐项裁决</x:v>
      </x:c>
      <x:c r="H208" s="82" t="str">
        <x:v>CxVisual.Foundation.Infrastructure</x:v>
      </x:c>
      <x:c r="I208" s="82" t="str">
        <x:v>需核原方法签名/行为、状态、依赖及实例生命周期</x:v>
      </x:c>
      <x:c r="J208" s="82" t="str">
        <x:v>V7.8词法声明证据</x:v>
      </x:c>
      <x:c r="K208" s="82" t="str">
        <x:v>设计审查中/未执行实测</x:v>
      </x:c>
    </x:row>
    <x:row r="209">
      <x:c r="A209" s="82" t="str">
        <x:v>F19.RateLimiterMath</x:v>
      </x:c>
      <x:c r="B209" s="82" t="str">
        <x:v>F19</x:v>
      </x:c>
      <x:c r="C209" s="82" t="str">
        <x:v>CxVisual.Foundation.Infrastructure</x:v>
      </x:c>
      <x:c r="D209" s="82" t="str">
        <x:v>RateLimiterMath</x:v>
      </x:c>
      <x:c r="E209" s="82" t="n">
        <x:v>0</x:v>
      </x:c>
      <x:c r="F209" s="82" t="str">
        <x:v>—</x:v>
      </x:c>
      <x:c r="G209" s="82" t="str">
        <x:v>尚未逐项裁决</x:v>
      </x:c>
      <x:c r="H209" s="82" t="str">
        <x:v>CxVisual.Foundation.Infrastructure</x:v>
      </x:c>
      <x:c r="I209" s="82" t="str">
        <x:v>需核原方法签名/行为、状态、依赖及实例生命周期</x:v>
      </x:c>
      <x:c r="J209" s="82" t="str">
        <x:v>V7.8词法声明证据</x:v>
      </x:c>
      <x:c r="K209" s="82" t="str">
        <x:v>设计审查中/未执行实测</x:v>
      </x:c>
    </x:row>
    <x:row r="210">
      <x:c r="A210" s="82" t="str">
        <x:v>F20.AesEncryptionOps</x:v>
      </x:c>
      <x:c r="B210" s="82" t="str">
        <x:v>F20</x:v>
      </x:c>
      <x:c r="C210" s="82" t="str">
        <x:v>CxVisual.Foundation.Infrastructure</x:v>
      </x:c>
      <x:c r="D210" s="82" t="str">
        <x:v>AesEncryptionOps</x:v>
      </x:c>
      <x:c r="E210" s="82" t="n">
        <x:v>0</x:v>
      </x:c>
      <x:c r="F210" s="82" t="str">
        <x:v>—</x:v>
      </x:c>
      <x:c r="G210" s="82" t="str">
        <x:v>尚未逐项裁决</x:v>
      </x:c>
      <x:c r="H210" s="82" t="str">
        <x:v>CxVisual.Foundation.Infrastructure</x:v>
      </x:c>
      <x:c r="I210" s="82" t="str">
        <x:v>需核原方法签名/行为、状态、依赖及实例生命周期</x:v>
      </x:c>
      <x:c r="J210" s="82" t="str">
        <x:v>V7.8词法声明证据</x:v>
      </x:c>
      <x:c r="K210" s="82" t="str">
        <x:v>设计审查中/未执行实测</x:v>
      </x:c>
    </x:row>
    <x:row r="211">
      <x:c r="A211" s="82" t="str">
        <x:v>F20.Base64EncodingUtil</x:v>
      </x:c>
      <x:c r="B211" s="82" t="str">
        <x:v>F20</x:v>
      </x:c>
      <x:c r="C211" s="82" t="str">
        <x:v>CxVisual.Foundation.Infrastructure</x:v>
      </x:c>
      <x:c r="D211" s="82" t="str">
        <x:v>Base64EncodingUtil</x:v>
      </x:c>
      <x:c r="E211" s="82" t="n">
        <x:v>0</x:v>
      </x:c>
      <x:c r="F211" s="82" t="str">
        <x:v>—</x:v>
      </x:c>
      <x:c r="G211" s="82" t="str">
        <x:v>尚未逐项裁决</x:v>
      </x:c>
      <x:c r="H211" s="82" t="str">
        <x:v>CxVisual.Foundation.Infrastructure</x:v>
      </x:c>
      <x:c r="I211" s="82" t="str">
        <x:v>需核原方法签名/行为、状态、依赖及实例生命周期</x:v>
      </x:c>
      <x:c r="J211" s="82" t="str">
        <x:v>V7.8词法声明证据</x:v>
      </x:c>
      <x:c r="K211" s="82" t="str">
        <x:v>设计审查中/未执行实测</x:v>
      </x:c>
    </x:row>
    <x:row r="212">
      <x:c r="A212" s="82" t="str">
        <x:v>F20.ConstantTimeCompare</x:v>
      </x:c>
      <x:c r="B212" s="82" t="str">
        <x:v>F20</x:v>
      </x:c>
      <x:c r="C212" s="82" t="str">
        <x:v>CxVisual.Foundation.Infrastructure</x:v>
      </x:c>
      <x:c r="D212" s="82" t="str">
        <x:v>ConstantTimeCompare</x:v>
      </x:c>
      <x:c r="E212" s="82" t="n">
        <x:v>0</x:v>
      </x:c>
      <x:c r="F212" s="82" t="str">
        <x:v>—</x:v>
      </x:c>
      <x:c r="G212" s="82" t="str">
        <x:v>尚未逐项裁决</x:v>
      </x:c>
      <x:c r="H212" s="82" t="str">
        <x:v>CxVisual.Foundation.Infrastructure</x:v>
      </x:c>
      <x:c r="I212" s="82" t="str">
        <x:v>需核原方法签名/行为、状态、依赖及实例生命周期</x:v>
      </x:c>
      <x:c r="J212" s="82" t="str">
        <x:v>V7.8词法声明证据</x:v>
      </x:c>
      <x:c r="K212" s="82" t="str">
        <x:v>设计审查中/未执行实测</x:v>
      </x:c>
    </x:row>
    <x:row r="213">
      <x:c r="A213" s="82" t="str">
        <x:v>F20.HexEncodingUtil</x:v>
      </x:c>
      <x:c r="B213" s="82" t="str">
        <x:v>F20</x:v>
      </x:c>
      <x:c r="C213" s="82" t="str">
        <x:v>CxVisual.Foundation.Infrastructure</x:v>
      </x:c>
      <x:c r="D213" s="82" t="str">
        <x:v>HexEncodingUtil</x:v>
      </x:c>
      <x:c r="E213" s="82" t="n">
        <x:v>0</x:v>
      </x:c>
      <x:c r="F213" s="82" t="str">
        <x:v>—</x:v>
      </x:c>
      <x:c r="G213" s="82" t="str">
        <x:v>尚未逐项裁决</x:v>
      </x:c>
      <x:c r="H213" s="82" t="str">
        <x:v>CxVisual.Foundation.Infrastructure</x:v>
      </x:c>
      <x:c r="I213" s="82" t="str">
        <x:v>需核原方法签名/行为、状态、依赖及实例生命周期</x:v>
      </x:c>
      <x:c r="J213" s="82" t="str">
        <x:v>V7.8词法声明证据</x:v>
      </x:c>
      <x:c r="K213" s="82" t="str">
        <x:v>设计审查中/未执行实测</x:v>
      </x:c>
    </x:row>
    <x:row r="214">
      <x:c r="A214" s="82" t="str">
        <x:v>F20.KeyFingerprintUtil</x:v>
      </x:c>
      <x:c r="B214" s="82" t="str">
        <x:v>F20</x:v>
      </x:c>
      <x:c r="C214" s="82" t="str">
        <x:v>CxVisual.Foundation.Infrastructure</x:v>
      </x:c>
      <x:c r="D214" s="82" t="str">
        <x:v>KeyFingerprintUtil</x:v>
      </x:c>
      <x:c r="E214" s="82" t="n">
        <x:v>0</x:v>
      </x:c>
      <x:c r="F214" s="82" t="str">
        <x:v>—</x:v>
      </x:c>
      <x:c r="G214" s="82" t="str">
        <x:v>尚未逐项裁决</x:v>
      </x:c>
      <x:c r="H214" s="82" t="str">
        <x:v>CxVisual.Foundation.Infrastructure</x:v>
      </x:c>
      <x:c r="I214" s="82" t="str">
        <x:v>需核原方法签名/行为、状态、依赖及实例生命周期</x:v>
      </x:c>
      <x:c r="J214" s="82" t="str">
        <x:v>V7.8词法声明证据</x:v>
      </x:c>
      <x:c r="K214" s="82" t="str">
        <x:v>设计审查中/未执行实测</x:v>
      </x:c>
    </x:row>
    <x:row r="215">
      <x:c r="A215" s="82" t="str">
        <x:v>F20.PasswordHashUtil</x:v>
      </x:c>
      <x:c r="B215" s="82" t="str">
        <x:v>F20</x:v>
      </x:c>
      <x:c r="C215" s="82" t="str">
        <x:v>CxVisual.Foundation.Infrastructure</x:v>
      </x:c>
      <x:c r="D215" s="82" t="str">
        <x:v>PasswordHashUtil</x:v>
      </x:c>
      <x:c r="E215" s="82" t="n">
        <x:v>0</x:v>
      </x:c>
      <x:c r="F215" s="82" t="str">
        <x:v>—</x:v>
      </x:c>
      <x:c r="G215" s="82" t="str">
        <x:v>尚未逐项裁决</x:v>
      </x:c>
      <x:c r="H215" s="82" t="str">
        <x:v>CxVisual.Foundation.Infrastructure</x:v>
      </x:c>
      <x:c r="I215" s="82" t="str">
        <x:v>需核原方法签名/行为、状态、依赖及实例生命周期</x:v>
      </x:c>
      <x:c r="J215" s="82" t="str">
        <x:v>V7.8词法声明证据</x:v>
      </x:c>
      <x:c r="K215" s="82" t="str">
        <x:v>设计审查中/未执行实测</x:v>
      </x:c>
    </x:row>
    <x:row r="216">
      <x:c r="A216" s="82" t="str">
        <x:v>F20.SecureRandomUtil</x:v>
      </x:c>
      <x:c r="B216" s="82" t="str">
        <x:v>F20</x:v>
      </x:c>
      <x:c r="C216" s="82" t="str">
        <x:v>CxVisual.Foundation.Infrastructure</x:v>
      </x:c>
      <x:c r="D216" s="82" t="str">
        <x:v>SecureRandomUtil</x:v>
      </x:c>
      <x:c r="E216" s="82" t="n">
        <x:v>0</x:v>
      </x:c>
      <x:c r="F216" s="82" t="str">
        <x:v>—</x:v>
      </x:c>
      <x:c r="G216" s="82" t="str">
        <x:v>尚未逐项裁决</x:v>
      </x:c>
      <x:c r="H216" s="82" t="str">
        <x:v>CxVisual.Foundation.Infrastructure</x:v>
      </x:c>
      <x:c r="I216" s="82" t="str">
        <x:v>需核原方法签名/行为、状态、依赖及实例生命周期</x:v>
      </x:c>
      <x:c r="J216" s="82" t="str">
        <x:v>V7.8词法声明证据</x:v>
      </x:c>
      <x:c r="K216" s="82" t="str">
        <x:v>设计审查中/未执行实测</x:v>
      </x:c>
    </x:row>
    <x:row r="217">
      <x:c r="A217" s="82" t="str">
        <x:v>F20.SignatureVerifyOps</x:v>
      </x:c>
      <x:c r="B217" s="82" t="str">
        <x:v>F20</x:v>
      </x:c>
      <x:c r="C217" s="82" t="str">
        <x:v>CxVisual.Foundation.Infrastructure</x:v>
      </x:c>
      <x:c r="D217" s="82" t="str">
        <x:v>SignatureVerifyOps</x:v>
      </x:c>
      <x:c r="E217" s="82" t="n">
        <x:v>0</x:v>
      </x:c>
      <x:c r="F217" s="82" t="str">
        <x:v>—</x:v>
      </x:c>
      <x:c r="G217" s="82" t="str">
        <x:v>尚未逐项裁决</x:v>
      </x:c>
      <x:c r="H217" s="82" t="str">
        <x:v>CxVisual.Foundation.Infrastructure</x:v>
      </x:c>
      <x:c r="I217" s="82" t="str">
        <x:v>需核原方法签名/行为、状态、依赖及实例生命周期</x:v>
      </x:c>
      <x:c r="J217" s="82" t="str">
        <x:v>V7.8词法声明证据</x:v>
      </x:c>
      <x:c r="K217" s="82" t="str">
        <x:v>设计审查中/未执行实测</x:v>
      </x:c>
    </x:row>
    <x:row r="218">
      <x:c r="A218" s="82" t="str">
        <x:v>F20.UtfEncodingUtil</x:v>
      </x:c>
      <x:c r="B218" s="82" t="str">
        <x:v>F20</x:v>
      </x:c>
      <x:c r="C218" s="82" t="str">
        <x:v>CxVisual.Foundation.Infrastructure</x:v>
      </x:c>
      <x:c r="D218" s="82" t="str">
        <x:v>UtfEncodingUtil</x:v>
      </x:c>
      <x:c r="E218" s="82" t="n">
        <x:v>0</x:v>
      </x:c>
      <x:c r="F218" s="82" t="str">
        <x:v>—</x:v>
      </x:c>
      <x:c r="G218" s="82" t="str">
        <x:v>尚未逐项裁决</x:v>
      </x:c>
      <x:c r="H218" s="82" t="str">
        <x:v>CxVisual.Foundation.Infrastructure</x:v>
      </x:c>
      <x:c r="I218" s="82" t="str">
        <x:v>需核原方法签名/行为、状态、依赖及实例生命周期</x:v>
      </x:c>
      <x:c r="J218" s="82" t="str">
        <x:v>V7.8词法声明证据</x:v>
      </x:c>
      <x:c r="K218" s="82" t="str">
        <x:v>设计审查中/未执行实测</x:v>
      </x:c>
    </x:row>
    <x:row r="219">
      <x:c r="A219" s="82" t="str">
        <x:v>F21.DataFingerprintUtil</x:v>
      </x:c>
      <x:c r="B219" s="82" t="str">
        <x:v>F21</x:v>
      </x:c>
      <x:c r="C219" s="82" t="str">
        <x:v>CxVisual.Foundation.Data</x:v>
      </x:c>
      <x:c r="D219" s="82" t="str">
        <x:v>DataFingerprintUtil</x:v>
      </x:c>
      <x:c r="E219" s="82" t="n">
        <x:v>0</x:v>
      </x:c>
      <x:c r="F219" s="82" t="str">
        <x:v>—</x:v>
      </x:c>
      <x:c r="G219" s="82" t="str">
        <x:v>尚未逐项裁决</x:v>
      </x:c>
      <x:c r="H219" s="82" t="str">
        <x:v>CxVisual.Foundation.Data</x:v>
      </x:c>
      <x:c r="I219" s="82" t="str">
        <x:v>需核原方法签名/行为、状态、依赖及实例生命周期</x:v>
      </x:c>
      <x:c r="J219" s="82" t="str">
        <x:v>V7.8词法声明证据</x:v>
      </x:c>
      <x:c r="K219" s="82" t="str">
        <x:v>设计审查中/未执行实测</x:v>
      </x:c>
    </x:row>
    <x:row r="220">
      <x:c r="A220" s="82" t="str">
        <x:v>F21.DataLineageEdge</x:v>
      </x:c>
      <x:c r="B220" s="82" t="str">
        <x:v>F21</x:v>
      </x:c>
      <x:c r="C220" s="82" t="str">
        <x:v>CxVisual.Foundation.Data</x:v>
      </x:c>
      <x:c r="D220" s="82" t="str">
        <x:v>DataLineageEdge</x:v>
      </x:c>
      <x:c r="E220" s="82" t="n">
        <x:v>0</x:v>
      </x:c>
      <x:c r="F220" s="82" t="str">
        <x:v>—</x:v>
      </x:c>
      <x:c r="G220" s="82" t="str">
        <x:v>尚未逐项裁决</x:v>
      </x:c>
      <x:c r="H220" s="82" t="str">
        <x:v>CxVisual.Foundation.Data</x:v>
      </x:c>
      <x:c r="I220" s="82" t="str">
        <x:v>需核原方法签名/行为、状态、依赖及实例生命周期</x:v>
      </x:c>
      <x:c r="J220" s="82" t="str">
        <x:v>V7.8词法声明证据</x:v>
      </x:c>
      <x:c r="K220" s="82" t="str">
        <x:v>设计审查中/未执行实测</x:v>
      </x:c>
    </x:row>
    <x:row r="221">
      <x:c r="A221" s="82" t="str">
        <x:v>F21.DataQualityFlag</x:v>
      </x:c>
      <x:c r="B221" s="82" t="str">
        <x:v>F21</x:v>
      </x:c>
      <x:c r="C221" s="82" t="str">
        <x:v>CxVisual.Foundation.Data</x:v>
      </x:c>
      <x:c r="D221" s="82" t="str">
        <x:v>DataQualityFlag</x:v>
      </x:c>
      <x:c r="E221" s="82" t="n">
        <x:v>0</x:v>
      </x:c>
      <x:c r="F221" s="82" t="str">
        <x:v>—</x:v>
      </x:c>
      <x:c r="G221" s="82" t="str">
        <x:v>尚未逐项裁决</x:v>
      </x:c>
      <x:c r="H221" s="82" t="str">
        <x:v>CxVisual.Foundation.Data</x:v>
      </x:c>
      <x:c r="I221" s="82" t="str">
        <x:v>需核原方法签名/行为、状态、依赖及实例生命周期</x:v>
      </x:c>
      <x:c r="J221" s="82" t="str">
        <x:v>V7.8词法声明证据</x:v>
      </x:c>
      <x:c r="K221" s="82" t="str">
        <x:v>设计审查中/未执行实测</x:v>
      </x:c>
    </x:row>
    <x:row r="222">
      <x:c r="A222" s="82" t="str">
        <x:v>F21.DataValidationOps</x:v>
      </x:c>
      <x:c r="B222" s="82" t="str">
        <x:v>F21</x:v>
      </x:c>
      <x:c r="C222" s="82" t="str">
        <x:v>CxVisual.Foundation.Data</x:v>
      </x:c>
      <x:c r="D222" s="82" t="str">
        <x:v>DataValidationOps</x:v>
      </x:c>
      <x:c r="E222" s="82" t="n">
        <x:v>0</x:v>
      </x:c>
      <x:c r="F222" s="82" t="str">
        <x:v>—</x:v>
      </x:c>
      <x:c r="G222" s="82" t="str">
        <x:v>尚未逐项裁决</x:v>
      </x:c>
      <x:c r="H222" s="82" t="str">
        <x:v>CxVisual.Foundation.Data</x:v>
      </x:c>
      <x:c r="I222" s="82" t="str">
        <x:v>需核原方法签名/行为、状态、依赖及实例生命周期</x:v>
      </x:c>
      <x:c r="J222" s="82" t="str">
        <x:v>V7.8词法声明证据</x:v>
      </x:c>
      <x:c r="K222" s="82" t="str">
        <x:v>设计审查中/未执行实测</x:v>
      </x:c>
    </x:row>
    <x:row r="223">
      <x:c r="A223" s="82" t="str">
        <x:v>F21.IntegrityDigest</x:v>
      </x:c>
      <x:c r="B223" s="82" t="str">
        <x:v>F21</x:v>
      </x:c>
      <x:c r="C223" s="82" t="str">
        <x:v>CxVisual.Foundation.Data</x:v>
      </x:c>
      <x:c r="D223" s="82" t="str">
        <x:v>IntegrityDigest</x:v>
      </x:c>
      <x:c r="E223" s="82" t="n">
        <x:v>0</x:v>
      </x:c>
      <x:c r="F223" s="82" t="str">
        <x:v>—</x:v>
      </x:c>
      <x:c r="G223" s="82" t="str">
        <x:v>尚未逐项裁决</x:v>
      </x:c>
      <x:c r="H223" s="82" t="str">
        <x:v>CxVisual.Foundation.Data</x:v>
      </x:c>
      <x:c r="I223" s="82" t="str">
        <x:v>需核原方法签名/行为、状态、依赖及实例生命周期</x:v>
      </x:c>
      <x:c r="J223" s="82" t="str">
        <x:v>V7.8词法声明证据</x:v>
      </x:c>
      <x:c r="K223" s="82" t="str">
        <x:v>设计审查中/未执行实测</x:v>
      </x:c>
    </x:row>
    <x:row r="224">
      <x:c r="A224" s="82" t="str">
        <x:v>F21.NullabilityOps</x:v>
      </x:c>
      <x:c r="B224" s="82" t="str">
        <x:v>F21</x:v>
      </x:c>
      <x:c r="C224" s="82" t="str">
        <x:v>CxVisual.Foundation.Data</x:v>
      </x:c>
      <x:c r="D224" s="82" t="str">
        <x:v>NullabilityOps</x:v>
      </x:c>
      <x:c r="E224" s="82" t="n">
        <x:v>0</x:v>
      </x:c>
      <x:c r="F224" s="82" t="str">
        <x:v>—</x:v>
      </x:c>
      <x:c r="G224" s="82" t="str">
        <x:v>尚未逐项裁决</x:v>
      </x:c>
      <x:c r="H224" s="82" t="str">
        <x:v>CxVisual.Foundation.Data</x:v>
      </x:c>
      <x:c r="I224" s="82" t="str">
        <x:v>需核原方法签名/行为、状态、依赖及实例生命周期</x:v>
      </x:c>
      <x:c r="J224" s="82" t="str">
        <x:v>V7.8词法声明证据</x:v>
      </x:c>
      <x:c r="K224" s="82" t="str">
        <x:v>设计审查中/未执行实测</x:v>
      </x:c>
    </x:row>
    <x:row r="225">
      <x:c r="A225" s="82" t="str">
        <x:v>F21.ProvenancePointer</x:v>
      </x:c>
      <x:c r="B225" s="82" t="str">
        <x:v>F21</x:v>
      </x:c>
      <x:c r="C225" s="82" t="str">
        <x:v>CxVisual.Foundation.Data</x:v>
      </x:c>
      <x:c r="D225" s="82" t="str">
        <x:v>ProvenancePointer</x:v>
      </x:c>
      <x:c r="E225" s="82" t="n">
        <x:v>0</x:v>
      </x:c>
      <x:c r="F225" s="82" t="str">
        <x:v>—</x:v>
      </x:c>
      <x:c r="G225" s="82" t="str">
        <x:v>尚未逐项裁决</x:v>
      </x:c>
      <x:c r="H225" s="82" t="str">
        <x:v>CxVisual.Foundation.Data</x:v>
      </x:c>
      <x:c r="I225" s="82" t="str">
        <x:v>需核原方法签名/行为、状态、依赖及实例生命周期</x:v>
      </x:c>
      <x:c r="J225" s="82" t="str">
        <x:v>V7.8词法声明证据</x:v>
      </x:c>
      <x:c r="K225" s="82" t="str">
        <x:v>设计审查中/未执行实测</x:v>
      </x:c>
    </x:row>
    <x:row r="226">
      <x:c r="A226" s="82" t="str">
        <x:v>F21.SchemaCompatibilityUtil</x:v>
      </x:c>
      <x:c r="B226" s="82" t="str">
        <x:v>F21</x:v>
      </x:c>
      <x:c r="C226" s="82" t="str">
        <x:v>CxVisual.Foundation.Data</x:v>
      </x:c>
      <x:c r="D226" s="82" t="str">
        <x:v>SchemaCompatibilityUtil</x:v>
      </x:c>
      <x:c r="E226" s="82" t="n">
        <x:v>0</x:v>
      </x:c>
      <x:c r="F226" s="82" t="str">
        <x:v>—</x:v>
      </x:c>
      <x:c r="G226" s="82" t="str">
        <x:v>尚未逐项裁决</x:v>
      </x:c>
      <x:c r="H226" s="82" t="str">
        <x:v>CxVisual.Foundation.Data</x:v>
      </x:c>
      <x:c r="I226" s="82" t="str">
        <x:v>需核原方法签名/行为、状态、依赖及实例生命周期</x:v>
      </x:c>
      <x:c r="J226" s="82" t="str">
        <x:v>V7.8词法声明证据</x:v>
      </x:c>
      <x:c r="K226" s="82" t="str">
        <x:v>设计审查中/未执行实测</x:v>
      </x:c>
    </x:row>
    <x:row r="227">
      <x:c r="A227" s="82" t="str">
        <x:v>F21.SnapshotDiffUtil</x:v>
      </x:c>
      <x:c r="B227" s="82" t="str">
        <x:v>F21</x:v>
      </x:c>
      <x:c r="C227" s="82" t="str">
        <x:v>CxVisual.Foundation.Data</x:v>
      </x:c>
      <x:c r="D227" s="82" t="str">
        <x:v>SnapshotDiffUtil</x:v>
      </x:c>
      <x:c r="E227" s="82" t="n">
        <x:v>0</x:v>
      </x:c>
      <x:c r="F227" s="82" t="str">
        <x:v>—</x:v>
      </x:c>
      <x:c r="G227" s="82" t="str">
        <x:v>尚未逐项裁决</x:v>
      </x:c>
      <x:c r="H227" s="82" t="str">
        <x:v>CxVisual.Foundation.Data</x:v>
      </x:c>
      <x:c r="I227" s="82" t="str">
        <x:v>需核原方法签名/行为、状态、依赖及实例生命周期</x:v>
      </x:c>
      <x:c r="J227" s="82" t="str">
        <x:v>V7.8词法声明证据</x:v>
      </x:c>
      <x:c r="K227" s="82" t="str">
        <x:v>设计审查中/未执行实测</x:v>
      </x:c>
    </x:row>
    <x:row r="228">
      <x:c r="A228" s="82" t="str">
        <x:v>F22.ColorConversionOps</x:v>
      </x:c>
      <x:c r="B228" s="82" t="str">
        <x:v>F22</x:v>
      </x:c>
      <x:c r="C228" s="82" t="str">
        <x:v>CxVisual.Foundation.Imaging</x:v>
      </x:c>
      <x:c r="D228" s="82" t="str">
        <x:v>ColorConversionOps</x:v>
      </x:c>
      <x:c r="E228" s="82" t="n">
        <x:v>0</x:v>
      </x:c>
      <x:c r="F228" s="82" t="str">
        <x:v>—</x:v>
      </x:c>
      <x:c r="G228" s="82" t="str">
        <x:v>尚未逐项裁决</x:v>
      </x:c>
      <x:c r="H228" s="82" t="str">
        <x:v>CxVisual.Foundation.Imaging</x:v>
      </x:c>
      <x:c r="I228" s="82" t="str">
        <x:v>需核原方法签名/行为、状态、依赖及实例生命周期</x:v>
      </x:c>
      <x:c r="J228" s="82" t="str">
        <x:v>V7.8词法声明证据</x:v>
      </x:c>
      <x:c r="K228" s="82" t="str">
        <x:v>设计审查中/未执行实测</x:v>
      </x:c>
    </x:row>
    <x:row r="229">
      <x:c r="A229" s="82" t="str">
        <x:v>F22.ColorRgba</x:v>
      </x:c>
      <x:c r="B229" s="82" t="str">
        <x:v>F22</x:v>
      </x:c>
      <x:c r="C229" s="82" t="str">
        <x:v>CxVisual.Foundation.Imaging</x:v>
      </x:c>
      <x:c r="D229" s="82" t="str">
        <x:v>ColorRgba</x:v>
      </x:c>
      <x:c r="E229" s="82" t="n">
        <x:v>0</x:v>
      </x:c>
      <x:c r="F229" s="82" t="str">
        <x:v>—</x:v>
      </x:c>
      <x:c r="G229" s="82" t="str">
        <x:v>尚未逐项裁决</x:v>
      </x:c>
      <x:c r="H229" s="82" t="str">
        <x:v>CxVisual.Foundation.Imaging</x:v>
      </x:c>
      <x:c r="I229" s="82" t="str">
        <x:v>需核原方法签名/行为、状态、依赖及实例生命周期</x:v>
      </x:c>
      <x:c r="J229" s="82" t="str">
        <x:v>V7.8词法声明证据</x:v>
      </x:c>
      <x:c r="K229" s="82" t="str">
        <x:v>设计审查中/未执行实测</x:v>
      </x:c>
    </x:row>
    <x:row r="230">
      <x:c r="A230" s="82" t="str">
        <x:v>F22.ColorSpace</x:v>
      </x:c>
      <x:c r="B230" s="82" t="str">
        <x:v>F22</x:v>
      </x:c>
      <x:c r="C230" s="82" t="str">
        <x:v>CxVisual.Foundation.Imaging</x:v>
      </x:c>
      <x:c r="D230" s="82" t="str">
        <x:v>ColorSpace</x:v>
      </x:c>
      <x:c r="E230" s="82" t="n">
        <x:v>0</x:v>
      </x:c>
      <x:c r="F230" s="82" t="str">
        <x:v>—</x:v>
      </x:c>
      <x:c r="G230" s="82" t="str">
        <x:v>尚未逐项裁决</x:v>
      </x:c>
      <x:c r="H230" s="82" t="str">
        <x:v>CxVisual.Foundation.Imaging</x:v>
      </x:c>
      <x:c r="I230" s="82" t="str">
        <x:v>需核原方法签名/行为、状态、依赖及实例生命周期</x:v>
      </x:c>
      <x:c r="J230" s="82" t="str">
        <x:v>V7.8词法声明证据</x:v>
      </x:c>
      <x:c r="K230" s="82" t="str">
        <x:v>设计审查中/未执行实测</x:v>
      </x:c>
    </x:row>
    <x:row r="231">
      <x:c r="A231" s="82" t="str">
        <x:v>F22.FontMetrics</x:v>
      </x:c>
      <x:c r="B231" s="82" t="str">
        <x:v>F22</x:v>
      </x:c>
      <x:c r="C231" s="82" t="str">
        <x:v>CxVisual.Foundation.Imaging</x:v>
      </x:c>
      <x:c r="D231" s="82" t="str">
        <x:v>FontMetrics</x:v>
      </x:c>
      <x:c r="E231" s="82" t="n">
        <x:v>0</x:v>
      </x:c>
      <x:c r="F231" s="82" t="str">
        <x:v>—</x:v>
      </x:c>
      <x:c r="G231" s="82" t="str">
        <x:v>尚未逐项裁决</x:v>
      </x:c>
      <x:c r="H231" s="82" t="str">
        <x:v>CxVisual.Foundation.Imaging</x:v>
      </x:c>
      <x:c r="I231" s="82" t="str">
        <x:v>需核原方法签名/行为、状态、依赖及实例生命周期</x:v>
      </x:c>
      <x:c r="J231" s="82" t="str">
        <x:v>V7.8词法声明证据</x:v>
      </x:c>
      <x:c r="K231" s="82" t="str">
        <x:v>设计审查中/未执行实测</x:v>
      </x:c>
    </x:row>
    <x:row r="232">
      <x:c r="A232" s="82" t="str">
        <x:v>F22.GeometryRasterOps</x:v>
      </x:c>
      <x:c r="B232" s="82" t="str">
        <x:v>F22</x:v>
      </x:c>
      <x:c r="C232" s="82" t="str">
        <x:v>CxVisual.Foundation.Imaging</x:v>
      </x:c>
      <x:c r="D232" s="82" t="str">
        <x:v>GeometryRasterOps</x:v>
      </x:c>
      <x:c r="E232" s="82" t="n">
        <x:v>0</x:v>
      </x:c>
      <x:c r="F232" s="82" t="str">
        <x:v>—</x:v>
      </x:c>
      <x:c r="G232" s="82" t="str">
        <x:v>尚未逐项裁决</x:v>
      </x:c>
      <x:c r="H232" s="82" t="str">
        <x:v>CxVisual.Foundation.Imaging</x:v>
      </x:c>
      <x:c r="I232" s="82" t="str">
        <x:v>需核原方法签名/行为、状态、依赖及实例生命周期</x:v>
      </x:c>
      <x:c r="J232" s="82" t="str">
        <x:v>V7.8词法声明证据</x:v>
      </x:c>
      <x:c r="K232" s="82" t="str">
        <x:v>设计审查中/未执行实测</x:v>
      </x:c>
    </x:row>
    <x:row r="233">
      <x:c r="A233" s="82" t="str">
        <x:v>F22.RectTransform</x:v>
      </x:c>
      <x:c r="B233" s="82" t="str">
        <x:v>F22</x:v>
      </x:c>
      <x:c r="C233" s="82" t="str">
        <x:v>CxVisual.Foundation.Imaging</x:v>
      </x:c>
      <x:c r="D233" s="82" t="str">
        <x:v>RectTransform</x:v>
      </x:c>
      <x:c r="E233" s="82" t="n">
        <x:v>0</x:v>
      </x:c>
      <x:c r="F233" s="82" t="str">
        <x:v>—</x:v>
      </x:c>
      <x:c r="G233" s="82" t="str">
        <x:v>尚未逐项裁决</x:v>
      </x:c>
      <x:c r="H233" s="82" t="str">
        <x:v>CxVisual.Foundation.Imaging</x:v>
      </x:c>
      <x:c r="I233" s="82" t="str">
        <x:v>需核原方法签名/行为、状态、依赖及实例生命周期</x:v>
      </x:c>
      <x:c r="J233" s="82" t="str">
        <x:v>V7.8词法声明证据</x:v>
      </x:c>
      <x:c r="K233" s="82" t="str">
        <x:v>设计审查中/未执行实测</x:v>
      </x:c>
    </x:row>
    <x:row r="234">
      <x:c r="A234" s="82" t="str">
        <x:v>F22.RenderMathUtil</x:v>
      </x:c>
      <x:c r="B234" s="82" t="str">
        <x:v>F22</x:v>
      </x:c>
      <x:c r="C234" s="82" t="str">
        <x:v>CxVisual.Foundation.Imaging</x:v>
      </x:c>
      <x:c r="D234" s="82" t="str">
        <x:v>RenderMathUtil</x:v>
      </x:c>
      <x:c r="E234" s="82" t="n">
        <x:v>0</x:v>
      </x:c>
      <x:c r="F234" s="82" t="str">
        <x:v>—</x:v>
      </x:c>
      <x:c r="G234" s="82" t="str">
        <x:v>尚未逐项裁决</x:v>
      </x:c>
      <x:c r="H234" s="82" t="str">
        <x:v>CxVisual.Foundation.Imaging</x:v>
      </x:c>
      <x:c r="I234" s="82" t="str">
        <x:v>需核原方法签名/行为、状态、依赖及实例生命周期</x:v>
      </x:c>
      <x:c r="J234" s="82" t="str">
        <x:v>V7.8词法声明证据</x:v>
      </x:c>
      <x:c r="K234" s="82" t="str">
        <x:v>设计审查中/未执行实测</x:v>
      </x:c>
    </x:row>
    <x:row r="235">
      <x:c r="A235" s="82" t="str">
        <x:v>F22.TextMeasurementOps</x:v>
      </x:c>
      <x:c r="B235" s="82" t="str">
        <x:v>F22</x:v>
      </x:c>
      <x:c r="C235" s="82" t="str">
        <x:v>CxVisual.Foundation.Imaging</x:v>
      </x:c>
      <x:c r="D235" s="82" t="str">
        <x:v>TextMeasurementOps</x:v>
      </x:c>
      <x:c r="E235" s="82" t="n">
        <x:v>0</x:v>
      </x:c>
      <x:c r="F235" s="82" t="str">
        <x:v>—</x:v>
      </x:c>
      <x:c r="G235" s="82" t="str">
        <x:v>尚未逐项裁决</x:v>
      </x:c>
      <x:c r="H235" s="82" t="str">
        <x:v>CxVisual.Foundation.Imaging</x:v>
      </x:c>
      <x:c r="I235" s="82" t="str">
        <x:v>需核原方法签名/行为、状态、依赖及实例生命周期</x:v>
      </x:c>
      <x:c r="J235" s="82" t="str">
        <x:v>V7.8词法声明证据</x:v>
      </x:c>
      <x:c r="K235" s="82" t="str">
        <x:v>设计审查中/未执行实测</x:v>
      </x:c>
    </x:row>
    <x:row r="236">
      <x:c r="A236" s="82" t="str">
        <x:v>F22.Viewport2D</x:v>
      </x:c>
      <x:c r="B236" s="82" t="str">
        <x:v>F22</x:v>
      </x:c>
      <x:c r="C236" s="82" t="str">
        <x:v>CxVisual.Foundation.Imaging</x:v>
      </x:c>
      <x:c r="D236" s="82" t="str">
        <x:v>Viewport2D</x:v>
      </x:c>
      <x:c r="E236" s="82" t="n">
        <x:v>0</x:v>
      </x:c>
      <x:c r="F236" s="82" t="str">
        <x:v>—</x:v>
      </x:c>
      <x:c r="G236" s="82" t="str">
        <x:v>尚未逐项裁决</x:v>
      </x:c>
      <x:c r="H236" s="82" t="str">
        <x:v>CxVisual.Foundation.Imaging</x:v>
      </x:c>
      <x:c r="I236" s="82" t="str">
        <x:v>需核原方法签名/行为、状态、依赖及实例生命周期</x:v>
      </x:c>
      <x:c r="J236" s="82" t="str">
        <x:v>V7.8词法声明证据</x:v>
      </x:c>
      <x:c r="K236" s="82" t="str">
        <x:v>设计审查中/未执行实测</x:v>
      </x:c>
    </x:row>
    <x:row r="237">
      <x:c r="A237" s="82" t="str">
        <x:v>M01.CxNode</x:v>
      </x:c>
      <x:c r="B237" s="82" t="str">
        <x:v>M01</x:v>
      </x:c>
      <x:c r="C237" s="82" t="str">
        <x:v>CxVisual.Mechanism.Core</x:v>
      </x:c>
      <x:c r="D237" s="82" t="str">
        <x:v>CxNode</x:v>
      </x:c>
      <x:c r="E237" s="82" t="n">
        <x:v>18</x:v>
      </x:c>
      <x:c r="F237" s="82" t="str">
        <x:v>Platform/Core/CxConnections.cs (class); Platform/Core/CxHmiPresentation.cs (class); Platform/Core/CxNode.cs (class); Platform/Core/CxNodeAttributes.cs (class)</x:v>
      </x:c>
      <x:c r="G237" s="82" t="str">
        <x:v>暂保留候选（需源码验证）</x:v>
      </x:c>
      <x:c r="H237" s="82" t="str">
        <x:v>CxVisual.Mechanism.Core</x:v>
      </x:c>
      <x:c r="I237" s="82" t="str">
        <x:v>禁止隐含运行态或UI强依赖</x:v>
      </x:c>
      <x:c r="J237" s="82" t="str">
        <x:v>R3-A裁决候选</x:v>
      </x:c>
      <x:c r="K237" s="82" t="str">
        <x:v>设计审查中/未执行实测</x:v>
      </x:c>
    </x:row>
    <x:row r="238">
      <x:c r="A238" s="82" t="str">
        <x:v>M01.OwnershipService</x:v>
      </x:c>
      <x:c r="B238" s="82" t="str">
        <x:v>M01</x:v>
      </x:c>
      <x:c r="C238" s="82" t="str">
        <x:v>CxVisual.Mechanism.Core</x:v>
      </x:c>
      <x:c r="D238" s="82" t="str">
        <x:v>OwnershipService</x:v>
      </x:c>
      <x:c r="E238" s="82" t="n">
        <x:v>0</x:v>
      </x:c>
      <x:c r="F238" s="82" t="str">
        <x:v>—</x:v>
      </x:c>
      <x:c r="G238" s="82" t="str">
        <x:v>暂保留候选（需源码验证）</x:v>
      </x:c>
      <x:c r="H238" s="82" t="str">
        <x:v>CxVisual.Mechanism.Core</x:v>
      </x:c>
      <x:c r="I238" s="82" t="str">
        <x:v>禁止隐含运行态或UI强依赖</x:v>
      </x:c>
      <x:c r="J238" s="82" t="str">
        <x:v>R3-A裁决候选</x:v>
      </x:c>
      <x:c r="K238" s="82" t="str">
        <x:v>设计审查中/未执行实测</x:v>
      </x:c>
    </x:row>
    <x:row r="239">
      <x:c r="A239" s="82" t="str">
        <x:v>M01.PageModel</x:v>
      </x:c>
      <x:c r="B239" s="82" t="str">
        <x:v>M01</x:v>
      </x:c>
      <x:c r="C239" s="82" t="str">
        <x:v>CxVisual.Mechanism.Core</x:v>
      </x:c>
      <x:c r="D239" s="82" t="str">
        <x:v>PageModel</x:v>
      </x:c>
      <x:c r="E239" s="82" t="n">
        <x:v>3</x:v>
      </x:c>
      <x:c r="F239" s="82" t="str">
        <x:v>Platform/Core/CxDefinitionConfiguration.cs (class); Platform/Core/CxNodeOwnership.cs (class); Platform/Core/Projects.cs (class)</x:v>
      </x:c>
      <x:c r="G239" s="82" t="str">
        <x:v>暂保留候选（需源码验证）</x:v>
      </x:c>
      <x:c r="H239" s="82" t="str">
        <x:v>CxVisual.Mechanism.Core</x:v>
      </x:c>
      <x:c r="I239" s="82" t="str">
        <x:v>禁止隐含运行态或UI强依赖</x:v>
      </x:c>
      <x:c r="J239" s="82" t="str">
        <x:v>R3-A裁决候选</x:v>
      </x:c>
      <x:c r="K239" s="82" t="str">
        <x:v>设计审查中/未执行实测</x:v>
      </x:c>
    </x:row>
    <x:row r="240">
      <x:c r="A240" s="82" t="str">
        <x:v>M01.ProjectModel</x:v>
      </x:c>
      <x:c r="B240" s="82" t="str">
        <x:v>M01</x:v>
      </x:c>
      <x:c r="C240" s="82" t="str">
        <x:v>CxVisual.Mechanism.Core</x:v>
      </x:c>
      <x:c r="D240" s="82" t="str">
        <x:v>ProjectModel</x:v>
      </x:c>
      <x:c r="E240" s="82" t="n">
        <x:v>10</x:v>
      </x:c>
      <x:c r="F240" s="82" t="str">
        <x:v>Platform/Core/CxAutomationDefinitions.cs (class); Platform/Core/CxConnections.cs (class); Platform/Core/CxNodeOwnership.cs (class); Platform/Core/CxProjectDefinition.cs (class)</x:v>
      </x:c>
      <x:c r="G240" s="82" t="str">
        <x:v>暂保留候选（需源码验证）</x:v>
      </x:c>
      <x:c r="H240" s="82" t="str">
        <x:v>CxVisual.Mechanism.Core</x:v>
      </x:c>
      <x:c r="I240" s="82" t="str">
        <x:v>禁止隐含运行态或UI强依赖</x:v>
      </x:c>
      <x:c r="J240" s="82" t="str">
        <x:v>R3-A裁决候选</x:v>
      </x:c>
      <x:c r="K240" s="82" t="str">
        <x:v>设计审查中/未执行实测</x:v>
      </x:c>
    </x:row>
    <x:row r="241">
      <x:c r="A241" s="82" t="str">
        <x:v>M01.ResourceDependency</x:v>
      </x:c>
      <x:c r="B241" s="82" t="str">
        <x:v>M01</x:v>
      </x:c>
      <x:c r="C241" s="82" t="str">
        <x:v>CxVisual.Mechanism.Core</x:v>
      </x:c>
      <x:c r="D241" s="82" t="str">
        <x:v>ResourceDependency</x:v>
      </x:c>
      <x:c r="E241" s="82" t="n">
        <x:v>0</x:v>
      </x:c>
      <x:c r="F241" s="82" t="str">
        <x:v>—</x:v>
      </x:c>
      <x:c r="G241" s="82" t="str">
        <x:v>暂保留候选（需源码验证）</x:v>
      </x:c>
      <x:c r="H241" s="82" t="str">
        <x:v>CxVisual.Mechanism.Core</x:v>
      </x:c>
      <x:c r="I241" s="82" t="str">
        <x:v>禁止隐含运行态或UI强依赖</x:v>
      </x:c>
      <x:c r="J241" s="82" t="str">
        <x:v>R3-A裁决候选</x:v>
      </x:c>
      <x:c r="K241" s="82" t="str">
        <x:v>设计审查中/未执行实测</x:v>
      </x:c>
    </x:row>
    <x:row r="242">
      <x:c r="A242" s="82" t="str">
        <x:v>M01.ResourceDescriptor</x:v>
      </x:c>
      <x:c r="B242" s="82" t="str">
        <x:v>M01</x:v>
      </x:c>
      <x:c r="C242" s="82" t="str">
        <x:v>CxVisual.Mechanism.Core</x:v>
      </x:c>
      <x:c r="D242" s="82" t="str">
        <x:v>ResourceDescriptor</x:v>
      </x:c>
      <x:c r="E242" s="82" t="n">
        <x:v>1</x:v>
      </x:c>
      <x:c r="F242" s="82" t="str">
        <x:v>Host/Studio/Application/Studio/Resources/ResourcePlatform.cs (class)</x:v>
      </x:c>
      <x:c r="G242" s="82" t="str">
        <x:v>暂保留候选（需源码验证）</x:v>
      </x:c>
      <x:c r="H242" s="82" t="str">
        <x:v>CxVisual.Mechanism.Core</x:v>
      </x:c>
      <x:c r="I242" s="82" t="str">
        <x:v>禁止隐含运行态或UI强依赖</x:v>
      </x:c>
      <x:c r="J242" s="82" t="str">
        <x:v>R3-A裁决候选</x:v>
      </x:c>
      <x:c r="K242" s="82" t="str">
        <x:v>设计审查中/未执行实测</x:v>
      </x:c>
    </x:row>
    <x:row r="243">
      <x:c r="A243" s="82" t="str">
        <x:v>M01.ResourceRegistry</x:v>
      </x:c>
      <x:c r="B243" s="82" t="str">
        <x:v>M01</x:v>
      </x:c>
      <x:c r="C243" s="82" t="str">
        <x:v>CxVisual.Mechanism.Core</x:v>
      </x:c>
      <x:c r="D243" s="82" t="str">
        <x:v>ResourceRegistry</x:v>
      </x:c>
      <x:c r="E243" s="82" t="n">
        <x:v>0</x:v>
      </x:c>
      <x:c r="F243" s="82" t="str">
        <x:v>—</x:v>
      </x:c>
      <x:c r="G243" s="82" t="str">
        <x:v>保留并限界</x:v>
      </x:c>
      <x:c r="H243" s="82" t="str">
        <x:v>CxVisual.Mechanism.Core</x:v>
      </x:c>
      <x:c r="I243" s="82" t="str">
        <x:v>工程作用域注册表不扫描DLL；不创建运行Driver</x:v>
      </x:c>
      <x:c r="J243" s="82" t="str">
        <x:v>R3-A裁决候选</x:v>
      </x:c>
      <x:c r="K243" s="82" t="str">
        <x:v>设计审查中/未执行实测</x:v>
      </x:c>
    </x:row>
    <x:row r="244">
      <x:c r="A244" s="82" t="str">
        <x:v>M02.ContentDefinition</x:v>
      </x:c>
      <x:c r="B244" s="82" t="str">
        <x:v>M02</x:v>
      </x:c>
      <x:c r="C244" s="82" t="str">
        <x:v>CxVisual.Mechanism.Core</x:v>
      </x:c>
      <x:c r="D244" s="82" t="str">
        <x:v>ContentDefinition</x:v>
      </x:c>
      <x:c r="E244" s="82" t="n">
        <x:v>5</x:v>
      </x:c>
      <x:c r="F244" s="82" t="str">
        <x:v>Platform/Core/CxConnections.cs (class); Platform/Core/CxDefinitionConfiguration.cs (class); Platform/Core/CxNodeOwnership.cs (class); Platform/Core/CxPublicContracts.cs (class)</x:v>
      </x:c>
      <x:c r="G244" s="82" t="str">
        <x:v>保留+边界待核</x:v>
      </x:c>
      <x:c r="H244" s="82" t="str">
        <x:v>CxVisual.Mechanism.Core</x:v>
      </x:c>
      <x:c r="I244" s="82" t="str">
        <x:v>VisualChildren旧字段与严格Content结构的迁移需单独裁决</x:v>
      </x:c>
      <x:c r="J244" s="82" t="str">
        <x:v>R3-A裁决候选</x:v>
      </x:c>
      <x:c r="K244" s="82" t="str">
        <x:v>设计审查中/未执行实测</x:v>
      </x:c>
    </x:row>
    <x:row r="245">
      <x:c r="A245" s="82" t="str">
        <x:v>M02.ContentReference</x:v>
      </x:c>
      <x:c r="B245" s="82" t="str">
        <x:v>M02</x:v>
      </x:c>
      <x:c r="C245" s="82" t="str">
        <x:v>CxVisual.Mechanism.Core</x:v>
      </x:c>
      <x:c r="D245" s="82" t="str">
        <x:v>ContentReference</x:v>
      </x:c>
      <x:c r="E245" s="82" t="n">
        <x:v>1</x:v>
      </x:c>
      <x:c r="F245" s="82" t="str">
        <x:v>Platform/Core/UnifiedObjectModel.cs (class)</x:v>
      </x:c>
      <x:c r="G245" s="82" t="str">
        <x:v>暂保留候选（需源码验证）</x:v>
      </x:c>
      <x:c r="H245" s="82" t="str">
        <x:v>CxVisual.Mechanism.Core</x:v>
      </x:c>
      <x:c r="I245" s="82" t="str">
        <x:v>禁止隐含运行态或UI强依赖</x:v>
      </x:c>
      <x:c r="J245" s="82" t="str">
        <x:v>R3-A裁决候选</x:v>
      </x:c>
      <x:c r="K245" s="82" t="str">
        <x:v>设计审查中/未执行实测</x:v>
      </x:c>
    </x:row>
    <x:row r="246">
      <x:c r="A246" s="82" t="str">
        <x:v>M02.ElementModel</x:v>
      </x:c>
      <x:c r="B246" s="82" t="str">
        <x:v>M02</x:v>
      </x:c>
      <x:c r="C246" s="82" t="str">
        <x:v>CxVisual.Mechanism.Core</x:v>
      </x:c>
      <x:c r="D246" s="82" t="str">
        <x:v>ElementModel</x:v>
      </x:c>
      <x:c r="E246" s="82" t="n">
        <x:v>4</x:v>
      </x:c>
      <x:c r="F246" s="82" t="str">
        <x:v>Platform/Core/CxDefinitionConfiguration.cs (class); Platform/Core/CxGeometry.cs (class); Platform/Core/CxNodeOwnership.cs (class); Platform/Core/Elements.cs (class)</x:v>
      </x:c>
      <x:c r="G246" s="82" t="str">
        <x:v>保留</x:v>
      </x:c>
      <x:c r="H246" s="82" t="str">
        <x:v>CxVisual.Mechanism.Core</x:v>
      </x:c>
      <x:c r="I246" s="82" t="str">
        <x:v>Element不是WPF的FrameworkElement；几何值可引用Foundation</x:v>
      </x:c>
      <x:c r="J246" s="82" t="str">
        <x:v>R3-A裁决候选</x:v>
      </x:c>
      <x:c r="K246" s="82" t="str">
        <x:v>设计审查中/未执行实测</x:v>
      </x:c>
    </x:row>
    <x:row r="247">
      <x:c r="A247" s="82" t="str">
        <x:v>M02.GroupElementModel</x:v>
      </x:c>
      <x:c r="B247" s="82" t="str">
        <x:v>M02</x:v>
      </x:c>
      <x:c r="C247" s="82" t="str">
        <x:v>CxVisual.Mechanism.Core</x:v>
      </x:c>
      <x:c r="D247" s="82" t="str">
        <x:v>GroupElementModel</x:v>
      </x:c>
      <x:c r="E247" s="82" t="n">
        <x:v>3</x:v>
      </x:c>
      <x:c r="F247" s="82" t="str">
        <x:v>Platform/Core/CxGroupOperations.cs (class); Platform/Core/CxNodeOwnership.cs (class); Platform/Core/Elements.cs (class)</x:v>
      </x:c>
      <x:c r="G247" s="82" t="str">
        <x:v>保留</x:v>
      </x:c>
      <x:c r="H247" s="82" t="str">
        <x:v>CxVisual.Mechanism.Core</x:v>
      </x:c>
      <x:c r="I247" s="82" t="str">
        <x:v>不为Group再维护一棵独立Owner树</x:v>
      </x:c>
      <x:c r="J247" s="82" t="str">
        <x:v>R3-A裁决候选</x:v>
      </x:c>
      <x:c r="K247" s="82" t="str">
        <x:v>设计审查中/未执行实测</x:v>
      </x:c>
    </x:row>
    <x:row r="248">
      <x:c r="A248" s="82" t="str">
        <x:v>M02.PortMappingDefinition</x:v>
      </x:c>
      <x:c r="B248" s="82" t="str">
        <x:v>M02</x:v>
      </x:c>
      <x:c r="C248" s="82" t="str">
        <x:v>CxVisual.Mechanism.Core</x:v>
      </x:c>
      <x:c r="D248" s="82" t="str">
        <x:v>PortMappingDefinition</x:v>
      </x:c>
      <x:c r="E248" s="82" t="n">
        <x:v>0</x:v>
      </x:c>
      <x:c r="F248" s="82" t="str">
        <x:v>—</x:v>
      </x:c>
      <x:c r="G248" s="82" t="str">
        <x:v>暂保留候选（需源码验证）</x:v>
      </x:c>
      <x:c r="H248" s="82" t="str">
        <x:v>CxVisual.Mechanism.Core</x:v>
      </x:c>
      <x:c r="I248" s="82" t="str">
        <x:v>禁止隐含运行态或UI强依赖</x:v>
      </x:c>
      <x:c r="J248" s="82" t="str">
        <x:v>R3-A裁决候选</x:v>
      </x:c>
      <x:c r="K248" s="82" t="str">
        <x:v>设计审查中/未执行实测</x:v>
      </x:c>
    </x:row>
    <x:row r="249">
      <x:c r="A249" s="82" t="str">
        <x:v>M02.PublicPropertyDefinition</x:v>
      </x:c>
      <x:c r="B249" s="82" t="str">
        <x:v>M02</x:v>
      </x:c>
      <x:c r="C249" s="82" t="str">
        <x:v>CxVisual.Mechanism.Core</x:v>
      </x:c>
      <x:c r="D249" s="82" t="str">
        <x:v>PublicPropertyDefinition</x:v>
      </x:c>
      <x:c r="E249" s="82" t="n">
        <x:v>0</x:v>
      </x:c>
      <x:c r="F249" s="82" t="str">
        <x:v>—</x:v>
      </x:c>
      <x:c r="G249" s="82" t="str">
        <x:v>暂保留候选（需源码验证）</x:v>
      </x:c>
      <x:c r="H249" s="82" t="str">
        <x:v>CxVisual.Mechanism.Core</x:v>
      </x:c>
      <x:c r="I249" s="82" t="str">
        <x:v>禁止隐含运行态或UI强依赖</x:v>
      </x:c>
      <x:c r="J249" s="82" t="str">
        <x:v>R3-A裁决候选</x:v>
      </x:c>
      <x:c r="K249" s="82" t="str">
        <x:v>设计审查中/未执行实测</x:v>
      </x:c>
    </x:row>
    <x:row r="250">
      <x:c r="A250" s="82" t="str">
        <x:v>M02.SymbolDefinition</x:v>
      </x:c>
      <x:c r="B250" s="82" t="str">
        <x:v>M02</x:v>
      </x:c>
      <x:c r="C250" s="82" t="str">
        <x:v>CxVisual.Mechanism.Core</x:v>
      </x:c>
      <x:c r="D250" s="82" t="str">
        <x:v>SymbolDefinition</x:v>
      </x:c>
      <x:c r="E250" s="82" t="n">
        <x:v>5</x:v>
      </x:c>
      <x:c r="F250" s="82" t="str">
        <x:v>Platform/Core/CxDefinitionConfiguration.cs (class); Platform/Core/CxDefinitionMappings.cs (class); Platform/Core/CxNodeOwnership.cs (class); Platform/Core/CxPublicContracts.cs (class)</x:v>
      </x:c>
      <x:c r="G250" s="82" t="str">
        <x:v>保留</x:v>
      </x:c>
      <x:c r="H250" s="82" t="str">
        <x:v>CxVisual.Mechanism.Core</x:v>
      </x:c>
      <x:c r="I250" s="82" t="str">
        <x:v>实例位置/Override保存在SymbolReference，不回写定义</x:v>
      </x:c>
      <x:c r="J250" s="82" t="str">
        <x:v>R3-A裁决候选</x:v>
      </x:c>
      <x:c r="K250" s="82" t="str">
        <x:v>设计审查中/未执行实测</x:v>
      </x:c>
    </x:row>
    <x:row r="251">
      <x:c r="A251" s="82" t="str">
        <x:v>M02.SymbolReference</x:v>
      </x:c>
      <x:c r="B251" s="82" t="str">
        <x:v>M02</x:v>
      </x:c>
      <x:c r="C251" s="82" t="str">
        <x:v>CxVisual.Mechanism.Core</x:v>
      </x:c>
      <x:c r="D251" s="82" t="str">
        <x:v>SymbolReference</x:v>
      </x:c>
      <x:c r="E251" s="82" t="n">
        <x:v>1</x:v>
      </x:c>
      <x:c r="F251" s="82" t="str">
        <x:v>Platform/Core/UnifiedObjectModel.cs (class)</x:v>
      </x:c>
      <x:c r="G251" s="82" t="str">
        <x:v>暂保留候选（需源码验证）</x:v>
      </x:c>
      <x:c r="H251" s="82" t="str">
        <x:v>CxVisual.Mechanism.Core</x:v>
      </x:c>
      <x:c r="I251" s="82" t="str">
        <x:v>禁止隐含运行态或UI强依赖</x:v>
      </x:c>
      <x:c r="J251" s="82" t="str">
        <x:v>R3-A裁决候选</x:v>
      </x:c>
      <x:c r="K251" s="82" t="str">
        <x:v>设计审查中/未执行实测</x:v>
      </x:c>
    </x:row>
    <x:row r="252">
      <x:c r="A252" s="82" t="str">
        <x:v>M03.CxObjectAddress</x:v>
      </x:c>
      <x:c r="B252" s="82" t="str">
        <x:v>M03</x:v>
      </x:c>
      <x:c r="C252" s="82" t="str">
        <x:v>CxVisual.Mechanism.Core</x:v>
      </x:c>
      <x:c r="D252" s="82" t="str">
        <x:v>CxObjectAddress</x:v>
      </x:c>
      <x:c r="E252" s="82" t="n">
        <x:v>0</x:v>
      </x:c>
      <x:c r="F252" s="82" t="str">
        <x:v>—</x:v>
      </x:c>
      <x:c r="G252" s="82" t="str">
        <x:v>暂保留候选（需源码验证）</x:v>
      </x:c>
      <x:c r="H252" s="82" t="str">
        <x:v>CxVisual.Mechanism.Core</x:v>
      </x:c>
      <x:c r="I252" s="82" t="str">
        <x:v>禁止隐含运行态或UI强依赖</x:v>
      </x:c>
      <x:c r="J252" s="82" t="str">
        <x:v>R3-A裁决候选</x:v>
      </x:c>
      <x:c r="K252" s="82" t="str">
        <x:v>设计审查中/未执行实测</x:v>
      </x:c>
    </x:row>
    <x:row r="253">
      <x:c r="A253" s="82" t="str">
        <x:v>M03.DependencyGraph</x:v>
      </x:c>
      <x:c r="B253" s="82" t="str">
        <x:v>M03</x:v>
      </x:c>
      <x:c r="C253" s="82" t="str">
        <x:v>CxVisual.Mechanism.Core</x:v>
      </x:c>
      <x:c r="D253" s="82" t="str">
        <x:v>DependencyGraph</x:v>
      </x:c>
      <x:c r="E253" s="82" t="n">
        <x:v>0</x:v>
      </x:c>
      <x:c r="F253" s="82" t="str">
        <x:v>—</x:v>
      </x:c>
      <x:c r="G253" s="82" t="str">
        <x:v>改名/派生</x:v>
      </x:c>
      <x:c r="H253" s="82" t="str">
        <x:v>CxVisual.Mechanism.Core</x:v>
      </x:c>
      <x:c r="I253" s="82" t="str">
        <x:v>图拓扑纯算法复用F02；不建立第二份持久Graph</x:v>
      </x:c>
      <x:c r="J253" s="82" t="str">
        <x:v>R3-A裁决候选</x:v>
      </x:c>
      <x:c r="K253" s="82" t="str">
        <x:v>设计审查中/未执行实测</x:v>
      </x:c>
    </x:row>
    <x:row r="254">
      <x:c r="A254" s="82" t="str">
        <x:v>M03.MissingReferencePlaceholder</x:v>
      </x:c>
      <x:c r="B254" s="82" t="str">
        <x:v>M03</x:v>
      </x:c>
      <x:c r="C254" s="82" t="str">
        <x:v>CxVisual.Mechanism.Core</x:v>
      </x:c>
      <x:c r="D254" s="82" t="str">
        <x:v>MissingReferencePlaceholder</x:v>
      </x:c>
      <x:c r="E254" s="82" t="n">
        <x:v>0</x:v>
      </x:c>
      <x:c r="F254" s="82" t="str">
        <x:v>—</x:v>
      </x:c>
      <x:c r="G254" s="82" t="str">
        <x:v>保留</x:v>
      </x:c>
      <x:c r="H254" s="82" t="str">
        <x:v>CxVisual.Mechanism.Core</x:v>
      </x:c>
      <x:c r="I254" s="82" t="str">
        <x:v>不能凭空创造目标工程对象</x:v>
      </x:c>
      <x:c r="J254" s="82" t="str">
        <x:v>R3-A裁决候选</x:v>
      </x:c>
      <x:c r="K254" s="82" t="str">
        <x:v>设计审查中/未执行实测</x:v>
      </x:c>
    </x:row>
    <x:row r="255">
      <x:c r="A255" s="82" t="str">
        <x:v>M03.ProjectObjectIndex</x:v>
      </x:c>
      <x:c r="B255" s="82" t="str">
        <x:v>M03</x:v>
      </x:c>
      <x:c r="C255" s="82" t="str">
        <x:v>CxVisual.Mechanism.Core</x:v>
      </x:c>
      <x:c r="D255" s="82" t="str">
        <x:v>ProjectObjectIndex</x:v>
      </x:c>
      <x:c r="E255" s="82" t="n">
        <x:v>1</x:v>
      </x:c>
      <x:c r="F255" s="82" t="str">
        <x:v>Platform/Core/ProjectObjectIndex.cs (class)</x:v>
      </x:c>
      <x:c r="G255" s="82" t="str">
        <x:v>暂保留候选（需源码验证）</x:v>
      </x:c>
      <x:c r="H255" s="82" t="str">
        <x:v>CxVisual.Mechanism.Core</x:v>
      </x:c>
      <x:c r="I255" s="82" t="str">
        <x:v>禁止隐含运行态或UI强依赖</x:v>
      </x:c>
      <x:c r="J255" s="82" t="str">
        <x:v>R3-A裁决候选</x:v>
      </x:c>
      <x:c r="K255" s="82" t="str">
        <x:v>设计审查中/未执行实测</x:v>
      </x:c>
    </x:row>
    <x:row r="256">
      <x:c r="A256" s="82" t="str">
        <x:v>M03.ReferenceResolver</x:v>
      </x:c>
      <x:c r="B256" s="82" t="str">
        <x:v>M03</x:v>
      </x:c>
      <x:c r="C256" s="82" t="str">
        <x:v>CxVisual.Mechanism.Core</x:v>
      </x:c>
      <x:c r="D256" s="82" t="str">
        <x:v>ReferenceResolver</x:v>
      </x:c>
      <x:c r="E256" s="82" t="n">
        <x:v>0</x:v>
      </x:c>
      <x:c r="F256" s="82" t="str">
        <x:v>—</x:v>
      </x:c>
      <x:c r="G256" s="82" t="str">
        <x:v>暂保留候选（需源码验证）</x:v>
      </x:c>
      <x:c r="H256" s="82" t="str">
        <x:v>CxVisual.Mechanism.Core</x:v>
      </x:c>
      <x:c r="I256" s="82" t="str">
        <x:v>禁止隐含运行态或UI强依赖</x:v>
      </x:c>
      <x:c r="J256" s="82" t="str">
        <x:v>R3-A裁决候选</x:v>
      </x:c>
      <x:c r="K256" s="82" t="str">
        <x:v>设计审查中/未执行实测</x:v>
      </x:c>
    </x:row>
    <x:row r="257">
      <x:c r="A257" s="82" t="str">
        <x:v>M03.ResolvedReference</x:v>
      </x:c>
      <x:c r="B257" s="82" t="str">
        <x:v>M03</x:v>
      </x:c>
      <x:c r="C257" s="82" t="str">
        <x:v>CxVisual.Mechanism.Core</x:v>
      </x:c>
      <x:c r="D257" s="82" t="str">
        <x:v>ResolvedReference</x:v>
      </x:c>
      <x:c r="E257" s="82" t="n">
        <x:v>0</x:v>
      </x:c>
      <x:c r="F257" s="82" t="str">
        <x:v>—</x:v>
      </x:c>
      <x:c r="G257" s="82" t="str">
        <x:v>暂保留候选（需源码验证）</x:v>
      </x:c>
      <x:c r="H257" s="82" t="str">
        <x:v>CxVisual.Mechanism.Core</x:v>
      </x:c>
      <x:c r="I257" s="82" t="str">
        <x:v>禁止隐含运行态或UI强依赖</x:v>
      </x:c>
      <x:c r="J257" s="82" t="str">
        <x:v>R3-A裁决候选</x:v>
      </x:c>
      <x:c r="K257" s="82" t="str">
        <x:v>设计审查中/未执行实测</x:v>
      </x:c>
    </x:row>
    <x:row r="258">
      <x:c r="A258" s="82" t="str">
        <x:v>M04.ConfigurationChangeEvent</x:v>
      </x:c>
      <x:c r="B258" s="82" t="str">
        <x:v>M04</x:v>
      </x:c>
      <x:c r="C258" s="82" t="str">
        <x:v>CxVisual.Mechanism.Core</x:v>
      </x:c>
      <x:c r="D258" s="82" t="str">
        <x:v>ConfigurationChangeEvent</x:v>
      </x:c>
      <x:c r="E258" s="82" t="n">
        <x:v>0</x:v>
      </x:c>
      <x:c r="F258" s="82" t="str">
        <x:v>—</x:v>
      </x:c>
      <x:c r="G258" s="82" t="str">
        <x:v>合并到F15</x:v>
      </x:c>
      <x:c r="H258" s="82" t="str">
        <x:v>CxVisual.Foundation.Data</x:v>
      </x:c>
      <x:c r="I258" s="82" t="str">
        <x:v>Core的工程变更事件单独由M07定义</x:v>
      </x:c>
      <x:c r="J258" s="82" t="str">
        <x:v>R3-A裁决候选</x:v>
      </x:c>
      <x:c r="K258" s="82" t="str">
        <x:v>设计审查中/未执行实测</x:v>
      </x:c>
    </x:row>
    <x:row r="259">
      <x:c r="A259" s="82" t="str">
        <x:v>M04.ConfigurationProvider</x:v>
      </x:c>
      <x:c r="B259" s="82" t="str">
        <x:v>M04</x:v>
      </x:c>
      <x:c r="C259" s="82" t="str">
        <x:v>CxVisual.Mechanism.Core</x:v>
      </x:c>
      <x:c r="D259" s="82" t="str">
        <x:v>ConfigurationProvider</x:v>
      </x:c>
      <x:c r="E259" s="82" t="n">
        <x:v>0</x:v>
      </x:c>
      <x:c r="F259" s="82" t="str">
        <x:v>—</x:v>
      </x:c>
      <x:c r="G259" s="82" t="str">
        <x:v>合并到F15</x:v>
      </x:c>
      <x:c r="H259" s="82" t="str">
        <x:v>CxVisual.Foundation.Data</x:v>
      </x:c>
      <x:c r="I259" s="82" t="str">
        <x:v>Core只处理工程元数据与属性投影，避免第二套配置系统</x:v>
      </x:c>
      <x:c r="J259" s="82" t="str">
        <x:v>R3-A裁决候选</x:v>
      </x:c>
      <x:c r="K259" s="82" t="str">
        <x:v>设计审查中/未执行实测</x:v>
      </x:c>
    </x:row>
    <x:row r="260">
      <x:c r="A260" s="82" t="str">
        <x:v>M04.ConfigurationService</x:v>
      </x:c>
      <x:c r="B260" s="82" t="str">
        <x:v>M04</x:v>
      </x:c>
      <x:c r="C260" s="82" t="str">
        <x:v>CxVisual.Mechanism.Core</x:v>
      </x:c>
      <x:c r="D260" s="82" t="str">
        <x:v>ConfigurationService</x:v>
      </x:c>
      <x:c r="E260" s="82" t="n">
        <x:v>0</x:v>
      </x:c>
      <x:c r="F260" s="82" t="str">
        <x:v>—</x:v>
      </x:c>
      <x:c r="G260" s="82" t="str">
        <x:v>合并到F15</x:v>
      </x:c>
      <x:c r="H260" s="82" t="str">
        <x:v>CxVisual.Foundation.Data</x:v>
      </x:c>
      <x:c r="I260" s="82" t="str">
        <x:v>工程参数适配通过Core的PropertyDescriptor完成</x:v>
      </x:c>
      <x:c r="J260" s="82" t="str">
        <x:v>R3-A裁决候选</x:v>
      </x:c>
      <x:c r="K260" s="82" t="str">
        <x:v>设计审查中/未执行实测</x:v>
      </x:c>
    </x:row>
    <x:row r="261">
      <x:c r="A261" s="82" t="str">
        <x:v>M04.ConfigurationValidationService</x:v>
      </x:c>
      <x:c r="B261" s="82" t="str">
        <x:v>M04</x:v>
      </x:c>
      <x:c r="C261" s="82" t="str">
        <x:v>CxVisual.Mechanism.Core</x:v>
      </x:c>
      <x:c r="D261" s="82" t="str">
        <x:v>ConfigurationValidationService</x:v>
      </x:c>
      <x:c r="E261" s="82" t="n">
        <x:v>0</x:v>
      </x:c>
      <x:c r="F261" s="82" t="str">
        <x:v>—</x:v>
      </x:c>
      <x:c r="G261" s="82" t="str">
        <x:v>合并到F15</x:v>
      </x:c>
      <x:c r="H261" s="82" t="str">
        <x:v>CxVisual.Foundation.Data</x:v>
      </x:c>
      <x:c r="I261" s="82" t="str">
        <x:v>涉及工程对象约束才由Core的Validator处理</x:v>
      </x:c>
      <x:c r="J261" s="82" t="str">
        <x:v>R3-A裁决候选</x:v>
      </x:c>
      <x:c r="K261" s="82" t="str">
        <x:v>设计审查中/未执行实测</x:v>
      </x:c>
    </x:row>
    <x:row r="262">
      <x:c r="A262" s="82" t="str">
        <x:v>M04.MetadataProvider</x:v>
      </x:c>
      <x:c r="B262" s="82" t="str">
        <x:v>M04</x:v>
      </x:c>
      <x:c r="C262" s="82" t="str">
        <x:v>CxVisual.Mechanism.Core</x:v>
      </x:c>
      <x:c r="D262" s="82" t="str">
        <x:v>MetadataProvider</x:v>
      </x:c>
      <x:c r="E262" s="82" t="n">
        <x:v>0</x:v>
      </x:c>
      <x:c r="F262" s="82" t="str">
        <x:v>—</x:v>
      </x:c>
      <x:c r="G262" s="82" t="str">
        <x:v>暂保留候选（需源码验证）</x:v>
      </x:c>
      <x:c r="H262" s="82" t="str">
        <x:v>CxVisual.Mechanism.Core</x:v>
      </x:c>
      <x:c r="I262" s="82" t="str">
        <x:v>禁止隐含运行态或UI强依赖</x:v>
      </x:c>
      <x:c r="J262" s="82" t="str">
        <x:v>R3-A裁决候选</x:v>
      </x:c>
      <x:c r="K262" s="82" t="str">
        <x:v>设计审查中/未执行实测</x:v>
      </x:c>
    </x:row>
    <x:row r="263">
      <x:c r="A263" s="82" t="str">
        <x:v>M04.PropertyDescriptor</x:v>
      </x:c>
      <x:c r="B263" s="82" t="str">
        <x:v>M04</x:v>
      </x:c>
      <x:c r="C263" s="82" t="str">
        <x:v>CxVisual.Mechanism.Core</x:v>
      </x:c>
      <x:c r="D263" s="82" t="str">
        <x:v>PropertyDescriptor</x:v>
      </x:c>
      <x:c r="E263" s="82" t="n">
        <x:v>0</x:v>
      </x:c>
      <x:c r="F263" s="82" t="str">
        <x:v>—</x:v>
      </x:c>
      <x:c r="G263" s="82" t="str">
        <x:v>暂保留候选（需源码验证）</x:v>
      </x:c>
      <x:c r="H263" s="82" t="str">
        <x:v>CxVisual.Mechanism.Core</x:v>
      </x:c>
      <x:c r="I263" s="82" t="str">
        <x:v>禁止隐含运行态或UI强依赖</x:v>
      </x:c>
      <x:c r="J263" s="82" t="str">
        <x:v>R3-A裁决候选</x:v>
      </x:c>
      <x:c r="K263" s="82" t="str">
        <x:v>设计审查中/未执行实测</x:v>
      </x:c>
    </x:row>
    <x:row r="264">
      <x:c r="A264" s="82" t="str">
        <x:v>M04.SchemaDescriptor</x:v>
      </x:c>
      <x:c r="B264" s="82" t="str">
        <x:v>M04</x:v>
      </x:c>
      <x:c r="C264" s="82" t="str">
        <x:v>CxVisual.Mechanism.Core</x:v>
      </x:c>
      <x:c r="D264" s="82" t="str">
        <x:v>SchemaDescriptor</x:v>
      </x:c>
      <x:c r="E264" s="82" t="n">
        <x:v>0</x:v>
      </x:c>
      <x:c r="F264" s="82" t="str">
        <x:v>—</x:v>
      </x:c>
      <x:c r="G264" s="82" t="str">
        <x:v>暂保留候选（需源码验证）</x:v>
      </x:c>
      <x:c r="H264" s="82" t="str">
        <x:v>CxVisual.Mechanism.Core</x:v>
      </x:c>
      <x:c r="I264" s="82" t="str">
        <x:v>禁止隐含运行态或UI强依赖</x:v>
      </x:c>
      <x:c r="J264" s="82" t="str">
        <x:v>R3-A裁决候选</x:v>
      </x:c>
      <x:c r="K264" s="82" t="str">
        <x:v>设计审查中/未执行实测</x:v>
      </x:c>
    </x:row>
    <x:row r="265">
      <x:c r="A265" s="82" t="str">
        <x:v>M04.TypeDescriptor</x:v>
      </x:c>
      <x:c r="B265" s="82" t="str">
        <x:v>M04</x:v>
      </x:c>
      <x:c r="C265" s="82" t="str">
        <x:v>CxVisual.Mechanism.Core</x:v>
      </x:c>
      <x:c r="D265" s="82" t="str">
        <x:v>TypeDescriptor</x:v>
      </x:c>
      <x:c r="E265" s="82" t="n">
        <x:v>0</x:v>
      </x:c>
      <x:c r="F265" s="82" t="str">
        <x:v>—</x:v>
      </x:c>
      <x:c r="G265" s="82" t="str">
        <x:v>暂保留候选（需源码验证）</x:v>
      </x:c>
      <x:c r="H265" s="82" t="str">
        <x:v>CxVisual.Mechanism.Core</x:v>
      </x:c>
      <x:c r="I265" s="82" t="str">
        <x:v>禁止隐含运行态或UI强依赖</x:v>
      </x:c>
      <x:c r="J265" s="82" t="str">
        <x:v>R3-A裁决候选</x:v>
      </x:c>
      <x:c r="K265" s="82" t="str">
        <x:v>设计审查中/未执行实测</x:v>
      </x:c>
    </x:row>
    <x:row r="266">
      <x:c r="A266" s="82" t="str">
        <x:v>M04.UnitDescriptor</x:v>
      </x:c>
      <x:c r="B266" s="82" t="str">
        <x:v>M04</x:v>
      </x:c>
      <x:c r="C266" s="82" t="str">
        <x:v>CxVisual.Mechanism.Core</x:v>
      </x:c>
      <x:c r="D266" s="82" t="str">
        <x:v>UnitDescriptor</x:v>
      </x:c>
      <x:c r="E266" s="82" t="n">
        <x:v>0</x:v>
      </x:c>
      <x:c r="F266" s="82" t="str">
        <x:v>—</x:v>
      </x:c>
      <x:c r="G266" s="82" t="str">
        <x:v>引用/合并F09</x:v>
      </x:c>
      <x:c r="H266" s="82" t="str">
        <x:v>CxVisual.Foundation.Core</x:v>
      </x:c>
      <x:c r="I266" s="82" t="str">
        <x:v>Core只存属性对单位的约束引用</x:v>
      </x:c>
      <x:c r="J266" s="82" t="str">
        <x:v>R3-A裁决候选</x:v>
      </x:c>
      <x:c r="K266" s="82" t="str">
        <x:v>设计审查中/未执行实测</x:v>
      </x:c>
    </x:row>
    <x:row r="267">
      <x:c r="A267" s="82" t="str">
        <x:v>M04.ValidationRule</x:v>
      </x:c>
      <x:c r="B267" s="82" t="str">
        <x:v>M04</x:v>
      </x:c>
      <x:c r="C267" s="82" t="str">
        <x:v>CxVisual.Mechanism.Core</x:v>
      </x:c>
      <x:c r="D267" s="82" t="str">
        <x:v>ValidationRule</x:v>
      </x:c>
      <x:c r="E267" s="82" t="n">
        <x:v>0</x:v>
      </x:c>
      <x:c r="F267" s="82" t="str">
        <x:v>—</x:v>
      </x:c>
      <x:c r="G267" s="82" t="str">
        <x:v>暂保留候选（需源码验证）</x:v>
      </x:c>
      <x:c r="H267" s="82" t="str">
        <x:v>CxVisual.Mechanism.Core</x:v>
      </x:c>
      <x:c r="I267" s="82" t="str">
        <x:v>禁止隐含运行态或UI强依赖</x:v>
      </x:c>
      <x:c r="J267" s="82" t="str">
        <x:v>R3-A裁决候选</x:v>
      </x:c>
      <x:c r="K267" s="82" t="str">
        <x:v>设计审查中/未执行实测</x:v>
      </x:c>
    </x:row>
    <x:row r="268">
      <x:c r="A268" s="82" t="str">
        <x:v>M05.ConnectionService</x:v>
      </x:c>
      <x:c r="B268" s="82" t="str">
        <x:v>M05</x:v>
      </x:c>
      <x:c r="C268" s="82" t="str">
        <x:v>CxVisual.Mechanism.Core</x:v>
      </x:c>
      <x:c r="D268" s="82" t="str">
        <x:v>ConnectionService</x:v>
      </x:c>
      <x:c r="E268" s="82" t="n">
        <x:v>1</x:v>
      </x:c>
      <x:c r="F268" s="82" t="str">
        <x:v>Platform/Core/Connections.cs (class)</x:v>
      </x:c>
      <x:c r="G268" s="82" t="str">
        <x:v>暂保留候选（需源码验证）</x:v>
      </x:c>
      <x:c r="H268" s="82" t="str">
        <x:v>CxVisual.Mechanism.Core</x:v>
      </x:c>
      <x:c r="I268" s="82" t="str">
        <x:v>禁止隐含运行态或UI强依赖</x:v>
      </x:c>
      <x:c r="J268" s="82" t="str">
        <x:v>R3-A裁决候选</x:v>
      </x:c>
      <x:c r="K268" s="82" t="str">
        <x:v>设计审查中/未执行实测</x:v>
      </x:c>
    </x:row>
    <x:row r="269">
      <x:c r="A269" s="82" t="str">
        <x:v>M05.CxConnectionDefinition</x:v>
      </x:c>
      <x:c r="B269" s="82" t="str">
        <x:v>M05</x:v>
      </x:c>
      <x:c r="C269" s="82" t="str">
        <x:v>CxVisual.Mechanism.Core</x:v>
      </x:c>
      <x:c r="D269" s="82" t="str">
        <x:v>CxConnectionDefinition</x:v>
      </x:c>
      <x:c r="E269" s="82" t="n">
        <x:v>1</x:v>
      </x:c>
      <x:c r="F269" s="82" t="str">
        <x:v>Platform/Core/CxConnections.cs (class)</x:v>
      </x:c>
      <x:c r="G269" s="82" t="str">
        <x:v>暂保留候选（需源码验证）</x:v>
      </x:c>
      <x:c r="H269" s="82" t="str">
        <x:v>CxVisual.Mechanism.Core</x:v>
      </x:c>
      <x:c r="I269" s="82" t="str">
        <x:v>禁止隐含运行态或UI强依赖</x:v>
      </x:c>
      <x:c r="J269" s="82" t="str">
        <x:v>R3-A裁决候选</x:v>
      </x:c>
      <x:c r="K269" s="82" t="str">
        <x:v>设计审查中/未执行实测</x:v>
      </x:c>
    </x:row>
    <x:row r="270">
      <x:c r="A270" s="82" t="str">
        <x:v>M05.CxPortDefinition</x:v>
      </x:c>
      <x:c r="B270" s="82" t="str">
        <x:v>M05</x:v>
      </x:c>
      <x:c r="C270" s="82" t="str">
        <x:v>CxVisual.Mechanism.Core</x:v>
      </x:c>
      <x:c r="D270" s="82" t="str">
        <x:v>CxPortDefinition</x:v>
      </x:c>
      <x:c r="E270" s="82" t="n">
        <x:v>1</x:v>
      </x:c>
      <x:c r="F270" s="82" t="str">
        <x:v>Platform/Core/CxPublicContracts.cs (class)</x:v>
      </x:c>
      <x:c r="G270" s="82" t="str">
        <x:v>暂保留候选（需源码验证）</x:v>
      </x:c>
      <x:c r="H270" s="82" t="str">
        <x:v>CxVisual.Mechanism.Core</x:v>
      </x:c>
      <x:c r="I270" s="82" t="str">
        <x:v>禁止隐含运行态或UI强依赖</x:v>
      </x:c>
      <x:c r="J270" s="82" t="str">
        <x:v>R3-A裁决候选</x:v>
      </x:c>
      <x:c r="K270" s="82" t="str">
        <x:v>设计审查中/未执行实测</x:v>
      </x:c>
    </x:row>
    <x:row r="271">
      <x:c r="A271" s="82" t="str">
        <x:v>M05.CxPortEndpoint</x:v>
      </x:c>
      <x:c r="B271" s="82" t="str">
        <x:v>M05</x:v>
      </x:c>
      <x:c r="C271" s="82" t="str">
        <x:v>CxVisual.Mechanism.Core</x:v>
      </x:c>
      <x:c r="D271" s="82" t="str">
        <x:v>CxPortEndpoint</x:v>
      </x:c>
      <x:c r="E271" s="82" t="n">
        <x:v>0</x:v>
      </x:c>
      <x:c r="F271" s="82" t="str">
        <x:v>—</x:v>
      </x:c>
      <x:c r="G271" s="82" t="str">
        <x:v>暂保留候选（需源码验证）</x:v>
      </x:c>
      <x:c r="H271" s="82" t="str">
        <x:v>CxVisual.Mechanism.Core</x:v>
      </x:c>
      <x:c r="I271" s="82" t="str">
        <x:v>禁止隐含运行态或UI强依赖</x:v>
      </x:c>
      <x:c r="J271" s="82" t="str">
        <x:v>R3-A裁决候选</x:v>
      </x:c>
      <x:c r="K271" s="82" t="str">
        <x:v>设计审查中/未执行实测</x:v>
      </x:c>
    </x:row>
    <x:row r="272">
      <x:c r="A272" s="82" t="str">
        <x:v>M05.PortComposition</x:v>
      </x:c>
      <x:c r="B272" s="82" t="str">
        <x:v>M05</x:v>
      </x:c>
      <x:c r="C272" s="82" t="str">
        <x:v>CxVisual.Mechanism.Core</x:v>
      </x:c>
      <x:c r="D272" s="82" t="str">
        <x:v>PortComposition</x:v>
      </x:c>
      <x:c r="E272" s="82" t="n">
        <x:v>0</x:v>
      </x:c>
      <x:c r="F272" s="82" t="str">
        <x:v>—</x:v>
      </x:c>
      <x:c r="G272" s="82" t="str">
        <x:v>暂保留候选（需源码验证）</x:v>
      </x:c>
      <x:c r="H272" s="82" t="str">
        <x:v>CxVisual.Mechanism.Core</x:v>
      </x:c>
      <x:c r="I272" s="82" t="str">
        <x:v>禁止隐含运行态或UI强依赖</x:v>
      </x:c>
      <x:c r="J272" s="82" t="str">
        <x:v>R3-A裁决候选</x:v>
      </x:c>
      <x:c r="K272" s="82" t="str">
        <x:v>设计审查中/未执行实测</x:v>
      </x:c>
    </x:row>
    <x:row r="273">
      <x:c r="A273" s="82" t="str">
        <x:v>M05.TypeConverterDescriptor</x:v>
      </x:c>
      <x:c r="B273" s="82" t="str">
        <x:v>M05</x:v>
      </x:c>
      <x:c r="C273" s="82" t="str">
        <x:v>CxVisual.Mechanism.Core</x:v>
      </x:c>
      <x:c r="D273" s="82" t="str">
        <x:v>TypeConverterDescriptor</x:v>
      </x:c>
      <x:c r="E273" s="82" t="n">
        <x:v>0</x:v>
      </x:c>
      <x:c r="F273" s="82" t="str">
        <x:v>—</x:v>
      </x:c>
      <x:c r="G273" s="82" t="str">
        <x:v>保留契约</x:v>
      </x:c>
      <x:c r="H273" s="82" t="str">
        <x:v>CxVisual.Mechanism.Core</x:v>
      </x:c>
      <x:c r="I273" s="82" t="str">
        <x:v>执行转换Provider可位于专业；禁止UI自行猜测类型</x:v>
      </x:c>
      <x:c r="J273" s="82" t="str">
        <x:v>R3-A裁决候选</x:v>
      </x:c>
      <x:c r="K273" s="82" t="str">
        <x:v>设计审查中/未执行实测</x:v>
      </x:c>
    </x:row>
    <x:row r="274">
      <x:c r="A274" s="82" t="str">
        <x:v>M06.CalibrationReference</x:v>
      </x:c>
      <x:c r="B274" s="82" t="str">
        <x:v>M06</x:v>
      </x:c>
      <x:c r="C274" s="82" t="str">
        <x:v>CxVisual.Mechanism.Core</x:v>
      </x:c>
      <x:c r="D274" s="82" t="str">
        <x:v>CalibrationReference</x:v>
      </x:c>
      <x:c r="E274" s="82" t="n">
        <x:v>0</x:v>
      </x:c>
      <x:c r="F274" s="82" t="str">
        <x:v>—</x:v>
      </x:c>
      <x:c r="G274" s="82" t="str">
        <x:v>暂保留候选（需源码验证）</x:v>
      </x:c>
      <x:c r="H274" s="82" t="str">
        <x:v>CxVisual.Mechanism.Core</x:v>
      </x:c>
      <x:c r="I274" s="82" t="str">
        <x:v>禁止隐含运行态或UI强依赖</x:v>
      </x:c>
      <x:c r="J274" s="82" t="str">
        <x:v>R3-A裁决候选</x:v>
      </x:c>
      <x:c r="K274" s="82" t="str">
        <x:v>设计审查中/未执行实测</x:v>
      </x:c>
    </x:row>
    <x:row r="275">
      <x:c r="A275" s="82" t="str">
        <x:v>M06.ClockSynchronizationPolicy</x:v>
      </x:c>
      <x:c r="B275" s="82" t="str">
        <x:v>M06</x:v>
      </x:c>
      <x:c r="C275" s="82" t="str">
        <x:v>CxVisual.Mechanism.Core</x:v>
      </x:c>
      <x:c r="D275" s="82" t="str">
        <x:v>ClockSynchronizationPolicy</x:v>
      </x:c>
      <x:c r="E275" s="82" t="n">
        <x:v>0</x:v>
      </x:c>
      <x:c r="F275" s="82" t="str">
        <x:v>—</x:v>
      </x:c>
      <x:c r="G275" s="82" t="str">
        <x:v>只保留定义</x:v>
      </x:c>
      <x:c r="H275" s="82" t="str">
        <x:v>CxVisual.Mechanism.Core</x:v>
      </x:c>
      <x:c r="I275" s="82" t="str">
        <x:v>具体网络时钟/设备控制不进入Core</x:v>
      </x:c>
      <x:c r="J275" s="82" t="str">
        <x:v>R3-A裁决候选</x:v>
      </x:c>
      <x:c r="K275" s="82" t="str">
        <x:v>设计审查中/未执行实测</x:v>
      </x:c>
    </x:row>
    <x:row r="276">
      <x:c r="A276" s="82" t="str">
        <x:v>M06.CoordinateFrameRegistry</x:v>
      </x:c>
      <x:c r="B276" s="82" t="str">
        <x:v>M06</x:v>
      </x:c>
      <x:c r="C276" s="82" t="str">
        <x:v>CxVisual.Mechanism.Core</x:v>
      </x:c>
      <x:c r="D276" s="82" t="str">
        <x:v>CoordinateFrameRegistry</x:v>
      </x:c>
      <x:c r="E276" s="82" t="n">
        <x:v>0</x:v>
      </x:c>
      <x:c r="F276" s="82" t="str">
        <x:v>—</x:v>
      </x:c>
      <x:c r="G276" s="82" t="str">
        <x:v>保留契约</x:v>
      </x:c>
      <x:c r="H276" s="82" t="str">
        <x:v>CxVisual.Mechanism.Core</x:v>
      </x:c>
      <x:c r="I276" s="82" t="str">
        <x:v>基础矩阵在F07；专业标定在Professional</x:v>
      </x:c>
      <x:c r="J276" s="82" t="str">
        <x:v>R3-A裁决候选</x:v>
      </x:c>
      <x:c r="K276" s="82" t="str">
        <x:v>设计审查中/未执行实测</x:v>
      </x:c>
    </x:row>
    <x:row r="277">
      <x:c r="A277" s="82" t="str">
        <x:v>M06.FrameTransformResolver</x:v>
      </x:c>
      <x:c r="B277" s="82" t="str">
        <x:v>M06</x:v>
      </x:c>
      <x:c r="C277" s="82" t="str">
        <x:v>CxVisual.Mechanism.Core</x:v>
      </x:c>
      <x:c r="D277" s="82" t="str">
        <x:v>FrameTransformResolver</x:v>
      </x:c>
      <x:c r="E277" s="82" t="n">
        <x:v>0</x:v>
      </x:c>
      <x:c r="F277" s="82" t="str">
        <x:v>—</x:v>
      </x:c>
      <x:c r="G277" s="82" t="str">
        <x:v>保留接口</x:v>
      </x:c>
      <x:c r="H277" s="82" t="str">
        <x:v>CxVisual.Mechanism.Core</x:v>
      </x:c>
      <x:c r="I277" s="82" t="str">
        <x:v>计算复用F07；设备/CT校准实际实现不进入Core</x:v>
      </x:c>
      <x:c r="J277" s="82" t="str">
        <x:v>R3-A裁决候选</x:v>
      </x:c>
      <x:c r="K277" s="82" t="str">
        <x:v>设计审查中/未执行实测</x:v>
      </x:c>
    </x:row>
    <x:row r="278">
      <x:c r="A278" s="82" t="str">
        <x:v>M06.QuantityContractValidator</x:v>
      </x:c>
      <x:c r="B278" s="82" t="str">
        <x:v>M06</x:v>
      </x:c>
      <x:c r="C278" s="82" t="str">
        <x:v>CxVisual.Mechanism.Core</x:v>
      </x:c>
      <x:c r="D278" s="82" t="str">
        <x:v>QuantityContractValidator</x:v>
      </x:c>
      <x:c r="E278" s="82" t="n">
        <x:v>0</x:v>
      </x:c>
      <x:c r="F278" s="82" t="str">
        <x:v>—</x:v>
      </x:c>
      <x:c r="G278" s="82" t="str">
        <x:v>暂保留候选（需源码验证）</x:v>
      </x:c>
      <x:c r="H278" s="82" t="str">
        <x:v>CxVisual.Mechanism.Core</x:v>
      </x:c>
      <x:c r="I278" s="82" t="str">
        <x:v>禁止隐含运行态或UI强依赖</x:v>
      </x:c>
      <x:c r="J278" s="82" t="str">
        <x:v>R3-A裁决候选</x:v>
      </x:c>
      <x:c r="K278" s="82" t="str">
        <x:v>设计审查中/未执行实测</x:v>
      </x:c>
    </x:row>
    <x:row r="279">
      <x:c r="A279" s="82" t="str">
        <x:v>M06.SpatialAccuracyReport</x:v>
      </x:c>
      <x:c r="B279" s="82" t="str">
        <x:v>M06</x:v>
      </x:c>
      <x:c r="C279" s="82" t="str">
        <x:v>CxVisual.Mechanism.Core</x:v>
      </x:c>
      <x:c r="D279" s="82" t="str">
        <x:v>SpatialAccuracyReport</x:v>
      </x:c>
      <x:c r="E279" s="82" t="n">
        <x:v>0</x:v>
      </x:c>
      <x:c r="F279" s="82" t="str">
        <x:v>—</x:v>
      </x:c>
      <x:c r="G279" s="82" t="str">
        <x:v>暂保留候选（需源码验证）</x:v>
      </x:c>
      <x:c r="H279" s="82" t="str">
        <x:v>CxVisual.Mechanism.Core</x:v>
      </x:c>
      <x:c r="I279" s="82" t="str">
        <x:v>禁止隐含运行态或UI强依赖</x:v>
      </x:c>
      <x:c r="J279" s="82" t="str">
        <x:v>R3-A裁决候选</x:v>
      </x:c>
      <x:c r="K279" s="82" t="str">
        <x:v>设计审查中/未执行实测</x:v>
      </x:c>
    </x:row>
    <x:row r="280">
      <x:c r="A280" s="82" t="str">
        <x:v>M06.SpatialUnitBinding</x:v>
      </x:c>
      <x:c r="B280" s="82" t="str">
        <x:v>M06</x:v>
      </x:c>
      <x:c r="C280" s="82" t="str">
        <x:v>CxVisual.Mechanism.Core</x:v>
      </x:c>
      <x:c r="D280" s="82" t="str">
        <x:v>SpatialUnitBinding</x:v>
      </x:c>
      <x:c r="E280" s="82" t="n">
        <x:v>0</x:v>
      </x:c>
      <x:c r="F280" s="82" t="str">
        <x:v>—</x:v>
      </x:c>
      <x:c r="G280" s="82" t="str">
        <x:v>暂保留候选（需源码验证）</x:v>
      </x:c>
      <x:c r="H280" s="82" t="str">
        <x:v>CxVisual.Mechanism.Core</x:v>
      </x:c>
      <x:c r="I280" s="82" t="str">
        <x:v>禁止隐含运行态或UI强依赖</x:v>
      </x:c>
      <x:c r="J280" s="82" t="str">
        <x:v>R3-A裁决候选</x:v>
      </x:c>
      <x:c r="K280" s="82" t="str">
        <x:v>设计审查中/未执行实测</x:v>
      </x:c>
    </x:row>
    <x:row r="281">
      <x:c r="A281" s="82" t="str">
        <x:v>M06.TimeBaseRegistry</x:v>
      </x:c>
      <x:c r="B281" s="82" t="str">
        <x:v>M06</x:v>
      </x:c>
      <x:c r="C281" s="82" t="str">
        <x:v>CxVisual.Mechanism.Core</x:v>
      </x:c>
      <x:c r="D281" s="82" t="str">
        <x:v>TimeBaseRegistry</x:v>
      </x:c>
      <x:c r="E281" s="82" t="n">
        <x:v>0</x:v>
      </x:c>
      <x:c r="F281" s="82" t="str">
        <x:v>—</x:v>
      </x:c>
      <x:c r="G281" s="82" t="str">
        <x:v>暂保留候选（需源码验证）</x:v>
      </x:c>
      <x:c r="H281" s="82" t="str">
        <x:v>CxVisual.Mechanism.Core</x:v>
      </x:c>
      <x:c r="I281" s="82" t="str">
        <x:v>禁止隐含运行态或UI强依赖</x:v>
      </x:c>
      <x:c r="J281" s="82" t="str">
        <x:v>R3-A裁决候选</x:v>
      </x:c>
      <x:c r="K281" s="82" t="str">
        <x:v>设计审查中/未执行实测</x:v>
      </x:c>
    </x:row>
    <x:row r="282">
      <x:c r="A282" s="82" t="str">
        <x:v>M06.TimeSpaceContract</x:v>
      </x:c>
      <x:c r="B282" s="82" t="str">
        <x:v>M06</x:v>
      </x:c>
      <x:c r="C282" s="82" t="str">
        <x:v>CxVisual.Mechanism.Core</x:v>
      </x:c>
      <x:c r="D282" s="82" t="str">
        <x:v>TimeSpaceContract</x:v>
      </x:c>
      <x:c r="E282" s="82" t="n">
        <x:v>0</x:v>
      </x:c>
      <x:c r="F282" s="82" t="str">
        <x:v>—</x:v>
      </x:c>
      <x:c r="G282" s="82" t="str">
        <x:v>暂保留候选（需源码验证）</x:v>
      </x:c>
      <x:c r="H282" s="82" t="str">
        <x:v>CxVisual.Mechanism.Core</x:v>
      </x:c>
      <x:c r="I282" s="82" t="str">
        <x:v>禁止隐含运行态或UI强依赖</x:v>
      </x:c>
      <x:c r="J282" s="82" t="str">
        <x:v>R3-A裁决候选</x:v>
      </x:c>
      <x:c r="K282" s="82" t="str">
        <x:v>设计审查中/未执行实测</x:v>
      </x:c>
    </x:row>
    <x:row r="283">
      <x:c r="A283" s="82" t="str">
        <x:v>M06.TimeSynchronizationReport</x:v>
      </x:c>
      <x:c r="B283" s="82" t="str">
        <x:v>M06</x:v>
      </x:c>
      <x:c r="C283" s="82" t="str">
        <x:v>CxVisual.Mechanism.Core</x:v>
      </x:c>
      <x:c r="D283" s="82" t="str">
        <x:v>TimeSynchronizationReport</x:v>
      </x:c>
      <x:c r="E283" s="82" t="n">
        <x:v>0</x:v>
      </x:c>
      <x:c r="F283" s="82" t="str">
        <x:v>—</x:v>
      </x:c>
      <x:c r="G283" s="82" t="str">
        <x:v>暂保留候选（需源码验证）</x:v>
      </x:c>
      <x:c r="H283" s="82" t="str">
        <x:v>CxVisual.Mechanism.Core</x:v>
      </x:c>
      <x:c r="I283" s="82" t="str">
        <x:v>禁止隐含运行态或UI强依赖</x:v>
      </x:c>
      <x:c r="J283" s="82" t="str">
        <x:v>R3-A裁决候选</x:v>
      </x:c>
      <x:c r="K283" s="82" t="str">
        <x:v>设计审查中/未执行实测</x:v>
      </x:c>
    </x:row>
    <x:row r="284">
      <x:c r="A284" s="82" t="str">
        <x:v>M06.TimestampAlignmentService</x:v>
      </x:c>
      <x:c r="B284" s="82" t="str">
        <x:v>M06</x:v>
      </x:c>
      <x:c r="C284" s="82" t="str">
        <x:v>CxVisual.Mechanism.Core</x:v>
      </x:c>
      <x:c r="D284" s="82" t="str">
        <x:v>TimestampAlignmentService</x:v>
      </x:c>
      <x:c r="E284" s="82" t="n">
        <x:v>0</x:v>
      </x:c>
      <x:c r="F284" s="82" t="str">
        <x:v>—</x:v>
      </x:c>
      <x:c r="G284" s="82" t="str">
        <x:v>搬移实施</x:v>
      </x:c>
      <x:c r="H284" s="82" t="str">
        <x:v>CxVisual.Mechanism.Data</x:v>
      </x:c>
      <x:c r="I284" s="82" t="str">
        <x:v>M06持有时间基准契约；F08提供计算，M10承担数据流实施</x:v>
      </x:c>
      <x:c r="J284" s="82" t="str">
        <x:v>R3-A裁决候选</x:v>
      </x:c>
      <x:c r="K284" s="82" t="str">
        <x:v>设计审查中/未执行实测</x:v>
      </x:c>
    </x:row>
    <x:row r="285">
      <x:c r="A285" s="82" t="str">
        <x:v>M06.UncertaintyBudget</x:v>
      </x:c>
      <x:c r="B285" s="82" t="str">
        <x:v>M06</x:v>
      </x:c>
      <x:c r="C285" s="82" t="str">
        <x:v>CxVisual.Mechanism.Core</x:v>
      </x:c>
      <x:c r="D285" s="82" t="str">
        <x:v>UncertaintyBudget</x:v>
      </x:c>
      <x:c r="E285" s="82" t="n">
        <x:v>0</x:v>
      </x:c>
      <x:c r="F285" s="82" t="str">
        <x:v>—</x:v>
      </x:c>
      <x:c r="G285" s="82" t="str">
        <x:v>暂保留候选（需源码验证）</x:v>
      </x:c>
      <x:c r="H285" s="82" t="str">
        <x:v>CxVisual.Mechanism.Core</x:v>
      </x:c>
      <x:c r="I285" s="82" t="str">
        <x:v>禁止隐含运行态或UI强依赖</x:v>
      </x:c>
      <x:c r="J285" s="82" t="str">
        <x:v>R3-A裁决候选</x:v>
      </x:c>
      <x:c r="K285" s="82" t="str">
        <x:v>设计审查中/未执行实测</x:v>
      </x:c>
    </x:row>
    <x:row r="286">
      <x:c r="A286" s="82" t="str">
        <x:v>M07.CompensationStep</x:v>
      </x:c>
      <x:c r="B286" s="82" t="str">
        <x:v>M07</x:v>
      </x:c>
      <x:c r="C286" s="82" t="str">
        <x:v>CxVisual.Mechanism.Core</x:v>
      </x:c>
      <x:c r="D286" s="82" t="str">
        <x:v>CompensationStep</x:v>
      </x:c>
      <x:c r="E286" s="82" t="n">
        <x:v>0</x:v>
      </x:c>
      <x:c r="F286" s="82" t="str">
        <x:v>—</x:v>
      </x:c>
      <x:c r="G286" s="82" t="str">
        <x:v>暂保留候选（需源码验证）</x:v>
      </x:c>
      <x:c r="H286" s="82" t="str">
        <x:v>CxVisual.Mechanism.Core</x:v>
      </x:c>
      <x:c r="I286" s="82" t="str">
        <x:v>运行/分布式事务能力暂以契约描述，不应默认由Core实现</x:v>
      </x:c>
      <x:c r="J286" s="82" t="str">
        <x:v>R3-A裁决候选</x:v>
      </x:c>
      <x:c r="K286" s="82" t="str">
        <x:v>设计审查中/未执行实测</x:v>
      </x:c>
    </x:row>
    <x:row r="287">
      <x:c r="A287" s="82" t="str">
        <x:v>M07.ConsistencyPolicy</x:v>
      </x:c>
      <x:c r="B287" s="82" t="str">
        <x:v>M07</x:v>
      </x:c>
      <x:c r="C287" s="82" t="str">
        <x:v>CxVisual.Mechanism.Core</x:v>
      </x:c>
      <x:c r="D287" s="82" t="str">
        <x:v>ConsistencyPolicy</x:v>
      </x:c>
      <x:c r="E287" s="82" t="n">
        <x:v>0</x:v>
      </x:c>
      <x:c r="F287" s="82" t="str">
        <x:v>—</x:v>
      </x:c>
      <x:c r="G287" s="82" t="str">
        <x:v>暂保留候选（需源码验证）</x:v>
      </x:c>
      <x:c r="H287" s="82" t="str">
        <x:v>CxVisual.Mechanism.Core</x:v>
      </x:c>
      <x:c r="I287" s="82" t="str">
        <x:v>运行/分布式事务能力暂以契约描述，不应默认由Core实现</x:v>
      </x:c>
      <x:c r="J287" s="82" t="str">
        <x:v>R3-A裁决候选</x:v>
      </x:c>
      <x:c r="K287" s="82" t="str">
        <x:v>设计审查中/未执行实测</x:v>
      </x:c>
    </x:row>
    <x:row r="288">
      <x:c r="A288" s="82" t="str">
        <x:v>M07.DeliveryReceipt</x:v>
      </x:c>
      <x:c r="B288" s="82" t="str">
        <x:v>M07</x:v>
      </x:c>
      <x:c r="C288" s="82" t="str">
        <x:v>CxVisual.Mechanism.Core</x:v>
      </x:c>
      <x:c r="D288" s="82" t="str">
        <x:v>DeliveryReceipt</x:v>
      </x:c>
      <x:c r="E288" s="82" t="n">
        <x:v>0</x:v>
      </x:c>
      <x:c r="F288" s="82" t="str">
        <x:v>—</x:v>
      </x:c>
      <x:c r="G288" s="82" t="str">
        <x:v>暂保留候选（需源码验证）</x:v>
      </x:c>
      <x:c r="H288" s="82" t="str">
        <x:v>CxVisual.Mechanism.Core</x:v>
      </x:c>
      <x:c r="I288" s="82" t="str">
        <x:v>禁止隐含运行态或UI强依赖</x:v>
      </x:c>
      <x:c r="J288" s="82" t="str">
        <x:v>R3-A裁决候选</x:v>
      </x:c>
      <x:c r="K288" s="82" t="str">
        <x:v>设计审查中/未执行实测</x:v>
      </x:c>
    </x:row>
    <x:row r="289">
      <x:c r="A289" s="82" t="str">
        <x:v>M07.IdempotencyKeyResolver</x:v>
      </x:c>
      <x:c r="B289" s="82" t="str">
        <x:v>M07</x:v>
      </x:c>
      <x:c r="C289" s="82" t="str">
        <x:v>CxVisual.Mechanism.Core</x:v>
      </x:c>
      <x:c r="D289" s="82" t="str">
        <x:v>IdempotencyKeyResolver</x:v>
      </x:c>
      <x:c r="E289" s="82" t="n">
        <x:v>0</x:v>
      </x:c>
      <x:c r="F289" s="82" t="str">
        <x:v>—</x:v>
      </x:c>
      <x:c r="G289" s="82" t="str">
        <x:v>暂保留候选（需源码验证）</x:v>
      </x:c>
      <x:c r="H289" s="82" t="str">
        <x:v>CxVisual.Mechanism.Core</x:v>
      </x:c>
      <x:c r="I289" s="82" t="str">
        <x:v>运行/分布式事务能力暂以契约描述，不应默认由Core实现</x:v>
      </x:c>
      <x:c r="J289" s="82" t="str">
        <x:v>R3-A裁决候选</x:v>
      </x:c>
      <x:c r="K289" s="82" t="str">
        <x:v>设计审查中/未执行实测</x:v>
      </x:c>
    </x:row>
    <x:row r="290">
      <x:c r="A290" s="82" t="str">
        <x:v>M07.InboxDeduplicationStore</x:v>
      </x:c>
      <x:c r="B290" s="82" t="str">
        <x:v>M07</x:v>
      </x:c>
      <x:c r="C290" s="82" t="str">
        <x:v>CxVisual.Mechanism.Core</x:v>
      </x:c>
      <x:c r="D290" s="82" t="str">
        <x:v>InboxDeduplicationStore</x:v>
      </x:c>
      <x:c r="E290" s="82" t="n">
        <x:v>0</x:v>
      </x:c>
      <x:c r="F290" s="82" t="str">
        <x:v>—</x:v>
      </x:c>
      <x:c r="G290" s="82" t="str">
        <x:v>实施外移</x:v>
      </x:c>
      <x:c r="H290" s="82" t="str">
        <x:v>CxVisual.Mechanism.Data</x:v>
      </x:c>
      <x:c r="I290" s="82" t="str">
        <x:v>M07保留幂等契约；存储Provider由M35实现</x:v>
      </x:c>
      <x:c r="J290" s="82" t="str">
        <x:v>R3-A裁决候选</x:v>
      </x:c>
      <x:c r="K290" s="82" t="str">
        <x:v>设计审查中/未执行实测</x:v>
      </x:c>
    </x:row>
    <x:row r="291">
      <x:c r="A291" s="82" t="str">
        <x:v>M07.OutboxDispatcher</x:v>
      </x:c>
      <x:c r="B291" s="82" t="str">
        <x:v>M07</x:v>
      </x:c>
      <x:c r="C291" s="82" t="str">
        <x:v>CxVisual.Mechanism.Core</x:v>
      </x:c>
      <x:c r="D291" s="82" t="str">
        <x:v>OutboxDispatcher</x:v>
      </x:c>
      <x:c r="E291" s="82" t="n">
        <x:v>0</x:v>
      </x:c>
      <x:c r="F291" s="82" t="str">
        <x:v>—</x:v>
      </x:c>
      <x:c r="G291" s="82" t="str">
        <x:v>实施外移</x:v>
      </x:c>
      <x:c r="H291" s="82" t="str">
        <x:v>CxVisual.Mechanism.Runtime</x:v>
      </x:c>
      <x:c r="I291" s="82" t="str">
        <x:v>M07保留消息契约；Core不能持有网络连接</x:v>
      </x:c>
      <x:c r="J291" s="82" t="str">
        <x:v>R3-A裁决候选</x:v>
      </x:c>
      <x:c r="K291" s="82" t="str">
        <x:v>设计审查中/未执行实测</x:v>
      </x:c>
    </x:row>
    <x:row r="292">
      <x:c r="A292" s="82" t="str">
        <x:v>M07.OutboxMessage</x:v>
      </x:c>
      <x:c r="B292" s="82" t="str">
        <x:v>M07</x:v>
      </x:c>
      <x:c r="C292" s="82" t="str">
        <x:v>CxVisual.Mechanism.Core</x:v>
      </x:c>
      <x:c r="D292" s="82" t="str">
        <x:v>OutboxMessage</x:v>
      </x:c>
      <x:c r="E292" s="82" t="n">
        <x:v>0</x:v>
      </x:c>
      <x:c r="F292" s="82" t="str">
        <x:v>—</x:v>
      </x:c>
      <x:c r="G292" s="82" t="str">
        <x:v>保留契约</x:v>
      </x:c>
      <x:c r="H292" s="82" t="str">
        <x:v>CxVisual.Mechanism.Core</x:v>
      </x:c>
      <x:c r="I292" s="82" t="str">
        <x:v>具体发送在Runtime</x:v>
      </x:c>
      <x:c r="J292" s="82" t="str">
        <x:v>R3-A裁决候选</x:v>
      </x:c>
      <x:c r="K292" s="82" t="str">
        <x:v>设计审查中/未执行实测</x:v>
      </x:c>
    </x:row>
    <x:row r="293">
      <x:c r="A293" s="82" t="str">
        <x:v>M07.SagaOrchestrator</x:v>
      </x:c>
      <x:c r="B293" s="82" t="str">
        <x:v>M07</x:v>
      </x:c>
      <x:c r="C293" s="82" t="str">
        <x:v>CxVisual.Mechanism.Core</x:v>
      </x:c>
      <x:c r="D293" s="82" t="str">
        <x:v>SagaOrchestrator</x:v>
      </x:c>
      <x:c r="E293" s="82" t="n">
        <x:v>0</x:v>
      </x:c>
      <x:c r="F293" s="82" t="str">
        <x:v>—</x:v>
      </x:c>
      <x:c r="G293" s="82" t="str">
        <x:v>实施外移</x:v>
      </x:c>
      <x:c r="H293" s="82" t="str">
        <x:v>CxVisual.Mechanism.Runtime</x:v>
      </x:c>
      <x:c r="I293" s="82" t="str">
        <x:v>补偿计划在M07定义；长流程调度交Runtime/Orchestration</x:v>
      </x:c>
      <x:c r="J293" s="82" t="str">
        <x:v>R3-A裁决候选</x:v>
      </x:c>
      <x:c r="K293" s="82" t="str">
        <x:v>设计审查中/未执行实测</x:v>
      </x:c>
    </x:row>
    <x:row r="294">
      <x:c r="A294" s="82" t="str">
        <x:v>M07.TransactionCoordinator</x:v>
      </x:c>
      <x:c r="B294" s="82" t="str">
        <x:v>M07</x:v>
      </x:c>
      <x:c r="C294" s="82" t="str">
        <x:v>CxVisual.Mechanism.Core</x:v>
      </x:c>
      <x:c r="D294" s="82" t="str">
        <x:v>TransactionCoordinator</x:v>
      </x:c>
      <x:c r="E294" s="82" t="n">
        <x:v>0</x:v>
      </x:c>
      <x:c r="F294" s="82" t="str">
        <x:v>—</x:v>
      </x:c>
      <x:c r="G294" s="82" t="str">
        <x:v>收窄</x:v>
      </x:c>
      <x:c r="H294" s="82" t="str">
        <x:v>CxVisual.Mechanism.Core</x:v>
      </x:c>
      <x:c r="I294" s="82" t="str">
        <x:v>不负责DB分布式事务、Saga或外部设备回滚</x:v>
      </x:c>
      <x:c r="J294" s="82" t="str">
        <x:v>R3-A裁决候选</x:v>
      </x:c>
      <x:c r="K294" s="82" t="str">
        <x:v>设计审查中/未执行实测</x:v>
      </x:c>
    </x:row>
    <x:row r="295">
      <x:c r="A295" s="82" t="str">
        <x:v>M07.TransactionScopeDefinition</x:v>
      </x:c>
      <x:c r="B295" s="82" t="str">
        <x:v>M07</x:v>
      </x:c>
      <x:c r="C295" s="82" t="str">
        <x:v>CxVisual.Mechanism.Core</x:v>
      </x:c>
      <x:c r="D295" s="82" t="str">
        <x:v>TransactionScopeDefinition</x:v>
      </x:c>
      <x:c r="E295" s="82" t="n">
        <x:v>0</x:v>
      </x:c>
      <x:c r="F295" s="82" t="str">
        <x:v>—</x:v>
      </x:c>
      <x:c r="G295" s="82" t="str">
        <x:v>暂保留候选（需源码验证）</x:v>
      </x:c>
      <x:c r="H295" s="82" t="str">
        <x:v>CxVisual.Mechanism.Core</x:v>
      </x:c>
      <x:c r="I295" s="82" t="str">
        <x:v>运行/分布式事务能力暂以契约描述，不应默认由Core实现</x:v>
      </x:c>
      <x:c r="J295" s="82" t="str">
        <x:v>R3-A裁决候选</x:v>
      </x:c>
      <x:c r="K295" s="82" t="str">
        <x:v>设计审查中/未执行实测</x:v>
      </x:c>
    </x:row>
    <x:row r="296">
      <x:c r="A296" s="82" t="str">
        <x:v>M07.TransactionalMutation</x:v>
      </x:c>
      <x:c r="B296" s="82" t="str">
        <x:v>M07</x:v>
      </x:c>
      <x:c r="C296" s="82" t="str">
        <x:v>CxVisual.Mechanism.Core</x:v>
      </x:c>
      <x:c r="D296" s="82" t="str">
        <x:v>TransactionalMutation</x:v>
      </x:c>
      <x:c r="E296" s="82" t="n">
        <x:v>0</x:v>
      </x:c>
      <x:c r="F296" s="82" t="str">
        <x:v>—</x:v>
      </x:c>
      <x:c r="G296" s="82" t="str">
        <x:v>收窄</x:v>
      </x:c>
      <x:c r="H296" s="82" t="str">
        <x:v>CxVisual.Mechanism.Core</x:v>
      </x:c>
      <x:c r="I296" s="82" t="str">
        <x:v>Visual拥有撤销意图及可视历史；Core只校验执行逆变更</x:v>
      </x:c>
      <x:c r="J296" s="82" t="str">
        <x:v>R3-A裁决候选</x:v>
      </x:c>
      <x:c r="K296" s="82" t="str">
        <x:v>设计审查中/未执行实测</x:v>
      </x:c>
    </x:row>
    <x:row r="297">
      <x:c r="A297" s="82" t="str">
        <x:v>M07.UnitOfWork</x:v>
      </x:c>
      <x:c r="B297" s="82" t="str">
        <x:v>M07</x:v>
      </x:c>
      <x:c r="C297" s="82" t="str">
        <x:v>CxVisual.Mechanism.Core</x:v>
      </x:c>
      <x:c r="D297" s="82" t="str">
        <x:v>UnitOfWork</x:v>
      </x:c>
      <x:c r="E297" s="82" t="n">
        <x:v>0</x:v>
      </x:c>
      <x:c r="F297" s="82" t="str">
        <x:v>—</x:v>
      </x:c>
      <x:c r="G297" s="82" t="str">
        <x:v>暂保留候选（需源码验证）</x:v>
      </x:c>
      <x:c r="H297" s="82" t="str">
        <x:v>CxVisual.Mechanism.Core</x:v>
      </x:c>
      <x:c r="I297" s="82" t="str">
        <x:v>运行/分布式事务能力暂以契约描述，不应默认由Core实现</x:v>
      </x:c>
      <x:c r="J297" s="82" t="str">
        <x:v>R3-A裁决候选</x:v>
      </x:c>
      <x:c r="K297" s="82" t="str">
        <x:v>设计审查中/未执行实测</x:v>
      </x:c>
    </x:row>
    <x:row r="298">
      <x:c r="A298" s="82" t="str">
        <x:v>M08.AcceptanceCriterion</x:v>
      </x:c>
      <x:c r="B298" s="82" t="str">
        <x:v>M08</x:v>
      </x:c>
      <x:c r="C298" s="82" t="str">
        <x:v>CxVisual.Mechanism.Core</x:v>
      </x:c>
      <x:c r="D298" s="82" t="str">
        <x:v>AcceptanceCriterion</x:v>
      </x:c>
      <x:c r="E298" s="82" t="n">
        <x:v>0</x:v>
      </x:c>
      <x:c r="F298" s="82" t="str">
        <x:v>—</x:v>
      </x:c>
      <x:c r="G298" s="82" t="str">
        <x:v>暂保留候选（需源码验证）</x:v>
      </x:c>
      <x:c r="H298" s="82" t="str">
        <x:v>CxVisual.Mechanism.Core</x:v>
      </x:c>
      <x:c r="I298" s="82" t="str">
        <x:v>禁止隐含运行态或UI强依赖</x:v>
      </x:c>
      <x:c r="J298" s="82" t="str">
        <x:v>R3-A裁决候选</x:v>
      </x:c>
      <x:c r="K298" s="82" t="str">
        <x:v>设计审查中/未执行实测</x:v>
      </x:c>
    </x:row>
    <x:row r="299">
      <x:c r="A299" s="82" t="str">
        <x:v>M08.AcceptanceGate</x:v>
      </x:c>
      <x:c r="B299" s="82" t="str">
        <x:v>M08</x:v>
      </x:c>
      <x:c r="C299" s="82" t="str">
        <x:v>CxVisual.Mechanism.Core</x:v>
      </x:c>
      <x:c r="D299" s="82" t="str">
        <x:v>AcceptanceGate</x:v>
      </x:c>
      <x:c r="E299" s="82" t="n">
        <x:v>0</x:v>
      </x:c>
      <x:c r="F299" s="82" t="str">
        <x:v>—</x:v>
      </x:c>
      <x:c r="G299" s="82" t="str">
        <x:v>暂保留候选（需源码验证）</x:v>
      </x:c>
      <x:c r="H299" s="82" t="str">
        <x:v>CxVisual.Mechanism.Core</x:v>
      </x:c>
      <x:c r="I299" s="82" t="str">
        <x:v>判据/报告可归Core；具体测试执行器必须独立于Core</x:v>
      </x:c>
      <x:c r="J299" s="82" t="str">
        <x:v>R3-A裁决候选</x:v>
      </x:c>
      <x:c r="K299" s="82" t="str">
        <x:v>设计审查中/未执行实测</x:v>
      </x:c>
    </x:row>
    <x:row r="300">
      <x:c r="A300" s="82" t="str">
        <x:v>M08.CoverageAnalyzer</x:v>
      </x:c>
      <x:c r="B300" s="82" t="str">
        <x:v>M08</x:v>
      </x:c>
      <x:c r="C300" s="82" t="str">
        <x:v>CxVisual.Mechanism.Core</x:v>
      </x:c>
      <x:c r="D300" s="82" t="str">
        <x:v>CoverageAnalyzer</x:v>
      </x:c>
      <x:c r="E300" s="82" t="n">
        <x:v>0</x:v>
      </x:c>
      <x:c r="F300" s="82" t="str">
        <x:v>—</x:v>
      </x:c>
      <x:c r="G300" s="82" t="str">
        <x:v>保留纯计算</x:v>
      </x:c>
      <x:c r="H300" s="82" t="str">
        <x:v>CxVisual.Mechanism.Core</x:v>
      </x:c>
      <x:c r="I300" s="82" t="str">
        <x:v>覆盖≠实机验证</x:v>
      </x:c>
      <x:c r="J300" s="82" t="str">
        <x:v>R3-A裁决候选</x:v>
      </x:c>
      <x:c r="K300" s="82" t="str">
        <x:v>设计审查中/未执行实测</x:v>
      </x:c>
    </x:row>
    <x:row r="301">
      <x:c r="A301" s="82" t="str">
        <x:v>M08.EvidenceArtifact</x:v>
      </x:c>
      <x:c r="B301" s="82" t="str">
        <x:v>M08</x:v>
      </x:c>
      <x:c r="C301" s="82" t="str">
        <x:v>CxVisual.Mechanism.Core</x:v>
      </x:c>
      <x:c r="D301" s="82" t="str">
        <x:v>EvidenceArtifact</x:v>
      </x:c>
      <x:c r="E301" s="82" t="n">
        <x:v>0</x:v>
      </x:c>
      <x:c r="F301" s="82" t="str">
        <x:v>—</x:v>
      </x:c>
      <x:c r="G301" s="82" t="str">
        <x:v>暂保留候选（需源码验证）</x:v>
      </x:c>
      <x:c r="H301" s="82" t="str">
        <x:v>CxVisual.Mechanism.Core</x:v>
      </x:c>
      <x:c r="I301" s="82" t="str">
        <x:v>禁止隐含运行态或UI强依赖</x:v>
      </x:c>
      <x:c r="J301" s="82" t="str">
        <x:v>R3-A裁决候选</x:v>
      </x:c>
      <x:c r="K301" s="82" t="str">
        <x:v>设计审查中/未执行实测</x:v>
      </x:c>
    </x:row>
    <x:row r="302">
      <x:c r="A302" s="82" t="str">
        <x:v>M08.HardwareTestEvidence</x:v>
      </x:c>
      <x:c r="B302" s="82" t="str">
        <x:v>M08</x:v>
      </x:c>
      <x:c r="C302" s="82" t="str">
        <x:v>CxVisual.Mechanism.Core</x:v>
      </x:c>
      <x:c r="D302" s="82" t="str">
        <x:v>HardwareTestEvidence</x:v>
      </x:c>
      <x:c r="E302" s="82" t="n">
        <x:v>0</x:v>
      </x:c>
      <x:c r="F302" s="82" t="str">
        <x:v>—</x:v>
      </x:c>
      <x:c r="G302" s="82" t="str">
        <x:v>保留证据描述</x:v>
      </x:c>
      <x:c r="H302" s="82" t="str">
        <x:v>CxVisual.Mechanism.Core</x:v>
      </x:c>
      <x:c r="I302" s="82" t="str">
        <x:v>硬件测试动作位于专业或Tests</x:v>
      </x:c>
      <x:c r="J302" s="82" t="str">
        <x:v>R3-A裁决候选</x:v>
      </x:c>
      <x:c r="K302" s="82" t="str">
        <x:v>设计审查中/未执行实测</x:v>
      </x:c>
    </x:row>
    <x:row r="303">
      <x:c r="A303" s="82" t="str">
        <x:v>M08.RequirementContract</x:v>
      </x:c>
      <x:c r="B303" s="82" t="str">
        <x:v>M08</x:v>
      </x:c>
      <x:c r="C303" s="82" t="str">
        <x:v>CxVisual.Mechanism.Core</x:v>
      </x:c>
      <x:c r="D303" s="82" t="str">
        <x:v>RequirementContract</x:v>
      </x:c>
      <x:c r="E303" s="82" t="n">
        <x:v>0</x:v>
      </x:c>
      <x:c r="F303" s="82" t="str">
        <x:v>—</x:v>
      </x:c>
      <x:c r="G303" s="82" t="str">
        <x:v>暂保留候选（需源码验证）</x:v>
      </x:c>
      <x:c r="H303" s="82" t="str">
        <x:v>CxVisual.Mechanism.Core</x:v>
      </x:c>
      <x:c r="I303" s="82" t="str">
        <x:v>判据/报告可归Core；具体测试执行器必须独立于Core</x:v>
      </x:c>
      <x:c r="J303" s="82" t="str">
        <x:v>R3-A裁决候选</x:v>
      </x:c>
      <x:c r="K303" s="82" t="str">
        <x:v>设计审查中/未执行实测</x:v>
      </x:c>
    </x:row>
    <x:row r="304">
      <x:c r="A304" s="82" t="str">
        <x:v>M08.RequirementTraceLink</x:v>
      </x:c>
      <x:c r="B304" s="82" t="str">
        <x:v>M08</x:v>
      </x:c>
      <x:c r="C304" s="82" t="str">
        <x:v>CxVisual.Mechanism.Core</x:v>
      </x:c>
      <x:c r="D304" s="82" t="str">
        <x:v>RequirementTraceLink</x:v>
      </x:c>
      <x:c r="E304" s="82" t="n">
        <x:v>0</x:v>
      </x:c>
      <x:c r="F304" s="82" t="str">
        <x:v>—</x:v>
      </x:c>
      <x:c r="G304" s="82" t="str">
        <x:v>暂保留候选（需源码验证）</x:v>
      </x:c>
      <x:c r="H304" s="82" t="str">
        <x:v>CxVisual.Mechanism.Core</x:v>
      </x:c>
      <x:c r="I304" s="82" t="str">
        <x:v>判据/报告可归Core；具体测试执行器必须独立于Core</x:v>
      </x:c>
      <x:c r="J304" s="82" t="str">
        <x:v>R3-A裁决候选</x:v>
      </x:c>
      <x:c r="K304" s="82" t="str">
        <x:v>设计审查中/未执行实测</x:v>
      </x:c>
    </x:row>
    <x:row r="305">
      <x:c r="A305" s="82" t="str">
        <x:v>M08.TestEnvironmentSnapshot</x:v>
      </x:c>
      <x:c r="B305" s="82" t="str">
        <x:v>M08</x:v>
      </x:c>
      <x:c r="C305" s="82" t="str">
        <x:v>CxVisual.Mechanism.Core</x:v>
      </x:c>
      <x:c r="D305" s="82" t="str">
        <x:v>TestEnvironmentSnapshot</x:v>
      </x:c>
      <x:c r="E305" s="82" t="n">
        <x:v>0</x:v>
      </x:c>
      <x:c r="F305" s="82" t="str">
        <x:v>—</x:v>
      </x:c>
      <x:c r="G305" s="82" t="str">
        <x:v>暂保留候选（需源码验证）</x:v>
      </x:c>
      <x:c r="H305" s="82" t="str">
        <x:v>CxVisual.Mechanism.Core</x:v>
      </x:c>
      <x:c r="I305" s="82" t="str">
        <x:v>判据/报告可归Core；具体测试执行器必须独立于Core</x:v>
      </x:c>
      <x:c r="J305" s="82" t="str">
        <x:v>R3-A裁决候选</x:v>
      </x:c>
      <x:c r="K305" s="82" t="str">
        <x:v>设计审查中/未执行实测</x:v>
      </x:c>
    </x:row>
    <x:row r="306">
      <x:c r="A306" s="82" t="str">
        <x:v>M08.VerificationCase</x:v>
      </x:c>
      <x:c r="B306" s="82" t="str">
        <x:v>M08</x:v>
      </x:c>
      <x:c r="C306" s="82" t="str">
        <x:v>CxVisual.Mechanism.Core</x:v>
      </x:c>
      <x:c r="D306" s="82" t="str">
        <x:v>VerificationCase</x:v>
      </x:c>
      <x:c r="E306" s="82" t="n">
        <x:v>0</x:v>
      </x:c>
      <x:c r="F306" s="82" t="str">
        <x:v>—</x:v>
      </x:c>
      <x:c r="G306" s="82" t="str">
        <x:v>暂保留候选（需源码验证）</x:v>
      </x:c>
      <x:c r="H306" s="82" t="str">
        <x:v>CxVisual.Mechanism.Core</x:v>
      </x:c>
      <x:c r="I306" s="82" t="str">
        <x:v>判据/报告可归Core；具体测试执行器必须独立于Core</x:v>
      </x:c>
      <x:c r="J306" s="82" t="str">
        <x:v>R3-A裁决候选</x:v>
      </x:c>
      <x:c r="K306" s="82" t="str">
        <x:v>设计审查中/未执行实测</x:v>
      </x:c>
    </x:row>
    <x:row r="307">
      <x:c r="A307" s="82" t="str">
        <x:v>M08.VerificationMatrix</x:v>
      </x:c>
      <x:c r="B307" s="82" t="str">
        <x:v>M08</x:v>
      </x:c>
      <x:c r="C307" s="82" t="str">
        <x:v>CxVisual.Mechanism.Core</x:v>
      </x:c>
      <x:c r="D307" s="82" t="str">
        <x:v>VerificationMatrix</x:v>
      </x:c>
      <x:c r="E307" s="82" t="n">
        <x:v>0</x:v>
      </x:c>
      <x:c r="F307" s="82" t="str">
        <x:v>—</x:v>
      </x:c>
      <x:c r="G307" s="82" t="str">
        <x:v>暂保留候选（需源码验证）</x:v>
      </x:c>
      <x:c r="H307" s="82" t="str">
        <x:v>CxVisual.Mechanism.Core</x:v>
      </x:c>
      <x:c r="I307" s="82" t="str">
        <x:v>禁止隐含运行态或UI强依赖</x:v>
      </x:c>
      <x:c r="J307" s="82" t="str">
        <x:v>R3-A裁决候选</x:v>
      </x:c>
      <x:c r="K307" s="82" t="str">
        <x:v>设计审查中/未执行实测</x:v>
      </x:c>
    </x:row>
    <x:row r="308">
      <x:c r="A308" s="82" t="str">
        <x:v>M08.VerificationReport</x:v>
      </x:c>
      <x:c r="B308" s="82" t="str">
        <x:v>M08</x:v>
      </x:c>
      <x:c r="C308" s="82" t="str">
        <x:v>CxVisual.Mechanism.Core</x:v>
      </x:c>
      <x:c r="D308" s="82" t="str">
        <x:v>VerificationReport</x:v>
      </x:c>
      <x:c r="E308" s="82" t="n">
        <x:v>0</x:v>
      </x:c>
      <x:c r="F308" s="82" t="str">
        <x:v>—</x:v>
      </x:c>
      <x:c r="G308" s="82" t="str">
        <x:v>暂保留候选（需源码验证）</x:v>
      </x:c>
      <x:c r="H308" s="82" t="str">
        <x:v>CxVisual.Mechanism.Core</x:v>
      </x:c>
      <x:c r="I308" s="82" t="str">
        <x:v>禁止隐含运行态或UI强依赖</x:v>
      </x:c>
      <x:c r="J308" s="82" t="str">
        <x:v>R3-A裁决候选</x:v>
      </x:c>
      <x:c r="K308" s="82" t="str">
        <x:v>设计审查中/未执行实测</x:v>
      </x:c>
    </x:row>
    <x:row r="309">
      <x:c r="A309" s="82" t="str">
        <x:v>M08.VerificationRun</x:v>
      </x:c>
      <x:c r="B309" s="82" t="str">
        <x:v>M08</x:v>
      </x:c>
      <x:c r="C309" s="82" t="str">
        <x:v>CxVisual.Mechanism.Core</x:v>
      </x:c>
      <x:c r="D309" s="82" t="str">
        <x:v>VerificationRun</x:v>
      </x:c>
      <x:c r="E309" s="82" t="n">
        <x:v>0</x:v>
      </x:c>
      <x:c r="F309" s="82" t="str">
        <x:v>—</x:v>
      </x:c>
      <x:c r="G309" s="82" t="str">
        <x:v>运行器外移</x:v>
      </x:c>
      <x:c r="H309" s="82" t="str">
        <x:v>CxVisual.Tests.ArchitectureSmoke</x:v>
      </x:c>
      <x:c r="I309" s="82" t="str">
        <x:v>M08保留执行记录契约，不能让Core驱动真实硬件</x:v>
      </x:c>
      <x:c r="J309" s="82" t="str">
        <x:v>R3-A裁决候选</x:v>
      </x:c>
      <x:c r="K309" s="82" t="str">
        <x:v>设计审查中/未执行实测</x:v>
      </x:c>
    </x:row>
    <x:row r="310">
      <x:c r="A310" s="82" t="str">
        <x:v>M09.CalculatedVariableDefinition</x:v>
      </x:c>
      <x:c r="B310" s="82" t="str">
        <x:v>M09</x:v>
      </x:c>
      <x:c r="C310" s="82" t="str">
        <x:v>CxVisual.Mechanism.Data</x:v>
      </x:c>
      <x:c r="D310" s="82" t="str">
        <x:v>CalculatedVariableDefinition</x:v>
      </x:c>
      <x:c r="E310" s="82" t="n">
        <x:v>0</x:v>
      </x:c>
      <x:c r="F310" s="82" t="str">
        <x:v>—</x:v>
      </x:c>
      <x:c r="G310" s="82" t="str">
        <x:v>尚未逐项裁决</x:v>
      </x:c>
      <x:c r="H310" s="82" t="str">
        <x:v>CxVisual.Mechanism.Data</x:v>
      </x:c>
      <x:c r="I310" s="82" t="str">
        <x:v>需核原方法签名/行为、状态、依赖及实例生命周期</x:v>
      </x:c>
      <x:c r="J310" s="82" t="str">
        <x:v>V7.8词法声明证据</x:v>
      </x:c>
      <x:c r="K310" s="82" t="str">
        <x:v>设计审查中/未执行实测</x:v>
      </x:c>
    </x:row>
    <x:row r="311">
      <x:c r="A311" s="82" t="str">
        <x:v>M09.CxVariableDefinition</x:v>
      </x:c>
      <x:c r="B311" s="82" t="str">
        <x:v>M09</x:v>
      </x:c>
      <x:c r="C311" s="82" t="str">
        <x:v>CxVisual.Mechanism.Data</x:v>
      </x:c>
      <x:c r="D311" s="82" t="str">
        <x:v>CxVariableDefinition</x:v>
      </x:c>
      <x:c r="E311" s="82" t="n">
        <x:v>1</x:v>
      </x:c>
      <x:c r="F311" s="82" t="str">
        <x:v>Platform/Core/CxVariableDefinition.cs (class)</x:v>
      </x:c>
      <x:c r="G311" s="82" t="str">
        <x:v>尚未逐项裁决</x:v>
      </x:c>
      <x:c r="H311" s="82" t="str">
        <x:v>CxVisual.Mechanism.Data</x:v>
      </x:c>
      <x:c r="I311" s="82" t="str">
        <x:v>需核原方法签名/行为、状态、依赖及实例生命周期</x:v>
      </x:c>
      <x:c r="J311" s="82" t="str">
        <x:v>V7.8词法声明证据</x:v>
      </x:c>
      <x:c r="K311" s="82" t="str">
        <x:v>设计审查中/未执行实测</x:v>
      </x:c>
    </x:row>
    <x:row r="312">
      <x:c r="A312" s="82" t="str">
        <x:v>M09.CxVariableRef</x:v>
      </x:c>
      <x:c r="B312" s="82" t="str">
        <x:v>M09</x:v>
      </x:c>
      <x:c r="C312" s="82" t="str">
        <x:v>CxVisual.Mechanism.Data</x:v>
      </x:c>
      <x:c r="D312" s="82" t="str">
        <x:v>CxVariableRef</x:v>
      </x:c>
      <x:c r="E312" s="82" t="n">
        <x:v>0</x:v>
      </x:c>
      <x:c r="F312" s="82" t="str">
        <x:v>—</x:v>
      </x:c>
      <x:c r="G312" s="82" t="str">
        <x:v>尚未逐项裁决</x:v>
      </x:c>
      <x:c r="H312" s="82" t="str">
        <x:v>CxVisual.Mechanism.Data</x:v>
      </x:c>
      <x:c r="I312" s="82" t="str">
        <x:v>需核原方法签名/行为、状态、依赖及实例生命周期</x:v>
      </x:c>
      <x:c r="J312" s="82" t="str">
        <x:v>V7.8词法声明证据</x:v>
      </x:c>
      <x:c r="K312" s="82" t="str">
        <x:v>设计审查中/未执行实测</x:v>
      </x:c>
    </x:row>
    <x:row r="313">
      <x:c r="A313" s="82" t="str">
        <x:v>M09.CxVariableRuntimeState</x:v>
      </x:c>
      <x:c r="B313" s="82" t="str">
        <x:v>M09</x:v>
      </x:c>
      <x:c r="C313" s="82" t="str">
        <x:v>CxVisual.Mechanism.Data</x:v>
      </x:c>
      <x:c r="D313" s="82" t="str">
        <x:v>CxVariableRuntimeState</x:v>
      </x:c>
      <x:c r="E313" s="82" t="n">
        <x:v>1</x:v>
      </x:c>
      <x:c r="F313" s="82" t="str">
        <x:v>Platform/Variables/CxVariableRuntimeState.cs (class)</x:v>
      </x:c>
      <x:c r="G313" s="82" t="str">
        <x:v>尚未逐项裁决</x:v>
      </x:c>
      <x:c r="H313" s="82" t="str">
        <x:v>CxVisual.Mechanism.Data</x:v>
      </x:c>
      <x:c r="I313" s="82" t="str">
        <x:v>需核原方法签名/行为、状态、依赖及实例生命周期</x:v>
      </x:c>
      <x:c r="J313" s="82" t="str">
        <x:v>V7.8词法声明证据</x:v>
      </x:c>
      <x:c r="K313" s="82" t="str">
        <x:v>设计审查中/未执行实测</x:v>
      </x:c>
    </x:row>
    <x:row r="314">
      <x:c r="A314" s="82" t="str">
        <x:v>M09.IVariableProvider</x:v>
      </x:c>
      <x:c r="B314" s="82" t="str">
        <x:v>M09</x:v>
      </x:c>
      <x:c r="C314" s="82" t="str">
        <x:v>CxVisual.Mechanism.Data</x:v>
      </x:c>
      <x:c r="D314" s="82" t="str">
        <x:v>IVariableProvider</x:v>
      </x:c>
      <x:c r="E314" s="82" t="n">
        <x:v>1</x:v>
      </x:c>
      <x:c r="F314" s="82" t="str">
        <x:v>Platform/Core/Abstractions/Variables.cs (interface)</x:v>
      </x:c>
      <x:c r="G314" s="82" t="str">
        <x:v>尚未逐项裁决</x:v>
      </x:c>
      <x:c r="H314" s="82" t="str">
        <x:v>CxVisual.Mechanism.Data</x:v>
      </x:c>
      <x:c r="I314" s="82" t="str">
        <x:v>需核原方法签名/行为、状态、依赖及实例生命周期</x:v>
      </x:c>
      <x:c r="J314" s="82" t="str">
        <x:v>V7.8词法声明证据</x:v>
      </x:c>
      <x:c r="K314" s="82" t="str">
        <x:v>设计审查中/未执行实测</x:v>
      </x:c>
    </x:row>
    <x:row r="315">
      <x:c r="A315" s="82" t="str">
        <x:v>M09.VariableBinding</x:v>
      </x:c>
      <x:c r="B315" s="82" t="str">
        <x:v>M09</x:v>
      </x:c>
      <x:c r="C315" s="82" t="str">
        <x:v>CxVisual.Mechanism.Data</x:v>
      </x:c>
      <x:c r="D315" s="82" t="str">
        <x:v>VariableBinding</x:v>
      </x:c>
      <x:c r="E315" s="82" t="n">
        <x:v>0</x:v>
      </x:c>
      <x:c r="F315" s="82" t="str">
        <x:v>—</x:v>
      </x:c>
      <x:c r="G315" s="82" t="str">
        <x:v>尚未逐项裁决</x:v>
      </x:c>
      <x:c r="H315" s="82" t="str">
        <x:v>CxVisual.Mechanism.Data</x:v>
      </x:c>
      <x:c r="I315" s="82" t="str">
        <x:v>需核原方法签名/行为、状态、依赖及实例生命周期</x:v>
      </x:c>
      <x:c r="J315" s="82" t="str">
        <x:v>V7.8词法声明证据</x:v>
      </x:c>
      <x:c r="K315" s="82" t="str">
        <x:v>设计审查中/未执行实测</x:v>
      </x:c>
    </x:row>
    <x:row r="316">
      <x:c r="A316" s="82" t="str">
        <x:v>M09.VariableSnapshot</x:v>
      </x:c>
      <x:c r="B316" s="82" t="str">
        <x:v>M09</x:v>
      </x:c>
      <x:c r="C316" s="82" t="str">
        <x:v>CxVisual.Mechanism.Data</x:v>
      </x:c>
      <x:c r="D316" s="82" t="str">
        <x:v>VariableSnapshot</x:v>
      </x:c>
      <x:c r="E316" s="82" t="n">
        <x:v>1</x:v>
      </x:c>
      <x:c r="F316" s="82" t="str">
        <x:v>Platform/Variables/VariableValue.cs (class)</x:v>
      </x:c>
      <x:c r="G316" s="82" t="str">
        <x:v>尚未逐项裁决</x:v>
      </x:c>
      <x:c r="H316" s="82" t="str">
        <x:v>CxVisual.Mechanism.Data</x:v>
      </x:c>
      <x:c r="I316" s="82" t="str">
        <x:v>需核原方法签名/行为、状态、依赖及实例生命周期</x:v>
      </x:c>
      <x:c r="J316" s="82" t="str">
        <x:v>V7.8词法声明证据</x:v>
      </x:c>
      <x:c r="K316" s="82" t="str">
        <x:v>设计审查中/未执行实测</x:v>
      </x:c>
    </x:row>
    <x:row r="317">
      <x:c r="A317" s="82" t="str">
        <x:v>M09.VariableSubscription</x:v>
      </x:c>
      <x:c r="B317" s="82" t="str">
        <x:v>M09</x:v>
      </x:c>
      <x:c r="C317" s="82" t="str">
        <x:v>CxVisual.Mechanism.Data</x:v>
      </x:c>
      <x:c r="D317" s="82" t="str">
        <x:v>VariableSubscription</x:v>
      </x:c>
      <x:c r="E317" s="82" t="n">
        <x:v>0</x:v>
      </x:c>
      <x:c r="F317" s="82" t="str">
        <x:v>—</x:v>
      </x:c>
      <x:c r="G317" s="82" t="str">
        <x:v>尚未逐项裁决</x:v>
      </x:c>
      <x:c r="H317" s="82" t="str">
        <x:v>CxVisual.Mechanism.Data</x:v>
      </x:c>
      <x:c r="I317" s="82" t="str">
        <x:v>需核原方法签名/行为、状态、依赖及实例生命周期</x:v>
      </x:c>
      <x:c r="J317" s="82" t="str">
        <x:v>V7.8词法声明证据</x:v>
      </x:c>
      <x:c r="K317" s="82" t="str">
        <x:v>设计审查中/未执行实测</x:v>
      </x:c>
    </x:row>
    <x:row r="318">
      <x:c r="A318" s="82" t="str">
        <x:v>M10.ArtifactRef</x:v>
      </x:c>
      <x:c r="B318" s="82" t="str">
        <x:v>M10</x:v>
      </x:c>
      <x:c r="C318" s="82" t="str">
        <x:v>CxVisual.Mechanism.Data</x:v>
      </x:c>
      <x:c r="D318" s="82" t="str">
        <x:v>ArtifactRef</x:v>
      </x:c>
      <x:c r="E318" s="82" t="n">
        <x:v>1</x:v>
      </x:c>
      <x:c r="F318" s="82" t="str">
        <x:v>Platform/Data/IndustrialDataHandles.cs (class)</x:v>
      </x:c>
      <x:c r="G318" s="82" t="str">
        <x:v>尚未逐项裁决</x:v>
      </x:c>
      <x:c r="H318" s="82" t="str">
        <x:v>CxVisual.Mechanism.Data</x:v>
      </x:c>
      <x:c r="I318" s="82" t="str">
        <x:v>需核原方法签名/行为、状态、依赖及实例生命周期</x:v>
      </x:c>
      <x:c r="J318" s="82" t="str">
        <x:v>V7.8词法声明证据</x:v>
      </x:c>
      <x:c r="K318" s="82" t="str">
        <x:v>设计审查中/未执行实测</x:v>
      </x:c>
    </x:row>
    <x:row r="319">
      <x:c r="A319" s="82" t="str">
        <x:v>M10.CxDataHandle</x:v>
      </x:c>
      <x:c r="B319" s="82" t="str">
        <x:v>M10</x:v>
      </x:c>
      <x:c r="C319" s="82" t="str">
        <x:v>CxVisual.Mechanism.Data</x:v>
      </x:c>
      <x:c r="D319" s="82" t="str">
        <x:v>CxDataHandle</x:v>
      </x:c>
      <x:c r="E319" s="82" t="n">
        <x:v>1</x:v>
      </x:c>
      <x:c r="F319" s="82" t="str">
        <x:v>Platform/Data/CxDataHandle.cs (class)</x:v>
      </x:c>
      <x:c r="G319" s="82" t="str">
        <x:v>尚未逐项裁决</x:v>
      </x:c>
      <x:c r="H319" s="82" t="str">
        <x:v>CxVisual.Mechanism.Data</x:v>
      </x:c>
      <x:c r="I319" s="82" t="str">
        <x:v>需核原方法签名/行为、状态、依赖及实例生命周期</x:v>
      </x:c>
      <x:c r="J319" s="82" t="str">
        <x:v>V7.8词法声明证据</x:v>
      </x:c>
      <x:c r="K319" s="82" t="str">
        <x:v>设计审查中/未执行实测</x:v>
      </x:c>
    </x:row>
    <x:row r="320">
      <x:c r="A320" s="82" t="str">
        <x:v>M10.CxStreamHandle</x:v>
      </x:c>
      <x:c r="B320" s="82" t="str">
        <x:v>M10</x:v>
      </x:c>
      <x:c r="C320" s="82" t="str">
        <x:v>CxVisual.Mechanism.Data</x:v>
      </x:c>
      <x:c r="D320" s="82" t="str">
        <x:v>CxStreamHandle</x:v>
      </x:c>
      <x:c r="E320" s="82" t="n">
        <x:v>1</x:v>
      </x:c>
      <x:c r="F320" s="82" t="str">
        <x:v>Platform/Data/CxStreamHandle.cs (class)</x:v>
      </x:c>
      <x:c r="G320" s="82" t="str">
        <x:v>尚未逐项裁决</x:v>
      </x:c>
      <x:c r="H320" s="82" t="str">
        <x:v>CxVisual.Mechanism.Data</x:v>
      </x:c>
      <x:c r="I320" s="82" t="str">
        <x:v>需核原方法签名/行为、状态、依赖及实例生命周期</x:v>
      </x:c>
      <x:c r="J320" s="82" t="str">
        <x:v>V7.8词法声明证据</x:v>
      </x:c>
      <x:c r="K320" s="82" t="str">
        <x:v>设计审查中/未执行实测</x:v>
      </x:c>
    </x:row>
    <x:row r="321">
      <x:c r="A321" s="82" t="str">
        <x:v>M10.CxStreamPolicy</x:v>
      </x:c>
      <x:c r="B321" s="82" t="str">
        <x:v>M10</x:v>
      </x:c>
      <x:c r="C321" s="82" t="str">
        <x:v>CxVisual.Mechanism.Data</x:v>
      </x:c>
      <x:c r="D321" s="82" t="str">
        <x:v>CxStreamPolicy</x:v>
      </x:c>
      <x:c r="E321" s="82" t="n">
        <x:v>1</x:v>
      </x:c>
      <x:c r="F321" s="82" t="str">
        <x:v>Platform/Data/CxStreamHandle.cs (class)</x:v>
      </x:c>
      <x:c r="G321" s="82" t="str">
        <x:v>尚未逐项裁决</x:v>
      </x:c>
      <x:c r="H321" s="82" t="str">
        <x:v>CxVisual.Mechanism.Data</x:v>
      </x:c>
      <x:c r="I321" s="82" t="str">
        <x:v>需核原方法签名/行为、状态、依赖及实例生命周期</x:v>
      </x:c>
      <x:c r="J321" s="82" t="str">
        <x:v>V7.8词法声明证据</x:v>
      </x:c>
      <x:c r="K321" s="82" t="str">
        <x:v>设计审查中/未执行实测</x:v>
      </x:c>
    </x:row>
    <x:row r="322">
      <x:c r="A322" s="82" t="str">
        <x:v>M10.DataCarrier</x:v>
      </x:c>
      <x:c r="B322" s="82" t="str">
        <x:v>M10</x:v>
      </x:c>
      <x:c r="C322" s="82" t="str">
        <x:v>CxVisual.Mechanism.Data</x:v>
      </x:c>
      <x:c r="D322" s="82" t="str">
        <x:v>DataCarrier</x:v>
      </x:c>
      <x:c r="E322" s="82" t="n">
        <x:v>1</x:v>
      </x:c>
      <x:c r="F322" s="82" t="str">
        <x:v>Platform/Data/DataCarrier.cs (class)</x:v>
      </x:c>
      <x:c r="G322" s="82" t="str">
        <x:v>尚未逐项裁决</x:v>
      </x:c>
      <x:c r="H322" s="82" t="str">
        <x:v>CxVisual.Mechanism.Data</x:v>
      </x:c>
      <x:c r="I322" s="82" t="str">
        <x:v>需核原方法签名/行为、状态、依赖及实例生命周期</x:v>
      </x:c>
      <x:c r="J322" s="82" t="str">
        <x:v>V7.8词法声明证据</x:v>
      </x:c>
      <x:c r="K322" s="82" t="str">
        <x:v>设计审查中/未执行实测</x:v>
      </x:c>
    </x:row>
    <x:row r="323">
      <x:c r="A323" s="82" t="str">
        <x:v>M10.DataDescriptor</x:v>
      </x:c>
      <x:c r="B323" s="82" t="str">
        <x:v>M10</x:v>
      </x:c>
      <x:c r="C323" s="82" t="str">
        <x:v>CxVisual.Mechanism.Data</x:v>
      </x:c>
      <x:c r="D323" s="82" t="str">
        <x:v>DataDescriptor</x:v>
      </x:c>
      <x:c r="E323" s="82" t="n">
        <x:v>0</x:v>
      </x:c>
      <x:c r="F323" s="82" t="str">
        <x:v>—</x:v>
      </x:c>
      <x:c r="G323" s="82" t="str">
        <x:v>尚未逐项裁决</x:v>
      </x:c>
      <x:c r="H323" s="82" t="str">
        <x:v>CxVisual.Mechanism.Data</x:v>
      </x:c>
      <x:c r="I323" s="82" t="str">
        <x:v>需核原方法签名/行为、状态、依赖及实例生命周期</x:v>
      </x:c>
      <x:c r="J323" s="82" t="str">
        <x:v>V7.8词法声明证据</x:v>
      </x:c>
      <x:c r="K323" s="82" t="str">
        <x:v>设计审查中/未执行实测</x:v>
      </x:c>
    </x:row>
    <x:row r="324">
      <x:c r="A324" s="82" t="str">
        <x:v>M10.DataIntegrityVerifier</x:v>
      </x:c>
      <x:c r="B324" s="82" t="str">
        <x:v>M10</x:v>
      </x:c>
      <x:c r="C324" s="82" t="str">
        <x:v>CxVisual.Mechanism.Data</x:v>
      </x:c>
      <x:c r="D324" s="82" t="str">
        <x:v>DataIntegrityVerifier</x:v>
      </x:c>
      <x:c r="E324" s="82" t="n">
        <x:v>0</x:v>
      </x:c>
      <x:c r="F324" s="82" t="str">
        <x:v>—</x:v>
      </x:c>
      <x:c r="G324" s="82" t="str">
        <x:v>尚未逐项裁决</x:v>
      </x:c>
      <x:c r="H324" s="82" t="str">
        <x:v>CxVisual.Mechanism.Data</x:v>
      </x:c>
      <x:c r="I324" s="82" t="str">
        <x:v>需核原方法签名/行为、状态、依赖及实例生命周期</x:v>
      </x:c>
      <x:c r="J324" s="82" t="str">
        <x:v>V7.8词法声明证据</x:v>
      </x:c>
      <x:c r="K324" s="82" t="str">
        <x:v>设计审查中/未执行实测</x:v>
      </x:c>
    </x:row>
    <x:row r="325">
      <x:c r="A325" s="82" t="str">
        <x:v>M10.DataLineageRegistry</x:v>
      </x:c>
      <x:c r="B325" s="82" t="str">
        <x:v>M10</x:v>
      </x:c>
      <x:c r="C325" s="82" t="str">
        <x:v>CxVisual.Mechanism.Data</x:v>
      </x:c>
      <x:c r="D325" s="82" t="str">
        <x:v>DataLineageRegistry</x:v>
      </x:c>
      <x:c r="E325" s="82" t="n">
        <x:v>0</x:v>
      </x:c>
      <x:c r="F325" s="82" t="str">
        <x:v>—</x:v>
      </x:c>
      <x:c r="G325" s="82" t="str">
        <x:v>尚未逐项裁决</x:v>
      </x:c>
      <x:c r="H325" s="82" t="str">
        <x:v>CxVisual.Mechanism.Data</x:v>
      </x:c>
      <x:c r="I325" s="82" t="str">
        <x:v>需核原方法签名/行为、状态、依赖及实例生命周期</x:v>
      </x:c>
      <x:c r="J325" s="82" t="str">
        <x:v>V7.8词法声明证据</x:v>
      </x:c>
      <x:c r="K325" s="82" t="str">
        <x:v>设计审查中/未执行实测</x:v>
      </x:c>
    </x:row>
    <x:row r="326">
      <x:c r="A326" s="82" t="str">
        <x:v>M10.TransferPolicy</x:v>
      </x:c>
      <x:c r="B326" s="82" t="str">
        <x:v>M10</x:v>
      </x:c>
      <x:c r="C326" s="82" t="str">
        <x:v>CxVisual.Mechanism.Data</x:v>
      </x:c>
      <x:c r="D326" s="82" t="str">
        <x:v>TransferPolicy</x:v>
      </x:c>
      <x:c r="E326" s="82" t="n">
        <x:v>0</x:v>
      </x:c>
      <x:c r="F326" s="82" t="str">
        <x:v>—</x:v>
      </x:c>
      <x:c r="G326" s="82" t="str">
        <x:v>尚未逐项裁决</x:v>
      </x:c>
      <x:c r="H326" s="82" t="str">
        <x:v>CxVisual.Mechanism.Data</x:v>
      </x:c>
      <x:c r="I326" s="82" t="str">
        <x:v>需核原方法签名/行为、状态、依赖及实例生命周期</x:v>
      </x:c>
      <x:c r="J326" s="82" t="str">
        <x:v>V7.8词法声明证据</x:v>
      </x:c>
      <x:c r="K326" s="82" t="str">
        <x:v>设计审查中/未执行实测</x:v>
      </x:c>
    </x:row>
    <x:row r="327">
      <x:c r="A327" s="82" t="str">
        <x:v>M11.ExpressionDefinition</x:v>
      </x:c>
      <x:c r="B327" s="82" t="str">
        <x:v>M11</x:v>
      </x:c>
      <x:c r="C327" s="82" t="str">
        <x:v>CxVisual.Mechanism.Logic</x:v>
      </x:c>
      <x:c r="D327" s="82" t="str">
        <x:v>ExpressionDefinition</x:v>
      </x:c>
      <x:c r="E327" s="82" t="n">
        <x:v>0</x:v>
      </x:c>
      <x:c r="F327" s="82" t="str">
        <x:v>—</x:v>
      </x:c>
      <x:c r="G327" s="82" t="str">
        <x:v>尚未逐项裁决</x:v>
      </x:c>
      <x:c r="H327" s="82" t="str">
        <x:v>CxVisual.Mechanism.Logic</x:v>
      </x:c>
      <x:c r="I327" s="82" t="str">
        <x:v>需核原方法签名/行为、状态、依赖及实例生命周期</x:v>
      </x:c>
      <x:c r="J327" s="82" t="str">
        <x:v>V7.8词法声明证据</x:v>
      </x:c>
      <x:c r="K327" s="82" t="str">
        <x:v>设计审查中/未执行实测</x:v>
      </x:c>
    </x:row>
    <x:row r="328">
      <x:c r="A328" s="82" t="str">
        <x:v>M11.FunctionDescriptor</x:v>
      </x:c>
      <x:c r="B328" s="82" t="str">
        <x:v>M11</x:v>
      </x:c>
      <x:c r="C328" s="82" t="str">
        <x:v>CxVisual.Mechanism.Logic</x:v>
      </x:c>
      <x:c r="D328" s="82" t="str">
        <x:v>FunctionDescriptor</x:v>
      </x:c>
      <x:c r="E328" s="82" t="n">
        <x:v>0</x:v>
      </x:c>
      <x:c r="F328" s="82" t="str">
        <x:v>—</x:v>
      </x:c>
      <x:c r="G328" s="82" t="str">
        <x:v>尚未逐项裁决</x:v>
      </x:c>
      <x:c r="H328" s="82" t="str">
        <x:v>CxVisual.Mechanism.Logic</x:v>
      </x:c>
      <x:c r="I328" s="82" t="str">
        <x:v>需核原方法签名/行为、状态、依赖及实例生命周期</x:v>
      </x:c>
      <x:c r="J328" s="82" t="str">
        <x:v>V7.8词法声明证据</x:v>
      </x:c>
      <x:c r="K328" s="82" t="str">
        <x:v>设计审查中/未执行实测</x:v>
      </x:c>
    </x:row>
    <x:row r="329">
      <x:c r="A329" s="82" t="str">
        <x:v>M11.RuleDefinition</x:v>
      </x:c>
      <x:c r="B329" s="82" t="str">
        <x:v>M11</x:v>
      </x:c>
      <x:c r="C329" s="82" t="str">
        <x:v>CxVisual.Mechanism.Logic</x:v>
      </x:c>
      <x:c r="D329" s="82" t="str">
        <x:v>RuleDefinition</x:v>
      </x:c>
      <x:c r="E329" s="82" t="n">
        <x:v>0</x:v>
      </x:c>
      <x:c r="F329" s="82" t="str">
        <x:v>—</x:v>
      </x:c>
      <x:c r="G329" s="82" t="str">
        <x:v>尚未逐项裁决</x:v>
      </x:c>
      <x:c r="H329" s="82" t="str">
        <x:v>CxVisual.Mechanism.Logic</x:v>
      </x:c>
      <x:c r="I329" s="82" t="str">
        <x:v>需核原方法签名/行为、状态、依赖及实例生命周期</x:v>
      </x:c>
      <x:c r="J329" s="82" t="str">
        <x:v>V7.8词法声明证据</x:v>
      </x:c>
      <x:c r="K329" s="82" t="str">
        <x:v>设计审查中/未执行实测</x:v>
      </x:c>
    </x:row>
    <x:row r="330">
      <x:c r="A330" s="82" t="str">
        <x:v>M11.RuleSet</x:v>
      </x:c>
      <x:c r="B330" s="82" t="str">
        <x:v>M11</x:v>
      </x:c>
      <x:c r="C330" s="82" t="str">
        <x:v>CxVisual.Mechanism.Logic</x:v>
      </x:c>
      <x:c r="D330" s="82" t="str">
        <x:v>RuleSet</x:v>
      </x:c>
      <x:c r="E330" s="82" t="n">
        <x:v>0</x:v>
      </x:c>
      <x:c r="F330" s="82" t="str">
        <x:v>—</x:v>
      </x:c>
      <x:c r="G330" s="82" t="str">
        <x:v>尚未逐项裁决</x:v>
      </x:c>
      <x:c r="H330" s="82" t="str">
        <x:v>CxVisual.Mechanism.Logic</x:v>
      </x:c>
      <x:c r="I330" s="82" t="str">
        <x:v>需核原方法签名/行为、状态、依赖及实例生命周期</x:v>
      </x:c>
      <x:c r="J330" s="82" t="str">
        <x:v>V7.8词法声明证据</x:v>
      </x:c>
      <x:c r="K330" s="82" t="str">
        <x:v>设计审查中/未执行实测</x:v>
      </x:c>
    </x:row>
    <x:row r="331">
      <x:c r="A331" s="82" t="str">
        <x:v>M11.ScriptContext</x:v>
      </x:c>
      <x:c r="B331" s="82" t="str">
        <x:v>M11</x:v>
      </x:c>
      <x:c r="C331" s="82" t="str">
        <x:v>CxVisual.Mechanism.Logic</x:v>
      </x:c>
      <x:c r="D331" s="82" t="str">
        <x:v>ScriptContext</x:v>
      </x:c>
      <x:c r="E331" s="82" t="n">
        <x:v>0</x:v>
      </x:c>
      <x:c r="F331" s="82" t="str">
        <x:v>—</x:v>
      </x:c>
      <x:c r="G331" s="82" t="str">
        <x:v>尚未逐项裁决</x:v>
      </x:c>
      <x:c r="H331" s="82" t="str">
        <x:v>CxVisual.Mechanism.Logic</x:v>
      </x:c>
      <x:c r="I331" s="82" t="str">
        <x:v>需核原方法签名/行为、状态、依赖及实例生命周期</x:v>
      </x:c>
      <x:c r="J331" s="82" t="str">
        <x:v>V7.8词法声明证据</x:v>
      </x:c>
      <x:c r="K331" s="82" t="str">
        <x:v>设计审查中/未执行实测</x:v>
      </x:c>
    </x:row>
    <x:row r="332">
      <x:c r="A332" s="82" t="str">
        <x:v>M11.ScriptDefinition</x:v>
      </x:c>
      <x:c r="B332" s="82" t="str">
        <x:v>M11</x:v>
      </x:c>
      <x:c r="C332" s="82" t="str">
        <x:v>CxVisual.Mechanism.Logic</x:v>
      </x:c>
      <x:c r="D332" s="82" t="str">
        <x:v>ScriptDefinition</x:v>
      </x:c>
      <x:c r="E332" s="82" t="n">
        <x:v>0</x:v>
      </x:c>
      <x:c r="F332" s="82" t="str">
        <x:v>—</x:v>
      </x:c>
      <x:c r="G332" s="82" t="str">
        <x:v>尚未逐项裁决</x:v>
      </x:c>
      <x:c r="H332" s="82" t="str">
        <x:v>CxVisual.Mechanism.Logic</x:v>
      </x:c>
      <x:c r="I332" s="82" t="str">
        <x:v>需核原方法签名/行为、状态、依赖及实例生命周期</x:v>
      </x:c>
      <x:c r="J332" s="82" t="str">
        <x:v>V7.8词法声明证据</x:v>
      </x:c>
      <x:c r="K332" s="82" t="str">
        <x:v>设计审查中/未执行实测</x:v>
      </x:c>
    </x:row>
    <x:row r="333">
      <x:c r="A333" s="82" t="str">
        <x:v>M12.ActionDescriptor</x:v>
      </x:c>
      <x:c r="B333" s="82" t="str">
        <x:v>M12</x:v>
      </x:c>
      <x:c r="C333" s="82" t="str">
        <x:v>CxVisual.Mechanism.Logic</x:v>
      </x:c>
      <x:c r="D333" s="82" t="str">
        <x:v>ActionDescriptor</x:v>
      </x:c>
      <x:c r="E333" s="82" t="n">
        <x:v>0</x:v>
      </x:c>
      <x:c r="F333" s="82" t="str">
        <x:v>—</x:v>
      </x:c>
      <x:c r="G333" s="82" t="str">
        <x:v>尚未逐项裁决</x:v>
      </x:c>
      <x:c r="H333" s="82" t="str">
        <x:v>CxVisual.Mechanism.Logic</x:v>
      </x:c>
      <x:c r="I333" s="82" t="str">
        <x:v>需核原方法签名/行为、状态、依赖及实例生命周期</x:v>
      </x:c>
      <x:c r="J333" s="82" t="str">
        <x:v>V7.8词法声明证据</x:v>
      </x:c>
      <x:c r="K333" s="82" t="str">
        <x:v>设计审查中/未执行实测</x:v>
      </x:c>
    </x:row>
    <x:row r="334">
      <x:c r="A334" s="82" t="str">
        <x:v>M12.CommandDefinition</x:v>
      </x:c>
      <x:c r="B334" s="82" t="str">
        <x:v>M12</x:v>
      </x:c>
      <x:c r="C334" s="82" t="str">
        <x:v>CxVisual.Mechanism.Logic</x:v>
      </x:c>
      <x:c r="D334" s="82" t="str">
        <x:v>CommandDefinition</x:v>
      </x:c>
      <x:c r="E334" s="82" t="n">
        <x:v>0</x:v>
      </x:c>
      <x:c r="F334" s="82" t="str">
        <x:v>—</x:v>
      </x:c>
      <x:c r="G334" s="82" t="str">
        <x:v>尚未逐项裁决</x:v>
      </x:c>
      <x:c r="H334" s="82" t="str">
        <x:v>CxVisual.Mechanism.Logic</x:v>
      </x:c>
      <x:c r="I334" s="82" t="str">
        <x:v>需核原方法签名/行为、状态、依赖及实例生命周期</x:v>
      </x:c>
      <x:c r="J334" s="82" t="str">
        <x:v>V7.8词法声明证据</x:v>
      </x:c>
      <x:c r="K334" s="82" t="str">
        <x:v>设计审查中/未执行实测</x:v>
      </x:c>
    </x:row>
    <x:row r="335">
      <x:c r="A335" s="82" t="str">
        <x:v>M12.CxCommandRequest</x:v>
      </x:c>
      <x:c r="B335" s="82" t="str">
        <x:v>M12</x:v>
      </x:c>
      <x:c r="C335" s="82" t="str">
        <x:v>CxVisual.Mechanism.Logic</x:v>
      </x:c>
      <x:c r="D335" s="82" t="str">
        <x:v>CxCommandRequest</x:v>
      </x:c>
      <x:c r="E335" s="82" t="n">
        <x:v>1</x:v>
      </x:c>
      <x:c r="F335" s="82" t="str">
        <x:v>Platform/Core/CxCommandContracts.cs (class)</x:v>
      </x:c>
      <x:c r="G335" s="82" t="str">
        <x:v>尚未逐项裁决</x:v>
      </x:c>
      <x:c r="H335" s="82" t="str">
        <x:v>CxVisual.Mechanism.Logic</x:v>
      </x:c>
      <x:c r="I335" s="82" t="str">
        <x:v>需核原方法签名/行为、状态、依赖及实例生命周期</x:v>
      </x:c>
      <x:c r="J335" s="82" t="str">
        <x:v>V7.8词法声明证据</x:v>
      </x:c>
      <x:c r="K335" s="82" t="str">
        <x:v>设计审查中/未执行实测</x:v>
      </x:c>
    </x:row>
    <x:row r="336">
      <x:c r="A336" s="82" t="str">
        <x:v>M12.CxCommandResult</x:v>
      </x:c>
      <x:c r="B336" s="82" t="str">
        <x:v>M12</x:v>
      </x:c>
      <x:c r="C336" s="82" t="str">
        <x:v>CxVisual.Mechanism.Logic</x:v>
      </x:c>
      <x:c r="D336" s="82" t="str">
        <x:v>CxCommandResult</x:v>
      </x:c>
      <x:c r="E336" s="82" t="n">
        <x:v>1</x:v>
      </x:c>
      <x:c r="F336" s="82" t="str">
        <x:v>Platform/Core/CxCommandContracts.cs (class)</x:v>
      </x:c>
      <x:c r="G336" s="82" t="str">
        <x:v>尚未逐项裁决</x:v>
      </x:c>
      <x:c r="H336" s="82" t="str">
        <x:v>CxVisual.Mechanism.Logic</x:v>
      </x:c>
      <x:c r="I336" s="82" t="str">
        <x:v>需核原方法签名/行为、状态、依赖及实例生命周期</x:v>
      </x:c>
      <x:c r="J336" s="82" t="str">
        <x:v>V7.8词法声明证据</x:v>
      </x:c>
      <x:c r="K336" s="82" t="str">
        <x:v>设计审查中/未执行实测</x:v>
      </x:c>
    </x:row>
    <x:row r="337">
      <x:c r="A337" s="82" t="str">
        <x:v>M12.CxRuntimeEvent</x:v>
      </x:c>
      <x:c r="B337" s="82" t="str">
        <x:v>M12</x:v>
      </x:c>
      <x:c r="C337" s="82" t="str">
        <x:v>CxVisual.Mechanism.Logic</x:v>
      </x:c>
      <x:c r="D337" s="82" t="str">
        <x:v>CxRuntimeEvent</x:v>
      </x:c>
      <x:c r="E337" s="82" t="n">
        <x:v>1</x:v>
      </x:c>
      <x:c r="F337" s="82" t="str">
        <x:v>Platform/Orchestration/Runtime/CxRuntimeEventBus.cs (class)</x:v>
      </x:c>
      <x:c r="G337" s="82" t="str">
        <x:v>尚未逐项裁决</x:v>
      </x:c>
      <x:c r="H337" s="82" t="str">
        <x:v>CxVisual.Mechanism.Logic</x:v>
      </x:c>
      <x:c r="I337" s="82" t="str">
        <x:v>需核原方法签名/行为、状态、依赖及实例生命周期</x:v>
      </x:c>
      <x:c r="J337" s="82" t="str">
        <x:v>V7.8词法声明证据</x:v>
      </x:c>
      <x:c r="K337" s="82" t="str">
        <x:v>设计审查中/未执行实测</x:v>
      </x:c>
    </x:row>
    <x:row r="338">
      <x:c r="A338" s="82" t="str">
        <x:v>M12.EventDefinition</x:v>
      </x:c>
      <x:c r="B338" s="82" t="str">
        <x:v>M12</x:v>
      </x:c>
      <x:c r="C338" s="82" t="str">
        <x:v>CxVisual.Mechanism.Logic</x:v>
      </x:c>
      <x:c r="D338" s="82" t="str">
        <x:v>EventDefinition</x:v>
      </x:c>
      <x:c r="E338" s="82" t="n">
        <x:v>0</x:v>
      </x:c>
      <x:c r="F338" s="82" t="str">
        <x:v>—</x:v>
      </x:c>
      <x:c r="G338" s="82" t="str">
        <x:v>尚未逐项裁决</x:v>
      </x:c>
      <x:c r="H338" s="82" t="str">
        <x:v>CxVisual.Mechanism.Logic</x:v>
      </x:c>
      <x:c r="I338" s="82" t="str">
        <x:v>需核原方法签名/行为、状态、依赖及实例生命周期</x:v>
      </x:c>
      <x:c r="J338" s="82" t="str">
        <x:v>V7.8词法声明证据</x:v>
      </x:c>
      <x:c r="K338" s="82" t="str">
        <x:v>设计审查中/未执行实测</x:v>
      </x:c>
    </x:row>
    <x:row r="339">
      <x:c r="A339" s="82" t="str">
        <x:v>M12.EventSubscription</x:v>
      </x:c>
      <x:c r="B339" s="82" t="str">
        <x:v>M12</x:v>
      </x:c>
      <x:c r="C339" s="82" t="str">
        <x:v>CxVisual.Mechanism.Logic</x:v>
      </x:c>
      <x:c r="D339" s="82" t="str">
        <x:v>EventSubscription</x:v>
      </x:c>
      <x:c r="E339" s="82" t="n">
        <x:v>0</x:v>
      </x:c>
      <x:c r="F339" s="82" t="str">
        <x:v>—</x:v>
      </x:c>
      <x:c r="G339" s="82" t="str">
        <x:v>尚未逐项裁决</x:v>
      </x:c>
      <x:c r="H339" s="82" t="str">
        <x:v>CxVisual.Mechanism.Logic</x:v>
      </x:c>
      <x:c r="I339" s="82" t="str">
        <x:v>需核原方法签名/行为、状态、依赖及实例生命周期</x:v>
      </x:c>
      <x:c r="J339" s="82" t="str">
        <x:v>V7.8词法声明证据</x:v>
      </x:c>
      <x:c r="K339" s="82" t="str">
        <x:v>设计审查中/未执行实测</x:v>
      </x:c>
    </x:row>
    <x:row r="340">
      <x:c r="A340" s="82" t="str">
        <x:v>M12.StateDefinition</x:v>
      </x:c>
      <x:c r="B340" s="82" t="str">
        <x:v>M12</x:v>
      </x:c>
      <x:c r="C340" s="82" t="str">
        <x:v>CxVisual.Mechanism.Logic</x:v>
      </x:c>
      <x:c r="D340" s="82" t="str">
        <x:v>StateDefinition</x:v>
      </x:c>
      <x:c r="E340" s="82" t="n">
        <x:v>0</x:v>
      </x:c>
      <x:c r="F340" s="82" t="str">
        <x:v>—</x:v>
      </x:c>
      <x:c r="G340" s="82" t="str">
        <x:v>尚未逐项裁决</x:v>
      </x:c>
      <x:c r="H340" s="82" t="str">
        <x:v>CxVisual.Mechanism.Logic</x:v>
      </x:c>
      <x:c r="I340" s="82" t="str">
        <x:v>需核原方法签名/行为、状态、依赖及实例生命周期</x:v>
      </x:c>
      <x:c r="J340" s="82" t="str">
        <x:v>V7.8词法声明证据</x:v>
      </x:c>
      <x:c r="K340" s="82" t="str">
        <x:v>设计审查中/未执行实测</x:v>
      </x:c>
    </x:row>
    <x:row r="341">
      <x:c r="A341" s="82" t="str">
        <x:v>M13.ChannelBufferPool</x:v>
      </x:c>
      <x:c r="B341" s="82" t="str">
        <x:v>M13</x:v>
      </x:c>
      <x:c r="C341" s="82" t="str">
        <x:v>CxVisual.Mechanism.Connectivity</x:v>
      </x:c>
      <x:c r="D341" s="82" t="str">
        <x:v>ChannelBufferPool</x:v>
      </x:c>
      <x:c r="E341" s="82" t="n">
        <x:v>0</x:v>
      </x:c>
      <x:c r="F341" s="82" t="str">
        <x:v>—</x:v>
      </x:c>
      <x:c r="G341" s="82" t="str">
        <x:v>尚未逐项裁决</x:v>
      </x:c>
      <x:c r="H341" s="82" t="str">
        <x:v>CxVisual.Mechanism.Connectivity</x:v>
      </x:c>
      <x:c r="I341" s="82" t="str">
        <x:v>需核原方法签名/行为、状态、依赖及实例生命周期</x:v>
      </x:c>
      <x:c r="J341" s="82" t="str">
        <x:v>V7.8词法声明证据</x:v>
      </x:c>
      <x:c r="K341" s="82" t="str">
        <x:v>设计审查中/未执行实测</x:v>
      </x:c>
    </x:row>
    <x:row r="342">
      <x:c r="A342" s="82" t="str">
        <x:v>M13.ChannelConnectionManager</x:v>
      </x:c>
      <x:c r="B342" s="82" t="str">
        <x:v>M13</x:v>
      </x:c>
      <x:c r="C342" s="82" t="str">
        <x:v>CxVisual.Mechanism.Connectivity</x:v>
      </x:c>
      <x:c r="D342" s="82" t="str">
        <x:v>ChannelConnectionManager</x:v>
      </x:c>
      <x:c r="E342" s="82" t="n">
        <x:v>0</x:v>
      </x:c>
      <x:c r="F342" s="82" t="str">
        <x:v>—</x:v>
      </x:c>
      <x:c r="G342" s="82" t="str">
        <x:v>尚未逐项裁决</x:v>
      </x:c>
      <x:c r="H342" s="82" t="str">
        <x:v>CxVisual.Mechanism.Connectivity</x:v>
      </x:c>
      <x:c r="I342" s="82" t="str">
        <x:v>需核原方法签名/行为、状态、依赖及实例生命周期</x:v>
      </x:c>
      <x:c r="J342" s="82" t="str">
        <x:v>V7.8词法声明证据</x:v>
      </x:c>
      <x:c r="K342" s="82" t="str">
        <x:v>设计审查中/未执行实测</x:v>
      </x:c>
    </x:row>
    <x:row r="343">
      <x:c r="A343" s="82" t="str">
        <x:v>M13.ChannelDescriptor</x:v>
      </x:c>
      <x:c r="B343" s="82" t="str">
        <x:v>M13</x:v>
      </x:c>
      <x:c r="C343" s="82" t="str">
        <x:v>CxVisual.Mechanism.Connectivity</x:v>
      </x:c>
      <x:c r="D343" s="82" t="str">
        <x:v>ChannelDescriptor</x:v>
      </x:c>
      <x:c r="E343" s="82" t="n">
        <x:v>0</x:v>
      </x:c>
      <x:c r="F343" s="82" t="str">
        <x:v>—</x:v>
      </x:c>
      <x:c r="G343" s="82" t="str">
        <x:v>尚未逐项裁决</x:v>
      </x:c>
      <x:c r="H343" s="82" t="str">
        <x:v>CxVisual.Mechanism.Connectivity</x:v>
      </x:c>
      <x:c r="I343" s="82" t="str">
        <x:v>需核原方法签名/行为、状态、依赖及实例生命周期</x:v>
      </x:c>
      <x:c r="J343" s="82" t="str">
        <x:v>V7.8词法声明证据</x:v>
      </x:c>
      <x:c r="K343" s="82" t="str">
        <x:v>设计审查中/未执行实测</x:v>
      </x:c>
    </x:row>
    <x:row r="344">
      <x:c r="A344" s="82" t="str">
        <x:v>M13.ChannelHealth</x:v>
      </x:c>
      <x:c r="B344" s="82" t="str">
        <x:v>M13</x:v>
      </x:c>
      <x:c r="C344" s="82" t="str">
        <x:v>CxVisual.Mechanism.Connectivity</x:v>
      </x:c>
      <x:c r="D344" s="82" t="str">
        <x:v>ChannelHealth</x:v>
      </x:c>
      <x:c r="E344" s="82" t="n">
        <x:v>1</x:v>
      </x:c>
      <x:c r="F344" s="82" t="str">
        <x:v>Platform/Channels/Contracts/ChannelContracts.cs (class)</x:v>
      </x:c>
      <x:c r="G344" s="82" t="str">
        <x:v>尚未逐项裁决</x:v>
      </x:c>
      <x:c r="H344" s="82" t="str">
        <x:v>CxVisual.Mechanism.Connectivity</x:v>
      </x:c>
      <x:c r="I344" s="82" t="str">
        <x:v>需核原方法签名/行为、状态、依赖及实例生命周期</x:v>
      </x:c>
      <x:c r="J344" s="82" t="str">
        <x:v>V7.8词法声明证据</x:v>
      </x:c>
      <x:c r="K344" s="82" t="str">
        <x:v>设计审查中/未执行实测</x:v>
      </x:c>
    </x:row>
    <x:row r="345">
      <x:c r="A345" s="82" t="str">
        <x:v>M13.ChannelSession</x:v>
      </x:c>
      <x:c r="B345" s="82" t="str">
        <x:v>M13</x:v>
      </x:c>
      <x:c r="C345" s="82" t="str">
        <x:v>CxVisual.Mechanism.Connectivity</x:v>
      </x:c>
      <x:c r="D345" s="82" t="str">
        <x:v>ChannelSession</x:v>
      </x:c>
      <x:c r="E345" s="82" t="n">
        <x:v>0</x:v>
      </x:c>
      <x:c r="F345" s="82" t="str">
        <x:v>—</x:v>
      </x:c>
      <x:c r="G345" s="82" t="str">
        <x:v>尚未逐项裁决</x:v>
      </x:c>
      <x:c r="H345" s="82" t="str">
        <x:v>CxVisual.Mechanism.Connectivity</x:v>
      </x:c>
      <x:c r="I345" s="82" t="str">
        <x:v>需核原方法签名/行为、状态、依赖及实例生命周期</x:v>
      </x:c>
      <x:c r="J345" s="82" t="str">
        <x:v>V7.8词法声明证据</x:v>
      </x:c>
      <x:c r="K345" s="82" t="str">
        <x:v>设计审查中/未执行实测</x:v>
      </x:c>
    </x:row>
    <x:row r="346">
      <x:c r="A346" s="82" t="str">
        <x:v>M13.ChannelState</x:v>
      </x:c>
      <x:c r="B346" s="82" t="str">
        <x:v>M13</x:v>
      </x:c>
      <x:c r="C346" s="82" t="str">
        <x:v>CxVisual.Mechanism.Connectivity</x:v>
      </x:c>
      <x:c r="D346" s="82" t="str">
        <x:v>ChannelState</x:v>
      </x:c>
      <x:c r="E346" s="82" t="n">
        <x:v>0</x:v>
      </x:c>
      <x:c r="F346" s="82" t="str">
        <x:v>—</x:v>
      </x:c>
      <x:c r="G346" s="82" t="str">
        <x:v>尚未逐项裁决</x:v>
      </x:c>
      <x:c r="H346" s="82" t="str">
        <x:v>CxVisual.Mechanism.Connectivity</x:v>
      </x:c>
      <x:c r="I346" s="82" t="str">
        <x:v>需核原方法签名/行为、状态、依赖及实例生命周期</x:v>
      </x:c>
      <x:c r="J346" s="82" t="str">
        <x:v>V7.8词法声明证据</x:v>
      </x:c>
      <x:c r="K346" s="82" t="str">
        <x:v>设计审查中/未执行实测</x:v>
      </x:c>
    </x:row>
    <x:row r="347">
      <x:c r="A347" s="82" t="str">
        <x:v>M13.IChannel</x:v>
      </x:c>
      <x:c r="B347" s="82" t="str">
        <x:v>M13</x:v>
      </x:c>
      <x:c r="C347" s="82" t="str">
        <x:v>CxVisual.Mechanism.Connectivity</x:v>
      </x:c>
      <x:c r="D347" s="82" t="str">
        <x:v>IChannel</x:v>
      </x:c>
      <x:c r="E347" s="82" t="n">
        <x:v>1</x:v>
      </x:c>
      <x:c r="F347" s="82" t="str">
        <x:v>Platform/Channels/Contracts/ChannelContracts.cs (interface)</x:v>
      </x:c>
      <x:c r="G347" s="82" t="str">
        <x:v>尚未逐项裁决</x:v>
      </x:c>
      <x:c r="H347" s="82" t="str">
        <x:v>CxVisual.Mechanism.Connectivity</x:v>
      </x:c>
      <x:c r="I347" s="82" t="str">
        <x:v>需核原方法签名/行为、状态、依赖及实例生命周期</x:v>
      </x:c>
      <x:c r="J347" s="82" t="str">
        <x:v>V7.8词法声明证据</x:v>
      </x:c>
      <x:c r="K347" s="82" t="str">
        <x:v>设计审查中/未执行实测</x:v>
      </x:c>
    </x:row>
    <x:row r="348">
      <x:c r="A348" s="82" t="str">
        <x:v>M13.IChannelFactory</x:v>
      </x:c>
      <x:c r="B348" s="82" t="str">
        <x:v>M13</x:v>
      </x:c>
      <x:c r="C348" s="82" t="str">
        <x:v>CxVisual.Mechanism.Connectivity</x:v>
      </x:c>
      <x:c r="D348" s="82" t="str">
        <x:v>IChannelFactory</x:v>
      </x:c>
      <x:c r="E348" s="82" t="n">
        <x:v>1</x:v>
      </x:c>
      <x:c r="F348" s="82" t="str">
        <x:v>Platform/Channels/CxChannelFactory.cs (interface)</x:v>
      </x:c>
      <x:c r="G348" s="82" t="str">
        <x:v>尚未逐项裁决</x:v>
      </x:c>
      <x:c r="H348" s="82" t="str">
        <x:v>CxVisual.Mechanism.Connectivity</x:v>
      </x:c>
      <x:c r="I348" s="82" t="str">
        <x:v>需核原方法签名/行为、状态、依赖及实例生命周期</x:v>
      </x:c>
      <x:c r="J348" s="82" t="str">
        <x:v>V7.8词法声明证据</x:v>
      </x:c>
      <x:c r="K348" s="82" t="str">
        <x:v>设计审查中/未执行实测</x:v>
      </x:c>
    </x:row>
    <x:row r="349">
      <x:c r="A349" s="82" t="str">
        <x:v>M13.MessageEnvelope</x:v>
      </x:c>
      <x:c r="B349" s="82" t="str">
        <x:v>M13</x:v>
      </x:c>
      <x:c r="C349" s="82" t="str">
        <x:v>CxVisual.Mechanism.Connectivity</x:v>
      </x:c>
      <x:c r="D349" s="82" t="str">
        <x:v>MessageEnvelope</x:v>
      </x:c>
      <x:c r="E349" s="82" t="n">
        <x:v>0</x:v>
      </x:c>
      <x:c r="F349" s="82" t="str">
        <x:v>—</x:v>
      </x:c>
      <x:c r="G349" s="82" t="str">
        <x:v>尚未逐项裁决</x:v>
      </x:c>
      <x:c r="H349" s="82" t="str">
        <x:v>CxVisual.Mechanism.Connectivity</x:v>
      </x:c>
      <x:c r="I349" s="82" t="str">
        <x:v>需核原方法签名/行为、状态、依赖及实例生命周期</x:v>
      </x:c>
      <x:c r="J349" s="82" t="str">
        <x:v>V7.8词法声明证据</x:v>
      </x:c>
      <x:c r="K349" s="82" t="str">
        <x:v>设计审查中/未执行实测</x:v>
      </x:c>
    </x:row>
    <x:row r="350">
      <x:c r="A350" s="82" t="str">
        <x:v>M14.IFrameParser</x:v>
      </x:c>
      <x:c r="B350" s="82" t="str">
        <x:v>M14</x:v>
      </x:c>
      <x:c r="C350" s="82" t="str">
        <x:v>CxVisual.Mechanism.Connectivity</x:v>
      </x:c>
      <x:c r="D350" s="82" t="str">
        <x:v>IFrameParser</x:v>
      </x:c>
      <x:c r="E350" s="82" t="n">
        <x:v>1</x:v>
      </x:c>
      <x:c r="F350" s="82" t="str">
        <x:v>Platform/Protocols/Contracts/ProtocolFoundationContracts.cs (interface)</x:v>
      </x:c>
      <x:c r="G350" s="82" t="str">
        <x:v>尚未逐项裁决</x:v>
      </x:c>
      <x:c r="H350" s="82" t="str">
        <x:v>CxVisual.Mechanism.Connectivity</x:v>
      </x:c>
      <x:c r="I350" s="82" t="str">
        <x:v>需核原方法签名/行为、状态、依赖及实例生命周期</x:v>
      </x:c>
      <x:c r="J350" s="82" t="str">
        <x:v>V7.8词法声明证据</x:v>
      </x:c>
      <x:c r="K350" s="82" t="str">
        <x:v>设计审查中/未执行实测</x:v>
      </x:c>
    </x:row>
    <x:row r="351">
      <x:c r="A351" s="82" t="str">
        <x:v>M14.IProtocolCodec</x:v>
      </x:c>
      <x:c r="B351" s="82" t="str">
        <x:v>M14</x:v>
      </x:c>
      <x:c r="C351" s="82" t="str">
        <x:v>CxVisual.Mechanism.Connectivity</x:v>
      </x:c>
      <x:c r="D351" s="82" t="str">
        <x:v>IProtocolCodec</x:v>
      </x:c>
      <x:c r="E351" s="82" t="n">
        <x:v>1</x:v>
      </x:c>
      <x:c r="F351" s="82" t="str">
        <x:v>Platform/Protocols/Contracts/ProtocolFoundationContracts.cs (interface)</x:v>
      </x:c>
      <x:c r="G351" s="82" t="str">
        <x:v>尚未逐项裁决</x:v>
      </x:c>
      <x:c r="H351" s="82" t="str">
        <x:v>CxVisual.Mechanism.Connectivity</x:v>
      </x:c>
      <x:c r="I351" s="82" t="str">
        <x:v>需核原方法签名/行为、状态、依赖及实例生命周期</x:v>
      </x:c>
      <x:c r="J351" s="82" t="str">
        <x:v>V7.8词法声明证据</x:v>
      </x:c>
      <x:c r="K351" s="82" t="str">
        <x:v>设计审查中/未执行实测</x:v>
      </x:c>
    </x:row>
    <x:row r="352">
      <x:c r="A352" s="82" t="str">
        <x:v>M14.MessageSerializationRegistry</x:v>
      </x:c>
      <x:c r="B352" s="82" t="str">
        <x:v>M14</x:v>
      </x:c>
      <x:c r="C352" s="82" t="str">
        <x:v>CxVisual.Mechanism.Connectivity</x:v>
      </x:c>
      <x:c r="D352" s="82" t="str">
        <x:v>MessageSerializationRegistry</x:v>
      </x:c>
      <x:c r="E352" s="82" t="n">
        <x:v>0</x:v>
      </x:c>
      <x:c r="F352" s="82" t="str">
        <x:v>—</x:v>
      </x:c>
      <x:c r="G352" s="82" t="str">
        <x:v>尚未逐项裁决</x:v>
      </x:c>
      <x:c r="H352" s="82" t="str">
        <x:v>CxVisual.Mechanism.Connectivity</x:v>
      </x:c>
      <x:c r="I352" s="82" t="str">
        <x:v>需核原方法签名/行为、状态、依赖及实例生命周期</x:v>
      </x:c>
      <x:c r="J352" s="82" t="str">
        <x:v>V7.8词法声明证据</x:v>
      </x:c>
      <x:c r="K352" s="82" t="str">
        <x:v>设计审查中/未执行实测</x:v>
      </x:c>
    </x:row>
    <x:row r="353">
      <x:c r="A353" s="82" t="str">
        <x:v>M14.ProtocolCapability</x:v>
      </x:c>
      <x:c r="B353" s="82" t="str">
        <x:v>M14</x:v>
      </x:c>
      <x:c r="C353" s="82" t="str">
        <x:v>CxVisual.Mechanism.Connectivity</x:v>
      </x:c>
      <x:c r="D353" s="82" t="str">
        <x:v>ProtocolCapability</x:v>
      </x:c>
      <x:c r="E353" s="82" t="n">
        <x:v>0</x:v>
      </x:c>
      <x:c r="F353" s="82" t="str">
        <x:v>—</x:v>
      </x:c>
      <x:c r="G353" s="82" t="str">
        <x:v>尚未逐项裁决</x:v>
      </x:c>
      <x:c r="H353" s="82" t="str">
        <x:v>CxVisual.Mechanism.Connectivity</x:v>
      </x:c>
      <x:c r="I353" s="82" t="str">
        <x:v>需核原方法签名/行为、状态、依赖及实例生命周期</x:v>
      </x:c>
      <x:c r="J353" s="82" t="str">
        <x:v>V7.8词法声明证据</x:v>
      </x:c>
      <x:c r="K353" s="82" t="str">
        <x:v>设计审查中/未执行实测</x:v>
      </x:c>
    </x:row>
    <x:row r="354">
      <x:c r="A354" s="82" t="str">
        <x:v>M14.ProtocolDescriptor</x:v>
      </x:c>
      <x:c r="B354" s="82" t="str">
        <x:v>M14</x:v>
      </x:c>
      <x:c r="C354" s="82" t="str">
        <x:v>CxVisual.Mechanism.Connectivity</x:v>
      </x:c>
      <x:c r="D354" s="82" t="str">
        <x:v>ProtocolDescriptor</x:v>
      </x:c>
      <x:c r="E354" s="82" t="n">
        <x:v>0</x:v>
      </x:c>
      <x:c r="F354" s="82" t="str">
        <x:v>—</x:v>
      </x:c>
      <x:c r="G354" s="82" t="str">
        <x:v>尚未逐项裁决</x:v>
      </x:c>
      <x:c r="H354" s="82" t="str">
        <x:v>CxVisual.Mechanism.Connectivity</x:v>
      </x:c>
      <x:c r="I354" s="82" t="str">
        <x:v>需核原方法签名/行为、状态、依赖及实例生命周期</x:v>
      </x:c>
      <x:c r="J354" s="82" t="str">
        <x:v>V7.8词法声明证据</x:v>
      </x:c>
      <x:c r="K354" s="82" t="str">
        <x:v>设计审查中/未执行实测</x:v>
      </x:c>
    </x:row>
    <x:row r="355">
      <x:c r="A355" s="82" t="str">
        <x:v>M14.ProtocolEnvelope</x:v>
      </x:c>
      <x:c r="B355" s="82" t="str">
        <x:v>M14</x:v>
      </x:c>
      <x:c r="C355" s="82" t="str">
        <x:v>CxVisual.Mechanism.Connectivity</x:v>
      </x:c>
      <x:c r="D355" s="82" t="str">
        <x:v>ProtocolEnvelope</x:v>
      </x:c>
      <x:c r="E355" s="82" t="n">
        <x:v>0</x:v>
      </x:c>
      <x:c r="F355" s="82" t="str">
        <x:v>—</x:v>
      </x:c>
      <x:c r="G355" s="82" t="str">
        <x:v>尚未逐项裁决</x:v>
      </x:c>
      <x:c r="H355" s="82" t="str">
        <x:v>CxVisual.Mechanism.Connectivity</x:v>
      </x:c>
      <x:c r="I355" s="82" t="str">
        <x:v>需核原方法签名/行为、状态、依赖及实例生命周期</x:v>
      </x:c>
      <x:c r="J355" s="82" t="str">
        <x:v>V7.8词法声明证据</x:v>
      </x:c>
      <x:c r="K355" s="82" t="str">
        <x:v>设计审查中/未执行实测</x:v>
      </x:c>
    </x:row>
    <x:row r="356">
      <x:c r="A356" s="82" t="str">
        <x:v>M14.ProtocolError</x:v>
      </x:c>
      <x:c r="B356" s="82" t="str">
        <x:v>M14</x:v>
      </x:c>
      <x:c r="C356" s="82" t="str">
        <x:v>CxVisual.Mechanism.Connectivity</x:v>
      </x:c>
      <x:c r="D356" s="82" t="str">
        <x:v>ProtocolError</x:v>
      </x:c>
      <x:c r="E356" s="82" t="n">
        <x:v>1</x:v>
      </x:c>
      <x:c r="F356" s="82" t="str">
        <x:v>Platform/Protocols/Contracts/ProtocolFoundationContracts.cs (class)</x:v>
      </x:c>
      <x:c r="G356" s="82" t="str">
        <x:v>尚未逐项裁决</x:v>
      </x:c>
      <x:c r="H356" s="82" t="str">
        <x:v>CxVisual.Mechanism.Connectivity</x:v>
      </x:c>
      <x:c r="I356" s="82" t="str">
        <x:v>需核原方法签名/行为、状态、依赖及实例生命周期</x:v>
      </x:c>
      <x:c r="J356" s="82" t="str">
        <x:v>V7.8词法声明证据</x:v>
      </x:c>
      <x:c r="K356" s="82" t="str">
        <x:v>设计审查中/未执行实测</x:v>
      </x:c>
    </x:row>
    <x:row r="357">
      <x:c r="A357" s="82" t="str">
        <x:v>M14.ProtocolSession</x:v>
      </x:c>
      <x:c r="B357" s="82" t="str">
        <x:v>M14</x:v>
      </x:c>
      <x:c r="C357" s="82" t="str">
        <x:v>CxVisual.Mechanism.Connectivity</x:v>
      </x:c>
      <x:c r="D357" s="82" t="str">
        <x:v>ProtocolSession</x:v>
      </x:c>
      <x:c r="E357" s="82" t="n">
        <x:v>1</x:v>
      </x:c>
      <x:c r="F357" s="82" t="str">
        <x:v>Platform/Protocols/Contracts/ProtocolFoundationContracts.cs (class)</x:v>
      </x:c>
      <x:c r="G357" s="82" t="str">
        <x:v>尚未逐项裁决</x:v>
      </x:c>
      <x:c r="H357" s="82" t="str">
        <x:v>CxVisual.Mechanism.Connectivity</x:v>
      </x:c>
      <x:c r="I357" s="82" t="str">
        <x:v>需核原方法签名/行为、状态、依赖及实例生命周期</x:v>
      </x:c>
      <x:c r="J357" s="82" t="str">
        <x:v>V7.8词法声明证据</x:v>
      </x:c>
      <x:c r="K357" s="82" t="str">
        <x:v>设计审查中/未执行实测</x:v>
      </x:c>
    </x:row>
    <x:row r="358">
      <x:c r="A358" s="82" t="str">
        <x:v>M15.CapabilityDescriptor</x:v>
      </x:c>
      <x:c r="B358" s="82" t="str">
        <x:v>M15</x:v>
      </x:c>
      <x:c r="C358" s="82" t="str">
        <x:v>CxVisual.Mechanism.Connectivity</x:v>
      </x:c>
      <x:c r="D358" s="82" t="str">
        <x:v>CapabilityDescriptor</x:v>
      </x:c>
      <x:c r="E358" s="82" t="n">
        <x:v>1</x:v>
      </x:c>
      <x:c r="F358" s="82" t="str">
        <x:v>Platform/Core/Abstractions/PlatformContracts.cs (class)</x:v>
      </x:c>
      <x:c r="G358" s="82" t="str">
        <x:v>尚未逐项裁决</x:v>
      </x:c>
      <x:c r="H358" s="82" t="str">
        <x:v>CxVisual.Mechanism.Connectivity</x:v>
      </x:c>
      <x:c r="I358" s="82" t="str">
        <x:v>需核原方法签名/行为、状态、依赖及实例生命周期</x:v>
      </x:c>
      <x:c r="J358" s="82" t="str">
        <x:v>V7.8词法声明证据</x:v>
      </x:c>
      <x:c r="K358" s="82" t="str">
        <x:v>设计审查中/未执行实测</x:v>
      </x:c>
    </x:row>
    <x:row r="359">
      <x:c r="A359" s="82" t="str">
        <x:v>M15.DriverAdapter</x:v>
      </x:c>
      <x:c r="B359" s="82" t="str">
        <x:v>M15</x:v>
      </x:c>
      <x:c r="C359" s="82" t="str">
        <x:v>CxVisual.Mechanism.Connectivity</x:v>
      </x:c>
      <x:c r="D359" s="82" t="str">
        <x:v>DriverAdapter</x:v>
      </x:c>
      <x:c r="E359" s="82" t="n">
        <x:v>0</x:v>
      </x:c>
      <x:c r="F359" s="82" t="str">
        <x:v>—</x:v>
      </x:c>
      <x:c r="G359" s="82" t="str">
        <x:v>尚未逐项裁决</x:v>
      </x:c>
      <x:c r="H359" s="82" t="str">
        <x:v>CxVisual.Mechanism.Connectivity</x:v>
      </x:c>
      <x:c r="I359" s="82" t="str">
        <x:v>需核原方法签名/行为、状态、依赖及实例生命周期</x:v>
      </x:c>
      <x:c r="J359" s="82" t="str">
        <x:v>V7.8词法声明证据</x:v>
      </x:c>
      <x:c r="K359" s="82" t="str">
        <x:v>设计审查中/未执行实测</x:v>
      </x:c>
    </x:row>
    <x:row r="360">
      <x:c r="A360" s="82" t="str">
        <x:v>M15.IProvider</x:v>
      </x:c>
      <x:c r="B360" s="82" t="str">
        <x:v>M15</x:v>
      </x:c>
      <x:c r="C360" s="82" t="str">
        <x:v>CxVisual.Mechanism.Connectivity</x:v>
      </x:c>
      <x:c r="D360" s="82" t="str">
        <x:v>IProvider</x:v>
      </x:c>
      <x:c r="E360" s="82" t="n">
        <x:v>0</x:v>
      </x:c>
      <x:c r="F360" s="82" t="str">
        <x:v>—</x:v>
      </x:c>
      <x:c r="G360" s="82" t="str">
        <x:v>尚未逐项裁决</x:v>
      </x:c>
      <x:c r="H360" s="82" t="str">
        <x:v>CxVisual.Mechanism.Connectivity</x:v>
      </x:c>
      <x:c r="I360" s="82" t="str">
        <x:v>需核原方法签名/行为、状态、依赖及实例生命周期</x:v>
      </x:c>
      <x:c r="J360" s="82" t="str">
        <x:v>V7.8词法声明证据</x:v>
      </x:c>
      <x:c r="K360" s="82" t="str">
        <x:v>设计审查中/未执行实测</x:v>
      </x:c>
    </x:row>
    <x:row r="361">
      <x:c r="A361" s="82" t="str">
        <x:v>M15.IRuntimeAdapter</x:v>
      </x:c>
      <x:c r="B361" s="82" t="str">
        <x:v>M15</x:v>
      </x:c>
      <x:c r="C361" s="82" t="str">
        <x:v>CxVisual.Mechanism.Connectivity</x:v>
      </x:c>
      <x:c r="D361" s="82" t="str">
        <x:v>IRuntimeAdapter</x:v>
      </x:c>
      <x:c r="E361" s="82" t="n">
        <x:v>1</x:v>
      </x:c>
      <x:c r="F361" s="82" t="str">
        <x:v>Platform/Orchestration/Runtime/RuntimeAdapterContracts.cs (interface)</x:v>
      </x:c>
      <x:c r="G361" s="82" t="str">
        <x:v>尚未逐项裁决</x:v>
      </x:c>
      <x:c r="H361" s="82" t="str">
        <x:v>CxVisual.Mechanism.Connectivity</x:v>
      </x:c>
      <x:c r="I361" s="82" t="str">
        <x:v>需核原方法签名/行为、状态、依赖及实例生命周期</x:v>
      </x:c>
      <x:c r="J361" s="82" t="str">
        <x:v>V7.8词法声明证据</x:v>
      </x:c>
      <x:c r="K361" s="82" t="str">
        <x:v>设计审查中/未执行实测</x:v>
      </x:c>
    </x:row>
    <x:row r="362">
      <x:c r="A362" s="82" t="str">
        <x:v>M15.IWorker</x:v>
      </x:c>
      <x:c r="B362" s="82" t="str">
        <x:v>M15</x:v>
      </x:c>
      <x:c r="C362" s="82" t="str">
        <x:v>CxVisual.Mechanism.Connectivity</x:v>
      </x:c>
      <x:c r="D362" s="82" t="str">
        <x:v>IWorker</x:v>
      </x:c>
      <x:c r="E362" s="82" t="n">
        <x:v>0</x:v>
      </x:c>
      <x:c r="F362" s="82" t="str">
        <x:v>—</x:v>
      </x:c>
      <x:c r="G362" s="82" t="str">
        <x:v>尚未逐项裁决</x:v>
      </x:c>
      <x:c r="H362" s="82" t="str">
        <x:v>CxVisual.Mechanism.Connectivity</x:v>
      </x:c>
      <x:c r="I362" s="82" t="str">
        <x:v>需核原方法签名/行为、状态、依赖及实例生命周期</x:v>
      </x:c>
      <x:c r="J362" s="82" t="str">
        <x:v>V7.8词法声明证据</x:v>
      </x:c>
      <x:c r="K362" s="82" t="str">
        <x:v>设计审查中/未执行实测</x:v>
      </x:c>
    </x:row>
    <x:row r="363">
      <x:c r="A363" s="82" t="str">
        <x:v>M15.ProviderDescriptor</x:v>
      </x:c>
      <x:c r="B363" s="82" t="str">
        <x:v>M15</x:v>
      </x:c>
      <x:c r="C363" s="82" t="str">
        <x:v>CxVisual.Mechanism.Connectivity</x:v>
      </x:c>
      <x:c r="D363" s="82" t="str">
        <x:v>ProviderDescriptor</x:v>
      </x:c>
      <x:c r="E363" s="82" t="n">
        <x:v>0</x:v>
      </x:c>
      <x:c r="F363" s="82" t="str">
        <x:v>—</x:v>
      </x:c>
      <x:c r="G363" s="82" t="str">
        <x:v>尚未逐项裁决</x:v>
      </x:c>
      <x:c r="H363" s="82" t="str">
        <x:v>CxVisual.Mechanism.Connectivity</x:v>
      </x:c>
      <x:c r="I363" s="82" t="str">
        <x:v>需核原方法签名/行为、状态、依赖及实例生命周期</x:v>
      </x:c>
      <x:c r="J363" s="82" t="str">
        <x:v>V7.8词法声明证据</x:v>
      </x:c>
      <x:c r="K363" s="82" t="str">
        <x:v>设计审查中/未执行实测</x:v>
      </x:c>
    </x:row>
    <x:row r="364">
      <x:c r="A364" s="82" t="str">
        <x:v>M15.WorkerDescriptor</x:v>
      </x:c>
      <x:c r="B364" s="82" t="str">
        <x:v>M15</x:v>
      </x:c>
      <x:c r="C364" s="82" t="str">
        <x:v>CxVisual.Mechanism.Connectivity</x:v>
      </x:c>
      <x:c r="D364" s="82" t="str">
        <x:v>WorkerDescriptor</x:v>
      </x:c>
      <x:c r="E364" s="82" t="n">
        <x:v>0</x:v>
      </x:c>
      <x:c r="F364" s="82" t="str">
        <x:v>—</x:v>
      </x:c>
      <x:c r="G364" s="82" t="str">
        <x:v>尚未逐项裁决</x:v>
      </x:c>
      <x:c r="H364" s="82" t="str">
        <x:v>CxVisual.Mechanism.Connectivity</x:v>
      </x:c>
      <x:c r="I364" s="82" t="str">
        <x:v>需核原方法签名/行为、状态、依赖及实例生命周期</x:v>
      </x:c>
      <x:c r="J364" s="82" t="str">
        <x:v>V7.8词法声明证据</x:v>
      </x:c>
      <x:c r="K364" s="82" t="str">
        <x:v>设计审查中/未执行实测</x:v>
      </x:c>
    </x:row>
    <x:row r="365">
      <x:c r="A365" s="82" t="str">
        <x:v>M16.CanvasHost</x:v>
      </x:c>
      <x:c r="B365" s="82" t="str">
        <x:v>M16</x:v>
      </x:c>
      <x:c r="C365" s="82" t="str">
        <x:v>CxVisual.Mechanism.Visual</x:v>
      </x:c>
      <x:c r="D365" s="82" t="str">
        <x:v>CanvasHost</x:v>
      </x:c>
      <x:c r="E365" s="82" t="n">
        <x:v>0</x:v>
      </x:c>
      <x:c r="F365" s="82" t="str">
        <x:v>—</x:v>
      </x:c>
      <x:c r="G365" s="82" t="str">
        <x:v>尚未逐项裁决</x:v>
      </x:c>
      <x:c r="H365" s="82" t="str">
        <x:v>CxVisual.Mechanism.Visual</x:v>
      </x:c>
      <x:c r="I365" s="82" t="str">
        <x:v>需核原方法签名/行为、状态、依赖及实例生命周期</x:v>
      </x:c>
      <x:c r="J365" s="82" t="str">
        <x:v>V7.8词法声明证据</x:v>
      </x:c>
      <x:c r="K365" s="82" t="str">
        <x:v>设计审查中/未执行实测</x:v>
      </x:c>
    </x:row>
    <x:row r="366">
      <x:c r="A366" s="82" t="str">
        <x:v>M16.CoordinateTransform</x:v>
      </x:c>
      <x:c r="B366" s="82" t="str">
        <x:v>M16</x:v>
      </x:c>
      <x:c r="C366" s="82" t="str">
        <x:v>CxVisual.Mechanism.Visual</x:v>
      </x:c>
      <x:c r="D366" s="82" t="str">
        <x:v>CoordinateTransform</x:v>
      </x:c>
      <x:c r="E366" s="82" t="n">
        <x:v>0</x:v>
      </x:c>
      <x:c r="F366" s="82" t="str">
        <x:v>—</x:v>
      </x:c>
      <x:c r="G366" s="82" t="str">
        <x:v>尚未逐项裁决</x:v>
      </x:c>
      <x:c r="H366" s="82" t="str">
        <x:v>CxVisual.Mechanism.Visual</x:v>
      </x:c>
      <x:c r="I366" s="82" t="str">
        <x:v>需核原方法签名/行为、状态、依赖及实例生命周期</x:v>
      </x:c>
      <x:c r="J366" s="82" t="str">
        <x:v>V7.8词法声明证据</x:v>
      </x:c>
      <x:c r="K366" s="82" t="str">
        <x:v>设计审查中/未执行实测</x:v>
      </x:c>
    </x:row>
    <x:row r="367">
      <x:c r="A367" s="82" t="str">
        <x:v>M16.GeometryModel</x:v>
      </x:c>
      <x:c r="B367" s="82" t="str">
        <x:v>M16</x:v>
      </x:c>
      <x:c r="C367" s="82" t="str">
        <x:v>CxVisual.Mechanism.Visual</x:v>
      </x:c>
      <x:c r="D367" s="82" t="str">
        <x:v>GeometryModel</x:v>
      </x:c>
      <x:c r="E367" s="82" t="n">
        <x:v>0</x:v>
      </x:c>
      <x:c r="F367" s="82" t="str">
        <x:v>—</x:v>
      </x:c>
      <x:c r="G367" s="82" t="str">
        <x:v>尚未逐项裁决</x:v>
      </x:c>
      <x:c r="H367" s="82" t="str">
        <x:v>CxVisual.Mechanism.Visual</x:v>
      </x:c>
      <x:c r="I367" s="82" t="str">
        <x:v>需核原方法签名/行为、状态、依赖及实例生命周期</x:v>
      </x:c>
      <x:c r="J367" s="82" t="str">
        <x:v>V7.8词法声明证据</x:v>
      </x:c>
      <x:c r="K367" s="82" t="str">
        <x:v>设计审查中/未执行实测</x:v>
      </x:c>
    </x:row>
    <x:row r="368">
      <x:c r="A368" s="82" t="str">
        <x:v>M16.HitTestService</x:v>
      </x:c>
      <x:c r="B368" s="82" t="str">
        <x:v>M16</x:v>
      </x:c>
      <x:c r="C368" s="82" t="str">
        <x:v>CxVisual.Mechanism.Visual</x:v>
      </x:c>
      <x:c r="D368" s="82" t="str">
        <x:v>HitTestService</x:v>
      </x:c>
      <x:c r="E368" s="82" t="n">
        <x:v>0</x:v>
      </x:c>
      <x:c r="F368" s="82" t="str">
        <x:v>—</x:v>
      </x:c>
      <x:c r="G368" s="82" t="str">
        <x:v>尚未逐项裁决</x:v>
      </x:c>
      <x:c r="H368" s="82" t="str">
        <x:v>CxVisual.Mechanism.Visual</x:v>
      </x:c>
      <x:c r="I368" s="82" t="str">
        <x:v>需核原方法签名/行为、状态、依赖及实例生命周期</x:v>
      </x:c>
      <x:c r="J368" s="82" t="str">
        <x:v>V7.8词法声明证据</x:v>
      </x:c>
      <x:c r="K368" s="82" t="str">
        <x:v>设计审查中/未执行实测</x:v>
      </x:c>
    </x:row>
    <x:row r="369">
      <x:c r="A369" s="82" t="str">
        <x:v>M16.LayerManager</x:v>
      </x:c>
      <x:c r="B369" s="82" t="str">
        <x:v>M16</x:v>
      </x:c>
      <x:c r="C369" s="82" t="str">
        <x:v>CxVisual.Mechanism.Visual</x:v>
      </x:c>
      <x:c r="D369" s="82" t="str">
        <x:v>LayerManager</x:v>
      </x:c>
      <x:c r="E369" s="82" t="n">
        <x:v>0</x:v>
      </x:c>
      <x:c r="F369" s="82" t="str">
        <x:v>—</x:v>
      </x:c>
      <x:c r="G369" s="82" t="str">
        <x:v>尚未逐项裁决</x:v>
      </x:c>
      <x:c r="H369" s="82" t="str">
        <x:v>CxVisual.Mechanism.Visual</x:v>
      </x:c>
      <x:c r="I369" s="82" t="str">
        <x:v>需核原方法签名/行为、状态、依赖及实例生命周期</x:v>
      </x:c>
      <x:c r="J369" s="82" t="str">
        <x:v>V7.8词法声明证据</x:v>
      </x:c>
      <x:c r="K369" s="82" t="str">
        <x:v>设计审查中/未执行实测</x:v>
      </x:c>
    </x:row>
    <x:row r="370">
      <x:c r="A370" s="82" t="str">
        <x:v>M16.OverlayDefinition</x:v>
      </x:c>
      <x:c r="B370" s="82" t="str">
        <x:v>M16</x:v>
      </x:c>
      <x:c r="C370" s="82" t="str">
        <x:v>CxVisual.Mechanism.Visual</x:v>
      </x:c>
      <x:c r="D370" s="82" t="str">
        <x:v>OverlayDefinition</x:v>
      </x:c>
      <x:c r="E370" s="82" t="n">
        <x:v>0</x:v>
      </x:c>
      <x:c r="F370" s="82" t="str">
        <x:v>—</x:v>
      </x:c>
      <x:c r="G370" s="82" t="str">
        <x:v>尚未逐项裁决</x:v>
      </x:c>
      <x:c r="H370" s="82" t="str">
        <x:v>CxVisual.Mechanism.Visual</x:v>
      </x:c>
      <x:c r="I370" s="82" t="str">
        <x:v>需核原方法签名/行为、状态、依赖及实例生命周期</x:v>
      </x:c>
      <x:c r="J370" s="82" t="str">
        <x:v>V7.8词法声明证据</x:v>
      </x:c>
      <x:c r="K370" s="82" t="str">
        <x:v>设计审查中/未执行实测</x:v>
      </x:c>
    </x:row>
    <x:row r="371">
      <x:c r="A371" s="82" t="str">
        <x:v>M16.SelectionService</x:v>
      </x:c>
      <x:c r="B371" s="82" t="str">
        <x:v>M16</x:v>
      </x:c>
      <x:c r="C371" s="82" t="str">
        <x:v>CxVisual.Mechanism.Visual</x:v>
      </x:c>
      <x:c r="D371" s="82" t="str">
        <x:v>SelectionService</x:v>
      </x:c>
      <x:c r="E371" s="82" t="n">
        <x:v>1</x:v>
      </x:c>
      <x:c r="F371" s="82" t="str">
        <x:v>Host/Studio/Application/DesignerServices.cs (class)</x:v>
      </x:c>
      <x:c r="G371" s="82" t="str">
        <x:v>尚未逐项裁决</x:v>
      </x:c>
      <x:c r="H371" s="82" t="str">
        <x:v>CxVisual.Mechanism.Visual</x:v>
      </x:c>
      <x:c r="I371" s="82" t="str">
        <x:v>需核原方法签名/行为、状态、依赖及实例生命周期</x:v>
      </x:c>
      <x:c r="J371" s="82" t="str">
        <x:v>V7.8词法声明证据</x:v>
      </x:c>
      <x:c r="K371" s="82" t="str">
        <x:v>设计审查中/未执行实测</x:v>
      </x:c>
    </x:row>
    <x:row r="372">
      <x:c r="A372" s="82" t="str">
        <x:v>M16.StyleDescriptor</x:v>
      </x:c>
      <x:c r="B372" s="82" t="str">
        <x:v>M16</x:v>
      </x:c>
      <x:c r="C372" s="82" t="str">
        <x:v>CxVisual.Mechanism.Visual</x:v>
      </x:c>
      <x:c r="D372" s="82" t="str">
        <x:v>StyleDescriptor</x:v>
      </x:c>
      <x:c r="E372" s="82" t="n">
        <x:v>0</x:v>
      </x:c>
      <x:c r="F372" s="82" t="str">
        <x:v>—</x:v>
      </x:c>
      <x:c r="G372" s="82" t="str">
        <x:v>尚未逐项裁决</x:v>
      </x:c>
      <x:c r="H372" s="82" t="str">
        <x:v>CxVisual.Mechanism.Visual</x:v>
      </x:c>
      <x:c r="I372" s="82" t="str">
        <x:v>需核原方法签名/行为、状态、依赖及实例生命周期</x:v>
      </x:c>
      <x:c r="J372" s="82" t="str">
        <x:v>V7.8词法声明证据</x:v>
      </x:c>
      <x:c r="K372" s="82" t="str">
        <x:v>设计审查中/未执行实测</x:v>
      </x:c>
    </x:row>
    <x:row r="373">
      <x:c r="A373" s="82" t="str">
        <x:v>M16.ViewTransform</x:v>
      </x:c>
      <x:c r="B373" s="82" t="str">
        <x:v>M16</x:v>
      </x:c>
      <x:c r="C373" s="82" t="str">
        <x:v>CxVisual.Mechanism.Visual</x:v>
      </x:c>
      <x:c r="D373" s="82" t="str">
        <x:v>ViewTransform</x:v>
      </x:c>
      <x:c r="E373" s="82" t="n">
        <x:v>0</x:v>
      </x:c>
      <x:c r="F373" s="82" t="str">
        <x:v>—</x:v>
      </x:c>
      <x:c r="G373" s="82" t="str">
        <x:v>尚未逐项裁决</x:v>
      </x:c>
      <x:c r="H373" s="82" t="str">
        <x:v>CxVisual.Mechanism.Visual</x:v>
      </x:c>
      <x:c r="I373" s="82" t="str">
        <x:v>需核原方法签名/行为、状态、依赖及实例生命周期</x:v>
      </x:c>
      <x:c r="J373" s="82" t="str">
        <x:v>V7.8词法声明证据</x:v>
      </x:c>
      <x:c r="K373" s="82" t="str">
        <x:v>设计审查中/未执行实测</x:v>
      </x:c>
    </x:row>
    <x:row r="374">
      <x:c r="A374" s="82" t="str">
        <x:v>M17.GraphCanvas</x:v>
      </x:c>
      <x:c r="B374" s="82" t="str">
        <x:v>M17</x:v>
      </x:c>
      <x:c r="C374" s="82" t="str">
        <x:v>CxVisual.Mechanism.Visual</x:v>
      </x:c>
      <x:c r="D374" s="82" t="str">
        <x:v>GraphCanvas</x:v>
      </x:c>
      <x:c r="E374" s="82" t="n">
        <x:v>0</x:v>
      </x:c>
      <x:c r="F374" s="82" t="str">
        <x:v>—</x:v>
      </x:c>
      <x:c r="G374" s="82" t="str">
        <x:v>尚未逐项裁决</x:v>
      </x:c>
      <x:c r="H374" s="82" t="str">
        <x:v>CxVisual.Mechanism.Visual</x:v>
      </x:c>
      <x:c r="I374" s="82" t="str">
        <x:v>需核原方法签名/行为、状态、依赖及实例生命周期</x:v>
      </x:c>
      <x:c r="J374" s="82" t="str">
        <x:v>V7.8词法声明证据</x:v>
      </x:c>
      <x:c r="K374" s="82" t="str">
        <x:v>设计审查中/未执行实测</x:v>
      </x:c>
    </x:row>
    <x:row r="375">
      <x:c r="A375" s="82" t="str">
        <x:v>M17.GraphEdgePresenter</x:v>
      </x:c>
      <x:c r="B375" s="82" t="str">
        <x:v>M17</x:v>
      </x:c>
      <x:c r="C375" s="82" t="str">
        <x:v>CxVisual.Mechanism.Visual</x:v>
      </x:c>
      <x:c r="D375" s="82" t="str">
        <x:v>GraphEdgePresenter</x:v>
      </x:c>
      <x:c r="E375" s="82" t="n">
        <x:v>0</x:v>
      </x:c>
      <x:c r="F375" s="82" t="str">
        <x:v>—</x:v>
      </x:c>
      <x:c r="G375" s="82" t="str">
        <x:v>尚未逐项裁决</x:v>
      </x:c>
      <x:c r="H375" s="82" t="str">
        <x:v>CxVisual.Mechanism.Visual</x:v>
      </x:c>
      <x:c r="I375" s="82" t="str">
        <x:v>需核原方法签名/行为、状态、依赖及实例生命周期</x:v>
      </x:c>
      <x:c r="J375" s="82" t="str">
        <x:v>V7.8词法声明证据</x:v>
      </x:c>
      <x:c r="K375" s="82" t="str">
        <x:v>设计审查中/未执行实测</x:v>
      </x:c>
    </x:row>
    <x:row r="376">
      <x:c r="A376" s="82" t="str">
        <x:v>M17.GraphNavigator</x:v>
      </x:c>
      <x:c r="B376" s="82" t="str">
        <x:v>M17</x:v>
      </x:c>
      <x:c r="C376" s="82" t="str">
        <x:v>CxVisual.Mechanism.Visual</x:v>
      </x:c>
      <x:c r="D376" s="82" t="str">
        <x:v>GraphNavigator</x:v>
      </x:c>
      <x:c r="E376" s="82" t="n">
        <x:v>0</x:v>
      </x:c>
      <x:c r="F376" s="82" t="str">
        <x:v>—</x:v>
      </x:c>
      <x:c r="G376" s="82" t="str">
        <x:v>尚未逐项裁决</x:v>
      </x:c>
      <x:c r="H376" s="82" t="str">
        <x:v>CxVisual.Mechanism.Visual</x:v>
      </x:c>
      <x:c r="I376" s="82" t="str">
        <x:v>需核原方法签名/行为、状态、依赖及实例生命周期</x:v>
      </x:c>
      <x:c r="J376" s="82" t="str">
        <x:v>V7.8词法声明证据</x:v>
      </x:c>
      <x:c r="K376" s="82" t="str">
        <x:v>设计审查中/未执行实测</x:v>
      </x:c>
    </x:row>
    <x:row r="377">
      <x:c r="A377" s="82" t="str">
        <x:v>M17.GraphNodePresenter</x:v>
      </x:c>
      <x:c r="B377" s="82" t="str">
        <x:v>M17</x:v>
      </x:c>
      <x:c r="C377" s="82" t="str">
        <x:v>CxVisual.Mechanism.Visual</x:v>
      </x:c>
      <x:c r="D377" s="82" t="str">
        <x:v>GraphNodePresenter</x:v>
      </x:c>
      <x:c r="E377" s="82" t="n">
        <x:v>0</x:v>
      </x:c>
      <x:c r="F377" s="82" t="str">
        <x:v>—</x:v>
      </x:c>
      <x:c r="G377" s="82" t="str">
        <x:v>尚未逐项裁决</x:v>
      </x:c>
      <x:c r="H377" s="82" t="str">
        <x:v>CxVisual.Mechanism.Visual</x:v>
      </x:c>
      <x:c r="I377" s="82" t="str">
        <x:v>需核原方法签名/行为、状态、依赖及实例生命周期</x:v>
      </x:c>
      <x:c r="J377" s="82" t="str">
        <x:v>V7.8词法声明证据</x:v>
      </x:c>
      <x:c r="K377" s="82" t="str">
        <x:v>设计审查中/未执行实测</x:v>
      </x:c>
    </x:row>
    <x:row r="378">
      <x:c r="A378" s="82" t="str">
        <x:v>M17.GraphPortPresenter</x:v>
      </x:c>
      <x:c r="B378" s="82" t="str">
        <x:v>M17</x:v>
      </x:c>
      <x:c r="C378" s="82" t="str">
        <x:v>CxVisual.Mechanism.Visual</x:v>
      </x:c>
      <x:c r="D378" s="82" t="str">
        <x:v>GraphPortPresenter</x:v>
      </x:c>
      <x:c r="E378" s="82" t="n">
        <x:v>0</x:v>
      </x:c>
      <x:c r="F378" s="82" t="str">
        <x:v>—</x:v>
      </x:c>
      <x:c r="G378" s="82" t="str">
        <x:v>尚未逐项裁决</x:v>
      </x:c>
      <x:c r="H378" s="82" t="str">
        <x:v>CxVisual.Mechanism.Visual</x:v>
      </x:c>
      <x:c r="I378" s="82" t="str">
        <x:v>需核原方法签名/行为、状态、依赖及实例生命周期</x:v>
      </x:c>
      <x:c r="J378" s="82" t="str">
        <x:v>V7.8词法声明证据</x:v>
      </x:c>
      <x:c r="K378" s="82" t="str">
        <x:v>设计审查中/未执行实测</x:v>
      </x:c>
    </x:row>
    <x:row r="379">
      <x:c r="A379" s="82" t="str">
        <x:v>M17.IEdgeRouter</x:v>
      </x:c>
      <x:c r="B379" s="82" t="str">
        <x:v>M17</x:v>
      </x:c>
      <x:c r="C379" s="82" t="str">
        <x:v>CxVisual.Mechanism.Visual</x:v>
      </x:c>
      <x:c r="D379" s="82" t="str">
        <x:v>IEdgeRouter</x:v>
      </x:c>
      <x:c r="E379" s="82" t="n">
        <x:v>0</x:v>
      </x:c>
      <x:c r="F379" s="82" t="str">
        <x:v>—</x:v>
      </x:c>
      <x:c r="G379" s="82" t="str">
        <x:v>尚未逐项裁决</x:v>
      </x:c>
      <x:c r="H379" s="82" t="str">
        <x:v>CxVisual.Mechanism.Visual</x:v>
      </x:c>
      <x:c r="I379" s="82" t="str">
        <x:v>需核原方法签名/行为、状态、依赖及实例生命周期</x:v>
      </x:c>
      <x:c r="J379" s="82" t="str">
        <x:v>V7.8词法声明证据</x:v>
      </x:c>
      <x:c r="K379" s="82" t="str">
        <x:v>设计审查中/未执行实测</x:v>
      </x:c>
    </x:row>
    <x:row r="380">
      <x:c r="A380" s="82" t="str">
        <x:v>M17.IGraphLayout</x:v>
      </x:c>
      <x:c r="B380" s="82" t="str">
        <x:v>M17</x:v>
      </x:c>
      <x:c r="C380" s="82" t="str">
        <x:v>CxVisual.Mechanism.Visual</x:v>
      </x:c>
      <x:c r="D380" s="82" t="str">
        <x:v>IGraphLayout</x:v>
      </x:c>
      <x:c r="E380" s="82" t="n">
        <x:v>0</x:v>
      </x:c>
      <x:c r="F380" s="82" t="str">
        <x:v>—</x:v>
      </x:c>
      <x:c r="G380" s="82" t="str">
        <x:v>尚未逐项裁决</x:v>
      </x:c>
      <x:c r="H380" s="82" t="str">
        <x:v>CxVisual.Mechanism.Visual</x:v>
      </x:c>
      <x:c r="I380" s="82" t="str">
        <x:v>需核原方法签名/行为、状态、依赖及实例生命周期</x:v>
      </x:c>
      <x:c r="J380" s="82" t="str">
        <x:v>V7.8词法声明证据</x:v>
      </x:c>
      <x:c r="K380" s="82" t="str">
        <x:v>设计审查中/未执行实测</x:v>
      </x:c>
    </x:row>
    <x:row r="381">
      <x:c r="A381" s="82" t="str">
        <x:v>M17.VisibilityProfile</x:v>
      </x:c>
      <x:c r="B381" s="82" t="str">
        <x:v>M17</x:v>
      </x:c>
      <x:c r="C381" s="82" t="str">
        <x:v>CxVisual.Mechanism.Visual</x:v>
      </x:c>
      <x:c r="D381" s="82" t="str">
        <x:v>VisibilityProfile</x:v>
      </x:c>
      <x:c r="E381" s="82" t="n">
        <x:v>0</x:v>
      </x:c>
      <x:c r="F381" s="82" t="str">
        <x:v>—</x:v>
      </x:c>
      <x:c r="G381" s="82" t="str">
        <x:v>尚未逐项裁决</x:v>
      </x:c>
      <x:c r="H381" s="82" t="str">
        <x:v>CxVisual.Mechanism.Visual</x:v>
      </x:c>
      <x:c r="I381" s="82" t="str">
        <x:v>需核原方法签名/行为、状态、依赖及实例生命周期</x:v>
      </x:c>
      <x:c r="J381" s="82" t="str">
        <x:v>V7.8词法声明证据</x:v>
      </x:c>
      <x:c r="K381" s="82" t="str">
        <x:v>设计审查中/未执行实测</x:v>
      </x:c>
    </x:row>
    <x:row r="382">
      <x:c r="A382" s="82" t="str">
        <x:v>M18.FlowTopologyProjection</x:v>
      </x:c>
      <x:c r="B382" s="82" t="str">
        <x:v>M18</x:v>
      </x:c>
      <x:c r="C382" s="82" t="str">
        <x:v>CxVisual.Mechanism.Orchestration</x:v>
      </x:c>
      <x:c r="D382" s="82" t="str">
        <x:v>FlowTopologyProjection</x:v>
      </x:c>
      <x:c r="E382" s="82" t="n">
        <x:v>0</x:v>
      </x:c>
      <x:c r="F382" s="82" t="str">
        <x:v>—</x:v>
      </x:c>
      <x:c r="G382" s="82" t="str">
        <x:v>尚未逐项裁决</x:v>
      </x:c>
      <x:c r="H382" s="82" t="str">
        <x:v>CxVisual.Mechanism.Orchestration</x:v>
      </x:c>
      <x:c r="I382" s="82" t="str">
        <x:v>需核原方法签名/行为、状态、依赖及实例生命周期</x:v>
      </x:c>
      <x:c r="J382" s="82" t="str">
        <x:v>V7.8词法声明证据</x:v>
      </x:c>
      <x:c r="K382" s="82" t="str">
        <x:v>设计审查中/未执行实测</x:v>
      </x:c>
    </x:row>
    <x:row r="383">
      <x:c r="A383" s="82" t="str">
        <x:v>M18.DiagramConnectionProjection</x:v>
      </x:c>
      <x:c r="B383" s="82" t="str">
        <x:v>M18</x:v>
      </x:c>
      <x:c r="C383" s="82" t="str">
        <x:v>CxVisual.Mechanism.Orchestration</x:v>
      </x:c>
      <x:c r="D383" s="82" t="str">
        <x:v>DiagramConnectionProjection</x:v>
      </x:c>
      <x:c r="E383" s="82" t="n">
        <x:v>0</x:v>
      </x:c>
      <x:c r="F383" s="82" t="str">
        <x:v>—</x:v>
      </x:c>
      <x:c r="G383" s="82" t="str">
        <x:v>尚未逐项裁决</x:v>
      </x:c>
      <x:c r="H383" s="82" t="str">
        <x:v>CxVisual.Mechanism.Orchestration</x:v>
      </x:c>
      <x:c r="I383" s="82" t="str">
        <x:v>需核原方法签名/行为、状态、依赖及实例生命周期</x:v>
      </x:c>
      <x:c r="J383" s="82" t="str">
        <x:v>V7.8词法声明证据</x:v>
      </x:c>
      <x:c r="K383" s="82" t="str">
        <x:v>设计审查中/未执行实测</x:v>
      </x:c>
    </x:row>
    <x:row r="384">
      <x:c r="A384" s="82" t="str">
        <x:v>M18.DiagramNodeProjection</x:v>
      </x:c>
      <x:c r="B384" s="82" t="str">
        <x:v>M18</x:v>
      </x:c>
      <x:c r="C384" s="82" t="str">
        <x:v>CxVisual.Mechanism.Orchestration</x:v>
      </x:c>
      <x:c r="D384" s="82" t="str">
        <x:v>DiagramNodeProjection</x:v>
      </x:c>
      <x:c r="E384" s="82" t="n">
        <x:v>0</x:v>
      </x:c>
      <x:c r="F384" s="82" t="str">
        <x:v>—</x:v>
      </x:c>
      <x:c r="G384" s="82" t="str">
        <x:v>尚未逐项裁决</x:v>
      </x:c>
      <x:c r="H384" s="82" t="str">
        <x:v>CxVisual.Mechanism.Orchestration</x:v>
      </x:c>
      <x:c r="I384" s="82" t="str">
        <x:v>需核原方法签名/行为、状态、依赖及实例生命周期</x:v>
      </x:c>
      <x:c r="J384" s="82" t="str">
        <x:v>V7.8词法声明证据</x:v>
      </x:c>
      <x:c r="K384" s="82" t="str">
        <x:v>设计审查中/未执行实测</x:v>
      </x:c>
    </x:row>
    <x:row r="385">
      <x:c r="A385" s="82" t="str">
        <x:v>M18.DiagramPortProjection</x:v>
      </x:c>
      <x:c r="B385" s="82" t="str">
        <x:v>M18</x:v>
      </x:c>
      <x:c r="C385" s="82" t="str">
        <x:v>CxVisual.Mechanism.Orchestration</x:v>
      </x:c>
      <x:c r="D385" s="82" t="str">
        <x:v>DiagramPortProjection</x:v>
      </x:c>
      <x:c r="E385" s="82" t="n">
        <x:v>0</x:v>
      </x:c>
      <x:c r="F385" s="82" t="str">
        <x:v>—</x:v>
      </x:c>
      <x:c r="G385" s="82" t="str">
        <x:v>尚未逐项裁决</x:v>
      </x:c>
      <x:c r="H385" s="82" t="str">
        <x:v>CxVisual.Mechanism.Orchestration</x:v>
      </x:c>
      <x:c r="I385" s="82" t="str">
        <x:v>需核原方法签名/行为、状态、依赖及实例生命周期</x:v>
      </x:c>
      <x:c r="J385" s="82" t="str">
        <x:v>V7.8词法声明证据</x:v>
      </x:c>
      <x:c r="K385" s="82" t="str">
        <x:v>设计审查中/未执行实测</x:v>
      </x:c>
    </x:row>
    <x:row r="386">
      <x:c r="A386" s="82" t="str">
        <x:v>M18.IOperationDescriptorFactory</x:v>
      </x:c>
      <x:c r="B386" s="82" t="str">
        <x:v>M18</x:v>
      </x:c>
      <x:c r="C386" s="82" t="str">
        <x:v>CxVisual.Mechanism.Orchestration</x:v>
      </x:c>
      <x:c r="D386" s="82" t="str">
        <x:v>IOperationDescriptorFactory</x:v>
      </x:c>
      <x:c r="E386" s="82" t="n">
        <x:v>0</x:v>
      </x:c>
      <x:c r="F386" s="82" t="str">
        <x:v>—</x:v>
      </x:c>
      <x:c r="G386" s="82" t="str">
        <x:v>尚未逐项裁决</x:v>
      </x:c>
      <x:c r="H386" s="82" t="str">
        <x:v>CxVisual.Mechanism.Orchestration</x:v>
      </x:c>
      <x:c r="I386" s="82" t="str">
        <x:v>需核原方法签名/行为、状态、依赖及实例生命周期</x:v>
      </x:c>
      <x:c r="J386" s="82" t="str">
        <x:v>V7.8词法声明证据</x:v>
      </x:c>
      <x:c r="K386" s="82" t="str">
        <x:v>设计审查中/未执行实测</x:v>
      </x:c>
    </x:row>
    <x:row r="387">
      <x:c r="A387" s="82" t="str">
        <x:v>M18.OperationNodeDescriptor</x:v>
      </x:c>
      <x:c r="B387" s="82" t="str">
        <x:v>M18</x:v>
      </x:c>
      <x:c r="C387" s="82" t="str">
        <x:v>CxVisual.Mechanism.Orchestration</x:v>
      </x:c>
      <x:c r="D387" s="82" t="str">
        <x:v>OperationNodeDescriptor</x:v>
      </x:c>
      <x:c r="E387" s="82" t="n">
        <x:v>0</x:v>
      </x:c>
      <x:c r="F387" s="82" t="str">
        <x:v>—</x:v>
      </x:c>
      <x:c r="G387" s="82" t="str">
        <x:v>尚未逐项裁决</x:v>
      </x:c>
      <x:c r="H387" s="82" t="str">
        <x:v>CxVisual.Mechanism.Orchestration</x:v>
      </x:c>
      <x:c r="I387" s="82" t="str">
        <x:v>需核原方法签名/行为、状态、依赖及实例生命周期</x:v>
      </x:c>
      <x:c r="J387" s="82" t="str">
        <x:v>V7.8词法声明证据</x:v>
      </x:c>
      <x:c r="K387" s="82" t="str">
        <x:v>设计审查中/未执行实测</x:v>
      </x:c>
    </x:row>
    <x:row r="388">
      <x:c r="A388" s="82" t="str">
        <x:v>M18.ContentInvocationTopology</x:v>
      </x:c>
      <x:c r="B388" s="82" t="str">
        <x:v>M18</x:v>
      </x:c>
      <x:c r="C388" s="82" t="str">
        <x:v>CxVisual.Mechanism.Orchestration</x:v>
      </x:c>
      <x:c r="D388" s="82" t="str">
        <x:v>ContentInvocationTopology</x:v>
      </x:c>
      <x:c r="E388" s="82" t="n">
        <x:v>0</x:v>
      </x:c>
      <x:c r="F388" s="82" t="str">
        <x:v>—</x:v>
      </x:c>
      <x:c r="G388" s="82" t="str">
        <x:v>尚未逐项裁决</x:v>
      </x:c>
      <x:c r="H388" s="82" t="str">
        <x:v>CxVisual.Mechanism.Orchestration</x:v>
      </x:c>
      <x:c r="I388" s="82" t="str">
        <x:v>需核原方法签名/行为、状态、依赖及实例生命周期</x:v>
      </x:c>
      <x:c r="J388" s="82" t="str">
        <x:v>V7.8词法声明证据</x:v>
      </x:c>
      <x:c r="K388" s="82" t="str">
        <x:v>设计审查中/未执行实测</x:v>
      </x:c>
    </x:row>
    <x:row r="389">
      <x:c r="A389" s="82" t="str">
        <x:v>M19.BranchDefinition</x:v>
      </x:c>
      <x:c r="B389" s="82" t="str">
        <x:v>M19</x:v>
      </x:c>
      <x:c r="C389" s="82" t="str">
        <x:v>CxVisual.Mechanism.Orchestration</x:v>
      </x:c>
      <x:c r="D389" s="82" t="str">
        <x:v>BranchDefinition</x:v>
      </x:c>
      <x:c r="E389" s="82" t="n">
        <x:v>0</x:v>
      </x:c>
      <x:c r="F389" s="82" t="str">
        <x:v>—</x:v>
      </x:c>
      <x:c r="G389" s="82" t="str">
        <x:v>尚未逐项裁决</x:v>
      </x:c>
      <x:c r="H389" s="82" t="str">
        <x:v>CxVisual.Mechanism.Orchestration</x:v>
      </x:c>
      <x:c r="I389" s="82" t="str">
        <x:v>需核原方法签名/行为、状态、依赖及实例生命周期</x:v>
      </x:c>
      <x:c r="J389" s="82" t="str">
        <x:v>V7.8词法声明证据</x:v>
      </x:c>
      <x:c r="K389" s="82" t="str">
        <x:v>设计审查中/未执行实测</x:v>
      </x:c>
    </x:row>
    <x:row r="390">
      <x:c r="A390" s="82" t="str">
        <x:v>M19.ControlFlowDefinition</x:v>
      </x:c>
      <x:c r="B390" s="82" t="str">
        <x:v>M19</x:v>
      </x:c>
      <x:c r="C390" s="82" t="str">
        <x:v>CxVisual.Mechanism.Orchestration</x:v>
      </x:c>
      <x:c r="D390" s="82" t="str">
        <x:v>ControlFlowDefinition</x:v>
      </x:c>
      <x:c r="E390" s="82" t="n">
        <x:v>0</x:v>
      </x:c>
      <x:c r="F390" s="82" t="str">
        <x:v>—</x:v>
      </x:c>
      <x:c r="G390" s="82" t="str">
        <x:v>尚未逐项裁决</x:v>
      </x:c>
      <x:c r="H390" s="82" t="str">
        <x:v>CxVisual.Mechanism.Orchestration</x:v>
      </x:c>
      <x:c r="I390" s="82" t="str">
        <x:v>需核原方法签名/行为、状态、依赖及实例生命周期</x:v>
      </x:c>
      <x:c r="J390" s="82" t="str">
        <x:v>V7.8词法声明证据</x:v>
      </x:c>
      <x:c r="K390" s="82" t="str">
        <x:v>设计审查中/未执行实测</x:v>
      </x:c>
    </x:row>
    <x:row r="391">
      <x:c r="A391" s="82" t="str">
        <x:v>M19.LoopDefinition</x:v>
      </x:c>
      <x:c r="B391" s="82" t="str">
        <x:v>M19</x:v>
      </x:c>
      <x:c r="C391" s="82" t="str">
        <x:v>CxVisual.Mechanism.Orchestration</x:v>
      </x:c>
      <x:c r="D391" s="82" t="str">
        <x:v>LoopDefinition</x:v>
      </x:c>
      <x:c r="E391" s="82" t="n">
        <x:v>0</x:v>
      </x:c>
      <x:c r="F391" s="82" t="str">
        <x:v>—</x:v>
      </x:c>
      <x:c r="G391" s="82" t="str">
        <x:v>尚未逐项裁决</x:v>
      </x:c>
      <x:c r="H391" s="82" t="str">
        <x:v>CxVisual.Mechanism.Orchestration</x:v>
      </x:c>
      <x:c r="I391" s="82" t="str">
        <x:v>需核原方法签名/行为、状态、依赖及实例生命周期</x:v>
      </x:c>
      <x:c r="J391" s="82" t="str">
        <x:v>V7.8词法声明证据</x:v>
      </x:c>
      <x:c r="K391" s="82" t="str">
        <x:v>设计审查中/未执行实测</x:v>
      </x:c>
    </x:row>
    <x:row r="392">
      <x:c r="A392" s="82" t="str">
        <x:v>M19.ParallelDefinition</x:v>
      </x:c>
      <x:c r="B392" s="82" t="str">
        <x:v>M19</x:v>
      </x:c>
      <x:c r="C392" s="82" t="str">
        <x:v>CxVisual.Mechanism.Orchestration</x:v>
      </x:c>
      <x:c r="D392" s="82" t="str">
        <x:v>ParallelDefinition</x:v>
      </x:c>
      <x:c r="E392" s="82" t="n">
        <x:v>0</x:v>
      </x:c>
      <x:c r="F392" s="82" t="str">
        <x:v>—</x:v>
      </x:c>
      <x:c r="G392" s="82" t="str">
        <x:v>尚未逐项裁决</x:v>
      </x:c>
      <x:c r="H392" s="82" t="str">
        <x:v>CxVisual.Mechanism.Orchestration</x:v>
      </x:c>
      <x:c r="I392" s="82" t="str">
        <x:v>需核原方法签名/行为、状态、依赖及实例生命周期</x:v>
      </x:c>
      <x:c r="J392" s="82" t="str">
        <x:v>V7.8词法声明证据</x:v>
      </x:c>
      <x:c r="K392" s="82" t="str">
        <x:v>设计审查中/未执行实测</x:v>
      </x:c>
    </x:row>
    <x:row r="393">
      <x:c r="A393" s="82" t="str">
        <x:v>M19.TryScopeDefinition</x:v>
      </x:c>
      <x:c r="B393" s="82" t="str">
        <x:v>M19</x:v>
      </x:c>
      <x:c r="C393" s="82" t="str">
        <x:v>CxVisual.Mechanism.Orchestration</x:v>
      </x:c>
      <x:c r="D393" s="82" t="str">
        <x:v>TryScopeDefinition</x:v>
      </x:c>
      <x:c r="E393" s="82" t="n">
        <x:v>0</x:v>
      </x:c>
      <x:c r="F393" s="82" t="str">
        <x:v>—</x:v>
      </x:c>
      <x:c r="G393" s="82" t="str">
        <x:v>尚未逐项裁决</x:v>
      </x:c>
      <x:c r="H393" s="82" t="str">
        <x:v>CxVisual.Mechanism.Orchestration</x:v>
      </x:c>
      <x:c r="I393" s="82" t="str">
        <x:v>需核原方法签名/行为、状态、依赖及实例生命周期</x:v>
      </x:c>
      <x:c r="J393" s="82" t="str">
        <x:v>V7.8词法声明证据</x:v>
      </x:c>
      <x:c r="K393" s="82" t="str">
        <x:v>设计审查中/未执行实测</x:v>
      </x:c>
    </x:row>
    <x:row r="394">
      <x:c r="A394" s="82" t="str">
        <x:v>M19.WaitDefinition</x:v>
      </x:c>
      <x:c r="B394" s="82" t="str">
        <x:v>M19</x:v>
      </x:c>
      <x:c r="C394" s="82" t="str">
        <x:v>CxVisual.Mechanism.Orchestration</x:v>
      </x:c>
      <x:c r="D394" s="82" t="str">
        <x:v>WaitDefinition</x:v>
      </x:c>
      <x:c r="E394" s="82" t="n">
        <x:v>0</x:v>
      </x:c>
      <x:c r="F394" s="82" t="str">
        <x:v>—</x:v>
      </x:c>
      <x:c r="G394" s="82" t="str">
        <x:v>尚未逐项裁决</x:v>
      </x:c>
      <x:c r="H394" s="82" t="str">
        <x:v>CxVisual.Mechanism.Orchestration</x:v>
      </x:c>
      <x:c r="I394" s="82" t="str">
        <x:v>需核原方法签名/行为、状态、依赖及实例生命周期</x:v>
      </x:c>
      <x:c r="J394" s="82" t="str">
        <x:v>V7.8词法声明证据</x:v>
      </x:c>
      <x:c r="K394" s="82" t="str">
        <x:v>设计审查中/未执行实测</x:v>
      </x:c>
    </x:row>
    <x:row r="395">
      <x:c r="A395" s="82" t="str">
        <x:v>M20.BackpressureController</x:v>
      </x:c>
      <x:c r="B395" s="82" t="str">
        <x:v>M20</x:v>
      </x:c>
      <x:c r="C395" s="82" t="str">
        <x:v>CxVisual.Mechanism.Orchestration</x:v>
      </x:c>
      <x:c r="D395" s="82" t="str">
        <x:v>BackpressureController</x:v>
      </x:c>
      <x:c r="E395" s="82" t="n">
        <x:v>0</x:v>
      </x:c>
      <x:c r="F395" s="82" t="str">
        <x:v>—</x:v>
      </x:c>
      <x:c r="G395" s="82" t="str">
        <x:v>尚未逐项裁决</x:v>
      </x:c>
      <x:c r="H395" s="82" t="str">
        <x:v>CxVisual.Mechanism.Orchestration</x:v>
      </x:c>
      <x:c r="I395" s="82" t="str">
        <x:v>需核原方法签名/行为、状态、依赖及实例生命周期</x:v>
      </x:c>
      <x:c r="J395" s="82" t="str">
        <x:v>V7.8词法声明证据</x:v>
      </x:c>
      <x:c r="K395" s="82" t="str">
        <x:v>设计审查中/未执行实测</x:v>
      </x:c>
    </x:row>
    <x:row r="396">
      <x:c r="A396" s="82" t="str">
        <x:v>M20.DataFlowDefinition</x:v>
      </x:c>
      <x:c r="B396" s="82" t="str">
        <x:v>M20</x:v>
      </x:c>
      <x:c r="C396" s="82" t="str">
        <x:v>CxVisual.Mechanism.Orchestration</x:v>
      </x:c>
      <x:c r="D396" s="82" t="str">
        <x:v>DataFlowDefinition</x:v>
      </x:c>
      <x:c r="E396" s="82" t="n">
        <x:v>0</x:v>
      </x:c>
      <x:c r="F396" s="82" t="str">
        <x:v>—</x:v>
      </x:c>
      <x:c r="G396" s="82" t="str">
        <x:v>尚未逐项裁决</x:v>
      </x:c>
      <x:c r="H396" s="82" t="str">
        <x:v>CxVisual.Mechanism.Orchestration</x:v>
      </x:c>
      <x:c r="I396" s="82" t="str">
        <x:v>需核原方法签名/行为、状态、依赖及实例生命周期</x:v>
      </x:c>
      <x:c r="J396" s="82" t="str">
        <x:v>V7.8词法声明证据</x:v>
      </x:c>
      <x:c r="K396" s="82" t="str">
        <x:v>设计审查中/未执行实测</x:v>
      </x:c>
    </x:row>
    <x:row r="397">
      <x:c r="A397" s="82" t="str">
        <x:v>M20.DataJoinDefinition</x:v>
      </x:c>
      <x:c r="B397" s="82" t="str">
        <x:v>M20</x:v>
      </x:c>
      <x:c r="C397" s="82" t="str">
        <x:v>CxVisual.Mechanism.Orchestration</x:v>
      </x:c>
      <x:c r="D397" s="82" t="str">
        <x:v>DataJoinDefinition</x:v>
      </x:c>
      <x:c r="E397" s="82" t="n">
        <x:v>0</x:v>
      </x:c>
      <x:c r="F397" s="82" t="str">
        <x:v>—</x:v>
      </x:c>
      <x:c r="G397" s="82" t="str">
        <x:v>尚未逐项裁决</x:v>
      </x:c>
      <x:c r="H397" s="82" t="str">
        <x:v>CxVisual.Mechanism.Orchestration</x:v>
      </x:c>
      <x:c r="I397" s="82" t="str">
        <x:v>需核原方法签名/行为、状态、依赖及实例生命周期</x:v>
      </x:c>
      <x:c r="J397" s="82" t="str">
        <x:v>V7.8词法声明证据</x:v>
      </x:c>
      <x:c r="K397" s="82" t="str">
        <x:v>设计审查中/未执行实测</x:v>
      </x:c>
    </x:row>
    <x:row r="398">
      <x:c r="A398" s="82" t="str">
        <x:v>M20.FanOutDefinition</x:v>
      </x:c>
      <x:c r="B398" s="82" t="str">
        <x:v>M20</x:v>
      </x:c>
      <x:c r="C398" s="82" t="str">
        <x:v>CxVisual.Mechanism.Orchestration</x:v>
      </x:c>
      <x:c r="D398" s="82" t="str">
        <x:v>FanOutDefinition</x:v>
      </x:c>
      <x:c r="E398" s="82" t="n">
        <x:v>0</x:v>
      </x:c>
      <x:c r="F398" s="82" t="str">
        <x:v>—</x:v>
      </x:c>
      <x:c r="G398" s="82" t="str">
        <x:v>尚未逐项裁决</x:v>
      </x:c>
      <x:c r="H398" s="82" t="str">
        <x:v>CxVisual.Mechanism.Orchestration</x:v>
      </x:c>
      <x:c r="I398" s="82" t="str">
        <x:v>需核原方法签名/行为、状态、依赖及实例生命周期</x:v>
      </x:c>
      <x:c r="J398" s="82" t="str">
        <x:v>V7.8词法声明证据</x:v>
      </x:c>
      <x:c r="K398" s="82" t="str">
        <x:v>设计审查中/未执行实测</x:v>
      </x:c>
    </x:row>
    <x:row r="399">
      <x:c r="A399" s="82" t="str">
        <x:v>M20.StreamDefinition</x:v>
      </x:c>
      <x:c r="B399" s="82" t="str">
        <x:v>M20</x:v>
      </x:c>
      <x:c r="C399" s="82" t="str">
        <x:v>CxVisual.Mechanism.Orchestration</x:v>
      </x:c>
      <x:c r="D399" s="82" t="str">
        <x:v>StreamDefinition</x:v>
      </x:c>
      <x:c r="E399" s="82" t="n">
        <x:v>0</x:v>
      </x:c>
      <x:c r="F399" s="82" t="str">
        <x:v>—</x:v>
      </x:c>
      <x:c r="G399" s="82" t="str">
        <x:v>尚未逐项裁决</x:v>
      </x:c>
      <x:c r="H399" s="82" t="str">
        <x:v>CxVisual.Mechanism.Orchestration</x:v>
      </x:c>
      <x:c r="I399" s="82" t="str">
        <x:v>需核原方法签名/行为、状态、依赖及实例生命周期</x:v>
      </x:c>
      <x:c r="J399" s="82" t="str">
        <x:v>V7.8词法声明证据</x:v>
      </x:c>
      <x:c r="K399" s="82" t="str">
        <x:v>设计审查中/未执行实测</x:v>
      </x:c>
    </x:row>
    <x:row r="400">
      <x:c r="A400" s="82" t="str">
        <x:v>M20.StreamRuntimeState</x:v>
      </x:c>
      <x:c r="B400" s="82" t="str">
        <x:v>M20</x:v>
      </x:c>
      <x:c r="C400" s="82" t="str">
        <x:v>CxVisual.Mechanism.Orchestration</x:v>
      </x:c>
      <x:c r="D400" s="82" t="str">
        <x:v>StreamRuntimeState</x:v>
      </x:c>
      <x:c r="E400" s="82" t="n">
        <x:v>0</x:v>
      </x:c>
      <x:c r="F400" s="82" t="str">
        <x:v>—</x:v>
      </x:c>
      <x:c r="G400" s="82" t="str">
        <x:v>尚未逐项裁决</x:v>
      </x:c>
      <x:c r="H400" s="82" t="str">
        <x:v>CxVisual.Mechanism.Orchestration</x:v>
      </x:c>
      <x:c r="I400" s="82" t="str">
        <x:v>需核原方法签名/行为、状态、依赖及实例生命周期</x:v>
      </x:c>
      <x:c r="J400" s="82" t="str">
        <x:v>V7.8词法声明证据</x:v>
      </x:c>
      <x:c r="K400" s="82" t="str">
        <x:v>设计审查中/未执行实测</x:v>
      </x:c>
    </x:row>
    <x:row r="401">
      <x:c r="A401" s="82" t="str">
        <x:v>M20.WorkerPoolDefinition</x:v>
      </x:c>
      <x:c r="B401" s="82" t="str">
        <x:v>M20</x:v>
      </x:c>
      <x:c r="C401" s="82" t="str">
        <x:v>CxVisual.Mechanism.Orchestration</x:v>
      </x:c>
      <x:c r="D401" s="82" t="str">
        <x:v>WorkerPoolDefinition</x:v>
      </x:c>
      <x:c r="E401" s="82" t="n">
        <x:v>0</x:v>
      </x:c>
      <x:c r="F401" s="82" t="str">
        <x:v>—</x:v>
      </x:c>
      <x:c r="G401" s="82" t="str">
        <x:v>尚未逐项裁决</x:v>
      </x:c>
      <x:c r="H401" s="82" t="str">
        <x:v>CxVisual.Mechanism.Orchestration</x:v>
      </x:c>
      <x:c r="I401" s="82" t="str">
        <x:v>需核原方法签名/行为、状态、依赖及实例生命周期</x:v>
      </x:c>
      <x:c r="J401" s="82" t="str">
        <x:v>V7.8词法声明证据</x:v>
      </x:c>
      <x:c r="K401" s="82" t="str">
        <x:v>设计审查中/未执行实测</x:v>
      </x:c>
    </x:row>
    <x:row r="402">
      <x:c r="A402" s="82" t="str">
        <x:v>M21.HistoryStateDefinition</x:v>
      </x:c>
      <x:c r="B402" s="82" t="str">
        <x:v>M21</x:v>
      </x:c>
      <x:c r="C402" s="82" t="str">
        <x:v>CxVisual.Mechanism.Orchestration</x:v>
      </x:c>
      <x:c r="D402" s="82" t="str">
        <x:v>HistoryStateDefinition</x:v>
      </x:c>
      <x:c r="E402" s="82" t="n">
        <x:v>0</x:v>
      </x:c>
      <x:c r="F402" s="82" t="str">
        <x:v>—</x:v>
      </x:c>
      <x:c r="G402" s="82" t="str">
        <x:v>尚未逐项裁决</x:v>
      </x:c>
      <x:c r="H402" s="82" t="str">
        <x:v>CxVisual.Mechanism.Orchestration</x:v>
      </x:c>
      <x:c r="I402" s="82" t="str">
        <x:v>需核原方法签名/行为、状态、依赖及实例生命周期</x:v>
      </x:c>
      <x:c r="J402" s="82" t="str">
        <x:v>V7.8词法声明证据</x:v>
      </x:c>
      <x:c r="K402" s="82" t="str">
        <x:v>设计审查中/未执行实测</x:v>
      </x:c>
    </x:row>
    <x:row r="403">
      <x:c r="A403" s="82" t="str">
        <x:v>M21.StateDefinitionEx</x:v>
      </x:c>
      <x:c r="B403" s="82" t="str">
        <x:v>M21</x:v>
      </x:c>
      <x:c r="C403" s="82" t="str">
        <x:v>CxVisual.Mechanism.Orchestration</x:v>
      </x:c>
      <x:c r="D403" s="82" t="str">
        <x:v>StateDefinitionEx</x:v>
      </x:c>
      <x:c r="E403" s="82" t="n">
        <x:v>0</x:v>
      </x:c>
      <x:c r="F403" s="82" t="str">
        <x:v>—</x:v>
      </x:c>
      <x:c r="G403" s="82" t="str">
        <x:v>尚未逐项裁决</x:v>
      </x:c>
      <x:c r="H403" s="82" t="str">
        <x:v>CxVisual.Mechanism.Orchestration</x:v>
      </x:c>
      <x:c r="I403" s="82" t="str">
        <x:v>需核原方法签名/行为、状态、依赖及实例生命周期</x:v>
      </x:c>
      <x:c r="J403" s="82" t="str">
        <x:v>V7.8词法声明证据</x:v>
      </x:c>
      <x:c r="K403" s="82" t="str">
        <x:v>设计审查中/未执行实测</x:v>
      </x:c>
    </x:row>
    <x:row r="404">
      <x:c r="A404" s="82" t="str">
        <x:v>M21.StateMachineDefinition</x:v>
      </x:c>
      <x:c r="B404" s="82" t="str">
        <x:v>M21</x:v>
      </x:c>
      <x:c r="C404" s="82" t="str">
        <x:v>CxVisual.Mechanism.Orchestration</x:v>
      </x:c>
      <x:c r="D404" s="82" t="str">
        <x:v>StateMachineDefinition</x:v>
      </x:c>
      <x:c r="E404" s="82" t="n">
        <x:v>0</x:v>
      </x:c>
      <x:c r="F404" s="82" t="str">
        <x:v>—</x:v>
      </x:c>
      <x:c r="G404" s="82" t="str">
        <x:v>尚未逐项裁决</x:v>
      </x:c>
      <x:c r="H404" s="82" t="str">
        <x:v>CxVisual.Mechanism.Orchestration</x:v>
      </x:c>
      <x:c r="I404" s="82" t="str">
        <x:v>需核原方法签名/行为、状态、依赖及实例生命周期</x:v>
      </x:c>
      <x:c r="J404" s="82" t="str">
        <x:v>V7.8词法声明证据</x:v>
      </x:c>
      <x:c r="K404" s="82" t="str">
        <x:v>设计审查中/未执行实测</x:v>
      </x:c>
    </x:row>
    <x:row r="405">
      <x:c r="A405" s="82" t="str">
        <x:v>M21.StateRuntimeState</x:v>
      </x:c>
      <x:c r="B405" s="82" t="str">
        <x:v>M21</x:v>
      </x:c>
      <x:c r="C405" s="82" t="str">
        <x:v>CxVisual.Mechanism.Orchestration</x:v>
      </x:c>
      <x:c r="D405" s="82" t="str">
        <x:v>StateRuntimeState</x:v>
      </x:c>
      <x:c r="E405" s="82" t="n">
        <x:v>0</x:v>
      </x:c>
      <x:c r="F405" s="82" t="str">
        <x:v>—</x:v>
      </x:c>
      <x:c r="G405" s="82" t="str">
        <x:v>尚未逐项裁决</x:v>
      </x:c>
      <x:c r="H405" s="82" t="str">
        <x:v>CxVisual.Mechanism.Orchestration</x:v>
      </x:c>
      <x:c r="I405" s="82" t="str">
        <x:v>需核原方法签名/行为、状态、依赖及实例生命周期</x:v>
      </x:c>
      <x:c r="J405" s="82" t="str">
        <x:v>V7.8词法声明证据</x:v>
      </x:c>
      <x:c r="K405" s="82" t="str">
        <x:v>设计审查中/未执行实测</x:v>
      </x:c>
    </x:row>
    <x:row r="406">
      <x:c r="A406" s="82" t="str">
        <x:v>M21.TransitionDefinition</x:v>
      </x:c>
      <x:c r="B406" s="82" t="str">
        <x:v>M21</x:v>
      </x:c>
      <x:c r="C406" s="82" t="str">
        <x:v>CxVisual.Mechanism.Orchestration</x:v>
      </x:c>
      <x:c r="D406" s="82" t="str">
        <x:v>TransitionDefinition</x:v>
      </x:c>
      <x:c r="E406" s="82" t="n">
        <x:v>0</x:v>
      </x:c>
      <x:c r="F406" s="82" t="str">
        <x:v>—</x:v>
      </x:c>
      <x:c r="G406" s="82" t="str">
        <x:v>尚未逐项裁决</x:v>
      </x:c>
      <x:c r="H406" s="82" t="str">
        <x:v>CxVisual.Mechanism.Orchestration</x:v>
      </x:c>
      <x:c r="I406" s="82" t="str">
        <x:v>需核原方法签名/行为、状态、依赖及实例生命周期</x:v>
      </x:c>
      <x:c r="J406" s="82" t="str">
        <x:v>V7.8词法声明证据</x:v>
      </x:c>
      <x:c r="K406" s="82" t="str">
        <x:v>设计审查中/未执行实测</x:v>
      </x:c>
    </x:row>
    <x:row r="407">
      <x:c r="A407" s="82" t="str">
        <x:v>M22.DurableWorkflowDefinition</x:v>
      </x:c>
      <x:c r="B407" s="82" t="str">
        <x:v>M22</x:v>
      </x:c>
      <x:c r="C407" s="82" t="str">
        <x:v>CxVisual.Mechanism.Orchestration</x:v>
      </x:c>
      <x:c r="D407" s="82" t="str">
        <x:v>DurableWorkflowDefinition</x:v>
      </x:c>
      <x:c r="E407" s="82" t="n">
        <x:v>0</x:v>
      </x:c>
      <x:c r="F407" s="82" t="str">
        <x:v>—</x:v>
      </x:c>
      <x:c r="G407" s="82" t="str">
        <x:v>尚未逐项裁决</x:v>
      </x:c>
      <x:c r="H407" s="82" t="str">
        <x:v>CxVisual.Mechanism.Orchestration</x:v>
      </x:c>
      <x:c r="I407" s="82" t="str">
        <x:v>需核原方法签名/行为、状态、依赖及实例生命周期</x:v>
      </x:c>
      <x:c r="J407" s="82" t="str">
        <x:v>V7.8词法声明证据</x:v>
      </x:c>
      <x:c r="K407" s="82" t="str">
        <x:v>设计审查中/未执行实测</x:v>
      </x:c>
    </x:row>
    <x:row r="408">
      <x:c r="A408" s="82" t="str">
        <x:v>M22.ExecutionCheckpoint</x:v>
      </x:c>
      <x:c r="B408" s="82" t="str">
        <x:v>M22</x:v>
      </x:c>
      <x:c r="C408" s="82" t="str">
        <x:v>CxVisual.Mechanism.Orchestration</x:v>
      </x:c>
      <x:c r="D408" s="82" t="str">
        <x:v>ExecutionCheckpoint</x:v>
      </x:c>
      <x:c r="E408" s="82" t="n">
        <x:v>0</x:v>
      </x:c>
      <x:c r="F408" s="82" t="str">
        <x:v>—</x:v>
      </x:c>
      <x:c r="G408" s="82" t="str">
        <x:v>尚未逐项裁决</x:v>
      </x:c>
      <x:c r="H408" s="82" t="str">
        <x:v>CxVisual.Mechanism.Orchestration</x:v>
      </x:c>
      <x:c r="I408" s="82" t="str">
        <x:v>需核原方法签名/行为、状态、依赖及实例生命周期</x:v>
      </x:c>
      <x:c r="J408" s="82" t="str">
        <x:v>V7.8词法声明证据</x:v>
      </x:c>
      <x:c r="K408" s="82" t="str">
        <x:v>设计审查中/未执行实测</x:v>
      </x:c>
    </x:row>
    <x:row r="409">
      <x:c r="A409" s="82" t="str">
        <x:v>M22.ExternalTaskDefinition</x:v>
      </x:c>
      <x:c r="B409" s="82" t="str">
        <x:v>M22</x:v>
      </x:c>
      <x:c r="C409" s="82" t="str">
        <x:v>CxVisual.Mechanism.Orchestration</x:v>
      </x:c>
      <x:c r="D409" s="82" t="str">
        <x:v>ExternalTaskDefinition</x:v>
      </x:c>
      <x:c r="E409" s="82" t="n">
        <x:v>0</x:v>
      </x:c>
      <x:c r="F409" s="82" t="str">
        <x:v>—</x:v>
      </x:c>
      <x:c r="G409" s="82" t="str">
        <x:v>尚未逐项裁决</x:v>
      </x:c>
      <x:c r="H409" s="82" t="str">
        <x:v>CxVisual.Mechanism.Orchestration</x:v>
      </x:c>
      <x:c r="I409" s="82" t="str">
        <x:v>需核原方法签名/行为、状态、依赖及实例生命周期</x:v>
      </x:c>
      <x:c r="J409" s="82" t="str">
        <x:v>V7.8词法声明证据</x:v>
      </x:c>
      <x:c r="K409" s="82" t="str">
        <x:v>设计审查中/未执行实测</x:v>
      </x:c>
    </x:row>
    <x:row r="410">
      <x:c r="A410" s="82" t="str">
        <x:v>M22.ExternalTaskHandle</x:v>
      </x:c>
      <x:c r="B410" s="82" t="str">
        <x:v>M22</x:v>
      </x:c>
      <x:c r="C410" s="82" t="str">
        <x:v>CxVisual.Mechanism.Orchestration</x:v>
      </x:c>
      <x:c r="D410" s="82" t="str">
        <x:v>ExternalTaskHandle</x:v>
      </x:c>
      <x:c r="E410" s="82" t="n">
        <x:v>0</x:v>
      </x:c>
      <x:c r="F410" s="82" t="str">
        <x:v>—</x:v>
      </x:c>
      <x:c r="G410" s="82" t="str">
        <x:v>尚未逐项裁决</x:v>
      </x:c>
      <x:c r="H410" s="82" t="str">
        <x:v>CxVisual.Mechanism.Orchestration</x:v>
      </x:c>
      <x:c r="I410" s="82" t="str">
        <x:v>需核原方法签名/行为、状态、依赖及实例生命周期</x:v>
      </x:c>
      <x:c r="J410" s="82" t="str">
        <x:v>V7.8词法声明证据</x:v>
      </x:c>
      <x:c r="K410" s="82" t="str">
        <x:v>设计审查中/未执行实测</x:v>
      </x:c>
    </x:row>
    <x:row r="411">
      <x:c r="A411" s="82" t="str">
        <x:v>M22.HumanTaskDefinition</x:v>
      </x:c>
      <x:c r="B411" s="82" t="str">
        <x:v>M22</x:v>
      </x:c>
      <x:c r="C411" s="82" t="str">
        <x:v>CxVisual.Mechanism.Orchestration</x:v>
      </x:c>
      <x:c r="D411" s="82" t="str">
        <x:v>HumanTaskDefinition</x:v>
      </x:c>
      <x:c r="E411" s="82" t="n">
        <x:v>0</x:v>
      </x:c>
      <x:c r="F411" s="82" t="str">
        <x:v>—</x:v>
      </x:c>
      <x:c r="G411" s="82" t="str">
        <x:v>尚未逐项裁决</x:v>
      </x:c>
      <x:c r="H411" s="82" t="str">
        <x:v>CxVisual.Mechanism.Orchestration</x:v>
      </x:c>
      <x:c r="I411" s="82" t="str">
        <x:v>需核原方法签名/行为、状态、依赖及实例生命周期</x:v>
      </x:c>
      <x:c r="J411" s="82" t="str">
        <x:v>V7.8词法声明证据</x:v>
      </x:c>
      <x:c r="K411" s="82" t="str">
        <x:v>设计审查中/未执行实测</x:v>
      </x:c>
    </x:row>
    <x:row r="412">
      <x:c r="A412" s="82" t="str">
        <x:v>M22.IExecutionJournal</x:v>
      </x:c>
      <x:c r="B412" s="82" t="str">
        <x:v>M22</x:v>
      </x:c>
      <x:c r="C412" s="82" t="str">
        <x:v>CxVisual.Mechanism.Orchestration</x:v>
      </x:c>
      <x:c r="D412" s="82" t="str">
        <x:v>IExecutionJournal</x:v>
      </x:c>
      <x:c r="E412" s="82" t="n">
        <x:v>0</x:v>
      </x:c>
      <x:c r="F412" s="82" t="str">
        <x:v>—</x:v>
      </x:c>
      <x:c r="G412" s="82" t="str">
        <x:v>尚未逐项裁决</x:v>
      </x:c>
      <x:c r="H412" s="82" t="str">
        <x:v>CxVisual.Mechanism.Orchestration</x:v>
      </x:c>
      <x:c r="I412" s="82" t="str">
        <x:v>需核原方法签名/行为、状态、依赖及实例生命周期</x:v>
      </x:c>
      <x:c r="J412" s="82" t="str">
        <x:v>V7.8词法声明证据</x:v>
      </x:c>
      <x:c r="K412" s="82" t="str">
        <x:v>设计审查中/未执行实测</x:v>
      </x:c>
    </x:row>
    <x:row r="413">
      <x:c r="A413" s="82" t="str">
        <x:v>M22.IExecutionStateStore</x:v>
      </x:c>
      <x:c r="B413" s="82" t="str">
        <x:v>M22</x:v>
      </x:c>
      <x:c r="C413" s="82" t="str">
        <x:v>CxVisual.Mechanism.Orchestration</x:v>
      </x:c>
      <x:c r="D413" s="82" t="str">
        <x:v>IExecutionStateStore</x:v>
      </x:c>
      <x:c r="E413" s="82" t="n">
        <x:v>0</x:v>
      </x:c>
      <x:c r="F413" s="82" t="str">
        <x:v>—</x:v>
      </x:c>
      <x:c r="G413" s="82" t="str">
        <x:v>尚未逐项裁决</x:v>
      </x:c>
      <x:c r="H413" s="82" t="str">
        <x:v>CxVisual.Mechanism.Orchestration</x:v>
      </x:c>
      <x:c r="I413" s="82" t="str">
        <x:v>需核原方法签名/行为、状态、依赖及实例生命周期</x:v>
      </x:c>
      <x:c r="J413" s="82" t="str">
        <x:v>V7.8词法声明证据</x:v>
      </x:c>
      <x:c r="K413" s="82" t="str">
        <x:v>设计审查中/未执行实测</x:v>
      </x:c>
    </x:row>
    <x:row r="414">
      <x:c r="A414" s="82" t="str">
        <x:v>M23.EventFilterDefinition</x:v>
      </x:c>
      <x:c r="B414" s="82" t="str">
        <x:v>M23</x:v>
      </x:c>
      <x:c r="C414" s="82" t="str">
        <x:v>CxVisual.Mechanism.Orchestration</x:v>
      </x:c>
      <x:c r="D414" s="82" t="str">
        <x:v>EventFilterDefinition</x:v>
      </x:c>
      <x:c r="E414" s="82" t="n">
        <x:v>0</x:v>
      </x:c>
      <x:c r="F414" s="82" t="str">
        <x:v>—</x:v>
      </x:c>
      <x:c r="G414" s="82" t="str">
        <x:v>尚未逐项裁决</x:v>
      </x:c>
      <x:c r="H414" s="82" t="str">
        <x:v>CxVisual.Mechanism.Orchestration</x:v>
      </x:c>
      <x:c r="I414" s="82" t="str">
        <x:v>需核原方法签名/行为、状态、依赖及实例生命周期</x:v>
      </x:c>
      <x:c r="J414" s="82" t="str">
        <x:v>V7.8词法声明证据</x:v>
      </x:c>
      <x:c r="K414" s="82" t="str">
        <x:v>设计审查中/未执行实测</x:v>
      </x:c>
    </x:row>
    <x:row r="415">
      <x:c r="A415" s="82" t="str">
        <x:v>M23.ReactiveFlowDefinition</x:v>
      </x:c>
      <x:c r="B415" s="82" t="str">
        <x:v>M23</x:v>
      </x:c>
      <x:c r="C415" s="82" t="str">
        <x:v>CxVisual.Mechanism.Orchestration</x:v>
      </x:c>
      <x:c r="D415" s="82" t="str">
        <x:v>ReactiveFlowDefinition</x:v>
      </x:c>
      <x:c r="E415" s="82" t="n">
        <x:v>0</x:v>
      </x:c>
      <x:c r="F415" s="82" t="str">
        <x:v>—</x:v>
      </x:c>
      <x:c r="G415" s="82" t="str">
        <x:v>尚未逐项裁决</x:v>
      </x:c>
      <x:c r="H415" s="82" t="str">
        <x:v>CxVisual.Mechanism.Orchestration</x:v>
      </x:c>
      <x:c r="I415" s="82" t="str">
        <x:v>需核原方法签名/行为、状态、依赖及实例生命周期</x:v>
      </x:c>
      <x:c r="J415" s="82" t="str">
        <x:v>V7.8词法声明证据</x:v>
      </x:c>
      <x:c r="K415" s="82" t="str">
        <x:v>设计审查中/未执行实测</x:v>
      </x:c>
    </x:row>
    <x:row r="416">
      <x:c r="A416" s="82" t="str">
        <x:v>M23.SubscriptionHandle</x:v>
      </x:c>
      <x:c r="B416" s="82" t="str">
        <x:v>M23</x:v>
      </x:c>
      <x:c r="C416" s="82" t="str">
        <x:v>CxVisual.Mechanism.Orchestration</x:v>
      </x:c>
      <x:c r="D416" s="82" t="str">
        <x:v>SubscriptionHandle</x:v>
      </x:c>
      <x:c r="E416" s="82" t="n">
        <x:v>0</x:v>
      </x:c>
      <x:c r="F416" s="82" t="str">
        <x:v>—</x:v>
      </x:c>
      <x:c r="G416" s="82" t="str">
        <x:v>尚未逐项裁决</x:v>
      </x:c>
      <x:c r="H416" s="82" t="str">
        <x:v>CxVisual.Mechanism.Orchestration</x:v>
      </x:c>
      <x:c r="I416" s="82" t="str">
        <x:v>需核原方法签名/行为、状态、依赖及实例生命周期</x:v>
      </x:c>
      <x:c r="J416" s="82" t="str">
        <x:v>V7.8词法声明证据</x:v>
      </x:c>
      <x:c r="K416" s="82" t="str">
        <x:v>设计审查中/未执行实测</x:v>
      </x:c>
    </x:row>
    <x:row r="417">
      <x:c r="A417" s="82" t="str">
        <x:v>M23.TriggerDefinition</x:v>
      </x:c>
      <x:c r="B417" s="82" t="str">
        <x:v>M23</x:v>
      </x:c>
      <x:c r="C417" s="82" t="str">
        <x:v>CxVisual.Mechanism.Orchestration</x:v>
      </x:c>
      <x:c r="D417" s="82" t="str">
        <x:v>TriggerDefinition</x:v>
      </x:c>
      <x:c r="E417" s="82" t="n">
        <x:v>0</x:v>
      </x:c>
      <x:c r="F417" s="82" t="str">
        <x:v>—</x:v>
      </x:c>
      <x:c r="G417" s="82" t="str">
        <x:v>尚未逐项裁决</x:v>
      </x:c>
      <x:c r="H417" s="82" t="str">
        <x:v>CxVisual.Mechanism.Orchestration</x:v>
      </x:c>
      <x:c r="I417" s="82" t="str">
        <x:v>需核原方法签名/行为、状态、依赖及实例生命周期</x:v>
      </x:c>
      <x:c r="J417" s="82" t="str">
        <x:v>V7.8词法声明证据</x:v>
      </x:c>
      <x:c r="K417" s="82" t="str">
        <x:v>设计审查中/未执行实测</x:v>
      </x:c>
    </x:row>
    <x:row r="418">
      <x:c r="A418" s="82" t="str">
        <x:v>M24.AggregationPolicy</x:v>
      </x:c>
      <x:c r="B418" s="82" t="str">
        <x:v>M24</x:v>
      </x:c>
      <x:c r="C418" s="82" t="str">
        <x:v>CxVisual.Mechanism.Orchestration</x:v>
      </x:c>
      <x:c r="D418" s="82" t="str">
        <x:v>AggregationPolicy</x:v>
      </x:c>
      <x:c r="E418" s="82" t="n">
        <x:v>0</x:v>
      </x:c>
      <x:c r="F418" s="82" t="str">
        <x:v>—</x:v>
      </x:c>
      <x:c r="G418" s="82" t="str">
        <x:v>尚未逐项裁决</x:v>
      </x:c>
      <x:c r="H418" s="82" t="str">
        <x:v>CxVisual.Mechanism.Orchestration</x:v>
      </x:c>
      <x:c r="I418" s="82" t="str">
        <x:v>需核原方法签名/行为、状态、依赖及实例生命周期</x:v>
      </x:c>
      <x:c r="J418" s="82" t="str">
        <x:v>V7.8词法声明证据</x:v>
      </x:c>
      <x:c r="K418" s="82" t="str">
        <x:v>设计审查中/未执行实测</x:v>
      </x:c>
    </x:row>
    <x:row r="419">
      <x:c r="A419" s="82" t="str">
        <x:v>M24.InvocationHandle</x:v>
      </x:c>
      <x:c r="B419" s="82" t="str">
        <x:v>M24</x:v>
      </x:c>
      <x:c r="C419" s="82" t="str">
        <x:v>CxVisual.Mechanism.Orchestration</x:v>
      </x:c>
      <x:c r="D419" s="82" t="str">
        <x:v>InvocationHandle</x:v>
      </x:c>
      <x:c r="E419" s="82" t="n">
        <x:v>0</x:v>
      </x:c>
      <x:c r="F419" s="82" t="str">
        <x:v>—</x:v>
      </x:c>
      <x:c r="G419" s="82" t="str">
        <x:v>尚未逐项裁决</x:v>
      </x:c>
      <x:c r="H419" s="82" t="str">
        <x:v>CxVisual.Mechanism.Orchestration</x:v>
      </x:c>
      <x:c r="I419" s="82" t="str">
        <x:v>需核原方法签名/行为、状态、依赖及实例生命周期</x:v>
      </x:c>
      <x:c r="J419" s="82" t="str">
        <x:v>V7.8词法声明证据</x:v>
      </x:c>
      <x:c r="K419" s="82" t="str">
        <x:v>设计审查中/未执行实测</x:v>
      </x:c>
    </x:row>
    <x:row r="420">
      <x:c r="A420" s="82" t="str">
        <x:v>M24.InvocationResult</x:v>
      </x:c>
      <x:c r="B420" s="82" t="str">
        <x:v>M24</x:v>
      </x:c>
      <x:c r="C420" s="82" t="str">
        <x:v>CxVisual.Mechanism.Orchestration</x:v>
      </x:c>
      <x:c r="D420" s="82" t="str">
        <x:v>InvocationResult</x:v>
      </x:c>
      <x:c r="E420" s="82" t="n">
        <x:v>0</x:v>
      </x:c>
      <x:c r="F420" s="82" t="str">
        <x:v>—</x:v>
      </x:c>
      <x:c r="G420" s="82" t="str">
        <x:v>尚未逐项裁决</x:v>
      </x:c>
      <x:c r="H420" s="82" t="str">
        <x:v>CxVisual.Mechanism.Orchestration</x:v>
      </x:c>
      <x:c r="I420" s="82" t="str">
        <x:v>需核原方法签名/行为、状态、依赖及实例生命周期</x:v>
      </x:c>
      <x:c r="J420" s="82" t="str">
        <x:v>V7.8词法声明证据</x:v>
      </x:c>
      <x:c r="K420" s="82" t="str">
        <x:v>设计审查中/未执行实测</x:v>
      </x:c>
    </x:row>
    <x:row r="421">
      <x:c r="A421" s="82" t="str">
        <x:v>M24.InvocationSpec</x:v>
      </x:c>
      <x:c r="B421" s="82" t="str">
        <x:v>M24</x:v>
      </x:c>
      <x:c r="C421" s="82" t="str">
        <x:v>CxVisual.Mechanism.Orchestration</x:v>
      </x:c>
      <x:c r="D421" s="82" t="str">
        <x:v>InvocationSpec</x:v>
      </x:c>
      <x:c r="E421" s="82" t="n">
        <x:v>1</x:v>
      </x:c>
      <x:c r="F421" s="82" t="str">
        <x:v>Platform/Orchestration/Invocation/InvocationContracts.cs (class)</x:v>
      </x:c>
      <x:c r="G421" s="82" t="str">
        <x:v>尚未逐项裁决</x:v>
      </x:c>
      <x:c r="H421" s="82" t="str">
        <x:v>CxVisual.Mechanism.Orchestration</x:v>
      </x:c>
      <x:c r="I421" s="82" t="str">
        <x:v>需核原方法签名/行为、状态、依赖及实例生命周期</x:v>
      </x:c>
      <x:c r="J421" s="82" t="str">
        <x:v>V7.8词法声明证据</x:v>
      </x:c>
      <x:c r="K421" s="82" t="str">
        <x:v>设计审查中/未执行实测</x:v>
      </x:c>
    </x:row>
    <x:row r="422">
      <x:c r="A422" s="82" t="str">
        <x:v>M24.JobHandle</x:v>
      </x:c>
      <x:c r="B422" s="82" t="str">
        <x:v>M24</x:v>
      </x:c>
      <x:c r="C422" s="82" t="str">
        <x:v>CxVisual.Mechanism.Orchestration</x:v>
      </x:c>
      <x:c r="D422" s="82" t="str">
        <x:v>JobHandle</x:v>
      </x:c>
      <x:c r="E422" s="82" t="n">
        <x:v>0</x:v>
      </x:c>
      <x:c r="F422" s="82" t="str">
        <x:v>—</x:v>
      </x:c>
      <x:c r="G422" s="82" t="str">
        <x:v>尚未逐项裁决</x:v>
      </x:c>
      <x:c r="H422" s="82" t="str">
        <x:v>CxVisual.Mechanism.Orchestration</x:v>
      </x:c>
      <x:c r="I422" s="82" t="str">
        <x:v>需核原方法签名/行为、状态、依赖及实例生命周期</x:v>
      </x:c>
      <x:c r="J422" s="82" t="str">
        <x:v>V7.8词法声明证据</x:v>
      </x:c>
      <x:c r="K422" s="82" t="str">
        <x:v>设计审查中/未执行实测</x:v>
      </x:c>
    </x:row>
    <x:row r="423">
      <x:c r="A423" s="82" t="str">
        <x:v>M24.MultiInstanceDefinition</x:v>
      </x:c>
      <x:c r="B423" s="82" t="str">
        <x:v>M24</x:v>
      </x:c>
      <x:c r="C423" s="82" t="str">
        <x:v>CxVisual.Mechanism.Orchestration</x:v>
      </x:c>
      <x:c r="D423" s="82" t="str">
        <x:v>MultiInstanceDefinition</x:v>
      </x:c>
      <x:c r="E423" s="82" t="n">
        <x:v>1</x:v>
      </x:c>
      <x:c r="F423" s="82" t="str">
        <x:v>Platform/Orchestration/Invocation/InvocationContracts.cs (class)</x:v>
      </x:c>
      <x:c r="G423" s="82" t="str">
        <x:v>尚未逐项裁决</x:v>
      </x:c>
      <x:c r="H423" s="82" t="str">
        <x:v>CxVisual.Mechanism.Orchestration</x:v>
      </x:c>
      <x:c r="I423" s="82" t="str">
        <x:v>需核原方法签名/行为、状态、依赖及实例生命周期</x:v>
      </x:c>
      <x:c r="J423" s="82" t="str">
        <x:v>V7.8词法声明证据</x:v>
      </x:c>
      <x:c r="K423" s="82" t="str">
        <x:v>设计审查中/未执行实测</x:v>
      </x:c>
    </x:row>
    <x:row r="424">
      <x:c r="A424" s="82" t="str">
        <x:v>M24.PlacementPolicy</x:v>
      </x:c>
      <x:c r="B424" s="82" t="str">
        <x:v>M24</x:v>
      </x:c>
      <x:c r="C424" s="82" t="str">
        <x:v>CxVisual.Mechanism.Orchestration</x:v>
      </x:c>
      <x:c r="D424" s="82" t="str">
        <x:v>PlacementPolicy</x:v>
      </x:c>
      <x:c r="E424" s="82" t="n">
        <x:v>0</x:v>
      </x:c>
      <x:c r="F424" s="82" t="str">
        <x:v>—</x:v>
      </x:c>
      <x:c r="G424" s="82" t="str">
        <x:v>尚未逐项裁决</x:v>
      </x:c>
      <x:c r="H424" s="82" t="str">
        <x:v>CxVisual.Mechanism.Orchestration</x:v>
      </x:c>
      <x:c r="I424" s="82" t="str">
        <x:v>需核原方法签名/行为、状态、依赖及实例生命周期</x:v>
      </x:c>
      <x:c r="J424" s="82" t="str">
        <x:v>V7.8词法声明证据</x:v>
      </x:c>
      <x:c r="K424" s="82" t="str">
        <x:v>设计审查中/未执行实测</x:v>
      </x:c>
    </x:row>
    <x:row r="425">
      <x:c r="A425" s="82" t="str">
        <x:v>M25.ConcurrencyPolicy</x:v>
      </x:c>
      <x:c r="B425" s="82" t="str">
        <x:v>M25</x:v>
      </x:c>
      <x:c r="C425" s="82" t="str">
        <x:v>CxVisual.Mechanism.Orchestration</x:v>
      </x:c>
      <x:c r="D425" s="82" t="str">
        <x:v>ConcurrencyPolicy</x:v>
      </x:c>
      <x:c r="E425" s="82" t="n">
        <x:v>0</x:v>
      </x:c>
      <x:c r="F425" s="82" t="str">
        <x:v>—</x:v>
      </x:c>
      <x:c r="G425" s="82" t="str">
        <x:v>尚未逐项裁决</x:v>
      </x:c>
      <x:c r="H425" s="82" t="str">
        <x:v>CxVisual.Mechanism.Orchestration</x:v>
      </x:c>
      <x:c r="I425" s="82" t="str">
        <x:v>需核原方法签名/行为、状态、依赖及实例生命周期</x:v>
      </x:c>
      <x:c r="J425" s="82" t="str">
        <x:v>V7.8词法声明证据</x:v>
      </x:c>
      <x:c r="K425" s="82" t="str">
        <x:v>设计审查中/未执行实测</x:v>
      </x:c>
    </x:row>
    <x:row r="426">
      <x:c r="A426" s="82" t="str">
        <x:v>M25.CyclicTaskDefinition</x:v>
      </x:c>
      <x:c r="B426" s="82" t="str">
        <x:v>M25</x:v>
      </x:c>
      <x:c r="C426" s="82" t="str">
        <x:v>CxVisual.Mechanism.Orchestration</x:v>
      </x:c>
      <x:c r="D426" s="82" t="str">
        <x:v>CyclicTaskDefinition</x:v>
      </x:c>
      <x:c r="E426" s="82" t="n">
        <x:v>0</x:v>
      </x:c>
      <x:c r="F426" s="82" t="str">
        <x:v>—</x:v>
      </x:c>
      <x:c r="G426" s="82" t="str">
        <x:v>尚未逐项裁决</x:v>
      </x:c>
      <x:c r="H426" s="82" t="str">
        <x:v>CxVisual.Mechanism.Orchestration</x:v>
      </x:c>
      <x:c r="I426" s="82" t="str">
        <x:v>需核原方法签名/行为、状态、依赖及实例生命周期</x:v>
      </x:c>
      <x:c r="J426" s="82" t="str">
        <x:v>V7.8词法声明证据</x:v>
      </x:c>
      <x:c r="K426" s="82" t="str">
        <x:v>设计审查中/未执行实测</x:v>
      </x:c>
    </x:row>
    <x:row r="427">
      <x:c r="A427" s="82" t="str">
        <x:v>M25.IClock</x:v>
      </x:c>
      <x:c r="B427" s="82" t="str">
        <x:v>M25</x:v>
      </x:c>
      <x:c r="C427" s="82" t="str">
        <x:v>CxVisual.Mechanism.Orchestration</x:v>
      </x:c>
      <x:c r="D427" s="82" t="str">
        <x:v>IClock</x:v>
      </x:c>
      <x:c r="E427" s="82" t="n">
        <x:v>1</x:v>
      </x:c>
      <x:c r="F427" s="82" t="str">
        <x:v>Platform/Core/Abstractions/RuntimeBoundaries.cs (interface)</x:v>
      </x:c>
      <x:c r="G427" s="82" t="str">
        <x:v>尚未逐项裁决</x:v>
      </x:c>
      <x:c r="H427" s="82" t="str">
        <x:v>CxVisual.Mechanism.Orchestration</x:v>
      </x:c>
      <x:c r="I427" s="82" t="str">
        <x:v>需核原方法签名/行为、状态、依赖及实例生命周期</x:v>
      </x:c>
      <x:c r="J427" s="82" t="str">
        <x:v>V7.8词法声明证据</x:v>
      </x:c>
      <x:c r="K427" s="82" t="str">
        <x:v>设计审查中/未执行实测</x:v>
      </x:c>
    </x:row>
    <x:row r="428">
      <x:c r="A428" s="82" t="str">
        <x:v>M25.QueuePolicy</x:v>
      </x:c>
      <x:c r="B428" s="82" t="str">
        <x:v>M25</x:v>
      </x:c>
      <x:c r="C428" s="82" t="str">
        <x:v>CxVisual.Mechanism.Orchestration</x:v>
      </x:c>
      <x:c r="D428" s="82" t="str">
        <x:v>QueuePolicy</x:v>
      </x:c>
      <x:c r="E428" s="82" t="n">
        <x:v>0</x:v>
      </x:c>
      <x:c r="F428" s="82" t="str">
        <x:v>—</x:v>
      </x:c>
      <x:c r="G428" s="82" t="str">
        <x:v>尚未逐项裁决</x:v>
      </x:c>
      <x:c r="H428" s="82" t="str">
        <x:v>CxVisual.Mechanism.Orchestration</x:v>
      </x:c>
      <x:c r="I428" s="82" t="str">
        <x:v>需核原方法签名/行为、状态、依赖及实例生命周期</x:v>
      </x:c>
      <x:c r="J428" s="82" t="str">
        <x:v>V7.8词法声明证据</x:v>
      </x:c>
      <x:c r="K428" s="82" t="str">
        <x:v>设计审查中/未执行实测</x:v>
      </x:c>
    </x:row>
    <x:row r="429">
      <x:c r="A429" s="82" t="str">
        <x:v>M25.ReplayClock</x:v>
      </x:c>
      <x:c r="B429" s="82" t="str">
        <x:v>M25</x:v>
      </x:c>
      <x:c r="C429" s="82" t="str">
        <x:v>CxVisual.Mechanism.Orchestration</x:v>
      </x:c>
      <x:c r="D429" s="82" t="str">
        <x:v>ReplayClock</x:v>
      </x:c>
      <x:c r="E429" s="82" t="n">
        <x:v>0</x:v>
      </x:c>
      <x:c r="F429" s="82" t="str">
        <x:v>—</x:v>
      </x:c>
      <x:c r="G429" s="82" t="str">
        <x:v>尚未逐项裁决</x:v>
      </x:c>
      <x:c r="H429" s="82" t="str">
        <x:v>CxVisual.Mechanism.Orchestration</x:v>
      </x:c>
      <x:c r="I429" s="82" t="str">
        <x:v>需核原方法签名/行为、状态、依赖及实例生命周期</x:v>
      </x:c>
      <x:c r="J429" s="82" t="str">
        <x:v>V7.8词法声明证据</x:v>
      </x:c>
      <x:c r="K429" s="82" t="str">
        <x:v>设计审查中/未执行实测</x:v>
      </x:c>
    </x:row>
    <x:row r="430">
      <x:c r="A430" s="82" t="str">
        <x:v>M25.ScheduleDefinition</x:v>
      </x:c>
      <x:c r="B430" s="82" t="str">
        <x:v>M25</x:v>
      </x:c>
      <x:c r="C430" s="82" t="str">
        <x:v>CxVisual.Mechanism.Orchestration</x:v>
      </x:c>
      <x:c r="D430" s="82" t="str">
        <x:v>ScheduleDefinition</x:v>
      </x:c>
      <x:c r="E430" s="82" t="n">
        <x:v>0</x:v>
      </x:c>
      <x:c r="F430" s="82" t="str">
        <x:v>—</x:v>
      </x:c>
      <x:c r="G430" s="82" t="str">
        <x:v>尚未逐项裁决</x:v>
      </x:c>
      <x:c r="H430" s="82" t="str">
        <x:v>CxVisual.Mechanism.Orchestration</x:v>
      </x:c>
      <x:c r="I430" s="82" t="str">
        <x:v>需核原方法签名/行为、状态、依赖及实例生命周期</x:v>
      </x:c>
      <x:c r="J430" s="82" t="str">
        <x:v>V7.8词法声明证据</x:v>
      </x:c>
      <x:c r="K430" s="82" t="str">
        <x:v>设计审查中/未执行实测</x:v>
      </x:c>
    </x:row>
    <x:row r="431">
      <x:c r="A431" s="82" t="str">
        <x:v>M25.SimulationClock</x:v>
      </x:c>
      <x:c r="B431" s="82" t="str">
        <x:v>M25</x:v>
      </x:c>
      <x:c r="C431" s="82" t="str">
        <x:v>CxVisual.Mechanism.Orchestration</x:v>
      </x:c>
      <x:c r="D431" s="82" t="str">
        <x:v>SimulationClock</x:v>
      </x:c>
      <x:c r="E431" s="82" t="n">
        <x:v>0</x:v>
      </x:c>
      <x:c r="F431" s="82" t="str">
        <x:v>—</x:v>
      </x:c>
      <x:c r="G431" s="82" t="str">
        <x:v>尚未逐项裁决</x:v>
      </x:c>
      <x:c r="H431" s="82" t="str">
        <x:v>CxVisual.Mechanism.Orchestration</x:v>
      </x:c>
      <x:c r="I431" s="82" t="str">
        <x:v>需核原方法签名/行为、状态、依赖及实例生命周期</x:v>
      </x:c>
      <x:c r="J431" s="82" t="str">
        <x:v>V7.8词法声明证据</x:v>
      </x:c>
      <x:c r="K431" s="82" t="str">
        <x:v>设计审查中/未执行实测</x:v>
      </x:c>
    </x:row>
    <x:row r="432">
      <x:c r="A432" s="82" t="str">
        <x:v>M25.SystemClock</x:v>
      </x:c>
      <x:c r="B432" s="82" t="str">
        <x:v>M25</x:v>
      </x:c>
      <x:c r="C432" s="82" t="str">
        <x:v>CxVisual.Mechanism.Orchestration</x:v>
      </x:c>
      <x:c r="D432" s="82" t="str">
        <x:v>SystemClock</x:v>
      </x:c>
      <x:c r="E432" s="82" t="n">
        <x:v>1</x:v>
      </x:c>
      <x:c r="F432" s="82" t="str">
        <x:v>Platform/Core/Abstractions/RuntimeBoundaries.cs (class)</x:v>
      </x:c>
      <x:c r="G432" s="82" t="str">
        <x:v>尚未逐项裁决</x:v>
      </x:c>
      <x:c r="H432" s="82" t="str">
        <x:v>CxVisual.Mechanism.Orchestration</x:v>
      </x:c>
      <x:c r="I432" s="82" t="str">
        <x:v>需核原方法签名/行为、状态、依赖及实例生命周期</x:v>
      </x:c>
      <x:c r="J432" s="82" t="str">
        <x:v>V7.8词法声明证据</x:v>
      </x:c>
      <x:c r="K432" s="82" t="str">
        <x:v>设计审查中/未执行实测</x:v>
      </x:c>
    </x:row>
    <x:row r="433">
      <x:c r="A433" s="82" t="str">
        <x:v>M26.CxResourceDefinition</x:v>
      </x:c>
      <x:c r="B433" s="82" t="str">
        <x:v>M26</x:v>
      </x:c>
      <x:c r="C433" s="82" t="str">
        <x:v>CxVisual.Mechanism.Runtime</x:v>
      </x:c>
      <x:c r="D433" s="82" t="str">
        <x:v>CxResourceDefinition</x:v>
      </x:c>
      <x:c r="E433" s="82" t="n">
        <x:v>1</x:v>
      </x:c>
      <x:c r="F433" s="82" t="str">
        <x:v>Platform/Core/CxResources.cs (class)</x:v>
      </x:c>
      <x:c r="G433" s="82" t="str">
        <x:v>尚未逐项裁决</x:v>
      </x:c>
      <x:c r="H433" s="82" t="str">
        <x:v>CxVisual.Mechanism.Runtime</x:v>
      </x:c>
      <x:c r="I433" s="82" t="str">
        <x:v>需核原方法签名/行为、状态、依赖及实例生命周期</x:v>
      </x:c>
      <x:c r="J433" s="82" t="str">
        <x:v>V7.8词法声明证据</x:v>
      </x:c>
      <x:c r="K433" s="82" t="str">
        <x:v>设计审查中/未执行实测</x:v>
      </x:c>
    </x:row>
    <x:row r="434">
      <x:c r="A434" s="82" t="str">
        <x:v>M26.CxResourceRef</x:v>
      </x:c>
      <x:c r="B434" s="82" t="str">
        <x:v>M26</x:v>
      </x:c>
      <x:c r="C434" s="82" t="str">
        <x:v>CxVisual.Mechanism.Runtime</x:v>
      </x:c>
      <x:c r="D434" s="82" t="str">
        <x:v>CxResourceRef</x:v>
      </x:c>
      <x:c r="E434" s="82" t="n">
        <x:v>1</x:v>
      </x:c>
      <x:c r="F434" s="82" t="str">
        <x:v>Platform/Core/CxNodeReferences.cs (class)</x:v>
      </x:c>
      <x:c r="G434" s="82" t="str">
        <x:v>尚未逐项裁决</x:v>
      </x:c>
      <x:c r="H434" s="82" t="str">
        <x:v>CxVisual.Mechanism.Runtime</x:v>
      </x:c>
      <x:c r="I434" s="82" t="str">
        <x:v>需核原方法签名/行为、状态、依赖及实例生命周期</x:v>
      </x:c>
      <x:c r="J434" s="82" t="str">
        <x:v>V7.8词法声明证据</x:v>
      </x:c>
      <x:c r="K434" s="82" t="str">
        <x:v>设计审查中/未执行实测</x:v>
      </x:c>
    </x:row>
    <x:row r="435">
      <x:c r="A435" s="82" t="str">
        <x:v>M26.CxResourceRequirement</x:v>
      </x:c>
      <x:c r="B435" s="82" t="str">
        <x:v>M26</x:v>
      </x:c>
      <x:c r="C435" s="82" t="str">
        <x:v>CxVisual.Mechanism.Runtime</x:v>
      </x:c>
      <x:c r="D435" s="82" t="str">
        <x:v>CxResourceRequirement</x:v>
      </x:c>
      <x:c r="E435" s="82" t="n">
        <x:v>1</x:v>
      </x:c>
      <x:c r="F435" s="82" t="str">
        <x:v>Platform/Core/CxDescriptorContracts.cs (class)</x:v>
      </x:c>
      <x:c r="G435" s="82" t="str">
        <x:v>尚未逐项裁决</x:v>
      </x:c>
      <x:c r="H435" s="82" t="str">
        <x:v>CxVisual.Mechanism.Runtime</x:v>
      </x:c>
      <x:c r="I435" s="82" t="str">
        <x:v>需核原方法签名/行为、状态、依赖及实例生命周期</x:v>
      </x:c>
      <x:c r="J435" s="82" t="str">
        <x:v>V7.8词法声明证据</x:v>
      </x:c>
      <x:c r="K435" s="82" t="str">
        <x:v>设计审查中/未执行实测</x:v>
      </x:c>
    </x:row>
    <x:row r="436">
      <x:c r="A436" s="82" t="str">
        <x:v>M26.LeaseHandle</x:v>
      </x:c>
      <x:c r="B436" s="82" t="str">
        <x:v>M26</x:v>
      </x:c>
      <x:c r="C436" s="82" t="str">
        <x:v>CxVisual.Mechanism.Runtime</x:v>
      </x:c>
      <x:c r="D436" s="82" t="str">
        <x:v>LeaseHandle</x:v>
      </x:c>
      <x:c r="E436" s="82" t="n">
        <x:v>0</x:v>
      </x:c>
      <x:c r="F436" s="82" t="str">
        <x:v>—</x:v>
      </x:c>
      <x:c r="G436" s="82" t="str">
        <x:v>尚未逐项裁决</x:v>
      </x:c>
      <x:c r="H436" s="82" t="str">
        <x:v>CxVisual.Mechanism.Runtime</x:v>
      </x:c>
      <x:c r="I436" s="82" t="str">
        <x:v>需核原方法签名/行为、状态、依赖及实例生命周期</x:v>
      </x:c>
      <x:c r="J436" s="82" t="str">
        <x:v>V7.8词法声明证据</x:v>
      </x:c>
      <x:c r="K436" s="82" t="str">
        <x:v>设计审查中/未执行实测</x:v>
      </x:c>
    </x:row>
    <x:row r="437">
      <x:c r="A437" s="82" t="str">
        <x:v>M26.MutexPolicy</x:v>
      </x:c>
      <x:c r="B437" s="82" t="str">
        <x:v>M26</x:v>
      </x:c>
      <x:c r="C437" s="82" t="str">
        <x:v>CxVisual.Mechanism.Runtime</x:v>
      </x:c>
      <x:c r="D437" s="82" t="str">
        <x:v>MutexPolicy</x:v>
      </x:c>
      <x:c r="E437" s="82" t="n">
        <x:v>0</x:v>
      </x:c>
      <x:c r="F437" s="82" t="str">
        <x:v>—</x:v>
      </x:c>
      <x:c r="G437" s="82" t="str">
        <x:v>尚未逐项裁决</x:v>
      </x:c>
      <x:c r="H437" s="82" t="str">
        <x:v>CxVisual.Mechanism.Runtime</x:v>
      </x:c>
      <x:c r="I437" s="82" t="str">
        <x:v>需核原方法签名/行为、状态、依赖及实例生命周期</x:v>
      </x:c>
      <x:c r="J437" s="82" t="str">
        <x:v>V7.8词法声明证据</x:v>
      </x:c>
      <x:c r="K437" s="82" t="str">
        <x:v>设计审查中/未执行实测</x:v>
      </x:c>
    </x:row>
    <x:row r="438">
      <x:c r="A438" s="82" t="str">
        <x:v>M26.PlacementTarget</x:v>
      </x:c>
      <x:c r="B438" s="82" t="str">
        <x:v>M26</x:v>
      </x:c>
      <x:c r="C438" s="82" t="str">
        <x:v>CxVisual.Mechanism.Runtime</x:v>
      </x:c>
      <x:c r="D438" s="82" t="str">
        <x:v>PlacementTarget</x:v>
      </x:c>
      <x:c r="E438" s="82" t="n">
        <x:v>0</x:v>
      </x:c>
      <x:c r="F438" s="82" t="str">
        <x:v>—</x:v>
      </x:c>
      <x:c r="G438" s="82" t="str">
        <x:v>尚未逐项裁决</x:v>
      </x:c>
      <x:c r="H438" s="82" t="str">
        <x:v>CxVisual.Mechanism.Runtime</x:v>
      </x:c>
      <x:c r="I438" s="82" t="str">
        <x:v>需核原方法签名/行为、状态、依赖及实例生命周期</x:v>
      </x:c>
      <x:c r="J438" s="82" t="str">
        <x:v>V7.8词法声明证据</x:v>
      </x:c>
      <x:c r="K438" s="82" t="str">
        <x:v>设计审查中/未执行实测</x:v>
      </x:c>
    </x:row>
    <x:row r="439">
      <x:c r="A439" s="82" t="str">
        <x:v>M26.RamVramQuotaManager</x:v>
      </x:c>
      <x:c r="B439" s="82" t="str">
        <x:v>M26</x:v>
      </x:c>
      <x:c r="C439" s="82" t="str">
        <x:v>CxVisual.Mechanism.Runtime</x:v>
      </x:c>
      <x:c r="D439" s="82" t="str">
        <x:v>RamVramQuotaManager</x:v>
      </x:c>
      <x:c r="E439" s="82" t="n">
        <x:v>0</x:v>
      </x:c>
      <x:c r="F439" s="82" t="str">
        <x:v>—</x:v>
      </x:c>
      <x:c r="G439" s="82" t="str">
        <x:v>尚未逐项裁决</x:v>
      </x:c>
      <x:c r="H439" s="82" t="str">
        <x:v>CxVisual.Mechanism.Runtime</x:v>
      </x:c>
      <x:c r="I439" s="82" t="str">
        <x:v>需核原方法签名/行为、状态、依赖及实例生命周期</x:v>
      </x:c>
      <x:c r="J439" s="82" t="str">
        <x:v>V7.8词法声明证据</x:v>
      </x:c>
      <x:c r="K439" s="82" t="str">
        <x:v>设计审查中/未执行实测</x:v>
      </x:c>
    </x:row>
    <x:row r="440">
      <x:c r="A440" s="82" t="str">
        <x:v>M26.ResourcePressureSignal</x:v>
      </x:c>
      <x:c r="B440" s="82" t="str">
        <x:v>M26</x:v>
      </x:c>
      <x:c r="C440" s="82" t="str">
        <x:v>CxVisual.Mechanism.Runtime</x:v>
      </x:c>
      <x:c r="D440" s="82" t="str">
        <x:v>ResourcePressureSignal</x:v>
      </x:c>
      <x:c r="E440" s="82" t="n">
        <x:v>0</x:v>
      </x:c>
      <x:c r="F440" s="82" t="str">
        <x:v>—</x:v>
      </x:c>
      <x:c r="G440" s="82" t="str">
        <x:v>尚未逐项裁决</x:v>
      </x:c>
      <x:c r="H440" s="82" t="str">
        <x:v>CxVisual.Mechanism.Runtime</x:v>
      </x:c>
      <x:c r="I440" s="82" t="str">
        <x:v>需核原方法签名/行为、状态、依赖及实例生命周期</x:v>
      </x:c>
      <x:c r="J440" s="82" t="str">
        <x:v>V7.8词法声明证据</x:v>
      </x:c>
      <x:c r="K440" s="82" t="str">
        <x:v>设计审查中/未执行实测</x:v>
      </x:c>
    </x:row>
    <x:row r="441">
      <x:c r="A441" s="82" t="str">
        <x:v>M26.ResourceScope</x:v>
      </x:c>
      <x:c r="B441" s="82" t="str">
        <x:v>M26</x:v>
      </x:c>
      <x:c r="C441" s="82" t="str">
        <x:v>CxVisual.Mechanism.Runtime</x:v>
      </x:c>
      <x:c r="D441" s="82" t="str">
        <x:v>ResourceScope</x:v>
      </x:c>
      <x:c r="E441" s="82" t="n">
        <x:v>1</x:v>
      </x:c>
      <x:c r="F441" s="82" t="str">
        <x:v>Platform/Orchestration/Runtime/ExecutionRuntime.cs (class)</x:v>
      </x:c>
      <x:c r="G441" s="82" t="str">
        <x:v>尚未逐项裁决</x:v>
      </x:c>
      <x:c r="H441" s="82" t="str">
        <x:v>CxVisual.Mechanism.Runtime</x:v>
      </x:c>
      <x:c r="I441" s="82" t="str">
        <x:v>需核原方法签名/行为、状态、依赖及实例生命周期</x:v>
      </x:c>
      <x:c r="J441" s="82" t="str">
        <x:v>V7.8词法声明证据</x:v>
      </x:c>
      <x:c r="K441" s="82" t="str">
        <x:v>设计审查中/未执行实测</x:v>
      </x:c>
    </x:row>
    <x:row r="442">
      <x:c r="A442" s="82" t="str">
        <x:v>M26.ResourceWaitEntry</x:v>
      </x:c>
      <x:c r="B442" s="82" t="str">
        <x:v>M26</x:v>
      </x:c>
      <x:c r="C442" s="82" t="str">
        <x:v>CxVisual.Mechanism.Runtime</x:v>
      </x:c>
      <x:c r="D442" s="82" t="str">
        <x:v>ResourceWaitEntry</x:v>
      </x:c>
      <x:c r="E442" s="82" t="n">
        <x:v>0</x:v>
      </x:c>
      <x:c r="F442" s="82" t="str">
        <x:v>—</x:v>
      </x:c>
      <x:c r="G442" s="82" t="str">
        <x:v>尚未逐项裁决</x:v>
      </x:c>
      <x:c r="H442" s="82" t="str">
        <x:v>CxVisual.Mechanism.Runtime</x:v>
      </x:c>
      <x:c r="I442" s="82" t="str">
        <x:v>需核原方法签名/行为、状态、依赖及实例生命周期</x:v>
      </x:c>
      <x:c r="J442" s="82" t="str">
        <x:v>V7.8词法声明证据</x:v>
      </x:c>
      <x:c r="K442" s="82" t="str">
        <x:v>设计审查中/未执行实测</x:v>
      </x:c>
    </x:row>
    <x:row r="443">
      <x:c r="A443" s="82" t="str">
        <x:v>M26.SemaphorePolicy</x:v>
      </x:c>
      <x:c r="B443" s="82" t="str">
        <x:v>M26</x:v>
      </x:c>
      <x:c r="C443" s="82" t="str">
        <x:v>CxVisual.Mechanism.Runtime</x:v>
      </x:c>
      <x:c r="D443" s="82" t="str">
        <x:v>SemaphorePolicy</x:v>
      </x:c>
      <x:c r="E443" s="82" t="n">
        <x:v>0</x:v>
      </x:c>
      <x:c r="F443" s="82" t="str">
        <x:v>—</x:v>
      </x:c>
      <x:c r="G443" s="82" t="str">
        <x:v>尚未逐项裁决</x:v>
      </x:c>
      <x:c r="H443" s="82" t="str">
        <x:v>CxVisual.Mechanism.Runtime</x:v>
      </x:c>
      <x:c r="I443" s="82" t="str">
        <x:v>需核原方法签名/行为、状态、依赖及实例生命周期</x:v>
      </x:c>
      <x:c r="J443" s="82" t="str">
        <x:v>V7.8词法声明证据</x:v>
      </x:c>
      <x:c r="K443" s="82" t="str">
        <x:v>设计审查中/未执行实测</x:v>
      </x:c>
    </x:row>
    <x:row r="444">
      <x:c r="A444" s="82" t="str">
        <x:v>M27.CancellationPolicy</x:v>
      </x:c>
      <x:c r="B444" s="82" t="str">
        <x:v>M27</x:v>
      </x:c>
      <x:c r="C444" s="82" t="str">
        <x:v>CxVisual.Mechanism.Runtime</x:v>
      </x:c>
      <x:c r="D444" s="82" t="str">
        <x:v>CancellationPolicy</x:v>
      </x:c>
      <x:c r="E444" s="82" t="n">
        <x:v>0</x:v>
      </x:c>
      <x:c r="F444" s="82" t="str">
        <x:v>—</x:v>
      </x:c>
      <x:c r="G444" s="82" t="str">
        <x:v>尚未逐项裁决</x:v>
      </x:c>
      <x:c r="H444" s="82" t="str">
        <x:v>CxVisual.Mechanism.Runtime</x:v>
      </x:c>
      <x:c r="I444" s="82" t="str">
        <x:v>需核原方法签名/行为、状态、依赖及实例生命周期</x:v>
      </x:c>
      <x:c r="J444" s="82" t="str">
        <x:v>V7.8词法声明证据</x:v>
      </x:c>
      <x:c r="K444" s="82" t="str">
        <x:v>设计审查中/未执行实测</x:v>
      </x:c>
    </x:row>
    <x:row r="445">
      <x:c r="A445" s="82" t="str">
        <x:v>M27.CircuitBreakerPolicy</x:v>
      </x:c>
      <x:c r="B445" s="82" t="str">
        <x:v>M27</x:v>
      </x:c>
      <x:c r="C445" s="82" t="str">
        <x:v>CxVisual.Mechanism.Runtime</x:v>
      </x:c>
      <x:c r="D445" s="82" t="str">
        <x:v>CircuitBreakerPolicy</x:v>
      </x:c>
      <x:c r="E445" s="82" t="n">
        <x:v>0</x:v>
      </x:c>
      <x:c r="F445" s="82" t="str">
        <x:v>—</x:v>
      </x:c>
      <x:c r="G445" s="82" t="str">
        <x:v>尚未逐项裁决</x:v>
      </x:c>
      <x:c r="H445" s="82" t="str">
        <x:v>CxVisual.Mechanism.Runtime</x:v>
      </x:c>
      <x:c r="I445" s="82" t="str">
        <x:v>需核原方法签名/行为、状态、依赖及实例生命周期</x:v>
      </x:c>
      <x:c r="J445" s="82" t="str">
        <x:v>V7.8词法声明证据</x:v>
      </x:c>
      <x:c r="K445" s="82" t="str">
        <x:v>设计审查中/未执行实测</x:v>
      </x:c>
    </x:row>
    <x:row r="446">
      <x:c r="A446" s="82" t="str">
        <x:v>M27.FallbackPolicy</x:v>
      </x:c>
      <x:c r="B446" s="82" t="str">
        <x:v>M27</x:v>
      </x:c>
      <x:c r="C446" s="82" t="str">
        <x:v>CxVisual.Mechanism.Runtime</x:v>
      </x:c>
      <x:c r="D446" s="82" t="str">
        <x:v>FallbackPolicy</x:v>
      </x:c>
      <x:c r="E446" s="82" t="n">
        <x:v>0</x:v>
      </x:c>
      <x:c r="F446" s="82" t="str">
        <x:v>—</x:v>
      </x:c>
      <x:c r="G446" s="82" t="str">
        <x:v>尚未逐项裁决</x:v>
      </x:c>
      <x:c r="H446" s="82" t="str">
        <x:v>CxVisual.Mechanism.Runtime</x:v>
      </x:c>
      <x:c r="I446" s="82" t="str">
        <x:v>需核原方法签名/行为、状态、依赖及实例生命周期</x:v>
      </x:c>
      <x:c r="J446" s="82" t="str">
        <x:v>V7.8词法声明证据</x:v>
      </x:c>
      <x:c r="K446" s="82" t="str">
        <x:v>设计审查中/未执行实测</x:v>
      </x:c>
    </x:row>
    <x:row r="447">
      <x:c r="A447" s="82" t="str">
        <x:v>M27.FaultPropagationPolicy</x:v>
      </x:c>
      <x:c r="B447" s="82" t="str">
        <x:v>M27</x:v>
      </x:c>
      <x:c r="C447" s="82" t="str">
        <x:v>CxVisual.Mechanism.Runtime</x:v>
      </x:c>
      <x:c r="D447" s="82" t="str">
        <x:v>FaultPropagationPolicy</x:v>
      </x:c>
      <x:c r="E447" s="82" t="n">
        <x:v>0</x:v>
      </x:c>
      <x:c r="F447" s="82" t="str">
        <x:v>—</x:v>
      </x:c>
      <x:c r="G447" s="82" t="str">
        <x:v>尚未逐项裁决</x:v>
      </x:c>
      <x:c r="H447" s="82" t="str">
        <x:v>CxVisual.Mechanism.Runtime</x:v>
      </x:c>
      <x:c r="I447" s="82" t="str">
        <x:v>需核原方法签名/行为、状态、依赖及实例生命周期</x:v>
      </x:c>
      <x:c r="J447" s="82" t="str">
        <x:v>V7.8词法声明证据</x:v>
      </x:c>
      <x:c r="K447" s="82" t="str">
        <x:v>设计审查中/未执行实测</x:v>
      </x:c>
    </x:row>
    <x:row r="448">
      <x:c r="A448" s="82" t="str">
        <x:v>M27.IdempotencyPolicy</x:v>
      </x:c>
      <x:c r="B448" s="82" t="str">
        <x:v>M27</x:v>
      </x:c>
      <x:c r="C448" s="82" t="str">
        <x:v>CxVisual.Mechanism.Runtime</x:v>
      </x:c>
      <x:c r="D448" s="82" t="str">
        <x:v>IdempotencyPolicy</x:v>
      </x:c>
      <x:c r="E448" s="82" t="n">
        <x:v>0</x:v>
      </x:c>
      <x:c r="F448" s="82" t="str">
        <x:v>—</x:v>
      </x:c>
      <x:c r="G448" s="82" t="str">
        <x:v>尚未逐项裁决</x:v>
      </x:c>
      <x:c r="H448" s="82" t="str">
        <x:v>CxVisual.Mechanism.Runtime</x:v>
      </x:c>
      <x:c r="I448" s="82" t="str">
        <x:v>需核原方法签名/行为、状态、依赖及实例生命周期</x:v>
      </x:c>
      <x:c r="J448" s="82" t="str">
        <x:v>V7.8词法声明证据</x:v>
      </x:c>
      <x:c r="K448" s="82" t="str">
        <x:v>设计审查中/未执行实测</x:v>
      </x:c>
    </x:row>
    <x:row r="449">
      <x:c r="A449" s="82" t="str">
        <x:v>M27.PolicyDescriptor</x:v>
      </x:c>
      <x:c r="B449" s="82" t="str">
        <x:v>M27</x:v>
      </x:c>
      <x:c r="C449" s="82" t="str">
        <x:v>CxVisual.Mechanism.Runtime</x:v>
      </x:c>
      <x:c r="D449" s="82" t="str">
        <x:v>PolicyDescriptor</x:v>
      </x:c>
      <x:c r="E449" s="82" t="n">
        <x:v>0</x:v>
      </x:c>
      <x:c r="F449" s="82" t="str">
        <x:v>—</x:v>
      </x:c>
      <x:c r="G449" s="82" t="str">
        <x:v>尚未逐项裁决</x:v>
      </x:c>
      <x:c r="H449" s="82" t="str">
        <x:v>CxVisual.Mechanism.Runtime</x:v>
      </x:c>
      <x:c r="I449" s="82" t="str">
        <x:v>需核原方法签名/行为、状态、依赖及实例生命周期</x:v>
      </x:c>
      <x:c r="J449" s="82" t="str">
        <x:v>V7.8词法声明证据</x:v>
      </x:c>
      <x:c r="K449" s="82" t="str">
        <x:v>设计审查中/未执行实测</x:v>
      </x:c>
    </x:row>
    <x:row r="450">
      <x:c r="A450" s="82" t="str">
        <x:v>M27.RecoveryPolicy</x:v>
      </x:c>
      <x:c r="B450" s="82" t="str">
        <x:v>M27</x:v>
      </x:c>
      <x:c r="C450" s="82" t="str">
        <x:v>CxVisual.Mechanism.Runtime</x:v>
      </x:c>
      <x:c r="D450" s="82" t="str">
        <x:v>RecoveryPolicy</x:v>
      </x:c>
      <x:c r="E450" s="82" t="n">
        <x:v>0</x:v>
      </x:c>
      <x:c r="F450" s="82" t="str">
        <x:v>—</x:v>
      </x:c>
      <x:c r="G450" s="82" t="str">
        <x:v>尚未逐项裁决</x:v>
      </x:c>
      <x:c r="H450" s="82" t="str">
        <x:v>CxVisual.Mechanism.Runtime</x:v>
      </x:c>
      <x:c r="I450" s="82" t="str">
        <x:v>需核原方法签名/行为、状态、依赖及实例生命周期</x:v>
      </x:c>
      <x:c r="J450" s="82" t="str">
        <x:v>V7.8词法声明证据</x:v>
      </x:c>
      <x:c r="K450" s="82" t="str">
        <x:v>设计审查中/未执行实测</x:v>
      </x:c>
    </x:row>
    <x:row r="451">
      <x:c r="A451" s="82" t="str">
        <x:v>M27.RetryPolicy</x:v>
      </x:c>
      <x:c r="B451" s="82" t="str">
        <x:v>M27</x:v>
      </x:c>
      <x:c r="C451" s="82" t="str">
        <x:v>CxVisual.Mechanism.Runtime</x:v>
      </x:c>
      <x:c r="D451" s="82" t="str">
        <x:v>RetryPolicy</x:v>
      </x:c>
      <x:c r="E451" s="82" t="n">
        <x:v>1</x:v>
      </x:c>
      <x:c r="F451" s="82" t="str">
        <x:v>Platform/Orchestration/Policies/ExecutionPolicies.cs (class)</x:v>
      </x:c>
      <x:c r="G451" s="82" t="str">
        <x:v>尚未逐项裁决</x:v>
      </x:c>
      <x:c r="H451" s="82" t="str">
        <x:v>CxVisual.Mechanism.Runtime</x:v>
      </x:c>
      <x:c r="I451" s="82" t="str">
        <x:v>需核原方法签名/行为、状态、依赖及实例生命周期</x:v>
      </x:c>
      <x:c r="J451" s="82" t="str">
        <x:v>V7.8词法声明证据</x:v>
      </x:c>
      <x:c r="K451" s="82" t="str">
        <x:v>设计审查中/未执行实测</x:v>
      </x:c>
    </x:row>
    <x:row r="452">
      <x:c r="A452" s="82" t="str">
        <x:v>M27.TimeoutPolicy</x:v>
      </x:c>
      <x:c r="B452" s="82" t="str">
        <x:v>M27</x:v>
      </x:c>
      <x:c r="C452" s="82" t="str">
        <x:v>CxVisual.Mechanism.Runtime</x:v>
      </x:c>
      <x:c r="D452" s="82" t="str">
        <x:v>TimeoutPolicy</x:v>
      </x:c>
      <x:c r="E452" s="82" t="n">
        <x:v>0</x:v>
      </x:c>
      <x:c r="F452" s="82" t="str">
        <x:v>—</x:v>
      </x:c>
      <x:c r="G452" s="82" t="str">
        <x:v>尚未逐项裁决</x:v>
      </x:c>
      <x:c r="H452" s="82" t="str">
        <x:v>CxVisual.Mechanism.Runtime</x:v>
      </x:c>
      <x:c r="I452" s="82" t="str">
        <x:v>需核原方法签名/行为、状态、依赖及实例生命周期</x:v>
      </x:c>
      <x:c r="J452" s="82" t="str">
        <x:v>V7.8词法声明证据</x:v>
      </x:c>
      <x:c r="K452" s="82" t="str">
        <x:v>设计审查中/未执行实测</x:v>
      </x:c>
    </x:row>
    <x:row r="453">
      <x:c r="A453" s="82" t="str">
        <x:v>M28.AuditRecord</x:v>
      </x:c>
      <x:c r="B453" s="82" t="str">
        <x:v>M28</x:v>
      </x:c>
      <x:c r="C453" s="82" t="str">
        <x:v>CxVisual.Mechanism.Runtime</x:v>
      </x:c>
      <x:c r="D453" s="82" t="str">
        <x:v>AuditRecord</x:v>
      </x:c>
      <x:c r="E453" s="82" t="n">
        <x:v>0</x:v>
      </x:c>
      <x:c r="F453" s="82" t="str">
        <x:v>—</x:v>
      </x:c>
      <x:c r="G453" s="82" t="str">
        <x:v>尚未逐项裁决</x:v>
      </x:c>
      <x:c r="H453" s="82" t="str">
        <x:v>CxVisual.Mechanism.Runtime</x:v>
      </x:c>
      <x:c r="I453" s="82" t="str">
        <x:v>需核原方法签名/行为、状态、依赖及实例生命周期</x:v>
      </x:c>
      <x:c r="J453" s="82" t="str">
        <x:v>V7.8词法声明证据</x:v>
      </x:c>
      <x:c r="K453" s="82" t="str">
        <x:v>设计审查中/未执行实测</x:v>
      </x:c>
    </x:row>
    <x:row r="454">
      <x:c r="A454" s="82" t="str">
        <x:v>M28.CredentialLease</x:v>
      </x:c>
      <x:c r="B454" s="82" t="str">
        <x:v>M28</x:v>
      </x:c>
      <x:c r="C454" s="82" t="str">
        <x:v>CxVisual.Mechanism.Runtime</x:v>
      </x:c>
      <x:c r="D454" s="82" t="str">
        <x:v>CredentialLease</x:v>
      </x:c>
      <x:c r="E454" s="82" t="n">
        <x:v>0</x:v>
      </x:c>
      <x:c r="F454" s="82" t="str">
        <x:v>—</x:v>
      </x:c>
      <x:c r="G454" s="82" t="str">
        <x:v>尚未逐项裁决</x:v>
      </x:c>
      <x:c r="H454" s="82" t="str">
        <x:v>CxVisual.Mechanism.Runtime</x:v>
      </x:c>
      <x:c r="I454" s="82" t="str">
        <x:v>需核原方法签名/行为、状态、依赖及实例生命周期</x:v>
      </x:c>
      <x:c r="J454" s="82" t="str">
        <x:v>V7.8词法声明证据</x:v>
      </x:c>
      <x:c r="K454" s="82" t="str">
        <x:v>设计审查中/未执行实测</x:v>
      </x:c>
    </x:row>
    <x:row r="455">
      <x:c r="A455" s="82" t="str">
        <x:v>M28.Identity</x:v>
      </x:c>
      <x:c r="B455" s="82" t="str">
        <x:v>M28</x:v>
      </x:c>
      <x:c r="C455" s="82" t="str">
        <x:v>CxVisual.Mechanism.Runtime</x:v>
      </x:c>
      <x:c r="D455" s="82" t="str">
        <x:v>Identity</x:v>
      </x:c>
      <x:c r="E455" s="82" t="n">
        <x:v>0</x:v>
      </x:c>
      <x:c r="F455" s="82" t="str">
        <x:v>—</x:v>
      </x:c>
      <x:c r="G455" s="82" t="str">
        <x:v>尚未逐项裁决</x:v>
      </x:c>
      <x:c r="H455" s="82" t="str">
        <x:v>CxVisual.Mechanism.Runtime</x:v>
      </x:c>
      <x:c r="I455" s="82" t="str">
        <x:v>需核原方法签名/行为、状态、依赖及实例生命周期</x:v>
      </x:c>
      <x:c r="J455" s="82" t="str">
        <x:v>V7.8词法声明证据</x:v>
      </x:c>
      <x:c r="K455" s="82" t="str">
        <x:v>设计审查中/未执行实测</x:v>
      </x:c>
    </x:row>
    <x:row r="456">
      <x:c r="A456" s="82" t="str">
        <x:v>M28.InterlockDefinition</x:v>
      </x:c>
      <x:c r="B456" s="82" t="str">
        <x:v>M28</x:v>
      </x:c>
      <x:c r="C456" s="82" t="str">
        <x:v>CxVisual.Mechanism.Runtime</x:v>
      </x:c>
      <x:c r="D456" s="82" t="str">
        <x:v>InterlockDefinition</x:v>
      </x:c>
      <x:c r="E456" s="82" t="n">
        <x:v>1</x:v>
      </x:c>
      <x:c r="F456" s="82" t="str">
        <x:v>Workbenches/Automation/Motion/MotionAndRobot.cs (class)</x:v>
      </x:c>
      <x:c r="G456" s="82" t="str">
        <x:v>尚未逐项裁决</x:v>
      </x:c>
      <x:c r="H456" s="82" t="str">
        <x:v>CxVisual.Mechanism.Runtime</x:v>
      </x:c>
      <x:c r="I456" s="82" t="str">
        <x:v>需核原方法签名/行为、状态、依赖及实例生命周期</x:v>
      </x:c>
      <x:c r="J456" s="82" t="str">
        <x:v>V7.8词法声明证据</x:v>
      </x:c>
      <x:c r="K456" s="82" t="str">
        <x:v>设计审查中/未执行实测</x:v>
      </x:c>
    </x:row>
    <x:row r="457">
      <x:c r="A457" s="82" t="str">
        <x:v>M28.InterlockGuard</x:v>
      </x:c>
      <x:c r="B457" s="82" t="str">
        <x:v>M28</x:v>
      </x:c>
      <x:c r="C457" s="82" t="str">
        <x:v>CxVisual.Mechanism.Runtime</x:v>
      </x:c>
      <x:c r="D457" s="82" t="str">
        <x:v>InterlockGuard</x:v>
      </x:c>
      <x:c r="E457" s="82" t="n">
        <x:v>0</x:v>
      </x:c>
      <x:c r="F457" s="82" t="str">
        <x:v>—</x:v>
      </x:c>
      <x:c r="G457" s="82" t="str">
        <x:v>尚未逐项裁决</x:v>
      </x:c>
      <x:c r="H457" s="82" t="str">
        <x:v>CxVisual.Mechanism.Runtime</x:v>
      </x:c>
      <x:c r="I457" s="82" t="str">
        <x:v>需核原方法签名/行为、状态、依赖及实例生命周期</x:v>
      </x:c>
      <x:c r="J457" s="82" t="str">
        <x:v>V7.8词法声明证据</x:v>
      </x:c>
      <x:c r="K457" s="82" t="str">
        <x:v>设计审查中/未执行实测</x:v>
      </x:c>
    </x:row>
    <x:row r="458">
      <x:c r="A458" s="82" t="str">
        <x:v>M28.PermissionPolicy</x:v>
      </x:c>
      <x:c r="B458" s="82" t="str">
        <x:v>M28</x:v>
      </x:c>
      <x:c r="C458" s="82" t="str">
        <x:v>CxVisual.Mechanism.Runtime</x:v>
      </x:c>
      <x:c r="D458" s="82" t="str">
        <x:v>PermissionPolicy</x:v>
      </x:c>
      <x:c r="E458" s="82" t="n">
        <x:v>0</x:v>
      </x:c>
      <x:c r="F458" s="82" t="str">
        <x:v>—</x:v>
      </x:c>
      <x:c r="G458" s="82" t="str">
        <x:v>尚未逐项裁决</x:v>
      </x:c>
      <x:c r="H458" s="82" t="str">
        <x:v>CxVisual.Mechanism.Runtime</x:v>
      </x:c>
      <x:c r="I458" s="82" t="str">
        <x:v>需核原方法签名/行为、状态、依赖及实例生命周期</x:v>
      </x:c>
      <x:c r="J458" s="82" t="str">
        <x:v>V7.8词法声明证据</x:v>
      </x:c>
      <x:c r="K458" s="82" t="str">
        <x:v>设计审查中/未执行实测</x:v>
      </x:c>
    </x:row>
    <x:row r="459">
      <x:c r="A459" s="82" t="str">
        <x:v>M28.Role</x:v>
      </x:c>
      <x:c r="B459" s="82" t="str">
        <x:v>M28</x:v>
      </x:c>
      <x:c r="C459" s="82" t="str">
        <x:v>CxVisual.Mechanism.Runtime</x:v>
      </x:c>
      <x:c r="D459" s="82" t="str">
        <x:v>Role</x:v>
      </x:c>
      <x:c r="E459" s="82" t="n">
        <x:v>0</x:v>
      </x:c>
      <x:c r="F459" s="82" t="str">
        <x:v>—</x:v>
      </x:c>
      <x:c r="G459" s="82" t="str">
        <x:v>尚未逐项裁决</x:v>
      </x:c>
      <x:c r="H459" s="82" t="str">
        <x:v>CxVisual.Mechanism.Runtime</x:v>
      </x:c>
      <x:c r="I459" s="82" t="str">
        <x:v>需核原方法签名/行为、状态、依赖及实例生命周期</x:v>
      </x:c>
      <x:c r="J459" s="82" t="str">
        <x:v>V7.8词法声明证据</x:v>
      </x:c>
      <x:c r="K459" s="82" t="str">
        <x:v>设计审查中/未执行实测</x:v>
      </x:c>
    </x:row>
    <x:row r="460">
      <x:c r="A460" s="82" t="str">
        <x:v>M28.RunMode</x:v>
      </x:c>
      <x:c r="B460" s="82" t="str">
        <x:v>M28</x:v>
      </x:c>
      <x:c r="C460" s="82" t="str">
        <x:v>CxVisual.Mechanism.Runtime</x:v>
      </x:c>
      <x:c r="D460" s="82" t="str">
        <x:v>RunMode</x:v>
      </x:c>
      <x:c r="E460" s="82" t="n">
        <x:v>0</x:v>
      </x:c>
      <x:c r="F460" s="82" t="str">
        <x:v>—</x:v>
      </x:c>
      <x:c r="G460" s="82" t="str">
        <x:v>尚未逐项裁决</x:v>
      </x:c>
      <x:c r="H460" s="82" t="str">
        <x:v>CxVisual.Mechanism.Runtime</x:v>
      </x:c>
      <x:c r="I460" s="82" t="str">
        <x:v>需核原方法签名/行为、状态、依赖及实例生命周期</x:v>
      </x:c>
      <x:c r="J460" s="82" t="str">
        <x:v>V7.8词法声明证据</x:v>
      </x:c>
      <x:c r="K460" s="82" t="str">
        <x:v>设计审查中/未执行实测</x:v>
      </x:c>
    </x:row>
    <x:row r="461">
      <x:c r="A461" s="82" t="str">
        <x:v>M28.SecretProvider</x:v>
      </x:c>
      <x:c r="B461" s="82" t="str">
        <x:v>M28</x:v>
      </x:c>
      <x:c r="C461" s="82" t="str">
        <x:v>CxVisual.Mechanism.Runtime</x:v>
      </x:c>
      <x:c r="D461" s="82" t="str">
        <x:v>SecretProvider</x:v>
      </x:c>
      <x:c r="E461" s="82" t="n">
        <x:v>0</x:v>
      </x:c>
      <x:c r="F461" s="82" t="str">
        <x:v>—</x:v>
      </x:c>
      <x:c r="G461" s="82" t="str">
        <x:v>尚未逐项裁决</x:v>
      </x:c>
      <x:c r="H461" s="82" t="str">
        <x:v>CxVisual.Mechanism.Runtime</x:v>
      </x:c>
      <x:c r="I461" s="82" t="str">
        <x:v>需核原方法签名/行为、状态、依赖及实例生命周期</x:v>
      </x:c>
      <x:c r="J461" s="82" t="str">
        <x:v>V7.8词法声明证据</x:v>
      </x:c>
      <x:c r="K461" s="82" t="str">
        <x:v>设计审查中/未执行实测</x:v>
      </x:c>
    </x:row>
    <x:row r="462">
      <x:c r="A462" s="82" t="str">
        <x:v>M28.SecurityContext</x:v>
      </x:c>
      <x:c r="B462" s="82" t="str">
        <x:v>M28</x:v>
      </x:c>
      <x:c r="C462" s="82" t="str">
        <x:v>CxVisual.Mechanism.Runtime</x:v>
      </x:c>
      <x:c r="D462" s="82" t="str">
        <x:v>SecurityContext</x:v>
      </x:c>
      <x:c r="E462" s="82" t="n">
        <x:v>0</x:v>
      </x:c>
      <x:c r="F462" s="82" t="str">
        <x:v>—</x:v>
      </x:c>
      <x:c r="G462" s="82" t="str">
        <x:v>尚未逐项裁决</x:v>
      </x:c>
      <x:c r="H462" s="82" t="str">
        <x:v>CxVisual.Mechanism.Runtime</x:v>
      </x:c>
      <x:c r="I462" s="82" t="str">
        <x:v>需核原方法签名/行为、状态、依赖及实例生命周期</x:v>
      </x:c>
      <x:c r="J462" s="82" t="str">
        <x:v>V7.8词法声明证据</x:v>
      </x:c>
      <x:c r="K462" s="82" t="str">
        <x:v>设计审查中/未执行实测</x:v>
      </x:c>
    </x:row>
    <x:row r="463">
      <x:c r="A463" s="82" t="str">
        <x:v>M29.CompileContext</x:v>
      </x:c>
      <x:c r="B463" s="82" t="str">
        <x:v>M29</x:v>
      </x:c>
      <x:c r="C463" s="82" t="str">
        <x:v>CxVisual.Mechanism.Runtime</x:v>
      </x:c>
      <x:c r="D463" s="82" t="str">
        <x:v>CompileContext</x:v>
      </x:c>
      <x:c r="E463" s="82" t="n">
        <x:v>0</x:v>
      </x:c>
      <x:c r="F463" s="82" t="str">
        <x:v>—</x:v>
      </x:c>
      <x:c r="G463" s="82" t="str">
        <x:v>尚未逐项裁决</x:v>
      </x:c>
      <x:c r="H463" s="82" t="str">
        <x:v>CxVisual.Mechanism.Runtime</x:v>
      </x:c>
      <x:c r="I463" s="82" t="str">
        <x:v>需核原方法签名/行为、状态、依赖及实例生命周期</x:v>
      </x:c>
      <x:c r="J463" s="82" t="str">
        <x:v>V7.8词法声明证据</x:v>
      </x:c>
      <x:c r="K463" s="82" t="str">
        <x:v>设计审查中/未执行实测</x:v>
      </x:c>
    </x:row>
    <x:row r="464">
      <x:c r="A464" s="82" t="str">
        <x:v>M29.CxResolvedProject</x:v>
      </x:c>
      <x:c r="B464" s="82" t="str">
        <x:v>M29</x:v>
      </x:c>
      <x:c r="C464" s="82" t="str">
        <x:v>CxVisual.Mechanism.Runtime</x:v>
      </x:c>
      <x:c r="D464" s="82" t="str">
        <x:v>CxResolvedProject</x:v>
      </x:c>
      <x:c r="E464" s="82" t="n">
        <x:v>1</x:v>
      </x:c>
      <x:c r="F464" s="82" t="str">
        <x:v>Platform/Orchestration/Compiler/CxResolvedContracts.cs (class)</x:v>
      </x:c>
      <x:c r="G464" s="82" t="str">
        <x:v>尚未逐项裁决</x:v>
      </x:c>
      <x:c r="H464" s="82" t="str">
        <x:v>CxVisual.Mechanism.Runtime</x:v>
      </x:c>
      <x:c r="I464" s="82" t="str">
        <x:v>需核原方法签名/行为、状态、依赖及实例生命周期</x:v>
      </x:c>
      <x:c r="J464" s="82" t="str">
        <x:v>V7.8词法声明证据</x:v>
      </x:c>
      <x:c r="K464" s="82" t="str">
        <x:v>设计审查中/未执行实测</x:v>
      </x:c>
    </x:row>
    <x:row r="465">
      <x:c r="A465" s="82" t="str">
        <x:v>M29.DeploymentPlan</x:v>
      </x:c>
      <x:c r="B465" s="82" t="str">
        <x:v>M29</x:v>
      </x:c>
      <x:c r="C465" s="82" t="str">
        <x:v>CxVisual.Mechanism.Runtime</x:v>
      </x:c>
      <x:c r="D465" s="82" t="str">
        <x:v>DeploymentPlan</x:v>
      </x:c>
      <x:c r="E465" s="82" t="n">
        <x:v>0</x:v>
      </x:c>
      <x:c r="F465" s="82" t="str">
        <x:v>—</x:v>
      </x:c>
      <x:c r="G465" s="82" t="str">
        <x:v>尚未逐项裁决</x:v>
      </x:c>
      <x:c r="H465" s="82" t="str">
        <x:v>CxVisual.Mechanism.Runtime</x:v>
      </x:c>
      <x:c r="I465" s="82" t="str">
        <x:v>需核原方法签名/行为、状态、依赖及实例生命周期</x:v>
      </x:c>
      <x:c r="J465" s="82" t="str">
        <x:v>V7.8词法声明证据</x:v>
      </x:c>
      <x:c r="K465" s="82" t="str">
        <x:v>设计审查中/未执行实测</x:v>
      </x:c>
    </x:row>
    <x:row r="466">
      <x:c r="A466" s="82" t="str">
        <x:v>M29.Diagnostic</x:v>
      </x:c>
      <x:c r="B466" s="82" t="str">
        <x:v>M29</x:v>
      </x:c>
      <x:c r="C466" s="82" t="str">
        <x:v>CxVisual.Mechanism.Runtime</x:v>
      </x:c>
      <x:c r="D466" s="82" t="str">
        <x:v>Diagnostic</x:v>
      </x:c>
      <x:c r="E466" s="82" t="n">
        <x:v>0</x:v>
      </x:c>
      <x:c r="F466" s="82" t="str">
        <x:v>—</x:v>
      </x:c>
      <x:c r="G466" s="82" t="str">
        <x:v>尚未逐项裁决</x:v>
      </x:c>
      <x:c r="H466" s="82" t="str">
        <x:v>CxVisual.Mechanism.Runtime</x:v>
      </x:c>
      <x:c r="I466" s="82" t="str">
        <x:v>需核原方法签名/行为、状态、依赖及实例生命周期</x:v>
      </x:c>
      <x:c r="J466" s="82" t="str">
        <x:v>V7.8词法声明证据</x:v>
      </x:c>
      <x:c r="K466" s="82" t="str">
        <x:v>设计审查中/未执行实测</x:v>
      </x:c>
    </x:row>
    <x:row r="467">
      <x:c r="A467" s="82" t="str">
        <x:v>M29.ExecutionNode</x:v>
      </x:c>
      <x:c r="B467" s="82" t="str">
        <x:v>M29</x:v>
      </x:c>
      <x:c r="C467" s="82" t="str">
        <x:v>CxVisual.Mechanism.Runtime</x:v>
      </x:c>
      <x:c r="D467" s="82" t="str">
        <x:v>ExecutionNode</x:v>
      </x:c>
      <x:c r="E467" s="82" t="n">
        <x:v>0</x:v>
      </x:c>
      <x:c r="F467" s="82" t="str">
        <x:v>—</x:v>
      </x:c>
      <x:c r="G467" s="82" t="str">
        <x:v>尚未逐项裁决</x:v>
      </x:c>
      <x:c r="H467" s="82" t="str">
        <x:v>CxVisual.Mechanism.Runtime</x:v>
      </x:c>
      <x:c r="I467" s="82" t="str">
        <x:v>需核原方法签名/行为、状态、依赖及实例生命周期</x:v>
      </x:c>
      <x:c r="J467" s="82" t="str">
        <x:v>V7.8词法声明证据</x:v>
      </x:c>
      <x:c r="K467" s="82" t="str">
        <x:v>设计审查中/未执行实测</x:v>
      </x:c>
    </x:row>
    <x:row r="468">
      <x:c r="A468" s="82" t="str">
        <x:v>M29.ExecutionPlan</x:v>
      </x:c>
      <x:c r="B468" s="82" t="str">
        <x:v>M29</x:v>
      </x:c>
      <x:c r="C468" s="82" t="str">
        <x:v>CxVisual.Mechanism.Runtime</x:v>
      </x:c>
      <x:c r="D468" s="82" t="str">
        <x:v>ExecutionPlan</x:v>
      </x:c>
      <x:c r="E468" s="82" t="n">
        <x:v>1</x:v>
      </x:c>
      <x:c r="F468" s="82" t="str">
        <x:v>Platform/Orchestration/Core/ExecutionContracts.cs (class)</x:v>
      </x:c>
      <x:c r="G468" s="82" t="str">
        <x:v>尚未逐项裁决</x:v>
      </x:c>
      <x:c r="H468" s="82" t="str">
        <x:v>CxVisual.Mechanism.Runtime</x:v>
      </x:c>
      <x:c r="I468" s="82" t="str">
        <x:v>需核原方法签名/行为、状态、依赖及实例生命周期</x:v>
      </x:c>
      <x:c r="J468" s="82" t="str">
        <x:v>V7.8词法声明证据</x:v>
      </x:c>
      <x:c r="K468" s="82" t="str">
        <x:v>设计审查中/未执行实测</x:v>
      </x:c>
    </x:row>
    <x:row r="469">
      <x:c r="A469" s="82" t="str">
        <x:v>M29.ResourcePlan</x:v>
      </x:c>
      <x:c r="B469" s="82" t="str">
        <x:v>M29</x:v>
      </x:c>
      <x:c r="C469" s="82" t="str">
        <x:v>CxVisual.Mechanism.Runtime</x:v>
      </x:c>
      <x:c r="D469" s="82" t="str">
        <x:v>ResourcePlan</x:v>
      </x:c>
      <x:c r="E469" s="82" t="n">
        <x:v>0</x:v>
      </x:c>
      <x:c r="F469" s="82" t="str">
        <x:v>—</x:v>
      </x:c>
      <x:c r="G469" s="82" t="str">
        <x:v>尚未逐项裁决</x:v>
      </x:c>
      <x:c r="H469" s="82" t="str">
        <x:v>CxVisual.Mechanism.Runtime</x:v>
      </x:c>
      <x:c r="I469" s="82" t="str">
        <x:v>需核原方法签名/行为、状态、依赖及实例生命周期</x:v>
      </x:c>
      <x:c r="J469" s="82" t="str">
        <x:v>V7.8词法声明证据</x:v>
      </x:c>
      <x:c r="K469" s="82" t="str">
        <x:v>设计审查中/未执行实测</x:v>
      </x:c>
    </x:row>
    <x:row r="470">
      <x:c r="A470" s="82" t="str">
        <x:v>M29.ValidationResult</x:v>
      </x:c>
      <x:c r="B470" s="82" t="str">
        <x:v>M29</x:v>
      </x:c>
      <x:c r="C470" s="82" t="str">
        <x:v>CxVisual.Mechanism.Runtime</x:v>
      </x:c>
      <x:c r="D470" s="82" t="str">
        <x:v>ValidationResult</x:v>
      </x:c>
      <x:c r="E470" s="82" t="n">
        <x:v>0</x:v>
      </x:c>
      <x:c r="F470" s="82" t="str">
        <x:v>—</x:v>
      </x:c>
      <x:c r="G470" s="82" t="str">
        <x:v>尚未逐项裁决</x:v>
      </x:c>
      <x:c r="H470" s="82" t="str">
        <x:v>CxVisual.Mechanism.Runtime</x:v>
      </x:c>
      <x:c r="I470" s="82" t="str">
        <x:v>需核原方法签名/行为、状态、依赖及实例生命周期</x:v>
      </x:c>
      <x:c r="J470" s="82" t="str">
        <x:v>V7.8词法声明证据</x:v>
      </x:c>
      <x:c r="K470" s="82" t="str">
        <x:v>设计审查中/未执行实测</x:v>
      </x:c>
    </x:row>
    <x:row r="471">
      <x:c r="A471" s="82" t="str">
        <x:v>M30.CancellationContext</x:v>
      </x:c>
      <x:c r="B471" s="82" t="str">
        <x:v>M30</x:v>
      </x:c>
      <x:c r="C471" s="82" t="str">
        <x:v>CxVisual.Mechanism.Runtime</x:v>
      </x:c>
      <x:c r="D471" s="82" t="str">
        <x:v>CancellationContext</x:v>
      </x:c>
      <x:c r="E471" s="82" t="n">
        <x:v>0</x:v>
      </x:c>
      <x:c r="F471" s="82" t="str">
        <x:v>—</x:v>
      </x:c>
      <x:c r="G471" s="82" t="str">
        <x:v>尚未逐项裁决</x:v>
      </x:c>
      <x:c r="H471" s="82" t="str">
        <x:v>CxVisual.Mechanism.Runtime</x:v>
      </x:c>
      <x:c r="I471" s="82" t="str">
        <x:v>需核原方法签名/行为、状态、依赖及实例生命周期</x:v>
      </x:c>
      <x:c r="J471" s="82" t="str">
        <x:v>V7.8词法声明证据</x:v>
      </x:c>
      <x:c r="K471" s="82" t="str">
        <x:v>设计审查中/未执行实测</x:v>
      </x:c>
    </x:row>
    <x:row r="472">
      <x:c r="A472" s="82" t="str">
        <x:v>M30.CxProjectRuntimeHost</x:v>
      </x:c>
      <x:c r="B472" s="82" t="str">
        <x:v>M30</x:v>
      </x:c>
      <x:c r="C472" s="82" t="str">
        <x:v>CxVisual.Mechanism.Runtime</x:v>
      </x:c>
      <x:c r="D472" s="82" t="str">
        <x:v>CxProjectRuntimeHost</x:v>
      </x:c>
      <x:c r="E472" s="82" t="n">
        <x:v>1</x:v>
      </x:c>
      <x:c r="F472" s="82" t="str">
        <x:v>Platform/Orchestration/Runtime/CxProjectRuntimeHost.cs (class)</x:v>
      </x:c>
      <x:c r="G472" s="82" t="str">
        <x:v>尚未逐项裁决</x:v>
      </x:c>
      <x:c r="H472" s="82" t="str">
        <x:v>CxVisual.Mechanism.Runtime</x:v>
      </x:c>
      <x:c r="I472" s="82" t="str">
        <x:v>需核原方法签名/行为、状态、依赖及实例生命周期</x:v>
      </x:c>
      <x:c r="J472" s="82" t="str">
        <x:v>V7.8词法声明证据</x:v>
      </x:c>
      <x:c r="K472" s="82" t="str">
        <x:v>设计审查中/未执行实测</x:v>
      </x:c>
    </x:row>
    <x:row r="473">
      <x:c r="A473" s="82" t="str">
        <x:v>M30.ExecutionContext</x:v>
      </x:c>
      <x:c r="B473" s="82" t="str">
        <x:v>M30</x:v>
      </x:c>
      <x:c r="C473" s="82" t="str">
        <x:v>CxVisual.Mechanism.Runtime</x:v>
      </x:c>
      <x:c r="D473" s="82" t="str">
        <x:v>ExecutionContext</x:v>
      </x:c>
      <x:c r="E473" s="82" t="n">
        <x:v>1</x:v>
      </x:c>
      <x:c r="F473" s="82" t="str">
        <x:v>Platform/Orchestration/Runtime/ExecutionContext.cs (class)</x:v>
      </x:c>
      <x:c r="G473" s="82" t="str">
        <x:v>尚未逐项裁决</x:v>
      </x:c>
      <x:c r="H473" s="82" t="str">
        <x:v>CxVisual.Mechanism.Runtime</x:v>
      </x:c>
      <x:c r="I473" s="82" t="str">
        <x:v>需核原方法签名/行为、状态、依赖及实例生命周期</x:v>
      </x:c>
      <x:c r="J473" s="82" t="str">
        <x:v>V7.8词法声明证据</x:v>
      </x:c>
      <x:c r="K473" s="82" t="str">
        <x:v>设计审查中/未执行实测</x:v>
      </x:c>
    </x:row>
    <x:row r="474">
      <x:c r="A474" s="82" t="str">
        <x:v>M30.ExecutionInstance</x:v>
      </x:c>
      <x:c r="B474" s="82" t="str">
        <x:v>M30</x:v>
      </x:c>
      <x:c r="C474" s="82" t="str">
        <x:v>CxVisual.Mechanism.Runtime</x:v>
      </x:c>
      <x:c r="D474" s="82" t="str">
        <x:v>ExecutionInstance</x:v>
      </x:c>
      <x:c r="E474" s="82" t="n">
        <x:v>1</x:v>
      </x:c>
      <x:c r="F474" s="82" t="str">
        <x:v>Platform/Orchestration/Runtime/ExecutionRuntime.cs (class)</x:v>
      </x:c>
      <x:c r="G474" s="82" t="str">
        <x:v>尚未逐项裁决</x:v>
      </x:c>
      <x:c r="H474" s="82" t="str">
        <x:v>CxVisual.Mechanism.Runtime</x:v>
      </x:c>
      <x:c r="I474" s="82" t="str">
        <x:v>需核原方法签名/行为、状态、依赖及实例生命周期</x:v>
      </x:c>
      <x:c r="J474" s="82" t="str">
        <x:v>V7.8词法声明证据</x:v>
      </x:c>
      <x:c r="K474" s="82" t="str">
        <x:v>设计审查中/未执行实测</x:v>
      </x:c>
    </x:row>
    <x:row r="475">
      <x:c r="A475" s="82" t="str">
        <x:v>M30.ExecutionRuntimeKernel</x:v>
      </x:c>
      <x:c r="B475" s="82" t="str">
        <x:v>M30</x:v>
      </x:c>
      <x:c r="C475" s="82" t="str">
        <x:v>CxVisual.Mechanism.Runtime</x:v>
      </x:c>
      <x:c r="D475" s="82" t="str">
        <x:v>ExecutionRuntimeKernel</x:v>
      </x:c>
      <x:c r="E475" s="82" t="n">
        <x:v>1</x:v>
      </x:c>
      <x:c r="F475" s="82" t="str">
        <x:v>Platform/Orchestration/Runtime/ExecutionRuntime.cs (class)</x:v>
      </x:c>
      <x:c r="G475" s="82" t="str">
        <x:v>尚未逐项裁决</x:v>
      </x:c>
      <x:c r="H475" s="82" t="str">
        <x:v>CxVisual.Mechanism.Runtime</x:v>
      </x:c>
      <x:c r="I475" s="82" t="str">
        <x:v>需核原方法签名/行为、状态、依赖及实例生命周期</x:v>
      </x:c>
      <x:c r="J475" s="82" t="str">
        <x:v>V7.8词法声明证据</x:v>
      </x:c>
      <x:c r="K475" s="82" t="str">
        <x:v>设计审查中/未执行实测</x:v>
      </x:c>
    </x:row>
    <x:row r="476">
      <x:c r="A476" s="82" t="str">
        <x:v>M30.ExecutionScope</x:v>
      </x:c>
      <x:c r="B476" s="82" t="str">
        <x:v>M30</x:v>
      </x:c>
      <x:c r="C476" s="82" t="str">
        <x:v>CxVisual.Mechanism.Runtime</x:v>
      </x:c>
      <x:c r="D476" s="82" t="str">
        <x:v>ExecutionScope</x:v>
      </x:c>
      <x:c r="E476" s="82" t="n">
        <x:v>2</x:v>
      </x:c>
      <x:c r="F476" s="82" t="str">
        <x:v>Platform/Execution/ExecutionScope.cs (class); Platform/Orchestration/Runtime/ExecutionRuntime.cs (class)</x:v>
      </x:c>
      <x:c r="G476" s="82" t="str">
        <x:v>尚未逐项裁决</x:v>
      </x:c>
      <x:c r="H476" s="82" t="str">
        <x:v>CxVisual.Mechanism.Runtime</x:v>
      </x:c>
      <x:c r="I476" s="82" t="str">
        <x:v>需核原方法签名/行为、状态、依赖及实例生命周期</x:v>
      </x:c>
      <x:c r="J476" s="82" t="str">
        <x:v>V7.8词法声明证据</x:v>
      </x:c>
      <x:c r="K476" s="82" t="str">
        <x:v>设计审查中/未执行实测</x:v>
      </x:c>
    </x:row>
    <x:row r="477">
      <x:c r="A477" s="82" t="str">
        <x:v>M30.RuntimeSession</x:v>
      </x:c>
      <x:c r="B477" s="82" t="str">
        <x:v>M30</x:v>
      </x:c>
      <x:c r="C477" s="82" t="str">
        <x:v>CxVisual.Mechanism.Runtime</x:v>
      </x:c>
      <x:c r="D477" s="82" t="str">
        <x:v>RuntimeSession</x:v>
      </x:c>
      <x:c r="E477" s="82" t="n">
        <x:v>0</x:v>
      </x:c>
      <x:c r="F477" s="82" t="str">
        <x:v>—</x:v>
      </x:c>
      <x:c r="G477" s="82" t="str">
        <x:v>尚未逐项裁决</x:v>
      </x:c>
      <x:c r="H477" s="82" t="str">
        <x:v>CxVisual.Mechanism.Runtime</x:v>
      </x:c>
      <x:c r="I477" s="82" t="str">
        <x:v>需核原方法签名/行为、状态、依赖及实例生命周期</x:v>
      </x:c>
      <x:c r="J477" s="82" t="str">
        <x:v>V7.8词法声明证据</x:v>
      </x:c>
      <x:c r="K477" s="82" t="str">
        <x:v>设计审查中/未执行实测</x:v>
      </x:c>
    </x:row>
    <x:row r="478">
      <x:c r="A478" s="82" t="str">
        <x:v>M30.RuntimeStateSnapshot</x:v>
      </x:c>
      <x:c r="B478" s="82" t="str">
        <x:v>M30</x:v>
      </x:c>
      <x:c r="C478" s="82" t="str">
        <x:v>CxVisual.Mechanism.Runtime</x:v>
      </x:c>
      <x:c r="D478" s="82" t="str">
        <x:v>RuntimeStateSnapshot</x:v>
      </x:c>
      <x:c r="E478" s="82" t="n">
        <x:v>0</x:v>
      </x:c>
      <x:c r="F478" s="82" t="str">
        <x:v>—</x:v>
      </x:c>
      <x:c r="G478" s="82" t="str">
        <x:v>尚未逐项裁决</x:v>
      </x:c>
      <x:c r="H478" s="82" t="str">
        <x:v>CxVisual.Mechanism.Runtime</x:v>
      </x:c>
      <x:c r="I478" s="82" t="str">
        <x:v>需核原方法签名/行为、状态、依赖及实例生命周期</x:v>
      </x:c>
      <x:c r="J478" s="82" t="str">
        <x:v>V7.8词法声明证据</x:v>
      </x:c>
      <x:c r="K478" s="82" t="str">
        <x:v>设计审查中/未执行实测</x:v>
      </x:c>
    </x:row>
    <x:row r="479">
      <x:c r="A479" s="82" t="str">
        <x:v>M31.EdgeRuntimeState</x:v>
      </x:c>
      <x:c r="B479" s="82" t="str">
        <x:v>M31</x:v>
      </x:c>
      <x:c r="C479" s="82" t="str">
        <x:v>CxVisual.Mechanism.Runtime</x:v>
      </x:c>
      <x:c r="D479" s="82" t="str">
        <x:v>EdgeRuntimeState</x:v>
      </x:c>
      <x:c r="E479" s="82" t="n">
        <x:v>0</x:v>
      </x:c>
      <x:c r="F479" s="82" t="str">
        <x:v>—</x:v>
      </x:c>
      <x:c r="G479" s="82" t="str">
        <x:v>尚未逐项裁决</x:v>
      </x:c>
      <x:c r="H479" s="82" t="str">
        <x:v>CxVisual.Mechanism.Runtime</x:v>
      </x:c>
      <x:c r="I479" s="82" t="str">
        <x:v>需核原方法签名/行为、状态、依赖及实例生命周期</x:v>
      </x:c>
      <x:c r="J479" s="82" t="str">
        <x:v>V7.8词法声明证据</x:v>
      </x:c>
      <x:c r="K479" s="82" t="str">
        <x:v>设计审查中/未执行实测</x:v>
      </x:c>
    </x:row>
    <x:row r="480">
      <x:c r="A480" s="82" t="str">
        <x:v>M31.FaultDetail</x:v>
      </x:c>
      <x:c r="B480" s="82" t="str">
        <x:v>M31</x:v>
      </x:c>
      <x:c r="C480" s="82" t="str">
        <x:v>CxVisual.Mechanism.Runtime</x:v>
      </x:c>
      <x:c r="D480" s="82" t="str">
        <x:v>FaultDetail</x:v>
      </x:c>
      <x:c r="E480" s="82" t="n">
        <x:v>0</x:v>
      </x:c>
      <x:c r="F480" s="82" t="str">
        <x:v>—</x:v>
      </x:c>
      <x:c r="G480" s="82" t="str">
        <x:v>尚未逐项裁决</x:v>
      </x:c>
      <x:c r="H480" s="82" t="str">
        <x:v>CxVisual.Mechanism.Runtime</x:v>
      </x:c>
      <x:c r="I480" s="82" t="str">
        <x:v>需核原方法签名/行为、状态、依赖及实例生命周期</x:v>
      </x:c>
      <x:c r="J480" s="82" t="str">
        <x:v>V7.8词法声明证据</x:v>
      </x:c>
      <x:c r="K480" s="82" t="str">
        <x:v>设计审查中/未执行实测</x:v>
      </x:c>
    </x:row>
    <x:row r="481">
      <x:c r="A481" s="82" t="str">
        <x:v>M31.ProgressSnapshot</x:v>
      </x:c>
      <x:c r="B481" s="82" t="str">
        <x:v>M31</x:v>
      </x:c>
      <x:c r="C481" s="82" t="str">
        <x:v>CxVisual.Mechanism.Runtime</x:v>
      </x:c>
      <x:c r="D481" s="82" t="str">
        <x:v>ProgressSnapshot</x:v>
      </x:c>
      <x:c r="E481" s="82" t="n">
        <x:v>0</x:v>
      </x:c>
      <x:c r="F481" s="82" t="str">
        <x:v>—</x:v>
      </x:c>
      <x:c r="G481" s="82" t="str">
        <x:v>尚未逐项裁决</x:v>
      </x:c>
      <x:c r="H481" s="82" t="str">
        <x:v>CxVisual.Mechanism.Runtime</x:v>
      </x:c>
      <x:c r="I481" s="82" t="str">
        <x:v>需核原方法签名/行为、状态、依赖及实例生命周期</x:v>
      </x:c>
      <x:c r="J481" s="82" t="str">
        <x:v>V7.8词法声明证据</x:v>
      </x:c>
      <x:c r="K481" s="82" t="str">
        <x:v>设计审查中/未执行实测</x:v>
      </x:c>
    </x:row>
    <x:row r="482">
      <x:c r="A482" s="82" t="str">
        <x:v>M31.RecoveryRuntimeState</x:v>
      </x:c>
      <x:c r="B482" s="82" t="str">
        <x:v>M31</x:v>
      </x:c>
      <x:c r="C482" s="82" t="str">
        <x:v>CxVisual.Mechanism.Runtime</x:v>
      </x:c>
      <x:c r="D482" s="82" t="str">
        <x:v>RecoveryRuntimeState</x:v>
      </x:c>
      <x:c r="E482" s="82" t="n">
        <x:v>0</x:v>
      </x:c>
      <x:c r="F482" s="82" t="str">
        <x:v>—</x:v>
      </x:c>
      <x:c r="G482" s="82" t="str">
        <x:v>尚未逐项裁决</x:v>
      </x:c>
      <x:c r="H482" s="82" t="str">
        <x:v>CxVisual.Mechanism.Runtime</x:v>
      </x:c>
      <x:c r="I482" s="82" t="str">
        <x:v>需核原方法签名/行为、状态、依赖及实例生命周期</x:v>
      </x:c>
      <x:c r="J482" s="82" t="str">
        <x:v>V7.8词法声明证据</x:v>
      </x:c>
      <x:c r="K482" s="82" t="str">
        <x:v>设计审查中/未执行实测</x:v>
      </x:c>
    </x:row>
    <x:row r="483">
      <x:c r="A483" s="82" t="str">
        <x:v>M31.RetryRuntimeState</x:v>
      </x:c>
      <x:c r="B483" s="82" t="str">
        <x:v>M31</x:v>
      </x:c>
      <x:c r="C483" s="82" t="str">
        <x:v>CxVisual.Mechanism.Runtime</x:v>
      </x:c>
      <x:c r="D483" s="82" t="str">
        <x:v>RetryRuntimeState</x:v>
      </x:c>
      <x:c r="E483" s="82" t="n">
        <x:v>0</x:v>
      </x:c>
      <x:c r="F483" s="82" t="str">
        <x:v>—</x:v>
      </x:c>
      <x:c r="G483" s="82" t="str">
        <x:v>尚未逐项裁决</x:v>
      </x:c>
      <x:c r="H483" s="82" t="str">
        <x:v>CxVisual.Mechanism.Runtime</x:v>
      </x:c>
      <x:c r="I483" s="82" t="str">
        <x:v>需核原方法签名/行为、状态、依赖及实例生命周期</x:v>
      </x:c>
      <x:c r="J483" s="82" t="str">
        <x:v>V7.8词法声明证据</x:v>
      </x:c>
      <x:c r="K483" s="82" t="str">
        <x:v>设计审查中/未执行实测</x:v>
      </x:c>
    </x:row>
    <x:row r="484">
      <x:c r="A484" s="82" t="str">
        <x:v>M31.RuntimeDataScope</x:v>
      </x:c>
      <x:c r="B484" s="82" t="str">
        <x:v>M31</x:v>
      </x:c>
      <x:c r="C484" s="82" t="str">
        <x:v>CxVisual.Mechanism.Runtime</x:v>
      </x:c>
      <x:c r="D484" s="82" t="str">
        <x:v>RuntimeDataScope</x:v>
      </x:c>
      <x:c r="E484" s="82" t="n">
        <x:v>1</x:v>
      </x:c>
      <x:c r="F484" s="82" t="str">
        <x:v>Platform/Data/RuntimeDataScope.cs (class)</x:v>
      </x:c>
      <x:c r="G484" s="82" t="str">
        <x:v>尚未逐项裁决</x:v>
      </x:c>
      <x:c r="H484" s="82" t="str">
        <x:v>CxVisual.Mechanism.Runtime</x:v>
      </x:c>
      <x:c r="I484" s="82" t="str">
        <x:v>需核原方法签名/行为、状态、依赖及实例生命周期</x:v>
      </x:c>
      <x:c r="J484" s="82" t="str">
        <x:v>V7.8词法声明证据</x:v>
      </x:c>
      <x:c r="K484" s="82" t="str">
        <x:v>设计审查中/未执行实测</x:v>
      </x:c>
    </x:row>
    <x:row r="485">
      <x:c r="A485" s="82" t="str">
        <x:v>M31.RuntimeEventBus</x:v>
      </x:c>
      <x:c r="B485" s="82" t="str">
        <x:v>M31</x:v>
      </x:c>
      <x:c r="C485" s="82" t="str">
        <x:v>CxVisual.Mechanism.Runtime</x:v>
      </x:c>
      <x:c r="D485" s="82" t="str">
        <x:v>RuntimeEventBus</x:v>
      </x:c>
      <x:c r="E485" s="82" t="n">
        <x:v>0</x:v>
      </x:c>
      <x:c r="F485" s="82" t="str">
        <x:v>—</x:v>
      </x:c>
      <x:c r="G485" s="82" t="str">
        <x:v>尚未逐项裁决</x:v>
      </x:c>
      <x:c r="H485" s="82" t="str">
        <x:v>CxVisual.Mechanism.Runtime</x:v>
      </x:c>
      <x:c r="I485" s="82" t="str">
        <x:v>需核原方法签名/行为、状态、依赖及实例生命周期</x:v>
      </x:c>
      <x:c r="J485" s="82" t="str">
        <x:v>V7.8词法声明证据</x:v>
      </x:c>
      <x:c r="K485" s="82" t="str">
        <x:v>设计审查中/未执行实测</x:v>
      </x:c>
    </x:row>
    <x:row r="486">
      <x:c r="A486" s="82" t="str">
        <x:v>M31.RuntimeState</x:v>
      </x:c>
      <x:c r="B486" s="82" t="str">
        <x:v>M31</x:v>
      </x:c>
      <x:c r="C486" s="82" t="str">
        <x:v>CxVisual.Mechanism.Runtime</x:v>
      </x:c>
      <x:c r="D486" s="82" t="str">
        <x:v>RuntimeState</x:v>
      </x:c>
      <x:c r="E486" s="82" t="n">
        <x:v>0</x:v>
      </x:c>
      <x:c r="F486" s="82" t="str">
        <x:v>—</x:v>
      </x:c>
      <x:c r="G486" s="82" t="str">
        <x:v>尚未逐项裁决</x:v>
      </x:c>
      <x:c r="H486" s="82" t="str">
        <x:v>CxVisual.Mechanism.Runtime</x:v>
      </x:c>
      <x:c r="I486" s="82" t="str">
        <x:v>需核原方法签名/行为、状态、依赖及实例生命周期</x:v>
      </x:c>
      <x:c r="J486" s="82" t="str">
        <x:v>V7.8词法声明证据</x:v>
      </x:c>
      <x:c r="K486" s="82" t="str">
        <x:v>设计审查中/未执行实测</x:v>
      </x:c>
    </x:row>
    <x:row r="487">
      <x:c r="A487" s="82" t="str">
        <x:v>M31.WaitingReason</x:v>
      </x:c>
      <x:c r="B487" s="82" t="str">
        <x:v>M31</x:v>
      </x:c>
      <x:c r="C487" s="82" t="str">
        <x:v>CxVisual.Mechanism.Runtime</x:v>
      </x:c>
      <x:c r="D487" s="82" t="str">
        <x:v>WaitingReason</x:v>
      </x:c>
      <x:c r="E487" s="82" t="n">
        <x:v>0</x:v>
      </x:c>
      <x:c r="F487" s="82" t="str">
        <x:v>—</x:v>
      </x:c>
      <x:c r="G487" s="82" t="str">
        <x:v>尚未逐项裁决</x:v>
      </x:c>
      <x:c r="H487" s="82" t="str">
        <x:v>CxVisual.Mechanism.Runtime</x:v>
      </x:c>
      <x:c r="I487" s="82" t="str">
        <x:v>需核原方法签名/行为、状态、依赖及实例生命周期</x:v>
      </x:c>
      <x:c r="J487" s="82" t="str">
        <x:v>V7.8词法声明证据</x:v>
      </x:c>
      <x:c r="K487" s="82" t="str">
        <x:v>设计审查中/未执行实测</x:v>
      </x:c>
    </x:row>
    <x:row r="488">
      <x:c r="A488" s="82" t="str">
        <x:v>M31.WorkerHealthState</x:v>
      </x:c>
      <x:c r="B488" s="82" t="str">
        <x:v>M31</x:v>
      </x:c>
      <x:c r="C488" s="82" t="str">
        <x:v>CxVisual.Mechanism.Runtime</x:v>
      </x:c>
      <x:c r="D488" s="82" t="str">
        <x:v>WorkerHealthState</x:v>
      </x:c>
      <x:c r="E488" s="82" t="n">
        <x:v>0</x:v>
      </x:c>
      <x:c r="F488" s="82" t="str">
        <x:v>—</x:v>
      </x:c>
      <x:c r="G488" s="82" t="str">
        <x:v>尚未逐项裁决</x:v>
      </x:c>
      <x:c r="H488" s="82" t="str">
        <x:v>CxVisual.Mechanism.Runtime</x:v>
      </x:c>
      <x:c r="I488" s="82" t="str">
        <x:v>需核原方法签名/行为、状态、依赖及实例生命周期</x:v>
      </x:c>
      <x:c r="J488" s="82" t="str">
        <x:v>V7.8词法声明证据</x:v>
      </x:c>
      <x:c r="K488" s="82" t="str">
        <x:v>设计审查中/未执行实测</x:v>
      </x:c>
    </x:row>
    <x:row r="489">
      <x:c r="A489" s="82" t="str">
        <x:v>M32.DataProbeResult</x:v>
      </x:c>
      <x:c r="B489" s="82" t="str">
        <x:v>M32</x:v>
      </x:c>
      <x:c r="C489" s="82" t="str">
        <x:v>CxVisual.Mechanism.Runtime</x:v>
      </x:c>
      <x:c r="D489" s="82" t="str">
        <x:v>DataProbeResult</x:v>
      </x:c>
      <x:c r="E489" s="82" t="n">
        <x:v>0</x:v>
      </x:c>
      <x:c r="F489" s="82" t="str">
        <x:v>—</x:v>
      </x:c>
      <x:c r="G489" s="82" t="str">
        <x:v>尚未逐项裁决</x:v>
      </x:c>
      <x:c r="H489" s="82" t="str">
        <x:v>CxVisual.Mechanism.Runtime</x:v>
      </x:c>
      <x:c r="I489" s="82" t="str">
        <x:v>需核原方法签名/行为、状态、依赖及实例生命周期</x:v>
      </x:c>
      <x:c r="J489" s="82" t="str">
        <x:v>V7.8词法声明证据</x:v>
      </x:c>
      <x:c r="K489" s="82" t="str">
        <x:v>设计审查中/未执行实测</x:v>
      </x:c>
    </x:row>
    <x:row r="490">
      <x:c r="A490" s="82" t="str">
        <x:v>M32.EventStreamModel</x:v>
      </x:c>
      <x:c r="B490" s="82" t="str">
        <x:v>M32</x:v>
      </x:c>
      <x:c r="C490" s="82" t="str">
        <x:v>CxVisual.Mechanism.Runtime</x:v>
      </x:c>
      <x:c r="D490" s="82" t="str">
        <x:v>EventStreamModel</x:v>
      </x:c>
      <x:c r="E490" s="82" t="n">
        <x:v>0</x:v>
      </x:c>
      <x:c r="F490" s="82" t="str">
        <x:v>—</x:v>
      </x:c>
      <x:c r="G490" s="82" t="str">
        <x:v>尚未逐项裁决</x:v>
      </x:c>
      <x:c r="H490" s="82" t="str">
        <x:v>CxVisual.Mechanism.Runtime</x:v>
      </x:c>
      <x:c r="I490" s="82" t="str">
        <x:v>需核原方法签名/行为、状态、依赖及实例生命周期</x:v>
      </x:c>
      <x:c r="J490" s="82" t="str">
        <x:v>V7.8词法声明证据</x:v>
      </x:c>
      <x:c r="K490" s="82" t="str">
        <x:v>设计审查中/未执行实测</x:v>
      </x:c>
    </x:row>
    <x:row r="491">
      <x:c r="A491" s="82" t="str">
        <x:v>M32.ExecutionInstanceTreeModel</x:v>
      </x:c>
      <x:c r="B491" s="82" t="str">
        <x:v>M32</x:v>
      </x:c>
      <x:c r="C491" s="82" t="str">
        <x:v>CxVisual.Mechanism.Runtime</x:v>
      </x:c>
      <x:c r="D491" s="82" t="str">
        <x:v>ExecutionInstanceTreeModel</x:v>
      </x:c>
      <x:c r="E491" s="82" t="n">
        <x:v>0</x:v>
      </x:c>
      <x:c r="F491" s="82" t="str">
        <x:v>—</x:v>
      </x:c>
      <x:c r="G491" s="82" t="str">
        <x:v>尚未逐项裁决</x:v>
      </x:c>
      <x:c r="H491" s="82" t="str">
        <x:v>CxVisual.Mechanism.Runtime</x:v>
      </x:c>
      <x:c r="I491" s="82" t="str">
        <x:v>需核原方法签名/行为、状态、依赖及实例生命周期</x:v>
      </x:c>
      <x:c r="J491" s="82" t="str">
        <x:v>V7.8词法声明证据</x:v>
      </x:c>
      <x:c r="K491" s="82" t="str">
        <x:v>设计审查中/未执行实测</x:v>
      </x:c>
    </x:row>
    <x:row r="492">
      <x:c r="A492" s="82" t="str">
        <x:v>M32.ResourceInspectorModel</x:v>
      </x:c>
      <x:c r="B492" s="82" t="str">
        <x:v>M32</x:v>
      </x:c>
      <x:c r="C492" s="82" t="str">
        <x:v>CxVisual.Mechanism.Runtime</x:v>
      </x:c>
      <x:c r="D492" s="82" t="str">
        <x:v>ResourceInspectorModel</x:v>
      </x:c>
      <x:c r="E492" s="82" t="n">
        <x:v>0</x:v>
      </x:c>
      <x:c r="F492" s="82" t="str">
        <x:v>—</x:v>
      </x:c>
      <x:c r="G492" s="82" t="str">
        <x:v>尚未逐项裁决</x:v>
      </x:c>
      <x:c r="H492" s="82" t="str">
        <x:v>CxVisual.Mechanism.Runtime</x:v>
      </x:c>
      <x:c r="I492" s="82" t="str">
        <x:v>需核原方法签名/行为、状态、依赖及实例生命周期</x:v>
      </x:c>
      <x:c r="J492" s="82" t="str">
        <x:v>V7.8词法声明证据</x:v>
      </x:c>
      <x:c r="K492" s="82" t="str">
        <x:v>设计审查中/未执行实测</x:v>
      </x:c>
    </x:row>
    <x:row r="493">
      <x:c r="A493" s="82" t="str">
        <x:v>M32.RuntimeInspectorModel</x:v>
      </x:c>
      <x:c r="B493" s="82" t="str">
        <x:v>M32</x:v>
      </x:c>
      <x:c r="C493" s="82" t="str">
        <x:v>CxVisual.Mechanism.Runtime</x:v>
      </x:c>
      <x:c r="D493" s="82" t="str">
        <x:v>RuntimeInspectorModel</x:v>
      </x:c>
      <x:c r="E493" s="82" t="n">
        <x:v>0</x:v>
      </x:c>
      <x:c r="F493" s="82" t="str">
        <x:v>—</x:v>
      </x:c>
      <x:c r="G493" s="82" t="str">
        <x:v>尚未逐项裁决</x:v>
      </x:c>
      <x:c r="H493" s="82" t="str">
        <x:v>CxVisual.Mechanism.Runtime</x:v>
      </x:c>
      <x:c r="I493" s="82" t="str">
        <x:v>需核原方法签名/行为、状态、依赖及实例生命周期</x:v>
      </x:c>
      <x:c r="J493" s="82" t="str">
        <x:v>V7.8词法声明证据</x:v>
      </x:c>
      <x:c r="K493" s="82" t="str">
        <x:v>设计审查中/未执行实测</x:v>
      </x:c>
    </x:row>
    <x:row r="494">
      <x:c r="A494" s="82" t="str">
        <x:v>M32.RuntimeNavigator</x:v>
      </x:c>
      <x:c r="B494" s="82" t="str">
        <x:v>M32</x:v>
      </x:c>
      <x:c r="C494" s="82" t="str">
        <x:v>CxVisual.Mechanism.Runtime</x:v>
      </x:c>
      <x:c r="D494" s="82" t="str">
        <x:v>RuntimeNavigator</x:v>
      </x:c>
      <x:c r="E494" s="82" t="n">
        <x:v>0</x:v>
      </x:c>
      <x:c r="F494" s="82" t="str">
        <x:v>—</x:v>
      </x:c>
      <x:c r="G494" s="82" t="str">
        <x:v>尚未逐项裁决</x:v>
      </x:c>
      <x:c r="H494" s="82" t="str">
        <x:v>CxVisual.Mechanism.Runtime</x:v>
      </x:c>
      <x:c r="I494" s="82" t="str">
        <x:v>需核原方法签名/行为、状态、依赖及实例生命周期</x:v>
      </x:c>
      <x:c r="J494" s="82" t="str">
        <x:v>V7.8词法声明证据</x:v>
      </x:c>
      <x:c r="K494" s="82" t="str">
        <x:v>设计审查中/未执行实测</x:v>
      </x:c>
    </x:row>
    <x:row r="495">
      <x:c r="A495" s="82" t="str">
        <x:v>M32.RuntimeOverlayModel</x:v>
      </x:c>
      <x:c r="B495" s="82" t="str">
        <x:v>M32</x:v>
      </x:c>
      <x:c r="C495" s="82" t="str">
        <x:v>CxVisual.Mechanism.Runtime</x:v>
      </x:c>
      <x:c r="D495" s="82" t="str">
        <x:v>RuntimeOverlayModel</x:v>
      </x:c>
      <x:c r="E495" s="82" t="n">
        <x:v>0</x:v>
      </x:c>
      <x:c r="F495" s="82" t="str">
        <x:v>—</x:v>
      </x:c>
      <x:c r="G495" s="82" t="str">
        <x:v>尚未逐项裁决</x:v>
      </x:c>
      <x:c r="H495" s="82" t="str">
        <x:v>CxVisual.Mechanism.Runtime</x:v>
      </x:c>
      <x:c r="I495" s="82" t="str">
        <x:v>需核原方法签名/行为、状态、依赖及实例生命周期</x:v>
      </x:c>
      <x:c r="J495" s="82" t="str">
        <x:v>V7.8词法声明证据</x:v>
      </x:c>
      <x:c r="K495" s="82" t="str">
        <x:v>设计审查中/未执行实测</x:v>
      </x:c>
    </x:row>
    <x:row r="496">
      <x:c r="A496" s="82" t="str">
        <x:v>M33.BreakpointDefinition</x:v>
      </x:c>
      <x:c r="B496" s="82" t="str">
        <x:v>M33</x:v>
      </x:c>
      <x:c r="C496" s="82" t="str">
        <x:v>CxVisual.Mechanism.Runtime</x:v>
      </x:c>
      <x:c r="D496" s="82" t="str">
        <x:v>BreakpointDefinition</x:v>
      </x:c>
      <x:c r="E496" s="82" t="n">
        <x:v>0</x:v>
      </x:c>
      <x:c r="F496" s="82" t="str">
        <x:v>—</x:v>
      </x:c>
      <x:c r="G496" s="82" t="str">
        <x:v>尚未逐项裁决</x:v>
      </x:c>
      <x:c r="H496" s="82" t="str">
        <x:v>CxVisual.Mechanism.Runtime</x:v>
      </x:c>
      <x:c r="I496" s="82" t="str">
        <x:v>需核原方法签名/行为、状态、依赖及实例生命周期</x:v>
      </x:c>
      <x:c r="J496" s="82" t="str">
        <x:v>V7.8词法声明证据</x:v>
      </x:c>
      <x:c r="K496" s="82" t="str">
        <x:v>设计审查中/未执行实测</x:v>
      </x:c>
    </x:row>
    <x:row r="497">
      <x:c r="A497" s="82" t="str">
        <x:v>M33.DebugSession</x:v>
      </x:c>
      <x:c r="B497" s="82" t="str">
        <x:v>M33</x:v>
      </x:c>
      <x:c r="C497" s="82" t="str">
        <x:v>CxVisual.Mechanism.Runtime</x:v>
      </x:c>
      <x:c r="D497" s="82" t="str">
        <x:v>DebugSession</x:v>
      </x:c>
      <x:c r="E497" s="82" t="n">
        <x:v>0</x:v>
      </x:c>
      <x:c r="F497" s="82" t="str">
        <x:v>—</x:v>
      </x:c>
      <x:c r="G497" s="82" t="str">
        <x:v>尚未逐项裁决</x:v>
      </x:c>
      <x:c r="H497" s="82" t="str">
        <x:v>CxVisual.Mechanism.Runtime</x:v>
      </x:c>
      <x:c r="I497" s="82" t="str">
        <x:v>需核原方法签名/行为、状态、依赖及实例生命周期</x:v>
      </x:c>
      <x:c r="J497" s="82" t="str">
        <x:v>V7.8词法声明证据</x:v>
      </x:c>
      <x:c r="K497" s="82" t="str">
        <x:v>设计审查中/未执行实测</x:v>
      </x:c>
    </x:row>
    <x:row r="498">
      <x:c r="A498" s="82" t="str">
        <x:v>M33.LogRoutingPolicy</x:v>
      </x:c>
      <x:c r="B498" s="82" t="str">
        <x:v>M33</x:v>
      </x:c>
      <x:c r="C498" s="82" t="str">
        <x:v>CxVisual.Mechanism.Runtime</x:v>
      </x:c>
      <x:c r="D498" s="82" t="str">
        <x:v>LogRoutingPolicy</x:v>
      </x:c>
      <x:c r="E498" s="82" t="n">
        <x:v>0</x:v>
      </x:c>
      <x:c r="F498" s="82" t="str">
        <x:v>—</x:v>
      </x:c>
      <x:c r="G498" s="82" t="str">
        <x:v>尚未逐项裁决</x:v>
      </x:c>
      <x:c r="H498" s="82" t="str">
        <x:v>CxVisual.Mechanism.Runtime</x:v>
      </x:c>
      <x:c r="I498" s="82" t="str">
        <x:v>需核原方法签名/行为、状态、依赖及实例生命周期</x:v>
      </x:c>
      <x:c r="J498" s="82" t="str">
        <x:v>V7.8词法声明证据</x:v>
      </x:c>
      <x:c r="K498" s="82" t="str">
        <x:v>设计审查中/未执行实测</x:v>
      </x:c>
    </x:row>
    <x:row r="499">
      <x:c r="A499" s="82" t="str">
        <x:v>M33.LogSink</x:v>
      </x:c>
      <x:c r="B499" s="82" t="str">
        <x:v>M33</x:v>
      </x:c>
      <x:c r="C499" s="82" t="str">
        <x:v>CxVisual.Mechanism.Runtime</x:v>
      </x:c>
      <x:c r="D499" s="82" t="str">
        <x:v>LogSink</x:v>
      </x:c>
      <x:c r="E499" s="82" t="n">
        <x:v>0</x:v>
      </x:c>
      <x:c r="F499" s="82" t="str">
        <x:v>—</x:v>
      </x:c>
      <x:c r="G499" s="82" t="str">
        <x:v>尚未逐项裁决</x:v>
      </x:c>
      <x:c r="H499" s="82" t="str">
        <x:v>CxVisual.Mechanism.Runtime</x:v>
      </x:c>
      <x:c r="I499" s="82" t="str">
        <x:v>需核原方法签名/行为、状态、依赖及实例生命周期</x:v>
      </x:c>
      <x:c r="J499" s="82" t="str">
        <x:v>V7.8词法声明证据</x:v>
      </x:c>
      <x:c r="K499" s="82" t="str">
        <x:v>设计审查中/未执行实测</x:v>
      </x:c>
    </x:row>
    <x:row r="500">
      <x:c r="A500" s="82" t="str">
        <x:v>M33.MetricRecord</x:v>
      </x:c>
      <x:c r="B500" s="82" t="str">
        <x:v>M33</x:v>
      </x:c>
      <x:c r="C500" s="82" t="str">
        <x:v>CxVisual.Mechanism.Runtime</x:v>
      </x:c>
      <x:c r="D500" s="82" t="str">
        <x:v>MetricRecord</x:v>
      </x:c>
      <x:c r="E500" s="82" t="n">
        <x:v>0</x:v>
      </x:c>
      <x:c r="F500" s="82" t="str">
        <x:v>—</x:v>
      </x:c>
      <x:c r="G500" s="82" t="str">
        <x:v>尚未逐项裁决</x:v>
      </x:c>
      <x:c r="H500" s="82" t="str">
        <x:v>CxVisual.Mechanism.Runtime</x:v>
      </x:c>
      <x:c r="I500" s="82" t="str">
        <x:v>需核原方法签名/行为、状态、依赖及实例生命周期</x:v>
      </x:c>
      <x:c r="J500" s="82" t="str">
        <x:v>V7.8词法声明证据</x:v>
      </x:c>
      <x:c r="K500" s="82" t="str">
        <x:v>设计审查中/未执行实测</x:v>
      </x:c>
    </x:row>
    <x:row r="501">
      <x:c r="A501" s="82" t="str">
        <x:v>M33.ProfilerSnapshot</x:v>
      </x:c>
      <x:c r="B501" s="82" t="str">
        <x:v>M33</x:v>
      </x:c>
      <x:c r="C501" s="82" t="str">
        <x:v>CxVisual.Mechanism.Runtime</x:v>
      </x:c>
      <x:c r="D501" s="82" t="str">
        <x:v>ProfilerSnapshot</x:v>
      </x:c>
      <x:c r="E501" s="82" t="n">
        <x:v>0</x:v>
      </x:c>
      <x:c r="F501" s="82" t="str">
        <x:v>—</x:v>
      </x:c>
      <x:c r="G501" s="82" t="str">
        <x:v>尚未逐项裁决</x:v>
      </x:c>
      <x:c r="H501" s="82" t="str">
        <x:v>CxVisual.Mechanism.Runtime</x:v>
      </x:c>
      <x:c r="I501" s="82" t="str">
        <x:v>需核原方法签名/行为、状态、依赖及实例生命周期</x:v>
      </x:c>
      <x:c r="J501" s="82" t="str">
        <x:v>V7.8词法声明证据</x:v>
      </x:c>
      <x:c r="K501" s="82" t="str">
        <x:v>设计审查中/未执行实测</x:v>
      </x:c>
    </x:row>
    <x:row r="502">
      <x:c r="A502" s="82" t="str">
        <x:v>M33.ReplaySession</x:v>
      </x:c>
      <x:c r="B502" s="82" t="str">
        <x:v>M33</x:v>
      </x:c>
      <x:c r="C502" s="82" t="str">
        <x:v>CxVisual.Mechanism.Runtime</x:v>
      </x:c>
      <x:c r="D502" s="82" t="str">
        <x:v>ReplaySession</x:v>
      </x:c>
      <x:c r="E502" s="82" t="n">
        <x:v>0</x:v>
      </x:c>
      <x:c r="F502" s="82" t="str">
        <x:v>—</x:v>
      </x:c>
      <x:c r="G502" s="82" t="str">
        <x:v>尚未逐项裁决</x:v>
      </x:c>
      <x:c r="H502" s="82" t="str">
        <x:v>CxVisual.Mechanism.Runtime</x:v>
      </x:c>
      <x:c r="I502" s="82" t="str">
        <x:v>需核原方法签名/行为、状态、依赖及实例生命周期</x:v>
      </x:c>
      <x:c r="J502" s="82" t="str">
        <x:v>V7.8词法声明证据</x:v>
      </x:c>
      <x:c r="K502" s="82" t="str">
        <x:v>设计审查中/未执行实测</x:v>
      </x:c>
    </x:row>
    <x:row r="503">
      <x:c r="A503" s="82" t="str">
        <x:v>M33.StructuredLogger</x:v>
      </x:c>
      <x:c r="B503" s="82" t="str">
        <x:v>M33</x:v>
      </x:c>
      <x:c r="C503" s="82" t="str">
        <x:v>CxVisual.Mechanism.Runtime</x:v>
      </x:c>
      <x:c r="D503" s="82" t="str">
        <x:v>StructuredLogger</x:v>
      </x:c>
      <x:c r="E503" s="82" t="n">
        <x:v>0</x:v>
      </x:c>
      <x:c r="F503" s="82" t="str">
        <x:v>—</x:v>
      </x:c>
      <x:c r="G503" s="82" t="str">
        <x:v>尚未逐项裁决</x:v>
      </x:c>
      <x:c r="H503" s="82" t="str">
        <x:v>CxVisual.Mechanism.Runtime</x:v>
      </x:c>
      <x:c r="I503" s="82" t="str">
        <x:v>需核原方法签名/行为、状态、依赖及实例生命周期</x:v>
      </x:c>
      <x:c r="J503" s="82" t="str">
        <x:v>V7.8词法声明证据</x:v>
      </x:c>
      <x:c r="K503" s="82" t="str">
        <x:v>设计审查中/未执行实测</x:v>
      </x:c>
    </x:row>
    <x:row r="504">
      <x:c r="A504" s="82" t="str">
        <x:v>M33.TimelineRecord</x:v>
      </x:c>
      <x:c r="B504" s="82" t="str">
        <x:v>M33</x:v>
      </x:c>
      <x:c r="C504" s="82" t="str">
        <x:v>CxVisual.Mechanism.Runtime</x:v>
      </x:c>
      <x:c r="D504" s="82" t="str">
        <x:v>TimelineRecord</x:v>
      </x:c>
      <x:c r="E504" s="82" t="n">
        <x:v>0</x:v>
      </x:c>
      <x:c r="F504" s="82" t="str">
        <x:v>—</x:v>
      </x:c>
      <x:c r="G504" s="82" t="str">
        <x:v>尚未逐项裁决</x:v>
      </x:c>
      <x:c r="H504" s="82" t="str">
        <x:v>CxVisual.Mechanism.Runtime</x:v>
      </x:c>
      <x:c r="I504" s="82" t="str">
        <x:v>需核原方法签名/行为、状态、依赖及实例生命周期</x:v>
      </x:c>
      <x:c r="J504" s="82" t="str">
        <x:v>V7.8词法声明证据</x:v>
      </x:c>
      <x:c r="K504" s="82" t="str">
        <x:v>设计审查中/未执行实测</x:v>
      </x:c>
    </x:row>
    <x:row r="505">
      <x:c r="A505" s="82" t="str">
        <x:v>M33.TraceCorrelationService</x:v>
      </x:c>
      <x:c r="B505" s="82" t="str">
        <x:v>M33</x:v>
      </x:c>
      <x:c r="C505" s="82" t="str">
        <x:v>CxVisual.Mechanism.Runtime</x:v>
      </x:c>
      <x:c r="D505" s="82" t="str">
        <x:v>TraceCorrelationService</x:v>
      </x:c>
      <x:c r="E505" s="82" t="n">
        <x:v>0</x:v>
      </x:c>
      <x:c r="F505" s="82" t="str">
        <x:v>—</x:v>
      </x:c>
      <x:c r="G505" s="82" t="str">
        <x:v>尚未逐项裁决</x:v>
      </x:c>
      <x:c r="H505" s="82" t="str">
        <x:v>CxVisual.Mechanism.Runtime</x:v>
      </x:c>
      <x:c r="I505" s="82" t="str">
        <x:v>需核原方法签名/行为、状态、依赖及实例生命周期</x:v>
      </x:c>
      <x:c r="J505" s="82" t="str">
        <x:v>V7.8词法声明证据</x:v>
      </x:c>
      <x:c r="K505" s="82" t="str">
        <x:v>设计审查中/未执行实测</x:v>
      </x:c>
    </x:row>
    <x:row r="506">
      <x:c r="A506" s="82" t="str">
        <x:v>M33.TraceRecord</x:v>
      </x:c>
      <x:c r="B506" s="82" t="str">
        <x:v>M33</x:v>
      </x:c>
      <x:c r="C506" s="82" t="str">
        <x:v>CxVisual.Mechanism.Runtime</x:v>
      </x:c>
      <x:c r="D506" s="82" t="str">
        <x:v>TraceRecord</x:v>
      </x:c>
      <x:c r="E506" s="82" t="n">
        <x:v>0</x:v>
      </x:c>
      <x:c r="F506" s="82" t="str">
        <x:v>—</x:v>
      </x:c>
      <x:c r="G506" s="82" t="str">
        <x:v>尚未逐项裁决</x:v>
      </x:c>
      <x:c r="H506" s="82" t="str">
        <x:v>CxVisual.Mechanism.Runtime</x:v>
      </x:c>
      <x:c r="I506" s="82" t="str">
        <x:v>需核原方法签名/行为、状态、依赖及实例生命周期</x:v>
      </x:c>
      <x:c r="J506" s="82" t="str">
        <x:v>V7.8词法声明证据</x:v>
      </x:c>
      <x:c r="K506" s="82" t="str">
        <x:v>设计审查中/未执行实测</x:v>
      </x:c>
    </x:row>
    <x:row r="507">
      <x:c r="A507" s="82" t="str">
        <x:v>M33.WatchExpression</x:v>
      </x:c>
      <x:c r="B507" s="82" t="str">
        <x:v>M33</x:v>
      </x:c>
      <x:c r="C507" s="82" t="str">
        <x:v>CxVisual.Mechanism.Runtime</x:v>
      </x:c>
      <x:c r="D507" s="82" t="str">
        <x:v>WatchExpression</x:v>
      </x:c>
      <x:c r="E507" s="82" t="n">
        <x:v>0</x:v>
      </x:c>
      <x:c r="F507" s="82" t="str">
        <x:v>—</x:v>
      </x:c>
      <x:c r="G507" s="82" t="str">
        <x:v>尚未逐项裁决</x:v>
      </x:c>
      <x:c r="H507" s="82" t="str">
        <x:v>CxVisual.Mechanism.Runtime</x:v>
      </x:c>
      <x:c r="I507" s="82" t="str">
        <x:v>需核原方法签名/行为、状态、依赖及实例生命周期</x:v>
      </x:c>
      <x:c r="J507" s="82" t="str">
        <x:v>V7.8词法声明证据</x:v>
      </x:c>
      <x:c r="K507" s="82" t="str">
        <x:v>设计审查中/未执行实测</x:v>
      </x:c>
    </x:row>
    <x:row r="508">
      <x:c r="A508" s="82" t="str">
        <x:v>M34.FaultModel</x:v>
      </x:c>
      <x:c r="B508" s="82" t="str">
        <x:v>M34</x:v>
      </x:c>
      <x:c r="C508" s="82" t="str">
        <x:v>CxVisual.Mechanism.Runtime</x:v>
      </x:c>
      <x:c r="D508" s="82" t="str">
        <x:v>FaultModel</x:v>
      </x:c>
      <x:c r="E508" s="82" t="n">
        <x:v>0</x:v>
      </x:c>
      <x:c r="F508" s="82" t="str">
        <x:v>—</x:v>
      </x:c>
      <x:c r="G508" s="82" t="str">
        <x:v>尚未逐项裁决</x:v>
      </x:c>
      <x:c r="H508" s="82" t="str">
        <x:v>CxVisual.Mechanism.Runtime</x:v>
      </x:c>
      <x:c r="I508" s="82" t="str">
        <x:v>需核原方法签名/行为、状态、依赖及实例生命周期</x:v>
      </x:c>
      <x:c r="J508" s="82" t="str">
        <x:v>V7.8词法声明证据</x:v>
      </x:c>
      <x:c r="K508" s="82" t="str">
        <x:v>设计审查中/未执行实测</x:v>
      </x:c>
    </x:row>
    <x:row r="509">
      <x:c r="A509" s="82" t="str">
        <x:v>M34.HybridBinding</x:v>
      </x:c>
      <x:c r="B509" s="82" t="str">
        <x:v>M34</x:v>
      </x:c>
      <x:c r="C509" s="82" t="str">
        <x:v>CxVisual.Mechanism.Runtime</x:v>
      </x:c>
      <x:c r="D509" s="82" t="str">
        <x:v>HybridBinding</x:v>
      </x:c>
      <x:c r="E509" s="82" t="n">
        <x:v>0</x:v>
      </x:c>
      <x:c r="F509" s="82" t="str">
        <x:v>—</x:v>
      </x:c>
      <x:c r="G509" s="82" t="str">
        <x:v>尚未逐项裁决</x:v>
      </x:c>
      <x:c r="H509" s="82" t="str">
        <x:v>CxVisual.Mechanism.Runtime</x:v>
      </x:c>
      <x:c r="I509" s="82" t="str">
        <x:v>需核原方法签名/行为、状态、依赖及实例生命周期</x:v>
      </x:c>
      <x:c r="J509" s="82" t="str">
        <x:v>V7.8词法声明证据</x:v>
      </x:c>
      <x:c r="K509" s="82" t="str">
        <x:v>设计审查中/未执行实测</x:v>
      </x:c>
    </x:row>
    <x:row r="510">
      <x:c r="A510" s="82" t="str">
        <x:v>M34.ReplaySet</x:v>
      </x:c>
      <x:c r="B510" s="82" t="str">
        <x:v>M34</x:v>
      </x:c>
      <x:c r="C510" s="82" t="str">
        <x:v>CxVisual.Mechanism.Runtime</x:v>
      </x:c>
      <x:c r="D510" s="82" t="str">
        <x:v>ReplaySet</x:v>
      </x:c>
      <x:c r="E510" s="82" t="n">
        <x:v>0</x:v>
      </x:c>
      <x:c r="F510" s="82" t="str">
        <x:v>—</x:v>
      </x:c>
      <x:c r="G510" s="82" t="str">
        <x:v>尚未逐项裁决</x:v>
      </x:c>
      <x:c r="H510" s="82" t="str">
        <x:v>CxVisual.Mechanism.Runtime</x:v>
      </x:c>
      <x:c r="I510" s="82" t="str">
        <x:v>需核原方法签名/行为、状态、依赖及实例生命周期</x:v>
      </x:c>
      <x:c r="J510" s="82" t="str">
        <x:v>V7.8词法声明证据</x:v>
      </x:c>
      <x:c r="K510" s="82" t="str">
        <x:v>设计审查中/未执行实测</x:v>
      </x:c>
    </x:row>
    <x:row r="511">
      <x:c r="A511" s="82" t="str">
        <x:v>M34.ScenarioDefinition</x:v>
      </x:c>
      <x:c r="B511" s="82" t="str">
        <x:v>M34</x:v>
      </x:c>
      <x:c r="C511" s="82" t="str">
        <x:v>CxVisual.Mechanism.Runtime</x:v>
      </x:c>
      <x:c r="D511" s="82" t="str">
        <x:v>ScenarioDefinition</x:v>
      </x:c>
      <x:c r="E511" s="82" t="n">
        <x:v>0</x:v>
      </x:c>
      <x:c r="F511" s="82" t="str">
        <x:v>—</x:v>
      </x:c>
      <x:c r="G511" s="82" t="str">
        <x:v>尚未逐项裁决</x:v>
      </x:c>
      <x:c r="H511" s="82" t="str">
        <x:v>CxVisual.Mechanism.Runtime</x:v>
      </x:c>
      <x:c r="I511" s="82" t="str">
        <x:v>需核原方法签名/行为、状态、依赖及实例生命周期</x:v>
      </x:c>
      <x:c r="J511" s="82" t="str">
        <x:v>V7.8词法声明证据</x:v>
      </x:c>
      <x:c r="K511" s="82" t="str">
        <x:v>设计审查中/未执行实测</x:v>
      </x:c>
    </x:row>
    <x:row r="512">
      <x:c r="A512" s="82" t="str">
        <x:v>M34.ScenarioResult</x:v>
      </x:c>
      <x:c r="B512" s="82" t="str">
        <x:v>M34</x:v>
      </x:c>
      <x:c r="C512" s="82" t="str">
        <x:v>CxVisual.Mechanism.Runtime</x:v>
      </x:c>
      <x:c r="D512" s="82" t="str">
        <x:v>ScenarioResult</x:v>
      </x:c>
      <x:c r="E512" s="82" t="n">
        <x:v>0</x:v>
      </x:c>
      <x:c r="F512" s="82" t="str">
        <x:v>—</x:v>
      </x:c>
      <x:c r="G512" s="82" t="str">
        <x:v>尚未逐项裁决</x:v>
      </x:c>
      <x:c r="H512" s="82" t="str">
        <x:v>CxVisual.Mechanism.Runtime</x:v>
      </x:c>
      <x:c r="I512" s="82" t="str">
        <x:v>需核原方法签名/行为、状态、依赖及实例生命周期</x:v>
      </x:c>
      <x:c r="J512" s="82" t="str">
        <x:v>V7.8词法声明证据</x:v>
      </x:c>
      <x:c r="K512" s="82" t="str">
        <x:v>设计审查中/未执行实测</x:v>
      </x:c>
    </x:row>
    <x:row r="513">
      <x:c r="A513" s="82" t="str">
        <x:v>M34.TwinMapping</x:v>
      </x:c>
      <x:c r="B513" s="82" t="str">
        <x:v>M34</x:v>
      </x:c>
      <x:c r="C513" s="82" t="str">
        <x:v>CxVisual.Mechanism.Runtime</x:v>
      </x:c>
      <x:c r="D513" s="82" t="str">
        <x:v>TwinMapping</x:v>
      </x:c>
      <x:c r="E513" s="82" t="n">
        <x:v>0</x:v>
      </x:c>
      <x:c r="F513" s="82" t="str">
        <x:v>—</x:v>
      </x:c>
      <x:c r="G513" s="82" t="str">
        <x:v>尚未逐项裁决</x:v>
      </x:c>
      <x:c r="H513" s="82" t="str">
        <x:v>CxVisual.Mechanism.Runtime</x:v>
      </x:c>
      <x:c r="I513" s="82" t="str">
        <x:v>需核原方法签名/行为、状态、依赖及实例生命周期</x:v>
      </x:c>
      <x:c r="J513" s="82" t="str">
        <x:v>V7.8词法声明证据</x:v>
      </x:c>
      <x:c r="K513" s="82" t="str">
        <x:v>设计审查中/未执行实测</x:v>
      </x:c>
    </x:row>
    <x:row r="514">
      <x:c r="A514" s="82" t="str">
        <x:v>M34.VirtualDeviceDefinition</x:v>
      </x:c>
      <x:c r="B514" s="82" t="str">
        <x:v>M34</x:v>
      </x:c>
      <x:c r="C514" s="82" t="str">
        <x:v>CxVisual.Mechanism.Runtime</x:v>
      </x:c>
      <x:c r="D514" s="82" t="str">
        <x:v>VirtualDeviceDefinition</x:v>
      </x:c>
      <x:c r="E514" s="82" t="n">
        <x:v>0</x:v>
      </x:c>
      <x:c r="F514" s="82" t="str">
        <x:v>—</x:v>
      </x:c>
      <x:c r="G514" s="82" t="str">
        <x:v>尚未逐项裁决</x:v>
      </x:c>
      <x:c r="H514" s="82" t="str">
        <x:v>CxVisual.Mechanism.Runtime</x:v>
      </x:c>
      <x:c r="I514" s="82" t="str">
        <x:v>需核原方法签名/行为、状态、依赖及实例生命周期</x:v>
      </x:c>
      <x:c r="J514" s="82" t="str">
        <x:v>V7.8词法声明证据</x:v>
      </x:c>
      <x:c r="K514" s="82" t="str">
        <x:v>设计审查中/未执行实测</x:v>
      </x:c>
    </x:row>
    <x:row r="515">
      <x:c r="A515" s="82" t="str">
        <x:v>M34.VirtualPlantDefinition</x:v>
      </x:c>
      <x:c r="B515" s="82" t="str">
        <x:v>M34</x:v>
      </x:c>
      <x:c r="C515" s="82" t="str">
        <x:v>CxVisual.Mechanism.Runtime</x:v>
      </x:c>
      <x:c r="D515" s="82" t="str">
        <x:v>VirtualPlantDefinition</x:v>
      </x:c>
      <x:c r="E515" s="82" t="n">
        <x:v>0</x:v>
      </x:c>
      <x:c r="F515" s="82" t="str">
        <x:v>—</x:v>
      </x:c>
      <x:c r="G515" s="82" t="str">
        <x:v>尚未逐项裁决</x:v>
      </x:c>
      <x:c r="H515" s="82" t="str">
        <x:v>CxVisual.Mechanism.Runtime</x:v>
      </x:c>
      <x:c r="I515" s="82" t="str">
        <x:v>需核原方法签名/行为、状态、依赖及实例生命周期</x:v>
      </x:c>
      <x:c r="J515" s="82" t="str">
        <x:v>V7.8词法声明证据</x:v>
      </x:c>
      <x:c r="K515" s="82" t="str">
        <x:v>设计审查中/未执行实测</x:v>
      </x:c>
    </x:row>
    <x:row r="516">
      <x:c r="A516" s="82" t="str">
        <x:v>M35.ArtifactStore</x:v>
      </x:c>
      <x:c r="B516" s="82" t="str">
        <x:v>M35</x:v>
      </x:c>
      <x:c r="C516" s="82" t="str">
        <x:v>CxVisual.Mechanism.Data</x:v>
      </x:c>
      <x:c r="D516" s="82" t="str">
        <x:v>ArtifactStore</x:v>
      </x:c>
      <x:c r="E516" s="82" t="n">
        <x:v>0</x:v>
      </x:c>
      <x:c r="F516" s="82" t="str">
        <x:v>—</x:v>
      </x:c>
      <x:c r="G516" s="82" t="str">
        <x:v>尚未逐项裁决</x:v>
      </x:c>
      <x:c r="H516" s="82" t="str">
        <x:v>CxVisual.Mechanism.Data</x:v>
      </x:c>
      <x:c r="I516" s="82" t="str">
        <x:v>需核原方法签名/行为、状态、依赖及实例生命周期</x:v>
      </x:c>
      <x:c r="J516" s="82" t="str">
        <x:v>V7.8词法声明证据</x:v>
      </x:c>
      <x:c r="K516" s="82" t="str">
        <x:v>设计审查中/未执行实测</x:v>
      </x:c>
    </x:row>
    <x:row r="517">
      <x:c r="A517" s="82" t="str">
        <x:v>M35.HistorianProfile</x:v>
      </x:c>
      <x:c r="B517" s="82" t="str">
        <x:v>M35</x:v>
      </x:c>
      <x:c r="C517" s="82" t="str">
        <x:v>CxVisual.Mechanism.Data</x:v>
      </x:c>
      <x:c r="D517" s="82" t="str">
        <x:v>HistorianProfile</x:v>
      </x:c>
      <x:c r="E517" s="82" t="n">
        <x:v>0</x:v>
      </x:c>
      <x:c r="F517" s="82" t="str">
        <x:v>—</x:v>
      </x:c>
      <x:c r="G517" s="82" t="str">
        <x:v>尚未逐项裁决</x:v>
      </x:c>
      <x:c r="H517" s="82" t="str">
        <x:v>CxVisual.Mechanism.Data</x:v>
      </x:c>
      <x:c r="I517" s="82" t="str">
        <x:v>需核原方法签名/行为、状态、依赖及实例生命周期</x:v>
      </x:c>
      <x:c r="J517" s="82" t="str">
        <x:v>V7.8词法声明证据</x:v>
      </x:c>
      <x:c r="K517" s="82" t="str">
        <x:v>设计审查中/未执行实测</x:v>
      </x:c>
    </x:row>
    <x:row r="518">
      <x:c r="A518" s="82" t="str">
        <x:v>M35.HistoryStore</x:v>
      </x:c>
      <x:c r="B518" s="82" t="str">
        <x:v>M35</x:v>
      </x:c>
      <x:c r="C518" s="82" t="str">
        <x:v>CxVisual.Mechanism.Data</x:v>
      </x:c>
      <x:c r="D518" s="82" t="str">
        <x:v>HistoryStore</x:v>
      </x:c>
      <x:c r="E518" s="82" t="n">
        <x:v>0</x:v>
      </x:c>
      <x:c r="F518" s="82" t="str">
        <x:v>—</x:v>
      </x:c>
      <x:c r="G518" s="82" t="str">
        <x:v>尚未逐项裁决</x:v>
      </x:c>
      <x:c r="H518" s="82" t="str">
        <x:v>CxVisual.Mechanism.Data</x:v>
      </x:c>
      <x:c r="I518" s="82" t="str">
        <x:v>需核原方法签名/行为、状态、依赖及实例生命周期</x:v>
      </x:c>
      <x:c r="J518" s="82" t="str">
        <x:v>V7.8词法声明证据</x:v>
      </x:c>
      <x:c r="K518" s="82" t="str">
        <x:v>设计审查中/未执行实测</x:v>
      </x:c>
    </x:row>
    <x:row r="519">
      <x:c r="A519" s="82" t="str">
        <x:v>M35.ReplayStore</x:v>
      </x:c>
      <x:c r="B519" s="82" t="str">
        <x:v>M35</x:v>
      </x:c>
      <x:c r="C519" s="82" t="str">
        <x:v>CxVisual.Mechanism.Data</x:v>
      </x:c>
      <x:c r="D519" s="82" t="str">
        <x:v>ReplayStore</x:v>
      </x:c>
      <x:c r="E519" s="82" t="n">
        <x:v>0</x:v>
      </x:c>
      <x:c r="F519" s="82" t="str">
        <x:v>—</x:v>
      </x:c>
      <x:c r="G519" s="82" t="str">
        <x:v>尚未逐项裁决</x:v>
      </x:c>
      <x:c r="H519" s="82" t="str">
        <x:v>CxVisual.Mechanism.Data</x:v>
      </x:c>
      <x:c r="I519" s="82" t="str">
        <x:v>需核原方法签名/行为、状态、依赖及实例生命周期</x:v>
      </x:c>
      <x:c r="J519" s="82" t="str">
        <x:v>V7.8词法声明证据</x:v>
      </x:c>
      <x:c r="K519" s="82" t="str">
        <x:v>设计审查中/未执行实测</x:v>
      </x:c>
    </x:row>
    <x:row r="520">
      <x:c r="A520" s="82" t="str">
        <x:v>M35.RetentionPolicy</x:v>
      </x:c>
      <x:c r="B520" s="82" t="str">
        <x:v>M35</x:v>
      </x:c>
      <x:c r="C520" s="82" t="str">
        <x:v>CxVisual.Mechanism.Data</x:v>
      </x:c>
      <x:c r="D520" s="82" t="str">
        <x:v>RetentionPolicy</x:v>
      </x:c>
      <x:c r="E520" s="82" t="n">
        <x:v>0</x:v>
      </x:c>
      <x:c r="F520" s="82" t="str">
        <x:v>—</x:v>
      </x:c>
      <x:c r="G520" s="82" t="str">
        <x:v>尚未逐项裁决</x:v>
      </x:c>
      <x:c r="H520" s="82" t="str">
        <x:v>CxVisual.Mechanism.Data</x:v>
      </x:c>
      <x:c r="I520" s="82" t="str">
        <x:v>需核原方法签名/行为、状态、依赖及实例生命周期</x:v>
      </x:c>
      <x:c r="J520" s="82" t="str">
        <x:v>V7.8词法声明证据</x:v>
      </x:c>
      <x:c r="K520" s="82" t="str">
        <x:v>设计审查中/未执行实测</x:v>
      </x:c>
    </x:row>
    <x:row r="521">
      <x:c r="A521" s="82" t="str">
        <x:v>M35.SnapshotStore</x:v>
      </x:c>
      <x:c r="B521" s="82" t="str">
        <x:v>M35</x:v>
      </x:c>
      <x:c r="C521" s="82" t="str">
        <x:v>CxVisual.Mechanism.Data</x:v>
      </x:c>
      <x:c r="D521" s="82" t="str">
        <x:v>SnapshotStore</x:v>
      </x:c>
      <x:c r="E521" s="82" t="n">
        <x:v>0</x:v>
      </x:c>
      <x:c r="F521" s="82" t="str">
        <x:v>—</x:v>
      </x:c>
      <x:c r="G521" s="82" t="str">
        <x:v>尚未逐项裁决</x:v>
      </x:c>
      <x:c r="H521" s="82" t="str">
        <x:v>CxVisual.Mechanism.Data</x:v>
      </x:c>
      <x:c r="I521" s="82" t="str">
        <x:v>需核原方法签名/行为、状态、依赖及实例生命周期</x:v>
      </x:c>
      <x:c r="J521" s="82" t="str">
        <x:v>V7.8词法声明证据</x:v>
      </x:c>
      <x:c r="K521" s="82" t="str">
        <x:v>设计审查中/未执行实测</x:v>
      </x:c>
    </x:row>
    <x:row r="522">
      <x:c r="A522" s="82" t="str">
        <x:v>M36.ExternalNotificationBridge</x:v>
      </x:c>
      <x:c r="B522" s="82" t="str">
        <x:v>M36</x:v>
      </x:c>
      <x:c r="C522" s="82" t="str">
        <x:v>CxVisual.Mechanism.Data</x:v>
      </x:c>
      <x:c r="D522" s="82" t="str">
        <x:v>ExternalNotificationBridge</x:v>
      </x:c>
      <x:c r="E522" s="82" t="n">
        <x:v>0</x:v>
      </x:c>
      <x:c r="F522" s="82" t="str">
        <x:v>—</x:v>
      </x:c>
      <x:c r="G522" s="82" t="str">
        <x:v>尚未逐项裁决</x:v>
      </x:c>
      <x:c r="H522" s="82" t="str">
        <x:v>CxVisual.Mechanism.Data</x:v>
      </x:c>
      <x:c r="I522" s="82" t="str">
        <x:v>需核原方法签名/行为、状态、依赖及实例生命周期</x:v>
      </x:c>
      <x:c r="J522" s="82" t="str">
        <x:v>V7.8词法声明证据</x:v>
      </x:c>
      <x:c r="K522" s="82" t="str">
        <x:v>设计审查中/未执行实测</x:v>
      </x:c>
    </x:row>
    <x:row r="523">
      <x:c r="A523" s="82" t="str">
        <x:v>M36.MessageTopic</x:v>
      </x:c>
      <x:c r="B523" s="82" t="str">
        <x:v>M36</x:v>
      </x:c>
      <x:c r="C523" s="82" t="str">
        <x:v>CxVisual.Mechanism.Data</x:v>
      </x:c>
      <x:c r="D523" s="82" t="str">
        <x:v>MessageTopic</x:v>
      </x:c>
      <x:c r="E523" s="82" t="n">
        <x:v>0</x:v>
      </x:c>
      <x:c r="F523" s="82" t="str">
        <x:v>—</x:v>
      </x:c>
      <x:c r="G523" s="82" t="str">
        <x:v>尚未逐项裁决</x:v>
      </x:c>
      <x:c r="H523" s="82" t="str">
        <x:v>CxVisual.Mechanism.Data</x:v>
      </x:c>
      <x:c r="I523" s="82" t="str">
        <x:v>需核原方法签名/行为、状态、依赖及实例生命周期</x:v>
      </x:c>
      <x:c r="J523" s="82" t="str">
        <x:v>V7.8词法声明证据</x:v>
      </x:c>
      <x:c r="K523" s="82" t="str">
        <x:v>设计审查中/未执行实测</x:v>
      </x:c>
    </x:row>
    <x:row r="524">
      <x:c r="A524" s="82" t="str">
        <x:v>M36.NotificationMessage</x:v>
      </x:c>
      <x:c r="B524" s="82" t="str">
        <x:v>M36</x:v>
      </x:c>
      <x:c r="C524" s="82" t="str">
        <x:v>CxVisual.Mechanism.Data</x:v>
      </x:c>
      <x:c r="D524" s="82" t="str">
        <x:v>NotificationMessage</x:v>
      </x:c>
      <x:c r="E524" s="82" t="n">
        <x:v>0</x:v>
      </x:c>
      <x:c r="F524" s="82" t="str">
        <x:v>—</x:v>
      </x:c>
      <x:c r="G524" s="82" t="str">
        <x:v>尚未逐项裁决</x:v>
      </x:c>
      <x:c r="H524" s="82" t="str">
        <x:v>CxVisual.Mechanism.Data</x:v>
      </x:c>
      <x:c r="I524" s="82" t="str">
        <x:v>需核原方法签名/行为、状态、依赖及实例生命周期</x:v>
      </x:c>
      <x:c r="J524" s="82" t="str">
        <x:v>V7.8词法声明证据</x:v>
      </x:c>
      <x:c r="K524" s="82" t="str">
        <x:v>设计审查中/未执行实测</x:v>
      </x:c>
    </x:row>
    <x:row r="525">
      <x:c r="A525" s="82" t="str">
        <x:v>M36.NotificationPolicy</x:v>
      </x:c>
      <x:c r="B525" s="82" t="str">
        <x:v>M36</x:v>
      </x:c>
      <x:c r="C525" s="82" t="str">
        <x:v>CxVisual.Mechanism.Data</x:v>
      </x:c>
      <x:c r="D525" s="82" t="str">
        <x:v>NotificationPolicy</x:v>
      </x:c>
      <x:c r="E525" s="82" t="n">
        <x:v>0</x:v>
      </x:c>
      <x:c r="F525" s="82" t="str">
        <x:v>—</x:v>
      </x:c>
      <x:c r="G525" s="82" t="str">
        <x:v>尚未逐项裁决</x:v>
      </x:c>
      <x:c r="H525" s="82" t="str">
        <x:v>CxVisual.Mechanism.Data</x:v>
      </x:c>
      <x:c r="I525" s="82" t="str">
        <x:v>需核原方法签名/行为、状态、依赖及实例生命周期</x:v>
      </x:c>
      <x:c r="J525" s="82" t="str">
        <x:v>V7.8词法声明证据</x:v>
      </x:c>
      <x:c r="K525" s="82" t="str">
        <x:v>设计审查中/未执行实测</x:v>
      </x:c>
    </x:row>
    <x:row r="526">
      <x:c r="A526" s="82" t="str">
        <x:v>M36.NotificationService</x:v>
      </x:c>
      <x:c r="B526" s="82" t="str">
        <x:v>M36</x:v>
      </x:c>
      <x:c r="C526" s="82" t="str">
        <x:v>CxVisual.Mechanism.Data</x:v>
      </x:c>
      <x:c r="D526" s="82" t="str">
        <x:v>NotificationService</x:v>
      </x:c>
      <x:c r="E526" s="82" t="n">
        <x:v>0</x:v>
      </x:c>
      <x:c r="F526" s="82" t="str">
        <x:v>—</x:v>
      </x:c>
      <x:c r="G526" s="82" t="str">
        <x:v>尚未逐项裁决</x:v>
      </x:c>
      <x:c r="H526" s="82" t="str">
        <x:v>CxVisual.Mechanism.Data</x:v>
      </x:c>
      <x:c r="I526" s="82" t="str">
        <x:v>需核原方法签名/行为、状态、依赖及实例生命周期</x:v>
      </x:c>
      <x:c r="J526" s="82" t="str">
        <x:v>V7.8词法声明证据</x:v>
      </x:c>
      <x:c r="K526" s="82" t="str">
        <x:v>设计审查中/未执行实测</x:v>
      </x:c>
    </x:row>
    <x:row r="527">
      <x:c r="A527" s="82" t="str">
        <x:v>M37.ClipboardService</x:v>
      </x:c>
      <x:c r="B527" s="82" t="str">
        <x:v>M37</x:v>
      </x:c>
      <x:c r="C527" s="82" t="str">
        <x:v>CxVisual.Mechanism.Visual</x:v>
      </x:c>
      <x:c r="D527" s="82" t="str">
        <x:v>ClipboardService</x:v>
      </x:c>
      <x:c r="E527" s="82" t="n">
        <x:v>0</x:v>
      </x:c>
      <x:c r="F527" s="82" t="str">
        <x:v>—</x:v>
      </x:c>
      <x:c r="G527" s="82" t="str">
        <x:v>尚未逐项裁决</x:v>
      </x:c>
      <x:c r="H527" s="82" t="str">
        <x:v>CxVisual.Mechanism.Visual</x:v>
      </x:c>
      <x:c r="I527" s="82" t="str">
        <x:v>需核原方法签名/行为、状态、依赖及实例生命周期</x:v>
      </x:c>
      <x:c r="J527" s="82" t="str">
        <x:v>V7.8词法声明证据</x:v>
      </x:c>
      <x:c r="K527" s="82" t="str">
        <x:v>设计审查中/未执行实测</x:v>
      </x:c>
    </x:row>
    <x:row r="528">
      <x:c r="A528" s="82" t="str">
        <x:v>M37.ContextContributionRegistry</x:v>
      </x:c>
      <x:c r="B528" s="82" t="str">
        <x:v>M37</x:v>
      </x:c>
      <x:c r="C528" s="82" t="str">
        <x:v>CxVisual.Mechanism.Visual</x:v>
      </x:c>
      <x:c r="D528" s="82" t="str">
        <x:v>ContextContributionRegistry</x:v>
      </x:c>
      <x:c r="E528" s="82" t="n">
        <x:v>1</x:v>
      </x:c>
      <x:c r="F528" s="82" t="str">
        <x:v>Host/Studio/Application/Studio/Contributions/ContextContributionPlatform.cs (class)</x:v>
      </x:c>
      <x:c r="G528" s="82" t="str">
        <x:v>尚未逐项裁决</x:v>
      </x:c>
      <x:c r="H528" s="82" t="str">
        <x:v>CxVisual.Mechanism.Visual</x:v>
      </x:c>
      <x:c r="I528" s="82" t="str">
        <x:v>需核原方法签名/行为、状态、依赖及实例生命周期</x:v>
      </x:c>
      <x:c r="J528" s="82" t="str">
        <x:v>V7.8词法声明证据</x:v>
      </x:c>
      <x:c r="K528" s="82" t="str">
        <x:v>设计审查中/未执行实测</x:v>
      </x:c>
    </x:row>
    <x:row r="529">
      <x:c r="A529" s="82" t="str">
        <x:v>M37.DocumentHost</x:v>
      </x:c>
      <x:c r="B529" s="82" t="str">
        <x:v>M37</x:v>
      </x:c>
      <x:c r="C529" s="82" t="str">
        <x:v>CxVisual.Mechanism.Visual</x:v>
      </x:c>
      <x:c r="D529" s="82" t="str">
        <x:v>DocumentHost</x:v>
      </x:c>
      <x:c r="E529" s="82" t="n">
        <x:v>0</x:v>
      </x:c>
      <x:c r="F529" s="82" t="str">
        <x:v>—</x:v>
      </x:c>
      <x:c r="G529" s="82" t="str">
        <x:v>尚未逐项裁决</x:v>
      </x:c>
      <x:c r="H529" s="82" t="str">
        <x:v>CxVisual.Mechanism.Visual</x:v>
      </x:c>
      <x:c r="I529" s="82" t="str">
        <x:v>需核原方法签名/行为、状态、依赖及实例生命周期</x:v>
      </x:c>
      <x:c r="J529" s="82" t="str">
        <x:v>V7.8词法声明证据</x:v>
      </x:c>
      <x:c r="K529" s="82" t="str">
        <x:v>设计审查中/未执行实测</x:v>
      </x:c>
    </x:row>
    <x:row r="530">
      <x:c r="A530" s="82" t="str">
        <x:v>M37.EditorDescriptor</x:v>
      </x:c>
      <x:c r="B530" s="82" t="str">
        <x:v>M37</x:v>
      </x:c>
      <x:c r="C530" s="82" t="str">
        <x:v>CxVisual.Mechanism.Visual</x:v>
      </x:c>
      <x:c r="D530" s="82" t="str">
        <x:v>EditorDescriptor</x:v>
      </x:c>
      <x:c r="E530" s="82" t="n">
        <x:v>0</x:v>
      </x:c>
      <x:c r="F530" s="82" t="str">
        <x:v>—</x:v>
      </x:c>
      <x:c r="G530" s="82" t="str">
        <x:v>尚未逐项裁决</x:v>
      </x:c>
      <x:c r="H530" s="82" t="str">
        <x:v>CxVisual.Mechanism.Visual</x:v>
      </x:c>
      <x:c r="I530" s="82" t="str">
        <x:v>需核原方法签名/行为、状态、依赖及实例生命周期</x:v>
      </x:c>
      <x:c r="J530" s="82" t="str">
        <x:v>V7.8词法声明证据</x:v>
      </x:c>
      <x:c r="K530" s="82" t="str">
        <x:v>设计审查中/未执行实测</x:v>
      </x:c>
    </x:row>
    <x:row r="531">
      <x:c r="A531" s="82" t="str">
        <x:v>M37.IUndoService</x:v>
      </x:c>
      <x:c r="B531" s="82" t="str">
        <x:v>M37</x:v>
      </x:c>
      <x:c r="C531" s="82" t="str">
        <x:v>CxVisual.Mechanism.Visual</x:v>
      </x:c>
      <x:c r="D531" s="82" t="str">
        <x:v>IUndoService</x:v>
      </x:c>
      <x:c r="E531" s="82" t="n">
        <x:v>0</x:v>
      </x:c>
      <x:c r="F531" s="82" t="str">
        <x:v>—</x:v>
      </x:c>
      <x:c r="G531" s="82" t="str">
        <x:v>尚未逐项裁决</x:v>
      </x:c>
      <x:c r="H531" s="82" t="str">
        <x:v>CxVisual.Mechanism.Visual</x:v>
      </x:c>
      <x:c r="I531" s="82" t="str">
        <x:v>需核原方法签名/行为、状态、依赖及实例生命周期</x:v>
      </x:c>
      <x:c r="J531" s="82" t="str">
        <x:v>V7.8词法声明证据</x:v>
      </x:c>
      <x:c r="K531" s="82" t="str">
        <x:v>设计审查中/未执行实测</x:v>
      </x:c>
    </x:row>
    <x:row r="532">
      <x:c r="A532" s="82" t="str">
        <x:v>M37.StudioCommandRouter</x:v>
      </x:c>
      <x:c r="B532" s="82" t="str">
        <x:v>M37</x:v>
      </x:c>
      <x:c r="C532" s="82" t="str">
        <x:v>CxVisual.Mechanism.Visual</x:v>
      </x:c>
      <x:c r="D532" s="82" t="str">
        <x:v>StudioCommandRouter</x:v>
      </x:c>
      <x:c r="E532" s="82" t="n">
        <x:v>1</x:v>
      </x:c>
      <x:c r="F532" s="82" t="str">
        <x:v>Host/Studio/Application/StudioShell/Commands/StudioCommandModel.cs (class)</x:v>
      </x:c>
      <x:c r="G532" s="82" t="str">
        <x:v>尚未逐项裁决</x:v>
      </x:c>
      <x:c r="H532" s="82" t="str">
        <x:v>CxVisual.Mechanism.Visual</x:v>
      </x:c>
      <x:c r="I532" s="82" t="str">
        <x:v>需核原方法签名/行为、状态、依赖及实例生命周期</x:v>
      </x:c>
      <x:c r="J532" s="82" t="str">
        <x:v>V7.8词法声明证据</x:v>
      </x:c>
      <x:c r="K532" s="82" t="str">
        <x:v>设计审查中/未执行实测</x:v>
      </x:c>
    </x:row>
    <x:row r="533">
      <x:c r="A533" s="82" t="str">
        <x:v>M37.StudioContext</x:v>
      </x:c>
      <x:c r="B533" s="82" t="str">
        <x:v>M37</x:v>
      </x:c>
      <x:c r="C533" s="82" t="str">
        <x:v>CxVisual.Mechanism.Visual</x:v>
      </x:c>
      <x:c r="D533" s="82" t="str">
        <x:v>StudioContext</x:v>
      </x:c>
      <x:c r="E533" s="82" t="n">
        <x:v>0</x:v>
      </x:c>
      <x:c r="F533" s="82" t="str">
        <x:v>—</x:v>
      </x:c>
      <x:c r="G533" s="82" t="str">
        <x:v>尚未逐项裁决</x:v>
      </x:c>
      <x:c r="H533" s="82" t="str">
        <x:v>CxVisual.Mechanism.Visual</x:v>
      </x:c>
      <x:c r="I533" s="82" t="str">
        <x:v>需核原方法签名/行为、状态、依赖及实例生命周期</x:v>
      </x:c>
      <x:c r="J533" s="82" t="str">
        <x:v>V7.8词法声明证据</x:v>
      </x:c>
      <x:c r="K533" s="82" t="str">
        <x:v>设计审查中/未执行实测</x:v>
      </x:c>
    </x:row>
    <x:row r="534">
      <x:c r="A534" s="82" t="str">
        <x:v>M37.WorkspaceLayout</x:v>
      </x:c>
      <x:c r="B534" s="82" t="str">
        <x:v>M37</x:v>
      </x:c>
      <x:c r="C534" s="82" t="str">
        <x:v>CxVisual.Mechanism.Visual</x:v>
      </x:c>
      <x:c r="D534" s="82" t="str">
        <x:v>WorkspaceLayout</x:v>
      </x:c>
      <x:c r="E534" s="82" t="n">
        <x:v>0</x:v>
      </x:c>
      <x:c r="F534" s="82" t="str">
        <x:v>—</x:v>
      </x:c>
      <x:c r="G534" s="82" t="str">
        <x:v>尚未逐项裁决</x:v>
      </x:c>
      <x:c r="H534" s="82" t="str">
        <x:v>CxVisual.Mechanism.Visual</x:v>
      </x:c>
      <x:c r="I534" s="82" t="str">
        <x:v>需核原方法签名/行为、状态、依赖及实例生命周期</x:v>
      </x:c>
      <x:c r="J534" s="82" t="str">
        <x:v>V7.8词法声明证据</x:v>
      </x:c>
      <x:c r="K534" s="82" t="str">
        <x:v>设计审查中/未执行实测</x:v>
      </x:c>
    </x:row>
    <x:row r="535">
      <x:c r="A535" s="82" t="str">
        <x:v>M38.BaselineProfile</x:v>
      </x:c>
      <x:c r="B535" s="82" t="str">
        <x:v>M38</x:v>
      </x:c>
      <x:c r="C535" s="82" t="str">
        <x:v>CxVisual.Mechanism.Core</x:v>
      </x:c>
      <x:c r="D535" s="82" t="str">
        <x:v>BaselineProfile</x:v>
      </x:c>
      <x:c r="E535" s="82" t="n">
        <x:v>0</x:v>
      </x:c>
      <x:c r="F535" s="82" t="str">
        <x:v>—</x:v>
      </x:c>
      <x:c r="G535" s="82" t="str">
        <x:v>暂保留候选（需源码验证）</x:v>
      </x:c>
      <x:c r="H535" s="82" t="str">
        <x:v>CxVisual.Mechanism.Core</x:v>
      </x:c>
      <x:c r="I535" s="82" t="str">
        <x:v>禁止隐含运行态或UI强依赖</x:v>
      </x:c>
      <x:c r="J535" s="82" t="str">
        <x:v>R3-A裁决候选</x:v>
      </x:c>
      <x:c r="K535" s="82" t="str">
        <x:v>设计审查中/未执行实测</x:v>
      </x:c>
    </x:row>
    <x:row r="536">
      <x:c r="A536" s="82" t="str">
        <x:v>M38.DiffResult</x:v>
      </x:c>
      <x:c r="B536" s="82" t="str">
        <x:v>M38</x:v>
      </x:c>
      <x:c r="C536" s="82" t="str">
        <x:v>CxVisual.Mechanism.Core</x:v>
      </x:c>
      <x:c r="D536" s="82" t="str">
        <x:v>DiffResult</x:v>
      </x:c>
      <x:c r="E536" s="82" t="n">
        <x:v>0</x:v>
      </x:c>
      <x:c r="F536" s="82" t="str">
        <x:v>—</x:v>
      </x:c>
      <x:c r="G536" s="82" t="str">
        <x:v>暂保留候选（需源码验证）</x:v>
      </x:c>
      <x:c r="H536" s="82" t="str">
        <x:v>CxVisual.Mechanism.Core</x:v>
      </x:c>
      <x:c r="I536" s="82" t="str">
        <x:v>禁止隐含运行态或UI强依赖</x:v>
      </x:c>
      <x:c r="J536" s="82" t="str">
        <x:v>R3-A裁决候选</x:v>
      </x:c>
      <x:c r="K536" s="82" t="str">
        <x:v>设计审查中/未执行实测</x:v>
      </x:c>
    </x:row>
    <x:row r="537">
      <x:c r="A537" s="82" t="str">
        <x:v>M38.Exporter</x:v>
      </x:c>
      <x:c r="B537" s="82" t="str">
        <x:v>M38</x:v>
      </x:c>
      <x:c r="C537" s="82" t="str">
        <x:v>CxVisual.Mechanism.Core</x:v>
      </x:c>
      <x:c r="D537" s="82" t="str">
        <x:v>Exporter</x:v>
      </x:c>
      <x:c r="E537" s="82" t="n">
        <x:v>0</x:v>
      </x:c>
      <x:c r="F537" s="82" t="str">
        <x:v>—</x:v>
      </x:c>
      <x:c r="G537" s="82" t="str">
        <x:v>转接口</x:v>
      </x:c>
      <x:c r="H537" s="82" t="str">
        <x:v>CxVisual.Mechanism.Core</x:v>
      </x:c>
      <x:c r="I537" s="82" t="str">
        <x:v>Core不引用WPF或专业SDK</x:v>
      </x:c>
      <x:c r="J537" s="82" t="str">
        <x:v>R3-A裁决候选</x:v>
      </x:c>
      <x:c r="K537" s="82" t="str">
        <x:v>设计审查中/未执行实测</x:v>
      </x:c>
    </x:row>
    <x:row r="538">
      <x:c r="A538" s="82" t="str">
        <x:v>M38.Importer</x:v>
      </x:c>
      <x:c r="B538" s="82" t="str">
        <x:v>M38</x:v>
      </x:c>
      <x:c r="C538" s="82" t="str">
        <x:v>CxVisual.Mechanism.Core</x:v>
      </x:c>
      <x:c r="D538" s="82" t="str">
        <x:v>Importer</x:v>
      </x:c>
      <x:c r="E538" s="82" t="n">
        <x:v>0</x:v>
      </x:c>
      <x:c r="F538" s="82" t="str">
        <x:v>—</x:v>
      </x:c>
      <x:c r="G538" s="82" t="str">
        <x:v>转接口</x:v>
      </x:c>
      <x:c r="H538" s="82" t="str">
        <x:v>CxVisual.Mechanism.Core</x:v>
      </x:c>
      <x:c r="I538" s="82" t="str">
        <x:v>SVG/HALCON/设备特定实现位于Visual/Professional</x:v>
      </x:c>
      <x:c r="J538" s="82" t="str">
        <x:v>R3-A裁决候选</x:v>
      </x:c>
      <x:c r="K538" s="82" t="str">
        <x:v>设计审查中/未执行实测</x:v>
      </x:c>
    </x:row>
    <x:row r="539">
      <x:c r="A539" s="82" t="str">
        <x:v>M38.Preset</x:v>
      </x:c>
      <x:c r="B539" s="82" t="str">
        <x:v>M38</x:v>
      </x:c>
      <x:c r="C539" s="82" t="str">
        <x:v>CxVisual.Mechanism.Core</x:v>
      </x:c>
      <x:c r="D539" s="82" t="str">
        <x:v>Preset</x:v>
      </x:c>
      <x:c r="E539" s="82" t="n">
        <x:v>0</x:v>
      </x:c>
      <x:c r="F539" s="82" t="str">
        <x:v>—</x:v>
      </x:c>
      <x:c r="G539" s="82" t="str">
        <x:v>暂保留候选（需源码验证）</x:v>
      </x:c>
      <x:c r="H539" s="82" t="str">
        <x:v>CxVisual.Mechanism.Core</x:v>
      </x:c>
      <x:c r="I539" s="82" t="str">
        <x:v>禁止隐含运行态或UI强依赖</x:v>
      </x:c>
      <x:c r="J539" s="82" t="str">
        <x:v>R3-A裁决候选</x:v>
      </x:c>
      <x:c r="K539" s="82" t="str">
        <x:v>设计审查中/未执行实测</x:v>
      </x:c>
    </x:row>
    <x:row r="540">
      <x:c r="A540" s="82" t="str">
        <x:v>M38.ResourceSerializationService</x:v>
      </x:c>
      <x:c r="B540" s="82" t="str">
        <x:v>M38</x:v>
      </x:c>
      <x:c r="C540" s="82" t="str">
        <x:v>CxVisual.Mechanism.Core</x:v>
      </x:c>
      <x:c r="D540" s="82" t="str">
        <x:v>ResourceSerializationService</x:v>
      </x:c>
      <x:c r="E540" s="82" t="n">
        <x:v>0</x:v>
      </x:c>
      <x:c r="F540" s="82" t="str">
        <x:v>—</x:v>
      </x:c>
      <x:c r="G540" s="82" t="str">
        <x:v>保留+约束</x:v>
      </x:c>
      <x:c r="H540" s="82" t="str">
        <x:v>CxVisual.Mechanism.Core</x:v>
      </x:c>
      <x:c r="I540" s="82" t="str">
        <x:v>文件Codec具体实现用F14/F18；未知字段保留策略需验收</x:v>
      </x:c>
      <x:c r="J540" s="82" t="str">
        <x:v>R3-A裁决候选</x:v>
      </x:c>
      <x:c r="K540" s="82" t="str">
        <x:v>设计审查中/未执行实测</x:v>
      </x:c>
    </x:row>
    <x:row r="541">
      <x:c r="A541" s="82" t="str">
        <x:v>M38.SchemaMigrationRegistry</x:v>
      </x:c>
      <x:c r="B541" s="82" t="str">
        <x:v>M38</x:v>
      </x:c>
      <x:c r="C541" s="82" t="str">
        <x:v>CxVisual.Mechanism.Core</x:v>
      </x:c>
      <x:c r="D541" s="82" t="str">
        <x:v>SchemaMigrationRegistry</x:v>
      </x:c>
      <x:c r="E541" s="82" t="n">
        <x:v>0</x:v>
      </x:c>
      <x:c r="F541" s="82" t="str">
        <x:v>—</x:v>
      </x:c>
      <x:c r="G541" s="82" t="str">
        <x:v>实现外移</x:v>
      </x:c>
      <x:c r="H541" s="82" t="str">
        <x:v>CxVisual.Mechanism.Lifecycle</x:v>
      </x:c>
      <x:c r="I541" s="82" t="str">
        <x:v>M38定义序列化版本约束，生命周期实施版本迁移</x:v>
      </x:c>
      <x:c r="J541" s="82" t="str">
        <x:v>R3-A裁决候选</x:v>
      </x:c>
      <x:c r="K541" s="82" t="str">
        <x:v>设计审查中/未执行实测</x:v>
      </x:c>
    </x:row>
    <x:row r="542">
      <x:c r="A542" s="82" t="str">
        <x:v>M38.TemplateDescriptor</x:v>
      </x:c>
      <x:c r="B542" s="82" t="str">
        <x:v>M38</x:v>
      </x:c>
      <x:c r="C542" s="82" t="str">
        <x:v>CxVisual.Mechanism.Core</x:v>
      </x:c>
      <x:c r="D542" s="82" t="str">
        <x:v>TemplateDescriptor</x:v>
      </x:c>
      <x:c r="E542" s="82" t="n">
        <x:v>0</x:v>
      </x:c>
      <x:c r="F542" s="82" t="str">
        <x:v>—</x:v>
      </x:c>
      <x:c r="G542" s="82" t="str">
        <x:v>保留</x:v>
      </x:c>
      <x:c r="H542" s="82" t="str">
        <x:v>CxVisual.Mechanism.Core</x:v>
      </x:c>
      <x:c r="I542" s="82" t="str">
        <x:v>不包含WPF Template/ControlTemplate</x:v>
      </x:c>
      <x:c r="J542" s="82" t="str">
        <x:v>R3-A裁决候选</x:v>
      </x:c>
      <x:c r="K542" s="82" t="str">
        <x:v>设计审查中/未执行实测</x:v>
      </x:c>
    </x:row>
    <x:row r="543">
      <x:c r="A543" s="82" t="str">
        <x:v>M38.WizardDescriptor</x:v>
      </x:c>
      <x:c r="B543" s="82" t="str">
        <x:v>M38</x:v>
      </x:c>
      <x:c r="C543" s="82" t="str">
        <x:v>CxVisual.Mechanism.Core</x:v>
      </x:c>
      <x:c r="D543" s="82" t="str">
        <x:v>WizardDescriptor</x:v>
      </x:c>
      <x:c r="E543" s="82" t="n">
        <x:v>0</x:v>
      </x:c>
      <x:c r="F543" s="82" t="str">
        <x:v>—</x:v>
      </x:c>
      <x:c r="G543" s="82" t="str">
        <x:v>保留描述</x:v>
      </x:c>
      <x:c r="H543" s="82" t="str">
        <x:v>CxVisual.Mechanism.Core</x:v>
      </x:c>
      <x:c r="I543" s="82" t="str">
        <x:v>WPF负责向导界面，不被Core引用</x:v>
      </x:c>
      <x:c r="J543" s="82" t="str">
        <x:v>R3-A裁决候选</x:v>
      </x:c>
      <x:c r="K543" s="82" t="str">
        <x:v>设计审查中/未执行实测</x:v>
      </x:c>
    </x:row>
    <x:row r="544">
      <x:c r="A544" s="82" t="str">
        <x:v>M39.CompatibilityResult</x:v>
      </x:c>
      <x:c r="B544" s="82" t="str">
        <x:v>M39</x:v>
      </x:c>
      <x:c r="C544" s="82" t="str">
        <x:v>CxVisual.Mechanism.Lifecycle</x:v>
      </x:c>
      <x:c r="D544" s="82" t="str">
        <x:v>CompatibilityResult</x:v>
      </x:c>
      <x:c r="E544" s="82" t="n">
        <x:v>0</x:v>
      </x:c>
      <x:c r="F544" s="82" t="str">
        <x:v>—</x:v>
      </x:c>
      <x:c r="G544" s="82" t="str">
        <x:v>尚未逐项裁决</x:v>
      </x:c>
      <x:c r="H544" s="82" t="str">
        <x:v>CxVisual.Mechanism.Lifecycle</x:v>
      </x:c>
      <x:c r="I544" s="82" t="str">
        <x:v>需核原方法签名/行为、状态、依赖及实例生命周期</x:v>
      </x:c>
      <x:c r="J544" s="82" t="str">
        <x:v>V7.8词法声明证据</x:v>
      </x:c>
      <x:c r="K544" s="82" t="str">
        <x:v>设计审查中/未执行实测</x:v>
      </x:c>
    </x:row>
    <x:row r="545">
      <x:c r="A545" s="82" t="str">
        <x:v>M39.DeployPlan</x:v>
      </x:c>
      <x:c r="B545" s="82" t="str">
        <x:v>M39</x:v>
      </x:c>
      <x:c r="C545" s="82" t="str">
        <x:v>CxVisual.Mechanism.Lifecycle</x:v>
      </x:c>
      <x:c r="D545" s="82" t="str">
        <x:v>DeployPlan</x:v>
      </x:c>
      <x:c r="E545" s="82" t="n">
        <x:v>0</x:v>
      </x:c>
      <x:c r="F545" s="82" t="str">
        <x:v>—</x:v>
      </x:c>
      <x:c r="G545" s="82" t="str">
        <x:v>尚未逐项裁决</x:v>
      </x:c>
      <x:c r="H545" s="82" t="str">
        <x:v>CxVisual.Mechanism.Lifecycle</x:v>
      </x:c>
      <x:c r="I545" s="82" t="str">
        <x:v>需核原方法签名/行为、状态、依赖及实例生命周期</x:v>
      </x:c>
      <x:c r="J545" s="82" t="str">
        <x:v>V7.8词法声明证据</x:v>
      </x:c>
      <x:c r="K545" s="82" t="str">
        <x:v>设计审查中/未执行实测</x:v>
      </x:c>
    </x:row>
    <x:row r="546">
      <x:c r="A546" s="82" t="str">
        <x:v>M39.Manifest</x:v>
      </x:c>
      <x:c r="B546" s="82" t="str">
        <x:v>M39</x:v>
      </x:c>
      <x:c r="C546" s="82" t="str">
        <x:v>CxVisual.Mechanism.Lifecycle</x:v>
      </x:c>
      <x:c r="D546" s="82" t="str">
        <x:v>Manifest</x:v>
      </x:c>
      <x:c r="E546" s="82" t="n">
        <x:v>0</x:v>
      </x:c>
      <x:c r="F546" s="82" t="str">
        <x:v>—</x:v>
      </x:c>
      <x:c r="G546" s="82" t="str">
        <x:v>尚未逐项裁决</x:v>
      </x:c>
      <x:c r="H546" s="82" t="str">
        <x:v>CxVisual.Mechanism.Lifecycle</x:v>
      </x:c>
      <x:c r="I546" s="82" t="str">
        <x:v>需核原方法签名/行为、状态、依赖及实例生命周期</x:v>
      </x:c>
      <x:c r="J546" s="82" t="str">
        <x:v>V7.8词法声明证据</x:v>
      </x:c>
      <x:c r="K546" s="82" t="str">
        <x:v>设计审查中/未执行实测</x:v>
      </x:c>
    </x:row>
    <x:row r="547">
      <x:c r="A547" s="82" t="str">
        <x:v>M39.MigrationProvider</x:v>
      </x:c>
      <x:c r="B547" s="82" t="str">
        <x:v>M39</x:v>
      </x:c>
      <x:c r="C547" s="82" t="str">
        <x:v>CxVisual.Mechanism.Lifecycle</x:v>
      </x:c>
      <x:c r="D547" s="82" t="str">
        <x:v>MigrationProvider</x:v>
      </x:c>
      <x:c r="E547" s="82" t="n">
        <x:v>0</x:v>
      </x:c>
      <x:c r="F547" s="82" t="str">
        <x:v>—</x:v>
      </x:c>
      <x:c r="G547" s="82" t="str">
        <x:v>尚未逐项裁决</x:v>
      </x:c>
      <x:c r="H547" s="82" t="str">
        <x:v>CxVisual.Mechanism.Lifecycle</x:v>
      </x:c>
      <x:c r="I547" s="82" t="str">
        <x:v>需核原方法签名/行为、状态、依赖及实例生命周期</x:v>
      </x:c>
      <x:c r="J547" s="82" t="str">
        <x:v>V7.8词法声明证据</x:v>
      </x:c>
      <x:c r="K547" s="82" t="str">
        <x:v>设计审查中/未执行实测</x:v>
      </x:c>
    </x:row>
    <x:row r="548">
      <x:c r="A548" s="82" t="str">
        <x:v>M39.PackageDescriptor</x:v>
      </x:c>
      <x:c r="B548" s="82" t="str">
        <x:v>M39</x:v>
      </x:c>
      <x:c r="C548" s="82" t="str">
        <x:v>CxVisual.Mechanism.Lifecycle</x:v>
      </x:c>
      <x:c r="D548" s="82" t="str">
        <x:v>PackageDescriptor</x:v>
      </x:c>
      <x:c r="E548" s="82" t="n">
        <x:v>0</x:v>
      </x:c>
      <x:c r="F548" s="82" t="str">
        <x:v>—</x:v>
      </x:c>
      <x:c r="G548" s="82" t="str">
        <x:v>尚未逐项裁决</x:v>
      </x:c>
      <x:c r="H548" s="82" t="str">
        <x:v>CxVisual.Mechanism.Lifecycle</x:v>
      </x:c>
      <x:c r="I548" s="82" t="str">
        <x:v>需核原方法签名/行为、状态、依赖及实例生命周期</x:v>
      </x:c>
      <x:c r="J548" s="82" t="str">
        <x:v>V7.8词法声明证据</x:v>
      </x:c>
      <x:c r="K548" s="82" t="str">
        <x:v>设计审查中/未执行实测</x:v>
      </x:c>
    </x:row>
    <x:row r="549">
      <x:c r="A549" s="82" t="str">
        <x:v>M39.ProjectVersion</x:v>
      </x:c>
      <x:c r="B549" s="82" t="str">
        <x:v>M39</x:v>
      </x:c>
      <x:c r="C549" s="82" t="str">
        <x:v>CxVisual.Mechanism.Lifecycle</x:v>
      </x:c>
      <x:c r="D549" s="82" t="str">
        <x:v>ProjectVersion</x:v>
      </x:c>
      <x:c r="E549" s="82" t="n">
        <x:v>0</x:v>
      </x:c>
      <x:c r="F549" s="82" t="str">
        <x:v>—</x:v>
      </x:c>
      <x:c r="G549" s="82" t="str">
        <x:v>尚未逐项裁决</x:v>
      </x:c>
      <x:c r="H549" s="82" t="str">
        <x:v>CxVisual.Mechanism.Lifecycle</x:v>
      </x:c>
      <x:c r="I549" s="82" t="str">
        <x:v>需核原方法签名/行为、状态、依赖及实例生命周期</x:v>
      </x:c>
      <x:c r="J549" s="82" t="str">
        <x:v>V7.8词法声明证据</x:v>
      </x:c>
      <x:c r="K549" s="82" t="str">
        <x:v>设计审查中/未执行实测</x:v>
      </x:c>
    </x:row>
    <x:row r="550">
      <x:c r="A550" s="82" t="str">
        <x:v>M39.RollbackPlan</x:v>
      </x:c>
      <x:c r="B550" s="82" t="str">
        <x:v>M39</x:v>
      </x:c>
      <x:c r="C550" s="82" t="str">
        <x:v>CxVisual.Mechanism.Lifecycle</x:v>
      </x:c>
      <x:c r="D550" s="82" t="str">
        <x:v>RollbackPlan</x:v>
      </x:c>
      <x:c r="E550" s="82" t="n">
        <x:v>0</x:v>
      </x:c>
      <x:c r="F550" s="82" t="str">
        <x:v>—</x:v>
      </x:c>
      <x:c r="G550" s="82" t="str">
        <x:v>尚未逐项裁决</x:v>
      </x:c>
      <x:c r="H550" s="82" t="str">
        <x:v>CxVisual.Mechanism.Lifecycle</x:v>
      </x:c>
      <x:c r="I550" s="82" t="str">
        <x:v>需核原方法签名/行为、状态、依赖及实例生命周期</x:v>
      </x:c>
      <x:c r="J550" s="82" t="str">
        <x:v>V7.8词法声明证据</x:v>
      </x:c>
      <x:c r="K550" s="82" t="str">
        <x:v>设计审查中/未执行实测</x:v>
      </x:c>
    </x:row>
    <x:row r="551">
      <x:c r="A551" s="82" t="str">
        <x:v>M39.SchemaVersion</x:v>
      </x:c>
      <x:c r="B551" s="82" t="str">
        <x:v>M39</x:v>
      </x:c>
      <x:c r="C551" s="82" t="str">
        <x:v>CxVisual.Mechanism.Lifecycle</x:v>
      </x:c>
      <x:c r="D551" s="82" t="str">
        <x:v>SchemaVersion</x:v>
      </x:c>
      <x:c r="E551" s="82" t="n">
        <x:v>0</x:v>
      </x:c>
      <x:c r="F551" s="82" t="str">
        <x:v>—</x:v>
      </x:c>
      <x:c r="G551" s="82" t="str">
        <x:v>尚未逐项裁决</x:v>
      </x:c>
      <x:c r="H551" s="82" t="str">
        <x:v>CxVisual.Mechanism.Lifecycle</x:v>
      </x:c>
      <x:c r="I551" s="82" t="str">
        <x:v>需核原方法签名/行为、状态、依赖及实例生命周期</x:v>
      </x:c>
      <x:c r="J551" s="82" t="str">
        <x:v>V7.8词法声明证据</x:v>
      </x:c>
      <x:c r="K551" s="82" t="str">
        <x:v>设计审查中/未执行实测</x:v>
      </x:c>
    </x:row>
    <x:row r="552">
      <x:c r="A552" s="82" t="str">
        <x:v>M40.CompilerExtension</x:v>
      </x:c>
      <x:c r="B552" s="82" t="str">
        <x:v>M40</x:v>
      </x:c>
      <x:c r="C552" s="82" t="str">
        <x:v>CxVisual.Mechanism.Lifecycle</x:v>
      </x:c>
      <x:c r="D552" s="82" t="str">
        <x:v>CompilerExtension</x:v>
      </x:c>
      <x:c r="E552" s="82" t="n">
        <x:v>0</x:v>
      </x:c>
      <x:c r="F552" s="82" t="str">
        <x:v>—</x:v>
      </x:c>
      <x:c r="G552" s="82" t="str">
        <x:v>尚未逐项裁决</x:v>
      </x:c>
      <x:c r="H552" s="82" t="str">
        <x:v>CxVisual.Mechanism.Lifecycle</x:v>
      </x:c>
      <x:c r="I552" s="82" t="str">
        <x:v>需核原方法签名/行为、状态、依赖及实例生命周期</x:v>
      </x:c>
      <x:c r="J552" s="82" t="str">
        <x:v>V7.8词法声明证据</x:v>
      </x:c>
      <x:c r="K552" s="82" t="str">
        <x:v>设计审查中/未执行实测</x:v>
      </x:c>
    </x:row>
    <x:row r="553">
      <x:c r="A553" s="82" t="str">
        <x:v>M40.DebugContribution</x:v>
      </x:c>
      <x:c r="B553" s="82" t="str">
        <x:v>M40</x:v>
      </x:c>
      <x:c r="C553" s="82" t="str">
        <x:v>CxVisual.Mechanism.Lifecycle</x:v>
      </x:c>
      <x:c r="D553" s="82" t="str">
        <x:v>DebugContribution</x:v>
      </x:c>
      <x:c r="E553" s="82" t="n">
        <x:v>0</x:v>
      </x:c>
      <x:c r="F553" s="82" t="str">
        <x:v>—</x:v>
      </x:c>
      <x:c r="G553" s="82" t="str">
        <x:v>尚未逐项裁决</x:v>
      </x:c>
      <x:c r="H553" s="82" t="str">
        <x:v>CxVisual.Mechanism.Lifecycle</x:v>
      </x:c>
      <x:c r="I553" s="82" t="str">
        <x:v>需核原方法签名/行为、状态、依赖及实例生命周期</x:v>
      </x:c>
      <x:c r="J553" s="82" t="str">
        <x:v>V7.8词法声明证据</x:v>
      </x:c>
      <x:c r="K553" s="82" t="str">
        <x:v>设计审查中/未执行实测</x:v>
      </x:c>
    </x:row>
    <x:row r="554">
      <x:c r="A554" s="82" t="str">
        <x:v>M40.ExtensionRegistry</x:v>
      </x:c>
      <x:c r="B554" s="82" t="str">
        <x:v>M40</x:v>
      </x:c>
      <x:c r="C554" s="82" t="str">
        <x:v>CxVisual.Mechanism.Lifecycle</x:v>
      </x:c>
      <x:c r="D554" s="82" t="str">
        <x:v>ExtensionRegistry</x:v>
      </x:c>
      <x:c r="E554" s="82" t="n">
        <x:v>0</x:v>
      </x:c>
      <x:c r="F554" s="82" t="str">
        <x:v>—</x:v>
      </x:c>
      <x:c r="G554" s="82" t="str">
        <x:v>尚未逐项裁决</x:v>
      </x:c>
      <x:c r="H554" s="82" t="str">
        <x:v>CxVisual.Mechanism.Lifecycle</x:v>
      </x:c>
      <x:c r="I554" s="82" t="str">
        <x:v>需核原方法签名/行为、状态、依赖及实例生命周期</x:v>
      </x:c>
      <x:c r="J554" s="82" t="str">
        <x:v>V7.8词法声明证据</x:v>
      </x:c>
      <x:c r="K554" s="82" t="str">
        <x:v>设计审查中/未执行实测</x:v>
      </x:c>
    </x:row>
    <x:row r="555">
      <x:c r="A555" s="82" t="str">
        <x:v>M40.MigrationProviderExtension</x:v>
      </x:c>
      <x:c r="B555" s="82" t="str">
        <x:v>M40</x:v>
      </x:c>
      <x:c r="C555" s="82" t="str">
        <x:v>CxVisual.Mechanism.Lifecycle</x:v>
      </x:c>
      <x:c r="D555" s="82" t="str">
        <x:v>MigrationProviderExtension</x:v>
      </x:c>
      <x:c r="E555" s="82" t="n">
        <x:v>0</x:v>
      </x:c>
      <x:c r="F555" s="82" t="str">
        <x:v>—</x:v>
      </x:c>
      <x:c r="G555" s="82" t="str">
        <x:v>尚未逐项裁决</x:v>
      </x:c>
      <x:c r="H555" s="82" t="str">
        <x:v>CxVisual.Mechanism.Lifecycle</x:v>
      </x:c>
      <x:c r="I555" s="82" t="str">
        <x:v>需核原方法签名/行为、状态、依赖及实例生命周期</x:v>
      </x:c>
      <x:c r="J555" s="82" t="str">
        <x:v>V7.8词法声明证据</x:v>
      </x:c>
      <x:c r="K555" s="82" t="str">
        <x:v>设计审查中/未执行实测</x:v>
      </x:c>
    </x:row>
    <x:row r="556">
      <x:c r="A556" s="82" t="str">
        <x:v>M40.PluginCatalog</x:v>
      </x:c>
      <x:c r="B556" s="82" t="str">
        <x:v>M40</x:v>
      </x:c>
      <x:c r="C556" s="82" t="str">
        <x:v>CxVisual.Mechanism.Lifecycle</x:v>
      </x:c>
      <x:c r="D556" s="82" t="str">
        <x:v>PluginCatalog</x:v>
      </x:c>
      <x:c r="E556" s="82" t="n">
        <x:v>0</x:v>
      </x:c>
      <x:c r="F556" s="82" t="str">
        <x:v>—</x:v>
      </x:c>
      <x:c r="G556" s="82" t="str">
        <x:v>尚未逐项裁决</x:v>
      </x:c>
      <x:c r="H556" s="82" t="str">
        <x:v>CxVisual.Mechanism.Lifecycle</x:v>
      </x:c>
      <x:c r="I556" s="82" t="str">
        <x:v>需核原方法签名/行为、状态、依赖及实例生命周期</x:v>
      </x:c>
      <x:c r="J556" s="82" t="str">
        <x:v>V7.8词法声明证据</x:v>
      </x:c>
      <x:c r="K556" s="82" t="str">
        <x:v>设计审查中/未执行实测</x:v>
      </x:c>
    </x:row>
    <x:row r="557">
      <x:c r="A557" s="82" t="str">
        <x:v>M40.PluginDescriptor</x:v>
      </x:c>
      <x:c r="B557" s="82" t="str">
        <x:v>M40</x:v>
      </x:c>
      <x:c r="C557" s="82" t="str">
        <x:v>CxVisual.Mechanism.Lifecycle</x:v>
      </x:c>
      <x:c r="D557" s="82" t="str">
        <x:v>PluginDescriptor</x:v>
      </x:c>
      <x:c r="E557" s="82" t="n">
        <x:v>0</x:v>
      </x:c>
      <x:c r="F557" s="82" t="str">
        <x:v>—</x:v>
      </x:c>
      <x:c r="G557" s="82" t="str">
        <x:v>尚未逐项裁决</x:v>
      </x:c>
      <x:c r="H557" s="82" t="str">
        <x:v>CxVisual.Mechanism.Lifecycle</x:v>
      </x:c>
      <x:c r="I557" s="82" t="str">
        <x:v>需核原方法签名/行为、状态、依赖及实例生命周期</x:v>
      </x:c>
      <x:c r="J557" s="82" t="str">
        <x:v>V7.8词法声明证据</x:v>
      </x:c>
      <x:c r="K557" s="82" t="str">
        <x:v>设计审查中/未执行实测</x:v>
      </x:c>
    </x:row>
    <x:row r="558">
      <x:c r="A558" s="82" t="str">
        <x:v>M40.RuntimeExtension</x:v>
      </x:c>
      <x:c r="B558" s="82" t="str">
        <x:v>M40</x:v>
      </x:c>
      <x:c r="C558" s="82" t="str">
        <x:v>CxVisual.Mechanism.Lifecycle</x:v>
      </x:c>
      <x:c r="D558" s="82" t="str">
        <x:v>RuntimeExtension</x:v>
      </x:c>
      <x:c r="E558" s="82" t="n">
        <x:v>0</x:v>
      </x:c>
      <x:c r="F558" s="82" t="str">
        <x:v>—</x:v>
      </x:c>
      <x:c r="G558" s="82" t="str">
        <x:v>尚未逐项裁决</x:v>
      </x:c>
      <x:c r="H558" s="82" t="str">
        <x:v>CxVisual.Mechanism.Lifecycle</x:v>
      </x:c>
      <x:c r="I558" s="82" t="str">
        <x:v>需核原方法签名/行为、状态、依赖及实例生命周期</x:v>
      </x:c>
      <x:c r="J558" s="82" t="str">
        <x:v>V7.8词法声明证据</x:v>
      </x:c>
      <x:c r="K558" s="82" t="str">
        <x:v>设计审查中/未执行实测</x:v>
      </x:c>
    </x:row>
    <x:row r="559">
      <x:c r="A559" s="82" t="str">
        <x:v>M40.StaticUtilityRegistry</x:v>
      </x:c>
      <x:c r="B559" s="82" t="str">
        <x:v>M40</x:v>
      </x:c>
      <x:c r="C559" s="82" t="str">
        <x:v>CxVisual.Mechanism.Lifecycle</x:v>
      </x:c>
      <x:c r="D559" s="82" t="str">
        <x:v>StaticUtilityRegistry</x:v>
      </x:c>
      <x:c r="E559" s="82" t="n">
        <x:v>0</x:v>
      </x:c>
      <x:c r="F559" s="82" t="str">
        <x:v>—</x:v>
      </x:c>
      <x:c r="G559" s="82" t="str">
        <x:v>尚未逐项裁决</x:v>
      </x:c>
      <x:c r="H559" s="82" t="str">
        <x:v>CxVisual.Mechanism.Lifecycle</x:v>
      </x:c>
      <x:c r="I559" s="82" t="str">
        <x:v>需核原方法签名/行为、状态、依赖及实例生命周期</x:v>
      </x:c>
      <x:c r="J559" s="82" t="str">
        <x:v>V7.8词法声明证据</x:v>
      </x:c>
      <x:c r="K559" s="82" t="str">
        <x:v>设计审查中/未执行实测</x:v>
      </x:c>
    </x:row>
    <x:row r="560">
      <x:c r="A560" s="82"/>
      <x:c r="B560" s="82"/>
      <x:c r="C560" s="82"/>
      <x:c r="D560" s="82"/>
      <x:c r="E560" s="82"/>
      <x:c r="F560" s="82"/>
      <x:c r="G560" s="82"/>
      <x:c r="H560" s="82"/>
      <x:c r="I560" s="82"/>
      <x:c r="J560" s="82"/>
      <x:c r="K560" s="82"/>
    </x:row>
    <x:row r="561">
      <x:c r="A561" s="82"/>
      <x:c r="B561" s="82"/>
      <x:c r="C561" s="82"/>
      <x:c r="D561" s="82"/>
      <x:c r="E561" s="82"/>
      <x:c r="F561" s="82"/>
      <x:c r="G561" s="82"/>
      <x:c r="H561" s="82"/>
      <x:c r="I561" s="82"/>
      <x:c r="J561" s="82"/>
      <x:c r="K561" s="82"/>
    </x:row>
    <x:row r="562" ht="27" customHeight="1">
      <x:c r="A562" s="108" t="str">
        <x:v>B. V7.8真实公开成员声明（R2抽取的335条）</x:v>
      </x:c>
      <x:c r="B562" s="108"/>
      <x:c r="C562" s="108"/>
      <x:c r="D562" s="108"/>
      <x:c r="E562" s="108"/>
      <x:c r="F562" s="108"/>
      <x:c r="G562" s="108"/>
      <x:c r="H562" s="108"/>
      <x:c r="I562" s="108"/>
      <x:c r="J562" s="108"/>
      <x:c r="K562" s="108"/>
    </x:row>
    <x:row r="563">
      <x:c r="A563" s="82" t="str">
        <x:v>原大类</x:v>
      </x:c>
      <x:c r="B563" s="82" t="str">
        <x:v>所在类型（词法最近）</x:v>
      </x:c>
      <x:c r="C563" s="82" t="str">
        <x:v>V7.8源码文件</x:v>
      </x:c>
      <x:c r="D563" s="82" t="str">
        <x:v>行号</x:v>
      </x:c>
      <x:c r="E563" s="82" t="str">
        <x:v>V7.8真实声明（原文）</x:v>
      </x:c>
      <x:c r="F563" s="82" t="str">
        <x:v>证据性质</x:v>
      </x:c>
      <x:c r="G563" s="82" t="str">
        <x:v>验证备注</x:v>
      </x:c>
      <x:c r="H563" s="82"/>
      <x:c r="I563" s="82"/>
      <x:c r="J563" s="82"/>
      <x:c r="K563" s="82"/>
    </x:row>
    <x:row r="564">
      <x:c r="A564" s="82" t="str">
        <x:v>Core</x:v>
      </x:c>
      <x:c r="B564" s="82" t="str">
        <x:v>CxNode</x:v>
      </x:c>
      <x:c r="C564" s="82" t="str">
        <x:v>Platform/Core/CxNode.cs</x:v>
      </x:c>
      <x:c r="D564" s="82" t="n">
        <x:v>15</x:v>
      </x:c>
      <x:c r="E564" s="82" t="str">
        <x:v>public abstract string Id { get; set; }</x:v>
      </x:c>
      <x:c r="F564" s="82" t="str">
        <x:v>V7.8源代码公开声明（非新API定案）</x:v>
      </x:c>
      <x:c r="G564" s="82" t="str">
        <x:v>V7.8静态读取；实际方法行为仍需独立验证</x:v>
      </x:c>
      <x:c r="H564" s="82"/>
      <x:c r="I564" s="82"/>
      <x:c r="J564" s="82"/>
      <x:c r="K564" s="82"/>
    </x:row>
    <x:row r="565">
      <x:c r="A565" s="82" t="str">
        <x:v>Core</x:v>
      </x:c>
      <x:c r="B565" s="82" t="str">
        <x:v>CxNode</x:v>
      </x:c>
      <x:c r="C565" s="82" t="str">
        <x:v>Platform/Core/CxNode.cs</x:v>
      </x:c>
      <x:c r="D565" s="82" t="n">
        <x:v>16</x:v>
      </x:c>
      <x:c r="E565" s="82" t="str">
        <x:v>public abstract string Name { get; set; }</x:v>
      </x:c>
      <x:c r="F565" s="82" t="str">
        <x:v>V7.8源代码公开声明（非新API定案）</x:v>
      </x:c>
      <x:c r="G565" s="82" t="str">
        <x:v>V7.8静态读取；实际方法行为仍需独立验证</x:v>
      </x:c>
      <x:c r="H565" s="82"/>
      <x:c r="I565" s="82"/>
      <x:c r="J565" s="82"/>
      <x:c r="K565" s="82"/>
    </x:row>
    <x:row r="566">
      <x:c r="A566" s="82" t="str">
        <x:v>Core</x:v>
      </x:c>
      <x:c r="B566" s="82" t="str">
        <x:v>CxNode</x:v>
      </x:c>
      <x:c r="C566" s="82" t="str">
        <x:v>Platform/Core/CxNode.cs</x:v>
      </x:c>
      <x:c r="D566" s="82" t="n">
        <x:v>40</x:v>
      </x:c>
      <x:c r="E566" s="82" t="str">
        <x:v>protected abstract IEnumerable&lt;CxNode&gt; EnumerateOwnedChildrenCore();</x:v>
      </x:c>
      <x:c r="F566" s="82" t="str">
        <x:v>V7.8源代码公开声明（非新API定案）</x:v>
      </x:c>
      <x:c r="G566" s="82" t="str">
        <x:v>V7.8静态读取；实际方法行为仍需独立验证</x:v>
      </x:c>
      <x:c r="H566" s="82"/>
      <x:c r="I566" s="82"/>
      <x:c r="J566" s="82"/>
      <x:c r="K566" s="82"/>
    </x:row>
    <x:row r="567">
      <x:c r="A567" s="82" t="str">
        <x:v>Core</x:v>
      </x:c>
      <x:c r="B567" s="82" t="str">
        <x:v>CxNode</x:v>
      </x:c>
      <x:c r="C567" s="82" t="str">
        <x:v>Platform/Core/CxNode.cs</x:v>
      </x:c>
      <x:c r="D567" s="82" t="n">
        <x:v>41</x:v>
      </x:c>
      <x:c r="E567" s="82" t="str">
        <x:v>protected abstract void InsertOwnedChildCore(int index, CxNode child);</x:v>
      </x:c>
      <x:c r="F567" s="82" t="str">
        <x:v>V7.8源代码公开声明（非新API定案）</x:v>
      </x:c>
      <x:c r="G567" s="82" t="str">
        <x:v>V7.8静态读取；实际方法行为仍需独立验证</x:v>
      </x:c>
      <x:c r="H567" s="82"/>
      <x:c r="I567" s="82"/>
      <x:c r="J567" s="82"/>
      <x:c r="K567" s="82"/>
    </x:row>
    <x:row r="568">
      <x:c r="A568" s="82" t="str">
        <x:v>Core</x:v>
      </x:c>
      <x:c r="B568" s="82" t="str">
        <x:v>CxNode</x:v>
      </x:c>
      <x:c r="C568" s="82" t="str">
        <x:v>Platform/Core/CxNode.cs</x:v>
      </x:c>
      <x:c r="D568" s="82" t="n">
        <x:v>42</x:v>
      </x:c>
      <x:c r="E568" s="82" t="str">
        <x:v>protected abstract bool RemoveOwnedChildCore(CxNode child);</x:v>
      </x:c>
      <x:c r="F568" s="82" t="str">
        <x:v>V7.8源代码公开声明（非新API定案）</x:v>
      </x:c>
      <x:c r="G568" s="82" t="str">
        <x:v>V7.8静态读取；实际方法行为仍需独立验证</x:v>
      </x:c>
      <x:c r="H568" s="82"/>
      <x:c r="I568" s="82"/>
      <x:c r="J568" s="82"/>
      <x:c r="K568" s="82"/>
    </x:row>
    <x:row r="569">
      <x:c r="A569" s="82" t="str">
        <x:v>Core</x:v>
      </x:c>
      <x:c r="B569" s="82" t="str">
        <x:v>CxNode</x:v>
      </x:c>
      <x:c r="C569" s="82" t="str">
        <x:v>Platform/Core/CxNode.cs</x:v>
      </x:c>
      <x:c r="D569" s="82" t="n">
        <x:v>43</x:v>
      </x:c>
      <x:c r="E569" s="82" t="str">
        <x:v>protected virtual bool CanAcceptChildCore(CxNode child) { return false; }</x:v>
      </x:c>
      <x:c r="F569" s="82" t="str">
        <x:v>V7.8源代码公开声明（非新API定案）</x:v>
      </x:c>
      <x:c r="G569" s="82" t="str">
        <x:v>V7.8静态读取；实际方法行为仍需独立验证</x:v>
      </x:c>
      <x:c r="H569" s="82"/>
      <x:c r="I569" s="82"/>
      <x:c r="J569" s="82"/>
      <x:c r="K569" s="82"/>
    </x:row>
    <x:row r="570">
      <x:c r="A570" s="82" t="str">
        <x:v>Core</x:v>
      </x:c>
      <x:c r="B570" s="82" t="str">
        <x:v>CxNode</x:v>
      </x:c>
      <x:c r="C570" s="82" t="str">
        <x:v>Platform/Core/CxNode.cs</x:v>
      </x:c>
      <x:c r="D570" s="82" t="n">
        <x:v>45</x:v>
      </x:c>
      <x:c r="E570" s="82" t="str">
        <x:v>protected virtual int AppendIndexFor(CxNode child) { return ChildNodes.Count; }</x:v>
      </x:c>
      <x:c r="F570" s="82" t="str">
        <x:v>V7.8源代码公开声明（非新API定案）</x:v>
      </x:c>
      <x:c r="G570" s="82" t="str">
        <x:v>V7.8静态读取；实际方法行为仍需独立验证</x:v>
      </x:c>
      <x:c r="H570" s="82"/>
      <x:c r="I570" s="82"/>
      <x:c r="J570" s="82"/>
      <x:c r="K570" s="82"/>
    </x:row>
    <x:row r="571">
      <x:c r="A571" s="82" t="str">
        <x:v>Core</x:v>
      </x:c>
      <x:c r="B571" s="82" t="str">
        <x:v>CxNode</x:v>
      </x:c>
      <x:c r="C571" s="82" t="str">
        <x:v>Platform/Core/CxNode.cs</x:v>
      </x:c>
      <x:c r="D571" s="82" t="n">
        <x:v>46</x:v>
      </x:c>
      <x:c r="E571" s="82" t="str">
        <x:v>protected virtual int PrependIndexFor(CxNode child) { return 0; }</x:v>
      </x:c>
      <x:c r="F571" s="82" t="str">
        <x:v>V7.8源代码公开声明（非新API定案）</x:v>
      </x:c>
      <x:c r="G571" s="82" t="str">
        <x:v>V7.8静态读取；实际方法行为仍需独立验证</x:v>
      </x:c>
      <x:c r="H571" s="82"/>
      <x:c r="I571" s="82"/>
      <x:c r="J571" s="82"/>
      <x:c r="K571" s="82"/>
    </x:row>
    <x:row r="572">
      <x:c r="A572" s="82" t="str">
        <x:v>Core</x:v>
      </x:c>
      <x:c r="B572" s="82" t="str">
        <x:v>CxNode</x:v>
      </x:c>
      <x:c r="C572" s="82" t="str">
        <x:v>Platform/Core/CxNode.cs</x:v>
      </x:c>
      <x:c r="D572" s="82" t="n">
        <x:v>55</x:v>
      </x:c>
      <x:c r="E572" s="82" t="str">
        <x:v>public CxNode AppendChild(CxNode child) { return new CxNodeCollection(this).AppendInternal(child); }</x:v>
      </x:c>
      <x:c r="F572" s="82" t="str">
        <x:v>V7.8源代码公开声明（非新API定案）</x:v>
      </x:c>
      <x:c r="G572" s="82" t="str">
        <x:v>V7.8静态读取；实际方法行为仍需独立验证</x:v>
      </x:c>
      <x:c r="H572" s="82"/>
      <x:c r="I572" s="82"/>
      <x:c r="J572" s="82"/>
      <x:c r="K572" s="82"/>
    </x:row>
    <x:row r="573">
      <x:c r="A573" s="82" t="str">
        <x:v>Core</x:v>
      </x:c>
      <x:c r="B573" s="82" t="str">
        <x:v>CxNode</x:v>
      </x:c>
      <x:c r="C573" s="82" t="str">
        <x:v>Platform/Core/CxNode.cs</x:v>
      </x:c>
      <x:c r="D573" s="82" t="n">
        <x:v>56</x:v>
      </x:c>
      <x:c r="E573" s="82" t="str">
        <x:v>public CxNode PrependChild(CxNode child) { return new CxNodeCollection(this).PrependInternal(child); }</x:v>
      </x:c>
      <x:c r="F573" s="82" t="str">
        <x:v>V7.8源代码公开声明（非新API定案）</x:v>
      </x:c>
      <x:c r="G573" s="82" t="str">
        <x:v>V7.8静态读取；实际方法行为仍需独立验证</x:v>
      </x:c>
      <x:c r="H573" s="82"/>
      <x:c r="I573" s="82"/>
      <x:c r="J573" s="82"/>
      <x:c r="K573" s="82"/>
    </x:row>
    <x:row r="574">
      <x:c r="A574" s="82" t="str">
        <x:v>Core</x:v>
      </x:c>
      <x:c r="B574" s="82" t="str">
        <x:v>CxNode</x:v>
      </x:c>
      <x:c r="C574" s="82" t="str">
        <x:v>Platform/Core/CxNode.cs</x:v>
      </x:c>
      <x:c r="D574" s="82" t="n">
        <x:v>57</x:v>
      </x:c>
      <x:c r="E574" s="82" t="str">
        <x:v>public CxNode InsertBefore(CxNode child, CxNode reference)</x:v>
      </x:c>
      <x:c r="F574" s="82" t="str">
        <x:v>V7.8源代码公开声明（非新API定案）</x:v>
      </x:c>
      <x:c r="G574" s="82" t="str">
        <x:v>V7.8静态读取；实际方法行为仍需独立验证</x:v>
      </x:c>
      <x:c r="H574" s="82"/>
      <x:c r="I574" s="82"/>
      <x:c r="J574" s="82"/>
      <x:c r="K574" s="82"/>
    </x:row>
    <x:row r="575">
      <x:c r="A575" s="82" t="str">
        <x:v>Core</x:v>
      </x:c>
      <x:c r="B575" s="82" t="str">
        <x:v>CxNode</x:v>
      </x:c>
      <x:c r="C575" s="82" t="str">
        <x:v>Platform/Core/CxNode.cs</x:v>
      </x:c>
      <x:c r="D575" s="82" t="n">
        <x:v>62</x:v>
      </x:c>
      <x:c r="E575" s="82" t="str">
        <x:v>public CxNode InsertAfter(CxNode child, CxNode reference)</x:v>
      </x:c>
      <x:c r="F575" s="82" t="str">
        <x:v>V7.8源代码公开声明（非新API定案）</x:v>
      </x:c>
      <x:c r="G575" s="82" t="str">
        <x:v>V7.8静态读取；实际方法行为仍需独立验证</x:v>
      </x:c>
      <x:c r="H575" s="82"/>
      <x:c r="I575" s="82"/>
      <x:c r="J575" s="82"/>
      <x:c r="K575" s="82"/>
    </x:row>
    <x:row r="576">
      <x:c r="A576" s="82" t="str">
        <x:v>Core</x:v>
      </x:c>
      <x:c r="B576" s="82" t="str">
        <x:v>CxNode</x:v>
      </x:c>
      <x:c r="C576" s="82" t="str">
        <x:v>Platform/Core/CxNode.cs</x:v>
      </x:c>
      <x:c r="D576" s="82" t="n">
        <x:v>67</x:v>
      </x:c>
      <x:c r="E576" s="82" t="str">
        <x:v>public CxNode ReplaceChild(CxNode child, CxNode oldChild)</x:v>
      </x:c>
      <x:c r="F576" s="82" t="str">
        <x:v>V7.8源代码公开声明（非新API定案）</x:v>
      </x:c>
      <x:c r="G576" s="82" t="str">
        <x:v>V7.8静态读取；实际方法行为仍需独立验证</x:v>
      </x:c>
      <x:c r="H576" s="82"/>
      <x:c r="I576" s="82"/>
      <x:c r="J576" s="82"/>
      <x:c r="K576" s="82"/>
    </x:row>
    <x:row r="577">
      <x:c r="A577" s="82" t="str">
        <x:v>Core</x:v>
      </x:c>
      <x:c r="B577" s="82" t="str">
        <x:v>CxNode</x:v>
      </x:c>
      <x:c r="C577" s="82" t="str">
        <x:v>Platform/Core/CxNode.cs</x:v>
      </x:c>
      <x:c r="D577" s="82" t="n">
        <x:v>113</x:v>
      </x:c>
      <x:c r="E577" s="82" t="str">
        <x:v>public CxNode RemoveChild(CxNode child)</x:v>
      </x:c>
      <x:c r="F577" s="82" t="str">
        <x:v>V7.8源代码公开声明（非新API定案）</x:v>
      </x:c>
      <x:c r="G577" s="82" t="str">
        <x:v>V7.8静态读取；实际方法行为仍需独立验证</x:v>
      </x:c>
      <x:c r="H577" s="82"/>
      <x:c r="I577" s="82"/>
      <x:c r="J577" s="82"/>
      <x:c r="K577" s="82"/>
    </x:row>
    <x:row r="578">
      <x:c r="A578" s="82" t="str">
        <x:v>Core</x:v>
      </x:c>
      <x:c r="B578" s="82" t="str">
        <x:v>CxNode</x:v>
      </x:c>
      <x:c r="C578" s="82" t="str">
        <x:v>Platform/Core/CxNode.cs</x:v>
      </x:c>
      <x:c r="D578" s="82" t="n">
        <x:v>131</x:v>
      </x:c>
      <x:c r="E578" s="82" t="str">
        <x:v>public void RemoveAll()</x:v>
      </x:c>
      <x:c r="F578" s="82" t="str">
        <x:v>V7.8源代码公开声明（非新API定案）</x:v>
      </x:c>
      <x:c r="G578" s="82" t="str">
        <x:v>V7.8静态读取；实际方法行为仍需独立验证</x:v>
      </x:c>
      <x:c r="H578" s="82"/>
      <x:c r="I578" s="82"/>
      <x:c r="J578" s="82"/>
      <x:c r="K578" s="82"/>
    </x:row>
    <x:row r="579">
      <x:c r="A579" s="82" t="str">
        <x:v>Core</x:v>
      </x:c>
      <x:c r="B579" s="82" t="str">
        <x:v>CxNode</x:v>
      </x:c>
      <x:c r="C579" s="82" t="str">
        <x:v>Platform/Core/CxNode.cs</x:v>
      </x:c>
      <x:c r="D579" s="82" t="n">
        <x:v>135</x:v>
      </x:c>
      <x:c r="E579" s="82" t="str">
        <x:v>public void Append(params CxNode[] nodes)</x:v>
      </x:c>
      <x:c r="F579" s="82" t="str">
        <x:v>V7.8源代码公开声明（非新API定案）</x:v>
      </x:c>
      <x:c r="G579" s="82" t="str">
        <x:v>V7.8静态读取；实际方法行为仍需独立验证</x:v>
      </x:c>
      <x:c r="H579" s="82"/>
      <x:c r="I579" s="82"/>
      <x:c r="J579" s="82"/>
      <x:c r="K579" s="82"/>
    </x:row>
    <x:row r="580">
      <x:c r="A580" s="82" t="str">
        <x:v>Core</x:v>
      </x:c>
      <x:c r="B580" s="82" t="str">
        <x:v>CxNode</x:v>
      </x:c>
      <x:c r="C580" s="82" t="str">
        <x:v>Platform/Core/CxNode.cs</x:v>
      </x:c>
      <x:c r="D580" s="82" t="n">
        <x:v>139</x:v>
      </x:c>
      <x:c r="E580" s="82" t="str">
        <x:v>public void Prepend(params CxNode[] nodes)</x:v>
      </x:c>
      <x:c r="F580" s="82" t="str">
        <x:v>V7.8源代码公开声明（非新API定案）</x:v>
      </x:c>
      <x:c r="G580" s="82" t="str">
        <x:v>V7.8静态读取；实际方法行为仍需独立验证</x:v>
      </x:c>
      <x:c r="H580" s="82"/>
      <x:c r="I580" s="82"/>
      <x:c r="J580" s="82"/>
      <x:c r="K580" s="82"/>
    </x:row>
    <x:row r="581">
      <x:c r="A581" s="82" t="str">
        <x:v>Core</x:v>
      </x:c>
      <x:c r="B581" s="82" t="str">
        <x:v>CxNode</x:v>
      </x:c>
      <x:c r="C581" s="82" t="str">
        <x:v>Platform/Core/CxNode.cs</x:v>
      </x:c>
      <x:c r="D581" s="82" t="n">
        <x:v>143</x:v>
      </x:c>
      <x:c r="E581" s="82" t="str">
        <x:v>public void Before(params CxNode[] nodes)</x:v>
      </x:c>
      <x:c r="F581" s="82" t="str">
        <x:v>V7.8源代码公开声明（非新API定案）</x:v>
      </x:c>
      <x:c r="G581" s="82" t="str">
        <x:v>V7.8静态读取；实际方法行为仍需独立验证</x:v>
      </x:c>
      <x:c r="H581" s="82"/>
      <x:c r="I581" s="82"/>
      <x:c r="J581" s="82"/>
      <x:c r="K581" s="82"/>
    </x:row>
    <x:row r="582">
      <x:c r="A582" s="82" t="str">
        <x:v>Core</x:v>
      </x:c>
      <x:c r="B582" s="82" t="str">
        <x:v>CxNode</x:v>
      </x:c>
      <x:c r="C582" s="82" t="str">
        <x:v>Platform/Core/CxNode.cs</x:v>
      </x:c>
      <x:c r="D582" s="82" t="n">
        <x:v>149</x:v>
      </x:c>
      <x:c r="E582" s="82" t="str">
        <x:v>public void After(params CxNode[] nodes)</x:v>
      </x:c>
      <x:c r="F582" s="82" t="str">
        <x:v>V7.8源代码公开声明（非新API定案）</x:v>
      </x:c>
      <x:c r="G582" s="82" t="str">
        <x:v>V7.8静态读取；实际方法行为仍需独立验证</x:v>
      </x:c>
      <x:c r="H582" s="82"/>
      <x:c r="I582" s="82"/>
      <x:c r="J582" s="82"/>
      <x:c r="K582" s="82"/>
    </x:row>
    <x:row r="583">
      <x:c r="A583" s="82" t="str">
        <x:v>Core</x:v>
      </x:c>
      <x:c r="B583" s="82" t="str">
        <x:v>CxNode</x:v>
      </x:c>
      <x:c r="C583" s="82" t="str">
        <x:v>Platform/Core/CxNode.cs</x:v>
      </x:c>
      <x:c r="D583" s="82" t="n">
        <x:v>159</x:v>
      </x:c>
      <x:c r="E583" s="82" t="str">
        <x:v>public void Remove() { if (ParentNode != null) ParentNode.RemoveChild(this); }</x:v>
      </x:c>
      <x:c r="F583" s="82" t="str">
        <x:v>V7.8源代码公开声明（非新API定案）</x:v>
      </x:c>
      <x:c r="G583" s="82" t="str">
        <x:v>V7.8静态读取；实际方法行为仍需独立验证</x:v>
      </x:c>
      <x:c r="H583" s="82"/>
      <x:c r="I583" s="82"/>
      <x:c r="J583" s="82"/>
      <x:c r="K583" s="82"/>
    </x:row>
    <x:row r="584">
      <x:c r="A584" s="82" t="str">
        <x:v>Core</x:v>
      </x:c>
      <x:c r="B584" s="82" t="str">
        <x:v>CxNode</x:v>
      </x:c>
      <x:c r="C584" s="82" t="str">
        <x:v>Platform/Core/CxNode.cs</x:v>
      </x:c>
      <x:c r="D584" s="82" t="n">
        <x:v>160</x:v>
      </x:c>
      <x:c r="E584" s="82" t="str">
        <x:v>public void ReplaceWith(params CxNode[] nodes)</x:v>
      </x:c>
      <x:c r="F584" s="82" t="str">
        <x:v>V7.8源代码公开声明（非新API定案）</x:v>
      </x:c>
      <x:c r="G584" s="82" t="str">
        <x:v>V7.8静态读取；实际方法行为仍需独立验证</x:v>
      </x:c>
      <x:c r="H584" s="82"/>
      <x:c r="I584" s="82"/>
      <x:c r="J584" s="82"/>
      <x:c r="K584" s="82"/>
    </x:row>
    <x:row r="585">
      <x:c r="A585" s="82" t="str">
        <x:v>Core</x:v>
      </x:c>
      <x:c r="B585" s="82" t="str">
        <x:v>CxNode</x:v>
      </x:c>
      <x:c r="C585" s="82" t="str">
        <x:v>Platform/Core/CxNode.cs</x:v>
      </x:c>
      <x:c r="D585" s="82" t="n">
        <x:v>176</x:v>
      </x:c>
      <x:c r="E585" s="82" t="str">
        <x:v>public void ReplaceChildren(params CxNode[] nodes)</x:v>
      </x:c>
      <x:c r="F585" s="82" t="str">
        <x:v>V7.8源代码公开声明（非新API定案）</x:v>
      </x:c>
      <x:c r="G585" s="82" t="str">
        <x:v>V7.8静态读取；实际方法行为仍需独立验证</x:v>
      </x:c>
      <x:c r="H585" s="82"/>
      <x:c r="I585" s="82"/>
      <x:c r="J585" s="82"/>
      <x:c r="K585" s="82"/>
    </x:row>
    <x:row r="586">
      <x:c r="A586" s="82" t="str">
        <x:v>Core</x:v>
      </x:c>
      <x:c r="B586" s="82" t="str">
        <x:v>CxNode</x:v>
      </x:c>
      <x:c r="C586" s="82" t="str">
        <x:v>Platform/Core/CxNode.cs</x:v>
      </x:c>
      <x:c r="D586" s="82" t="n">
        <x:v>288</x:v>
      </x:c>
      <x:c r="E586" s="82" t="str">
        <x:v>public IEnumerable&lt;CxNode&gt; Ancestors()</x:v>
      </x:c>
      <x:c r="F586" s="82" t="str">
        <x:v>V7.8源代码公开声明（非新API定案）</x:v>
      </x:c>
      <x:c r="G586" s="82" t="str">
        <x:v>V7.8静态读取；实际方法行为仍需独立验证</x:v>
      </x:c>
      <x:c r="H586" s="82"/>
      <x:c r="I586" s="82"/>
      <x:c r="J586" s="82"/>
      <x:c r="K586" s="82"/>
    </x:row>
    <x:row r="587">
      <x:c r="A587" s="82" t="str">
        <x:v>Core</x:v>
      </x:c>
      <x:c r="B587" s="82" t="str">
        <x:v>CxNode</x:v>
      </x:c>
      <x:c r="C587" s="82" t="str">
        <x:v>Platform/Core/CxNode.cs</x:v>
      </x:c>
      <x:c r="D587" s="82" t="n">
        <x:v>293</x:v>
      </x:c>
      <x:c r="E587" s="82" t="str">
        <x:v>public IEnumerable&lt;CxNode&gt; AncestorsAndSelf() { yield return this; foreach (CxNode node in Ancestors()) yield return node; }</x:v>
      </x:c>
      <x:c r="F587" s="82" t="str">
        <x:v>V7.8源代码公开声明（非新API定案）</x:v>
      </x:c>
      <x:c r="G587" s="82" t="str">
        <x:v>V7.8静态读取；实际方法行为仍需独立验证</x:v>
      </x:c>
      <x:c r="H587" s="82"/>
      <x:c r="I587" s="82"/>
      <x:c r="J587" s="82"/>
      <x:c r="K587" s="82"/>
    </x:row>
    <x:row r="588">
      <x:c r="A588" s="82" t="str">
        <x:v>Core</x:v>
      </x:c>
      <x:c r="B588" s="82" t="str">
        <x:v>CxNode</x:v>
      </x:c>
      <x:c r="C588" s="82" t="str">
        <x:v>Platform/Core/CxNode.cs</x:v>
      </x:c>
      <x:c r="D588" s="82" t="n">
        <x:v>294</x:v>
      </x:c>
      <x:c r="E588" s="82" t="str">
        <x:v>public IEnumerable&lt;CxNode&gt; Descendants()</x:v>
      </x:c>
      <x:c r="F588" s="82" t="str">
        <x:v>V7.8源代码公开声明（非新API定案）</x:v>
      </x:c>
      <x:c r="G588" s="82" t="str">
        <x:v>V7.8静态读取；实际方法行为仍需独立验证</x:v>
      </x:c>
      <x:c r="H588" s="82"/>
      <x:c r="I588" s="82"/>
      <x:c r="J588" s="82"/>
      <x:c r="K588" s="82"/>
    </x:row>
    <x:row r="589">
      <x:c r="A589" s="82" t="str">
        <x:v>Core</x:v>
      </x:c>
      <x:c r="B589" s="82" t="str">
        <x:v>CxNode</x:v>
      </x:c>
      <x:c r="C589" s="82" t="str">
        <x:v>Platform/Core/CxNode.cs</x:v>
      </x:c>
      <x:c r="D589" s="82" t="n">
        <x:v>307</x:v>
      </x:c>
      <x:c r="E589" s="82" t="str">
        <x:v>public IEnumerable&lt;CxNode&gt; DescendantsAndSelf() { yield return this; foreach (CxNode node in Descendants()) yield return node; }</x:v>
      </x:c>
      <x:c r="F589" s="82" t="str">
        <x:v>V7.8源代码公开声明（非新API定案）</x:v>
      </x:c>
      <x:c r="G589" s="82" t="str">
        <x:v>V7.8静态读取；实际方法行为仍需独立验证</x:v>
      </x:c>
      <x:c r="H589" s="82"/>
      <x:c r="I589" s="82"/>
      <x:c r="J589" s="82"/>
      <x:c r="K589" s="82"/>
    </x:row>
    <x:row r="590">
      <x:c r="A590" s="82" t="str">
        <x:v>Core</x:v>
      </x:c>
      <x:c r="B590" s="82" t="str">
        <x:v>CxNode</x:v>
      </x:c>
      <x:c r="C590" s="82" t="str">
        <x:v>Platform/Core/CxNode.cs</x:v>
      </x:c>
      <x:c r="D590" s="82" t="n">
        <x:v>308</x:v>
      </x:c>
      <x:c r="E590" s="82" t="str">
        <x:v>public IEnumerable&lt;CxNode&gt; NodesBeforeSelf() { return ParentNode == null ? Enumerable.Empty&lt;CxNode&gt;() : ParentNode.SnapshotChildren().TakeWhile(x =&gt; !ReferenceEquals(x, this)); }</x:v>
      </x:c>
      <x:c r="F590" s="82" t="str">
        <x:v>V7.8源代码公开声明（非新API定案）</x:v>
      </x:c>
      <x:c r="G590" s="82" t="str">
        <x:v>V7.8静态读取；实际方法行为仍需独立验证</x:v>
      </x:c>
      <x:c r="H590" s="82"/>
      <x:c r="I590" s="82"/>
      <x:c r="J590" s="82"/>
      <x:c r="K590" s="82"/>
    </x:row>
    <x:row r="591">
      <x:c r="A591" s="82" t="str">
        <x:v>Core</x:v>
      </x:c>
      <x:c r="B591" s="82" t="str">
        <x:v>CxNode</x:v>
      </x:c>
      <x:c r="C591" s="82" t="str">
        <x:v>Platform/Core/CxNode.cs</x:v>
      </x:c>
      <x:c r="D591" s="82" t="n">
        <x:v>309</x:v>
      </x:c>
      <x:c r="E591" s="82" t="str">
        <x:v>public IEnumerable&lt;CxNode&gt; NodesAfterSelf() { return ParentNode == null ? Enumerable.Empty&lt;CxNode&gt;() : ParentNode.SnapshotChildren().SkipWhile(x =&gt; !ReferenceEquals(x, this)).Skip(1); }</x:v>
      </x:c>
      <x:c r="F591" s="82" t="str">
        <x:v>V7.8源代码公开声明（非新API定案）</x:v>
      </x:c>
      <x:c r="G591" s="82" t="str">
        <x:v>V7.8静态读取；实际方法行为仍需独立验证</x:v>
      </x:c>
      <x:c r="H591" s="82"/>
      <x:c r="I591" s="82"/>
      <x:c r="J591" s="82"/>
      <x:c r="K591" s="82"/>
    </x:row>
    <x:row r="592">
      <x:c r="A592" s="82" t="str">
        <x:v>Core</x:v>
      </x:c>
      <x:c r="B592" s="82" t="str">
        <x:v>CxNode</x:v>
      </x:c>
      <x:c r="C592" s="82" t="str">
        <x:v>Platform/Core/CxNode.cs</x:v>
      </x:c>
      <x:c r="D592" s="82" t="n">
        <x:v>310</x:v>
      </x:c>
      <x:c r="E592" s="82" t="str">
        <x:v>public IEnumerable&lt;ElementModel&gt; ElementsBeforeSelf() { return NodesBeforeSelf().OfType&lt;ElementModel&gt;(); }</x:v>
      </x:c>
      <x:c r="F592" s="82" t="str">
        <x:v>V7.8源代码公开声明（非新API定案）</x:v>
      </x:c>
      <x:c r="G592" s="82" t="str">
        <x:v>V7.8静态读取；实际方法行为仍需独立验证</x:v>
      </x:c>
      <x:c r="H592" s="82"/>
      <x:c r="I592" s="82"/>
      <x:c r="J592" s="82"/>
      <x:c r="K592" s="82"/>
    </x:row>
    <x:row r="593">
      <x:c r="A593" s="82" t="str">
        <x:v>Core</x:v>
      </x:c>
      <x:c r="B593" s="82" t="str">
        <x:v>CxNode</x:v>
      </x:c>
      <x:c r="C593" s="82" t="str">
        <x:v>Platform/Core/CxNode.cs</x:v>
      </x:c>
      <x:c r="D593" s="82" t="n">
        <x:v>311</x:v>
      </x:c>
      <x:c r="E593" s="82" t="str">
        <x:v>public IEnumerable&lt;ElementModel&gt; ElementsAfterSelf() { return NodesAfterSelf().OfType&lt;ElementModel&gt;(); }</x:v>
      </x:c>
      <x:c r="F593" s="82" t="str">
        <x:v>V7.8源代码公开声明（非新API定案）</x:v>
      </x:c>
      <x:c r="G593" s="82" t="str">
        <x:v>V7.8静态读取；实际方法行为仍需独立验证</x:v>
      </x:c>
      <x:c r="H593" s="82"/>
      <x:c r="I593" s="82"/>
      <x:c r="J593" s="82"/>
      <x:c r="K593" s="82"/>
    </x:row>
    <x:row r="594">
      <x:c r="A594" s="82" t="str">
        <x:v>Core</x:v>
      </x:c>
      <x:c r="B594" s="82" t="str">
        <x:v>CxNode</x:v>
      </x:c>
      <x:c r="C594" s="82" t="str">
        <x:v>Platform/Core/CxNode.cs</x:v>
      </x:c>
      <x:c r="D594" s="82" t="n">
        <x:v>312</x:v>
      </x:c>
      <x:c r="E594" s="82" t="str">
        <x:v>public bool Contains(CxNode node) { return node != null &amp;&amp; DescendantsAndSelf().Any(x =&gt; ReferenceEquals(x, node)); }</x:v>
      </x:c>
      <x:c r="F594" s="82" t="str">
        <x:v>V7.8源代码公开声明（非新API定案）</x:v>
      </x:c>
      <x:c r="G594" s="82" t="str">
        <x:v>V7.8静态读取；实际方法行为仍需独立验证</x:v>
      </x:c>
      <x:c r="H594" s="82"/>
      <x:c r="I594" s="82"/>
      <x:c r="J594" s="82"/>
      <x:c r="K594" s="82"/>
    </x:row>
    <x:row r="595">
      <x:c r="A595" s="82" t="str">
        <x:v>Core</x:v>
      </x:c>
      <x:c r="B595" s="82" t="str">
        <x:v>CxNode</x:v>
      </x:c>
      <x:c r="C595" s="82" t="str">
        <x:v>Platform/Core/CxNode.cs</x:v>
      </x:c>
      <x:c r="D595" s="82" t="n">
        <x:v>313</x:v>
      </x:c>
      <x:c r="E595" s="82" t="str">
        <x:v>public CxNode GetRootNode() { return AncestorsAndSelf().Last(); }</x:v>
      </x:c>
      <x:c r="F595" s="82" t="str">
        <x:v>V7.8源代码公开声明（非新API定案）</x:v>
      </x:c>
      <x:c r="G595" s="82" t="str">
        <x:v>V7.8静态读取；实际方法行为仍需独立验证</x:v>
      </x:c>
      <x:c r="H595" s="82"/>
      <x:c r="I595" s="82"/>
      <x:c r="J595" s="82"/>
      <x:c r="K595" s="82"/>
    </x:row>
    <x:row r="596">
      <x:c r="A596" s="82" t="str">
        <x:v>Core</x:v>
      </x:c>
      <x:c r="B596" s="82" t="str">
        <x:v>CxNode</x:v>
      </x:c>
      <x:c r="C596" s="82" t="str">
        <x:v>Platform/Core/CxNode.cs</x:v>
      </x:c>
      <x:c r="D596" s="82" t="n">
        <x:v>314</x:v>
      </x:c>
      <x:c r="E596" s="82" t="str">
        <x:v>public CxNode FindById(string id) { return string.IsNullOrWhiteSpace(id) ? null : DescendantsAndSelf().FirstOrDefault(x =&gt; string.Equals(x.Id, id, StringComparison.OrdinalIgnoreCase)); }</x:v>
      </x:c>
      <x:c r="F596" s="82" t="str">
        <x:v>V7.8源代码公开声明（非新API定案）</x:v>
      </x:c>
      <x:c r="G596" s="82" t="str">
        <x:v>V7.8静态读取；实际方法行为仍需独立验证</x:v>
      </x:c>
      <x:c r="H596" s="82"/>
      <x:c r="I596" s="82"/>
      <x:c r="J596" s="82"/>
      <x:c r="K596" s="82"/>
    </x:row>
    <x:row r="597">
      <x:c r="A597" s="82" t="str">
        <x:v>Core</x:v>
      </x:c>
      <x:c r="B597" s="82" t="str">
        <x:v>CxNode</x:v>
      </x:c>
      <x:c r="C597" s="82" t="str">
        <x:v>Platform/Core/CxNode.cs</x:v>
      </x:c>
      <x:c r="D597" s="82" t="n">
        <x:v>315</x:v>
      </x:c>
      <x:c r="E597" s="82" t="str">
        <x:v>public IReadOnlyList&lt;CxNode&gt; FindByName(string name) { return DescendantsAndSelf().Where(x =&gt; string.Equals(x.Name, name, StringComparison.OrdinalIgnoreCase)).ToArray(); }</x:v>
      </x:c>
      <x:c r="F597" s="82" t="str">
        <x:v>V7.8源代码公开声明（非新API定案）</x:v>
      </x:c>
      <x:c r="G597" s="82" t="str">
        <x:v>V7.8静态读取；实际方法行为仍需独立验证</x:v>
      </x:c>
      <x:c r="H597" s="82"/>
      <x:c r="I597" s="82"/>
      <x:c r="J597" s="82"/>
      <x:c r="K597" s="82"/>
    </x:row>
    <x:row r="598">
      <x:c r="A598" s="82" t="str">
        <x:v>Core</x:v>
      </x:c>
      <x:c r="B598" s="82" t="str">
        <x:v>ElementModel</x:v>
      </x:c>
      <x:c r="C598" s="82" t="str">
        <x:v>Platform/Core/Elements.cs</x:v>
      </x:c>
      <x:c r="D598" s="82" t="n">
        <x:v>13</x:v>
      </x:c>
      <x:c r="E598" s="82" t="str">
        <x:v>protected ElementModel()</x:v>
      </x:c>
      <x:c r="F598" s="82" t="str">
        <x:v>V7.8源代码公开声明（非新API定案）</x:v>
      </x:c>
      <x:c r="G598" s="82" t="str">
        <x:v>V7.8静态读取；实际方法行为仍需独立验证</x:v>
      </x:c>
      <x:c r="H598" s="82"/>
      <x:c r="I598" s="82"/>
      <x:c r="J598" s="82"/>
      <x:c r="K598" s="82"/>
    </x:row>
    <x:row r="599">
      <x:c r="A599" s="82" t="str">
        <x:v>Core</x:v>
      </x:c>
      <x:c r="B599" s="82" t="str">
        <x:v>ElementModel</x:v>
      </x:c>
      <x:c r="C599" s="82" t="str">
        <x:v>Platform/Core/Elements.cs</x:v>
      </x:c>
      <x:c r="D599" s="82" t="n">
        <x:v>24</x:v>
      </x:c>
      <x:c r="E599" s="82" t="str">
        <x:v>public override string Id { get; set; }</x:v>
      </x:c>
      <x:c r="F599" s="82" t="str">
        <x:v>V7.8源代码公开声明（非新API定案）</x:v>
      </x:c>
      <x:c r="G599" s="82" t="str">
        <x:v>V7.8静态读取；实际方法行为仍需独立验证</x:v>
      </x:c>
      <x:c r="H599" s="82"/>
      <x:c r="I599" s="82"/>
      <x:c r="J599" s="82"/>
      <x:c r="K599" s="82"/>
    </x:row>
    <x:row r="600">
      <x:c r="A600" s="82" t="str">
        <x:v>Core</x:v>
      </x:c>
      <x:c r="B600" s="82" t="str">
        <x:v>ElementModel</x:v>
      </x:c>
      <x:c r="C600" s="82" t="str">
        <x:v>Platform/Core/Elements.cs</x:v>
      </x:c>
      <x:c r="D600" s="82" t="n">
        <x:v>25</x:v>
      </x:c>
      <x:c r="E600" s="82" t="str">
        <x:v>public abstract string TypeId { get; }</x:v>
      </x:c>
      <x:c r="F600" s="82" t="str">
        <x:v>V7.8源代码公开声明（非新API定案）</x:v>
      </x:c>
      <x:c r="G600" s="82" t="str">
        <x:v>V7.8静态读取；实际方法行为仍需独立验证</x:v>
      </x:c>
      <x:c r="H600" s="82"/>
      <x:c r="I600" s="82"/>
      <x:c r="J600" s="82"/>
      <x:c r="K600" s="82"/>
    </x:row>
    <x:row r="601">
      <x:c r="A601" s="82" t="str">
        <x:v>Core</x:v>
      </x:c>
      <x:c r="B601" s="82" t="str">
        <x:v>ElementModel</x:v>
      </x:c>
      <x:c r="C601" s="82" t="str">
        <x:v>Platform/Core/Elements.cs</x:v>
      </x:c>
      <x:c r="D601" s="82" t="n">
        <x:v>26</x:v>
      </x:c>
      <x:c r="E601" s="82" t="str">
        <x:v>public override string Name { get; set; }</x:v>
      </x:c>
      <x:c r="F601" s="82" t="str">
        <x:v>V7.8源代码公开声明（非新API定案）</x:v>
      </x:c>
      <x:c r="G601" s="82" t="str">
        <x:v>V7.8静态读取；实际方法行为仍需独立验证</x:v>
      </x:c>
      <x:c r="H601" s="82"/>
      <x:c r="I601" s="82"/>
      <x:c r="J601" s="82"/>
      <x:c r="K601" s="82"/>
    </x:row>
    <x:row r="602">
      <x:c r="A602" s="82" t="str">
        <x:v>Core</x:v>
      </x:c>
      <x:c r="B602" s="82" t="str">
        <x:v>ElementModel</x:v>
      </x:c>
      <x:c r="C602" s="82" t="str">
        <x:v>Platform/Core/Elements.cs</x:v>
      </x:c>
      <x:c r="D602" s="82" t="n">
        <x:v>27</x:v>
      </x:c>
      <x:c r="E602" s="82" t="str">
        <x:v>public string LayerId { get; set; }</x:v>
      </x:c>
      <x:c r="F602" s="82" t="str">
        <x:v>V7.8源代码公开声明（非新API定案）</x:v>
      </x:c>
      <x:c r="G602" s="82" t="str">
        <x:v>V7.8静态读取；实际方法行为仍需独立验证</x:v>
      </x:c>
      <x:c r="H602" s="82"/>
      <x:c r="I602" s="82"/>
      <x:c r="J602" s="82"/>
      <x:c r="K602" s="82"/>
    </x:row>
    <x:row r="603">
      <x:c r="A603" s="82" t="str">
        <x:v>Core</x:v>
      </x:c>
      <x:c r="B603" s="82" t="str">
        <x:v>ElementModel</x:v>
      </x:c>
      <x:c r="C603" s="82" t="str">
        <x:v>Platform/Core/Elements.cs</x:v>
      </x:c>
      <x:c r="D603" s="82" t="n">
        <x:v>28</x:v>
      </x:c>
      <x:c r="E603" s="82" t="str">
        <x:v>public Bounds2D Bounds { get; set; }</x:v>
      </x:c>
      <x:c r="F603" s="82" t="str">
        <x:v>V7.8源代码公开声明（非新API定案）</x:v>
      </x:c>
      <x:c r="G603" s="82" t="str">
        <x:v>V7.8静态读取；实际方法行为仍需独立验证</x:v>
      </x:c>
      <x:c r="H603" s="82"/>
      <x:c r="I603" s="82"/>
      <x:c r="J603" s="82"/>
      <x:c r="K603" s="82"/>
    </x:row>
    <x:row r="604">
      <x:c r="A604" s="82" t="str">
        <x:v>Core</x:v>
      </x:c>
      <x:c r="B604" s="82" t="str">
        <x:v>ElementModel</x:v>
      </x:c>
      <x:c r="C604" s="82" t="str">
        <x:v>Platform/Core/Elements.cs</x:v>
      </x:c>
      <x:c r="D604" s="82" t="n">
        <x:v>29</x:v>
      </x:c>
      <x:c r="E604" s="82" t="str">
        <x:v>public TransformModel Transform { get; set; }</x:v>
      </x:c>
      <x:c r="F604" s="82" t="str">
        <x:v>V7.8源代码公开声明（非新API定案）</x:v>
      </x:c>
      <x:c r="G604" s="82" t="str">
        <x:v>V7.8静态读取；实际方法行为仍需独立验证</x:v>
      </x:c>
      <x:c r="H604" s="82"/>
      <x:c r="I604" s="82"/>
      <x:c r="J604" s="82"/>
      <x:c r="K604" s="82"/>
    </x:row>
    <x:row r="605">
      <x:c r="A605" s="82" t="str">
        <x:v>Core</x:v>
      </x:c>
      <x:c r="B605" s="82" t="str">
        <x:v>ElementModel</x:v>
      </x:c>
      <x:c r="C605" s="82" t="str">
        <x:v>Platform/Core/Elements.cs</x:v>
      </x:c>
      <x:c r="D605" s="82" t="n">
        <x:v>30</x:v>
      </x:c>
      <x:c r="E605" s="82" t="str">
        <x:v>public StyleModel Style { get; set; }</x:v>
      </x:c>
      <x:c r="F605" s="82" t="str">
        <x:v>V7.8源代码公开声明（非新API定案）</x:v>
      </x:c>
      <x:c r="G605" s="82" t="str">
        <x:v>V7.8静态读取；实际方法行为仍需独立验证</x:v>
      </x:c>
      <x:c r="H605" s="82"/>
      <x:c r="I605" s="82"/>
      <x:c r="J605" s="82"/>
      <x:c r="K605" s="82"/>
    </x:row>
    <x:row r="606">
      <x:c r="A606" s="82" t="str">
        <x:v>Core</x:v>
      </x:c>
      <x:c r="B606" s="82" t="str">
        <x:v>ElementModel</x:v>
      </x:c>
      <x:c r="C606" s="82" t="str">
        <x:v>Platform/Core/Elements.cs</x:v>
      </x:c>
      <x:c r="D606" s="82" t="n">
        <x:v>31</x:v>
      </x:c>
      <x:c r="E606" s="82" t="str">
        <x:v>public int ZIndex { get; set; }</x:v>
      </x:c>
      <x:c r="F606" s="82" t="str">
        <x:v>V7.8源代码公开声明（非新API定案）</x:v>
      </x:c>
      <x:c r="G606" s="82" t="str">
        <x:v>V7.8静态读取；实际方法行为仍需独立验证</x:v>
      </x:c>
      <x:c r="H606" s="82"/>
      <x:c r="I606" s="82"/>
      <x:c r="J606" s="82"/>
      <x:c r="K606" s="82"/>
    </x:row>
    <x:row r="607">
      <x:c r="A607" s="82" t="str">
        <x:v>Core</x:v>
      </x:c>
      <x:c r="B607" s="82" t="str">
        <x:v>ElementModel</x:v>
      </x:c>
      <x:c r="C607" s="82" t="str">
        <x:v>Platform/Core/Elements.cs</x:v>
      </x:c>
      <x:c r="D607" s="82" t="n">
        <x:v>32</x:v>
      </x:c>
      <x:c r="E607" s="82" t="str">
        <x:v>public bool IsVisible { get; set; }</x:v>
      </x:c>
      <x:c r="F607" s="82" t="str">
        <x:v>V7.8源代码公开声明（非新API定案）</x:v>
      </x:c>
      <x:c r="G607" s="82" t="str">
        <x:v>V7.8静态读取；实际方法行为仍需独立验证</x:v>
      </x:c>
      <x:c r="H607" s="82"/>
      <x:c r="I607" s="82"/>
      <x:c r="J607" s="82"/>
      <x:c r="K607" s="82"/>
    </x:row>
    <x:row r="608">
      <x:c r="A608" s="82" t="str">
        <x:v>Core</x:v>
      </x:c>
      <x:c r="B608" s="82" t="str">
        <x:v>ElementModel</x:v>
      </x:c>
      <x:c r="C608" s="82" t="str">
        <x:v>Platform/Core/Elements.cs</x:v>
      </x:c>
      <x:c r="D608" s="82" t="n">
        <x:v>33</x:v>
      </x:c>
      <x:c r="E608" s="82" t="str">
        <x:v>public bool IsLocked { get; set; }</x:v>
      </x:c>
      <x:c r="F608" s="82" t="str">
        <x:v>V7.8源代码公开声明（非新API定案）</x:v>
      </x:c>
      <x:c r="G608" s="82" t="str">
        <x:v>V7.8静态读取；实际方法行为仍需独立验证</x:v>
      </x:c>
      <x:c r="H608" s="82"/>
      <x:c r="I608" s="82"/>
      <x:c r="J608" s="82"/>
      <x:c r="K608" s="82"/>
    </x:row>
    <x:row r="609">
      <x:c r="A609" s="82" t="str">
        <x:v>Core</x:v>
      </x:c>
      <x:c r="B609" s="82" t="str">
        <x:v>ElementModel</x:v>
      </x:c>
      <x:c r="C609" s="82" t="str">
        <x:v>Platform/Core/Elements.cs</x:v>
      </x:c>
      <x:c r="D609" s="82" t="n">
        <x:v>34</x:v>
      </x:c>
      <x:c r="E609" s="82" t="str">
        <x:v>public bool IsSelectable { get; set; }</x:v>
      </x:c>
      <x:c r="F609" s="82" t="str">
        <x:v>V7.8源代码公开声明（非新API定案）</x:v>
      </x:c>
      <x:c r="G609" s="82" t="str">
        <x:v>V7.8静态读取；实际方法行为仍需独立验证</x:v>
      </x:c>
      <x:c r="H609" s="82"/>
      <x:c r="I609" s="82"/>
      <x:c r="J609" s="82"/>
      <x:c r="K609" s="82"/>
    </x:row>
    <x:row r="610">
      <x:c r="A610" s="82" t="str">
        <x:v>Core</x:v>
      </x:c>
      <x:c r="B610" s="82" t="str">
        <x:v>ElementModel</x:v>
      </x:c>
      <x:c r="C610" s="82" t="str">
        <x:v>Platform/Core/Elements.cs</x:v>
      </x:c>
      <x:c r="D610" s="82" t="n">
        <x:v>37</x:v>
      </x:c>
      <x:c r="E610" s="82" t="str">
        <x:v>public ElementSemanticsComposition Semantics { get; set; }</x:v>
      </x:c>
      <x:c r="F610" s="82" t="str">
        <x:v>V7.8源代码公开声明（非新API定案）</x:v>
      </x:c>
      <x:c r="G610" s="82" t="str">
        <x:v>V7.8静态读取；实际方法行为仍需独立验证</x:v>
      </x:c>
      <x:c r="H610" s="82"/>
      <x:c r="I610" s="82"/>
      <x:c r="J610" s="82"/>
      <x:c r="K610" s="82"/>
    </x:row>
    <x:row r="611">
      <x:c r="A611" s="82" t="str">
        <x:v>Core</x:v>
      </x:c>
      <x:c r="B611" s="82" t="str">
        <x:v>ElementModel</x:v>
      </x:c>
      <x:c r="C611" s="82" t="str">
        <x:v>Platform/Core/Elements.cs</x:v>
      </x:c>
      <x:c r="D611" s="82" t="n">
        <x:v>39</x:v>
      </x:c>
      <x:c r="E611" s="82" t="str">
        <x:v>public BehaviorComposition Behavior { get; set; }</x:v>
      </x:c>
      <x:c r="F611" s="82" t="str">
        <x:v>V7.8源代码公开声明（非新API定案）</x:v>
      </x:c>
      <x:c r="G611" s="82" t="str">
        <x:v>V7.8静态读取；实际方法行为仍需独立验证</x:v>
      </x:c>
      <x:c r="H611" s="82"/>
      <x:c r="I611" s="82"/>
      <x:c r="J611" s="82"/>
      <x:c r="K611" s="82"/>
    </x:row>
    <x:row r="612">
      <x:c r="A612" s="82" t="str">
        <x:v>Core</x:v>
      </x:c>
      <x:c r="B612" s="82" t="str">
        <x:v>ElementModel</x:v>
      </x:c>
      <x:c r="C612" s="82" t="str">
        <x:v>Platform/Core/Elements.cs</x:v>
      </x:c>
      <x:c r="D612" s="82" t="n">
        <x:v>41</x:v>
      </x:c>
      <x:c r="E612" s="82" t="str">
        <x:v>public ParameterComposition Parameters { get; set; }</x:v>
      </x:c>
      <x:c r="F612" s="82" t="str">
        <x:v>V7.8源代码公开声明（非新API定案）</x:v>
      </x:c>
      <x:c r="G612" s="82" t="str">
        <x:v>V7.8静态读取；实际方法行为仍需独立验证</x:v>
      </x:c>
      <x:c r="H612" s="82"/>
      <x:c r="I612" s="82"/>
      <x:c r="J612" s="82"/>
      <x:c r="K612" s="82"/>
    </x:row>
    <x:row r="613">
      <x:c r="A613" s="82" t="str">
        <x:v>Core</x:v>
      </x:c>
      <x:c r="B613" s="82" t="str">
        <x:v>ElementModel</x:v>
      </x:c>
      <x:c r="C613" s="82" t="str">
        <x:v>Platform/Core/Elements.cs</x:v>
      </x:c>
      <x:c r="D613" s="82" t="n">
        <x:v>43</x:v>
      </x:c>
      <x:c r="E613" s="82" t="str">
        <x:v>public ConnectionComposition Connections { get; set; }</x:v>
      </x:c>
      <x:c r="F613" s="82" t="str">
        <x:v>V7.8源代码公开声明（非新API定案）</x:v>
      </x:c>
      <x:c r="G613" s="82" t="str">
        <x:v>V7.8静态读取；实际方法行为仍需独立验证</x:v>
      </x:c>
      <x:c r="H613" s="82"/>
      <x:c r="I613" s="82"/>
      <x:c r="J613" s="82"/>
      <x:c r="K613" s="82"/>
    </x:row>
    <x:row r="614">
      <x:c r="A614" s="82" t="str">
        <x:v>Core</x:v>
      </x:c>
      <x:c r="B614" s="82" t="str">
        <x:v>ElementModel</x:v>
      </x:c>
      <x:c r="C614" s="82" t="str">
        <x:v>Platform/Core/Elements.cs</x:v>
      </x:c>
      <x:c r="D614" s="82" t="n">
        <x:v>45</x:v>
      </x:c>
      <x:c r="E614" s="82" t="str">
        <x:v>public abstract ElementModel DeepClone(bool preserveId);</x:v>
      </x:c>
      <x:c r="F614" s="82" t="str">
        <x:v>V7.8源代码公开声明（非新API定案）</x:v>
      </x:c>
      <x:c r="G614" s="82" t="str">
        <x:v>V7.8静态读取；实际方法行为仍需独立验证</x:v>
      </x:c>
      <x:c r="H614" s="82"/>
      <x:c r="I614" s="82"/>
      <x:c r="J614" s="82"/>
      <x:c r="K614" s="82"/>
    </x:row>
    <x:row r="615">
      <x:c r="A615" s="82" t="str">
        <x:v>Core</x:v>
      </x:c>
      <x:c r="B615" s="82" t="str">
        <x:v>ElementModel</x:v>
      </x:c>
      <x:c r="C615" s="82" t="str">
        <x:v>Platform/Core/Elements.cs</x:v>
      </x:c>
      <x:c r="D615" s="82" t="n">
        <x:v>47</x:v>
      </x:c>
      <x:c r="E615" s="82" t="str">
        <x:v>protected void CopyCommonTo(ElementModel target, bool preserveId)</x:v>
      </x:c>
      <x:c r="F615" s="82" t="str">
        <x:v>V7.8源代码公开声明（非新API定案）</x:v>
      </x:c>
      <x:c r="G615" s="82" t="str">
        <x:v>V7.8静态读取；实际方法行为仍需独立验证</x:v>
      </x:c>
      <x:c r="H615" s="82"/>
      <x:c r="I615" s="82"/>
      <x:c r="J615" s="82"/>
      <x:c r="K615" s="82"/>
    </x:row>
    <x:row r="616">
      <x:c r="A616" s="82" t="str">
        <x:v>Core</x:v>
      </x:c>
      <x:c r="B616" s="82" t="str">
        <x:v>RectangleElementModel</x:v>
      </x:c>
      <x:c r="C616" s="82" t="str">
        <x:v>Platform/Core/Elements.cs</x:v>
      </x:c>
      <x:c r="D616" s="82" t="n">
        <x:v>72</x:v>
      </x:c>
      <x:c r="E616" s="82" t="str">
        <x:v>public double RadiusX { get; set; }</x:v>
      </x:c>
      <x:c r="F616" s="82" t="str">
        <x:v>V7.8源代码公开声明（非新API定案）</x:v>
      </x:c>
      <x:c r="G616" s="82" t="str">
        <x:v>V7.8静态读取；实际方法行为仍需独立验证</x:v>
      </x:c>
      <x:c r="H616" s="82"/>
      <x:c r="I616" s="82"/>
      <x:c r="J616" s="82"/>
      <x:c r="K616" s="82"/>
    </x:row>
    <x:row r="617">
      <x:c r="A617" s="82" t="str">
        <x:v>Core</x:v>
      </x:c>
      <x:c r="B617" s="82" t="str">
        <x:v>RectangleElementModel</x:v>
      </x:c>
      <x:c r="C617" s="82" t="str">
        <x:v>Platform/Core/Elements.cs</x:v>
      </x:c>
      <x:c r="D617" s="82" t="n">
        <x:v>73</x:v>
      </x:c>
      <x:c r="E617" s="82" t="str">
        <x:v>public double RadiusY { get; set; }</x:v>
      </x:c>
      <x:c r="F617" s="82" t="str">
        <x:v>V7.8源代码公开声明（非新API定案）</x:v>
      </x:c>
      <x:c r="G617" s="82" t="str">
        <x:v>V7.8静态读取；实际方法行为仍需独立验证</x:v>
      </x:c>
      <x:c r="H617" s="82"/>
      <x:c r="I617" s="82"/>
      <x:c r="J617" s="82"/>
      <x:c r="K617" s="82"/>
    </x:row>
    <x:row r="618">
      <x:c r="A618" s="82" t="str">
        <x:v>Core</x:v>
      </x:c>
      <x:c r="B618" s="82" t="str">
        <x:v>RectangleElementModel</x:v>
      </x:c>
      <x:c r="C618" s="82" t="str">
        <x:v>Platform/Core/Elements.cs</x:v>
      </x:c>
      <x:c r="D618" s="82" t="n">
        <x:v>75</x:v>
      </x:c>
      <x:c r="E618" s="82" t="str">
        <x:v>public override ElementModel DeepClone(bool preserveId)</x:v>
      </x:c>
      <x:c r="F618" s="82" t="str">
        <x:v>V7.8源代码公开声明（非新API定案）</x:v>
      </x:c>
      <x:c r="G618" s="82" t="str">
        <x:v>V7.8静态读取；实际方法行为仍需独立验证</x:v>
      </x:c>
      <x:c r="H618" s="82"/>
      <x:c r="I618" s="82"/>
      <x:c r="J618" s="82"/>
      <x:c r="K618" s="82"/>
    </x:row>
    <x:row r="619">
      <x:c r="A619" s="82" t="str">
        <x:v>Core</x:v>
      </x:c>
      <x:c r="B619" s="82" t="str">
        <x:v>RoundedRectangleElementModel</x:v>
      </x:c>
      <x:c r="C619" s="82" t="str">
        <x:v>Platform/Core/Elements.cs</x:v>
      </x:c>
      <x:c r="D619" s="82" t="n">
        <x:v>85</x:v>
      </x:c>
      <x:c r="E619" s="82" t="str">
        <x:v>public RoundedRectangleElementModel()</x:v>
      </x:c>
      <x:c r="F619" s="82" t="str">
        <x:v>V7.8源代码公开声明（非新API定案）</x:v>
      </x:c>
      <x:c r="G619" s="82" t="str">
        <x:v>V7.8静态读取；实际方法行为仍需独立验证</x:v>
      </x:c>
      <x:c r="H619" s="82"/>
      <x:c r="I619" s="82"/>
      <x:c r="J619" s="82"/>
      <x:c r="K619" s="82"/>
    </x:row>
    <x:row r="620">
      <x:c r="A620" s="82" t="str">
        <x:v>Core</x:v>
      </x:c>
      <x:c r="B620" s="82" t="str">
        <x:v>RoundedRectangleElementModel</x:v>
      </x:c>
      <x:c r="C620" s="82" t="str">
        <x:v>Platform/Core/Elements.cs</x:v>
      </x:c>
      <x:c r="D620" s="82" t="n">
        <x:v>93</x:v>
      </x:c>
      <x:c r="E620" s="82" t="str">
        <x:v>public override ElementModel DeepClone(bool preserveId)</x:v>
      </x:c>
      <x:c r="F620" s="82" t="str">
        <x:v>V7.8源代码公开声明（非新API定案）</x:v>
      </x:c>
      <x:c r="G620" s="82" t="str">
        <x:v>V7.8静态读取；实际方法行为仍需独立验证</x:v>
      </x:c>
      <x:c r="H620" s="82"/>
      <x:c r="I620" s="82"/>
      <x:c r="J620" s="82"/>
      <x:c r="K620" s="82"/>
    </x:row>
    <x:row r="621">
      <x:c r="A621" s="82" t="str">
        <x:v>Core</x:v>
      </x:c>
      <x:c r="B621" s="82" t="str">
        <x:v>EllipseElementModel</x:v>
      </x:c>
      <x:c r="C621" s="82" t="str">
        <x:v>Platform/Core/Elements.cs</x:v>
      </x:c>
      <x:c r="D621" s="82" t="n">
        <x:v>105</x:v>
      </x:c>
      <x:c r="E621" s="82" t="str">
        <x:v>public override ElementModel DeepClone(bool preserveId)</x:v>
      </x:c>
      <x:c r="F621" s="82" t="str">
        <x:v>V7.8源代码公开声明（非新API定案）</x:v>
      </x:c>
      <x:c r="G621" s="82" t="str">
        <x:v>V7.8静态读取；实际方法行为仍需独立验证</x:v>
      </x:c>
      <x:c r="H621" s="82"/>
      <x:c r="I621" s="82"/>
      <x:c r="J621" s="82"/>
      <x:c r="K621" s="82"/>
    </x:row>
    <x:row r="622">
      <x:c r="A622" s="82" t="str">
        <x:v>Core</x:v>
      </x:c>
      <x:c r="B622" s="82" t="str">
        <x:v>LineElementModel</x:v>
      </x:c>
      <x:c r="C622" s="82" t="str">
        <x:v>Platform/Core/Elements.cs</x:v>
      </x:c>
      <x:c r="D622" s="82" t="n">
        <x:v>116</x:v>
      </x:c>
      <x:c r="E622" s="82" t="str">
        <x:v>public Point2D Start { get; set; } = new Point2D(0d, 0d);</x:v>
      </x:c>
      <x:c r="F622" s="82" t="str">
        <x:v>V7.8源代码公开声明（非新API定案）</x:v>
      </x:c>
      <x:c r="G622" s="82" t="str">
        <x:v>V7.8静态读取；实际方法行为仍需独立验证</x:v>
      </x:c>
      <x:c r="H622" s="82"/>
      <x:c r="I622" s="82"/>
      <x:c r="J622" s="82"/>
      <x:c r="K622" s="82"/>
    </x:row>
    <x:row r="623">
      <x:c r="A623" s="82" t="str">
        <x:v>Core</x:v>
      </x:c>
      <x:c r="B623" s="82" t="str">
        <x:v>LineElementModel</x:v>
      </x:c>
      <x:c r="C623" s="82" t="str">
        <x:v>Platform/Core/Elements.cs</x:v>
      </x:c>
      <x:c r="D623" s="82" t="n">
        <x:v>117</x:v>
      </x:c>
      <x:c r="E623" s="82" t="str">
        <x:v>public Point2D End { get; set; } = new Point2D(120d, 80d);</x:v>
      </x:c>
      <x:c r="F623" s="82" t="str">
        <x:v>V7.8源代码公开声明（非新API定案）</x:v>
      </x:c>
      <x:c r="G623" s="82" t="str">
        <x:v>V7.8静态读取；实际方法行为仍需独立验证</x:v>
      </x:c>
      <x:c r="H623" s="82"/>
      <x:c r="I623" s="82"/>
      <x:c r="J623" s="82"/>
      <x:c r="K623" s="82"/>
    </x:row>
    <x:row r="624">
      <x:c r="A624" s="82" t="str">
        <x:v>Core</x:v>
      </x:c>
      <x:c r="B624" s="82" t="str">
        <x:v>LineElementModel</x:v>
      </x:c>
      <x:c r="C624" s="82" t="str">
        <x:v>Platform/Core/Elements.cs</x:v>
      </x:c>
      <x:c r="D624" s="82" t="n">
        <x:v>119</x:v>
      </x:c>
      <x:c r="E624" s="82" t="str">
        <x:v>public override ElementModel DeepClone(bool preserveId)</x:v>
      </x:c>
      <x:c r="F624" s="82" t="str">
        <x:v>V7.8源代码公开声明（非新API定案）</x:v>
      </x:c>
      <x:c r="G624" s="82" t="str">
        <x:v>V7.8静态读取；实际方法行为仍需独立验证</x:v>
      </x:c>
      <x:c r="H624" s="82"/>
      <x:c r="I624" s="82"/>
      <x:c r="J624" s="82"/>
      <x:c r="K624" s="82"/>
    </x:row>
    <x:row r="625">
      <x:c r="A625" s="82" t="str">
        <x:v>Core</x:v>
      </x:c>
      <x:c r="B625" s="82" t="str">
        <x:v>PolylineElementModel</x:v>
      </x:c>
      <x:c r="C625" s="82" t="str">
        <x:v>Platform/Core/Elements.cs</x:v>
      </x:c>
      <x:c r="D625" s="82" t="n">
        <x:v>134</x:v>
      </x:c>
      <x:c r="E625" s="82" t="str">
        <x:v>public List&lt;Point2D&gt; Points { get; set; } = new List&lt;Point2D&gt;();</x:v>
      </x:c>
      <x:c r="F625" s="82" t="str">
        <x:v>V7.8源代码公开声明（非新API定案）</x:v>
      </x:c>
      <x:c r="G625" s="82" t="str">
        <x:v>V7.8静态读取；实际方法行为仍需独立验证</x:v>
      </x:c>
      <x:c r="H625" s="82"/>
      <x:c r="I625" s="82"/>
      <x:c r="J625" s="82"/>
      <x:c r="K625" s="82"/>
    </x:row>
    <x:row r="626">
      <x:c r="A626" s="82" t="str">
        <x:v>Core</x:v>
      </x:c>
      <x:c r="B626" s="82" t="str">
        <x:v>PolylineElementModel</x:v>
      </x:c>
      <x:c r="C626" s="82" t="str">
        <x:v>Platform/Core/Elements.cs</x:v>
      </x:c>
      <x:c r="D626" s="82" t="n">
        <x:v>135</x:v>
      </x:c>
      <x:c r="E626" s="82" t="str">
        <x:v>public bool IsClosed { get; set; }</x:v>
      </x:c>
      <x:c r="F626" s="82" t="str">
        <x:v>V7.8源代码公开声明（非新API定案）</x:v>
      </x:c>
      <x:c r="G626" s="82" t="str">
        <x:v>V7.8静态读取；实际方法行为仍需独立验证</x:v>
      </x:c>
      <x:c r="H626" s="82"/>
      <x:c r="I626" s="82"/>
      <x:c r="J626" s="82"/>
      <x:c r="K626" s="82"/>
    </x:row>
    <x:row r="627">
      <x:c r="A627" s="82" t="str">
        <x:v>Core</x:v>
      </x:c>
      <x:c r="B627" s="82" t="str">
        <x:v>PolylineElementModel</x:v>
      </x:c>
      <x:c r="C627" s="82" t="str">
        <x:v>Platform/Core/Elements.cs</x:v>
      </x:c>
      <x:c r="D627" s="82" t="n">
        <x:v>137</x:v>
      </x:c>
      <x:c r="E627" s="82" t="str">
        <x:v>public override ElementModel DeepClone(bool preserveId)</x:v>
      </x:c>
      <x:c r="F627" s="82" t="str">
        <x:v>V7.8源代码公开声明（非新API定案）</x:v>
      </x:c>
      <x:c r="G627" s="82" t="str">
        <x:v>V7.8静态读取；实际方法行为仍需独立验证</x:v>
      </x:c>
      <x:c r="H627" s="82"/>
      <x:c r="I627" s="82"/>
      <x:c r="J627" s="82"/>
      <x:c r="K627" s="82"/>
    </x:row>
    <x:row r="628">
      <x:c r="A628" s="82" t="str">
        <x:v>Core</x:v>
      </x:c>
      <x:c r="B628" s="82" t="str">
        <x:v>PathElementModel</x:v>
      </x:c>
      <x:c r="C628" s="82" t="str">
        <x:v>Platform/Core/Elements.cs</x:v>
      </x:c>
      <x:c r="D628" s="82" t="n">
        <x:v>152</x:v>
      </x:c>
      <x:c r="E628" s="82" t="str">
        <x:v>public string Data { get; set; } = "M 0,0 L 120,0 120,80 0,80 Z";</x:v>
      </x:c>
      <x:c r="F628" s="82" t="str">
        <x:v>V7.8源代码公开声明（非新API定案）</x:v>
      </x:c>
      <x:c r="G628" s="82" t="str">
        <x:v>V7.8静态读取；实际方法行为仍需独立验证</x:v>
      </x:c>
      <x:c r="H628" s="82"/>
      <x:c r="I628" s="82"/>
      <x:c r="J628" s="82"/>
      <x:c r="K628" s="82"/>
    </x:row>
    <x:row r="629">
      <x:c r="A629" s="82" t="str">
        <x:v>Core</x:v>
      </x:c>
      <x:c r="B629" s="82" t="str">
        <x:v>PathElementModel</x:v>
      </x:c>
      <x:c r="C629" s="82" t="str">
        <x:v>Platform/Core/Elements.cs</x:v>
      </x:c>
      <x:c r="D629" s="82" t="n">
        <x:v>154</x:v>
      </x:c>
      <x:c r="E629" s="82" t="str">
        <x:v>public Point2D DataOrigin { get; set; }</x:v>
      </x:c>
      <x:c r="F629" s="82" t="str">
        <x:v>V7.8源代码公开声明（非新API定案）</x:v>
      </x:c>
      <x:c r="G629" s="82" t="str">
        <x:v>V7.8静态读取；实际方法行为仍需独立验证</x:v>
      </x:c>
      <x:c r="H629" s="82"/>
      <x:c r="I629" s="82"/>
      <x:c r="J629" s="82"/>
      <x:c r="K629" s="82"/>
    </x:row>
    <x:row r="630">
      <x:c r="A630" s="82" t="str">
        <x:v>Core</x:v>
      </x:c>
      <x:c r="B630" s="82" t="str">
        <x:v>PathElementModel</x:v>
      </x:c>
      <x:c r="C630" s="82" t="str">
        <x:v>Platform/Core/Elements.cs</x:v>
      </x:c>
      <x:c r="D630" s="82" t="n">
        <x:v>155</x:v>
      </x:c>
      <x:c r="E630" s="82" t="str">
        <x:v>public bool ShouldSerializeDataOrigin() { return DataOrigin != null; }</x:v>
      </x:c>
      <x:c r="F630" s="82" t="str">
        <x:v>V7.8源代码公开声明（非新API定案）</x:v>
      </x:c>
      <x:c r="G630" s="82" t="str">
        <x:v>V7.8静态读取；实际方法行为仍需独立验证</x:v>
      </x:c>
      <x:c r="H630" s="82"/>
      <x:c r="I630" s="82"/>
      <x:c r="J630" s="82"/>
      <x:c r="K630" s="82"/>
    </x:row>
    <x:row r="631">
      <x:c r="A631" s="82" t="str">
        <x:v>Core</x:v>
      </x:c>
      <x:c r="B631" s="82" t="str">
        <x:v>PathElementModel</x:v>
      </x:c>
      <x:c r="C631" s="82" t="str">
        <x:v>Platform/Core/Elements.cs</x:v>
      </x:c>
      <x:c r="D631" s="82" t="n">
        <x:v>156</x:v>
      </x:c>
      <x:c r="E631" s="82" t="str">
        <x:v>public List&lt;PathNodeModel&gt; Nodes { get; set; } = new List&lt;PathNodeModel&gt;();</x:v>
      </x:c>
      <x:c r="F631" s="82" t="str">
        <x:v>V7.8源代码公开声明（非新API定案）</x:v>
      </x:c>
      <x:c r="G631" s="82" t="str">
        <x:v>V7.8静态读取；实际方法行为仍需独立验证</x:v>
      </x:c>
      <x:c r="H631" s="82"/>
      <x:c r="I631" s="82"/>
      <x:c r="J631" s="82"/>
      <x:c r="K631" s="82"/>
    </x:row>
    <x:row r="632">
      <x:c r="A632" s="82" t="str">
        <x:v>Core</x:v>
      </x:c>
      <x:c r="B632" s="82" t="str">
        <x:v>PathElementModel</x:v>
      </x:c>
      <x:c r="C632" s="82" t="str">
        <x:v>Platform/Core/Elements.cs</x:v>
      </x:c>
      <x:c r="D632" s="82" t="n">
        <x:v>157</x:v>
      </x:c>
      <x:c r="E632" s="82" t="str">
        <x:v>public bool IsClosed { get; set; }</x:v>
      </x:c>
      <x:c r="F632" s="82" t="str">
        <x:v>V7.8源代码公开声明（非新API定案）</x:v>
      </x:c>
      <x:c r="G632" s="82" t="str">
        <x:v>V7.8静态读取；实际方法行为仍需独立验证</x:v>
      </x:c>
      <x:c r="H632" s="82"/>
      <x:c r="I632" s="82"/>
      <x:c r="J632" s="82"/>
      <x:c r="K632" s="82"/>
    </x:row>
    <x:row r="633">
      <x:c r="A633" s="82" t="str">
        <x:v>Core</x:v>
      </x:c>
      <x:c r="B633" s="82" t="str">
        <x:v>PathElementModel</x:v>
      </x:c>
      <x:c r="C633" s="82" t="str">
        <x:v>Platform/Core/Elements.cs</x:v>
      </x:c>
      <x:c r="D633" s="82" t="n">
        <x:v>159</x:v>
      </x:c>
      <x:c r="E633" s="82" t="str">
        <x:v>public override ElementModel DeepClone(bool preserveId)</x:v>
      </x:c>
      <x:c r="F633" s="82" t="str">
        <x:v>V7.8源代码公开声明（非新API定案）</x:v>
      </x:c>
      <x:c r="G633" s="82" t="str">
        <x:v>V7.8静态读取；实际方法行为仍需独立验证</x:v>
      </x:c>
      <x:c r="H633" s="82"/>
      <x:c r="I633" s="82"/>
      <x:c r="J633" s="82"/>
      <x:c r="K633" s="82"/>
    </x:row>
    <x:row r="634">
      <x:c r="A634" s="82" t="str">
        <x:v>Core</x:v>
      </x:c>
      <x:c r="B634" s="82" t="str">
        <x:v>PathNodeModel</x:v>
      </x:c>
      <x:c r="C634" s="82" t="str">
        <x:v>Platform/Core/Elements.cs</x:v>
      </x:c>
      <x:c r="D634" s="82" t="n">
        <x:v>170</x:v>
      </x:c>
      <x:c r="E634" s="82" t="str">
        <x:v>public Point2D Anchor { get; set; } = new Point2D();</x:v>
      </x:c>
      <x:c r="F634" s="82" t="str">
        <x:v>V7.8源代码公开声明（非新API定案）</x:v>
      </x:c>
      <x:c r="G634" s="82" t="str">
        <x:v>V7.8静态读取；实际方法行为仍需独立验证</x:v>
      </x:c>
      <x:c r="H634" s="82"/>
      <x:c r="I634" s="82"/>
      <x:c r="J634" s="82"/>
      <x:c r="K634" s="82"/>
    </x:row>
    <x:row r="635">
      <x:c r="A635" s="82" t="str">
        <x:v>Core</x:v>
      </x:c>
      <x:c r="B635" s="82" t="str">
        <x:v>PathNodeModel</x:v>
      </x:c>
      <x:c r="C635" s="82" t="str">
        <x:v>Platform/Core/Elements.cs</x:v>
      </x:c>
      <x:c r="D635" s="82" t="n">
        <x:v>171</x:v>
      </x:c>
      <x:c r="E635" s="82" t="str">
        <x:v>public Point2D ControlIn { get; set; } = new Point2D();</x:v>
      </x:c>
      <x:c r="F635" s="82" t="str">
        <x:v>V7.8源代码公开声明（非新API定案）</x:v>
      </x:c>
      <x:c r="G635" s="82" t="str">
        <x:v>V7.8静态读取；实际方法行为仍需独立验证</x:v>
      </x:c>
      <x:c r="H635" s="82"/>
      <x:c r="I635" s="82"/>
      <x:c r="J635" s="82"/>
      <x:c r="K635" s="82"/>
    </x:row>
    <x:row r="636">
      <x:c r="A636" s="82" t="str">
        <x:v>Core</x:v>
      </x:c>
      <x:c r="B636" s="82" t="str">
        <x:v>PathNodeModel</x:v>
      </x:c>
      <x:c r="C636" s="82" t="str">
        <x:v>Platform/Core/Elements.cs</x:v>
      </x:c>
      <x:c r="D636" s="82" t="n">
        <x:v>172</x:v>
      </x:c>
      <x:c r="E636" s="82" t="str">
        <x:v>public Point2D ControlOut { get; set; } = new Point2D();</x:v>
      </x:c>
      <x:c r="F636" s="82" t="str">
        <x:v>V7.8源代码公开声明（非新API定案）</x:v>
      </x:c>
      <x:c r="G636" s="82" t="str">
        <x:v>V7.8静态读取；实际方法行为仍需独立验证</x:v>
      </x:c>
      <x:c r="H636" s="82"/>
      <x:c r="I636" s="82"/>
      <x:c r="J636" s="82"/>
      <x:c r="K636" s="82"/>
    </x:row>
    <x:row r="637">
      <x:c r="A637" s="82" t="str">
        <x:v>Core</x:v>
      </x:c>
      <x:c r="B637" s="82" t="str">
        <x:v>PathNodeModel</x:v>
      </x:c>
      <x:c r="C637" s="82" t="str">
        <x:v>Platform/Core/Elements.cs</x:v>
      </x:c>
      <x:c r="D637" s="82" t="n">
        <x:v>174</x:v>
      </x:c>
      <x:c r="E637" s="82" t="str">
        <x:v>public PathNodeModel Clone()</x:v>
      </x:c>
      <x:c r="F637" s="82" t="str">
        <x:v>V7.8源代码公开声明（非新API定案）</x:v>
      </x:c>
      <x:c r="G637" s="82" t="str">
        <x:v>V7.8静态读取；实际方法行为仍需独立验证</x:v>
      </x:c>
      <x:c r="H637" s="82"/>
      <x:c r="I637" s="82"/>
      <x:c r="J637" s="82"/>
      <x:c r="K637" s="82"/>
    </x:row>
    <x:row r="638">
      <x:c r="A638" s="82" t="str">
        <x:v>Core</x:v>
      </x:c>
      <x:c r="B638" s="82" t="str">
        <x:v>TextElementModel</x:v>
      </x:c>
      <x:c r="C638" s="82" t="str">
        <x:v>Platform/Core/Elements.cs</x:v>
      </x:c>
      <x:c r="D638" s="82" t="n">
        <x:v>188</x:v>
      </x:c>
      <x:c r="E638" s="82" t="str">
        <x:v>public string Text { get; set; } = "文本";</x:v>
      </x:c>
      <x:c r="F638" s="82" t="str">
        <x:v>V7.8源代码公开声明（非新API定案）</x:v>
      </x:c>
      <x:c r="G638" s="82" t="str">
        <x:v>V7.8静态读取；实际方法行为仍需独立验证</x:v>
      </x:c>
      <x:c r="H638" s="82"/>
      <x:c r="I638" s="82"/>
      <x:c r="J638" s="82"/>
      <x:c r="K638" s="82"/>
    </x:row>
    <x:row r="639">
      <x:c r="A639" s="82" t="str">
        <x:v>Core</x:v>
      </x:c>
      <x:c r="B639" s="82" t="str">
        <x:v>TextElementModel</x:v>
      </x:c>
      <x:c r="C639" s="82" t="str">
        <x:v>Platform/Core/Elements.cs</x:v>
      </x:c>
      <x:c r="D639" s="82" t="n">
        <x:v>189</x:v>
      </x:c>
      <x:c r="E639" s="82" t="str">
        <x:v>public double FontSize { get; set; } = 18d;</x:v>
      </x:c>
      <x:c r="F639" s="82" t="str">
        <x:v>V7.8源代码公开声明（非新API定案）</x:v>
      </x:c>
      <x:c r="G639" s="82" t="str">
        <x:v>V7.8静态读取；实际方法行为仍需独立验证</x:v>
      </x:c>
      <x:c r="H639" s="82"/>
      <x:c r="I639" s="82"/>
      <x:c r="J639" s="82"/>
      <x:c r="K639" s="82"/>
    </x:row>
    <x:row r="640">
      <x:c r="A640" s="82" t="str">
        <x:v>Core</x:v>
      </x:c>
      <x:c r="B640" s="82" t="str">
        <x:v>SymbolPropertyDefinition</x:v>
      </x:c>
      <x:c r="C640" s="82" t="str">
        <x:v>Platform/Core/Symbols.cs</x:v>
      </x:c>
      <x:c r="D640" s="82" t="n">
        <x:v>10</x:v>
      </x:c>
      <x:c r="E640" s="82" t="str">
        <x:v>public string Key { get; set; }</x:v>
      </x:c>
      <x:c r="F640" s="82" t="str">
        <x:v>V7.8源代码公开声明（非新API定案）</x:v>
      </x:c>
      <x:c r="G640" s="82" t="str">
        <x:v>V7.8静态读取；实际方法行为仍需独立验证</x:v>
      </x:c>
      <x:c r="H640" s="82"/>
      <x:c r="I640" s="82"/>
      <x:c r="J640" s="82"/>
      <x:c r="K640" s="82"/>
    </x:row>
    <x:row r="641">
      <x:c r="A641" s="82" t="str">
        <x:v>Core</x:v>
      </x:c>
      <x:c r="B641" s="82" t="str">
        <x:v>SymbolPropertyDefinition</x:v>
      </x:c>
      <x:c r="C641" s="82" t="str">
        <x:v>Platform/Core/Symbols.cs</x:v>
      </x:c>
      <x:c r="D641" s="82" t="n">
        <x:v>11</x:v>
      </x:c>
      <x:c r="E641" s="82" t="str">
        <x:v>public string DisplayName { get; set; }</x:v>
      </x:c>
      <x:c r="F641" s="82" t="str">
        <x:v>V7.8源代码公开声明（非新API定案）</x:v>
      </x:c>
      <x:c r="G641" s="82" t="str">
        <x:v>V7.8静态读取；实际方法行为仍需独立验证</x:v>
      </x:c>
      <x:c r="H641" s="82"/>
      <x:c r="I641" s="82"/>
      <x:c r="J641" s="82"/>
      <x:c r="K641" s="82"/>
    </x:row>
    <x:row r="642">
      <x:c r="A642" s="82" t="str">
        <x:v>Core</x:v>
      </x:c>
      <x:c r="B642" s="82" t="str">
        <x:v>SymbolPropertyDefinition</x:v>
      </x:c>
      <x:c r="C642" s="82" t="str">
        <x:v>Platform/Core/Symbols.cs</x:v>
      </x:c>
      <x:c r="D642" s="82" t="n">
        <x:v>12</x:v>
      </x:c>
      <x:c r="E642" s="82" t="str">
        <x:v>public string ValueType { get; set; } = VariableValueTypes.String;</x:v>
      </x:c>
      <x:c r="F642" s="82" t="str">
        <x:v>V7.8源代码公开声明（非新API定案）</x:v>
      </x:c>
      <x:c r="G642" s="82" t="str">
        <x:v>V7.8静态读取；实际方法行为仍需独立验证</x:v>
      </x:c>
      <x:c r="H642" s="82"/>
      <x:c r="I642" s="82"/>
      <x:c r="J642" s="82"/>
      <x:c r="K642" s="82"/>
    </x:row>
    <x:row r="643">
      <x:c r="A643" s="82" t="str">
        <x:v>Core</x:v>
      </x:c>
      <x:c r="B643" s="82" t="str">
        <x:v>SymbolPropertyDefinition</x:v>
      </x:c>
      <x:c r="C643" s="82" t="str">
        <x:v>Platform/Core/Symbols.cs</x:v>
      </x:c>
      <x:c r="D643" s="82" t="n">
        <x:v>13</x:v>
      </x:c>
      <x:c r="E643" s="82" t="str">
        <x:v>public object DefaultValue { get; set; }</x:v>
      </x:c>
      <x:c r="F643" s="82" t="str">
        <x:v>V7.8源代码公开声明（非新API定案）</x:v>
      </x:c>
      <x:c r="G643" s="82" t="str">
        <x:v>V7.8静态读取；实际方法行为仍需独立验证</x:v>
      </x:c>
      <x:c r="H643" s="82"/>
      <x:c r="I643" s="82"/>
      <x:c r="J643" s="82"/>
      <x:c r="K643" s="82"/>
    </x:row>
    <x:row r="644">
      <x:c r="A644" s="82" t="str">
        <x:v>Core</x:v>
      </x:c>
      <x:c r="B644" s="82" t="str">
        <x:v>SymbolPropertyDefinition</x:v>
      </x:c>
      <x:c r="C644" s="82" t="str">
        <x:v>Platform/Core/Symbols.cs</x:v>
      </x:c>
      <x:c r="D644" s="82" t="n">
        <x:v>14</x:v>
      </x:c>
      <x:c r="E644" s="82" t="str">
        <x:v>public string Unit { get; set; }</x:v>
      </x:c>
      <x:c r="F644" s="82" t="str">
        <x:v>V7.8源代码公开声明（非新API定案）</x:v>
      </x:c>
      <x:c r="G644" s="82" t="str">
        <x:v>V7.8静态读取；实际方法行为仍需独立验证</x:v>
      </x:c>
      <x:c r="H644" s="82"/>
      <x:c r="I644" s="82"/>
      <x:c r="J644" s="82"/>
      <x:c r="K644" s="82"/>
    </x:row>
    <x:row r="645">
      <x:c r="A645" s="82" t="str">
        <x:v>Core</x:v>
      </x:c>
      <x:c r="B645" s="82" t="str">
        <x:v>SymbolPropertyDefinition</x:v>
      </x:c>
      <x:c r="C645" s="82" t="str">
        <x:v>Platform/Core/Symbols.cs</x:v>
      </x:c>
      <x:c r="D645" s="82" t="n">
        <x:v>15</x:v>
      </x:c>
      <x:c r="E645" s="82" t="str">
        <x:v>public string Description { get; set; }</x:v>
      </x:c>
      <x:c r="F645" s="82" t="str">
        <x:v>V7.8源代码公开声明（非新API定案）</x:v>
      </x:c>
      <x:c r="G645" s="82" t="str">
        <x:v>V7.8静态读取；实际方法行为仍需独立验证</x:v>
      </x:c>
      <x:c r="H645" s="82"/>
      <x:c r="I645" s="82"/>
      <x:c r="J645" s="82"/>
      <x:c r="K645" s="82"/>
    </x:row>
    <x:row r="646">
      <x:c r="A646" s="82" t="str">
        <x:v>Core</x:v>
      </x:c>
      <x:c r="B646" s="82" t="str">
        <x:v>SymbolPropertyDefinition</x:v>
      </x:c>
      <x:c r="C646" s="82" t="str">
        <x:v>Platform/Core/Symbols.cs</x:v>
      </x:c>
      <x:c r="D646" s="82" t="n">
        <x:v>16</x:v>
      </x:c>
      <x:c r="E646" s="82" t="str">
        <x:v>public bool IsBindable { get; set; } = true;</x:v>
      </x:c>
      <x:c r="F646" s="82" t="str">
        <x:v>V7.8源代码公开声明（非新API定案）</x:v>
      </x:c>
      <x:c r="G646" s="82" t="str">
        <x:v>V7.8静态读取；实际方法行为仍需独立验证</x:v>
      </x:c>
      <x:c r="H646" s="82"/>
      <x:c r="I646" s="82"/>
      <x:c r="J646" s="82"/>
      <x:c r="K646" s="82"/>
    </x:row>
    <x:row r="647">
      <x:c r="A647" s="82" t="str">
        <x:v>Core</x:v>
      </x:c>
      <x:c r="B647" s="82" t="str">
        <x:v>SymbolPropertyDefinition</x:v>
      </x:c>
      <x:c r="C647" s="82" t="str">
        <x:v>Platform/Core/Symbols.cs</x:v>
      </x:c>
      <x:c r="D647" s="82" t="n">
        <x:v>17</x:v>
      </x:c>
      <x:c r="E647" s="82" t="str">
        <x:v>public bool ReadOnly { get; set; }</x:v>
      </x:c>
      <x:c r="F647" s="82" t="str">
        <x:v>V7.8源代码公开声明（非新API定案）</x:v>
      </x:c>
      <x:c r="G647" s="82" t="str">
        <x:v>V7.8静态读取；实际方法行为仍需独立验证</x:v>
      </x:c>
      <x:c r="H647" s="82"/>
      <x:c r="I647" s="82"/>
      <x:c r="J647" s="82"/>
      <x:c r="K647" s="82"/>
    </x:row>
    <x:row r="648">
      <x:c r="A648" s="82" t="str">
        <x:v>Core</x:v>
      </x:c>
      <x:c r="B648" s="82" t="str">
        <x:v>SymbolPropertyDefinition</x:v>
      </x:c>
      <x:c r="C648" s="82" t="str">
        <x:v>Platform/Core/Symbols.cs</x:v>
      </x:c>
      <x:c r="D648" s="82" t="n">
        <x:v>18</x:v>
      </x:c>
      <x:c r="E648" s="82" t="str">
        <x:v>public CxMetadata Metadata { get; set; }</x:v>
      </x:c>
      <x:c r="F648" s="82" t="str">
        <x:v>V7.8源代码公开声明（非新API定案）</x:v>
      </x:c>
      <x:c r="G648" s="82" t="str">
        <x:v>V7.8静态读取；实际方法行为仍需独立验证</x:v>
      </x:c>
      <x:c r="H648" s="82"/>
      <x:c r="I648" s="82"/>
      <x:c r="J648" s="82"/>
      <x:c r="K648" s="82"/>
    </x:row>
    <x:row r="649">
      <x:c r="A649" s="82" t="str">
        <x:v>Core</x:v>
      </x:c>
      <x:c r="B649" s="82" t="str">
        <x:v>SymbolPropertyDefinition</x:v>
      </x:c>
      <x:c r="C649" s="82" t="str">
        <x:v>Platform/Core/Symbols.cs</x:v>
      </x:c>
      <x:c r="D649" s="82" t="n">
        <x:v>19</x:v>
      </x:c>
      <x:c r="E649" s="82" t="str">
        <x:v>public bool ShouldSerializeReadOnly() { return ReadOnly; }</x:v>
      </x:c>
      <x:c r="F649" s="82" t="str">
        <x:v>V7.8源代码公开声明（非新API定案）</x:v>
      </x:c>
      <x:c r="G649" s="82" t="str">
        <x:v>V7.8静态读取；实际方法行为仍需独立验证</x:v>
      </x:c>
      <x:c r="H649" s="82"/>
      <x:c r="I649" s="82"/>
      <x:c r="J649" s="82"/>
      <x:c r="K649" s="82"/>
    </x:row>
    <x:row r="650">
      <x:c r="A650" s="82" t="str">
        <x:v>Core</x:v>
      </x:c>
      <x:c r="B650" s="82" t="str">
        <x:v>SymbolPropertyDefinition</x:v>
      </x:c>
      <x:c r="C650" s="82" t="str">
        <x:v>Platform/Core/Symbols.cs</x:v>
      </x:c>
      <x:c r="D650" s="82" t="n">
        <x:v>20</x:v>
      </x:c>
      <x:c r="E650" s="82" t="str">
        <x:v>public bool ShouldSerializeMetadata() { return Metadata != null &amp;&amp; Metadata.Items.Count != 0; }</x:v>
      </x:c>
      <x:c r="F650" s="82" t="str">
        <x:v>V7.8源代码公开声明（非新API定案）</x:v>
      </x:c>
      <x:c r="G650" s="82" t="str">
        <x:v>V7.8静态读取；实际方法行为仍需独立验证</x:v>
      </x:c>
      <x:c r="H650" s="82"/>
      <x:c r="I650" s="82"/>
      <x:c r="J650" s="82"/>
      <x:c r="K650" s="82"/>
    </x:row>
    <x:row r="651">
      <x:c r="A651" s="82" t="str">
        <x:v>Core</x:v>
      </x:c>
      <x:c r="B651" s="82" t="str">
        <x:v>SymbolPropertyDefinition</x:v>
      </x:c>
      <x:c r="C651" s="82" t="str">
        <x:v>Platform/Core/Symbols.cs</x:v>
      </x:c>
      <x:c r="D651" s="82" t="n">
        <x:v>21</x:v>
      </x:c>
      <x:c r="E651" s="82" t="str">
        <x:v>public CxValidationResult Validate()</x:v>
      </x:c>
      <x:c r="F651" s="82" t="str">
        <x:v>V7.8源代码公开声明（非新API定案）</x:v>
      </x:c>
      <x:c r="G651" s="82" t="str">
        <x:v>V7.8静态读取；实际方法行为仍需独立验证</x:v>
      </x:c>
      <x:c r="H651" s="82"/>
      <x:c r="I651" s="82"/>
      <x:c r="J651" s="82"/>
      <x:c r="K651" s="82"/>
    </x:row>
    <x:row r="652">
      <x:c r="A652" s="82" t="str">
        <x:v>Core</x:v>
      </x:c>
      <x:c r="B652" s="82" t="str">
        <x:v>SymbolPropertyDefinition</x:v>
      </x:c>
      <x:c r="C652" s="82" t="str">
        <x:v>Platform/Core/Symbols.cs</x:v>
      </x:c>
      <x:c r="D652" s="82" t="n">
        <x:v>30</x:v>
      </x:c>
      <x:c r="E652" s="82" t="str">
        <x:v>public SymbolPropertyDefinition Clone()</x:v>
      </x:c>
      <x:c r="F652" s="82" t="str">
        <x:v>V7.8源代码公开声明（非新API定案）</x:v>
      </x:c>
      <x:c r="G652" s="82" t="str">
        <x:v>V7.8静态读取；实际方法行为仍需独立验证</x:v>
      </x:c>
      <x:c r="H652" s="82"/>
      <x:c r="I652" s="82"/>
      <x:c r="J652" s="82"/>
      <x:c r="K652" s="82"/>
    </x:row>
    <x:row r="653">
      <x:c r="A653" s="82" t="str">
        <x:v>Core</x:v>
      </x:c>
      <x:c r="B653" s="82" t="str">
        <x:v>SymbolPropertyMapping</x:v>
      </x:c>
      <x:c r="C653" s="82" t="str">
        <x:v>Platform/Core/Symbols.cs</x:v>
      </x:c>
      <x:c r="D653" s="82" t="n">
        <x:v>48</x:v>
      </x:c>
      <x:c r="E653" s="82" t="str">
        <x:v>public string SourcePropertyKey { get; set; }</x:v>
      </x:c>
      <x:c r="F653" s="82" t="str">
        <x:v>V7.8源代码公开声明（非新API定案）</x:v>
      </x:c>
      <x:c r="G653" s="82" t="str">
        <x:v>V7.8静态读取；实际方法行为仍需独立验证</x:v>
      </x:c>
      <x:c r="H653" s="82"/>
      <x:c r="I653" s="82"/>
      <x:c r="J653" s="82"/>
      <x:c r="K653" s="82"/>
    </x:row>
    <x:row r="654">
      <x:c r="A654" s="82" t="str">
        <x:v>Core</x:v>
      </x:c>
      <x:c r="B654" s="82" t="str">
        <x:v>SymbolPropertyMapping</x:v>
      </x:c>
      <x:c r="C654" s="82" t="str">
        <x:v>Platform/Core/Symbols.cs</x:v>
      </x:c>
      <x:c r="D654" s="82" t="n">
        <x:v>50</x:v>
      </x:c>
      <x:c r="E654" s="82" t="str">
        <x:v>public string TargetElementId { get; set; }</x:v>
      </x:c>
      <x:c r="F654" s="82" t="str">
        <x:v>V7.8源代码公开声明（非新API定案）</x:v>
      </x:c>
      <x:c r="G654" s="82" t="str">
        <x:v>V7.8静态读取；实际方法行为仍需独立验证</x:v>
      </x:c>
      <x:c r="H654" s="82"/>
      <x:c r="I654" s="82"/>
      <x:c r="J654" s="82"/>
      <x:c r="K654" s="82"/>
    </x:row>
    <x:row r="655">
      <x:c r="A655" s="82" t="str">
        <x:v>Core</x:v>
      </x:c>
      <x:c r="B655" s="82" t="str">
        <x:v>SymbolPropertyMapping</x:v>
      </x:c>
      <x:c r="C655" s="82" t="str">
        <x:v>Platform/Core/Symbols.cs</x:v>
      </x:c>
      <x:c r="D655" s="82" t="n">
        <x:v>51</x:v>
      </x:c>
      <x:c r="E655" s="82" t="str">
        <x:v>public string TargetAlias { get; set; }</x:v>
      </x:c>
      <x:c r="F655" s="82" t="str">
        <x:v>V7.8源代码公开声明（非新API定案）</x:v>
      </x:c>
      <x:c r="G655" s="82" t="str">
        <x:v>V7.8静态读取；实际方法行为仍需独立验证</x:v>
      </x:c>
      <x:c r="H655" s="82"/>
      <x:c r="I655" s="82"/>
      <x:c r="J655" s="82"/>
      <x:c r="K655" s="82"/>
    </x:row>
    <x:row r="656">
      <x:c r="A656" s="82" t="str">
        <x:v>Core</x:v>
      </x:c>
      <x:c r="B656" s="82" t="str">
        <x:v>SymbolPropertyMapping</x:v>
      </x:c>
      <x:c r="C656" s="82" t="str">
        <x:v>Platform/Core/Symbols.cs</x:v>
      </x:c>
      <x:c r="D656" s="82" t="n">
        <x:v>52</x:v>
      </x:c>
      <x:c r="E656" s="82" t="str">
        <x:v>public string TargetRole { get; set; }</x:v>
      </x:c>
      <x:c r="F656" s="82" t="str">
        <x:v>V7.8源代码公开声明（非新API定案）</x:v>
      </x:c>
      <x:c r="G656" s="82" t="str">
        <x:v>V7.8静态读取；实际方法行为仍需独立验证</x:v>
      </x:c>
      <x:c r="H656" s="82"/>
      <x:c r="I656" s="82"/>
      <x:c r="J656" s="82"/>
      <x:c r="K656" s="82"/>
    </x:row>
    <x:row r="657">
      <x:c r="A657" s="82" t="str">
        <x:v>Core</x:v>
      </x:c>
      <x:c r="B657" s="82" t="str">
        <x:v>SymbolPropertyMapping</x:v>
      </x:c>
      <x:c r="C657" s="82" t="str">
        <x:v>Platform/Core/Symbols.cs</x:v>
      </x:c>
      <x:c r="D657" s="82" t="n">
        <x:v>53</x:v>
      </x:c>
      <x:c r="E657" s="82" t="str">
        <x:v>public string TargetPropertyKey { get; set; }</x:v>
      </x:c>
      <x:c r="F657" s="82" t="str">
        <x:v>V7.8源代码公开声明（非新API定案）</x:v>
      </x:c>
      <x:c r="G657" s="82" t="str">
        <x:v>V7.8静态读取；实际方法行为仍需独立验证</x:v>
      </x:c>
      <x:c r="H657" s="82"/>
      <x:c r="I657" s="82"/>
      <x:c r="J657" s="82"/>
      <x:c r="K657" s="82"/>
    </x:row>
    <x:row r="658">
      <x:c r="A658" s="82" t="str">
        <x:v>Core</x:v>
      </x:c>
      <x:c r="B658" s="82" t="str">
        <x:v>SymbolPropertyMapping</x:v>
      </x:c>
      <x:c r="C658" s="82" t="str">
        <x:v>Platform/Core/Symbols.cs</x:v>
      </x:c>
      <x:c r="D658" s="82" t="n">
        <x:v>55</x:v>
      </x:c>
      <x:c r="E658" s="82" t="str">
        <x:v>public SymbolPropertyMapping Clone()</x:v>
      </x:c>
      <x:c r="F658" s="82" t="str">
        <x:v>V7.8源代码公开声明（非新API定案）</x:v>
      </x:c>
      <x:c r="G658" s="82" t="str">
        <x:v>V7.8静态读取；实际方法行为仍需独立验证</x:v>
      </x:c>
      <x:c r="H658" s="82"/>
      <x:c r="I658" s="82"/>
      <x:c r="J658" s="82"/>
      <x:c r="K658" s="82"/>
    </x:row>
    <x:row r="659">
      <x:c r="A659" s="82" t="str">
        <x:v>Core</x:v>
      </x:c>
      <x:c r="B659" s="82" t="str">
        <x:v>SymbolDefinition</x:v>
      </x:c>
      <x:c r="C659" s="82" t="str">
        <x:v>Platform/Core/Symbols.cs</x:v>
      </x:c>
      <x:c r="D659" s="82" t="n">
        <x:v>76</x:v>
      </x:c>
      <x:c r="E659" s="82" t="str">
        <x:v>public SymbolDefinition()</x:v>
      </x:c>
      <x:c r="F659" s="82" t="str">
        <x:v>V7.8源代码公开声明（非新API定案）</x:v>
      </x:c>
      <x:c r="G659" s="82" t="str">
        <x:v>V7.8静态读取；实际方法行为仍需独立验证</x:v>
      </x:c>
      <x:c r="H659" s="82"/>
      <x:c r="I659" s="82"/>
      <x:c r="J659" s="82"/>
      <x:c r="K659" s="82"/>
    </x:row>
    <x:row r="660">
      <x:c r="A660" s="82" t="str">
        <x:v>Core</x:v>
      </x:c>
      <x:c r="B660" s="82" t="str">
        <x:v>SymbolDefinition</x:v>
      </x:c>
      <x:c r="C660" s="82" t="str">
        <x:v>Platform/Core/Symbols.cs</x:v>
      </x:c>
      <x:c r="D660" s="82" t="n">
        <x:v>89</x:v>
      </x:c>
      <x:c r="E660" s="82" t="str">
        <x:v>public override string Id { get; set; }</x:v>
      </x:c>
      <x:c r="F660" s="82" t="str">
        <x:v>V7.8源代码公开声明（非新API定案）</x:v>
      </x:c>
      <x:c r="G660" s="82" t="str">
        <x:v>V7.8静态读取；实际方法行为仍需独立验证</x:v>
      </x:c>
      <x:c r="H660" s="82"/>
      <x:c r="I660" s="82"/>
      <x:c r="J660" s="82"/>
      <x:c r="K660" s="82"/>
    </x:row>
    <x:row r="661">
      <x:c r="A661" s="82" t="str">
        <x:v>Core</x:v>
      </x:c>
      <x:c r="B661" s="82" t="str">
        <x:v>SymbolDefinition</x:v>
      </x:c>
      <x:c r="C661" s="82" t="str">
        <x:v>Platform/Core/Symbols.cs</x:v>
      </x:c>
      <x:c r="D661" s="82" t="n">
        <x:v>90</x:v>
      </x:c>
      <x:c r="E661" s="82" t="str">
        <x:v>public override string Name { get; set; }</x:v>
      </x:c>
      <x:c r="F661" s="82" t="str">
        <x:v>V7.8源代码公开声明（非新API定案）</x:v>
      </x:c>
      <x:c r="G661" s="82" t="str">
        <x:v>V7.8静态读取；实际方法行为仍需独立验证</x:v>
      </x:c>
      <x:c r="H661" s="82"/>
      <x:c r="I661" s="82"/>
      <x:c r="J661" s="82"/>
      <x:c r="K661" s="82"/>
    </x:row>
    <x:row r="662">
      <x:c r="A662" s="82" t="str">
        <x:v>Core</x:v>
      </x:c>
      <x:c r="B662" s="82" t="str">
        <x:v>SymbolDefinition</x:v>
      </x:c>
      <x:c r="C662" s="82" t="str">
        <x:v>Platform/Core/Symbols.cs</x:v>
      </x:c>
      <x:c r="D662" s="82" t="n">
        <x:v>91</x:v>
      </x:c>
      <x:c r="E662" s="82" t="str">
        <x:v>public string Version { get; set; }</x:v>
      </x:c>
      <x:c r="F662" s="82" t="str">
        <x:v>V7.8源代码公开声明（非新API定案）</x:v>
      </x:c>
      <x:c r="G662" s="82" t="str">
        <x:v>V7.8静态读取；实际方法行为仍需独立验证</x:v>
      </x:c>
      <x:c r="H662" s="82"/>
      <x:c r="I662" s="82"/>
      <x:c r="J662" s="82"/>
      <x:c r="K662" s="82"/>
    </x:row>
    <x:row r="663">
      <x:c r="A663" s="82" t="str">
        <x:v>Core</x:v>
      </x:c>
      <x:c r="B663" s="82" t="str">
        <x:v>SymbolDefinition</x:v>
      </x:c>
      <x:c r="C663" s="82" t="str">
        <x:v>Platform/Core/Symbols.cs</x:v>
      </x:c>
      <x:c r="D663" s="82" t="n">
        <x:v>92</x:v>
      </x:c>
      <x:c r="E663" s="82" t="str">
        <x:v>public string Category { get; set; }</x:v>
      </x:c>
      <x:c r="F663" s="82" t="str">
        <x:v>V7.8源代码公开声明（非新API定案）</x:v>
      </x:c>
      <x:c r="G663" s="82" t="str">
        <x:v>V7.8静态读取；实际方法行为仍需独立验证</x:v>
      </x:c>
      <x:c r="H663" s="82"/>
      <x:c r="I663" s="82"/>
      <x:c r="J663" s="82"/>
      <x:c r="K663" s="82"/>
    </x:row>
    <x:row r="664">
      <x:c r="A664" s="82" t="str">
        <x:v>Core</x:v>
      </x:c>
      <x:c r="B664" s="82" t="str">
        <x:v>SymbolDefinition</x:v>
      </x:c>
      <x:c r="C664" s="82" t="str">
        <x:v>Platform/Core/Symbols.cs</x:v>
      </x:c>
      <x:c r="D664" s="82" t="n">
        <x:v>93</x:v>
      </x:c>
      <x:c r="E664" s="82" t="str">
        <x:v>public List&lt;string&gt; Tags { get; set; }</x:v>
      </x:c>
      <x:c r="F664" s="82" t="str">
        <x:v>V7.8源代码公开声明（非新API定案）</x:v>
      </x:c>
      <x:c r="G664" s="82" t="str">
        <x:v>V7.8静态读取；实际方法行为仍需独立验证</x:v>
      </x:c>
      <x:c r="H664" s="82"/>
      <x:c r="I664" s="82"/>
      <x:c r="J664" s="82"/>
      <x:c r="K664" s="82"/>
    </x:row>
    <x:row r="665">
      <x:c r="A665" s="82" t="str">
        <x:v>Core</x:v>
      </x:c>
      <x:c r="B665" s="82" t="str">
        <x:v>SymbolDefinition</x:v>
      </x:c>
      <x:c r="C665" s="82" t="str">
        <x:v>Platform/Core/Symbols.cs</x:v>
      </x:c>
      <x:c r="D665" s="82" t="n">
        <x:v>94</x:v>
      </x:c>
      <x:c r="E665" s="82" t="str">
        <x:v>public double Width { get; set; }</x:v>
      </x:c>
      <x:c r="F665" s="82" t="str">
        <x:v>V7.8源代码公开声明（非新API定案）</x:v>
      </x:c>
      <x:c r="G665" s="82" t="str">
        <x:v>V7.8静态读取；实际方法行为仍需独立验证</x:v>
      </x:c>
      <x:c r="H665" s="82"/>
      <x:c r="I665" s="82"/>
      <x:c r="J665" s="82"/>
      <x:c r="K665" s="82"/>
    </x:row>
    <x:row r="666">
      <x:c r="A666" s="82" t="str">
        <x:v>Core</x:v>
      </x:c>
      <x:c r="B666" s="82" t="str">
        <x:v>SymbolDefinition</x:v>
      </x:c>
      <x:c r="C666" s="82" t="str">
        <x:v>Platform/Core/Symbols.cs</x:v>
      </x:c>
      <x:c r="D666" s="82" t="n">
        <x:v>95</x:v>
      </x:c>
      <x:c r="E666" s="82" t="str">
        <x:v>public double Height { get; set; }</x:v>
      </x:c>
      <x:c r="F666" s="82" t="str">
        <x:v>V7.8源代码公开声明（非新API定案）</x:v>
      </x:c>
      <x:c r="G666" s="82" t="str">
        <x:v>V7.8静态读取；实际方法行为仍需独立验证</x:v>
      </x:c>
      <x:c r="H666" s="82"/>
      <x:c r="I666" s="82"/>
      <x:c r="J666" s="82"/>
      <x:c r="K666" s="82"/>
    </x:row>
    <x:row r="667">
      <x:c r="A667" s="82" t="str">
        <x:v>Core</x:v>
      </x:c>
      <x:c r="B667" s="82" t="str">
        <x:v>SymbolDefinition</x:v>
      </x:c>
      <x:c r="C667" s="82" t="str">
        <x:v>Platform/Core/Symbols.cs</x:v>
      </x:c>
      <x:c r="D667" s="82" t="n">
        <x:v>97</x:v>
      </x:c>
      <x:c r="E667" s="82" t="str">
        <x:v>public GroupElementModel RootGroup { get; set; }</x:v>
      </x:c>
      <x:c r="F667" s="82" t="str">
        <x:v>V7.8源代码公开声明（非新API定案）</x:v>
      </x:c>
      <x:c r="G667" s="82" t="str">
        <x:v>V7.8静态读取；实际方法行为仍需独立验证</x:v>
      </x:c>
      <x:c r="H667" s="82"/>
      <x:c r="I667" s="82"/>
      <x:c r="J667" s="82"/>
      <x:c r="K667" s="82"/>
    </x:row>
    <x:row r="668">
      <x:c r="A668" s="82" t="str">
        <x:v>Core</x:v>
      </x:c>
      <x:c r="B668" s="82" t="str">
        <x:v>SymbolDefinition</x:v>
      </x:c>
      <x:c r="C668" s="82" t="str">
        <x:v>Platform/Core/Symbols.cs</x:v>
      </x:c>
      <x:c r="D668" s="82" t="n">
        <x:v>134</x:v>
      </x:c>
      <x:c r="E668" s="82" t="str">
        <x:v>public List&lt;SymbolPropertyDefinition&gt; PublicProperties { get; set; }</x:v>
      </x:c>
      <x:c r="F668" s="82" t="str">
        <x:v>V7.8源代码公开声明（非新API定案）</x:v>
      </x:c>
      <x:c r="G668" s="82" t="str">
        <x:v>V7.8静态读取；实际方法行为仍需独立验证</x:v>
      </x:c>
      <x:c r="H668" s="82"/>
      <x:c r="I668" s="82"/>
      <x:c r="J668" s="82"/>
      <x:c r="K668" s="82"/>
    </x:row>
    <x:row r="669">
      <x:c r="A669" s="82" t="str">
        <x:v>Core</x:v>
      </x:c>
      <x:c r="B669" s="82" t="str">
        <x:v>SymbolDefinition</x:v>
      </x:c>
      <x:c r="C669" s="82" t="str">
        <x:v>Platform/Core/Symbols.cs</x:v>
      </x:c>
      <x:c r="D669" s="82" t="n">
        <x:v>135</x:v>
      </x:c>
      <x:c r="E669" s="82" t="str">
        <x:v>public List&lt;SymbolPropertyMapping&gt; PropertyMappings { get; set; }</x:v>
      </x:c>
      <x:c r="F669" s="82" t="str">
        <x:v>V7.8源代码公开声明（非新API定案）</x:v>
      </x:c>
      <x:c r="G669" s="82" t="str">
        <x:v>V7.8静态读取；实际方法行为仍需独立验证</x:v>
      </x:c>
      <x:c r="H669" s="82"/>
      <x:c r="I669" s="82"/>
      <x:c r="J669" s="82"/>
      <x:c r="K669" s="82"/>
    </x:row>
    <x:row r="670">
      <x:c r="A670" s="82" t="str">
        <x:v>Core</x:v>
      </x:c>
      <x:c r="B670" s="82" t="str">
        <x:v>SymbolDefinition</x:v>
      </x:c>
      <x:c r="C670" s="82" t="str">
        <x:v>Platform/Core/Symbols.cs</x:v>
      </x:c>
      <x:c r="D670" s="82" t="n">
        <x:v>137</x:v>
      </x:c>
      <x:c r="E670" s="82" t="str">
        <x:v>public LogicDefinition Logic { get; set; }</x:v>
      </x:c>
      <x:c r="F670" s="82" t="str">
        <x:v>V7.8源代码公开声明（非新API定案）</x:v>
      </x:c>
      <x:c r="G670" s="82" t="str">
        <x:v>V7.8静态读取；实际方法行为仍需独立验证</x:v>
      </x:c>
      <x:c r="H670" s="82"/>
      <x:c r="I670" s="82"/>
      <x:c r="J670" s="82"/>
      <x:c r="K670" s="82"/>
    </x:row>
    <x:row r="671">
      <x:c r="A671" s="82" t="str">
        <x:v>Core</x:v>
      </x:c>
      <x:c r="B671" s="82" t="str">
        <x:v>SymbolDefinition</x:v>
      </x:c>
      <x:c r="C671" s="82" t="str">
        <x:v>Platform/Core/Symbols.cs</x:v>
      </x:c>
      <x:c r="D671" s="82" t="n">
        <x:v>138</x:v>
      </x:c>
      <x:c r="E671" s="82" t="str">
        <x:v>public DataAspectDefinition Data { get; set; }</x:v>
      </x:c>
      <x:c r="F671" s="82" t="str">
        <x:v>V7.8源代码公开声明（非新API定案）</x:v>
      </x:c>
      <x:c r="G671" s="82" t="str">
        <x:v>V7.8静态读取；实际方法行为仍需独立验证</x:v>
      </x:c>
      <x:c r="H671" s="82"/>
      <x:c r="I671" s="82"/>
      <x:c r="J671" s="82"/>
      <x:c r="K671" s="82"/>
    </x:row>
    <x:row r="672">
      <x:c r="A672" s="82" t="str">
        <x:v>Core</x:v>
      </x:c>
      <x:c r="B672" s="82" t="str">
        <x:v>SymbolDefinition</x:v>
      </x:c>
      <x:c r="C672" s="82" t="str">
        <x:v>Platform/Core/Symbols.cs</x:v>
      </x:c>
      <x:c r="D672" s="82" t="n">
        <x:v>139</x:v>
      </x:c>
      <x:c r="E672" s="82" t="str">
        <x:v>public CollaborationAspectDefinition Collaboration { get; set; }</x:v>
      </x:c>
      <x:c r="F672" s="82" t="str">
        <x:v>V7.8源代码公开声明（非新API定案）</x:v>
      </x:c>
      <x:c r="G672" s="82" t="str">
        <x:v>V7.8静态读取；实际方法行为仍需独立验证</x:v>
      </x:c>
      <x:c r="H672" s="82"/>
      <x:c r="I672" s="82"/>
      <x:c r="J672" s="82"/>
      <x:c r="K672" s="82"/>
    </x:row>
    <x:row r="673">
      <x:c r="A673" s="82" t="str">
        <x:v>Core</x:v>
      </x:c>
      <x:c r="B673" s="82" t="str">
        <x:v>SymbolDefinition</x:v>
      </x:c>
      <x:c r="C673" s="82" t="str">
        <x:v>Platform/Core/Symbols.cs</x:v>
      </x:c>
      <x:c r="D673" s="82" t="n">
        <x:v>144</x:v>
      </x:c>
      <x:c r="E673" s="82" t="str">
        <x:v>public SymbolBehaviorComposition Behavior { get; set; }</x:v>
      </x:c>
      <x:c r="F673" s="82" t="str">
        <x:v>V7.8源代码公开声明（非新API定案）</x:v>
      </x:c>
      <x:c r="G673" s="82" t="str">
        <x:v>V7.8静态读取；实际方法行为仍需独立验证</x:v>
      </x:c>
      <x:c r="H673" s="82"/>
      <x:c r="I673" s="82"/>
      <x:c r="J673" s="82"/>
      <x:c r="K673" s="82"/>
    </x:row>
    <x:row r="674">
      <x:c r="A674" s="82" t="str">
        <x:v>Core</x:v>
      </x:c>
      <x:c r="B674" s="82" t="str">
        <x:v>SymbolDefinition</x:v>
      </x:c>
      <x:c r="C674" s="82" t="str">
        <x:v>Platform/Core/Symbols.cs</x:v>
      </x:c>
      <x:c r="D674" s="82" t="n">
        <x:v>145</x:v>
      </x:c>
      <x:c r="E674" s="82" t="str">
        <x:v>public string ThumbnailResourceId { get; set; }</x:v>
      </x:c>
      <x:c r="F674" s="82" t="str">
        <x:v>V7.8源代码公开声明（非新API定案）</x:v>
      </x:c>
      <x:c r="G674" s="82" t="str">
        <x:v>V7.8静态读取；实际方法行为仍需独立验证</x:v>
      </x:c>
      <x:c r="H674" s="82"/>
      <x:c r="I674" s="82"/>
      <x:c r="J674" s="82"/>
      <x:c r="K674" s="82"/>
    </x:row>
    <x:row r="675">
      <x:c r="A675" s="82" t="str">
        <x:v>Core</x:v>
      </x:c>
      <x:c r="B675" s="82" t="str">
        <x:v>SymbolDefinition</x:v>
      </x:c>
      <x:c r="C675" s="82" t="str">
        <x:v>Platform/Core/Symbols.cs</x:v>
      </x:c>
      <x:c r="D675" s="82" t="n">
        <x:v>147</x:v>
      </x:c>
      <x:c r="E675" s="82" t="str">
        <x:v>public SymbolDefinition DeepClone(bool preserveChildIds = true)</x:v>
      </x:c>
      <x:c r="F675" s="82" t="str">
        <x:v>V7.8源代码公开声明（非新API定案）</x:v>
      </x:c>
      <x:c r="G675" s="82" t="str">
        <x:v>V7.8静态读取；实际方法行为仍需独立验证</x:v>
      </x:c>
      <x:c r="H675" s="82"/>
      <x:c r="I675" s="82"/>
      <x:c r="J675" s="82"/>
      <x:c r="K675" s="82"/>
    </x:row>
    <x:row r="676">
      <x:c r="A676" s="82" t="str">
        <x:v>Core</x:v>
      </x:c>
      <x:c r="B676" s="82" t="str">
        <x:v>SymbolDefinition</x:v>
      </x:c>
      <x:c r="C676" s="82" t="str">
        <x:v>Platform/Core/Symbols.cs</x:v>
      </x:c>
      <x:c r="D676" s="82" t="n">
        <x:v>193</x:v>
      </x:c>
      <x:c r="E676" s="82" t="str">
        <x:v>public SymbolObjectIndex GetObjectIndex()</x:v>
      </x:c>
      <x:c r="F676" s="82" t="str">
        <x:v>V7.8源代码公开声明（非新API定案）</x:v>
      </x:c>
      <x:c r="G676" s="82" t="str">
        <x:v>V7.8静态读取；实际方法行为仍需独立验证</x:v>
      </x:c>
      <x:c r="H676" s="82"/>
      <x:c r="I676" s="82"/>
      <x:c r="J676" s="82"/>
      <x:c r="K676" s="82"/>
    </x:row>
    <x:row r="677">
      <x:c r="A677" s="82" t="str">
        <x:v>Core</x:v>
      </x:c>
      <x:c r="B677" s="82" t="str">
        <x:v>SymbolDefinition</x:v>
      </x:c>
      <x:c r="C677" s="82" t="str">
        <x:v>Platform/Core/Symbols.cs</x:v>
      </x:c>
      <x:c r="D677" s="82" t="n">
        <x:v>198</x:v>
      </x:c>
      <x:c r="E677" s="82" t="str">
        <x:v>public void InvalidateObjectIndex()</x:v>
      </x:c>
      <x:c r="F677" s="82" t="str">
        <x:v>V7.8源代码公开声明（非新API定案）</x:v>
      </x:c>
      <x:c r="G677" s="82" t="str">
        <x:v>V7.8静态读取；实际方法行为仍需独立验证</x:v>
      </x:c>
      <x:c r="H677" s="82"/>
      <x:c r="I677" s="82"/>
      <x:c r="J677" s="82"/>
      <x:c r="K677" s="82"/>
    </x:row>
    <x:row r="678">
      <x:c r="A678" s="82" t="str">
        <x:v>Core</x:v>
      </x:c>
      <x:c r="B678" s="82" t="str">
        <x:v>SymbolDefinition</x:v>
      </x:c>
      <x:c r="C678" s="82" t="str">
        <x:v>Platform/Core/Symbols.cs</x:v>
      </x:c>
      <x:c r="D678" s="82" t="n">
        <x:v>203</x:v>
      </x:c>
      <x:c r="E678" s="82" t="str">
        <x:v>public ElementModel FindChild(string elementId)</x:v>
      </x:c>
      <x:c r="F678" s="82" t="str">
        <x:v>V7.8源代码公开声明（非新API定案）</x:v>
      </x:c>
      <x:c r="G678" s="82" t="str">
        <x:v>V7.8静态读取；实际方法行为仍需独立验证</x:v>
      </x:c>
      <x:c r="H678" s="82"/>
      <x:c r="I678" s="82"/>
      <x:c r="J678" s="82"/>
      <x:c r="K678" s="82"/>
    </x:row>
    <x:row r="679">
      <x:c r="A679" s="82" t="str">
        <x:v>Core</x:v>
      </x:c>
      <x:c r="B679" s="82" t="str">
        <x:v>SymbolDefinition</x:v>
      </x:c>
      <x:c r="C679" s="82" t="str">
        <x:v>Platform/Core/Symbols.cs</x:v>
      </x:c>
      <x:c r="D679" s="82" t="n">
        <x:v>208</x:v>
      </x:c>
      <x:c r="E679" s="82" t="str">
        <x:v>public ElementModel FindChildByAlias(string alias)</x:v>
      </x:c>
      <x:c r="F679" s="82" t="str">
        <x:v>V7.8源代码公开声明（非新API定案）</x:v>
      </x:c>
      <x:c r="G679" s="82" t="str">
        <x:v>V7.8静态读取；实际方法行为仍需独立验证</x:v>
      </x:c>
      <x:c r="H679" s="82"/>
      <x:c r="I679" s="82"/>
      <x:c r="J679" s="82"/>
      <x:c r="K679" s="82"/>
    </x:row>
    <x:row r="680">
      <x:c r="A680" s="82" t="str">
        <x:v>Core</x:v>
      </x:c>
      <x:c r="B680" s="82" t="str">
        <x:v>SymbolDefinition</x:v>
      </x:c>
      <x:c r="C680" s="82" t="str">
        <x:v>Platform/Core/Symbols.cs</x:v>
      </x:c>
      <x:c r="D680" s="82" t="n">
        <x:v>213</x:v>
      </x:c>
      <x:c r="E680" s="82" t="str">
        <x:v>public ElementModel FindChildByRole(string role)</x:v>
      </x:c>
      <x:c r="F680" s="82" t="str">
        <x:v>V7.8源代码公开声明（非新API定案）</x:v>
      </x:c>
      <x:c r="G680" s="82" t="str">
        <x:v>V7.8静态读取；实际方法行为仍需独立验证</x:v>
      </x:c>
      <x:c r="H680" s="82"/>
      <x:c r="I680" s="82"/>
      <x:c r="J680" s="82"/>
      <x:c r="K680" s="82"/>
    </x:row>
    <x:row r="681">
      <x:c r="A681" s="82" t="str">
        <x:v>Core</x:v>
      </x:c>
      <x:c r="B681" s="82" t="str">
        <x:v>SymbolDefinition</x:v>
      </x:c>
      <x:c r="C681" s="82" t="str">
        <x:v>Platform/Core/Symbols.cs</x:v>
      </x:c>
      <x:c r="D681" s="82" t="n">
        <x:v>218</x:v>
      </x:c>
      <x:c r="E681" s="82" t="str">
        <x:v>public IReadOnlyList&lt;ElementModel&gt; FindChildrenByRole(string role)</x:v>
      </x:c>
      <x:c r="F681" s="82" t="str">
        <x:v>V7.8源代码公开声明（非新API定案）</x:v>
      </x:c>
      <x:c r="G681" s="82" t="str">
        <x:v>V7.8静态读取；实际方法行为仍需独立验证</x:v>
      </x:c>
      <x:c r="H681" s="82"/>
      <x:c r="I681" s="82"/>
      <x:c r="J681" s="82"/>
      <x:c r="K681" s="82"/>
    </x:row>
    <x:row r="682">
      <x:c r="A682" s="82" t="str">
        <x:v>Core</x:v>
      </x:c>
      <x:c r="B682" s="82" t="str">
        <x:v>LogicDefinition</x:v>
      </x:c>
      <x:c r="C682" s="82" t="str">
        <x:v>Platform/Core/LogicDefinitions.cs</x:v>
      </x:c>
      <x:c r="D682" s="82" t="n">
        <x:v>12</x:v>
      </x:c>
      <x:c r="E682" s="82" t="str">
        <x:v>public LogicDefinition()</x:v>
      </x:c>
      <x:c r="F682" s="82" t="str">
        <x:v>V7.8源代码公开声明（非新API定案）</x:v>
      </x:c>
      <x:c r="G682" s="82" t="str">
        <x:v>V7.8静态读取；实际方法行为仍需独立验证</x:v>
      </x:c>
      <x:c r="H682" s="82"/>
      <x:c r="I682" s="82"/>
      <x:c r="J682" s="82"/>
      <x:c r="K682" s="82"/>
    </x:row>
    <x:row r="683">
      <x:c r="A683" s="82" t="str">
        <x:v>Core</x:v>
      </x:c>
      <x:c r="B683" s="82" t="str">
        <x:v>LogicDefinition</x:v>
      </x:c>
      <x:c r="C683" s="82" t="str">
        <x:v>Platform/Core/LogicDefinitions.cs</x:v>
      </x:c>
      <x:c r="D683" s="82" t="n">
        <x:v>24</x:v>
      </x:c>
      <x:c r="E683" s="82" t="str">
        <x:v>public string Id { get; set; }</x:v>
      </x:c>
      <x:c r="F683" s="82" t="str">
        <x:v>V7.8源代码公开声明（非新API定案）</x:v>
      </x:c>
      <x:c r="G683" s="82" t="str">
        <x:v>V7.8静态读取；实际方法行为仍需独立验证</x:v>
      </x:c>
      <x:c r="H683" s="82"/>
      <x:c r="I683" s="82"/>
      <x:c r="J683" s="82"/>
      <x:c r="K683" s="82"/>
    </x:row>
    <x:row r="684">
      <x:c r="A684" s="82" t="str">
        <x:v>Core</x:v>
      </x:c>
      <x:c r="B684" s="82" t="str">
        <x:v>LogicDefinition</x:v>
      </x:c>
      <x:c r="C684" s="82" t="str">
        <x:v>Platform/Core/LogicDefinitions.cs</x:v>
      </x:c>
      <x:c r="D684" s="82" t="n">
        <x:v>25</x:v>
      </x:c>
      <x:c r="E684" s="82" t="str">
        <x:v>public string Name { get; set; }</x:v>
      </x:c>
      <x:c r="F684" s="82" t="str">
        <x:v>V7.8源代码公开声明（非新API定案）</x:v>
      </x:c>
      <x:c r="G684" s="82" t="str">
        <x:v>V7.8静态读取；实际方法行为仍需独立验证</x:v>
      </x:c>
      <x:c r="H684" s="82"/>
      <x:c r="I684" s="82"/>
      <x:c r="J684" s="82"/>
      <x:c r="K684" s="82"/>
    </x:row>
    <x:row r="685">
      <x:c r="A685" s="82" t="str">
        <x:v>Core</x:v>
      </x:c>
      <x:c r="B685" s="82" t="str">
        <x:v>LogicDefinition</x:v>
      </x:c>
      <x:c r="C685" s="82" t="str">
        <x:v>Platform/Core/LogicDefinitions.cs</x:v>
      </x:c>
      <x:c r="D685" s="82" t="n">
        <x:v>27</x:v>
      </x:c>
      <x:c r="E685" s="82" t="str">
        <x:v>public string Version { get; set; }</x:v>
      </x:c>
      <x:c r="F685" s="82" t="str">
        <x:v>V7.8源代码公开声明（非新API定案）</x:v>
      </x:c>
      <x:c r="G685" s="82" t="str">
        <x:v>V7.8静态读取；实际方法行为仍需独立验证</x:v>
      </x:c>
      <x:c r="H685" s="82"/>
      <x:c r="I685" s="82"/>
      <x:c r="J685" s="82"/>
      <x:c r="K685" s="82"/>
    </x:row>
    <x:row r="686">
      <x:c r="A686" s="82" t="str">
        <x:v>Core</x:v>
      </x:c>
      <x:c r="B686" s="82" t="str">
        <x:v>LogicDefinition</x:v>
      </x:c>
      <x:c r="C686" s="82" t="str">
        <x:v>Platform/Core/LogicDefinitions.cs</x:v>
      </x:c>
      <x:c r="D686" s="82" t="n">
        <x:v>28</x:v>
      </x:c>
      <x:c r="E686" s="82" t="str">
        <x:v>public List&lt;LogicUnit&gt; Units { get; set; }</x:v>
      </x:c>
      <x:c r="F686" s="82" t="str">
        <x:v>V7.8源代码公开声明（非新API定案）</x:v>
      </x:c>
      <x:c r="G686" s="82" t="str">
        <x:v>V7.8静态读取；实际方法行为仍需独立验证</x:v>
      </x:c>
      <x:c r="H686" s="82"/>
      <x:c r="I686" s="82"/>
      <x:c r="J686" s="82"/>
      <x:c r="K686" s="82"/>
    </x:row>
    <x:row r="687">
      <x:c r="A687" s="82" t="str">
        <x:v>Core</x:v>
      </x:c>
      <x:c r="B687" s="82" t="str">
        <x:v>LogicDefinition</x:v>
      </x:c>
      <x:c r="C687" s="82" t="str">
        <x:v>Platform/Core/LogicDefinitions.cs</x:v>
      </x:c>
      <x:c r="D687" s="82" t="n">
        <x:v>29</x:v>
      </x:c>
      <x:c r="E687" s="82" t="str">
        <x:v>public List&lt;LogicLink&gt; Links { get; set; }</x:v>
      </x:c>
      <x:c r="F687" s="82" t="str">
        <x:v>V7.8源代码公开声明（非新API定案）</x:v>
      </x:c>
      <x:c r="G687" s="82" t="str">
        <x:v>V7.8静态读取；实际方法行为仍需独立验证</x:v>
      </x:c>
      <x:c r="H687" s="82"/>
      <x:c r="I687" s="82"/>
      <x:c r="J687" s="82"/>
      <x:c r="K687" s="82"/>
    </x:row>
    <x:row r="688">
      <x:c r="A688" s="82" t="str">
        <x:v>Core</x:v>
      </x:c>
      <x:c r="B688" s="82" t="str">
        <x:v>LogicDefinition</x:v>
      </x:c>
      <x:c r="C688" s="82" t="str">
        <x:v>Platform/Core/LogicDefinitions.cs</x:v>
      </x:c>
      <x:c r="D688" s="82" t="n">
        <x:v>31</x:v>
      </x:c>
      <x:c r="E688" s="82" t="str">
        <x:v>public List&lt;LogicPortDefinition&gt; Inputs { get; set; }</x:v>
      </x:c>
      <x:c r="F688" s="82" t="str">
        <x:v>V7.8源代码公开声明（非新API定案）</x:v>
      </x:c>
      <x:c r="G688" s="82" t="str">
        <x:v>V7.8静态读取；实际方法行为仍需独立验证</x:v>
      </x:c>
      <x:c r="H688" s="82"/>
      <x:c r="I688" s="82"/>
      <x:c r="J688" s="82"/>
      <x:c r="K688" s="82"/>
    </x:row>
    <x:row r="689">
      <x:c r="A689" s="82" t="str">
        <x:v>Core</x:v>
      </x:c>
      <x:c r="B689" s="82" t="str">
        <x:v>LogicDefinition</x:v>
      </x:c>
      <x:c r="C689" s="82" t="str">
        <x:v>Platform/Core/LogicDefinitions.cs</x:v>
      </x:c>
      <x:c r="D689" s="82" t="n">
        <x:v>32</x:v>
      </x:c>
      <x:c r="E689" s="82" t="str">
        <x:v>public List&lt;LogicPortDefinition&gt; Outputs { get; set; }</x:v>
      </x:c>
      <x:c r="F689" s="82" t="str">
        <x:v>V7.8源代码公开声明（非新API定案）</x:v>
      </x:c>
      <x:c r="G689" s="82" t="str">
        <x:v>V7.8静态读取；实际方法行为仍需独立验证</x:v>
      </x:c>
      <x:c r="H689" s="82"/>
      <x:c r="I689" s="82"/>
      <x:c r="J689" s="82"/>
      <x:c r="K689" s="82"/>
    </x:row>
    <x:row r="690">
      <x:c r="A690" s="82" t="str">
        <x:v>Core</x:v>
      </x:c>
      <x:c r="B690" s="82" t="str">
        <x:v>LogicDefinition</x:v>
      </x:c>
      <x:c r="C690" s="82" t="str">
        <x:v>Platform/Core/LogicDefinitions.cs</x:v>
      </x:c>
      <x:c r="D690" s="82" t="n">
        <x:v>33</x:v>
      </x:c>
      <x:c r="E690" s="82" t="str">
        <x:v>public LogicExecutionPolicy Policy { get; set; }</x:v>
      </x:c>
      <x:c r="F690" s="82" t="str">
        <x:v>V7.8源代码公开声明（非新API定案）</x:v>
      </x:c>
      <x:c r="G690" s="82" t="str">
        <x:v>V7.8静态读取；实际方法行为仍需独立验证</x:v>
      </x:c>
      <x:c r="H690" s="82"/>
      <x:c r="I690" s="82"/>
      <x:c r="J690" s="82"/>
      <x:c r="K690" s="82"/>
    </x:row>
    <x:row r="691">
      <x:c r="A691" s="82" t="str">
        <x:v>Core</x:v>
      </x:c>
      <x:c r="B691" s="82" t="str">
        <x:v>LogicDefinition</x:v>
      </x:c>
      <x:c r="C691" s="82" t="str">
        <x:v>Platform/Core/LogicDefinitions.cs</x:v>
      </x:c>
      <x:c r="D691" s="82" t="n">
        <x:v>35</x:v>
      </x:c>
      <x:c r="E691" s="82" t="str">
        <x:v>public LogicDefinition DeepClone()</x:v>
      </x:c>
      <x:c r="F691" s="82" t="str">
        <x:v>V7.8源代码公开声明（非新API定案）</x:v>
      </x:c>
      <x:c r="G691" s="82" t="str">
        <x:v>V7.8静态读取；实际方法行为仍需独立验证</x:v>
      </x:c>
      <x:c r="H691" s="82"/>
      <x:c r="I691" s="82"/>
      <x:c r="J691" s="82"/>
      <x:c r="K691" s="82"/>
    </x:row>
    <x:row r="692">
      <x:c r="A692" s="82" t="str">
        <x:v>Core</x:v>
      </x:c>
      <x:c r="B692" s="82" t="str">
        <x:v>LogicDefinition</x:v>
      </x:c>
      <x:c r="C692" s="82" t="str">
        <x:v>Platform/Core/LogicDefinitions.cs</x:v>
      </x:c>
      <x:c r="D692" s="82" t="n">
        <x:v>78</x:v>
      </x:c>
      <x:c r="E692" s="82" t="str">
        <x:v>public IReadOnlyList&lt;string&gt; Validate()</x:v>
      </x:c>
      <x:c r="F692" s="82" t="str">
        <x:v>V7.8源代码公开声明（非新API定案）</x:v>
      </x:c>
      <x:c r="G692" s="82" t="str">
        <x:v>V7.8静态读取；实际方法行为仍需独立验证</x:v>
      </x:c>
      <x:c r="H692" s="82"/>
      <x:c r="I692" s="82"/>
      <x:c r="J692" s="82"/>
      <x:c r="K692" s="82"/>
    </x:row>
    <x:row r="693">
      <x:c r="A693" s="82" t="str">
        <x:v>Core</x:v>
      </x:c>
      <x:c r="B693" s="82" t="str">
        <x:v>LogicUnit</x:v>
      </x:c>
      <x:c r="C693" s="82" t="str">
        <x:v>Platform/Core/LogicDefinitions.cs</x:v>
      </x:c>
      <x:c r="D693" s="82" t="n">
        <x:v>175</x:v>
      </x:c>
      <x:c r="E693" s="82" t="str">
        <x:v>public LogicUnit()</x:v>
      </x:c>
      <x:c r="F693" s="82" t="str">
        <x:v>V7.8源代码公开声明（非新API定案）</x:v>
      </x:c>
      <x:c r="G693" s="82" t="str">
        <x:v>V7.8静态读取；实际方法行为仍需独立验证</x:v>
      </x:c>
      <x:c r="H693" s="82"/>
      <x:c r="I693" s="82"/>
      <x:c r="J693" s="82"/>
      <x:c r="K693" s="82"/>
    </x:row>
    <x:row r="694">
      <x:c r="A694" s="82" t="str">
        <x:v>Core</x:v>
      </x:c>
      <x:c r="B694" s="82" t="str">
        <x:v>LogicUnit</x:v>
      </x:c>
      <x:c r="C694" s="82" t="str">
        <x:v>Platform/Core/LogicDefinitions.cs</x:v>
      </x:c>
      <x:c r="D694" s="82" t="n">
        <x:v>180</x:v>
      </x:c>
      <x:c r="E694" s="82" t="str">
        <x:v>public string Id { get; set; }</x:v>
      </x:c>
      <x:c r="F694" s="82" t="str">
        <x:v>V7.8源代码公开声明（非新API定案）</x:v>
      </x:c>
      <x:c r="G694" s="82" t="str">
        <x:v>V7.8静态读取；实际方法行为仍需独立验证</x:v>
      </x:c>
      <x:c r="H694" s="82"/>
      <x:c r="I694" s="82"/>
      <x:c r="J694" s="82"/>
      <x:c r="K694" s="82"/>
    </x:row>
    <x:row r="695">
      <x:c r="A695" s="82" t="str">
        <x:v>Core</x:v>
      </x:c>
      <x:c r="B695" s="82" t="str">
        <x:v>LogicUnit</x:v>
      </x:c>
      <x:c r="C695" s="82" t="str">
        <x:v>Platform/Core/LogicDefinitions.cs</x:v>
      </x:c>
      <x:c r="D695" s="82" t="n">
        <x:v>181</x:v>
      </x:c>
      <x:c r="E695" s="82" t="str">
        <x:v>public string Name { get; set; }</x:v>
      </x:c>
      <x:c r="F695" s="82" t="str">
        <x:v>V7.8源代码公开声明（非新API定案）</x:v>
      </x:c>
      <x:c r="G695" s="82" t="str">
        <x:v>V7.8静态读取；实际方法行为仍需独立验证</x:v>
      </x:c>
      <x:c r="H695" s="82"/>
      <x:c r="I695" s="82"/>
      <x:c r="J695" s="82"/>
      <x:c r="K695" s="82"/>
    </x:row>
    <x:row r="696">
      <x:c r="A696" s="82" t="str">
        <x:v>Core</x:v>
      </x:c>
      <x:c r="B696" s="82" t="str">
        <x:v>LogicUnit</x:v>
      </x:c>
      <x:c r="C696" s="82" t="str">
        <x:v>Platform/Core/LogicDefinitions.cs</x:v>
      </x:c>
      <x:c r="D696" s="82" t="n">
        <x:v>183</x:v>
      </x:c>
      <x:c r="E696" s="82" t="str">
        <x:v>public string Operation { get; set; }</x:v>
      </x:c>
      <x:c r="F696" s="82" t="str">
        <x:v>V7.8源代码公开声明（非新API定案）</x:v>
      </x:c>
      <x:c r="G696" s="82" t="str">
        <x:v>V7.8静态读取；实际方法行为仍需独立验证</x:v>
      </x:c>
      <x:c r="H696" s="82"/>
      <x:c r="I696" s="82"/>
      <x:c r="J696" s="82"/>
      <x:c r="K696" s="82"/>
    </x:row>
    <x:row r="697">
      <x:c r="A697" s="82" t="str">
        <x:v>Core</x:v>
      </x:c>
      <x:c r="B697" s="82" t="str">
        <x:v>LogicUnit</x:v>
      </x:c>
      <x:c r="C697" s="82" t="str">
        <x:v>Platform/Core/LogicDefinitions.cs</x:v>
      </x:c>
      <x:c r="D697" s="82" t="n">
        <x:v>184</x:v>
      </x:c>
      <x:c r="E697" s="82" t="str">
        <x:v>public LogicUnitKind Kind { get; set; }</x:v>
      </x:c>
      <x:c r="F697" s="82" t="str">
        <x:v>V7.8源代码公开声明（非新API定案）</x:v>
      </x:c>
      <x:c r="G697" s="82" t="str">
        <x:v>V7.8静态读取；实际方法行为仍需独立验证</x:v>
      </x:c>
      <x:c r="H697" s="82"/>
      <x:c r="I697" s="82"/>
      <x:c r="J697" s="82"/>
      <x:c r="K697" s="82"/>
    </x:row>
    <x:row r="698">
      <x:c r="A698" s="82" t="str">
        <x:v>Core</x:v>
      </x:c>
      <x:c r="B698" s="82" t="str">
        <x:v>LogicUnit</x:v>
      </x:c>
      <x:c r="C698" s="82" t="str">
        <x:v>Platform/Core/LogicDefinitions.cs</x:v>
      </x:c>
      <x:c r="D698" s="82" t="n">
        <x:v>185</x:v>
      </x:c>
      <x:c r="E698" s="82" t="str">
        <x:v>public LogicJoinMode JoinMode { get; set; }</x:v>
      </x:c>
      <x:c r="F698" s="82" t="str">
        <x:v>V7.8源代码公开声明（非新API定案）</x:v>
      </x:c>
      <x:c r="G698" s="82" t="str">
        <x:v>V7.8静态读取；实际方法行为仍需独立验证</x:v>
      </x:c>
      <x:c r="H698" s="82"/>
      <x:c r="I698" s="82"/>
      <x:c r="J698" s="82"/>
      <x:c r="K698" s="82"/>
    </x:row>
    <x:row r="699">
      <x:c r="A699" s="82" t="str">
        <x:v>Core</x:v>
      </x:c>
      <x:c r="B699" s="82" t="str">
        <x:v>LogicUnit</x:v>
      </x:c>
      <x:c r="C699" s="82" t="str">
        <x:v>Platform/Core/LogicDefinitions.cs</x:v>
      </x:c>
      <x:c r="D699" s="82" t="n">
        <x:v>187</x:v>
      </x:c>
      <x:c r="E699" s="82" t="str">
        <x:v>public int TimeoutMilliseconds { get; set; }</x:v>
      </x:c>
      <x:c r="F699" s="82" t="str">
        <x:v>V7.8源代码公开声明（非新API定案）</x:v>
      </x:c>
      <x:c r="G699" s="82" t="str">
        <x:v>V7.8静态读取；实际方法行为仍需独立验证</x:v>
      </x:c>
      <x:c r="H699" s="82"/>
      <x:c r="I699" s="82"/>
      <x:c r="J699" s="82"/>
      <x:c r="K699" s="82"/>
    </x:row>
    <x:row r="700">
      <x:c r="A700" s="82" t="str">
        <x:v>Core</x:v>
      </x:c>
      <x:c r="B700" s="82" t="str">
        <x:v>LogicUnit</x:v>
      </x:c>
      <x:c r="C700" s="82" t="str">
        <x:v>Platform/Core/LogicDefinitions.cs</x:v>
      </x:c>
      <x:c r="D700" s="82" t="n">
        <x:v>188</x:v>
      </x:c>
      <x:c r="E700" s="82" t="str">
        <x:v>public int RetryCount { get; set; }</x:v>
      </x:c>
      <x:c r="F700" s="82" t="str">
        <x:v>V7.8源代码公开声明（非新API定案）</x:v>
      </x:c>
      <x:c r="G700" s="82" t="str">
        <x:v>V7.8静态读取；实际方法行为仍需独立验证</x:v>
      </x:c>
      <x:c r="H700" s="82"/>
      <x:c r="I700" s="82"/>
      <x:c r="J700" s="82"/>
      <x:c r="K700" s="82"/>
    </x:row>
    <x:row r="701">
      <x:c r="A701" s="82" t="str">
        <x:v>Core</x:v>
      </x:c>
      <x:c r="B701" s="82" t="str">
        <x:v>LogicUnit</x:v>
      </x:c>
      <x:c r="C701" s="82" t="str">
        <x:v>Platform/Core/LogicDefinitions.cs</x:v>
      </x:c>
      <x:c r="D701" s="82" t="n">
        <x:v>189</x:v>
      </x:c>
      <x:c r="E701" s="82" t="str">
        <x:v>public int RetryDelayMilliseconds { get; set; }</x:v>
      </x:c>
      <x:c r="F701" s="82" t="str">
        <x:v>V7.8源代码公开声明（非新API定案）</x:v>
      </x:c>
      <x:c r="G701" s="82" t="str">
        <x:v>V7.8静态读取；实际方法行为仍需独立验证</x:v>
      </x:c>
      <x:c r="H701" s="82"/>
      <x:c r="I701" s="82"/>
      <x:c r="J701" s="82"/>
      <x:c r="K701" s="82"/>
    </x:row>
    <x:row r="702">
      <x:c r="A702" s="82" t="str">
        <x:v>Core</x:v>
      </x:c>
      <x:c r="B702" s="82" t="str">
        <x:v>LogicUnit</x:v>
      </x:c>
      <x:c r="C702" s="82" t="str">
        <x:v>Platform/Core/LogicDefinitions.cs</x:v>
      </x:c>
      <x:c r="D702" s="82" t="n">
        <x:v>191</x:v>
      </x:c>
      <x:c r="E702" s="82" t="str">
        <x:v>public string NestedLogicId { get; set; }</x:v>
      </x:c>
      <x:c r="F702" s="82" t="str">
        <x:v>V7.8源代码公开声明（非新API定案）</x:v>
      </x:c>
      <x:c r="G702" s="82" t="str">
        <x:v>V7.8静态读取；实际方法行为仍需独立验证</x:v>
      </x:c>
      <x:c r="H702" s="82"/>
      <x:c r="I702" s="82"/>
      <x:c r="J702" s="82"/>
      <x:c r="K702" s="82"/>
    </x:row>
    <x:row r="703">
      <x:c r="A703" s="82" t="str">
        <x:v>Core</x:v>
      </x:c>
      <x:c r="B703" s="82" t="str">
        <x:v>LogicUnit</x:v>
      </x:c>
      <x:c r="C703" s="82" t="str">
        <x:v>Platform/Core/LogicDefinitions.cs</x:v>
      </x:c>
      <x:c r="D703" s="82" t="n">
        <x:v>192</x:v>
      </x:c>
      <x:c r="E703" s="82" t="str">
        <x:v>public bool Disabled { get; set; }</x:v>
      </x:c>
      <x:c r="F703" s="82" t="str">
        <x:v>V7.8源代码公开声明（非新API定案）</x:v>
      </x:c>
      <x:c r="G703" s="82" t="str">
        <x:v>V7.8静态读取；实际方法行为仍需独立验证</x:v>
      </x:c>
      <x:c r="H703" s="82"/>
      <x:c r="I703" s="82"/>
      <x:c r="J703" s="82"/>
      <x:c r="K703" s="82"/>
    </x:row>
    <x:row r="704">
      <x:c r="A704" s="82" t="str">
        <x:v>Core</x:v>
      </x:c>
      <x:c r="B704" s="82" t="str">
        <x:v>LogicUnit</x:v>
      </x:c>
      <x:c r="C704" s="82" t="str">
        <x:v>Platform/Core/LogicDefinitions.cs</x:v>
      </x:c>
      <x:c r="D704" s="82" t="n">
        <x:v>194</x:v>
      </x:c>
      <x:c r="E704" s="82" t="str">
        <x:v>public Dictionary&lt;string, string&gt; Parameters { get; set; }</x:v>
      </x:c>
      <x:c r="F704" s="82" t="str">
        <x:v>V7.8源代码公开声明（非新API定案）</x:v>
      </x:c>
      <x:c r="G704" s="82" t="str">
        <x:v>V7.8静态读取；实际方法行为仍需独立验证</x:v>
      </x:c>
      <x:c r="H704" s="82"/>
      <x:c r="I704" s="82"/>
      <x:c r="J704" s="82"/>
      <x:c r="K704" s="82"/>
    </x:row>
    <x:row r="705">
      <x:c r="A705" s="82" t="str">
        <x:v>Core</x:v>
      </x:c>
      <x:c r="B705" s="82" t="str">
        <x:v>LogicUnit</x:v>
      </x:c>
      <x:c r="C705" s="82" t="str">
        <x:v>Platform/Core/LogicDefinitions.cs</x:v>
      </x:c>
      <x:c r="D705" s="82" t="n">
        <x:v>195</x:v>
      </x:c>
      <x:c r="E705" s="82" t="str">
        <x:v>public List&lt;LogicPortDefinition&gt; Inputs { get; set; } = new List&lt;LogicPortDefinition&gt;();</x:v>
      </x:c>
      <x:c r="F705" s="82" t="str">
        <x:v>V7.8源代码公开声明（非新API定案）</x:v>
      </x:c>
      <x:c r="G705" s="82" t="str">
        <x:v>V7.8静态读取；实际方法行为仍需独立验证</x:v>
      </x:c>
      <x:c r="H705" s="82"/>
      <x:c r="I705" s="82"/>
      <x:c r="J705" s="82"/>
      <x:c r="K705" s="82"/>
    </x:row>
    <x:row r="706">
      <x:c r="A706" s="82" t="str">
        <x:v>Core</x:v>
      </x:c>
      <x:c r="B706" s="82" t="str">
        <x:v>LogicUnit</x:v>
      </x:c>
      <x:c r="C706" s="82" t="str">
        <x:v>Platform/Core/LogicDefinitions.cs</x:v>
      </x:c>
      <x:c r="D706" s="82" t="n">
        <x:v>196</x:v>
      </x:c>
      <x:c r="E706" s="82" t="str">
        <x:v>public List&lt;LogicPortDefinition&gt; Outputs { get; set; } = new List&lt;LogicPortDefinition&gt;();</x:v>
      </x:c>
      <x:c r="F706" s="82" t="str">
        <x:v>V7.8源代码公开声明（非新API定案）</x:v>
      </x:c>
      <x:c r="G706" s="82" t="str">
        <x:v>V7.8静态读取；实际方法行为仍需独立验证</x:v>
      </x:c>
      <x:c r="H706" s="82"/>
      <x:c r="I706" s="82"/>
      <x:c r="J706" s="82"/>
      <x:c r="K706" s="82"/>
    </x:row>
    <x:row r="707">
      <x:c r="A707" s="82" t="str">
        <x:v>Core</x:v>
      </x:c>
      <x:c r="B707" s="82" t="str">
        <x:v>LogicUnit</x:v>
      </x:c>
      <x:c r="C707" s="82" t="str">
        <x:v>Platform/Core/LogicDefinitions.cs</x:v>
      </x:c>
      <x:c r="D707" s="82" t="n">
        <x:v>198</x:v>
      </x:c>
      <x:c r="E707" s="82" t="str">
        <x:v>public Point2D ViewPosition { get; set; }</x:v>
      </x:c>
      <x:c r="F707" s="82" t="str">
        <x:v>V7.8源代码公开声明（非新API定案）</x:v>
      </x:c>
      <x:c r="G707" s="82" t="str">
        <x:v>V7.8静态读取；实际方法行为仍需独立验证</x:v>
      </x:c>
      <x:c r="H707" s="82"/>
      <x:c r="I707" s="82"/>
      <x:c r="J707" s="82"/>
      <x:c r="K707" s="82"/>
    </x:row>
    <x:row r="708">
      <x:c r="A708" s="82" t="str">
        <x:v>Core</x:v>
      </x:c>
      <x:c r="B708" s="82" t="str">
        <x:v>LogicUnit</x:v>
      </x:c>
      <x:c r="C708" s="82" t="str">
        <x:v>Platform/Core/LogicDefinitions.cs</x:v>
      </x:c>
      <x:c r="D708" s="82" t="n">
        <x:v>199</x:v>
      </x:c>
      <x:c r="E708" s="82" t="str">
        <x:v>public Point2D ViewSize { get; set; }</x:v>
      </x:c>
      <x:c r="F708" s="82" t="str">
        <x:v>V7.8源代码公开声明（非新API定案）</x:v>
      </x:c>
      <x:c r="G708" s="82" t="str">
        <x:v>V7.8静态读取；实际方法行为仍需独立验证</x:v>
      </x:c>
      <x:c r="H708" s="82"/>
      <x:c r="I708" s="82"/>
      <x:c r="J708" s="82"/>
      <x:c r="K708" s="82"/>
    </x:row>
    <x:row r="709">
      <x:c r="A709" s="82" t="str">
        <x:v>Core</x:v>
      </x:c>
      <x:c r="B709" s="82" t="str">
        <x:v>LogicUnit</x:v>
      </x:c>
      <x:c r="C709" s="82" t="str">
        <x:v>Platform/Core/LogicDefinitions.cs</x:v>
      </x:c>
      <x:c r="D709" s="82" t="n">
        <x:v>200</x:v>
      </x:c>
      <x:c r="E709" s="82" t="str">
        <x:v>public bool ShouldSerializeViewSize() { return ViewSize != null; }</x:v>
      </x:c>
      <x:c r="F709" s="82" t="str">
        <x:v>V7.8源代码公开声明（非新API定案）</x:v>
      </x:c>
      <x:c r="G709" s="82" t="str">
        <x:v>V7.8静态读取；实际方法行为仍需独立验证</x:v>
      </x:c>
      <x:c r="H709" s="82"/>
      <x:c r="I709" s="82"/>
      <x:c r="J709" s="82"/>
      <x:c r="K709" s="82"/>
    </x:row>
    <x:row r="710">
      <x:c r="A710" s="82" t="str">
        <x:v>Core</x:v>
      </x:c>
      <x:c r="B710" s="82" t="str">
        <x:v>LogicLink</x:v>
      </x:c>
      <x:c r="C710" s="82" t="str">
        <x:v>Platform/Core/LogicDefinitions.cs</x:v>
      </x:c>
      <x:c r="D710" s="82" t="n">
        <x:v>217</x:v>
      </x:c>
      <x:c r="E710" s="82" t="str">
        <x:v>public string Id { get; set; }</x:v>
      </x:c>
      <x:c r="F710" s="82" t="str">
        <x:v>V7.8源代码公开声明（非新API定案）</x:v>
      </x:c>
      <x:c r="G710" s="82" t="str">
        <x:v>V7.8静态读取；实际方法行为仍需独立验证</x:v>
      </x:c>
      <x:c r="H710" s="82"/>
      <x:c r="I710" s="82"/>
      <x:c r="J710" s="82"/>
      <x:c r="K710" s="82"/>
    </x:row>
    <x:row r="711">
      <x:c r="A711" s="82" t="str">
        <x:v>Core</x:v>
      </x:c>
      <x:c r="B711" s="82" t="str">
        <x:v>LogicLink</x:v>
      </x:c>
      <x:c r="C711" s="82" t="str">
        <x:v>Platform/Core/LogicDefinitions.cs</x:v>
      </x:c>
      <x:c r="D711" s="82" t="n">
        <x:v>218</x:v>
      </x:c>
      <x:c r="E711" s="82" t="str">
        <x:v>public string SourceUnitId { get; set; }</x:v>
      </x:c>
      <x:c r="F711" s="82" t="str">
        <x:v>V7.8源代码公开声明（非新API定案）</x:v>
      </x:c>
      <x:c r="G711" s="82" t="str">
        <x:v>V7.8静态读取；实际方法行为仍需独立验证</x:v>
      </x:c>
      <x:c r="H711" s="82"/>
      <x:c r="I711" s="82"/>
      <x:c r="J711" s="82"/>
      <x:c r="K711" s="82"/>
    </x:row>
    <x:row r="712">
      <x:c r="A712" s="82" t="str">
        <x:v>Core</x:v>
      </x:c>
      <x:c r="B712" s="82" t="str">
        <x:v>LogicLink</x:v>
      </x:c>
      <x:c r="C712" s="82" t="str">
        <x:v>Platform/Core/LogicDefinitions.cs</x:v>
      </x:c>
      <x:c r="D712" s="82" t="n">
        <x:v>219</x:v>
      </x:c>
      <x:c r="E712" s="82" t="str">
        <x:v>public string TargetUnitId { get; set; }</x:v>
      </x:c>
      <x:c r="F712" s="82" t="str">
        <x:v>V7.8源代码公开声明（非新API定案）</x:v>
      </x:c>
      <x:c r="G712" s="82" t="str">
        <x:v>V7.8静态读取；实际方法行为仍需独立验证</x:v>
      </x:c>
      <x:c r="H712" s="82"/>
      <x:c r="I712" s="82"/>
      <x:c r="J712" s="82"/>
      <x:c r="K712" s="82"/>
    </x:row>
    <x:row r="713">
      <x:c r="A713" s="82" t="str">
        <x:v>Core</x:v>
      </x:c>
      <x:c r="B713" s="82" t="str">
        <x:v>LogicLink</x:v>
      </x:c>
      <x:c r="C713" s="82" t="str">
        <x:v>Platform/Core/LogicDefinitions.cs</x:v>
      </x:c>
      <x:c r="D713" s="82" t="n">
        <x:v>220</x:v>
      </x:c>
      <x:c r="E713" s="82" t="str">
        <x:v>public string SourcePortKey { get; set; }</x:v>
      </x:c>
      <x:c r="F713" s="82" t="str">
        <x:v>V7.8源代码公开声明（非新API定案）</x:v>
      </x:c>
      <x:c r="G713" s="82" t="str">
        <x:v>V7.8静态读取；实际方法行为仍需独立验证</x:v>
      </x:c>
      <x:c r="H713" s="82"/>
      <x:c r="I713" s="82"/>
      <x:c r="J713" s="82"/>
      <x:c r="K713" s="82"/>
    </x:row>
    <x:row r="714">
      <x:c r="A714" s="82" t="str">
        <x:v>Core</x:v>
      </x:c>
      <x:c r="B714" s="82" t="str">
        <x:v>LogicLink</x:v>
      </x:c>
      <x:c r="C714" s="82" t="str">
        <x:v>Platform/Core/LogicDefinitions.cs</x:v>
      </x:c>
      <x:c r="D714" s="82" t="n">
        <x:v>221</x:v>
      </x:c>
      <x:c r="E714" s="82" t="str">
        <x:v>public string TargetPortKey { get; set; }</x:v>
      </x:c>
      <x:c r="F714" s="82" t="str">
        <x:v>V7.8源代码公开声明（非新API定案）</x:v>
      </x:c>
      <x:c r="G714" s="82" t="str">
        <x:v>V7.8静态读取；实际方法行为仍需独立验证</x:v>
      </x:c>
      <x:c r="H714" s="82"/>
      <x:c r="I714" s="82"/>
      <x:c r="J714" s="82"/>
      <x:c r="K714" s="82"/>
    </x:row>
    <x:row r="715">
      <x:c r="A715" s="82" t="str">
        <x:v>Core</x:v>
      </x:c>
      <x:c r="B715" s="82" t="str">
        <x:v>LogicLink</x:v>
      </x:c>
      <x:c r="C715" s="82" t="str">
        <x:v>Platform/Core/LogicDefinitions.cs</x:v>
      </x:c>
      <x:c r="D715" s="82" t="n">
        <x:v>222</x:v>
      </x:c>
      <x:c r="E715" s="82" t="str">
        <x:v>public LogicLinkKind Kind { get; set; }</x:v>
      </x:c>
      <x:c r="F715" s="82" t="str">
        <x:v>V7.8源代码公开声明（非新API定案）</x:v>
      </x:c>
      <x:c r="G715" s="82" t="str">
        <x:v>V7.8静态读取；实际方法行为仍需独立验证</x:v>
      </x:c>
      <x:c r="H715" s="82"/>
      <x:c r="I715" s="82"/>
      <x:c r="J715" s="82"/>
      <x:c r="K715" s="82"/>
    </x:row>
    <x:row r="716">
      <x:c r="A716" s="82" t="str">
        <x:v>Core</x:v>
      </x:c>
      <x:c r="B716" s="82" t="str">
        <x:v>LayerModel</x:v>
      </x:c>
      <x:c r="C716" s="82" t="str">
        <x:v>Platform/Core/Projects.cs</x:v>
      </x:c>
      <x:c r="D716" s="82" t="n">
        <x:v>10</x:v>
      </x:c>
      <x:c r="E716" s="82" t="str">
        <x:v>public LayerModel()</x:v>
      </x:c>
      <x:c r="F716" s="82" t="str">
        <x:v>V7.8源代码公开声明（非新API定案）</x:v>
      </x:c>
      <x:c r="G716" s="82" t="str">
        <x:v>V7.8静态读取；实际方法行为仍需独立验证</x:v>
      </x:c>
      <x:c r="H716" s="82"/>
      <x:c r="I716" s="82"/>
      <x:c r="J716" s="82"/>
      <x:c r="K716" s="82"/>
    </x:row>
    <x:row r="717">
      <x:c r="A717" s="82" t="str">
        <x:v>Core</x:v>
      </x:c>
      <x:c r="B717" s="82" t="str">
        <x:v>LayerModel</x:v>
      </x:c>
      <x:c r="C717" s="82" t="str">
        <x:v>Platform/Core/Projects.cs</x:v>
      </x:c>
      <x:c r="D717" s="82" t="n">
        <x:v>19</x:v>
      </x:c>
      <x:c r="E717" s="82" t="str">
        <x:v>public string Id { get; set; }</x:v>
      </x:c>
      <x:c r="F717" s="82" t="str">
        <x:v>V7.8源代码公开声明（非新API定案）</x:v>
      </x:c>
      <x:c r="G717" s="82" t="str">
        <x:v>V7.8静态读取；实际方法行为仍需独立验证</x:v>
      </x:c>
      <x:c r="H717" s="82"/>
      <x:c r="I717" s="82"/>
      <x:c r="J717" s="82"/>
      <x:c r="K717" s="82"/>
    </x:row>
    <x:row r="718">
      <x:c r="A718" s="82" t="str">
        <x:v>Core</x:v>
      </x:c>
      <x:c r="B718" s="82" t="str">
        <x:v>LayerModel</x:v>
      </x:c>
      <x:c r="C718" s="82" t="str">
        <x:v>Platform/Core/Projects.cs</x:v>
      </x:c>
      <x:c r="D718" s="82" t="n">
        <x:v>20</x:v>
      </x:c>
      <x:c r="E718" s="82" t="str">
        <x:v>public string Name { get; set; }</x:v>
      </x:c>
      <x:c r="F718" s="82" t="str">
        <x:v>V7.8源代码公开声明（非新API定案）</x:v>
      </x:c>
      <x:c r="G718" s="82" t="str">
        <x:v>V7.8静态读取；实际方法行为仍需独立验证</x:v>
      </x:c>
      <x:c r="H718" s="82"/>
      <x:c r="I718" s="82"/>
      <x:c r="J718" s="82"/>
      <x:c r="K718" s="82"/>
    </x:row>
    <x:row r="719">
      <x:c r="A719" s="82" t="str">
        <x:v>Core</x:v>
      </x:c>
      <x:c r="B719" s="82" t="str">
        <x:v>LayerModel</x:v>
      </x:c>
      <x:c r="C719" s="82" t="str">
        <x:v>Platform/Core/Projects.cs</x:v>
      </x:c>
      <x:c r="D719" s="82" t="n">
        <x:v>21</x:v>
      </x:c>
      <x:c r="E719" s="82" t="str">
        <x:v>public int Order { get; set; }</x:v>
      </x:c>
      <x:c r="F719" s="82" t="str">
        <x:v>V7.8源代码公开声明（非新API定案）</x:v>
      </x:c>
      <x:c r="G719" s="82" t="str">
        <x:v>V7.8静态读取；实际方法行为仍需独立验证</x:v>
      </x:c>
      <x:c r="H719" s="82"/>
      <x:c r="I719" s="82"/>
      <x:c r="J719" s="82"/>
      <x:c r="K719" s="82"/>
    </x:row>
    <x:row r="720">
      <x:c r="A720" s="82" t="str">
        <x:v>Core</x:v>
      </x:c>
      <x:c r="B720" s="82" t="str">
        <x:v>LayerModel</x:v>
      </x:c>
      <x:c r="C720" s="82" t="str">
        <x:v>Platform/Core/Projects.cs</x:v>
      </x:c>
      <x:c r="D720" s="82" t="n">
        <x:v>22</x:v>
      </x:c>
      <x:c r="E720" s="82" t="str">
        <x:v>public bool IsDesignVisible { get; set; }</x:v>
      </x:c>
      <x:c r="F720" s="82" t="str">
        <x:v>V7.8源代码公开声明（非新API定案）</x:v>
      </x:c>
      <x:c r="G720" s="82" t="str">
        <x:v>V7.8静态读取；实际方法行为仍需独立验证</x:v>
      </x:c>
      <x:c r="H720" s="82"/>
      <x:c r="I720" s="82"/>
      <x:c r="J720" s="82"/>
      <x:c r="K720" s="82"/>
    </x:row>
    <x:row r="721">
      <x:c r="A721" s="82" t="str">
        <x:v>Core</x:v>
      </x:c>
      <x:c r="B721" s="82" t="str">
        <x:v>LayerModel</x:v>
      </x:c>
      <x:c r="C721" s="82" t="str">
        <x:v>Platform/Core/Projects.cs</x:v>
      </x:c>
      <x:c r="D721" s="82" t="n">
        <x:v>23</x:v>
      </x:c>
      <x:c r="E721" s="82" t="str">
        <x:v>public bool IsLocked { get; set; }</x:v>
      </x:c>
      <x:c r="F721" s="82" t="str">
        <x:v>V7.8源代码公开声明（非新API定案）</x:v>
      </x:c>
      <x:c r="G721" s="82" t="str">
        <x:v>V7.8静态读取；实际方法行为仍需独立验证</x:v>
      </x:c>
      <x:c r="H721" s="82"/>
      <x:c r="I721" s="82"/>
      <x:c r="J721" s="82"/>
      <x:c r="K721" s="82"/>
    </x:row>
    <x:row r="722">
      <x:c r="A722" s="82" t="str">
        <x:v>Core</x:v>
      </x:c>
      <x:c r="B722" s="82" t="str">
        <x:v>LayerModel</x:v>
      </x:c>
      <x:c r="C722" s="82" t="str">
        <x:v>Platform/Core/Projects.cs</x:v>
      </x:c>
      <x:c r="D722" s="82" t="n">
        <x:v>24</x:v>
      </x:c>
      <x:c r="E722" s="82" t="str">
        <x:v>public bool IsSelectable { get; set; }</x:v>
      </x:c>
      <x:c r="F722" s="82" t="str">
        <x:v>V7.8源代码公开声明（非新API定案）</x:v>
      </x:c>
      <x:c r="G722" s="82" t="str">
        <x:v>V7.8静态读取；实际方法行为仍需独立验证</x:v>
      </x:c>
      <x:c r="H722" s="82"/>
      <x:c r="I722" s="82"/>
      <x:c r="J722" s="82"/>
      <x:c r="K722" s="82"/>
    </x:row>
    <x:row r="723">
      <x:c r="A723" s="82" t="str">
        <x:v>Core</x:v>
      </x:c>
      <x:c r="B723" s="82" t="str">
        <x:v>LayerModel</x:v>
      </x:c>
      <x:c r="C723" s="82" t="str">
        <x:v>Platform/Core/Projects.cs</x:v>
      </x:c>
      <x:c r="D723" s="82" t="n">
        <x:v>25</x:v>
      </x:c>
      <x:c r="E723" s="82" t="str">
        <x:v>public string DesignRole { get; set; }</x:v>
      </x:c>
      <x:c r="F723" s="82" t="str">
        <x:v>V7.8源代码公开声明（非新API定案）</x:v>
      </x:c>
      <x:c r="G723" s="82" t="str">
        <x:v>V7.8静态读取；实际方法行为仍需独立验证</x:v>
      </x:c>
      <x:c r="H723" s="82"/>
      <x:c r="I723" s="82"/>
      <x:c r="J723" s="82"/>
      <x:c r="K723" s="82"/>
    </x:row>
    <x:row r="724">
      <x:c r="A724" s="82" t="str">
        <x:v>Core</x:v>
      </x:c>
      <x:c r="B724" s="82" t="str">
        <x:v>PageModel</x:v>
      </x:c>
      <x:c r="C724" s="82" t="str">
        <x:v>Platform/Core/Projects.cs</x:v>
      </x:c>
      <x:c r="D724" s="82" t="n">
        <x:v>30</x:v>
      </x:c>
      <x:c r="E724" s="82" t="str">
        <x:v>public PageModel()</x:v>
      </x:c>
      <x:c r="F724" s="82" t="str">
        <x:v>V7.8源代码公开声明（非新API定案）</x:v>
      </x:c>
      <x:c r="G724" s="82" t="str">
        <x:v>V7.8静态读取；实际方法行为仍需独立验证</x:v>
      </x:c>
      <x:c r="H724" s="82"/>
      <x:c r="I724" s="82"/>
      <x:c r="J724" s="82"/>
      <x:c r="K724" s="82"/>
    </x:row>
    <x:row r="725">
      <x:c r="A725" s="82" t="str">
        <x:v>Core</x:v>
      </x:c>
      <x:c r="B725" s="82" t="str">
        <x:v>PageModel</x:v>
      </x:c>
      <x:c r="C725" s="82" t="str">
        <x:v>Platform/Core/Projects.cs</x:v>
      </x:c>
      <x:c r="D725" s="82" t="n">
        <x:v>43</x:v>
      </x:c>
      <x:c r="E725" s="82" t="str">
        <x:v>public override string Id { get; set; }</x:v>
      </x:c>
      <x:c r="F725" s="82" t="str">
        <x:v>V7.8源代码公开声明（非新API定案）</x:v>
      </x:c>
      <x:c r="G725" s="82" t="str">
        <x:v>V7.8静态读取；实际方法行为仍需独立验证</x:v>
      </x:c>
      <x:c r="H725" s="82"/>
      <x:c r="I725" s="82"/>
      <x:c r="J725" s="82"/>
      <x:c r="K725" s="82"/>
    </x:row>
    <x:row r="726">
      <x:c r="A726" s="82" t="str">
        <x:v>Core</x:v>
      </x:c>
      <x:c r="B726" s="82" t="str">
        <x:v>PageModel</x:v>
      </x:c>
      <x:c r="C726" s="82" t="str">
        <x:v>Platform/Core/Projects.cs</x:v>
      </x:c>
      <x:c r="D726" s="82" t="n">
        <x:v>44</x:v>
      </x:c>
      <x:c r="E726" s="82" t="str">
        <x:v>public override string Name { get; set; }</x:v>
      </x:c>
      <x:c r="F726" s="82" t="str">
        <x:v>V7.8源代码公开声明（非新API定案）</x:v>
      </x:c>
      <x:c r="G726" s="82" t="str">
        <x:v>V7.8静态读取；实际方法行为仍需独立验证</x:v>
      </x:c>
      <x:c r="H726" s="82"/>
      <x:c r="I726" s="82"/>
      <x:c r="J726" s="82"/>
      <x:c r="K726" s="82"/>
    </x:row>
    <x:row r="727">
      <x:c r="A727" s="82" t="str">
        <x:v>Core</x:v>
      </x:c>
      <x:c r="B727" s="82" t="str">
        <x:v>PageModel</x:v>
      </x:c>
      <x:c r="C727" s="82" t="str">
        <x:v>Platform/Core/Projects.cs</x:v>
      </x:c>
      <x:c r="D727" s="82" t="n">
        <x:v>45</x:v>
      </x:c>
      <x:c r="E727" s="82" t="str">
        <x:v>public double Width { get; set; }</x:v>
      </x:c>
      <x:c r="F727" s="82" t="str">
        <x:v>V7.8源代码公开声明（非新API定案）</x:v>
      </x:c>
      <x:c r="G727" s="82" t="str">
        <x:v>V7.8静态读取；实际方法行为仍需独立验证</x:v>
      </x:c>
      <x:c r="H727" s="82"/>
      <x:c r="I727" s="82"/>
      <x:c r="J727" s="82"/>
      <x:c r="K727" s="82"/>
    </x:row>
    <x:row r="728">
      <x:c r="A728" s="82" t="str">
        <x:v>Core</x:v>
      </x:c>
      <x:c r="B728" s="82" t="str">
        <x:v>PageModel</x:v>
      </x:c>
      <x:c r="C728" s="82" t="str">
        <x:v>Platform/Core/Projects.cs</x:v>
      </x:c>
      <x:c r="D728" s="82" t="n">
        <x:v>46</x:v>
      </x:c>
      <x:c r="E728" s="82" t="str">
        <x:v>public double Height { get; set; }</x:v>
      </x:c>
      <x:c r="F728" s="82" t="str">
        <x:v>V7.8源代码公开声明（非新API定案）</x:v>
      </x:c>
      <x:c r="G728" s="82" t="str">
        <x:v>V7.8静态读取；实际方法行为仍需独立验证</x:v>
      </x:c>
      <x:c r="H728" s="82"/>
      <x:c r="I728" s="82"/>
      <x:c r="J728" s="82"/>
      <x:c r="K728" s="82"/>
    </x:row>
    <x:row r="729">
      <x:c r="A729" s="82" t="str">
        <x:v>Core</x:v>
      </x:c>
      <x:c r="B729" s="82" t="str">
        <x:v>PageModel</x:v>
      </x:c>
      <x:c r="C729" s="82" t="str">
        <x:v>Platform/Core/Projects.cs</x:v>
      </x:c>
      <x:c r="D729" s="82" t="n">
        <x:v>47</x:v>
      </x:c>
      <x:c r="E729" s="82" t="str">
        <x:v>public string Background { get; set; }</x:v>
      </x:c>
      <x:c r="F729" s="82" t="str">
        <x:v>V7.8源代码公开声明（非新API定案）</x:v>
      </x:c>
      <x:c r="G729" s="82" t="str">
        <x:v>V7.8静态读取；实际方法行为仍需独立验证</x:v>
      </x:c>
      <x:c r="H729" s="82"/>
      <x:c r="I729" s="82"/>
      <x:c r="J729" s="82"/>
      <x:c r="K729" s="82"/>
    </x:row>
    <x:row r="730">
      <x:c r="A730" s="82" t="str">
        <x:v>Core</x:v>
      </x:c>
      <x:c r="B730" s="82" t="str">
        <x:v>PageModel</x:v>
      </x:c>
      <x:c r="C730" s="82" t="str">
        <x:v>Platform/Core/Projects.cs</x:v>
      </x:c>
      <x:c r="D730" s="82" t="n">
        <x:v>48</x:v>
      </x:c>
      <x:c r="E730" s="82" t="str">
        <x:v>public string Group { get; set; }</x:v>
      </x:c>
      <x:c r="F730" s="82" t="str">
        <x:v>V7.8源代码公开声明（非新API定案）</x:v>
      </x:c>
      <x:c r="G730" s="82" t="str">
        <x:v>V7.8静态读取；实际方法行为仍需独立验证</x:v>
      </x:c>
      <x:c r="H730" s="82"/>
      <x:c r="I730" s="82"/>
      <x:c r="J730" s="82"/>
      <x:c r="K730" s="82"/>
    </x:row>
    <x:row r="731">
      <x:c r="A731" s="82" t="str">
        <x:v>Core</x:v>
      </x:c>
      <x:c r="B731" s="82" t="str">
        <x:v>PageModel</x:v>
      </x:c>
      <x:c r="C731" s="82" t="str">
        <x:v>Platform/Core/Projects.cs</x:v>
      </x:c>
      <x:c r="D731" s="82" t="n">
        <x:v>49</x:v>
      </x:c>
      <x:c r="E731" s="82" t="str">
        <x:v>public string WorkbenchId { get; set; }</x:v>
      </x:c>
      <x:c r="F731" s="82" t="str">
        <x:v>V7.8源代码公开声明（非新API定案）</x:v>
      </x:c>
      <x:c r="G731" s="82" t="str">
        <x:v>V7.8静态读取；实际方法行为仍需独立验证</x:v>
      </x:c>
      <x:c r="H731" s="82"/>
      <x:c r="I731" s="82"/>
      <x:c r="J731" s="82"/>
      <x:c r="K731" s="82"/>
    </x:row>
    <x:row r="732">
      <x:c r="A732" s="82" t="str">
        <x:v>Core</x:v>
      </x:c>
      <x:c r="B732" s="82" t="str">
        <x:v>PageModel</x:v>
      </x:c>
      <x:c r="C732" s="82" t="str">
        <x:v>Platform/Core/Projects.cs</x:v>
      </x:c>
      <x:c r="D732" s="82" t="n">
        <x:v>50</x:v>
      </x:c>
      <x:c r="E732" s="82" t="str">
        <x:v>public string PermissionKey { get; set; }</x:v>
      </x:c>
      <x:c r="F732" s="82" t="str">
        <x:v>V7.8源代码公开声明（非新API定案）</x:v>
      </x:c>
      <x:c r="G732" s="82" t="str">
        <x:v>V7.8静态读取；实际方法行为仍需独立验证</x:v>
      </x:c>
      <x:c r="H732" s="82"/>
      <x:c r="I732" s="82"/>
      <x:c r="J732" s="82"/>
      <x:c r="K732" s="82"/>
    </x:row>
    <x:row r="733">
      <x:c r="A733" s="82" t="str">
        <x:v>Core</x:v>
      </x:c>
      <x:c r="B733" s="82" t="str">
        <x:v>PageModel</x:v>
      </x:c>
      <x:c r="C733" s="82" t="str">
        <x:v>Platform/Core/Projects.cs</x:v>
      </x:c>
      <x:c r="D733" s="82" t="n">
        <x:v>51</x:v>
      </x:c>
      <x:c r="E733" s="82" t="str">
        <x:v>public string VisibilityExpression { get; set; }</x:v>
      </x:c>
      <x:c r="F733" s="82" t="str">
        <x:v>V7.8源代码公开声明（非新API定案）</x:v>
      </x:c>
      <x:c r="G733" s="82" t="str">
        <x:v>V7.8静态读取；实际方法行为仍需独立验证</x:v>
      </x:c>
      <x:c r="H733" s="82"/>
      <x:c r="I733" s="82"/>
      <x:c r="J733" s="82"/>
      <x:c r="K733" s="82"/>
    </x:row>
    <x:row r="734">
      <x:c r="A734" s="82" t="str">
        <x:v>Core</x:v>
      </x:c>
      <x:c r="B734" s="82" t="str">
        <x:v>PageModel</x:v>
      </x:c>
      <x:c r="C734" s="82" t="str">
        <x:v>Platform/Core/Projects.cs</x:v>
      </x:c>
      <x:c r="D734" s="82" t="n">
        <x:v>52</x:v>
      </x:c>
      <x:c r="E734" s="82" t="str">
        <x:v>public int ScreenIndex { get; set; } = -1;</x:v>
      </x:c>
      <x:c r="F734" s="82" t="str">
        <x:v>V7.8源代码公开声明（非新API定案）</x:v>
      </x:c>
      <x:c r="G734" s="82" t="str">
        <x:v>V7.8静态读取；实际方法行为仍需独立验证</x:v>
      </x:c>
      <x:c r="H734" s="82"/>
      <x:c r="I734" s="82"/>
      <x:c r="J734" s="82"/>
      <x:c r="K734" s="82"/>
    </x:row>
    <x:row r="735">
      <x:c r="A735" s="82" t="str">
        <x:v>Core</x:v>
      </x:c>
      <x:c r="B735" s="82" t="str">
        <x:v>PageModel</x:v>
      </x:c>
      <x:c r="C735" s="82" t="str">
        <x:v>Platform/Core/Projects.cs</x:v>
      </x:c>
      <x:c r="D735" s="82" t="n">
        <x:v>53</x:v>
      </x:c>
      <x:c r="E735" s="82" t="str">
        <x:v>public bool PreserveRuntimeState { get; set; } = true;</x:v>
      </x:c>
      <x:c r="F735" s="82" t="str">
        <x:v>V7.8源代码公开声明（非新API定案）</x:v>
      </x:c>
      <x:c r="G735" s="82" t="str">
        <x:v>V7.8静态读取；实际方法行为仍需独立验证</x:v>
      </x:c>
      <x:c r="H735" s="82"/>
      <x:c r="I735" s="82"/>
      <x:c r="J735" s="82"/>
      <x:c r="K735" s="82"/>
    </x:row>
    <x:row r="736">
      <x:c r="A736" s="82" t="str">
        <x:v>Core</x:v>
      </x:c>
      <x:c r="B736" s="82" t="str">
        <x:v>PageModel</x:v>
      </x:c>
      <x:c r="C736" s="82" t="str">
        <x:v>Platform/Core/Projects.cs</x:v>
      </x:c>
      <x:c r="D736" s="82" t="n">
        <x:v>54</x:v>
      </x:c>
      <x:c r="E736" s="82" t="str">
        <x:v>public List&lt;LayerModel&gt; Layers { get; set; }</x:v>
      </x:c>
      <x:c r="F736" s="82" t="str">
        <x:v>V7.8源代码公开声明（非新API定案）</x:v>
      </x:c>
      <x:c r="G736" s="82" t="str">
        <x:v>V7.8静态读取；实际方法行为仍需独立验证</x:v>
      </x:c>
      <x:c r="H736" s="82"/>
      <x:c r="I736" s="82"/>
      <x:c r="J736" s="82"/>
      <x:c r="K736" s="82"/>
    </x:row>
    <x:row r="737">
      <x:c r="A737" s="82" t="str">
        <x:v>Core</x:v>
      </x:c>
      <x:c r="B737" s="82" t="str">
        <x:v>PageModel</x:v>
      </x:c>
      <x:c r="C737" s="82" t="str">
        <x:v>Platform/Core/Projects.cs</x:v>
      </x:c>
      <x:c r="D737" s="82" t="n">
        <x:v>81</x:v>
      </x:c>
      <x:c r="E737" s="82" t="str">
        <x:v>public ContentDefinition SetRootContent(ContentDefinition root)</x:v>
      </x:c>
      <x:c r="F737" s="82" t="str">
        <x:v>V7.8源代码公开声明（非新API定案）</x:v>
      </x:c>
      <x:c r="G737" s="82" t="str">
        <x:v>V7.8静态读取；实际方法行为仍需独立验证</x:v>
      </x:c>
      <x:c r="H737" s="82"/>
      <x:c r="I737" s="82"/>
      <x:c r="J737" s="82"/>
      <x:c r="K737" s="82"/>
    </x:row>
    <x:row r="738">
      <x:c r="A738" s="82" t="str">
        <x:v>Core</x:v>
      </x:c>
      <x:c r="B738" s="82" t="str">
        <x:v>PageModel</x:v>
      </x:c>
      <x:c r="C738" s="82" t="str">
        <x:v>Platform/Core/Projects.cs</x:v>
      </x:c>
      <x:c r="D738" s="82" t="n">
        <x:v>142</x:v>
      </x:c>
      <x:c r="E738" s="82" t="str">
        <x:v>public void MigrateLegacyElementsToRootContent(ContentDefinition root)</x:v>
      </x:c>
      <x:c r="F738" s="82" t="str">
        <x:v>V7.8源代码公开声明（非新API定案）</x:v>
      </x:c>
      <x:c r="G738" s="82" t="str">
        <x:v>V7.8静态读取；实际方法行为仍需独立验证</x:v>
      </x:c>
      <x:c r="H738" s="82"/>
      <x:c r="I738" s="82"/>
      <x:c r="J738" s="82"/>
      <x:c r="K738" s="82"/>
    </x:row>
    <x:row r="739">
      <x:c r="A739" s="82" t="str">
        <x:v>Core</x:v>
      </x:c>
      <x:c r="B739" s="82" t="str">
        <x:v>PageModel</x:v>
      </x:c>
      <x:c r="C739" s="82" t="str">
        <x:v>Platform/Core/Projects.cs</x:v>
      </x:c>
      <x:c r="D739" s="82" t="n">
        <x:v>189</x:v>
      </x:c>
      <x:c r="E739" s="82" t="str">
        <x:v>public bool ShouldSerializeElements() { return RootContent == null; }</x:v>
      </x:c>
      <x:c r="F739" s="82" t="str">
        <x:v>V7.8源代码公开声明（非新API定案）</x:v>
      </x:c>
      <x:c r="G739" s="82" t="str">
        <x:v>V7.8静态读取；实际方法行为仍需独立验证</x:v>
      </x:c>
      <x:c r="H739" s="82"/>
      <x:c r="I739" s="82"/>
      <x:c r="J739" s="82"/>
      <x:c r="K739" s="82"/>
    </x:row>
    <x:row r="740">
      <x:c r="A740" s="82" t="str">
        <x:v>Core</x:v>
      </x:c>
      <x:c r="B740" s="82" t="str">
        <x:v>PageModel</x:v>
      </x:c>
      <x:c r="C740" s="82" t="str">
        <x:v>Platform/Core/Projects.cs</x:v>
      </x:c>
      <x:c r="D740" s="82" t="n">
        <x:v>190</x:v>
      </x:c>
      <x:c r="E740" s="82" t="str">
        <x:v>public List&lt;EventBindingModel&gt; Events { get; set; }</x:v>
      </x:c>
      <x:c r="F740" s="82" t="str">
        <x:v>V7.8源代码公开声明（非新API定案）</x:v>
      </x:c>
      <x:c r="G740" s="82" t="str">
        <x:v>V7.8静态读取；实际方法行为仍需独立验证</x:v>
      </x:c>
      <x:c r="H740" s="82"/>
      <x:c r="I740" s="82"/>
      <x:c r="J740" s="82"/>
      <x:c r="K740" s="82"/>
    </x:row>
    <x:row r="741">
      <x:c r="A741" s="82" t="str">
        <x:v>Core</x:v>
      </x:c>
      <x:c r="B741" s="82" t="str">
        <x:v>PageModel</x:v>
      </x:c>
      <x:c r="C741" s="82" t="str">
        <x:v>Platform/Core/Projects.cs</x:v>
      </x:c>
      <x:c r="D741" s="82" t="n">
        <x:v>192</x:v>
      </x:c>
      <x:c r="E741" s="82" t="str">
        <x:v>public ElementModel FindElement(string elementId)</x:v>
      </x:c>
      <x:c r="F741" s="82" t="str">
        <x:v>V7.8源代码公开声明（非新API定案）</x:v>
      </x:c>
      <x:c r="G741" s="82" t="str">
        <x:v>V7.8静态读取；实际方法行为仍需独立验证</x:v>
      </x:c>
      <x:c r="H741" s="82"/>
      <x:c r="I741" s="82"/>
      <x:c r="J741" s="82"/>
      <x:c r="K741" s="82"/>
    </x:row>
    <x:row r="742">
      <x:c r="A742" s="82" t="str">
        <x:v>Core</x:v>
      </x:c>
      <x:c r="B742" s="82" t="str">
        <x:v>ProjectModel</x:v>
      </x:c>
      <x:c r="C742" s="82" t="str">
        <x:v>Platform/Core/Projects.cs</x:v>
      </x:c>
      <x:c r="D742" s="82" t="n">
        <x:v>239</x:v>
      </x:c>
      <x:c r="E742" s="82" t="str">
        <x:v>public ProjectModel()</x:v>
      </x:c>
      <x:c r="F742" s="82" t="str">
        <x:v>V7.8源代码公开声明（非新API定案）</x:v>
      </x:c>
      <x:c r="G742" s="82" t="str">
        <x:v>V7.8静态读取；实际方法行为仍需独立验证</x:v>
      </x:c>
      <x:c r="H742" s="82"/>
      <x:c r="I742" s="82"/>
      <x:c r="J742" s="82"/>
      <x:c r="K742" s="82"/>
    </x:row>
    <x:row r="743">
      <x:c r="A743" s="82" t="str">
        <x:v>Core</x:v>
      </x:c>
      <x:c r="B743" s="82" t="str">
        <x:v>ProjectModel</x:v>
      </x:c>
      <x:c r="C743" s="82" t="str">
        <x:v>Platform/Core/Projects.cs</x:v>
      </x:c>
      <x:c r="D743" s="82" t="n">
        <x:v>261</x:v>
      </x:c>
      <x:c r="E743" s="82" t="str">
        <x:v>public int FormatVersion { get; set; }</x:v>
      </x:c>
      <x:c r="F743" s="82" t="str">
        <x:v>V7.8源代码公开声明（非新API定案）</x:v>
      </x:c>
      <x:c r="G743" s="82" t="str">
        <x:v>V7.8静态读取；实际方法行为仍需独立验证</x:v>
      </x:c>
      <x:c r="H743" s="82"/>
      <x:c r="I743" s="82"/>
      <x:c r="J743" s="82"/>
      <x:c r="K743" s="82"/>
    </x:row>
    <x:row r="744">
      <x:c r="A744" s="82" t="str">
        <x:v>Core</x:v>
      </x:c>
      <x:c r="B744" s="82" t="str">
        <x:v>ProjectModel</x:v>
      </x:c>
      <x:c r="C744" s="82" t="str">
        <x:v>Platform/Core/Projects.cs</x:v>
      </x:c>
      <x:c r="D744" s="82" t="n">
        <x:v>262</x:v>
      </x:c>
      <x:c r="E744" s="82" t="str">
        <x:v>public string ProjectId { get; set; }</x:v>
      </x:c>
      <x:c r="F744" s="82" t="str">
        <x:v>V7.8源代码公开声明（非新API定案）</x:v>
      </x:c>
      <x:c r="G744" s="82" t="str">
        <x:v>V7.8静态读取；实际方法行为仍需独立验证</x:v>
      </x:c>
      <x:c r="H744" s="82"/>
      <x:c r="I744" s="82"/>
      <x:c r="J744" s="82"/>
      <x:c r="K744" s="82"/>
    </x:row>
    <x:row r="745">
      <x:c r="A745" s="82" t="str">
        <x:v>Core</x:v>
      </x:c>
      <x:c r="B745" s="82" t="str">
        <x:v>ProjectModel</x:v>
      </x:c>
      <x:c r="C745" s="82" t="str">
        <x:v>Platform/Core/Projects.cs</x:v>
      </x:c>
      <x:c r="D745" s="82" t="n">
        <x:v>263</x:v>
      </x:c>
      <x:c r="E745" s="82" t="str">
        <x:v>public override string Name { get; set; }</x:v>
      </x:c>
      <x:c r="F745" s="82" t="str">
        <x:v>V7.8源代码公开声明（非新API定案）</x:v>
      </x:c>
      <x:c r="G745" s="82" t="str">
        <x:v>V7.8静态读取；实际方法行为仍需独立验证</x:v>
      </x:c>
      <x:c r="H745" s="82"/>
      <x:c r="I745" s="82"/>
      <x:c r="J745" s="82"/>
      <x:c r="K745" s="82"/>
    </x:row>
    <x:row r="746">
      <x:c r="A746" s="82" t="str">
        <x:v>Core</x:v>
      </x:c>
      <x:c r="B746" s="82" t="str">
        <x:v>ProjectModel</x:v>
      </x:c>
      <x:c r="C746" s="82" t="str">
        <x:v>Platform/Core/Projects.cs</x:v>
      </x:c>
      <x:c r="D746" s="82" t="n">
        <x:v>264</x:v>
      </x:c>
      <x:c r="E746" s="82" t="str">
        <x:v>public long Revision { get; set; }</x:v>
      </x:c>
      <x:c r="F746" s="82" t="str">
        <x:v>V7.8源代码公开声明（非新API定案）</x:v>
      </x:c>
      <x:c r="G746" s="82" t="str">
        <x:v>V7.8静态读取；实际方法行为仍需独立验证</x:v>
      </x:c>
      <x:c r="H746" s="82"/>
      <x:c r="I746" s="82"/>
      <x:c r="J746" s="82"/>
      <x:c r="K746" s="82"/>
    </x:row>
    <x:row r="747">
      <x:c r="A747" s="82" t="str">
        <x:v>Core</x:v>
      </x:c>
      <x:c r="B747" s="82" t="str">
        <x:v>ProjectModel</x:v>
      </x:c>
      <x:c r="C747" s="82" t="str">
        <x:v>Platform/Core/Projects.cs</x:v>
      </x:c>
      <x:c r="D747" s="82" t="n">
        <x:v>265</x:v>
      </x:c>
      <x:c r="E747" s="82" t="str">
        <x:v>public string StartPageId { get; set; }</x:v>
      </x:c>
      <x:c r="F747" s="82" t="str">
        <x:v>V7.8源代码公开声明（非新API定案）</x:v>
      </x:c>
      <x:c r="G747" s="82" t="str">
        <x:v>V7.8静态读取；实际方法行为仍需独立验证</x:v>
      </x:c>
      <x:c r="H747" s="82"/>
      <x:c r="I747" s="82"/>
      <x:c r="J747" s="82"/>
      <x:c r="K747" s="82"/>
    </x:row>
    <x:row r="748">
      <x:c r="A748" s="82" t="str">
        <x:v>Core</x:v>
      </x:c>
      <x:c r="B748" s="82" t="str">
        <x:v>ProjectModel</x:v>
      </x:c>
      <x:c r="C748" s="82" t="str">
        <x:v>Platform/Core/Projects.cs</x:v>
      </x:c>
      <x:c r="D748" s="82" t="n">
        <x:v>266</x:v>
      </x:c>
      <x:c r="E748" s="82" t="str">
        <x:v>public List&lt;PageModel&gt; Pages { get; set; }</x:v>
      </x:c>
      <x:c r="F748" s="82" t="str">
        <x:v>V7.8源代码公开声明（非新API定案）</x:v>
      </x:c>
      <x:c r="G748" s="82" t="str">
        <x:v>V7.8静态读取；实际方法行为仍需独立验证</x:v>
      </x:c>
      <x:c r="H748" s="82"/>
      <x:c r="I748" s="82"/>
      <x:c r="J748" s="82"/>
      <x:c r="K748" s="82"/>
    </x:row>
    <x:row r="749">
      <x:c r="A749" s="82" t="str">
        <x:v>Core</x:v>
      </x:c>
      <x:c r="B749" s="82" t="str">
        <x:v>ProjectModel</x:v>
      </x:c>
      <x:c r="C749" s="82" t="str">
        <x:v>Platform/Core/Projects.cs</x:v>
      </x:c>
      <x:c r="D749" s="82" t="n">
        <x:v>267</x:v>
      </x:c>
      <x:c r="E749" s="82" t="str">
        <x:v>public List&lt;ProjectWorkbenchDefinition&gt; Workbenches { get; set; }</x:v>
      </x:c>
      <x:c r="F749" s="82" t="str">
        <x:v>V7.8源代码公开声明（非新API定案）</x:v>
      </x:c>
      <x:c r="G749" s="82" t="str">
        <x:v>V7.8静态读取；实际方法行为仍需独立验证</x:v>
      </x:c>
      <x:c r="H749" s="82"/>
      <x:c r="I749" s="82"/>
      <x:c r="J749" s="82"/>
      <x:c r="K749" s="82"/>
    </x:row>
    <x:row r="750">
      <x:c r="A750" s="82" t="str">
        <x:v>Visual</x:v>
      </x:c>
      <x:c r="B750" s="82" t="str">
        <x:v>CxCanvasItem</x:v>
      </x:c>
      <x:c r="C750" s="82" t="str">
        <x:v>Platform/Workbench/Drawing/CxCanvasHost.cs</x:v>
      </x:c>
      <x:c r="D750" s="82" t="n">
        <x:v>18</x:v>
      </x:c>
      <x:c r="E750" s="82" t="str">
        <x:v>public string NodeAddress { get; }</x:v>
      </x:c>
      <x:c r="F750" s="82" t="str">
        <x:v>V7.8源代码公开声明（非新API定案）</x:v>
      </x:c>
      <x:c r="G750" s="82" t="str">
        <x:v>V7.8静态读取；实际方法行为仍需独立验证</x:v>
      </x:c>
      <x:c r="H750" s="82"/>
      <x:c r="I750" s="82"/>
      <x:c r="J750" s="82"/>
      <x:c r="K750" s="82"/>
    </x:row>
    <x:row r="751">
      <x:c r="A751" s="82" t="str">
        <x:v>Visual</x:v>
      </x:c>
      <x:c r="B751" s="82" t="str">
        <x:v>CxCanvasItem</x:v>
      </x:c>
      <x:c r="C751" s="82" t="str">
        <x:v>Platform/Workbench/Drawing/CxCanvasHost.cs</x:v>
      </x:c>
      <x:c r="D751" s="82" t="n">
        <x:v>19</x:v>
      </x:c>
      <x:c r="E751" s="82" t="str">
        <x:v>public string ParentAddress { get; }</x:v>
      </x:c>
      <x:c r="F751" s="82" t="str">
        <x:v>V7.8源代码公开声明（非新API定案）</x:v>
      </x:c>
      <x:c r="G751" s="82" t="str">
        <x:v>V7.8静态读取；实际方法行为仍需独立验证</x:v>
      </x:c>
      <x:c r="H751" s="82"/>
      <x:c r="I751" s="82"/>
      <x:c r="J751" s="82"/>
      <x:c r="K751" s="82"/>
    </x:row>
    <x:row r="752">
      <x:c r="A752" s="82" t="str">
        <x:v>Visual</x:v>
      </x:c>
      <x:c r="B752" s="82" t="str">
        <x:v>CxCanvasItem</x:v>
      </x:c>
      <x:c r="C752" s="82" t="str">
        <x:v>Platform/Workbench/Drawing/CxCanvasHost.cs</x:v>
      </x:c>
      <x:c r="D752" s="82" t="n">
        <x:v>20</x:v>
      </x:c>
      <x:c r="E752" s="82" t="str">
        <x:v>public string TypeId { get; }</x:v>
      </x:c>
      <x:c r="F752" s="82" t="str">
        <x:v>V7.8源代码公开声明（非新API定案）</x:v>
      </x:c>
      <x:c r="G752" s="82" t="str">
        <x:v>V7.8静态读取；实际方法行为仍需独立验证</x:v>
      </x:c>
      <x:c r="H752" s="82"/>
      <x:c r="I752" s="82"/>
      <x:c r="J752" s="82"/>
      <x:c r="K752" s="82"/>
    </x:row>
    <x:row r="753">
      <x:c r="A753" s="82" t="str">
        <x:v>Visual</x:v>
      </x:c>
      <x:c r="B753" s="82" t="str">
        <x:v>CxCanvasItem</x:v>
      </x:c>
      <x:c r="C753" s="82" t="str">
        <x:v>Platform/Workbench/Drawing/CxCanvasHost.cs</x:v>
      </x:c>
      <x:c r="D753" s="82" t="n">
        <x:v>21</x:v>
      </x:c>
      <x:c r="E753" s="82" t="str">
        <x:v>public JObject Definition =&gt; (JObject)_definition.DeepClone();</x:v>
      </x:c>
      <x:c r="F753" s="82" t="str">
        <x:v>V7.8源代码公开声明（非新API定案）</x:v>
      </x:c>
      <x:c r="G753" s="82" t="str">
        <x:v>V7.8静态读取；实际方法行为仍需独立验证</x:v>
      </x:c>
      <x:c r="H753" s="82"/>
      <x:c r="I753" s="82"/>
      <x:c r="J753" s="82"/>
      <x:c r="K753" s="82"/>
    </x:row>
    <x:row r="754">
      <x:c r="A754" s="82" t="str">
        <x:v>Visual</x:v>
      </x:c>
      <x:c r="B754" s="82" t="str">
        <x:v>CxCanvasItem</x:v>
      </x:c>
      <x:c r="C754" s="82" t="str">
        <x:v>Platform/Workbench/Drawing/CxCanvasHost.cs</x:v>
      </x:c>
      <x:c r="D754" s="82" t="n">
        <x:v>22</x:v>
      </x:c>
      <x:c r="E754" s="82" t="str">
        <x:v>public CxGeometry Geometry =&gt; _geometry.Clone();</x:v>
      </x:c>
      <x:c r="F754" s="82" t="str">
        <x:v>V7.8源代码公开声明（非新API定案）</x:v>
      </x:c>
      <x:c r="G754" s="82" t="str">
        <x:v>V7.8静态读取；实际方法行为仍需独立验证</x:v>
      </x:c>
      <x:c r="H754" s="82"/>
      <x:c r="I754" s="82"/>
      <x:c r="J754" s="82"/>
      <x:c r="K754" s="82"/>
    </x:row>
    <x:row r="755">
      <x:c r="A755" s="82" t="str">
        <x:v>Visual</x:v>
      </x:c>
      <x:c r="B755" s="82" t="str">
        <x:v>CxCanvasItem</x:v>
      </x:c>
      <x:c r="C755" s="82" t="str">
        <x:v>Platform/Workbench/Drawing/CxCanvasHost.cs</x:v>
      </x:c>
      <x:c r="D755" s="82" t="n">
        <x:v>24</x:v>
      </x:c>
      <x:c r="E755" s="82" t="str">
        <x:v>public bool Editable { get; }</x:v>
      </x:c>
      <x:c r="F755" s="82" t="str">
        <x:v>V7.8源代码公开声明（非新API定案）</x:v>
      </x:c>
      <x:c r="G755" s="82" t="str">
        <x:v>V7.8静态读取；实际方法行为仍需独立验证</x:v>
      </x:c>
      <x:c r="H755" s="82"/>
      <x:c r="I755" s="82"/>
      <x:c r="J755" s="82"/>
      <x:c r="K755" s="82"/>
    </x:row>
    <x:row r="756">
      <x:c r="A756" s="82" t="str">
        <x:v>Visual</x:v>
      </x:c>
      <x:c r="B756" s="82" t="str">
        <x:v>CxCanvasItem</x:v>
      </x:c>
      <x:c r="C756" s="82" t="str">
        <x:v>Platform/Workbench/Drawing/CxCanvasHost.cs</x:v>
      </x:c>
      <x:c r="D756" s="82" t="n">
        <x:v>25</x:v>
      </x:c>
      <x:c r="E756" s="82" t="str">
        <x:v>public bool IsContainer { get; }</x:v>
      </x:c>
      <x:c r="F756" s="82" t="str">
        <x:v>V7.8源代码公开声明（非新API定案）</x:v>
      </x:c>
      <x:c r="G756" s="82" t="str">
        <x:v>V7.8静态读取；实际方法行为仍需独立验证</x:v>
      </x:c>
      <x:c r="H756" s="82"/>
      <x:c r="I756" s="82"/>
      <x:c r="J756" s="82"/>
      <x:c r="K756" s="82"/>
    </x:row>
    <x:row r="757">
      <x:c r="A757" s="82" t="str">
        <x:v>Visual</x:v>
      </x:c>
      <x:c r="B757" s="82" t="str">
        <x:v>CxCanvasItem</x:v>
      </x:c>
      <x:c r="C757" s="82" t="str">
        <x:v>Platform/Workbench/Drawing/CxCanvasHost.cs</x:v>
      </x:c>
      <x:c r="D757" s="82" t="n">
        <x:v>27</x:v>
      </x:c>
      <x:c r="E757" s="82" t="str">
        <x:v>public CxTransform Transform =&gt; CxTransform.FromMatrix(WorldTransform.Matrix());</x:v>
      </x:c>
      <x:c r="F757" s="82" t="str">
        <x:v>V7.8源代码公开声明（非新API定案）</x:v>
      </x:c>
      <x:c r="G757" s="82" t="str">
        <x:v>V7.8静态读取；实际方法行为仍需独立验证</x:v>
      </x:c>
      <x:c r="H757" s="82"/>
      <x:c r="I757" s="82"/>
      <x:c r="J757" s="82"/>
      <x:c r="K757" s="82"/>
    </x:row>
    <x:row r="758">
      <x:c r="A758" s="82" t="str">
        <x:v>Visual</x:v>
      </x:c>
      <x:c r="B758" s="82" t="str">
        <x:v>CxCanvasItem</x:v>
      </x:c>
      <x:c r="C758" s="82" t="str">
        <x:v>Platform/Workbench/Drawing/CxCanvasHost.cs</x:v>
      </x:c>
      <x:c r="D758" s="82" t="n">
        <x:v>28</x:v>
      </x:c>
      <x:c r="E758" s="82" t="str">
        <x:v>public IReadOnlyList&lt;CxGeometry&gt; Clips =&gt; _clips.Select(x =&gt; x.Clone()).ToArray();</x:v>
      </x:c>
      <x:c r="F758" s="82" t="str">
        <x:v>V7.8源代码公开声明（非新API定案）</x:v>
      </x:c>
      <x:c r="G758" s="82" t="str">
        <x:v>V7.8静态读取；实际方法行为仍需独立验证</x:v>
      </x:c>
      <x:c r="H758" s="82"/>
      <x:c r="I758" s="82"/>
      <x:c r="J758" s="82"/>
      <x:c r="K758" s="82"/>
    </x:row>
    <x:row r="759">
      <x:c r="A759" s="82" t="str">
        <x:v>Visual</x:v>
      </x:c>
      <x:c r="B759" s="82" t="str">
        <x:v>CxCanvasItem</x:v>
      </x:c>
      <x:c r="C759" s="82" t="str">
        <x:v>Platform/Workbench/Drawing/CxCanvasHost.cs</x:v>
      </x:c>
      <x:c r="D759" s="82" t="n">
        <x:v>29</x:v>
      </x:c>
      <x:c r="E759" s="82" t="str">
        <x:v>public ElementModel CreateElementSnapshot(ElementFactoryRegistry factories = null)</x:v>
      </x:c>
      <x:c r="F759" s="82" t="str">
        <x:v>V7.8源代码公开声明（非新API定案）</x:v>
      </x:c>
      <x:c r="G759" s="82" t="str">
        <x:v>V7.8静态读取；实际方法行为仍需独立验证</x:v>
      </x:c>
      <x:c r="H759" s="82"/>
      <x:c r="I759" s="82"/>
      <x:c r="J759" s="82"/>
      <x:c r="K759" s="82"/>
    </x:row>
    <x:row r="760">
      <x:c r="A760" s="82" t="str">
        <x:v>Visual</x:v>
      </x:c>
      <x:c r="B760" s="82" t="str">
        <x:v>CxCanvasFrame</x:v>
      </x:c>
      <x:c r="C760" s="82" t="str">
        <x:v>Platform/Workbench/Drawing/CxCanvasHost.cs</x:v>
      </x:c>
      <x:c r="D760" s="82" t="n">
        <x:v>40</x:v>
      </x:c>
      <x:c r="E760" s="82" t="str">
        <x:v>public string PageAddress { get; }</x:v>
      </x:c>
      <x:c r="F760" s="82" t="str">
        <x:v>V7.8源代码公开声明（非新API定案）</x:v>
      </x:c>
      <x:c r="G760" s="82" t="str">
        <x:v>V7.8静态读取；实际方法行为仍需独立验证</x:v>
      </x:c>
      <x:c r="H760" s="82"/>
      <x:c r="I760" s="82"/>
      <x:c r="J760" s="82"/>
      <x:c r="K760" s="82"/>
    </x:row>
    <x:row r="761">
      <x:c r="A761" s="82" t="str">
        <x:v>Visual</x:v>
      </x:c>
      <x:c r="B761" s="82" t="str">
        <x:v>CxCanvasFrame</x:v>
      </x:c>
      <x:c r="C761" s="82" t="str">
        <x:v>Platform/Workbench/Drawing/CxCanvasHost.cs</x:v>
      </x:c>
      <x:c r="D761" s="82" t="n">
        <x:v>41</x:v>
      </x:c>
      <x:c r="E761" s="82" t="str">
        <x:v>public IReadOnlyList&lt;CxCanvasItem&gt; Items { get; }</x:v>
      </x:c>
      <x:c r="F761" s="82" t="str">
        <x:v>V7.8源代码公开声明（非新API定案）</x:v>
      </x:c>
      <x:c r="G761" s="82" t="str">
        <x:v>V7.8静态读取；实际方法行为仍需独立验证</x:v>
      </x:c>
      <x:c r="H761" s="82"/>
      <x:c r="I761" s="82"/>
      <x:c r="J761" s="82"/>
      <x:c r="K761" s="82"/>
    </x:row>
    <x:row r="762">
      <x:c r="A762" s="82" t="str">
        <x:v>Visual</x:v>
      </x:c>
      <x:c r="B762" s="82" t="str">
        <x:v>CxCanvasFrame</x:v>
      </x:c>
      <x:c r="C762" s="82" t="str">
        <x:v>Platform/Workbench/Drawing/CxCanvasHost.cs</x:v>
      </x:c>
      <x:c r="D762" s="82" t="n">
        <x:v>42</x:v>
      </x:c>
      <x:c r="E762" s="82" t="str">
        <x:v>public IReadOnlyList&lt;CxOverlayItem&gt; Overlay { get; }</x:v>
      </x:c>
      <x:c r="F762" s="82" t="str">
        <x:v>V7.8源代码公开声明（非新API定案）</x:v>
      </x:c>
      <x:c r="G762" s="82" t="str">
        <x:v>V7.8静态读取；实际方法行为仍需独立验证</x:v>
      </x:c>
      <x:c r="H762" s="82"/>
      <x:c r="I762" s="82"/>
      <x:c r="J762" s="82"/>
      <x:c r="K762" s="82"/>
    </x:row>
    <x:row r="763">
      <x:c r="A763" s="82" t="str">
        <x:v>Visual</x:v>
      </x:c>
      <x:c r="B763" s="82" t="str">
        <x:v>CxCanvasFrame</x:v>
      </x:c>
      <x:c r="C763" s="82" t="str">
        <x:v>Platform/Workbench/Drawing/CxCanvasHost.cs</x:v>
      </x:c>
      <x:c r="D763" s="82" t="n">
        <x:v>43</x:v>
      </x:c>
      <x:c r="E763" s="82" t="str">
        <x:v>public CxViewport Viewport =&gt; new CxViewport { Scale = _viewport.Scale, Offset = new Point2D(_viewport.Offset.X, _viewport.Offset.Y), Rotation = _viewport.Rotation, Bounds = CxCanvasMath.Copy(_viewport.Bounds) };</x:v>
      </x:c>
      <x:c r="F763" s="82" t="str">
        <x:v>V7.8源代码公开声明（非新API定案）</x:v>
      </x:c>
      <x:c r="G763" s="82" t="str">
        <x:v>V7.8静态读取；实际方法行为仍需独立验证</x:v>
      </x:c>
      <x:c r="H763" s="82"/>
      <x:c r="I763" s="82"/>
      <x:c r="J763" s="82"/>
      <x:c r="K763" s="82"/>
    </x:row>
    <x:row r="764">
      <x:c r="A764" s="82" t="str">
        <x:v>Visual</x:v>
      </x:c>
      <x:c r="B764" s="82" t="str">
        <x:v>Entry</x:v>
      </x:c>
      <x:c r="C764" s="82" t="str">
        <x:v>Platform/Workbench/Drawing/CxCanvasHost.cs</x:v>
      </x:c>
      <x:c r="D764" s="82" t="n">
        <x:v>52</x:v>
      </x:c>
      <x:c r="E764" s="82" t="str">
        <x:v>public CxCanvasHost(CxDocumentContext document, PageModel page = null)</x:v>
      </x:c>
      <x:c r="F764" s="82" t="str">
        <x:v>V7.8源代码公开声明（非新API定案）</x:v>
      </x:c>
      <x:c r="G764" s="82" t="str">
        <x:v>V7.8静态读取；实际方法行为仍需独立验证</x:v>
      </x:c>
      <x:c r="H764" s="82"/>
      <x:c r="I764" s="82"/>
      <x:c r="J764" s="82"/>
      <x:c r="K764" s="82"/>
    </x:row>
    <x:row r="765">
      <x:c r="A765" s="82" t="str">
        <x:v>Visual</x:v>
      </x:c>
      <x:c r="B765" s="82" t="str">
        <x:v>Entry</x:v>
      </x:c>
      <x:c r="C765" s="82" t="str">
        <x:v>Platform/Workbench/Drawing/CxCanvasHost.cs</x:v>
      </x:c>
      <x:c r="D765" s="82" t="n">
        <x:v>59</x:v>
      </x:c>
      <x:c r="E765" s="82" t="str">
        <x:v>public CxViewport Viewport { get; }</x:v>
      </x:c>
      <x:c r="F765" s="82" t="str">
        <x:v>V7.8源代码公开声明（非新API定案）</x:v>
      </x:c>
      <x:c r="G765" s="82" t="str">
        <x:v>V7.8静态读取；实际方法行为仍需独立验证</x:v>
      </x:c>
      <x:c r="H765" s="82"/>
      <x:c r="I765" s="82"/>
      <x:c r="J765" s="82"/>
      <x:c r="K765" s="82"/>
    </x:row>
    <x:row r="766">
      <x:c r="A766" s="82" t="str">
        <x:v>Visual</x:v>
      </x:c>
      <x:c r="B766" s="82" t="str">
        <x:v>Entry</x:v>
      </x:c>
      <x:c r="C766" s="82" t="str">
        <x:v>Platform/Workbench/Drawing/CxCanvasHost.cs</x:v>
      </x:c>
      <x:c r="D766" s="82" t="n">
        <x:v>60</x:v>
      </x:c>
      <x:c r="E766" s="82" t="str">
        <x:v>public IReadOnlyList&lt;CxLayerDefinition&gt; Layers { get { Demand(); return (_page.Layers ?? new List&lt;LayerModel&gt;()).Select(x =&gt; new CxLayerDefinition(x)).OrderBy(x =&gt; x.ZIndex).ToArray(); } }</x:v>
      </x:c>
      <x:c r="F766" s="82" t="str">
        <x:v>V7.8源代码公开声明（非新API定案）</x:v>
      </x:c>
      <x:c r="G766" s="82" t="str">
        <x:v>V7.8静态读取；实际方法行为仍需独立验证</x:v>
      </x:c>
      <x:c r="H766" s="82"/>
      <x:c r="I766" s="82"/>
      <x:c r="J766" s="82"/>
      <x:c r="K766" s="82"/>
    </x:row>
    <x:row r="767">
      <x:c r="A767" s="82" t="str">
        <x:v>Visual</x:v>
      </x:c>
      <x:c r="B767" s="82" t="str">
        <x:v>Entry</x:v>
      </x:c>
      <x:c r="C767" s="82" t="str">
        <x:v>Platform/Workbench/Drawing/CxCanvasHost.cs</x:v>
      </x:c>
      <x:c r="D767" s="82" t="n">
        <x:v>62</x:v>
      </x:c>
      <x:c r="E767" s="82" t="str">
        <x:v>public CxOverlay Overlay { get; } = new CxOverlay();</x:v>
      </x:c>
      <x:c r="F767" s="82" t="str">
        <x:v>V7.8源代码公开声明（非新API定案）</x:v>
      </x:c>
      <x:c r="G767" s="82" t="str">
        <x:v>V7.8静态读取；实际方法行为仍需独立验证</x:v>
      </x:c>
      <x:c r="H767" s="82"/>
      <x:c r="I767" s="82"/>
      <x:c r="J767" s="82"/>
      <x:c r="K767" s="82"/>
    </x:row>
    <x:row r="768">
      <x:c r="A768" s="82" t="str">
        <x:v>Visual</x:v>
      </x:c>
      <x:c r="B768" s="82" t="str">
        <x:v>Entry</x:v>
      </x:c>
      <x:c r="C768" s="82" t="str">
        <x:v>Platform/Workbench/Drawing/CxCanvasHost.cs</x:v>
      </x:c>
      <x:c r="D768" s="82" t="n">
        <x:v>63</x:v>
      </x:c>
      <x:c r="E768" s="82" t="str">
        <x:v>public CxSnapSettings SnapSettings { get; }</x:v>
      </x:c>
      <x:c r="F768" s="82" t="str">
        <x:v>V7.8源代码公开声明（非新API定案）</x:v>
      </x:c>
      <x:c r="G768" s="82" t="str">
        <x:v>V7.8静态读取；实际方法行为仍需独立验证</x:v>
      </x:c>
      <x:c r="H768" s="82"/>
      <x:c r="I768" s="82"/>
      <x:c r="J768" s="82"/>
      <x:c r="K768" s="82"/>
    </x:row>
    <x:row r="769">
      <x:c r="A769" s="82" t="str">
        <x:v>Visual</x:v>
      </x:c>
      <x:c r="B769" s="82" t="str">
        <x:v>Entry</x:v>
      </x:c>
      <x:c r="C769" s="82" t="str">
        <x:v>Platform/Workbench/Drawing/CxCanvasHost.cs</x:v>
      </x:c>
      <x:c r="D769" s="82" t="n">
        <x:v>68</x:v>
      </x:c>
      <x:c r="E769" s="82" t="str">
        <x:v>public void Invalidate() { Demand(); if (_notifying) throw new InvalidOperationException("CXCANVAS_INVALIDATE_REENTRANT"); _notifying = true; try { Invalidated?.Invoke(this, EventArgs.Empty); } finally { _notifying = false; } }</x:v>
      </x:c>
      <x:c r="F769" s="82" t="str">
        <x:v>V7.8源代码公开声明（非新API定案）</x:v>
      </x:c>
      <x:c r="G769" s="82" t="str">
        <x:v>V7.8静态读取；实际方法行为仍需独立验证</x:v>
      </x:c>
      <x:c r="H769" s="82"/>
      <x:c r="I769" s="82"/>
      <x:c r="J769" s="82"/>
      <x:c r="K769" s="82"/>
    </x:row>
    <x:row r="770">
      <x:c r="A770" s="82" t="str">
        <x:v>Visual</x:v>
      </x:c>
      <x:c r="B770" s="82" t="str">
        <x:v>Entry</x:v>
      </x:c>
      <x:c r="C770" s="82" t="str">
        <x:v>Platform/Workbench/Drawing/CxCanvasHost.cs</x:v>
      </x:c>
      <x:c r="D770" s="82" t="n">
        <x:v>69</x:v>
      </x:c>
      <x:c r="E770" s="82" t="str">
        <x:v>public CxCanvasFrame Render(ICxCanvasRenderTarget target = null)</x:v>
      </x:c>
      <x:c r="F770" s="82" t="str">
        <x:v>V7.8源代码公开声明（非新API定案）</x:v>
      </x:c>
      <x:c r="G770" s="82" t="str">
        <x:v>V7.8静态读取；实际方法行为仍需独立验证</x:v>
      </x:c>
      <x:c r="H770" s="82"/>
      <x:c r="I770" s="82"/>
      <x:c r="J770" s="82"/>
      <x:c r="K770" s="82"/>
    </x:row>
    <x:row r="771">
      <x:c r="A771" s="82" t="str">
        <x:v>Visual</x:v>
      </x:c>
      <x:c r="B771" s="82" t="str">
        <x:v>Entry</x:v>
      </x:c>
      <x:c r="C771" s="82" t="str">
        <x:v>Platform/Workbench/Drawing/CxCanvasHost.cs</x:v>
      </x:c>
      <x:c r="D771" s="82" t="n">
        <x:v>75</x:v>
      </x:c>
      <x:c r="E771" s="82" t="str">
        <x:v>public CxNode HitTest(Point2D viewPoint, double tolerance = 3, bool includeContainers = false)</x:v>
      </x:c>
      <x:c r="F771" s="82" t="str">
        <x:v>V7.8源代码公开声明（非新API定案）</x:v>
      </x:c>
      <x:c r="G771" s="82" t="str">
        <x:v>V7.8静态读取；实际方法行为仍需独立验证</x:v>
      </x:c>
      <x:c r="H771" s="82"/>
      <x:c r="I771" s="82"/>
      <x:c r="J771" s="82"/>
      <x:c r="K771" s="82"/>
    </x:row>
    <x:row r="772">
      <x:c r="A772" s="82" t="str">
        <x:v>Visual</x:v>
      </x:c>
      <x:c r="B772" s="82" t="str">
        <x:v>Entry</x:v>
      </x:c>
      <x:c r="C772" s="82" t="str">
        <x:v>Platform/Workbench/Drawing/CxCanvasHost.cs</x:v>
      </x:c>
      <x:c r="D772" s="82" t="n">
        <x:v>93</x:v>
      </x:c>
      <x:c r="E772" s="82" t="str">
        <x:v>public void ZoomToFit(Bounds2D viewBounds, double padding = 20, bool includePage = true)</x:v>
      </x:c>
      <x:c r="F772" s="82" t="str">
        <x:v>V7.8源代码公开声明（非新API定案）</x:v>
      </x:c>
      <x:c r="G772" s="82" t="str">
        <x:v>V7.8静态读取；实际方法行为仍需独立验证</x:v>
      </x:c>
      <x:c r="H772" s="82"/>
      <x:c r="I772" s="82"/>
      <x:c r="J772" s="82"/>
      <x:c r="K772" s="82"/>
    </x:row>
    <x:row r="773">
      <x:c r="A773" s="82" t="str">
        <x:v>Visual</x:v>
      </x:c>
      <x:c r="B773" s="82" t="str">
        <x:v>Entry</x:v>
      </x:c>
      <x:c r="C773" s="82" t="str">
        <x:v>Platform/Workbench/Drawing/CxCanvasHost.cs</x:v>
      </x:c>
      <x:c r="D773" s="82" t="n">
        <x:v>102</x:v>
      </x:c>
      <x:c r="E773" s="82" t="str">
        <x:v>public void SaveViewState()</x:v>
      </x:c>
      <x:c r="F773" s="82" t="str">
        <x:v>V7.8源代码公开声明（非新API定案）</x:v>
      </x:c>
      <x:c r="G773" s="82" t="str">
        <x:v>V7.8静态读取；实际方法行为仍需独立验证</x:v>
      </x:c>
      <x:c r="H773" s="82"/>
      <x:c r="I773" s="82"/>
      <x:c r="J773" s="82"/>
      <x:c r="K773" s="82"/>
    </x:row>
    <x:row r="774">
      <x:c r="A774" s="82" t="str">
        <x:v>Visual</x:v>
      </x:c>
      <x:c r="B774" s="82" t="str">
        <x:v>CxDiagramFrame</x:v>
      </x:c>
      <x:c r="C774" s="82" t="str">
        <x:v>Platform/Workbench/Drawing/CxDiagramCanvas.cs</x:v>
      </x:c>
      <x:c r="D774" s="82" t="n">
        <x:v>14</x:v>
      </x:c>
      <x:c r="E774" s="82" t="str">
        <x:v>public string ScopeAddress { get; }</x:v>
      </x:c>
      <x:c r="F774" s="82" t="str">
        <x:v>V7.8源代码公开声明（非新API定案）</x:v>
      </x:c>
      <x:c r="G774" s="82" t="str">
        <x:v>V7.8静态读取；实际方法行为仍需独立验证</x:v>
      </x:c>
      <x:c r="H774" s="82"/>
      <x:c r="I774" s="82"/>
      <x:c r="J774" s="82"/>
      <x:c r="K774" s="82"/>
    </x:row>
    <x:row r="775">
      <x:c r="A775" s="82" t="str">
        <x:v>Visual</x:v>
      </x:c>
      <x:c r="B775" s="82" t="str">
        <x:v>CxDiagramFrame</x:v>
      </x:c>
      <x:c r="C775" s="82" t="str">
        <x:v>Platform/Workbench/Drawing/CxDiagramCanvas.cs</x:v>
      </x:c>
      <x:c r="D775" s="82" t="n">
        <x:v>15</x:v>
      </x:c>
      <x:c r="E775" s="82" t="str">
        <x:v>public IReadOnlyList&lt;CxDiagramNodeVisual&gt; Nodes { get; }</x:v>
      </x:c>
      <x:c r="F775" s="82" t="str">
        <x:v>V7.8源代码公开声明（非新API定案）</x:v>
      </x:c>
      <x:c r="G775" s="82" t="str">
        <x:v>V7.8静态读取；实际方法行为仍需独立验证</x:v>
      </x:c>
      <x:c r="H775" s="82"/>
      <x:c r="I775" s="82"/>
      <x:c r="J775" s="82"/>
      <x:c r="K775" s="82"/>
    </x:row>
    <x:row r="776">
      <x:c r="A776" s="82" t="str">
        <x:v>Visual</x:v>
      </x:c>
      <x:c r="B776" s="82" t="str">
        <x:v>CxDiagramFrame</x:v>
      </x:c>
      <x:c r="C776" s="82" t="str">
        <x:v>Platform/Workbench/Drawing/CxDiagramCanvas.cs</x:v>
      </x:c>
      <x:c r="D776" s="82" t="n">
        <x:v>16</x:v>
      </x:c>
      <x:c r="E776" s="82" t="str">
        <x:v>public IReadOnlyList&lt;CxDiagramEdgeVisual&gt; Edges { get; }</x:v>
      </x:c>
      <x:c r="F776" s="82" t="str">
        <x:v>V7.8源代码公开声明（非新API定案）</x:v>
      </x:c>
      <x:c r="G776" s="82" t="str">
        <x:v>V7.8静态读取；实际方法行为仍需独立验证</x:v>
      </x:c>
      <x:c r="H776" s="82"/>
      <x:c r="I776" s="82"/>
      <x:c r="J776" s="82"/>
      <x:c r="K776" s="82"/>
    </x:row>
    <x:row r="777">
      <x:c r="A777" s="82" t="str">
        <x:v>Visual</x:v>
      </x:c>
      <x:c r="B777" s="82" t="str">
        <x:v>CxDiagramFrame</x:v>
      </x:c>
      <x:c r="C777" s="82" t="str">
        <x:v>Platform/Workbench/Drawing/CxDiagramCanvas.cs</x:v>
      </x:c>
      <x:c r="D777" s="82" t="n">
        <x:v>17</x:v>
      </x:c>
      <x:c r="E777" s="82" t="str">
        <x:v>public CxViewport Viewport =&gt; Copy(_viewport);</x:v>
      </x:c>
      <x:c r="F777" s="82" t="str">
        <x:v>V7.8源代码公开声明（非新API定案）</x:v>
      </x:c>
      <x:c r="G777" s="82" t="str">
        <x:v>V7.8静态读取；实际方法行为仍需独立验证</x:v>
      </x:c>
      <x:c r="H777" s="82"/>
      <x:c r="I777" s="82"/>
      <x:c r="J777" s="82"/>
      <x:c r="K777" s="82"/>
    </x:row>
    <x:row r="778">
      <x:c r="A778" s="82" t="str">
        <x:v>Visual</x:v>
      </x:c>
      <x:c r="B778" s="82" t="str">
        <x:v>CxDiagramCanvas</x:v>
      </x:c>
      <x:c r="C778" s="82" t="str">
        <x:v>Platform/Workbench/Drawing/CxDiagramCanvas.cs</x:v>
      </x:c>
      <x:c r="D778" s="82" t="n">
        <x:v>26</x:v>
      </x:c>
      <x:c r="E778" s="82" t="str">
        <x:v>public CxDiagramCanvas(CxDocumentContext document, ContentDefinition scope = null, bool logicView = false)</x:v>
      </x:c>
      <x:c r="F778" s="82" t="str">
        <x:v>V7.8源代码公开声明（非新API定案）</x:v>
      </x:c>
      <x:c r="G778" s="82" t="str">
        <x:v>V7.8静态读取；实际方法行为仍需独立验证</x:v>
      </x:c>
      <x:c r="H778" s="82"/>
      <x:c r="I778" s="82"/>
      <x:c r="J778" s="82"/>
      <x:c r="K778" s="82"/>
    </x:row>
    <x:row r="779">
      <x:c r="A779" s="82" t="str">
        <x:v>Visual</x:v>
      </x:c>
      <x:c r="B779" s="82" t="str">
        <x:v>CxDiagramCanvas</x:v>
      </x:c>
      <x:c r="C779" s="82" t="str">
        <x:v>Platform/Workbench/Drawing/CxDiagramCanvas.cs</x:v>
      </x:c>
      <x:c r="D779" s="82" t="n">
        <x:v>31</x:v>
      </x:c>
      <x:c r="E779" s="82" t="str">
        <x:v>public CxCanvasHost Canvas { get; }</x:v>
      </x:c>
      <x:c r="F779" s="82" t="str">
        <x:v>V7.8源代码公开声明（非新API定案）</x:v>
      </x:c>
      <x:c r="G779" s="82" t="str">
        <x:v>V7.8静态读取；实际方法行为仍需独立验证</x:v>
      </x:c>
      <x:c r="H779" s="82"/>
      <x:c r="I779" s="82"/>
      <x:c r="J779" s="82"/>
      <x:c r="K779" s="82"/>
    </x:row>
    <x:row r="780">
      <x:c r="A780" s="82" t="str">
        <x:v>Visual</x:v>
      </x:c>
      <x:c r="B780" s="82" t="str">
        <x:v>CxDiagramCanvas</x:v>
      </x:c>
      <x:c r="C780" s="82" t="str">
        <x:v>Platform/Workbench/Drawing/CxDiagramCanvas.cs</x:v>
      </x:c>
      <x:c r="D780" s="82" t="n">
        <x:v>33</x:v>
      </x:c>
      <x:c r="E780" s="82" t="str">
        <x:v>public IReadOnlyList&lt;CxNodePresenter&gt; Nodes { get { Demand(); return _nodes.ToArray(); } }</x:v>
      </x:c>
      <x:c r="F780" s="82" t="str">
        <x:v>V7.8源代码公开声明（非新API定案）</x:v>
      </x:c>
      <x:c r="G780" s="82" t="str">
        <x:v>V7.8静态读取；实际方法行为仍需独立验证</x:v>
      </x:c>
      <x:c r="H780" s="82"/>
      <x:c r="I780" s="82"/>
      <x:c r="J780" s="82"/>
      <x:c r="K780" s="82"/>
    </x:row>
    <x:row r="781">
      <x:c r="A781" s="82" t="str">
        <x:v>Visual</x:v>
      </x:c>
      <x:c r="B781" s="82" t="str">
        <x:v>CxDiagramCanvas</x:v>
      </x:c>
      <x:c r="C781" s="82" t="str">
        <x:v>Platform/Workbench/Drawing/CxDiagramCanvas.cs</x:v>
      </x:c>
      <x:c r="D781" s="82" t="n">
        <x:v>34</x:v>
      </x:c>
      <x:c r="E781" s="82" t="str">
        <x:v>public IReadOnlyList&lt;CxEdgePresenter&gt; Edges { get { Demand(); return _edges.ToArray(); } }</x:v>
      </x:c>
      <x:c r="F781" s="82" t="str">
        <x:v>V7.8源代码公开声明（非新API定案）</x:v>
      </x:c>
      <x:c r="G781" s="82" t="str">
        <x:v>V7.8静态读取；实际方法行为仍需独立验证</x:v>
      </x:c>
      <x:c r="H781" s="82"/>
      <x:c r="I781" s="82"/>
      <x:c r="J781" s="82"/>
      <x:c r="K781" s="82"/>
    </x:row>
    <x:row r="782">
      <x:c r="A782" s="82" t="str">
        <x:v>Visual</x:v>
      </x:c>
      <x:c r="B782" s="82" t="str">
        <x:v>CxDiagramCanvas</x:v>
      </x:c>
      <x:c r="C782" s="82" t="str">
        <x:v>Platform/Workbench/Drawing/CxDiagramCanvas.cs</x:v>
      </x:c>
      <x:c r="D782" s="82" t="n">
        <x:v>35</x:v>
      </x:c>
      <x:c r="E782" s="82" t="str">
        <x:v>public CxEdgeRouter Router { get; }</x:v>
      </x:c>
      <x:c r="F782" s="82" t="str">
        <x:v>V7.8源代码公开声明（非新API定案）</x:v>
      </x:c>
      <x:c r="G782" s="82" t="str">
        <x:v>V7.8静态读取；实际方法行为仍需独立验证</x:v>
      </x:c>
      <x:c r="H782" s="82"/>
      <x:c r="I782" s="82"/>
      <x:c r="J782" s="82"/>
      <x:c r="K782" s="82"/>
    </x:row>
    <x:row r="783">
      <x:c r="A783" s="82" t="str">
        <x:v>Visual</x:v>
      </x:c>
      <x:c r="B783" s="82" t="str">
        <x:v>CxDiagramCanvas</x:v>
      </x:c>
      <x:c r="C783" s="82" t="str">
        <x:v>Platform/Workbench/Drawing/CxDiagramCanvas.cs</x:v>
      </x:c>
      <x:c r="D783" s="82" t="n">
        <x:v>36</x:v>
      </x:c>
      <x:c r="E783" s="82" t="str">
        <x:v>public CxAutoLayoutService Layout { get; }</x:v>
      </x:c>
      <x:c r="F783" s="82" t="str">
        <x:v>V7.8源代码公开声明（非新API定案）</x:v>
      </x:c>
      <x:c r="G783" s="82" t="str">
        <x:v>V7.8静态读取；实际方法行为仍需独立验证</x:v>
      </x:c>
      <x:c r="H783" s="82"/>
      <x:c r="I783" s="82"/>
      <x:c r="J783" s="82"/>
      <x:c r="K783" s="82"/>
    </x:row>
    <x:row r="784">
      <x:c r="A784" s="82" t="str">
        <x:v>Visual</x:v>
      </x:c>
      <x:c r="B784" s="82" t="str">
        <x:v>CxDiagramCanvas</x:v>
      </x:c>
      <x:c r="C784" s="82" t="str">
        <x:v>Platform/Workbench/Drawing/CxDiagramCanvas.cs</x:v>
      </x:c>
      <x:c r="D784" s="82" t="n">
        <x:v>37</x:v>
      </x:c>
      <x:c r="E784" s="82" t="str">
        <x:v>public CxMinimapModel Minimap { get; }</x:v>
      </x:c>
      <x:c r="F784" s="82" t="str">
        <x:v>V7.8源代码公开声明（非新API定案）</x:v>
      </x:c>
      <x:c r="G784" s="82" t="str">
        <x:v>V7.8静态读取；实际方法行为仍需独立验证</x:v>
      </x:c>
      <x:c r="H784" s="82"/>
      <x:c r="I784" s="82"/>
      <x:c r="J784" s="82"/>
      <x:c r="K784" s="82"/>
    </x:row>
    <x:row r="785">
      <x:c r="A785" s="82" t="str">
        <x:v>Visual</x:v>
      </x:c>
      <x:c r="B785" s="82" t="str">
        <x:v>CxDiagramCanvas</x:v>
      </x:c>
      <x:c r="C785" s="82" t="str">
        <x:v>Platform/Workbench/Drawing/CxDiagramCanvas.cs</x:v>
      </x:c>
      <x:c r="D785" s="82" t="n">
        <x:v>38</x:v>
      </x:c>
      <x:c r="E785" s="82" t="str">
        <x:v>public IReadOnlyList&lt;string&gt; HiddenConnectionIds { get; private set; } = new string[0];</x:v>
      </x:c>
      <x:c r="F785" s="82" t="str">
        <x:v>V7.8源代码公开声明（非新API定案）</x:v>
      </x:c>
      <x:c r="G785" s="82" t="str">
        <x:v>V7.8静态读取；实际方法行为仍需独立验证</x:v>
      </x:c>
      <x:c r="H785" s="82"/>
      <x:c r="I785" s="82"/>
      <x:c r="J785" s="82"/>
      <x:c r="K785" s="82"/>
    </x:row>
    <x:row r="786">
      <x:c r="A786" s="82" t="str">
        <x:v>Visual</x:v>
      </x:c>
      <x:c r="B786" s="82" t="str">
        <x:v>CxDiagramCanvas</x:v>
      </x:c>
      <x:c r="C786" s="82" t="str">
        <x:v>Platform/Workbench/Drawing/CxDiagramCanvas.cs</x:v>
      </x:c>
      <x:c r="D786" s="82" t="n">
        <x:v>54</x:v>
      </x:c>
      <x:c r="E786" s="82" t="str">
        <x:v>public void Refresh()</x:v>
      </x:c>
      <x:c r="F786" s="82" t="str">
        <x:v>V7.8源代码公开声明（非新API定案）</x:v>
      </x:c>
      <x:c r="G786" s="82" t="str">
        <x:v>V7.8静态读取；实际方法行为仍需独立验证</x:v>
      </x:c>
      <x:c r="H786" s="82"/>
      <x:c r="I786" s="82"/>
      <x:c r="J786" s="82"/>
      <x:c r="K786" s="82"/>
    </x:row>
    <x:row r="787">
      <x:c r="A787" s="82" t="str">
        <x:v>Visual</x:v>
      </x:c>
      <x:c r="B787" s="82" t="str">
        <x:v>CxDiagramCanvas</x:v>
      </x:c>
      <x:c r="C787" s="82" t="str">
        <x:v>Platform/Workbench/Drawing/CxDiagramCanvas.cs</x:v>
      </x:c>
      <x:c r="D787" s="82" t="n">
        <x:v>90</x:v>
      </x:c>
      <x:c r="E787" s="82" t="str">
        <x:v>public void AddNodePresenter(CxNodePresenter node)</x:v>
      </x:c>
      <x:c r="F787" s="82" t="str">
        <x:v>V7.8源代码公开声明（非新API定案）</x:v>
      </x:c>
      <x:c r="G787" s="82" t="str">
        <x:v>V7.8静态读取；实际方法行为仍需独立验证</x:v>
      </x:c>
      <x:c r="H787" s="82"/>
      <x:c r="I787" s="82"/>
      <x:c r="J787" s="82"/>
      <x:c r="K787" s="82"/>
    </x:row>
    <x:row r="788">
      <x:c r="A788" s="82" t="str">
        <x:v>Visual</x:v>
      </x:c>
      <x:c r="B788" s="82" t="str">
        <x:v>CxDiagramCanvas</x:v>
      </x:c>
      <x:c r="C788" s="82" t="str">
        <x:v>Platform/Workbench/Drawing/CxDiagramCanvas.cs</x:v>
      </x:c>
      <x:c r="D788" s="82" t="n">
        <x:v>94</x:v>
      </x:c>
      <x:c r="E788" s="82" t="str">
        <x:v>public void AddEdgePresenter(CxEdgePresenter edge)</x:v>
      </x:c>
      <x:c r="F788" s="82" t="str">
        <x:v>V7.8源代码公开声明（非新API定案）</x:v>
      </x:c>
      <x:c r="G788" s="82" t="str">
        <x:v>V7.8静态读取；实际方法行为仍需独立验证</x:v>
      </x:c>
      <x:c r="H788" s="82"/>
      <x:c r="I788" s="82"/>
      <x:c r="J788" s="82"/>
      <x:c r="K788" s="82"/>
    </x:row>
    <x:row r="789">
      <x:c r="A789" s="82" t="str">
        <x:v>Visual</x:v>
      </x:c>
      <x:c r="B789" s="82" t="str">
        <x:v>CxDiagramCanvas</x:v>
      </x:c>
      <x:c r="C789" s="82" t="str">
        <x:v>Platform/Workbench/Drawing/CxDiagramCanvas.cs</x:v>
      </x:c>
      <x:c r="D789" s="82" t="n">
        <x:v>96</x:v>
      </x:c>
      <x:c r="E789" s="82" t="str">
        <x:v>public CxDiagramFrame Render(ICxDiagramRenderTarget target = null)</x:v>
      </x:c>
      <x:c r="F789" s="82" t="str">
        <x:v>V7.8源代码公开声明（非新API定案）</x:v>
      </x:c>
      <x:c r="G789" s="82" t="str">
        <x:v>V7.8静态读取；实际方法行为仍需独立验证</x:v>
      </x:c>
      <x:c r="H789" s="82"/>
      <x:c r="I789" s="82"/>
      <x:c r="J789" s="82"/>
      <x:c r="K789" s="82"/>
    </x:row>
    <x:row r="790">
      <x:c r="A790" s="82" t="str">
        <x:v>Visual</x:v>
      </x:c>
      <x:c r="B790" s="82" t="str">
        <x:v>CxDiagramCanvas</x:v>
      </x:c>
      <x:c r="C790" s="82" t="str">
        <x:v>Platform/Workbench/Drawing/CxDiagramCanvas.cs</x:v>
      </x:c>
      <x:c r="D790" s="82" t="n">
        <x:v>107</x:v>
      </x:c>
      <x:c r="E790" s="82" t="str">
        <x:v>public CxDiagramLayoutResult AutoLayout(bool routeEdges = true)</x:v>
      </x:c>
      <x:c r="F790" s="82" t="str">
        <x:v>V7.8源代码公开声明（非新API定案）</x:v>
      </x:c>
      <x:c r="G790" s="82" t="str">
        <x:v>V7.8静态读取；实际方法行为仍需独立验证</x:v>
      </x:c>
      <x:c r="H790" s="82"/>
      <x:c r="I790" s="82"/>
      <x:c r="J790" s="82"/>
      <x:c r="K790" s="82"/>
    </x:row>
    <x:row r="791">
      <x:c r="A791" s="82" t="str">
        <x:v>Visual</x:v>
      </x:c>
      <x:c r="B791" s="82" t="str">
        <x:v>CxDiagramCanvas</x:v>
      </x:c>
      <x:c r="C791" s="82" t="str">
        <x:v>Platform/Workbench/Drawing/CxDiagramCanvas.cs</x:v>
      </x:c>
      <x:c r="D791" s="82" t="n">
        <x:v>121</x:v>
      </x:c>
      <x:c r="E791" s="82" t="str">
        <x:v>public void RouteEdges()</x:v>
      </x:c>
      <x:c r="F791" s="82" t="str">
        <x:v>V7.8源代码公开声明（非新API定案）</x:v>
      </x:c>
      <x:c r="G791" s="82" t="str">
        <x:v>V7.8静态读取；实际方法行为仍需独立验证</x:v>
      </x:c>
      <x:c r="H791" s="82"/>
      <x:c r="I791" s="82"/>
      <x:c r="J791" s="82"/>
      <x:c r="K791" s="82"/>
    </x:row>
    <x:row r="792">
      <x:c r="A792" s="82" t="str">
        <x:v>Visual</x:v>
      </x:c>
      <x:c r="B792" s="82" t="str">
        <x:v>CxDiagramCanvas</x:v>
      </x:c>
      <x:c r="C792" s="82" t="str">
        <x:v>Platform/Workbench/Drawing/CxDiagramCanvas.cs</x:v>
      </x:c>
      <x:c r="D792" s="82" t="n">
        <x:v>136</x:v>
      </x:c>
      <x:c r="E792" s="82" t="str">
        <x:v>public string Name { get; }</x:v>
      </x:c>
      <x:c r="F792" s="82" t="str">
        <x:v>V7.8源代码公开声明（非新API定案）</x:v>
      </x:c>
      <x:c r="G792" s="82" t="str">
        <x:v>V7.8静态读取；实际方法行为仍需独立验证</x:v>
      </x:c>
      <x:c r="H792" s="82"/>
      <x:c r="I792" s="82"/>
      <x:c r="J792" s="82"/>
      <x:c r="K792" s="82"/>
    </x:row>
    <x:row r="793">
      <x:c r="A793" s="82" t="str">
        <x:v>Visual</x:v>
      </x:c>
      <x:c r="B793" s="82" t="str">
        <x:v>CxDiagramCanvas</x:v>
      </x:c>
      <x:c r="C793" s="82" t="str">
        <x:v>Platform/Workbench/Drawing/CxDiagramCanvas.cs</x:v>
      </x:c>
      <x:c r="D793" s="82" t="n">
        <x:v>137</x:v>
      </x:c>
      <x:c r="E793" s="82" t="str">
        <x:v>public void Execute() { _applied = 0; foreach (var edit in _edits) { _applied++; edit.Apply(); } }</x:v>
      </x:c>
      <x:c r="F793" s="82" t="str">
        <x:v>V7.8源代码公开声明（非新API定案）</x:v>
      </x:c>
      <x:c r="G793" s="82" t="str">
        <x:v>V7.8静态读取；实际方法行为仍需独立验证</x:v>
      </x:c>
      <x:c r="H793" s="82"/>
      <x:c r="I793" s="82"/>
      <x:c r="J793" s="82"/>
      <x:c r="K793" s="82"/>
    </x:row>
    <x:row r="794">
      <x:c r="A794" s="82" t="str">
        <x:v>Visual</x:v>
      </x:c>
      <x:c r="B794" s="82" t="str">
        <x:v>CxDiagramCanvas</x:v>
      </x:c>
      <x:c r="C794" s="82" t="str">
        <x:v>Platform/Workbench/Drawing/CxDiagramCanvas.cs</x:v>
      </x:c>
      <x:c r="D794" s="82" t="n">
        <x:v>138</x:v>
      </x:c>
      <x:c r="E794" s="82" t="str">
        <x:v>public void Undo() { for (int i = _applied - 1; i &gt;= 0; i--) _edits[i].Revert(); _applied = 0; }</x:v>
      </x:c>
      <x:c r="F794" s="82" t="str">
        <x:v>V7.8源代码公开声明（非新API定案）</x:v>
      </x:c>
      <x:c r="G794" s="82" t="str">
        <x:v>V7.8静态读取；实际方法行为仍需独立验证</x:v>
      </x:c>
      <x:c r="H794" s="82"/>
      <x:c r="I794" s="82"/>
      <x:c r="J794" s="82"/>
      <x:c r="K794" s="82"/>
    </x:row>
    <x:row r="795">
      <x:c r="A795" s="82" t="str">
        <x:v>Visual</x:v>
      </x:c>
      <x:c r="B795" s="82" t="str">
        <x:v>CxDiagramCanvas</x:v>
      </x:c>
      <x:c r="C795" s="82" t="str">
        <x:v>Platform/Workbench/Drawing/CxDiagramCanvas.cs</x:v>
      </x:c>
      <x:c r="D795" s="82" t="n">
        <x:v>139</x:v>
      </x:c>
      <x:c r="E795" s="82" t="str">
        <x:v>public void Redo() { Execute(); }</x:v>
      </x:c>
      <x:c r="F795" s="82" t="str">
        <x:v>V7.8源代码公开声明（非新API定案）</x:v>
      </x:c>
      <x:c r="G795" s="82" t="str">
        <x:v>V7.8静态读取；实际方法行为仍需独立验证</x:v>
      </x:c>
      <x:c r="H795" s="82"/>
      <x:c r="I795" s="82"/>
      <x:c r="J795" s="82"/>
      <x:c r="K795" s="82"/>
    </x:row>
    <x:row r="796">
      <x:c r="A796" s="82" t="str">
        <x:v>Visual</x:v>
      </x:c>
      <x:c r="B796" s="82" t="str">
        <x:v>CxDiagramCanvas</x:v>
      </x:c>
      <x:c r="C796" s="82" t="str">
        <x:v>Platform/Workbench/Drawing/CxDiagramCanvas.cs</x:v>
      </x:c>
      <x:c r="D796" s="82" t="n">
        <x:v>140</x:v>
      </x:c>
      <x:c r="E796" s="82" t="str">
        <x:v>public bool CanMergeWith(ICxUndoableCommand next) =&gt; false;</x:v>
      </x:c>
      <x:c r="F796" s="82" t="str">
        <x:v>V7.8源代码公开声明（非新API定案）</x:v>
      </x:c>
      <x:c r="G796" s="82" t="str">
        <x:v>V7.8静态读取；实际方法行为仍需独立验证</x:v>
      </x:c>
      <x:c r="H796" s="82"/>
      <x:c r="I796" s="82"/>
      <x:c r="J796" s="82"/>
      <x:c r="K796" s="82"/>
    </x:row>
    <x:row r="797">
      <x:c r="A797" s="82" t="str">
        <x:v>Visual</x:v>
      </x:c>
      <x:c r="B797" s="82" t="str">
        <x:v>CxDiagramCanvas</x:v>
      </x:c>
      <x:c r="C797" s="82" t="str">
        <x:v>Platform/Workbench/Drawing/CxDiagramCanvas.cs</x:v>
      </x:c>
      <x:c r="D797" s="82" t="n">
        <x:v>141</x:v>
      </x:c>
      <x:c r="E797" s="82" t="str">
        <x:v>public void Merge(ICxUndoableCommand next) { throw new InvalidOperationException("CXDIAGRAM_MERGE_NOT_SUPPORTED"); }</x:v>
      </x:c>
      <x:c r="F797" s="82" t="str">
        <x:v>V7.8源代码公开声明（非新API定案）</x:v>
      </x:c>
      <x:c r="G797" s="82" t="str">
        <x:v>V7.8静态读取；实际方法行为仍需独立验证</x:v>
      </x:c>
      <x:c r="H797" s="82"/>
      <x:c r="I797" s="82"/>
      <x:c r="J797" s="82"/>
      <x:c r="K797" s="82"/>
    </x:row>
    <x:row r="798">
      <x:c r="A798" s="82" t="str">
        <x:v>Visual</x:v>
      </x:c>
      <x:c r="B798" s="82" t="str">
        <x:v>CxEditingThread</x:v>
      </x:c>
      <x:c r="C798" s="82" t="str">
        <x:v>Platform/Workbench/Editing/CxUndoService.cs</x:v>
      </x:c>
      <x:c r="D798" s="82" t="n">
        <x:v>25</x:v>
      </x:c>
      <x:c r="E798" s="82" t="str">
        <x:v>public void Demand()</x:v>
      </x:c>
      <x:c r="F798" s="82" t="str">
        <x:v>V7.8源代码公开声明（非新API定案）</x:v>
      </x:c>
      <x:c r="G798" s="82" t="str">
        <x:v>V7.8静态读取；实际方法行为仍需独立验证</x:v>
      </x:c>
      <x:c r="H798" s="82"/>
      <x:c r="I798" s="82"/>
      <x:c r="J798" s="82"/>
      <x:c r="K798" s="82"/>
    </x:row>
    <x:row r="799">
      <x:c r="A799" s="82" t="str">
        <x:v>Visual</x:v>
      </x:c>
      <x:c r="B799" s="82" t="str">
        <x:v>CxUndoService</x:v>
      </x:c>
      <x:c r="C799" s="82" t="str">
        <x:v>Platform/Workbench/Editing/CxUndoService.cs</x:v>
      </x:c>
      <x:c r="D799" s="82" t="n">
        <x:v>40</x:v>
      </x:c>
      <x:c r="E799" s="82" t="str">
        <x:v>public bool IsFaulted { get; private set; }</x:v>
      </x:c>
      <x:c r="F799" s="82" t="str">
        <x:v>V7.8源代码公开声明（非新API定案）</x:v>
      </x:c>
      <x:c r="G799" s="82" t="str">
        <x:v>V7.8静态读取；实际方法行为仍需独立验证</x:v>
      </x:c>
      <x:c r="H799" s="82"/>
      <x:c r="I799" s="82"/>
      <x:c r="J799" s="82"/>
      <x:c r="K799" s="82"/>
    </x:row>
    <x:row r="800">
      <x:c r="A800" s="82" t="str">
        <x:v>Visual</x:v>
      </x:c>
      <x:c r="B800" s="82" t="str">
        <x:v>CxUndoService</x:v>
      </x:c>
      <x:c r="C800" s="82" t="str">
        <x:v>Platform/Workbench/Editing/CxUndoService.cs</x:v>
      </x:c>
      <x:c r="D800" s="82" t="n">
        <x:v>41</x:v>
      </x:c>
      <x:c r="E800" s="82" t="str">
        <x:v>public IReadOnlyList&lt;ICxUndoableCommand&gt; UndoStack { get { _thread.Demand(); return _undo.ToArray(); } }</x:v>
      </x:c>
      <x:c r="F800" s="82" t="str">
        <x:v>V7.8源代码公开声明（非新API定案）</x:v>
      </x:c>
      <x:c r="G800" s="82" t="str">
        <x:v>V7.8静态读取；实际方法行为仍需独立验证</x:v>
      </x:c>
      <x:c r="H800" s="82"/>
      <x:c r="I800" s="82"/>
      <x:c r="J800" s="82"/>
      <x:c r="K800" s="82"/>
    </x:row>
    <x:row r="801">
      <x:c r="A801" s="82" t="str">
        <x:v>Visual</x:v>
      </x:c>
      <x:c r="B801" s="82" t="str">
        <x:v>CxUndoService</x:v>
      </x:c>
      <x:c r="C801" s="82" t="str">
        <x:v>Platform/Workbench/Editing/CxUndoService.cs</x:v>
      </x:c>
      <x:c r="D801" s="82" t="n">
        <x:v>42</x:v>
      </x:c>
      <x:c r="E801" s="82" t="str">
        <x:v>public IReadOnlyList&lt;ICxUndoableCommand&gt; RedoStack { get { _thread.Demand(); return _redo.ToArray(); } }</x:v>
      </x:c>
      <x:c r="F801" s="82" t="str">
        <x:v>V7.8源代码公开声明（非新API定案）</x:v>
      </x:c>
      <x:c r="G801" s="82" t="str">
        <x:v>V7.8静态读取；实际方法行为仍需独立验证</x:v>
      </x:c>
      <x:c r="H801" s="82"/>
      <x:c r="I801" s="82"/>
      <x:c r="J801" s="82"/>
      <x:c r="K801" s="82"/>
    </x:row>
    <x:row r="802">
      <x:c r="A802" s="82" t="str">
        <x:v>Visual</x:v>
      </x:c>
      <x:c r="B802" s="82" t="str">
        <x:v>CxUndoService</x:v>
      </x:c>
      <x:c r="C802" s="82" t="str">
        <x:v>Platform/Workbench/Editing/CxUndoService.cs</x:v>
      </x:c>
      <x:c r="D802" s="82" t="n">
        <x:v>43</x:v>
      </x:c>
      <x:c r="E802" s="82" t="str">
        <x:v>public int TransactionDepth { get { _thread.Demand(); return _transactions.Count; } }</x:v>
      </x:c>
      <x:c r="F802" s="82" t="str">
        <x:v>V7.8源代码公开声明（非新API定案）</x:v>
      </x:c>
      <x:c r="G802" s="82" t="str">
        <x:v>V7.8静态读取；实际方法行为仍需独立验证</x:v>
      </x:c>
      <x:c r="H802" s="82"/>
      <x:c r="I802" s="82"/>
      <x:c r="J802" s="82"/>
      <x:c r="K802" s="82"/>
    </x:row>
    <x:row r="803">
      <x:c r="A803" s="82" t="str">
        <x:v>Visual</x:v>
      </x:c>
      <x:c r="B803" s="82" t="str">
        <x:v>CxUndoService</x:v>
      </x:c>
      <x:c r="C803" s="82" t="str">
        <x:v>Platform/Workbench/Editing/CxUndoService.cs</x:v>
      </x:c>
      <x:c r="D803" s="82" t="n">
        <x:v>58</x:v>
      </x:c>
      <x:c r="E803" s="82" t="str">
        <x:v>public void BeginTransaction(string name)</x:v>
      </x:c>
      <x:c r="F803" s="82" t="str">
        <x:v>V7.8源代码公开声明（非新API定案）</x:v>
      </x:c>
      <x:c r="G803" s="82" t="str">
        <x:v>V7.8静态读取；实际方法行为仍需独立验证</x:v>
      </x:c>
      <x:c r="H803" s="82"/>
      <x:c r="I803" s="82"/>
      <x:c r="J803" s="82"/>
      <x:c r="K803" s="82"/>
    </x:row>
    <x:row r="804">
      <x:c r="A804" s="82" t="str">
        <x:v>Visual</x:v>
      </x:c>
      <x:c r="B804" s="82" t="str">
        <x:v>CxUndoService</x:v>
      </x:c>
      <x:c r="C804" s="82" t="str">
        <x:v>Platform/Workbench/Editing/CxUndoService.cs</x:v>
      </x:c>
      <x:c r="D804" s="82" t="n">
        <x:v>64</x:v>
      </x:c>
      <x:c r="E804" s="82" t="str">
        <x:v>public void Commit()</x:v>
      </x:c>
      <x:c r="F804" s="82" t="str">
        <x:v>V7.8源代码公开声明（非新API定案）</x:v>
      </x:c>
      <x:c r="G804" s="82" t="str">
        <x:v>V7.8静态读取；实际方法行为仍需独立验证</x:v>
      </x:c>
      <x:c r="H804" s="82"/>
      <x:c r="I804" s="82"/>
      <x:c r="J804" s="82"/>
      <x:c r="K804" s="82"/>
    </x:row>
    <x:row r="805">
      <x:c r="A805" s="82" t="str">
        <x:v>Visual</x:v>
      </x:c>
      <x:c r="B805" s="82" t="str">
        <x:v>CxUndoService</x:v>
      </x:c>
      <x:c r="C805" s="82" t="str">
        <x:v>Platform/Workbench/Editing/CxUndoService.cs</x:v>
      </x:c>
      <x:c r="D805" s="82" t="n">
        <x:v>76</x:v>
      </x:c>
      <x:c r="E805" s="82" t="str">
        <x:v>public void Rollback()</x:v>
      </x:c>
      <x:c r="F805" s="82" t="str">
        <x:v>V7.8源代码公开声明（非新API定案）</x:v>
      </x:c>
      <x:c r="G805" s="82" t="str">
        <x:v>V7.8静态读取；实际方法行为仍需独立验证</x:v>
      </x:c>
      <x:c r="H805" s="82"/>
      <x:c r="I805" s="82"/>
      <x:c r="J805" s="82"/>
      <x:c r="K805" s="82"/>
    </x:row>
    <x:row r="806">
      <x:c r="A806" s="82" t="str">
        <x:v>Visual</x:v>
      </x:c>
      <x:c r="B806" s="82" t="str">
        <x:v>CxUndoService</x:v>
      </x:c>
      <x:c r="C806" s="82" t="str">
        <x:v>Platform/Workbench/Editing/CxUndoService.cs</x:v>
      </x:c>
      <x:c r="D806" s="82" t="n">
        <x:v>83</x:v>
      </x:c>
      <x:c r="E806" s="82" t="str">
        <x:v>public void Execute(ICxUndoableCommand command, bool allowMerge = false)</x:v>
      </x:c>
      <x:c r="F806" s="82" t="str">
        <x:v>V7.8源代码公开声明（非新API定案）</x:v>
      </x:c>
      <x:c r="G806" s="82" t="str">
        <x:v>V7.8静态读取；实际方法行为仍需独立验证</x:v>
      </x:c>
      <x:c r="H806" s="82"/>
      <x:c r="I806" s="82"/>
      <x:c r="J806" s="82"/>
      <x:c r="K806" s="82"/>
    </x:row>
    <x:row r="807">
      <x:c r="A807" s="82" t="str">
        <x:v>Visual</x:v>
      </x:c>
      <x:c r="B807" s="82" t="str">
        <x:v>CxUndoService</x:v>
      </x:c>
      <x:c r="C807" s="82" t="str">
        <x:v>Platform/Workbench/Editing/CxUndoService.cs</x:v>
      </x:c>
      <x:c r="D807" s="82" t="n">
        <x:v>120</x:v>
      </x:c>
      <x:c r="E807" s="82" t="str">
        <x:v>public bool Undo()</x:v>
      </x:c>
      <x:c r="F807" s="82" t="str">
        <x:v>V7.8源代码公开声明（非新API定案）</x:v>
      </x:c>
      <x:c r="G807" s="82" t="str">
        <x:v>V7.8静态读取；实际方法行为仍需独立验证</x:v>
      </x:c>
      <x:c r="H807" s="82"/>
      <x:c r="I807" s="82"/>
      <x:c r="J807" s="82"/>
      <x:c r="K807" s="82"/>
    </x:row>
    <x:row r="808">
      <x:c r="A808" s="82" t="str">
        <x:v>Visual</x:v>
      </x:c>
      <x:c r="B808" s="82" t="str">
        <x:v>CxUndoService</x:v>
      </x:c>
      <x:c r="C808" s="82" t="str">
        <x:v>Platform/Workbench/Editing/CxUndoService.cs</x:v>
      </x:c>
      <x:c r="D808" s="82" t="n">
        <x:v>127</x:v>
      </x:c>
      <x:c r="E808" s="82" t="str">
        <x:v>public bool Redo()</x:v>
      </x:c>
      <x:c r="F808" s="82" t="str">
        <x:v>V7.8源代码公开声明（非新API定案）</x:v>
      </x:c>
      <x:c r="G808" s="82" t="str">
        <x:v>V7.8静态读取；实际方法行为仍需独立验证</x:v>
      </x:c>
      <x:c r="H808" s="82"/>
      <x:c r="I808" s="82"/>
      <x:c r="J808" s="82"/>
      <x:c r="K808" s="82"/>
    </x:row>
    <x:row r="809">
      <x:c r="A809" s="82" t="str">
        <x:v>Visual</x:v>
      </x:c>
      <x:c r="B809" s="82" t="str">
        <x:v>CxUndoService</x:v>
      </x:c>
      <x:c r="C809" s="82" t="str">
        <x:v>Platform/Workbench/Editing/CxUndoService.cs</x:v>
      </x:c>
      <x:c r="D809" s="82" t="n">
        <x:v>134</x:v>
      </x:c>
      <x:c r="E809" s="82" t="str">
        <x:v>public void Clear(bool recoveryConfirmed = false)</x:v>
      </x:c>
      <x:c r="F809" s="82" t="str">
        <x:v>V7.8源代码公开声明（非新API定案）</x:v>
      </x:c>
      <x:c r="G809" s="82" t="str">
        <x:v>V7.8静态读取；实际方法行为仍需独立验证</x:v>
      </x:c>
      <x:c r="H809" s="82"/>
      <x:c r="I809" s="82"/>
      <x:c r="J809" s="82"/>
      <x:c r="K809" s="82"/>
    </x:row>
    <x:row r="810">
      <x:c r="A810" s="82" t="str">
        <x:v>Visual</x:v>
      </x:c>
      <x:c r="B810" s="82" t="str">
        <x:v>CxUndoService</x:v>
      </x:c>
      <x:c r="C810" s="82" t="str">
        <x:v>Platform/Workbench/Editing/CxUndoService.cs</x:v>
      </x:c>
      <x:c r="D810" s="82" t="n">
        <x:v>147</x:v>
      </x:c>
      <x:c r="E810" s="82" t="str">
        <x:v>public Batch(string name) { Name = name; }</x:v>
      </x:c>
      <x:c r="F810" s="82" t="str">
        <x:v>V7.8源代码公开声明（非新API定案）</x:v>
      </x:c>
      <x:c r="G810" s="82" t="str">
        <x:v>V7.8静态读取；实际方法行为仍需独立验证</x:v>
      </x:c>
      <x:c r="H810" s="82"/>
      <x:c r="I810" s="82"/>
      <x:c r="J810" s="82"/>
      <x:c r="K810" s="82"/>
    </x:row>
    <x:row r="811">
      <x:c r="A811" s="82" t="str">
        <x:v>Visual</x:v>
      </x:c>
      <x:c r="B811" s="82" t="str">
        <x:v>CxUndoService</x:v>
      </x:c>
      <x:c r="C811" s="82" t="str">
        <x:v>Platform/Workbench/Editing/CxUndoService.cs</x:v>
      </x:c>
      <x:c r="D811" s="82" t="n">
        <x:v>148</x:v>
      </x:c>
      <x:c r="E811" s="82" t="str">
        <x:v>public string Name { get; }</x:v>
      </x:c>
      <x:c r="F811" s="82" t="str">
        <x:v>V7.8源代码公开声明（非新API定案）</x:v>
      </x:c>
      <x:c r="G811" s="82" t="str">
        <x:v>V7.8静态读取；实际方法行为仍需独立验证</x:v>
      </x:c>
      <x:c r="H811" s="82"/>
      <x:c r="I811" s="82"/>
      <x:c r="J811" s="82"/>
      <x:c r="K811" s="82"/>
    </x:row>
    <x:row r="812">
      <x:c r="A812" s="82" t="str">
        <x:v>Visual</x:v>
      </x:c>
      <x:c r="B812" s="82" t="str">
        <x:v>CxUndoService</x:v>
      </x:c>
      <x:c r="C812" s="82" t="str">
        <x:v>Platform/Workbench/Editing/CxUndoService.cs</x:v>
      </x:c>
      <x:c r="D812" s="82" t="n">
        <x:v>149</x:v>
      </x:c>
      <x:c r="E812" s="82" t="str">
        <x:v>public readonly List&lt;ICxUndoableCommand&gt; Commands = new List&lt;ICxUndoableCommand&gt;();</x:v>
      </x:c>
      <x:c r="F812" s="82" t="str">
        <x:v>V7.8源代码公开声明（非新API定案）</x:v>
      </x:c>
      <x:c r="G812" s="82" t="str">
        <x:v>V7.8静态读取；实际方法行为仍需独立验证</x:v>
      </x:c>
      <x:c r="H812" s="82"/>
      <x:c r="I812" s="82"/>
      <x:c r="J812" s="82"/>
      <x:c r="K812" s="82"/>
    </x:row>
    <x:row r="813">
      <x:c r="A813" s="82" t="str">
        <x:v>Visual</x:v>
      </x:c>
      <x:c r="B813" s="82" t="str">
        <x:v>CxUndoService</x:v>
      </x:c>
      <x:c r="C813" s="82" t="str">
        <x:v>Platform/Workbench/Editing/CxUndoService.cs</x:v>
      </x:c>
      <x:c r="D813" s="82" t="n">
        <x:v>150</x:v>
      </x:c>
      <x:c r="E813" s="82" t="str">
        <x:v>public void Execute() { Redo(); }</x:v>
      </x:c>
      <x:c r="F813" s="82" t="str">
        <x:v>V7.8源代码公开声明（非新API定案）</x:v>
      </x:c>
      <x:c r="G813" s="82" t="str">
        <x:v>V7.8静态读取；实际方法行为仍需独立验证</x:v>
      </x:c>
      <x:c r="H813" s="82"/>
      <x:c r="I813" s="82"/>
      <x:c r="J813" s="82"/>
      <x:c r="K813" s="82"/>
    </x:row>
    <x:row r="814">
      <x:c r="A814" s="82" t="str">
        <x:v>Visual</x:v>
      </x:c>
      <x:c r="B814" s="82" t="str">
        <x:v>CxUndoService</x:v>
      </x:c>
      <x:c r="C814" s="82" t="str">
        <x:v>Platform/Workbench/Editing/CxUndoService.cs</x:v>
      </x:c>
      <x:c r="D814" s="82" t="n">
        <x:v>151</x:v>
      </x:c>
      <x:c r="E814" s="82" t="str">
        <x:v>public void Undo() { foreach (var command in Commands.AsEnumerable().Reverse()) command.Undo(); }</x:v>
      </x:c>
      <x:c r="F814" s="82" t="str">
        <x:v>V7.8源代码公开声明（非新API定案）</x:v>
      </x:c>
      <x:c r="G814" s="82" t="str">
        <x:v>V7.8静态读取；实际方法行为仍需独立验证</x:v>
      </x:c>
      <x:c r="H814" s="82"/>
      <x:c r="I814" s="82"/>
      <x:c r="J814" s="82"/>
      <x:c r="K814" s="82"/>
    </x:row>
    <x:row r="815">
      <x:c r="A815" s="82" t="str">
        <x:v>Visual</x:v>
      </x:c>
      <x:c r="B815" s="82" t="str">
        <x:v>CxUndoService</x:v>
      </x:c>
      <x:c r="C815" s="82" t="str">
        <x:v>Platform/Workbench/Editing/CxUndoService.cs</x:v>
      </x:c>
      <x:c r="D815" s="82" t="n">
        <x:v>152</x:v>
      </x:c>
      <x:c r="E815" s="82" t="str">
        <x:v>public void Redo() { foreach (var command in Commands) command.Redo(); }</x:v>
      </x:c>
      <x:c r="F815" s="82" t="str">
        <x:v>V7.8源代码公开声明（非新API定案）</x:v>
      </x:c>
      <x:c r="G815" s="82" t="str">
        <x:v>V7.8静态读取；实际方法行为仍需独立验证</x:v>
      </x:c>
      <x:c r="H815" s="82"/>
      <x:c r="I815" s="82"/>
      <x:c r="J815" s="82"/>
      <x:c r="K815" s="82"/>
    </x:row>
    <x:row r="816">
      <x:c r="A816" s="82" t="str">
        <x:v>Visual</x:v>
      </x:c>
      <x:c r="B816" s="82" t="str">
        <x:v>CxUndoService</x:v>
      </x:c>
      <x:c r="C816" s="82" t="str">
        <x:v>Platform/Workbench/Editing/CxUndoService.cs</x:v>
      </x:c>
      <x:c r="D816" s="82" t="n">
        <x:v>153</x:v>
      </x:c>
      <x:c r="E816" s="82" t="str">
        <x:v>public bool CanMergeWith(ICxUndoableCommand next) { return false; }</x:v>
      </x:c>
      <x:c r="F816" s="82" t="str">
        <x:v>V7.8源代码公开声明（非新API定案）</x:v>
      </x:c>
      <x:c r="G816" s="82" t="str">
        <x:v>V7.8静态读取；实际方法行为仍需独立验证</x:v>
      </x:c>
      <x:c r="H816" s="82"/>
      <x:c r="I816" s="82"/>
      <x:c r="J816" s="82"/>
      <x:c r="K816" s="82"/>
    </x:row>
    <x:row r="817">
      <x:c r="A817" s="82" t="str">
        <x:v>Visual</x:v>
      </x:c>
      <x:c r="B817" s="82" t="str">
        <x:v>CxUndoService</x:v>
      </x:c>
      <x:c r="C817" s="82" t="str">
        <x:v>Platform/Workbench/Editing/CxUndoService.cs</x:v>
      </x:c>
      <x:c r="D817" s="82" t="n">
        <x:v>154</x:v>
      </x:c>
      <x:c r="E817" s="82" t="str">
        <x:v>public void Merge(ICxUndoableCommand next) { throw new InvalidOperationException("CXUNDO_BATCH_CANNOT_MERGE"); }</x:v>
      </x:c>
      <x:c r="F817" s="82" t="str">
        <x:v>V7.8源代码公开声明（非新API定案）</x:v>
      </x:c>
      <x:c r="G817" s="82" t="str">
        <x:v>V7.8静态读取；实际方法行为仍需独立验证</x:v>
      </x:c>
      <x:c r="H817" s="82"/>
      <x:c r="I817" s="82"/>
      <x:c r="J817" s="82"/>
      <x:c r="K817" s="82"/>
    </x:row>
    <x:row r="818">
      <x:c r="A818" s="82" t="str">
        <x:v>Visual</x:v>
      </x:c>
      <x:c r="B818" s="82" t="str">
        <x:v>CxSetNodePropertyCommand</x:v>
      </x:c>
      <x:c r="C818" s="82" t="str">
        <x:v>Platform/Workbench/Editing/CxUndoService.cs</x:v>
      </x:c>
      <x:c r="D818" s="82" t="n">
        <x:v>166</x:v>
      </x:c>
      <x:c r="E818" s="82" t="str">
        <x:v>public CxSetNodePropertyCommand(CxNode node, string property, object value)</x:v>
      </x:c>
      <x:c r="F818" s="82" t="str">
        <x:v>V7.8源代码公开声明（非新API定案）</x:v>
      </x:c>
      <x:c r="G818" s="82" t="str">
        <x:v>V7.8静态读取；实际方法行为仍需独立验证</x:v>
      </x:c>
      <x:c r="H818" s="82"/>
      <x:c r="I818" s="82"/>
      <x:c r="J818" s="82"/>
      <x:c r="K818" s="82"/>
    </x:row>
    <x:row r="819">
      <x:c r="A819" s="82" t="str">
        <x:v>Visual</x:v>
      </x:c>
      <x:c r="B819" s="82" t="str">
        <x:v>CxSetNodePropertyCommand</x:v>
      </x:c>
      <x:c r="C819" s="82" t="str">
        <x:v>Platform/Workbench/Editing/CxUndoService.cs</x:v>
      </x:c>
      <x:c r="D819" s="82" t="n">
        <x:v>175</x:v>
      </x:c>
      <x:c r="E819" s="82" t="str">
        <x:v>public void Execute()</x:v>
      </x:c>
      <x:c r="F819" s="82" t="str">
        <x:v>V7.8源代码公开声明（非新API定案）</x:v>
      </x:c>
      <x:c r="G819" s="82" t="str">
        <x:v>V7.8静态读取；实际方法行为仍需独立验证</x:v>
      </x:c>
      <x:c r="H819" s="82"/>
      <x:c r="I819" s="82"/>
      <x:c r="J819" s="82"/>
      <x:c r="K819" s="82"/>
    </x:row>
    <x:row r="820">
      <x:c r="A820" s="82" t="str">
        <x:v>Visual</x:v>
      </x:c>
      <x:c r="B820" s="82" t="str">
        <x:v>CxSetNodePropertyCommand</x:v>
      </x:c>
      <x:c r="C820" s="82" t="str">
        <x:v>Platform/Workbench/Editing/CxUndoService.cs</x:v>
      </x:c>
      <x:c r="D820" s="82" t="n">
        <x:v>184</x:v>
      </x:c>
      <x:c r="E820" s="82" t="str">
        <x:v>public void Undo() { if (_captured) _node.Properties.Set(_property, Copy(_before)); }</x:v>
      </x:c>
      <x:c r="F820" s="82" t="str">
        <x:v>V7.8源代码公开声明（非新API定案）</x:v>
      </x:c>
      <x:c r="G820" s="82" t="str">
        <x:v>V7.8静态读取；实际方法行为仍需独立验证</x:v>
      </x:c>
      <x:c r="H820" s="82"/>
      <x:c r="I820" s="82"/>
      <x:c r="J820" s="82"/>
      <x:c r="K820" s="82"/>
    </x:row>
    <x:row r="821">
      <x:c r="A821" s="82" t="str">
        <x:v>Visual</x:v>
      </x:c>
      <x:c r="B821" s="82" t="str">
        <x:v>CxSetNodePropertyCommand</x:v>
      </x:c>
      <x:c r="C821" s="82" t="str">
        <x:v>Platform/Workbench/Editing/CxUndoService.cs</x:v>
      </x:c>
      <x:c r="D821" s="82" t="n">
        <x:v>185</x:v>
      </x:c>
      <x:c r="E821" s="82" t="str">
        <x:v>public void Redo() { Execute(); }</x:v>
      </x:c>
      <x:c r="F821" s="82" t="str">
        <x:v>V7.8源代码公开声明（非新API定案）</x:v>
      </x:c>
      <x:c r="G821" s="82" t="str">
        <x:v>V7.8静态读取；实际方法行为仍需独立验证</x:v>
      </x:c>
      <x:c r="H821" s="82"/>
      <x:c r="I821" s="82"/>
      <x:c r="J821" s="82"/>
      <x:c r="K821" s="82"/>
    </x:row>
    <x:row r="822">
      <x:c r="A822" s="82" t="str">
        <x:v>Visual</x:v>
      </x:c>
      <x:c r="B822" s="82" t="str">
        <x:v>CxSetNodePropertyCommand</x:v>
      </x:c>
      <x:c r="C822" s="82" t="str">
        <x:v>Platform/Workbench/Editing/CxUndoService.cs</x:v>
      </x:c>
      <x:c r="D822" s="82" t="n">
        <x:v>186</x:v>
      </x:c>
      <x:c r="E822" s="82" t="str">
        <x:v>public bool CanMergeWith(ICxUndoableCommand next)</x:v>
      </x:c>
      <x:c r="F822" s="82" t="str">
        <x:v>V7.8源代码公开声明（非新API定案）</x:v>
      </x:c>
      <x:c r="G822" s="82" t="str">
        <x:v>V7.8静态读取；实际方法行为仍需独立验证</x:v>
      </x:c>
      <x:c r="H822" s="82"/>
      <x:c r="I822" s="82"/>
      <x:c r="J822" s="82"/>
      <x:c r="K822" s="82"/>
    </x:row>
    <x:row r="823">
      <x:c r="A823" s="82" t="str">
        <x:v>Visual</x:v>
      </x:c>
      <x:c r="B823" s="82" t="str">
        <x:v>CxSetNodePropertyCommand</x:v>
      </x:c>
      <x:c r="C823" s="82" t="str">
        <x:v>Platform/Workbench/Editing/CxUndoService.cs</x:v>
      </x:c>
      <x:c r="D823" s="82" t="n">
        <x:v>191</x:v>
      </x:c>
      <x:c r="E823" s="82" t="str">
        <x:v>public void Merge(ICxUndoableCommand next)</x:v>
      </x:c>
      <x:c r="F823" s="82" t="str">
        <x:v>V7.8源代码公开声明（非新API定案）</x:v>
      </x:c>
      <x:c r="G823" s="82" t="str">
        <x:v>V7.8静态读取；实际方法行为仍需独立验证</x:v>
      </x:c>
      <x:c r="H823" s="82"/>
      <x:c r="I823" s="82"/>
      <x:c r="J823" s="82"/>
      <x:c r="K823" s="82"/>
    </x:row>
    <x:row r="824">
      <x:c r="A824" s="82" t="str">
        <x:v>Visual</x:v>
      </x:c>
      <x:c r="B824" s="82" t="str">
        <x:v>CxEditingCommandContext</x:v>
      </x:c>
      <x:c r="C824" s="82" t="str">
        <x:v>Platform/Workbench/Editing/CxDocumentContext.cs</x:v>
      </x:c>
      <x:c r="D824" s="82" t="n">
        <x:v>10</x:v>
      </x:c>
      <x:c r="E824" s="82" t="str">
        <x:v>public CxDocumentContext Document { get; }</x:v>
      </x:c>
      <x:c r="F824" s="82" t="str">
        <x:v>V7.8源代码公开声明（非新API定案）</x:v>
      </x:c>
      <x:c r="G824" s="82" t="str">
        <x:v>V7.8静态读取；实际方法行为仍需独立验证</x:v>
      </x:c>
      <x:c r="H824" s="82"/>
      <x:c r="I824" s="82"/>
      <x:c r="J824" s="82"/>
      <x:c r="K824" s="82"/>
    </x:row>
    <x:row r="825">
      <x:c r="A825" s="82" t="str">
        <x:v>Visual</x:v>
      </x:c>
      <x:c r="B825" s="82" t="str">
        <x:v>CxEditingCommandContext</x:v>
      </x:c>
      <x:c r="C825" s="82" t="str">
        <x:v>Platform/Workbench/Editing/CxDocumentContext.cs</x:v>
      </x:c>
      <x:c r="D825" s="82" t="n">
        <x:v>11</x:v>
      </x:c>
      <x:c r="E825" s="82" t="str">
        <x:v>public CxUndoService Undo { get; }</x:v>
      </x:c>
      <x:c r="F825" s="82" t="str">
        <x:v>V7.8源代码公开声明（非新API定案）</x:v>
      </x:c>
      <x:c r="G825" s="82" t="str">
        <x:v>V7.8静态读取；实际方法行为仍需独立验证</x:v>
      </x:c>
      <x:c r="H825" s="82"/>
      <x:c r="I825" s="82"/>
      <x:c r="J825" s="82"/>
      <x:c r="K825" s="82"/>
    </x:row>
    <x:row r="826">
      <x:c r="A826" s="82" t="str">
        <x:v>Visual</x:v>
      </x:c>
      <x:c r="B826" s="82" t="str">
        <x:v>CxEditingCommandContext</x:v>
      </x:c>
      <x:c r="C826" s="82" t="str">
        <x:v>Platform/Workbench/Editing/CxDocumentContext.cs</x:v>
      </x:c>
      <x:c r="D826" s="82" t="n">
        <x:v>12</x:v>
      </x:c>
      <x:c r="E826" s="82" t="str">
        <x:v>public CxNode Target { get { return Document.Selection.PrimarySelection ?? (CxNode)Document.ActivePage ?? Document.Project; } }</x:v>
      </x:c>
      <x:c r="F826" s="82" t="str">
        <x:v>V7.8源代码公开声明（非新API定案）</x:v>
      </x:c>
      <x:c r="G826" s="82" t="str">
        <x:v>V7.8静态读取；实际方法行为仍需独立验证</x:v>
      </x:c>
      <x:c r="H826" s="82"/>
      <x:c r="I826" s="82"/>
      <x:c r="J826" s="82"/>
      <x:c r="K826" s="82"/>
    </x:row>
    <x:row r="827">
      <x:c r="A827" s="82" t="str">
        <x:v>Visual</x:v>
      </x:c>
      <x:c r="B827" s="82" t="str">
        <x:v>CxDocumentContext</x:v>
      </x:c>
      <x:c r="C827" s="82" t="str">
        <x:v>Platform/Workbench/Editing/CxDocumentContext.cs</x:v>
      </x:c>
      <x:c r="D827" s="82" t="n">
        <x:v>23</x:v>
      </x:c>
      <x:c r="E827" s="82" t="str">
        <x:v>public CxDocumentContext(ProjectModel project) : this(project, new CxDirtyTracker(project), new CxUndoService()) { }</x:v>
      </x:c>
      <x:c r="F827" s="82" t="str">
        <x:v>V7.8源代码公开声明（非新API定案）</x:v>
      </x:c>
      <x:c r="G827" s="82" t="str">
        <x:v>V7.8静态读取；实际方法行为仍需独立验证</x:v>
      </x:c>
      <x:c r="H827" s="82"/>
      <x:c r="I827" s="82"/>
      <x:c r="J827" s="82"/>
      <x:c r="K827" s="82"/>
    </x:row>
    <x:row r="828">
      <x:c r="A828" s="82" t="str">
        <x:v>Visual</x:v>
      </x:c>
      <x:c r="B828" s="82" t="str">
        <x:v>CxDocumentContext</x:v>
      </x:c>
      <x:c r="C828" s="82" t="str">
        <x:v>Platform/Workbench/Editing/CxDocumentContext.cs</x:v>
      </x:c>
      <x:c r="D828" s="82" t="n">
        <x:v>31</x:v>
      </x:c>
      <x:c r="E828" s="82" t="str">
        <x:v>public ProjectModel Project { get; }</x:v>
      </x:c>
      <x:c r="F828" s="82" t="str">
        <x:v>V7.8源代码公开声明（非新API定案）</x:v>
      </x:c>
      <x:c r="G828" s="82" t="str">
        <x:v>V7.8静态读取；实际方法行为仍需独立验证</x:v>
      </x:c>
      <x:c r="H828" s="82"/>
      <x:c r="I828" s="82"/>
      <x:c r="J828" s="82"/>
      <x:c r="K828" s="82"/>
    </x:row>
    <x:row r="829">
      <x:c r="A829" s="82" t="str">
        <x:v>Visual</x:v>
      </x:c>
      <x:c r="B829" s="82" t="str">
        <x:v>CxDocumentContext</x:v>
      </x:c>
      <x:c r="C829" s="82" t="str">
        <x:v>Platform/Workbench/Editing/CxDocumentContext.cs</x:v>
      </x:c>
      <x:c r="D829" s="82" t="n">
        <x:v>32</x:v>
      </x:c>
      <x:c r="E829" s="82" t="str">
        <x:v>public string DocumentId { get; internal set; }</x:v>
      </x:c>
      <x:c r="F829" s="82" t="str">
        <x:v>V7.8源代码公开声明（非新API定案）</x:v>
      </x:c>
      <x:c r="G829" s="82" t="str">
        <x:v>V7.8静态读取；实际方法行为仍需独立验证</x:v>
      </x:c>
      <x:c r="H829" s="82"/>
      <x:c r="I829" s="82"/>
      <x:c r="J829" s="82"/>
      <x:c r="K829" s="82"/>
    </x:row>
    <x:row r="830">
      <x:c r="A830" s="82" t="str">
        <x:v>Visual</x:v>
      </x:c>
      <x:c r="B830" s="82" t="str">
        <x:v>CxDocumentContext</x:v>
      </x:c>
      <x:c r="C830" s="82" t="str">
        <x:v>Platform/Workbench/Editing/CxDocumentContext.cs</x:v>
      </x:c>
      <x:c r="D830" s="82" t="n">
        <x:v>33</x:v>
      </x:c>
      <x:c r="E830" s="82" t="str">
        <x:v>public string WorkspaceDirectory { get; internal set; }</x:v>
      </x:c>
      <x:c r="F830" s="82" t="str">
        <x:v>V7.8源代码公开声明（非新API定案）</x:v>
      </x:c>
      <x:c r="G830" s="82" t="str">
        <x:v>V7.8静态读取；实际方法行为仍需独立验证</x:v>
      </x:c>
      <x:c r="H830" s="82"/>
      <x:c r="I830" s="82"/>
      <x:c r="J830" s="82"/>
      <x:c r="K830" s="82"/>
    </x:row>
    <x:row r="831">
      <x:c r="A831" s="82" t="str">
        <x:v>Visual</x:v>
      </x:c>
      <x:c r="B831" s="82" t="str">
        <x:v>CxDocumentContext</x:v>
      </x:c>
      <x:c r="C831" s="82" t="str">
        <x:v>Platform/Workbench/Editing/CxDocumentContext.cs</x:v>
      </x:c>
      <x:c r="D831" s="82" t="n">
        <x:v>34</x:v>
      </x:c>
      <x:c r="E831" s="82" t="str">
        <x:v>public PageModel ActivePage { get { Demand(); return Project.Pages.Contains(_page) ? _page : null; } }</x:v>
      </x:c>
      <x:c r="F831" s="82" t="str">
        <x:v>V7.8源代码公开声明（非新API定案）</x:v>
      </x:c>
      <x:c r="G831" s="82" t="str">
        <x:v>V7.8静态读取；实际方法行为仍需独立验证</x:v>
      </x:c>
      <x:c r="H831" s="82"/>
      <x:c r="I831" s="82"/>
      <x:c r="J831" s="82"/>
      <x:c r="K831" s="82"/>
    </x:row>
    <x:row r="832">
      <x:c r="A832" s="82" t="str">
        <x:v>Visual</x:v>
      </x:c>
      <x:c r="B832" s="82" t="str">
        <x:v>CxDocumentContext</x:v>
      </x:c>
      <x:c r="C832" s="82" t="str">
        <x:v>Platform/Workbench/Editing/CxDocumentContext.cs</x:v>
      </x:c>
      <x:c r="D832" s="82" t="n">
        <x:v>35</x:v>
      </x:c>
      <x:c r="E832" s="82" t="str">
        <x:v>public CxResourceDefinition ActiveResource { get { Demand(); return Project.Resources.Contains(_resource) ? _resource : null; } }</x:v>
      </x:c>
      <x:c r="F832" s="82" t="str">
        <x:v>V7.8源代码公开声明（非新API定案）</x:v>
      </x:c>
      <x:c r="G832" s="82" t="str">
        <x:v>V7.8静态读取；实际方法行为仍需独立验证</x:v>
      </x:c>
      <x:c r="H832" s="82"/>
      <x:c r="I832" s="82"/>
      <x:c r="J832" s="82"/>
      <x:c r="K832" s="82"/>
    </x:row>
    <x:row r="833">
      <x:c r="A833" s="82" t="str">
        <x:v>Visual</x:v>
      </x:c>
      <x:c r="B833" s="82" t="str">
        <x:v>CxDocumentContext</x:v>
      </x:c>
      <x:c r="C833" s="82" t="str">
        <x:v>Platform/Workbench/Editing/CxDocumentContext.cs</x:v>
      </x:c>
      <x:c r="D833" s="82" t="n">
        <x:v>36</x:v>
      </x:c>
      <x:c r="E833" s="82" t="str">
        <x:v>public CxSelectionService Selection { get; }</x:v>
      </x:c>
      <x:c r="F833" s="82" t="str">
        <x:v>V7.8源代码公开声明（非新API定案）</x:v>
      </x:c>
      <x:c r="G833" s="82" t="str">
        <x:v>V7.8静态读取；实际方法行为仍需独立验证</x:v>
      </x:c>
      <x:c r="H833" s="82"/>
      <x:c r="I833" s="82"/>
      <x:c r="J833" s="82"/>
      <x:c r="K833" s="82"/>
    </x:row>
    <x:row r="834">
      <x:c r="A834" s="82" t="str">
        <x:v>Visual</x:v>
      </x:c>
      <x:c r="B834" s="82" t="str">
        <x:v>CxDocumentContext</x:v>
      </x:c>
      <x:c r="C834" s="82" t="str">
        <x:v>Platform/Workbench/Editing/CxDocumentContext.cs</x:v>
      </x:c>
      <x:c r="D834" s="82" t="n">
        <x:v>37</x:v>
      </x:c>
      <x:c r="E834" s="82" t="str">
        <x:v>public CxEditingCommandContext CommandContext { get; }</x:v>
      </x:c>
      <x:c r="F834" s="82" t="str">
        <x:v>V7.8源代码公开声明（非新API定案）</x:v>
      </x:c>
      <x:c r="G834" s="82" t="str">
        <x:v>V7.8静态读取；实际方法行为仍需独立验证</x:v>
      </x:c>
      <x:c r="H834" s="82"/>
      <x:c r="I834" s="82"/>
      <x:c r="J834" s="82"/>
      <x:c r="K834" s="82"/>
    </x:row>
    <x:row r="835">
      <x:c r="A835" s="82" t="str">
        <x:v>Visual</x:v>
      </x:c>
      <x:c r="B835" s="82" t="str">
        <x:v>CxDocumentContext</x:v>
      </x:c>
      <x:c r="C835" s="82" t="str">
        <x:v>Platform/Workbench/Editing/CxDocumentContext.cs</x:v>
      </x:c>
      <x:c r="D835" s="82" t="n">
        <x:v>38</x:v>
      </x:c>
      <x:c r="E835" s="82" t="str">
        <x:v>public CxDirtyTracker DirtyTracker { get; }</x:v>
      </x:c>
      <x:c r="F835" s="82" t="str">
        <x:v>V7.8源代码公开声明（非新API定案）</x:v>
      </x:c>
      <x:c r="G835" s="82" t="str">
        <x:v>V7.8静态读取；实际方法行为仍需独立验证</x:v>
      </x:c>
      <x:c r="H835" s="82"/>
      <x:c r="I835" s="82"/>
      <x:c r="J835" s="82"/>
      <x:c r="K835" s="82"/>
    </x:row>
    <x:row r="836">
      <x:c r="A836" s="82" t="str">
        <x:v>Visual</x:v>
      </x:c>
      <x:c r="B836" s="82" t="str">
        <x:v>CxDocumentContext</x:v>
      </x:c>
      <x:c r="C836" s="82" t="str">
        <x:v>Platform/Workbench/Editing/CxDocumentContext.cs</x:v>
      </x:c>
      <x:c r="D836" s="82" t="n">
        <x:v>45</x:v>
      </x:c>
      <x:c r="E836" s="82" t="str">
        <x:v>public void SetActivePage(PageModel page)</x:v>
      </x:c>
      <x:c r="F836" s="82" t="str">
        <x:v>V7.8源代码公开声明（非新API定案）</x:v>
      </x:c>
      <x:c r="G836" s="82" t="str">
        <x:v>V7.8静态读取；实际方法行为仍需独立验证</x:v>
      </x:c>
      <x:c r="H836" s="82"/>
      <x:c r="I836" s="82"/>
      <x:c r="J836" s="82"/>
      <x:c r="K836" s="82"/>
    </x:row>
    <x:row r="837">
      <x:c r="A837" s="82" t="str">
        <x:v>Visual</x:v>
      </x:c>
      <x:c r="B837" s="82" t="str">
        <x:v>CxDocumentContext</x:v>
      </x:c>
      <x:c r="C837" s="82" t="str">
        <x:v>Platform/Workbench/Editing/CxDocumentContext.cs</x:v>
      </x:c>
      <x:c r="D837" s="82" t="n">
        <x:v>52</x:v>
      </x:c>
      <x:c r="E837" s="82" t="str">
        <x:v>public void SetActiveResource(CxResourceDefinition resource)</x:v>
      </x:c>
      <x:c r="F837" s="82" t="str">
        <x:v>V7.8源代码公开声明（非新API定案）</x:v>
      </x:c>
      <x:c r="G837" s="82" t="str">
        <x:v>V7.8静态读取；实际方法行为仍需独立验证</x:v>
      </x:c>
      <x:c r="H837" s="82"/>
      <x:c r="I837" s="82"/>
      <x:c r="J837" s="82"/>
      <x:c r="K837" s="82"/>
    </x:row>
    <x:row r="838">
      <x:c r="A838" s="82" t="str">
        <x:v>Visual</x:v>
      </x:c>
      <x:c r="B838" s="82" t="str">
        <x:v>CxDocumentContext</x:v>
      </x:c>
      <x:c r="C838" s="82" t="str">
        <x:v>Platform/Workbench/Editing/CxDocumentContext.cs</x:v>
      </x:c>
      <x:c r="D838" s="82" t="n">
        <x:v>59</x:v>
      </x:c>
      <x:c r="E838" s="82" t="str">
        <x:v>public void Dispose() { _thread.Demand(); if (_disposed) return; Selection.Dispose(); _disposed = true; }</x:v>
      </x:c>
      <x:c r="F838" s="82" t="str">
        <x:v>V7.8源代码公开声明（非新API定案）</x:v>
      </x:c>
      <x:c r="G838" s="82" t="str">
        <x:v>V7.8静态读取；实际方法行为仍需独立验证</x:v>
      </x:c>
      <x:c r="H838" s="82"/>
      <x:c r="I838" s="82"/>
      <x:c r="J838" s="82"/>
      <x:c r="K838" s="82"/>
    </x:row>
    <x:row r="839">
      <x:c r="A839" s="82" t="str">
        <x:v>Visual</x:v>
      </x:c>
      <x:c r="B839" s="82" t="str">
        <x:v>CxSelectionService</x:v>
      </x:c>
      <x:c r="C839" s="82" t="str">
        <x:v>Platform/Workbench/Editing/CxSelectionService.cs</x:v>
      </x:c>
      <x:c r="D839" s="82" t="n">
        <x:v>16</x:v>
      </x:c>
      <x:c r="E839" s="82" t="str">
        <x:v>public CxSelectionService(ProjectModel project)</x:v>
      </x:c>
      <x:c r="F839" s="82" t="str">
        <x:v>V7.8源代码公开声明（非新API定案）</x:v>
      </x:c>
      <x:c r="G839" s="82" t="str">
        <x:v>V7.8静态读取；实际方法行为仍需独立验证</x:v>
      </x:c>
      <x:c r="H839" s="82"/>
      <x:c r="I839" s="82"/>
      <x:c r="J839" s="82"/>
      <x:c r="K839" s="82"/>
    </x:row>
    <x:row r="840">
      <x:c r="A840" s="82" t="str">
        <x:v>Visual</x:v>
      </x:c>
      <x:c r="B840" s="82" t="str">
        <x:v>CxSelectionService</x:v>
      </x:c>
      <x:c r="C840" s="82" t="str">
        <x:v>Platform/Workbench/Editing/CxSelectionService.cs</x:v>
      </x:c>
      <x:c r="D840" s="82" t="n">
        <x:v>23</x:v>
      </x:c>
      <x:c r="E840" s="82" t="str">
        <x:v>public IReadOnlyList&lt;CxNode&gt; SelectedNodes { get { Demand(); Prune(); return _selected.ToArray(); } }</x:v>
      </x:c>
      <x:c r="F840" s="82" t="str">
        <x:v>V7.8源代码公开声明（非新API定案）</x:v>
      </x:c>
      <x:c r="G840" s="82" t="str">
        <x:v>V7.8静态读取；实际方法行为仍需独立验证</x:v>
      </x:c>
      <x:c r="H840" s="82"/>
      <x:c r="I840" s="82"/>
      <x:c r="J840" s="82"/>
      <x:c r="K840" s="82"/>
    </x:row>
    <x:row r="841">
      <x:c r="A841" s="82" t="str">
        <x:v>Visual</x:v>
      </x:c>
      <x:c r="B841" s="82" t="str">
        <x:v>CxSelectionService</x:v>
      </x:c>
      <x:c r="C841" s="82" t="str">
        <x:v>Platform/Workbench/Editing/CxSelectionService.cs</x:v>
      </x:c>
      <x:c r="D841" s="82" t="n">
        <x:v>24</x:v>
      </x:c>
      <x:c r="E841" s="82" t="str">
        <x:v>public CxNode PrimarySelection { get { Demand(); Prune(); return _selected.LastOrDefault(); } }</x:v>
      </x:c>
      <x:c r="F841" s="82" t="str">
        <x:v>V7.8源代码公开声明（非新API定案）</x:v>
      </x:c>
      <x:c r="G841" s="82" t="str">
        <x:v>V7.8静态读取；实际方法行为仍需独立验证</x:v>
      </x:c>
      <x:c r="H841" s="82"/>
      <x:c r="I841" s="82"/>
      <x:c r="J841" s="82"/>
      <x:c r="K841" s="82"/>
    </x:row>
    <x:row r="842">
      <x:c r="A842" s="82" t="str">
        <x:v>Visual</x:v>
      </x:c>
      <x:c r="B842" s="82" t="str">
        <x:v>CxSelectionService</x:v>
      </x:c>
      <x:c r="C842" s="82" t="str">
        <x:v>Platform/Workbench/Editing/CxSelectionService.cs</x:v>
      </x:c>
      <x:c r="D842" s="82" t="n">
        <x:v>41</x:v>
      </x:c>
      <x:c r="E842" s="82" t="str">
        <x:v>public void Select(CxNode node) { SelectRange(new[] { node }); }</x:v>
      </x:c>
      <x:c r="F842" s="82" t="str">
        <x:v>V7.8源代码公开声明（非新API定案）</x:v>
      </x:c>
      <x:c r="G842" s="82" t="str">
        <x:v>V7.8静态读取；实际方法行为仍需独立验证</x:v>
      </x:c>
      <x:c r="H842" s="82"/>
      <x:c r="I842" s="82"/>
      <x:c r="J842" s="82"/>
      <x:c r="K842" s="82"/>
    </x:row>
    <x:row r="843">
      <x:c r="A843" s="82" t="str">
        <x:v>Visual</x:v>
      </x:c>
      <x:c r="B843" s="82" t="str">
        <x:v>CxSelectionService</x:v>
      </x:c>
      <x:c r="C843" s="82" t="str">
        <x:v>Platform/Workbench/Editing/CxSelectionService.cs</x:v>
      </x:c>
      <x:c r="D843" s="82" t="n">
        <x:v>42</x:v>
      </x:c>
      <x:c r="E843" s="82" t="str">
        <x:v>public void SelectRange(IEnumerable&lt;CxNode&gt; nodes)</x:v>
      </x:c>
      <x:c r="F843" s="82" t="str">
        <x:v>V7.8源代码公开声明（非新API定案）</x:v>
      </x:c>
      <x:c r="G843" s="82" t="str">
        <x:v>V7.8静态读取；实际方法行为仍需独立验证</x:v>
      </x:c>
      <x:c r="H843" s="82"/>
      <x:c r="I843" s="82"/>
      <x:c r="J843" s="82"/>
      <x:c r="K843" s="82"/>
    </x:row>
    <x:row r="844">
      <x:c r="A844" s="82" t="str">
        <x:v>Visual</x:v>
      </x:c>
      <x:c r="B844" s="82" t="str">
        <x:v>CxSelectionService</x:v>
      </x:c>
      <x:c r="C844" s="82" t="str">
        <x:v>Platform/Workbench/Editing/CxSelectionService.cs</x:v>
      </x:c>
      <x:c r="D844" s="82" t="n">
        <x:v>51</x:v>
      </x:c>
      <x:c r="E844" s="82" t="str">
        <x:v>public void Add(CxNode node)</x:v>
      </x:c>
      <x:c r="F844" s="82" t="str">
        <x:v>V7.8源代码公开声明（非新API定案）</x:v>
      </x:c>
      <x:c r="G844" s="82" t="str">
        <x:v>V7.8静态读取；实际方法行为仍需独立验证</x:v>
      </x:c>
      <x:c r="H844" s="82"/>
      <x:c r="I844" s="82"/>
      <x:c r="J844" s="82"/>
      <x:c r="K844" s="82"/>
    </x:row>
    <x:row r="845">
      <x:c r="A845" s="82" t="str">
        <x:v>Visual</x:v>
      </x:c>
      <x:c r="B845" s="82" t="str">
        <x:v>CxSelectionService</x:v>
      </x:c>
      <x:c r="C845" s="82" t="str">
        <x:v>Platform/Workbench/Editing/CxSelectionService.cs</x:v>
      </x:c>
      <x:c r="D845" s="82" t="n">
        <x:v>57</x:v>
      </x:c>
      <x:c r="E845" s="82" t="str">
        <x:v>public bool Remove(CxNode node)</x:v>
      </x:c>
      <x:c r="F845" s="82" t="str">
        <x:v>V7.8源代码公开声明（非新API定案）</x:v>
      </x:c>
      <x:c r="G845" s="82" t="str">
        <x:v>V7.8静态读取；实际方法行为仍需独立验证</x:v>
      </x:c>
      <x:c r="H845" s="82"/>
      <x:c r="I845" s="82"/>
      <x:c r="J845" s="82"/>
      <x:c r="K845" s="82"/>
    </x:row>
    <x:row r="846">
      <x:c r="A846" s="82" t="str">
        <x:v>Visual</x:v>
      </x:c>
      <x:c r="B846" s="82" t="str">
        <x:v>CxSelectionService</x:v>
      </x:c>
      <x:c r="C846" s="82" t="str">
        <x:v>Platform/Workbench/Editing/CxSelectionService.cs</x:v>
      </x:c>
      <x:c r="D846" s="82" t="n">
        <x:v>62</x:v>
      </x:c>
      <x:c r="E846" s="82" t="str">
        <x:v>public void Clear()</x:v>
      </x:c>
      <x:c r="F846" s="82" t="str">
        <x:v>V7.8源代码公开声明（非新API定案）</x:v>
      </x:c>
      <x:c r="G846" s="82" t="str">
        <x:v>V7.8静态读取；实际方法行为仍需独立验证</x:v>
      </x:c>
      <x:c r="H846" s="82"/>
      <x:c r="I846" s="82"/>
      <x:c r="J846" s="82"/>
      <x:c r="K846" s="82"/>
    </x:row>
    <x:row r="847">
      <x:c r="A847" s="82" t="str">
        <x:v>Visual</x:v>
      </x:c>
      <x:c r="B847" s="82" t="str">
        <x:v>CxSelectionService</x:v>
      </x:c>
      <x:c r="C847" s="82" t="str">
        <x:v>Platform/Workbench/Editing/CxSelectionService.cs</x:v>
      </x:c>
      <x:c r="D847" s="82" t="n">
        <x:v>67</x:v>
      </x:c>
      <x:c r="E847" s="82" t="str">
        <x:v>public void Toggle(CxNode node) { Demand(); Check(node); if (!Remove(node)) Add(node); }</x:v>
      </x:c>
      <x:c r="F847" s="82" t="str">
        <x:v>V7.8源代码公开声明（非新API定案）</x:v>
      </x:c>
      <x:c r="G847" s="82" t="str">
        <x:v>V7.8静态读取；实际方法行为仍需独立验证</x:v>
      </x:c>
      <x:c r="H847" s="82"/>
      <x:c r="I847" s="82"/>
      <x:c r="J847" s="82"/>
      <x:c r="K847" s="82"/>
    </x:row>
    <x:row r="848">
      <x:c r="A848" s="82" t="str">
        <x:v>Visual</x:v>
      </x:c>
      <x:c r="B848" s="82" t="str">
        <x:v>CxSelectionService</x:v>
      </x:c>
      <x:c r="C848" s="82" t="str">
        <x:v>Platform/Workbench/Editing/CxSelectionService.cs</x:v>
      </x:c>
      <x:c r="D848" s="82" t="n">
        <x:v>68</x:v>
      </x:c>
      <x:c r="E848" s="82" t="str">
        <x:v>public void Dispose() { _thread.Demand(); if (_disposed) return; _observer.Dispose(); _selected.Clear(); _disposed = true; }</x:v>
      </x:c>
      <x:c r="F848" s="82" t="str">
        <x:v>V7.8源代码公开声明（非新API定案）</x:v>
      </x:c>
      <x:c r="G848" s="82" t="str">
        <x:v>V7.8静态读取；实际方法行为仍需独立验证</x:v>
      </x:c>
      <x:c r="H848" s="82"/>
      <x:c r="I848" s="82"/>
      <x:c r="J848" s="82"/>
      <x:c r="K848" s="82"/>
    </x:row>
    <x:row r="849">
      <x:c r="A849" s="82" t="str">
        <x:v>WPF</x:v>
      </x:c>
      <x:c r="B849" s="82" t="str">
        <x:v>SceneView</x:v>
      </x:c>
      <x:c r="C849" s="82" t="str">
        <x:v>Platform.Presentation.Wpf/Rendering/SceneView.cs</x:v>
      </x:c>
      <x:c r="D849" s="82" t="n">
        <x:v>17</x:v>
      </x:c>
      <x:c r="E849" s="82" t="str">
        <x:v>public SceneView()</x:v>
      </x:c>
      <x:c r="F849" s="82" t="str">
        <x:v>V7.8源代码公开声明（非新API定案）</x:v>
      </x:c>
      <x:c r="G849" s="82" t="str">
        <x:v>V7.8静态读取；实际方法行为仍需独立验证</x:v>
      </x:c>
      <x:c r="H849" s="82"/>
      <x:c r="I849" s="82"/>
      <x:c r="J849" s="82"/>
      <x:c r="K849" s="82"/>
    </x:row>
    <x:row r="850">
      <x:c r="A850" s="82" t="str">
        <x:v>WPF</x:v>
      </x:c>
      <x:c r="B850" s="82" t="str">
        <x:v>SceneView</x:v>
      </x:c>
      <x:c r="C850" s="82" t="str">
        <x:v>Platform.Presentation.Wpf/Rendering/SceneView.cs</x:v>
      </x:c>
      <x:c r="D850" s="82" t="n">
        <x:v>31</x:v>
      </x:c>
      <x:c r="E850" s="82" t="str">
        <x:v>public PageModel Page { get; private set; }</x:v>
      </x:c>
      <x:c r="F850" s="82" t="str">
        <x:v>V7.8源代码公开声明（非新API定案）</x:v>
      </x:c>
      <x:c r="G850" s="82" t="str">
        <x:v>V7.8静态读取；实际方法行为仍需独立验证</x:v>
      </x:c>
      <x:c r="H850" s="82"/>
      <x:c r="I850" s="82"/>
      <x:c r="J850" s="82"/>
      <x:c r="K850" s="82"/>
    </x:row>
    <x:row r="851">
      <x:c r="A851" s="82" t="str">
        <x:v>WPF</x:v>
      </x:c>
      <x:c r="B851" s="82" t="str">
        <x:v>SceneView</x:v>
      </x:c>
      <x:c r="C851" s="82" t="str">
        <x:v>Platform.Presentation.Wpf/Rendering/SceneView.cs</x:v>
      </x:c>
      <x:c r="D851" s="82" t="n">
        <x:v>32</x:v>
      </x:c>
      <x:c r="E851" s="82" t="str">
        <x:v>public double Zoom { get; set; }</x:v>
      </x:c>
      <x:c r="F851" s="82" t="str">
        <x:v>V7.8源代码公开声明（非新API定案）</x:v>
      </x:c>
      <x:c r="G851" s="82" t="str">
        <x:v>V7.8静态读取；实际方法行为仍需独立验证</x:v>
      </x:c>
      <x:c r="H851" s="82"/>
      <x:c r="I851" s="82"/>
      <x:c r="J851" s="82"/>
      <x:c r="K851" s="82"/>
    </x:row>
    <x:row r="852">
      <x:c r="A852" s="82" t="str">
        <x:v>WPF</x:v>
      </x:c>
      <x:c r="B852" s="82" t="str">
        <x:v>SceneView</x:v>
      </x:c>
      <x:c r="C852" s="82" t="str">
        <x:v>Platform.Presentation.Wpf/Rendering/SceneView.cs</x:v>
      </x:c>
      <x:c r="D852" s="82" t="n">
        <x:v>33</x:v>
      </x:c>
      <x:c r="E852" s="82" t="str">
        <x:v>public double PanX { get; set; }</x:v>
      </x:c>
      <x:c r="F852" s="82" t="str">
        <x:v>V7.8源代码公开声明（非新API定案）</x:v>
      </x:c>
      <x:c r="G852" s="82" t="str">
        <x:v>V7.8静态读取；实际方法行为仍需独立验证</x:v>
      </x:c>
      <x:c r="H852" s="82"/>
      <x:c r="I852" s="82"/>
      <x:c r="J852" s="82"/>
      <x:c r="K852" s="82"/>
    </x:row>
    <x:row r="853">
      <x:c r="A853" s="82" t="str">
        <x:v>WPF</x:v>
      </x:c>
      <x:c r="B853" s="82" t="str">
        <x:v>SceneView</x:v>
      </x:c>
      <x:c r="C853" s="82" t="str">
        <x:v>Platform.Presentation.Wpf/Rendering/SceneView.cs</x:v>
      </x:c>
      <x:c r="D853" s="82" t="n">
        <x:v>34</x:v>
      </x:c>
      <x:c r="E853" s="82" t="str">
        <x:v>public double PanY { get; set; }</x:v>
      </x:c>
      <x:c r="F853" s="82" t="str">
        <x:v>V7.8源代码公开声明（非新API定案）</x:v>
      </x:c>
      <x:c r="G853" s="82" t="str">
        <x:v>V7.8静态读取；实际方法行为仍需独立验证</x:v>
      </x:c>
      <x:c r="H853" s="82"/>
      <x:c r="I853" s="82"/>
      <x:c r="J853" s="82"/>
      <x:c r="K853" s="82"/>
    </x:row>
    <x:row r="854">
      <x:c r="A854" s="82" t="str">
        <x:v>WPF</x:v>
      </x:c>
      <x:c r="B854" s="82" t="str">
        <x:v>SceneView</x:v>
      </x:c>
      <x:c r="C854" s="82" t="str">
        <x:v>Platform.Presentation.Wpf/Rendering/SceneView.cs</x:v>
      </x:c>
      <x:c r="D854" s="82" t="n">
        <x:v>35</x:v>
      </x:c>
      <x:c r="E854" s="82" t="str">
        <x:v>public double PagePadding { get; set; }</x:v>
      </x:c>
      <x:c r="F854" s="82" t="str">
        <x:v>V7.8源代码公开声明（非新API定案）</x:v>
      </x:c>
      <x:c r="G854" s="82" t="str">
        <x:v>V7.8静态读取；实际方法行为仍需独立验证</x:v>
      </x:c>
      <x:c r="H854" s="82"/>
      <x:c r="I854" s="82"/>
      <x:c r="J854" s="82"/>
      <x:c r="K854" s="82"/>
    </x:row>
    <x:row r="855">
      <x:c r="A855" s="82" t="str">
        <x:v>WPF</x:v>
      </x:c>
      <x:c r="B855" s="82" t="str">
        <x:v>SceneView</x:v>
      </x:c>
      <x:c r="C855" s="82" t="str">
        <x:v>Platform.Presentation.Wpf/Rendering/SceneView.cs</x:v>
      </x:c>
      <x:c r="D855" s="82" t="n">
        <x:v>36</x:v>
      </x:c>
      <x:c r="E855" s="82" t="str">
        <x:v>public bool ShowGrid { get; set; }</x:v>
      </x:c>
      <x:c r="F855" s="82" t="str">
        <x:v>V7.8源代码公开声明（非新API定案）</x:v>
      </x:c>
      <x:c r="G855" s="82" t="str">
        <x:v>V7.8静态读取；实际方法行为仍需独立验证</x:v>
      </x:c>
      <x:c r="H855" s="82"/>
      <x:c r="I855" s="82"/>
      <x:c r="J855" s="82"/>
      <x:c r="K855" s="82"/>
    </x:row>
    <x:row r="856">
      <x:c r="A856" s="82" t="str">
        <x:v>WPF</x:v>
      </x:c>
      <x:c r="B856" s="82" t="str">
        <x:v>SceneView</x:v>
      </x:c>
      <x:c r="C856" s="82" t="str">
        <x:v>Platform.Presentation.Wpf/Rendering/SceneView.cs</x:v>
      </x:c>
      <x:c r="D856" s="82" t="n">
        <x:v>37</x:v>
      </x:c>
      <x:c r="E856" s="82" t="str">
        <x:v>public bool ShowPageBoundary { get; set; }</x:v>
      </x:c>
      <x:c r="F856" s="82" t="str">
        <x:v>V7.8源代码公开声明（非新API定案）</x:v>
      </x:c>
      <x:c r="G856" s="82" t="str">
        <x:v>V7.8静态读取；实际方法行为仍需独立验证</x:v>
      </x:c>
      <x:c r="H856" s="82"/>
      <x:c r="I856" s="82"/>
      <x:c r="J856" s="82"/>
      <x:c r="K856" s="82"/>
    </x:row>
    <x:row r="857">
      <x:c r="A857" s="82" t="str">
        <x:v>WPF</x:v>
      </x:c>
      <x:c r="B857" s="82" t="str">
        <x:v>SceneView</x:v>
      </x:c>
      <x:c r="C857" s="82" t="str">
        <x:v>Platform.Presentation.Wpf/Rendering/SceneView.cs</x:v>
      </x:c>
      <x:c r="D857" s="82" t="n">
        <x:v>38</x:v>
      </x:c>
      <x:c r="E857" s="82" t="str">
        <x:v>public double GridSize { get; set; }</x:v>
      </x:c>
      <x:c r="F857" s="82" t="str">
        <x:v>V7.8源代码公开声明（非新API定案）</x:v>
      </x:c>
      <x:c r="G857" s="82" t="str">
        <x:v>V7.8静态读取；实际方法行为仍需独立验证</x:v>
      </x:c>
      <x:c r="H857" s="82"/>
      <x:c r="I857" s="82"/>
      <x:c r="J857" s="82"/>
      <x:c r="K857" s="82"/>
    </x:row>
    <x:row r="858">
      <x:c r="A858" s="82" t="str">
        <x:v>WPF</x:v>
      </x:c>
      <x:c r="B858" s="82" t="str">
        <x:v>SceneView</x:v>
      </x:c>
      <x:c r="C858" s="82" t="str">
        <x:v>Platform.Presentation.Wpf/Rendering/SceneView.cs</x:v>
      </x:c>
      <x:c r="D858" s="82" t="n">
        <x:v>39</x:v>
      </x:c>
      <x:c r="E858" s="82" t="str">
        <x:v>public ElementRendererRegistry Renderers { get; private set; }</x:v>
      </x:c>
      <x:c r="F858" s="82" t="str">
        <x:v>V7.8源代码公开声明（非新API定案）</x:v>
      </x:c>
      <x:c r="G858" s="82" t="str">
        <x:v>V7.8静态读取；实际方法行为仍需独立验证</x:v>
      </x:c>
      <x:c r="H858" s="82"/>
      <x:c r="I858" s="82"/>
      <x:c r="J858" s="82"/>
      <x:c r="K858" s="82"/>
    </x:row>
    <x:row r="859">
      <x:c r="A859" s="82" t="str">
        <x:v>WPF</x:v>
      </x:c>
      <x:c r="B859" s="82" t="str">
        <x:v>SceneView</x:v>
      </x:c>
      <x:c r="C859" s="82" t="str">
        <x:v>Platform.Presentation.Wpf/Rendering/SceneView.cs</x:v>
      </x:c>
      <x:c r="D859" s="82" t="n">
        <x:v>40</x:v>
      </x:c>
      <x:c r="E859" s="82" t="str">
        <x:v>public PropertyMetadataRegistry PropertyMetadata { get; set; }</x:v>
      </x:c>
      <x:c r="F859" s="82" t="str">
        <x:v>V7.8源代码公开声明（非新API定案）</x:v>
      </x:c>
      <x:c r="G859" s="82" t="str">
        <x:v>V7.8静态读取；实际方法行为仍需独立验证</x:v>
      </x:c>
      <x:c r="H859" s="82"/>
      <x:c r="I859" s="82"/>
      <x:c r="J859" s="82"/>
      <x:c r="K859" s="82"/>
    </x:row>
    <x:row r="860">
      <x:c r="A860" s="82" t="str">
        <x:v>WPF</x:v>
      </x:c>
      <x:c r="B860" s="82" t="str">
        <x:v>SceneView</x:v>
      </x:c>
      <x:c r="C860" s="82" t="str">
        <x:v>Platform.Presentation.Wpf/Rendering/SceneView.cs</x:v>
      </x:c>
      <x:c r="D860" s="82" t="n">
        <x:v>41</x:v>
      </x:c>
      <x:c r="E860" s="82" t="str">
        <x:v>public Func&lt;string, string, object&gt; RuntimeValueAccessor { get; set; }</x:v>
      </x:c>
      <x:c r="F860" s="82" t="str">
        <x:v>V7.8源代码公开声明（非新API定案）</x:v>
      </x:c>
      <x:c r="G860" s="82" t="str">
        <x:v>V7.8静态读取；实际方法行为仍需独立验证</x:v>
      </x:c>
      <x:c r="H860" s="82"/>
      <x:c r="I860" s="82"/>
      <x:c r="J860" s="82"/>
      <x:c r="K860" s="82"/>
    </x:row>
    <x:row r="861">
      <x:c r="A861" s="82" t="str">
        <x:v>WPF</x:v>
      </x:c>
      <x:c r="B861" s="82" t="str">
        <x:v>SceneView</x:v>
      </x:c>
      <x:c r="C861" s="82" t="str">
        <x:v>Platform.Presentation.Wpf/Rendering/SceneView.cs</x:v>
      </x:c>
      <x:c r="D861" s="82" t="n">
        <x:v>42</x:v>
      </x:c>
      <x:c r="E861" s="82" t="str">
        <x:v>public Func&lt;string, SymbolDefinition&gt; SymbolDefinitionResolver { get; set; }</x:v>
      </x:c>
      <x:c r="F861" s="82" t="str">
        <x:v>V7.8源代码公开声明（非新API定案）</x:v>
      </x:c>
      <x:c r="G861" s="82" t="str">
        <x:v>V7.8静态读取；实际方法行为仍需独立验证</x:v>
      </x:c>
      <x:c r="H861" s="82"/>
      <x:c r="I861" s="82"/>
      <x:c r="J861" s="82"/>
      <x:c r="K861" s="82"/>
    </x:row>
    <x:row r="862">
      <x:c r="A862" s="82" t="str">
        <x:v>WPF</x:v>
      </x:c>
      <x:c r="B862" s="82" t="str">
        <x:v>SceneView</x:v>
      </x:c>
      <x:c r="C862" s="82" t="str">
        <x:v>Platform.Presentation.Wpf/Rendering/SceneView.cs</x:v>
      </x:c>
      <x:c r="D862" s="82" t="n">
        <x:v>43</x:v>
      </x:c>
      <x:c r="E862" s="82" t="str">
        <x:v>public Func&lt;string, ElementModel&gt; ElementResolver { get; set; }</x:v>
      </x:c>
      <x:c r="F862" s="82" t="str">
        <x:v>V7.8源代码公开声明（非新API定案）</x:v>
      </x:c>
      <x:c r="G862" s="82" t="str">
        <x:v>V7.8静态读取；实际方法行为仍需独立验证</x:v>
      </x:c>
      <x:c r="H862" s="82"/>
      <x:c r="I862" s="82"/>
      <x:c r="J862" s="82"/>
      <x:c r="K862" s="82"/>
    </x:row>
    <x:row r="863">
      <x:c r="A863" s="82" t="str">
        <x:v>WPF</x:v>
      </x:c>
      <x:c r="B863" s="82" t="str">
        <x:v>SceneView</x:v>
      </x:c>
      <x:c r="C863" s="82" t="str">
        <x:v>Platform.Presentation.Wpf/Rendering/SceneView.cs</x:v>
      </x:c>
      <x:c r="D863" s="82" t="n">
        <x:v>44</x:v>
      </x:c>
      <x:c r="E863" s="82" t="str">
        <x:v>public bool RenderStandardControls { get; set; }</x:v>
      </x:c>
      <x:c r="F863" s="82" t="str">
        <x:v>V7.8源代码公开声明（非新API定案）</x:v>
      </x:c>
      <x:c r="G863" s="82" t="str">
        <x:v>V7.8静态读取；实际方法行为仍需独立验证</x:v>
      </x:c>
      <x:c r="H863" s="82"/>
      <x:c r="I863" s="82"/>
      <x:c r="J863" s="82"/>
      <x:c r="K863" s="82"/>
    </x:row>
    <x:row r="864">
      <x:c r="A864" s="82" t="str">
        <x:v>WPF</x:v>
      </x:c>
      <x:c r="B864" s="82" t="str">
        <x:v>SceneView</x:v>
      </x:c>
      <x:c r="C864" s="82" t="str">
        <x:v>Platform.Presentation.Wpf/Rendering/SceneView.cs</x:v>
      </x:c>
      <x:c r="D864" s="82" t="n">
        <x:v>47</x:v>
      </x:c>
      <x:c r="E864" s="82" t="str">
        <x:v>public void SetPage(PageModel page)</x:v>
      </x:c>
      <x:c r="F864" s="82" t="str">
        <x:v>V7.8源代码公开声明（非新API定案）</x:v>
      </x:c>
      <x:c r="G864" s="82" t="str">
        <x:v>V7.8静态读取；实际方法行为仍需独立验证</x:v>
      </x:c>
      <x:c r="H864" s="82"/>
      <x:c r="I864" s="82"/>
      <x:c r="J864" s="82"/>
      <x:c r="K864" s="82"/>
    </x:row>
    <x:row r="865">
      <x:c r="A865" s="82" t="str">
        <x:v>WPF</x:v>
      </x:c>
      <x:c r="B865" s="82" t="str">
        <x:v>SceneView</x:v>
      </x:c>
      <x:c r="C865" s="82" t="str">
        <x:v>Platform.Presentation.Wpf/Rendering/SceneView.cs</x:v>
      </x:c>
      <x:c r="D865" s="82" t="n">
        <x:v>53</x:v>
      </x:c>
      <x:c r="E865" s="82" t="str">
        <x:v>public void SetSelection(IEnumerable&lt;string&gt; selectedIds)</x:v>
      </x:c>
      <x:c r="F865" s="82" t="str">
        <x:v>V7.8源代码公开声明（非新API定案）</x:v>
      </x:c>
      <x:c r="G865" s="82" t="str">
        <x:v>V7.8静态读取；实际方法行为仍需独立验证</x:v>
      </x:c>
      <x:c r="H865" s="82"/>
      <x:c r="I865" s="82"/>
      <x:c r="J865" s="82"/>
      <x:c r="K865" s="82"/>
    </x:row>
    <x:row r="866">
      <x:c r="A866" s="82" t="str">
        <x:v>WPF</x:v>
      </x:c>
      <x:c r="B866" s="82" t="str">
        <x:v>SceneView</x:v>
      </x:c>
      <x:c r="C866" s="82" t="str">
        <x:v>Platform.Presentation.Wpf/Rendering/SceneView.cs</x:v>
      </x:c>
      <x:c r="D866" s="82" t="n">
        <x:v>59</x:v>
      </x:c>
      <x:c r="E866" s="82" t="str">
        <x:v>public void FitToViewport()</x:v>
      </x:c>
      <x:c r="F866" s="82" t="str">
        <x:v>V7.8源代码公开声明（非新API定案）</x:v>
      </x:c>
      <x:c r="G866" s="82" t="str">
        <x:v>V7.8静态读取；实际方法行为仍需独立验证</x:v>
      </x:c>
      <x:c r="H866" s="82"/>
      <x:c r="I866" s="82"/>
      <x:c r="J866" s="82"/>
      <x:c r="K866" s="82"/>
    </x:row>
    <x:row r="867">
      <x:c r="A867" s="82" t="str">
        <x:v>WPF</x:v>
      </x:c>
      <x:c r="B867" s="82" t="str">
        <x:v>SceneView</x:v>
      </x:c>
      <x:c r="C867" s="82" t="str">
        <x:v>Platform.Presentation.Wpf/Rendering/SceneView.cs</x:v>
      </x:c>
      <x:c r="D867" s="82" t="n">
        <x:v>70</x:v>
      </x:c>
      <x:c r="E867" s="82" t="str">
        <x:v>public Point2D ScreenToModel(Point point)</x:v>
      </x:c>
      <x:c r="F867" s="82" t="str">
        <x:v>V7.8源代码公开声明（非新API定案）</x:v>
      </x:c>
      <x:c r="G867" s="82" t="str">
        <x:v>V7.8静态读取；实际方法行为仍需独立验证</x:v>
      </x:c>
      <x:c r="H867" s="82"/>
      <x:c r="I867" s="82"/>
      <x:c r="J867" s="82"/>
      <x:c r="K867" s="82"/>
    </x:row>
    <x:row r="868">
      <x:c r="A868" s="82" t="str">
        <x:v>WPF</x:v>
      </x:c>
      <x:c r="B868" s="82" t="str">
        <x:v>SceneView</x:v>
      </x:c>
      <x:c r="C868" s="82" t="str">
        <x:v>Platform.Presentation.Wpf/Rendering/SceneView.cs</x:v>
      </x:c>
      <x:c r="D868" s="82" t="n">
        <x:v>75</x:v>
      </x:c>
      <x:c r="E868" s="82" t="str">
        <x:v>public Point ModelToScreen(Point2D point)</x:v>
      </x:c>
      <x:c r="F868" s="82" t="str">
        <x:v>V7.8源代码公开声明（非新API定案）</x:v>
      </x:c>
      <x:c r="G868" s="82" t="str">
        <x:v>V7.8静态读取；实际方法行为仍需独立验证</x:v>
      </x:c>
      <x:c r="H868" s="82"/>
      <x:c r="I868" s="82"/>
      <x:c r="J868" s="82"/>
      <x:c r="K868" s="82"/>
    </x:row>
    <x:row r="869">
      <x:c r="A869" s="82" t="str">
        <x:v>WPF</x:v>
      </x:c>
      <x:c r="B869" s="82" t="str">
        <x:v>SceneView</x:v>
      </x:c>
      <x:c r="C869" s="82" t="str">
        <x:v>Platform.Presentation.Wpf/Rendering/SceneView.cs</x:v>
      </x:c>
      <x:c r="D869" s="82" t="n">
        <x:v>85</x:v>
      </x:c>
      <x:c r="E869" s="82" t="str">
        <x:v>public ElementModel HitTestElement(Point screenPoint)</x:v>
      </x:c>
      <x:c r="F869" s="82" t="str">
        <x:v>V7.8源代码公开声明（非新API定案）</x:v>
      </x:c>
      <x:c r="G869" s="82" t="str">
        <x:v>V7.8静态读取；实际方法行为仍需独立验证</x:v>
      </x:c>
      <x:c r="H869" s="82"/>
      <x:c r="I869" s="82"/>
      <x:c r="J869" s="82"/>
      <x:c r="K869" s="82"/>
    </x:row>
    <x:row r="870">
      <x:c r="A870" s="82" t="str">
        <x:v>WPF</x:v>
      </x:c>
      <x:c r="B870" s="82" t="str">
        <x:v>SceneView</x:v>
      </x:c>
      <x:c r="C870" s="82" t="str">
        <x:v>Platform.Presentation.Wpf/Rendering/SceneView.cs</x:v>
      </x:c>
      <x:c r="D870" s="82" t="n">
        <x:v>109</x:v>
      </x:c>
      <x:c r="E870" s="82" t="str">
        <x:v>protected override void OnRender(DrawingContext context)</x:v>
      </x:c>
      <x:c r="F870" s="82" t="str">
        <x:v>V7.8源代码公开声明（非新API定案）</x:v>
      </x:c>
      <x:c r="G870" s="82" t="str">
        <x:v>V7.8静态读取；实际方法行为仍需独立验证</x:v>
      </x:c>
      <x:c r="H870" s="82"/>
      <x:c r="I870" s="82"/>
      <x:c r="J870" s="82"/>
      <x:c r="K870" s="82"/>
    </x:row>
    <x:row r="871">
      <x:c r="A871" s="82" t="str">
        <x:v>WPF</x:v>
      </x:c>
      <x:c r="B871" s="82" t="str">
        <x:v>SceneView</x:v>
      </x:c>
      <x:c r="C871" s="82" t="str">
        <x:v>Platform.Presentation.Wpf/Rendering/SceneView.cs</x:v>
      </x:c>
      <x:c r="D871" s="82" t="n">
        <x:v>133</x:v>
      </x:c>
      <x:c r="E871" s="82" t="str">
        <x:v>protected virtual void DrawDesignerOverlay(DrawingContext context) { }</x:v>
      </x:c>
      <x:c r="F871" s="82" t="str">
        <x:v>V7.8源代码公开声明（非新API定案）</x:v>
      </x:c>
      <x:c r="G871" s="82" t="str">
        <x:v>V7.8静态读取；实际方法行为仍需独立验证</x:v>
      </x:c>
      <x:c r="H871" s="82"/>
      <x:c r="I871" s="82"/>
      <x:c r="J871" s="82"/>
      <x:c r="K871" s="82"/>
    </x:row>
    <x:row r="872">
      <x:c r="A872" s="82" t="str">
        <x:v>WPF</x:v>
      </x:c>
      <x:c r="B872" s="82" t="str">
        <x:v>SceneView</x:v>
      </x:c>
      <x:c r="C872" s="82" t="str">
        <x:v>Platform.Presentation.Wpf/Rendering/SceneView.cs</x:v>
      </x:c>
      <x:c r="D872" s="82" t="n">
        <x:v>135</x:v>
      </x:c>
      <x:c r="E872" s="82" t="str">
        <x:v>protected virtual void DrawElement(DrawingContext context, ElementModel element)</x:v>
      </x:c>
      <x:c r="F872" s="82" t="str">
        <x:v>V7.8源代码公开声明（非新API定案）</x:v>
      </x:c>
      <x:c r="G872" s="82" t="str">
        <x:v>V7.8静态读取；实际方法行为仍需独立验证</x:v>
      </x:c>
      <x:c r="H872" s="82"/>
      <x:c r="I872" s="82"/>
      <x:c r="J872" s="82"/>
      <x:c r="K872" s="82"/>
    </x:row>
    <x:row r="873">
      <x:c r="A873" s="82" t="str">
        <x:v>WPF</x:v>
      </x:c>
      <x:c r="B873" s="82" t="str">
        <x:v>CxCanvasDrawingTarget</x:v>
      </x:c>
      <x:c r="C873" s="82" t="str">
        <x:v>Platform.Presentation.Wpf/Rendering/CxCanvasDrawingTarget.cs</x:v>
      </x:c>
      <x:c r="D873" s="82" t="n">
        <x:v>15</x:v>
      </x:c>
      <x:c r="E873" s="82" t="str">
        <x:v>public CxCanvasDrawingTarget(ElementRendererRegistry renderers = null, ElementFactoryRegistry factories = null)</x:v>
      </x:c>
      <x:c r="F873" s="82" t="str">
        <x:v>V7.8源代码公开声明（非新API定案）</x:v>
      </x:c>
      <x:c r="G873" s="82" t="str">
        <x:v>V7.8静态读取；实际方法行为仍需独立验证</x:v>
      </x:c>
      <x:c r="H873" s="82"/>
      <x:c r="I873" s="82"/>
      <x:c r="J873" s="82"/>
      <x:c r="K873" s="82"/>
    </x:row>
    <x:row r="874">
      <x:c r="A874" s="82" t="str">
        <x:v>WPF</x:v>
      </x:c>
      <x:c r="B874" s="82" t="str">
        <x:v>CxCanvasDrawingTarget</x:v>
      </x:c>
      <x:c r="C874" s="82" t="str">
        <x:v>Platform.Presentation.Wpf/Rendering/CxCanvasDrawingTarget.cs</x:v>
      </x:c>
      <x:c r="D874" s="82" t="n">
        <x:v>17</x:v>
      </x:c>
      <x:c r="E874" s="82" t="str">
        <x:v>public ElementRendererRegistry Renderers { get; }</x:v>
      </x:c>
      <x:c r="F874" s="82" t="str">
        <x:v>V7.8源代码公开声明（非新API定案）</x:v>
      </x:c>
      <x:c r="G874" s="82" t="str">
        <x:v>V7.8静态读取；实际方法行为仍需独立验证</x:v>
      </x:c>
      <x:c r="H874" s="82"/>
      <x:c r="I874" s="82"/>
      <x:c r="J874" s="82"/>
      <x:c r="K874" s="82"/>
    </x:row>
    <x:row r="875">
      <x:c r="A875" s="82" t="str">
        <x:v>WPF</x:v>
      </x:c>
      <x:c r="B875" s="82" t="str">
        <x:v>CxCanvasDrawingTarget</x:v>
      </x:c>
      <x:c r="C875" s="82" t="str">
        <x:v>Platform.Presentation.Wpf/Rendering/CxCanvasDrawingTarget.cs</x:v>
      </x:c>
      <x:c r="D875" s="82" t="n">
        <x:v>18</x:v>
      </x:c>
      <x:c r="E875" s="82" t="str">
        <x:v>public ElementFactoryRegistry Factories { get; }</x:v>
      </x:c>
      <x:c r="F875" s="82" t="str">
        <x:v>V7.8源代码公开声明（非新API定案）</x:v>
      </x:c>
      <x:c r="G875" s="82" t="str">
        <x:v>V7.8静态读取；实际方法行为仍需独立验证</x:v>
      </x:c>
      <x:c r="H875" s="82"/>
      <x:c r="I875" s="82"/>
      <x:c r="J875" s="82"/>
      <x:c r="K875" s="82"/>
    </x:row>
    <x:row r="876">
      <x:c r="A876" s="82" t="str">
        <x:v>WPF</x:v>
      </x:c>
      <x:c r="B876" s="82" t="str">
        <x:v>CxCanvasDrawingTarget</x:v>
      </x:c>
      <x:c r="C876" s="82" t="str">
        <x:v>Platform.Presentation.Wpf/Rendering/CxCanvasDrawingTarget.cs</x:v>
      </x:c>
      <x:c r="D876" s="82" t="n">
        <x:v>19</x:v>
      </x:c>
      <x:c r="E876" s="82" t="str">
        <x:v>public DrawingGroup Drawing { get; private set; }</x:v>
      </x:c>
      <x:c r="F876" s="82" t="str">
        <x:v>V7.8源代码公开声明（非新API定案）</x:v>
      </x:c>
      <x:c r="G876" s="82" t="str">
        <x:v>V7.8静态读取；实际方法行为仍需独立验证</x:v>
      </x:c>
      <x:c r="H876" s="82"/>
      <x:c r="I876" s="82"/>
      <x:c r="J876" s="82"/>
      <x:c r="K876" s="82"/>
    </x:row>
    <x:row r="877">
      <x:c r="A877" s="82" t="str">
        <x:v>WPF</x:v>
      </x:c>
      <x:c r="B877" s="82" t="str">
        <x:v>CxCanvasDrawingTarget</x:v>
      </x:c>
      <x:c r="C877" s="82" t="str">
        <x:v>Platform.Presentation.Wpf/Rendering/CxCanvasDrawingTarget.cs</x:v>
      </x:c>
      <x:c r="D877" s="82" t="n">
        <x:v>20</x:v>
      </x:c>
      <x:c r="E877" s="82" t="str">
        <x:v>public double PixelsPerDip { get; set; } = 1;</x:v>
      </x:c>
      <x:c r="F877" s="82" t="str">
        <x:v>V7.8源代码公开声明（非新API定案）</x:v>
      </x:c>
      <x:c r="G877" s="82" t="str">
        <x:v>V7.8静态读取；实际方法行为仍需独立验证</x:v>
      </x:c>
      <x:c r="H877" s="82"/>
      <x:c r="I877" s="82"/>
      <x:c r="J877" s="82"/>
      <x:c r="K877" s="82"/>
    </x:row>
    <x:row r="878">
      <x:c r="A878" s="82" t="str">
        <x:v>WPF</x:v>
      </x:c>
      <x:c r="B878" s="82" t="str">
        <x:v>CxCanvasDrawingTarget</x:v>
      </x:c>
      <x:c r="C878" s="82" t="str">
        <x:v>Platform.Presentation.Wpf/Rendering/CxCanvasDrawingTarget.cs</x:v>
      </x:c>
      <x:c r="D878" s="82" t="n">
        <x:v>21</x:v>
      </x:c>
      <x:c r="E878" s="82" t="str">
        <x:v>public void Render(CxCanvasFrame frame)</x:v>
      </x:c>
      <x:c r="F878" s="82" t="str">
        <x:v>V7.8源代码公开声明（非新API定案）</x:v>
      </x:c>
      <x:c r="G878" s="82" t="str">
        <x:v>V7.8静态读取；实际方法行为仍需独立验证</x:v>
      </x:c>
      <x:c r="H878" s="82"/>
      <x:c r="I878" s="82"/>
      <x:c r="J878" s="82"/>
      <x:c r="K878" s="82"/>
    </x:row>
    <x:row r="879">
      <x:c r="A879" s="82" t="str">
        <x:v>WPF</x:v>
      </x:c>
      <x:c r="B879" s="82" t="str">
        <x:v>CxDiagramDrawingTarget</x:v>
      </x:c>
      <x:c r="C879" s="82" t="str">
        <x:v>Platform.Presentation.Wpf/Rendering/CxDiagramDrawingTarget.cs</x:v>
      </x:c>
      <x:c r="D879" s="82" t="n">
        <x:v>15</x:v>
      </x:c>
      <x:c r="E879" s="82" t="str">
        <x:v>public DrawingGroup Drawing { get; private set; }</x:v>
      </x:c>
      <x:c r="F879" s="82" t="str">
        <x:v>V7.8源代码公开声明（非新API定案）</x:v>
      </x:c>
      <x:c r="G879" s="82" t="str">
        <x:v>V7.8静态读取；实际方法行为仍需独立验证</x:v>
      </x:c>
      <x:c r="H879" s="82"/>
      <x:c r="I879" s="82"/>
      <x:c r="J879" s="82"/>
      <x:c r="K879" s="82"/>
    </x:row>
    <x:row r="880">
      <x:c r="A880" s="82" t="str">
        <x:v>WPF</x:v>
      </x:c>
      <x:c r="B880" s="82" t="str">
        <x:v>CxDiagramDrawingTarget</x:v>
      </x:c>
      <x:c r="C880" s="82" t="str">
        <x:v>Platform.Presentation.Wpf/Rendering/CxDiagramDrawingTarget.cs</x:v>
      </x:c>
      <x:c r="D880" s="82" t="n">
        <x:v>16</x:v>
      </x:c>
      <x:c r="E880" s="82" t="str">
        <x:v>public double PixelsPerDip { get; set; } = 1;</x:v>
      </x:c>
      <x:c r="F880" s="82" t="str">
        <x:v>V7.8源代码公开声明（非新API定案）</x:v>
      </x:c>
      <x:c r="G880" s="82" t="str">
        <x:v>V7.8静态读取；实际方法行为仍需独立验证</x:v>
      </x:c>
      <x:c r="H880" s="82"/>
      <x:c r="I880" s="82"/>
      <x:c r="J880" s="82"/>
      <x:c r="K880" s="82"/>
    </x:row>
    <x:row r="881">
      <x:c r="A881" s="82" t="str">
        <x:v>WPF</x:v>
      </x:c>
      <x:c r="B881" s="82" t="str">
        <x:v>CxDiagramDrawingTarget</x:v>
      </x:c>
      <x:c r="C881" s="82" t="str">
        <x:v>Platform.Presentation.Wpf/Rendering/CxDiagramDrawingTarget.cs</x:v>
      </x:c>
      <x:c r="D881" s="82" t="n">
        <x:v>17</x:v>
      </x:c>
      <x:c r="E881" s="82" t="str">
        <x:v>public void Render(CxDiagramFrame frame)</x:v>
      </x:c>
      <x:c r="F881" s="82" t="str">
        <x:v>V7.8源代码公开声明（非新API定案）</x:v>
      </x:c>
      <x:c r="G881" s="82" t="str">
        <x:v>V7.8静态读取；实际方法行为仍需独立验证</x:v>
      </x:c>
      <x:c r="H881" s="82"/>
      <x:c r="I881" s="82"/>
      <x:c r="J881" s="82"/>
      <x:c r="K881" s="82"/>
    </x:row>
    <x:row r="882">
      <x:c r="A882" s="82" t="str">
        <x:v>WPF</x:v>
      </x:c>
      <x:c r="B882" s="82" t="str">
        <x:v>LogicDesignerViewModel</x:v>
      </x:c>
      <x:c r="C882" s="82" t="str">
        <x:v>Workbenches/Presentation.Wpf/Automation/LogicDesigner.cs</x:v>
      </x:c>
      <x:c r="D882" s="82" t="n">
        <x:v>15</x:v>
      </x:c>
      <x:c r="E882" s="82" t="str">
        <x:v>public LogicDesignerViewModel(LogicDefinition definition, ILogicOperationCatalog catalog)</x:v>
      </x:c>
      <x:c r="F882" s="82" t="str">
        <x:v>V7.8源代码公开声明（非新API定案）</x:v>
      </x:c>
      <x:c r="G882" s="82" t="str">
        <x:v>V7.8静态读取；实际方法行为仍需独立验证</x:v>
      </x:c>
      <x:c r="H882" s="82"/>
      <x:c r="I882" s="82"/>
      <x:c r="J882" s="82"/>
      <x:c r="K882" s="82"/>
    </x:row>
    <x:row r="883">
      <x:c r="A883" s="82" t="str">
        <x:v>WPF</x:v>
      </x:c>
      <x:c r="B883" s="82" t="str">
        <x:v>LogicDesignerViewModel</x:v>
      </x:c>
      <x:c r="C883" s="82" t="str">
        <x:v>Workbenches/Presentation.Wpf/Automation/LogicDesigner.cs</x:v>
      </x:c>
      <x:c r="D883" s="82" t="n">
        <x:v>23</x:v>
      </x:c>
      <x:c r="E883" s="82" t="str">
        <x:v>public LogicAuthoringDocument Document { get; private set; }</x:v>
      </x:c>
      <x:c r="F883" s="82" t="str">
        <x:v>V7.8源代码公开声明（非新API定案）</x:v>
      </x:c>
      <x:c r="G883" s="82" t="str">
        <x:v>V7.8静态读取；实际方法行为仍需独立验证</x:v>
      </x:c>
      <x:c r="H883" s="82"/>
      <x:c r="I883" s="82"/>
      <x:c r="J883" s="82"/>
      <x:c r="K883" s="82"/>
    </x:row>
    <x:row r="884">
      <x:c r="A884" s="82" t="str">
        <x:v>WPF</x:v>
      </x:c>
      <x:c r="B884" s="82" t="str">
        <x:v>LogicDesignerViewModel</x:v>
      </x:c>
      <x:c r="C884" s="82" t="str">
        <x:v>Workbenches/Presentation.Wpf/Automation/LogicDesigner.cs</x:v>
      </x:c>
      <x:c r="D884" s="82" t="n">
        <x:v>24</x:v>
      </x:c>
      <x:c r="E884" s="82" t="str">
        <x:v>public ILogicOperationCatalog Catalog { get; private set; }</x:v>
      </x:c>
      <x:c r="F884" s="82" t="str">
        <x:v>V7.8源代码公开声明（非新API定案）</x:v>
      </x:c>
      <x:c r="G884" s="82" t="str">
        <x:v>V7.8静态读取；实际方法行为仍需独立验证</x:v>
      </x:c>
      <x:c r="H884" s="82"/>
      <x:c r="I884" s="82"/>
      <x:c r="J884" s="82"/>
      <x:c r="K884" s="82"/>
    </x:row>
    <x:row r="885">
      <x:c r="A885" s="82" t="str">
        <x:v>WPF</x:v>
      </x:c>
      <x:c r="B885" s="82" t="str">
        <x:v>LogicDesignerViewModel</x:v>
      </x:c>
      <x:c r="C885" s="82" t="str">
        <x:v>Workbenches/Presentation.Wpf/Automation/LogicDesigner.cs</x:v>
      </x:c>
      <x:c r="D885" s="82" t="n">
        <x:v>25</x:v>
      </x:c>
      <x:c r="E885" s="82" t="str">
        <x:v>public IReadOnlyDictionary&lt;string, LogicUnitViewState&gt; RuntimeOverlay { get; private set; } =</x:v>
      </x:c>
      <x:c r="F885" s="82" t="str">
        <x:v>V7.8源代码公开声明（非新API定案）</x:v>
      </x:c>
      <x:c r="G885" s="82" t="str">
        <x:v>V7.8静态读取；实际方法行为仍需独立验证</x:v>
      </x:c>
      <x:c r="H885" s="82"/>
      <x:c r="I885" s="82"/>
      <x:c r="J885" s="82"/>
      <x:c r="K885" s="82"/>
    </x:row>
    <x:row r="886">
      <x:c r="A886" s="82" t="str">
        <x:v>WPF</x:v>
      </x:c>
      <x:c r="B886" s="82" t="str">
        <x:v>LogicDesignerViewModel</x:v>
      </x:c>
      <x:c r="C886" s="82" t="str">
        <x:v>Workbenches/Presentation.Wpf/Automation/LogicDesigner.cs</x:v>
      </x:c>
      <x:c r="D886" s="82" t="n">
        <x:v>28</x:v>
      </x:c>
      <x:c r="E886" s="82" t="str">
        <x:v>public LogicUnit AddUnit(string operationId, double x, double y)</x:v>
      </x:c>
      <x:c r="F886" s="82" t="str">
        <x:v>V7.8源代码公开声明（非新API定案）</x:v>
      </x:c>
      <x:c r="G886" s="82" t="str">
        <x:v>V7.8静态读取；实际方法行为仍需独立验证</x:v>
      </x:c>
      <x:c r="H886" s="82"/>
      <x:c r="I886" s="82"/>
      <x:c r="J886" s="82"/>
      <x:c r="K886" s="82"/>
    </x:row>
    <x:row r="887">
      <x:c r="A887" s="82" t="str">
        <x:v>WPF</x:v>
      </x:c>
      <x:c r="B887" s="82" t="str">
        <x:v>LogicDesignerViewModel</x:v>
      </x:c>
      <x:c r="C887" s="82" t="str">
        <x:v>Workbenches/Presentation.Wpf/Automation/LogicDesigner.cs</x:v>
      </x:c>
      <x:c r="D887" s="82" t="n">
        <x:v>33</x:v>
      </x:c>
      <x:c r="E887" s="82" t="str">
        <x:v>public LogicLink Connect(string sourceUnitId, string sourcePort, string targetUnitId, string targetPort,</x:v>
      </x:c>
      <x:c r="F887" s="82" t="str">
        <x:v>V7.8源代码公开声明（非新API定案）</x:v>
      </x:c>
      <x:c r="G887" s="82" t="str">
        <x:v>V7.8静态读取；实际方法行为仍需独立验证</x:v>
      </x:c>
      <x:c r="H887" s="82"/>
      <x:c r="I887" s="82"/>
      <x:c r="J887" s="82"/>
      <x:c r="K887" s="82"/>
    </x:row>
    <x:row r="888">
      <x:c r="A888" s="82" t="str">
        <x:v>WPF</x:v>
      </x:c>
      <x:c r="B888" s="82" t="str">
        <x:v>LogicDesignerViewModel</x:v>
      </x:c>
      <x:c r="C888" s="82" t="str">
        <x:v>Workbenches/Presentation.Wpf/Automation/LogicDesigner.cs</x:v>
      </x:c>
      <x:c r="D888" s="82" t="n">
        <x:v>40</x:v>
      </x:c>
      <x:c r="E888" s="82" t="str">
        <x:v>public void MoveUnit(string unitId, double x, double y)</x:v>
      </x:c>
      <x:c r="F888" s="82" t="str">
        <x:v>V7.8源代码公开声明（非新API定案）</x:v>
      </x:c>
      <x:c r="G888" s="82" t="str">
        <x:v>V7.8静态读取；实际方法行为仍需独立验证</x:v>
      </x:c>
      <x:c r="H888" s="82"/>
      <x:c r="I888" s="82"/>
      <x:c r="J888" s="82"/>
      <x:c r="K888" s="82"/>
    </x:row>
    <x:row r="889">
      <x:c r="A889" s="82" t="str">
        <x:v>WPF</x:v>
      </x:c>
      <x:c r="B889" s="82" t="str">
        <x:v>LogicDesignerViewModel</x:v>
      </x:c>
      <x:c r="C889" s="82" t="str">
        <x:v>Workbenches/Presentation.Wpf/Automation/LogicDesigner.cs</x:v>
      </x:c>
      <x:c r="D889" s="82" t="n">
        <x:v>47</x:v>
      </x:c>
      <x:c r="E889" s="82" t="str">
        <x:v>public void SetRuntimeOverlay(IEnumerable&lt;LogicUnitViewState&gt; states)</x:v>
      </x:c>
      <x:c r="F889" s="82" t="str">
        <x:v>V7.8源代码公开声明（非新API定案）</x:v>
      </x:c>
      <x:c r="G889" s="82" t="str">
        <x:v>V7.8静态读取；实际方法行为仍需独立验证</x:v>
      </x:c>
      <x:c r="H889" s="82"/>
      <x:c r="I889" s="82"/>
      <x:c r="J889" s="82"/>
      <x:c r="K889" s="82"/>
    </x:row>
    <x:row r="890">
      <x:c r="A890" s="82" t="str">
        <x:v>WPF</x:v>
      </x:c>
      <x:c r="B890" s="82" t="str">
        <x:v>LogicDesignerViewModel</x:v>
      </x:c>
      <x:c r="C890" s="82" t="str">
        <x:v>Workbenches/Presentation.Wpf/Automation/LogicDesigner.cs</x:v>
      </x:c>
      <x:c r="D890" s="82" t="n">
        <x:v>54</x:v>
      </x:c>
      <x:c r="E890" s="82" t="str">
        <x:v>public void Undo() { Document.History.Undo(); Changed(); }</x:v>
      </x:c>
      <x:c r="F890" s="82" t="str">
        <x:v>V7.8源代码公开声明（非新API定案）</x:v>
      </x:c>
      <x:c r="G890" s="82" t="str">
        <x:v>V7.8静态读取；实际方法行为仍需独立验证</x:v>
      </x:c>
      <x:c r="H890" s="82"/>
      <x:c r="I890" s="82"/>
      <x:c r="J890" s="82"/>
      <x:c r="K890" s="82"/>
    </x:row>
    <x:row r="891">
      <x:c r="A891" s="82" t="str">
        <x:v>WPF</x:v>
      </x:c>
      <x:c r="B891" s="82" t="str">
        <x:v>LogicDesignerViewModel</x:v>
      </x:c>
      <x:c r="C891" s="82" t="str">
        <x:v>Workbenches/Presentation.Wpf/Automation/LogicDesigner.cs</x:v>
      </x:c>
      <x:c r="D891" s="82" t="n">
        <x:v>55</x:v>
      </x:c>
      <x:c r="E891" s="82" t="str">
        <x:v>public void Redo() { Document.History.Redo(); Changed(); }</x:v>
      </x:c>
      <x:c r="F891" s="82" t="str">
        <x:v>V7.8源代码公开声明（非新API定案）</x:v>
      </x:c>
      <x:c r="G891" s="82" t="str">
        <x:v>V7.8静态读取；实际方法行为仍需独立验证</x:v>
      </x:c>
      <x:c r="H891" s="82"/>
      <x:c r="I891" s="82"/>
      <x:c r="J891" s="82"/>
      <x:c r="K891" s="82"/>
    </x:row>
    <x:row r="892">
      <x:c r="A892" s="82" t="str">
        <x:v>WPF</x:v>
      </x:c>
      <x:c r="B892" s="82" t="str">
        <x:v>LogicUnitViewState</x:v>
      </x:c>
      <x:c r="C892" s="82" t="str">
        <x:v>Workbenches/Presentation.Wpf/Automation/LogicDesigner.cs</x:v>
      </x:c>
      <x:c r="D892" s="82" t="n">
        <x:v>61</x:v>
      </x:c>
      <x:c r="E892" s="82" t="str">
        <x:v>public string UnitId { get; set; }</x:v>
      </x:c>
      <x:c r="F892" s="82" t="str">
        <x:v>V7.8源代码公开声明（非新API定案）</x:v>
      </x:c>
      <x:c r="G892" s="82" t="str">
        <x:v>V7.8静态读取；实际方法行为仍需独立验证</x:v>
      </x:c>
      <x:c r="H892" s="82"/>
      <x:c r="I892" s="82"/>
      <x:c r="J892" s="82"/>
      <x:c r="K892" s="82"/>
    </x:row>
    <x:row r="893">
      <x:c r="A893" s="82" t="str">
        <x:v>WPF</x:v>
      </x:c>
      <x:c r="B893" s="82" t="str">
        <x:v>LogicUnitViewState</x:v>
      </x:c>
      <x:c r="C893" s="82" t="str">
        <x:v>Workbenches/Presentation.Wpf/Automation/LogicDesigner.cs</x:v>
      </x:c>
      <x:c r="D893" s="82" t="n">
        <x:v>62</x:v>
      </x:c>
      <x:c r="E893" s="82" t="str">
        <x:v>public string State { get; set; }</x:v>
      </x:c>
      <x:c r="F893" s="82" t="str">
        <x:v>V7.8源代码公开声明（非新API定案）</x:v>
      </x:c>
      <x:c r="G893" s="82" t="str">
        <x:v>V7.8静态读取；实际方法行为仍需独立验证</x:v>
      </x:c>
      <x:c r="H893" s="82"/>
      <x:c r="I893" s="82"/>
      <x:c r="J893" s="82"/>
      <x:c r="K893" s="82"/>
    </x:row>
    <x:row r="894">
      <x:c r="A894" s="82" t="str">
        <x:v>WPF</x:v>
      </x:c>
      <x:c r="B894" s="82" t="str">
        <x:v>LogicUnitViewState</x:v>
      </x:c>
      <x:c r="C894" s="82" t="str">
        <x:v>Workbenches/Presentation.Wpf/Automation/LogicDesigner.cs</x:v>
      </x:c>
      <x:c r="D894" s="82" t="n">
        <x:v>63</x:v>
      </x:c>
      <x:c r="E894" s="82" t="str">
        <x:v>public double Progress { get; set; }</x:v>
      </x:c>
      <x:c r="F894" s="82" t="str">
        <x:v>V7.8源代码公开声明（非新API定案）</x:v>
      </x:c>
      <x:c r="G894" s="82" t="str">
        <x:v>V7.8静态读取；实际方法行为仍需独立验证</x:v>
      </x:c>
      <x:c r="H894" s="82"/>
      <x:c r="I894" s="82"/>
      <x:c r="J894" s="82"/>
      <x:c r="K894" s="82"/>
    </x:row>
    <x:row r="895">
      <x:c r="A895" s="82" t="str">
        <x:v>WPF</x:v>
      </x:c>
      <x:c r="B895" s="82" t="str">
        <x:v>LogicUnitViewState</x:v>
      </x:c>
      <x:c r="C895" s="82" t="str">
        <x:v>Workbenches/Presentation.Wpf/Automation/LogicDesigner.cs</x:v>
      </x:c>
      <x:c r="D895" s="82" t="n">
        <x:v>64</x:v>
      </x:c>
      <x:c r="E895" s="82" t="str">
        <x:v>public string Error { get; set; }</x:v>
      </x:c>
      <x:c r="F895" s="82" t="str">
        <x:v>V7.8源代码公开声明（非新API定案）</x:v>
      </x:c>
      <x:c r="G895" s="82" t="str">
        <x:v>V7.8静态读取；实际方法行为仍需独立验证</x:v>
      </x:c>
      <x:c r="H895" s="82"/>
      <x:c r="I895" s="82"/>
      <x:c r="J895" s="82"/>
      <x:c r="K895" s="82"/>
    </x:row>
    <x:row r="896">
      <x:c r="A896" s="82" t="str">
        <x:v>WPF</x:v>
      </x:c>
      <x:c r="B896" s="82" t="str">
        <x:v>LogicDesignerControl</x:v>
      </x:c>
      <x:c r="C896" s="82" t="str">
        <x:v>Workbenches/Presentation.Wpf/Automation/LogicDesigner.cs</x:v>
      </x:c>
      <x:c r="D896" s="82" t="n">
        <x:v>70</x:v>
      </x:c>
      <x:c r="E896" s="82" t="str">
        <x:v>public LogicDesignerControl() { _canvas.NodeMoveCompleted += OnUnitMoveCompleted; Content = _canvas; }</x:v>
      </x:c>
      <x:c r="F896" s="82" t="str">
        <x:v>V7.8源代码公开声明（非新API定案）</x:v>
      </x:c>
      <x:c r="G896" s="82" t="str">
        <x:v>V7.8静态读取；实际方法行为仍需独立验证</x:v>
      </x:c>
      <x:c r="H896" s="82"/>
      <x:c r="I896" s="82"/>
      <x:c r="J896" s="82"/>
      <x:c r="K896" s="82"/>
    </x:row>
    <x:row r="897">
      <x:c r="A897" s="82" t="str">
        <x:v>WPF</x:v>
      </x:c>
      <x:c r="B897" s="82" t="str">
        <x:v>LogicDesignerControl</x:v>
      </x:c>
      <x:c r="C897" s="82" t="str">
        <x:v>Workbenches/Presentation.Wpf/Automation/LogicDesigner.cs</x:v>
      </x:c>
      <x:c r="D897" s="82" t="n">
        <x:v>71</x:v>
      </x:c>
      <x:c r="E897" s="82" t="str">
        <x:v>public LogicDesignerViewModel ViewModel { get { return DataContext as LogicDesignerViewModel; } set { DataContext = value; Refresh(); } }</x:v>
      </x:c>
      <x:c r="F897" s="82" t="str">
        <x:v>V7.8源代码公开声明（非新API定案）</x:v>
      </x:c>
      <x:c r="G897" s="82" t="str">
        <x:v>V7.8静态读取；实际方法行为仍需独立验证</x:v>
      </x:c>
      <x:c r="H897" s="82"/>
      <x:c r="I897" s="82"/>
      <x:c r="J897" s="82"/>
      <x:c r="K897" s="82"/>
    </x:row>
    <x:row r="898">
      <x:c r="A898" s="82" t="str">
        <x:v>WPF</x:v>
      </x:c>
      <x:c r="B898" s="82" t="str">
        <x:v>LogicDesignerControl</x:v>
      </x:c>
      <x:c r="C898" s="82" t="str">
        <x:v>Workbenches/Presentation.Wpf/Automation/LogicDesigner.cs</x:v>
      </x:c>
      <x:c r="D898" s="82" t="n">
        <x:v>73</x:v>
      </x:c>
      <x:c r="E898" s="82" t="str">
        <x:v>public void Refresh()</x:v>
      </x:c>
      <x:c r="F898" s="82" t="str">
        <x:v>V7.8源代码公开声明（非新API定案）</x:v>
      </x:c>
      <x:c r="G898" s="82" t="str">
        <x:v>V7.8静态读取；实际方法行为仍需独立验证</x:v>
      </x:c>
      <x:c r="H898" s="82"/>
      <x:c r="I898" s="82"/>
      <x:c r="J898" s="82"/>
      <x:c r="K898" s="82"/>
    </x:row>
    <x:row r="900">
      <x:c r="A900" s="119" t="str">
        <x:v>V6.1追溯附件：V1.19 1363条阶段类型原文，V7.8源码3331条类型声明；本项目表未增加未定Owner旧类型。</x:v>
      </x:c>
      <x:c r="B900" s="119" t="str"/>
      <x:c r="C900" s="119" t="str"/>
      <x:c r="D900" s="119" t="str"/>
      <x:c r="E900" s="119" t="str"/>
      <x:c r="F900" s="119" t="str"/>
      <x:c r="G900" s="119" t="str"/>
      <x:c r="H900" s="119" t="str"/>
    </x:row>
    <x:row r="902" ht="31.5" customHeight="1">
      <x:c r="A902" s="216" t="str">
        <x:v>V6.4专项：高/中风险类型Owner审核（仅提出建议，不能直接移除旧类）</x:v>
      </x:c>
      <x:c r="B902" s="216"/>
      <x:c r="C902" s="216"/>
      <x:c r="D902" s="216"/>
      <x:c r="E902" s="216"/>
      <x:c r="F902" s="216"/>
      <x:c r="G902" s="216"/>
      <x:c r="H902" s="216"/>
      <x:c r="I902" s="216"/>
      <x:c r="J902" s="216"/>
      <x:c r="K902" s="216"/>
      <x:c r="L902" s="216"/>
    </x:row>
    <x:row r="903" ht="31.5" customHeight="1">
      <x:c r="A903" s="216" t="str">
        <x:v>级别</x:v>
      </x:c>
      <x:c r="B903" s="216" t="str">
        <x:v>目标项目</x:v>
      </x:c>
      <x:c r="C903" s="216" t="str">
        <x:v>子方面</x:v>
      </x:c>
      <x:c r="D903" s="216" t="str">
        <x:v>目标类型</x:v>
      </x:c>
      <x:c r="E903" s="216" t="str">
        <x:v>原始类型</x:v>
      </x:c>
      <x:c r="F903" s="216" t="str">
        <x:v>旧源码位置</x:v>
      </x:c>
      <x:c r="G903" s="216" t="str">
        <x:v>问题</x:v>
      </x:c>
      <x:c r="H903" s="216" t="str">
        <x:v>建议Owner/处理</x:v>
      </x:c>
      <x:c r="I903" s="216" t="str">
        <x:v>V7.8声明级别</x:v>
      </x:c>
      <x:c r="J903" s="216" t="str">
        <x:v>来源ID</x:v>
      </x:c>
      <x:c r="K903" s="216" t="str">
        <x:v>实施方式</x:v>
      </x:c>
      <x:c r="L903" s="216" t="str">
        <x:v>验证状态</x:v>
      </x:c>
    </x:row>
    <x:row r="904" ht="31.5" customHeight="1">
      <x:c r="A904" s="215" t="str">
        <x:v>高</x:v>
      </x:c>
      <x:c r="B904" s="215" t="str">
        <x:v>CxVisual.Foundation.Core</x:v>
      </x:c>
      <x:c r="C904" s="215" t="str">
        <x:v>F01</x:v>
      </x:c>
      <x:c r="D904" s="215" t="str">
        <x:v>FOIConstHelper</x:v>
      </x:c>
      <x:c r="E904" s="215" t="str">
        <x:v>CommonInterfaces.ConstHelper</x:v>
      </x:c>
      <x:c r="F904" s="215" t="str">
        <x:v>Platform/CommonInterfaces/ConstHelper.cs</x:v>
      </x:c>
      <x:c r="G904" s="215" t="str">
        <x:v>F01纯基础职责/状态归属需复核</x:v>
      </x:c>
      <x:c r="H904" s="215" t="str">
        <x:v>拆分设备配置/业务常量到对应模块；F01仅保留无业务常量</x:v>
      </x:c>
      <x:c r="I904" s="215" t="str">
        <x:v>V7.8同名且源文件对应</x:v>
      </x:c>
      <x:c r="J904" s="215" t="str">
        <x:v>C-0001</x:v>
      </x:c>
      <x:c r="K904" s="215" t="str">
        <x:v>拆出建议</x:v>
      </x:c>
      <x:c r="L904" s="215" t="str">
        <x:v>设计审核，待源码与构建测试</x:v>
      </x:c>
    </x:row>
    <x:row r="905" ht="31.5" customHeight="1">
      <x:c r="A905" s="215" t="str">
        <x:v>高</x:v>
      </x:c>
      <x:c r="B905" s="215" t="str">
        <x:v>CxVisual.Foundation.Core</x:v>
      </x:c>
      <x:c r="C905" s="215" t="str">
        <x:v>F01</x:v>
      </x:c>
      <x:c r="D905" s="215" t="str">
        <x:v>FOIReflectionHelper</x:v>
      </x:c>
      <x:c r="E905" s="215" t="str">
        <x:v>CommonInterfaces.ReflectionHelper</x:v>
      </x:c>
      <x:c r="F905" s="215" t="str">
        <x:v>Platform/CommonInterfaces/ReflectionHelper.cs</x:v>
      </x:c>
      <x:c r="G905" s="215" t="str">
        <x:v>F01纯基础职责/状态归属需复核</x:v>
      </x:c>
      <x:c r="H905" s="215" t="str">
        <x:v>SetDoubleBuffer属UI适配，不应进入F01</x:v>
      </x:c>
      <x:c r="I905" s="215" t="str">
        <x:v>V7.8同名且源文件对应</x:v>
      </x:c>
      <x:c r="J905" s="215" t="str">
        <x:v>C-0054</x:v>
      </x:c>
      <x:c r="K905" s="215" t="str">
        <x:v>拆出建议</x:v>
      </x:c>
      <x:c r="L905" s="215" t="str">
        <x:v>设计审核，待源码与构建测试</x:v>
      </x:c>
    </x:row>
    <x:row r="906" ht="31.5" customHeight="1">
      <x:c r="A906" s="215" t="str">
        <x:v>高</x:v>
      </x:c>
      <x:c r="B906" s="215" t="str">
        <x:v>CxVisual.Foundation.Core</x:v>
      </x:c>
      <x:c r="C906" s="215" t="str">
        <x:v>F01</x:v>
      </x:c>
      <x:c r="D906" s="215" t="str">
        <x:v>FOISnowflakeManager</x:v>
      </x:c>
      <x:c r="E906" s="215" t="str">
        <x:v>CxDeviceSuite.Core.SnowflakeManager</x:v>
      </x:c>
      <x:c r="F906" s="215" t="str">
        <x:v>Platform/DeviceVariable/DeviceSuite/Core/Snowflake.cs; Workbenches/Automation/Compatibility/DeviceSuite/Core/Snowflake.cs</x:v>
      </x:c>
      <x:c r="G906" s="215" t="str">
        <x:v>F01纯基础职责/状态归属需复核</x:v>
      </x:c>
      <x:c r="H906" s="215" t="str">
        <x:v>有状态标识发号器需显式实例与节点配置，不是全局静态基础计算</x:v>
      </x:c>
      <x:c r="I906" s="215" t="str">
        <x:v>V7.8同名同文件多声明</x:v>
      </x:c>
      <x:c r="J906" s="215" t="str">
        <x:v>C-0003</x:v>
      </x:c>
      <x:c r="K906" s="215" t="str">
        <x:v>原有·待核</x:v>
      </x:c>
      <x:c r="L906" s="215" t="str">
        <x:v>设计审核，待源码与构建测试</x:v>
      </x:c>
    </x:row>
    <x:row r="907" ht="31.5" customHeight="1">
      <x:c r="A907" s="215" t="str">
        <x:v>中</x:v>
      </x:c>
      <x:c r="B907" s="215" t="str">
        <x:v>CxVisual.Foundation.Core</x:v>
      </x:c>
      <x:c r="C907" s="215" t="str">
        <x:v>F01</x:v>
      </x:c>
      <x:c r="D907" s="215" t="str">
        <x:v>FOIChangeSet</x:v>
      </x:c>
      <x:c r="E907" s="215" t="str">
        <x:v>ChangeSet</x:v>
      </x:c>
      <x:c r="F907" s="215" t="str">
        <x:v>05_基础对象与基础计算!C6</x:v>
      </x:c>
      <x:c r="G907" s="215" t="str">
        <x:v>F01纯基础职责/状态归属需复核</x:v>
      </x:c>
      <x:c r="H907" s="215" t="str">
        <x:v>区分基础差异值与M07工程变更事务，避免两套权威修改入口</x:v>
      </x:c>
      <x:c r="I907" s="215" t="str">
        <x:v>V7.8未检出同名词法声明</x:v>
      </x:c>
      <x:c r="J907" s="215" t="str">
        <x:v>F01.ChangeSet</x:v>
      </x:c>
      <x:c r="K907" s="215" t="str">
        <x:v>增构候选·待查重</x:v>
      </x:c>
      <x:c r="L907" s="215" t="str">
        <x:v>设计审核，待源码与构建测试</x:v>
      </x:c>
    </x:row>
    <x:row r="908" ht="31.5" customHeight="1">
      <x:c r="A908" s="215" t="str">
        <x:v>高</x:v>
      </x:c>
      <x:c r="B908" s="215" t="str">
        <x:v>CxVisual.Mechanism.Core</x:v>
      </x:c>
      <x:c r="C908" s="215" t="str">
        <x:v>M01</x:v>
      </x:c>
      <x:c r="D908" s="215" t="str">
        <x:v>IMEMProjectResourceCatalog</x:v>
      </x:c>
      <x:c r="E908" s="215" t="str">
        <x:v>CxVisual.Designer.Application.Studio.IProjectResourceCatalog</x:v>
      </x:c>
      <x:c r="F908" s="215" t="str">
        <x:v>Host/Studio/Application/Studio/Resources/ResourcePlatform.cs</x:v>
      </x:c>
      <x:c r="G908" s="215" t="str">
        <x:v>Studio应用类型疑似混入公共Core</x:v>
      </x:c>
      <x:c r="H908" s="215" t="str">
        <x:v>Studio应用层优先；抽象公共契约后可留Core</x:v>
      </x:c>
      <x:c r="I908" s="215" t="str">
        <x:v>V7.8同名且源文件对应</x:v>
      </x:c>
      <x:c r="J908" s="215" t="str">
        <x:v>C-0096</x:v>
      </x:c>
      <x:c r="K908" s="215" t="str">
        <x:v>原有·待核</x:v>
      </x:c>
      <x:c r="L908" s="215" t="str">
        <x:v>设计审核，待源码与构建测试</x:v>
      </x:c>
    </x:row>
    <x:row r="909" ht="31.5" customHeight="1">
      <x:c r="A909" s="215" t="str">
        <x:v>高</x:v>
      </x:c>
      <x:c r="B909" s="215" t="str">
        <x:v>CxVisual.Mechanism.Core</x:v>
      </x:c>
      <x:c r="C909" s="215" t="str">
        <x:v>M01</x:v>
      </x:c>
      <x:c r="D909" s="215" t="str">
        <x:v>IMEMResourceFactory</x:v>
      </x:c>
      <x:c r="E909" s="215" t="str">
        <x:v>CxVisual.Designer.Application.Studio.IResourceFactory</x:v>
      </x:c>
      <x:c r="F909" s="215" t="str">
        <x:v>Host/Studio/Application/Studio/Resources/ResourcePlatform.cs</x:v>
      </x:c>
      <x:c r="G909" s="215" t="str">
        <x:v>Studio应用类型疑似混入公共Core</x:v>
      </x:c>
      <x:c r="H909" s="215" t="str">
        <x:v>Studio应用层优先；抽象公共契约后可留Core</x:v>
      </x:c>
      <x:c r="I909" s="215" t="str">
        <x:v>V7.8同名且源文件对应</x:v>
      </x:c>
      <x:c r="J909" s="215" t="str">
        <x:v>C-0097</x:v>
      </x:c>
      <x:c r="K909" s="215" t="str">
        <x:v>原有·待核</x:v>
      </x:c>
      <x:c r="L909" s="215" t="str">
        <x:v>设计审核，待源码与构建测试</x:v>
      </x:c>
    </x:row>
    <x:row r="910" ht="31.5" customHeight="1">
      <x:c r="A910" s="215" t="str">
        <x:v>高</x:v>
      </x:c>
      <x:c r="B910" s="215" t="str">
        <x:v>CxVisual.Mechanism.Core</x:v>
      </x:c>
      <x:c r="C910" s="215" t="str">
        <x:v>M01</x:v>
      </x:c>
      <x:c r="D910" s="215" t="str">
        <x:v>MEMBuiltInStudioDomainRegistry</x:v>
      </x:c>
      <x:c r="E910" s="215" t="str">
        <x:v>CxVisual.Designer.Application.Studio.BuiltInStudioDomainRegistry</x:v>
      </x:c>
      <x:c r="F910" s="215" t="str">
        <x:v>Host/Studio/Application/Studio/Resources/StudioDomainRegistryV36.cs</x:v>
      </x:c>
      <x:c r="G910" s="215" t="str">
        <x:v>Studio应用类型疑似混入公共Core</x:v>
      </x:c>
      <x:c r="H910" s="215" t="str">
        <x:v>Studio应用层优先；抽象公共契约后可留Core</x:v>
      </x:c>
      <x:c r="I910" s="215" t="str">
        <x:v>V7.8同名且源文件对应</x:v>
      </x:c>
      <x:c r="J910" s="215" t="str">
        <x:v>C-0091</x:v>
      </x:c>
      <x:c r="K910" s="215" t="str">
        <x:v>原有·待核</x:v>
      </x:c>
      <x:c r="L910" s="215" t="str">
        <x:v>设计审核，待源码与构建测试</x:v>
      </x:c>
    </x:row>
    <x:row r="911" ht="31.5" customHeight="1">
      <x:c r="A911" s="215" t="str">
        <x:v>高</x:v>
      </x:c>
      <x:c r="B911" s="215" t="str">
        <x:v>CxVisual.Mechanism.Core</x:v>
      </x:c>
      <x:c r="C911" s="215" t="str">
        <x:v>M01</x:v>
      </x:c>
      <x:c r="D911" s="215" t="str">
        <x:v>MEMDomainAssetResourceFactory</x:v>
      </x:c>
      <x:c r="E911" s="215" t="str">
        <x:v>CxVisual.Designer.Application.Studio.DomainAssetResourceFactory</x:v>
      </x:c>
      <x:c r="F911" s="215" t="str">
        <x:v>Host/Studio/Application/Studio/Resources/ResourcePlatform.cs</x:v>
      </x:c>
      <x:c r="G911" s="215" t="str">
        <x:v>Studio应用类型疑似混入公共Core</x:v>
      </x:c>
      <x:c r="H911" s="215" t="str">
        <x:v>Studio应用层优先；抽象公共契约后可留Core</x:v>
      </x:c>
      <x:c r="I911" s="215" t="str">
        <x:v>V7.8同名且源文件对应</x:v>
      </x:c>
      <x:c r="J911" s="215" t="str">
        <x:v>C-0092</x:v>
      </x:c>
      <x:c r="K911" s="215" t="str">
        <x:v>原有·待核</x:v>
      </x:c>
      <x:c r="L911" s="215" t="str">
        <x:v>设计审核，待源码与构建测试</x:v>
      </x:c>
    </x:row>
    <x:row r="912" ht="31.5" customHeight="1">
      <x:c r="A912" s="215" t="str">
        <x:v>高</x:v>
      </x:c>
      <x:c r="B912" s="215" t="str">
        <x:v>CxVisual.Mechanism.Core</x:v>
      </x:c>
      <x:c r="C912" s="215" t="str">
        <x:v>M01</x:v>
      </x:c>
      <x:c r="D912" s="215" t="str">
        <x:v>MEMDomainIds</x:v>
      </x:c>
      <x:c r="E912" s="215" t="str">
        <x:v>CxVisual.Designer.Application.Studio.DomainIds</x:v>
      </x:c>
      <x:c r="F912" s="215" t="str">
        <x:v>Host/Studio/Application/Studio/Resources/ResourcePlatform.cs</x:v>
      </x:c>
      <x:c r="G912" s="215" t="str">
        <x:v>Studio应用类型疑似混入公共Core</x:v>
      </x:c>
      <x:c r="H912" s="215" t="str">
        <x:v>Studio应用层优先；抽象公共契约后可留Core</x:v>
      </x:c>
      <x:c r="I912" s="215" t="str">
        <x:v>V7.8同名且源文件对应</x:v>
      </x:c>
      <x:c r="J912" s="215" t="str">
        <x:v>C-0093</x:v>
      </x:c>
      <x:c r="K912" s="215" t="str">
        <x:v>原有·待核</x:v>
      </x:c>
      <x:c r="L912" s="215" t="str">
        <x:v>设计审核，待源码与构建测试</x:v>
      </x:c>
    </x:row>
    <x:row r="913" ht="31.5" customHeight="1">
      <x:c r="A913" s="215" t="str">
        <x:v>高</x:v>
      </x:c>
      <x:c r="B913" s="215" t="str">
        <x:v>CxVisual.Mechanism.Core</x:v>
      </x:c>
      <x:c r="C913" s="215" t="str">
        <x:v>M01</x:v>
      </x:c>
      <x:c r="D913" s="215" t="str">
        <x:v>MEMDomainLineageDescriptor</x:v>
      </x:c>
      <x:c r="E913" s="215" t="str">
        <x:v>CxVisual.Designer.Application.Studio.DomainLineageDescriptor</x:v>
      </x:c>
      <x:c r="F913" s="215" t="str">
        <x:v>Host/Studio/Application/Studio/Resources/ResourcePlatform.cs</x:v>
      </x:c>
      <x:c r="G913" s="215" t="str">
        <x:v>Studio应用类型疑似混入公共Core</x:v>
      </x:c>
      <x:c r="H913" s="215" t="str">
        <x:v>Studio应用层优先；抽象公共契约后可留Core</x:v>
      </x:c>
      <x:c r="I913" s="215" t="str">
        <x:v>V7.8同名且源文件对应</x:v>
      </x:c>
      <x:c r="J913" s="215" t="str">
        <x:v>C-0094</x:v>
      </x:c>
      <x:c r="K913" s="215" t="str">
        <x:v>原有·待核</x:v>
      </x:c>
      <x:c r="L913" s="215" t="str">
        <x:v>设计审核，待源码与构建测试</x:v>
      </x:c>
    </x:row>
    <x:row r="914" ht="31.5" customHeight="1">
      <x:c r="A914" s="215" t="str">
        <x:v>高</x:v>
      </x:c>
      <x:c r="B914" s="215" t="str">
        <x:v>CxVisual.Mechanism.Core</x:v>
      </x:c>
      <x:c r="C914" s="215" t="str">
        <x:v>M01</x:v>
      </x:c>
      <x:c r="D914" s="215" t="str">
        <x:v>MEMGenericAssetResourceFactory</x:v>
      </x:c>
      <x:c r="E914" s="215" t="str">
        <x:v>CxVisual.Designer.Application.Studio.GenericAssetResourceFactory</x:v>
      </x:c>
      <x:c r="F914" s="215" t="str">
        <x:v>Host/Studio/Application/Studio/Resources/ResourcePlatform.cs</x:v>
      </x:c>
      <x:c r="G914" s="215" t="str">
        <x:v>Studio应用类型疑似混入公共Core</x:v>
      </x:c>
      <x:c r="H914" s="215" t="str">
        <x:v>Studio应用层优先；抽象公共契约后可留Core</x:v>
      </x:c>
      <x:c r="I914" s="215" t="str">
        <x:v>V7.8同名且源文件对应</x:v>
      </x:c>
      <x:c r="J914" s="215" t="str">
        <x:v>C-0095</x:v>
      </x:c>
      <x:c r="K914" s="215" t="str">
        <x:v>原有·待核</x:v>
      </x:c>
      <x:c r="L914" s="215" t="str">
        <x:v>设计审核，待源码与构建测试</x:v>
      </x:c>
    </x:row>
    <x:row r="915" ht="31.5" customHeight="1">
      <x:c r="A915" s="215" t="str">
        <x:v>高</x:v>
      </x:c>
      <x:c r="B915" s="215" t="str">
        <x:v>CxVisual.Mechanism.Core</x:v>
      </x:c>
      <x:c r="C915" s="215" t="str">
        <x:v>M01</x:v>
      </x:c>
      <x:c r="D915" s="215" t="str">
        <x:v>MEMInspectionResourceFactory</x:v>
      </x:c>
      <x:c r="E915" s="215" t="str">
        <x:v>CxVisual.Designer.Application.Studio.InspectionResourceFactory</x:v>
      </x:c>
      <x:c r="F915" s="215" t="str">
        <x:v>Host/Studio/Application/Studio/Resources/ResourcePlatform.cs</x:v>
      </x:c>
      <x:c r="G915" s="215" t="str">
        <x:v>Studio应用类型疑似混入公共Core</x:v>
      </x:c>
      <x:c r="H915" s="215" t="str">
        <x:v>Studio应用层优先；抽象公共契约后可留Core</x:v>
      </x:c>
      <x:c r="I915" s="215" t="str">
        <x:v>V7.8同名且源文件对应</x:v>
      </x:c>
      <x:c r="J915" s="215" t="str">
        <x:v>C-0098</x:v>
      </x:c>
      <x:c r="K915" s="215" t="str">
        <x:v>原有·待核</x:v>
      </x:c>
      <x:c r="L915" s="215" t="str">
        <x:v>设计审核，待源码与构建测试</x:v>
      </x:c>
    </x:row>
    <x:row r="916" ht="31.5" customHeight="1">
      <x:c r="A916" s="215" t="str">
        <x:v>高</x:v>
      </x:c>
      <x:c r="B916" s="215" t="str">
        <x:v>CxVisual.Mechanism.Core</x:v>
      </x:c>
      <x:c r="C916" s="215" t="str">
        <x:v>M01</x:v>
      </x:c>
      <x:c r="D916" s="215" t="str">
        <x:v>MEMPageResourceFactory</x:v>
      </x:c>
      <x:c r="E916" s="215" t="str">
        <x:v>CxVisual.Designer.Application.Studio.PageResourceFactory</x:v>
      </x:c>
      <x:c r="F916" s="215" t="str">
        <x:v>Host/Studio/Application/Studio/Resources/ResourcePlatform.cs</x:v>
      </x:c>
      <x:c r="G916" s="215" t="str">
        <x:v>Studio应用类型疑似混入公共Core</x:v>
      </x:c>
      <x:c r="H916" s="215" t="str">
        <x:v>Studio应用层优先；抽象公共契约后可留Core</x:v>
      </x:c>
      <x:c r="I916" s="215" t="str">
        <x:v>V7.8同名且源文件对应</x:v>
      </x:c>
      <x:c r="J916" s="215" t="str">
        <x:v>C-0099</x:v>
      </x:c>
      <x:c r="K916" s="215" t="str">
        <x:v>原有·待核</x:v>
      </x:c>
      <x:c r="L916" s="215" t="str">
        <x:v>设计审核，待源码与构建测试</x:v>
      </x:c>
    </x:row>
    <x:row r="917" ht="31.5" customHeight="1">
      <x:c r="A917" s="215" t="str">
        <x:v>高</x:v>
      </x:c>
      <x:c r="B917" s="215" t="str">
        <x:v>CxVisual.Mechanism.Core</x:v>
      </x:c>
      <x:c r="C917" s="215" t="str">
        <x:v>M01</x:v>
      </x:c>
      <x:c r="D917" s="215" t="str">
        <x:v>MEMProjectFactory</x:v>
      </x:c>
      <x:c r="E917" s="215" t="str">
        <x:v>CxVisual.Designer.Application.ProjectFactory</x:v>
      </x:c>
      <x:c r="F917" s="215" t="str">
        <x:v>Host/Studio/Application/DesignerServices.cs</x:v>
      </x:c>
      <x:c r="G917" s="215" t="str">
        <x:v>Studio应用类型疑似混入公共Core</x:v>
      </x:c>
      <x:c r="H917" s="215" t="str">
        <x:v>Studio应用层优先；抽象公共契约后可留Core</x:v>
      </x:c>
      <x:c r="I917" s="215" t="str">
        <x:v>V7.8同名且源文件对应</x:v>
      </x:c>
      <x:c r="J917" s="215" t="str">
        <x:v>C-0089</x:v>
      </x:c>
      <x:c r="K917" s="215" t="str">
        <x:v>原有·待核</x:v>
      </x:c>
      <x:c r="L917" s="215" t="str">
        <x:v>设计审核，待源码与构建测试</x:v>
      </x:c>
    </x:row>
    <x:row r="918" ht="31.5" customHeight="1">
      <x:c r="A918" s="215" t="str">
        <x:v>高</x:v>
      </x:c>
      <x:c r="B918" s="215" t="str">
        <x:v>CxVisual.Mechanism.Core</x:v>
      </x:c>
      <x:c r="C918" s="215" t="str">
        <x:v>M01</x:v>
      </x:c>
      <x:c r="D918" s="215" t="str">
        <x:v>MEMProjectResourceCatalog</x:v>
      </x:c>
      <x:c r="E918" s="215" t="str">
        <x:v>CxVisual.Designer.Application.Studio.ProjectResourceCatalog</x:v>
      </x:c>
      <x:c r="F918" s="215" t="str">
        <x:v>Host/Studio/Application/Studio/Resources/ResourcePlatform.cs</x:v>
      </x:c>
      <x:c r="G918" s="215" t="str">
        <x:v>Studio应用类型疑似混入公共Core</x:v>
      </x:c>
      <x:c r="H918" s="215" t="str">
        <x:v>Studio应用层优先；抽象公共契约后可留Core</x:v>
      </x:c>
      <x:c r="I918" s="215" t="str">
        <x:v>V7.8同名且源文件对应</x:v>
      </x:c>
      <x:c r="J918" s="215" t="str">
        <x:v>C-0100</x:v>
      </x:c>
      <x:c r="K918" s="215" t="str">
        <x:v>原有·待核</x:v>
      </x:c>
      <x:c r="L918" s="215" t="str">
        <x:v>设计审核，待源码与构建测试</x:v>
      </x:c>
    </x:row>
    <x:row r="919" ht="31.5" customHeight="1">
      <x:c r="A919" s="215" t="str">
        <x:v>高</x:v>
      </x:c>
      <x:c r="B919" s="215" t="str">
        <x:v>CxVisual.Mechanism.Core</x:v>
      </x:c>
      <x:c r="C919" s="215" t="str">
        <x:v>M01</x:v>
      </x:c>
      <x:c r="D919" s="215" t="str">
        <x:v>MEMProjectScenarioResourceFactory</x:v>
      </x:c>
      <x:c r="E919" s="215" t="str">
        <x:v>CxVisual.Designer.Application.Studio.ProjectScenarioResourceFactory</x:v>
      </x:c>
      <x:c r="F919" s="215" t="str">
        <x:v>Host/Studio/Application/Studio/Resources/ResourcePlatform.cs</x:v>
      </x:c>
      <x:c r="G919" s="215" t="str">
        <x:v>Studio应用类型疑似混入公共Core</x:v>
      </x:c>
      <x:c r="H919" s="215" t="str">
        <x:v>Studio应用层优先；抽象公共契约后可留Core</x:v>
      </x:c>
      <x:c r="I919" s="215" t="str">
        <x:v>V7.8同名且源文件对应</x:v>
      </x:c>
      <x:c r="J919" s="215" t="str">
        <x:v>C-0101</x:v>
      </x:c>
      <x:c r="K919" s="215" t="str">
        <x:v>原有·待核</x:v>
      </x:c>
      <x:c r="L919" s="215" t="str">
        <x:v>设计审核，待源码与构建测试</x:v>
      </x:c>
    </x:row>
    <x:row r="920" ht="31.5" customHeight="1">
      <x:c r="A920" s="215" t="str">
        <x:v>高</x:v>
      </x:c>
      <x:c r="B920" s="215" t="str">
        <x:v>CxVisual.Mechanism.Core</x:v>
      </x:c>
      <x:c r="C920" s="215" t="str">
        <x:v>M01</x:v>
      </x:c>
      <x:c r="D920" s="215" t="str">
        <x:v>MEMProjectWorkspaceService</x:v>
      </x:c>
      <x:c r="E920" s="215" t="str">
        <x:v>CxVisual.Designer.Application.ProjectWorkspaceService</x:v>
      </x:c>
      <x:c r="F920" s="215" t="str">
        <x:v>Host/Studio/Application/StudioApplicationServices.cs</x:v>
      </x:c>
      <x:c r="G920" s="215" t="str">
        <x:v>Studio应用类型疑似混入公共Core</x:v>
      </x:c>
      <x:c r="H920" s="215" t="str">
        <x:v>Studio应用层优先；抽象公共契约后可留Core</x:v>
      </x:c>
      <x:c r="I920" s="215" t="str">
        <x:v>V7.8同名且源文件对应</x:v>
      </x:c>
      <x:c r="J920" s="215" t="str">
        <x:v>C-0090</x:v>
      </x:c>
      <x:c r="K920" s="215" t="str">
        <x:v>原有·待核</x:v>
      </x:c>
      <x:c r="L920" s="215" t="str">
        <x:v>设计审核，待源码与构建测试</x:v>
      </x:c>
    </x:row>
    <x:row r="921" ht="31.5" customHeight="1">
      <x:c r="A921" s="215" t="str">
        <x:v>高</x:v>
      </x:c>
      <x:c r="B921" s="215" t="str">
        <x:v>CxVisual.Mechanism.Core</x:v>
      </x:c>
      <x:c r="C921" s="215" t="str">
        <x:v>M01</x:v>
      </x:c>
      <x:c r="D921" s="215" t="str">
        <x:v>MEMResourceCapabilityIds</x:v>
      </x:c>
      <x:c r="E921" s="215" t="str">
        <x:v>CxVisual.Designer.Application.Studio.ResourceCapabilityIds</x:v>
      </x:c>
      <x:c r="F921" s="215" t="str">
        <x:v>Host/Studio/Application/Studio/Resources/ResourcePlatform.cs</x:v>
      </x:c>
      <x:c r="G921" s="215" t="str">
        <x:v>Studio应用类型疑似混入公共Core</x:v>
      </x:c>
      <x:c r="H921" s="215" t="str">
        <x:v>Studio应用层优先；抽象公共契约后可留Core</x:v>
      </x:c>
      <x:c r="I921" s="215" t="str">
        <x:v>V7.8同名且源文件对应</x:v>
      </x:c>
      <x:c r="J921" s="215" t="str">
        <x:v>C-0102</x:v>
      </x:c>
      <x:c r="K921" s="215" t="str">
        <x:v>原有·待核</x:v>
      </x:c>
      <x:c r="L921" s="215" t="str">
        <x:v>设计审核，待源码与构建测试</x:v>
      </x:c>
    </x:row>
    <x:row r="922" ht="31.5" customHeight="1">
      <x:c r="A922" s="215" t="str">
        <x:v>高</x:v>
      </x:c>
      <x:c r="B922" s="215" t="str">
        <x:v>CxVisual.Mechanism.Core</x:v>
      </x:c>
      <x:c r="C922" s="215" t="str">
        <x:v>M01</x:v>
      </x:c>
      <x:c r="D922" s="215" t="str">
        <x:v>MEMResourceCreateContext</x:v>
      </x:c>
      <x:c r="E922" s="215" t="str">
        <x:v>CxVisual.Designer.Application.Studio.ResourceCreateContext</x:v>
      </x:c>
      <x:c r="F922" s="215" t="str">
        <x:v>Host/Studio/Application/Studio/Resources/ResourcePlatform.cs</x:v>
      </x:c>
      <x:c r="G922" s="215" t="str">
        <x:v>Studio应用类型疑似混入公共Core</x:v>
      </x:c>
      <x:c r="H922" s="215" t="str">
        <x:v>Studio应用层优先；抽象公共契约后可留Core</x:v>
      </x:c>
      <x:c r="I922" s="215" t="str">
        <x:v>V7.8同名且源文件对应</x:v>
      </x:c>
      <x:c r="J922" s="215" t="str">
        <x:v>C-0103</x:v>
      </x:c>
      <x:c r="K922" s="215" t="str">
        <x:v>原有·待核</x:v>
      </x:c>
      <x:c r="L922" s="215" t="str">
        <x:v>设计审核，待源码与构建测试</x:v>
      </x:c>
    </x:row>
    <x:row r="923" ht="31.5" customHeight="1">
      <x:c r="A923" s="215" t="str">
        <x:v>高</x:v>
      </x:c>
      <x:c r="B923" s="215" t="str">
        <x:v>CxVisual.Mechanism.Core</x:v>
      </x:c>
      <x:c r="C923" s="215" t="str">
        <x:v>M01</x:v>
      </x:c>
      <x:c r="D923" s="215" t="str">
        <x:v>MEMResourceCreateResult</x:v>
      </x:c>
      <x:c r="E923" s="215" t="str">
        <x:v>CxVisual.Designer.Application.Studio.ResourceCreateResult</x:v>
      </x:c>
      <x:c r="F923" s="215" t="str">
        <x:v>Host/Studio/Application/Studio/Resources/ResourcePlatform.cs</x:v>
      </x:c>
      <x:c r="G923" s="215" t="str">
        <x:v>Studio应用类型疑似混入公共Core</x:v>
      </x:c>
      <x:c r="H923" s="215" t="str">
        <x:v>Studio应用层优先；抽象公共契约后可留Core</x:v>
      </x:c>
      <x:c r="I923" s="215" t="str">
        <x:v>V7.8同名且源文件对应</x:v>
      </x:c>
      <x:c r="J923" s="215" t="str">
        <x:v>C-0104</x:v>
      </x:c>
      <x:c r="K923" s="215" t="str">
        <x:v>原有·待核</x:v>
      </x:c>
      <x:c r="L923" s="215" t="str">
        <x:v>设计审核，待源码与构建测试</x:v>
      </x:c>
    </x:row>
    <x:row r="924" ht="31.5" customHeight="1">
      <x:c r="A924" s="215" t="str">
        <x:v>高</x:v>
      </x:c>
      <x:c r="B924" s="215" t="str">
        <x:v>CxVisual.Mechanism.Core</x:v>
      </x:c>
      <x:c r="C924" s="215" t="str">
        <x:v>M01</x:v>
      </x:c>
      <x:c r="D924" s="215" t="str">
        <x:v>MEMResourceIdGenerator</x:v>
      </x:c>
      <x:c r="E924" s="215" t="str">
        <x:v>CxVisual.Designer.Application.Studio.ResourceIdGenerator</x:v>
      </x:c>
      <x:c r="F924" s="215" t="str">
        <x:v>Host/Studio/Application/Studio/Resources/ResourcePlatform.cs</x:v>
      </x:c>
      <x:c r="G924" s="215" t="str">
        <x:v>Studio应用类型疑似混入公共Core</x:v>
      </x:c>
      <x:c r="H924" s="215" t="str">
        <x:v>Studio应用层优先；抽象公共契约后可留Core</x:v>
      </x:c>
      <x:c r="I924" s="215" t="str">
        <x:v>V7.8同名且源文件对应</x:v>
      </x:c>
      <x:c r="J924" s="215" t="str">
        <x:v>C-0106</x:v>
      </x:c>
      <x:c r="K924" s="215" t="str">
        <x:v>原有·待核</x:v>
      </x:c>
      <x:c r="L924" s="215" t="str">
        <x:v>设计审核，待源码与构建测试</x:v>
      </x:c>
    </x:row>
    <x:row r="925" ht="31.5" customHeight="1">
      <x:c r="A925" s="215" t="str">
        <x:v>高</x:v>
      </x:c>
      <x:c r="B925" s="215" t="str">
        <x:v>CxVisual.Mechanism.Core</x:v>
      </x:c>
      <x:c r="C925" s="215" t="str">
        <x:v>M01</x:v>
      </x:c>
      <x:c r="D925" s="215" t="str">
        <x:v>MEMResourceReferenceInspector</x:v>
      </x:c>
      <x:c r="E925" s="215" t="str">
        <x:v>CxVisual.Designer.Application.Studio.ResourceReferenceInspector</x:v>
      </x:c>
      <x:c r="F925" s="215" t="str">
        <x:v>Host/Studio/Application/Studio/Resources/ResourcePlatform.cs</x:v>
      </x:c>
      <x:c r="G925" s="215" t="str">
        <x:v>Studio应用类型疑似混入公共Core</x:v>
      </x:c>
      <x:c r="H925" s="215" t="str">
        <x:v>Studio应用层优先；抽象公共契约后可留Core</x:v>
      </x:c>
      <x:c r="I925" s="215" t="str">
        <x:v>V7.8同名且源文件对应</x:v>
      </x:c>
      <x:c r="J925" s="215" t="str">
        <x:v>C-0107</x:v>
      </x:c>
      <x:c r="K925" s="215" t="str">
        <x:v>原有·待核</x:v>
      </x:c>
      <x:c r="L925" s="215" t="str">
        <x:v>设计审核，待源码与构建测试</x:v>
      </x:c>
    </x:row>
    <x:row r="926" ht="31.5" customHeight="1">
      <x:c r="A926" s="215" t="str">
        <x:v>高</x:v>
      </x:c>
      <x:c r="B926" s="215" t="str">
        <x:v>CxVisual.Mechanism.Core</x:v>
      </x:c>
      <x:c r="C926" s="215" t="str">
        <x:v>M01</x:v>
      </x:c>
      <x:c r="D926" s="215" t="str">
        <x:v>MEMResourceService</x:v>
      </x:c>
      <x:c r="E926" s="215" t="str">
        <x:v>CxVisual.Designer.Application.Studio.ResourceService</x:v>
      </x:c>
      <x:c r="F926" s="215" t="str">
        <x:v>Host/Studio/Application/Studio/Resources/ResourcePlatform.cs</x:v>
      </x:c>
      <x:c r="G926" s="215" t="str">
        <x:v>Studio应用类型疑似混入公共Core</x:v>
      </x:c>
      <x:c r="H926" s="215" t="str">
        <x:v>Studio应用层优先；抽象公共契约后可留Core</x:v>
      </x:c>
      <x:c r="I926" s="215" t="str">
        <x:v>V7.8同名且源文件对应</x:v>
      </x:c>
      <x:c r="J926" s="215" t="str">
        <x:v>C-0108</x:v>
      </x:c>
      <x:c r="K926" s="215" t="str">
        <x:v>原有·待核</x:v>
      </x:c>
      <x:c r="L926" s="215" t="str">
        <x:v>设计审核，待源码与构建测试</x:v>
      </x:c>
    </x:row>
    <x:row r="927" ht="31.5" customHeight="1">
      <x:c r="A927" s="215" t="str">
        <x:v>高</x:v>
      </x:c>
      <x:c r="B927" s="215" t="str">
        <x:v>CxVisual.Mechanism.Core</x:v>
      </x:c>
      <x:c r="C927" s="215" t="str">
        <x:v>M01</x:v>
      </x:c>
      <x:c r="D927" s="215" t="str">
        <x:v>MEMResourceTypeDescriptor</x:v>
      </x:c>
      <x:c r="E927" s="215" t="str">
        <x:v>CxVisual.Designer.Application.Studio.ResourceTypeDescriptor</x:v>
      </x:c>
      <x:c r="F927" s="215" t="str">
        <x:v>Host/Studio/Application/Studio/Resources/ResourcePlatform.cs</x:v>
      </x:c>
      <x:c r="G927" s="215" t="str">
        <x:v>Studio应用类型疑似混入公共Core</x:v>
      </x:c>
      <x:c r="H927" s="215" t="str">
        <x:v>Studio应用层优先；抽象公共契约后可留Core</x:v>
      </x:c>
      <x:c r="I927" s="215" t="str">
        <x:v>V7.8同名且源文件对应</x:v>
      </x:c>
      <x:c r="J927" s="215" t="str">
        <x:v>C-0109</x:v>
      </x:c>
      <x:c r="K927" s="215" t="str">
        <x:v>原有·待核</x:v>
      </x:c>
      <x:c r="L927" s="215" t="str">
        <x:v>设计审核，待源码与构建测试</x:v>
      </x:c>
    </x:row>
    <x:row r="928" ht="31.5" customHeight="1">
      <x:c r="A928" s="215" t="str">
        <x:v>高</x:v>
      </x:c>
      <x:c r="B928" s="215" t="str">
        <x:v>CxVisual.Mechanism.Core</x:v>
      </x:c>
      <x:c r="C928" s="215" t="str">
        <x:v>M01</x:v>
      </x:c>
      <x:c r="D928" s="215" t="str">
        <x:v>MEMResourceTypeIds</x:v>
      </x:c>
      <x:c r="E928" s="215" t="str">
        <x:v>CxVisual.Designer.Application.Studio.ResourceTypeIds</x:v>
      </x:c>
      <x:c r="F928" s="215" t="str">
        <x:v>Host/Studio/Application/Studio/Resources/ResourcePlatform.cs</x:v>
      </x:c>
      <x:c r="G928" s="215" t="str">
        <x:v>Studio应用类型疑似混入公共Core</x:v>
      </x:c>
      <x:c r="H928" s="215" t="str">
        <x:v>Studio应用层优先；抽象公共契约后可留Core</x:v>
      </x:c>
      <x:c r="I928" s="215" t="str">
        <x:v>V7.8同名且源文件对应</x:v>
      </x:c>
      <x:c r="J928" s="215" t="str">
        <x:v>C-0110</x:v>
      </x:c>
      <x:c r="K928" s="215" t="str">
        <x:v>原有·待核</x:v>
      </x:c>
      <x:c r="L928" s="215" t="str">
        <x:v>设计审核，待源码与构建测试</x:v>
      </x:c>
    </x:row>
    <x:row r="929" ht="31.5" customHeight="1">
      <x:c r="A929" s="215" t="str">
        <x:v>高</x:v>
      </x:c>
      <x:c r="B929" s="215" t="str">
        <x:v>CxVisual.Mechanism.Core</x:v>
      </x:c>
      <x:c r="C929" s="215" t="str">
        <x:v>M01</x:v>
      </x:c>
      <x:c r="D929" s="215" t="str">
        <x:v>MEMResourceTypeRegistry</x:v>
      </x:c>
      <x:c r="E929" s="215" t="str">
        <x:v>CxVisual.Designer.Application.Studio.ResourceTypeRegistry</x:v>
      </x:c>
      <x:c r="F929" s="215" t="str">
        <x:v>Host/Studio/Application/Studio/Resources/ResourcePlatform.cs</x:v>
      </x:c>
      <x:c r="G929" s="215" t="str">
        <x:v>Studio应用类型疑似混入公共Core</x:v>
      </x:c>
      <x:c r="H929" s="215" t="str">
        <x:v>Studio应用层优先；抽象公共契约后可留Core</x:v>
      </x:c>
      <x:c r="I929" s="215" t="str">
        <x:v>V7.8同名且源文件对应</x:v>
      </x:c>
      <x:c r="J929" s="215" t="str">
        <x:v>C-0111</x:v>
      </x:c>
      <x:c r="K929" s="215" t="str">
        <x:v>原有·待核</x:v>
      </x:c>
      <x:c r="L929" s="215" t="str">
        <x:v>设计审核，待源码与构建测试</x:v>
      </x:c>
    </x:row>
    <x:row r="930" ht="31.5" customHeight="1">
      <x:c r="A930" s="215" t="str">
        <x:v>高</x:v>
      </x:c>
      <x:c r="B930" s="215" t="str">
        <x:v>CxVisual.Mechanism.Core</x:v>
      </x:c>
      <x:c r="C930" s="215" t="str">
        <x:v>M01</x:v>
      </x:c>
      <x:c r="D930" s="215" t="str">
        <x:v>MEMResourceTypeResolver</x:v>
      </x:c>
      <x:c r="E930" s="215" t="str">
        <x:v>CxVisual.Designer.Application.Studio.ResourceTypeResolver</x:v>
      </x:c>
      <x:c r="F930" s="215" t="str">
        <x:v>Host/Studio/Application/Studio/Resources/ResourcePlatform.cs</x:v>
      </x:c>
      <x:c r="G930" s="215" t="str">
        <x:v>Studio应用类型疑似混入公共Core</x:v>
      </x:c>
      <x:c r="H930" s="215" t="str">
        <x:v>Studio应用层优先；抽象公共契约后可留Core</x:v>
      </x:c>
      <x:c r="I930" s="215" t="str">
        <x:v>V7.8同名且源文件对应</x:v>
      </x:c>
      <x:c r="J930" s="215" t="str">
        <x:v>C-0112</x:v>
      </x:c>
      <x:c r="K930" s="215" t="str">
        <x:v>原有·待核</x:v>
      </x:c>
      <x:c r="L930" s="215" t="str">
        <x:v>设计审核，待源码与构建测试</x:v>
      </x:c>
    </x:row>
    <x:row r="931" ht="31.5" customHeight="1">
      <x:c r="A931" s="215" t="str">
        <x:v>高</x:v>
      </x:c>
      <x:c r="B931" s="215" t="str">
        <x:v>CxVisual.Mechanism.Core</x:v>
      </x:c>
      <x:c r="C931" s="215" t="str">
        <x:v>M01</x:v>
      </x:c>
      <x:c r="D931" s="215" t="str">
        <x:v>MEMScadaProjectResourceFactory</x:v>
      </x:c>
      <x:c r="E931" s="215" t="str">
        <x:v>CxVisual.Designer.Application.Studio.ScadaProjectResourceFactory</x:v>
      </x:c>
      <x:c r="F931" s="215" t="str">
        <x:v>Host/Studio/Application/Studio/Resources/ResourcePlatform.cs</x:v>
      </x:c>
      <x:c r="G931" s="215" t="str">
        <x:v>Studio应用类型疑似混入公共Core</x:v>
      </x:c>
      <x:c r="H931" s="215" t="str">
        <x:v>Studio应用层优先；抽象公共契约后可留Core</x:v>
      </x:c>
      <x:c r="I931" s="215" t="str">
        <x:v>V7.8同名且源文件对应</x:v>
      </x:c>
      <x:c r="J931" s="215" t="str">
        <x:v>C-0113</x:v>
      </x:c>
      <x:c r="K931" s="215" t="str">
        <x:v>原有·待核</x:v>
      </x:c>
      <x:c r="L931" s="215" t="str">
        <x:v>设计审核，待源码与构建测试</x:v>
      </x:c>
    </x:row>
    <x:row r="932" ht="31.5" customHeight="1">
      <x:c r="A932" s="215" t="str">
        <x:v>高</x:v>
      </x:c>
      <x:c r="B932" s="215" t="str">
        <x:v>CxVisual.Mechanism.Core</x:v>
      </x:c>
      <x:c r="C932" s="215" t="str">
        <x:v>M01</x:v>
      </x:c>
      <x:c r="D932" s="215" t="str">
        <x:v>MEMSimulationScenarioResourceFactory</x:v>
      </x:c>
      <x:c r="E932" s="215" t="str">
        <x:v>CxVisual.Designer.Application.Studio.SimulationScenarioResourceFactory</x:v>
      </x:c>
      <x:c r="F932" s="215" t="str">
        <x:v>Host/Studio/Application/Studio/Resources/ResourcePlatform.cs</x:v>
      </x:c>
      <x:c r="G932" s="215" t="str">
        <x:v>Studio应用类型疑似混入公共Core</x:v>
      </x:c>
      <x:c r="H932" s="215" t="str">
        <x:v>Studio应用层优先；抽象公共契约后可留Core</x:v>
      </x:c>
      <x:c r="I932" s="215" t="str">
        <x:v>V7.8同名且源文件对应</x:v>
      </x:c>
      <x:c r="J932" s="215" t="str">
        <x:v>C-0114</x:v>
      </x:c>
      <x:c r="K932" s="215" t="str">
        <x:v>原有·待核</x:v>
      </x:c>
      <x:c r="L932" s="215" t="str">
        <x:v>设计审核，待源码与构建测试</x:v>
      </x:c>
    </x:row>
    <x:row r="933" ht="31.5" customHeight="1">
      <x:c r="A933" s="215" t="str">
        <x:v>高</x:v>
      </x:c>
      <x:c r="B933" s="215" t="str">
        <x:v>CxVisual.Mechanism.Core</x:v>
      </x:c>
      <x:c r="C933" s="215" t="str">
        <x:v>M01</x:v>
      </x:c>
      <x:c r="D933" s="215" t="str">
        <x:v>MEMStudioDomainDescriptor</x:v>
      </x:c>
      <x:c r="E933" s="215" t="str">
        <x:v>CxVisual.Designer.Application.Studio.StudioDomainDescriptor</x:v>
      </x:c>
      <x:c r="F933" s="215" t="str">
        <x:v>Host/Studio/Application/Studio/Resources/StudioDomainRegistryV36.cs</x:v>
      </x:c>
      <x:c r="G933" s="215" t="str">
        <x:v>Studio应用类型疑似混入公共Core</x:v>
      </x:c>
      <x:c r="H933" s="215" t="str">
        <x:v>Studio应用层优先；抽象公共契约后可留Core</x:v>
      </x:c>
      <x:c r="I933" s="215" t="str">
        <x:v>V7.8同名且源文件对应</x:v>
      </x:c>
      <x:c r="J933" s="215" t="str">
        <x:v>C-0115</x:v>
      </x:c>
      <x:c r="K933" s="215" t="str">
        <x:v>原有·待核</x:v>
      </x:c>
      <x:c r="L933" s="215" t="str">
        <x:v>设计审核，待源码与构建测试</x:v>
      </x:c>
    </x:row>
    <x:row r="934" ht="31.5" customHeight="1">
      <x:c r="A934" s="215" t="str">
        <x:v>高</x:v>
      </x:c>
      <x:c r="B934" s="215" t="str">
        <x:v>CxVisual.Mechanism.Core</x:v>
      </x:c>
      <x:c r="C934" s="215" t="str">
        <x:v>M01</x:v>
      </x:c>
      <x:c r="D934" s="215" t="str">
        <x:v>MEMStudioDomainRegistry</x:v>
      </x:c>
      <x:c r="E934" s="215" t="str">
        <x:v>CxVisual.Designer.Application.Studio.StudioDomainRegistry</x:v>
      </x:c>
      <x:c r="F934" s="215" t="str">
        <x:v>Host/Studio/Application/Studio/Resources/StudioDomainRegistryV36.cs</x:v>
      </x:c>
      <x:c r="G934" s="215" t="str">
        <x:v>Studio应用类型疑似混入公共Core</x:v>
      </x:c>
      <x:c r="H934" s="215" t="str">
        <x:v>Studio应用层优先；抽象公共契约后可留Core</x:v>
      </x:c>
      <x:c r="I934" s="215" t="str">
        <x:v>V7.8同名且源文件对应</x:v>
      </x:c>
      <x:c r="J934" s="215" t="str">
        <x:v>C-0116</x:v>
      </x:c>
      <x:c r="K934" s="215" t="str">
        <x:v>原有·待核</x:v>
      </x:c>
      <x:c r="L934" s="215" t="str">
        <x:v>设计审核，待源码与构建测试</x:v>
      </x:c>
    </x:row>
    <x:row r="935" ht="31.5" customHeight="1">
      <x:c r="A935" s="215" t="str">
        <x:v>高</x:v>
      </x:c>
      <x:c r="B935" s="215" t="str">
        <x:v>CxVisual.Mechanism.Core</x:v>
      </x:c>
      <x:c r="C935" s="215" t="str">
        <x:v>M01</x:v>
      </x:c>
      <x:c r="D935" s="215" t="str">
        <x:v>MEMSymbolResourceFactory</x:v>
      </x:c>
      <x:c r="E935" s="215" t="str">
        <x:v>CxVisual.Designer.Application.Studio.SymbolResourceFactory</x:v>
      </x:c>
      <x:c r="F935" s="215" t="str">
        <x:v>Host/Studio/Application/Studio/Resources/ResourcePlatform.cs</x:v>
      </x:c>
      <x:c r="G935" s="215" t="str">
        <x:v>Studio应用类型疑似混入公共Core</x:v>
      </x:c>
      <x:c r="H935" s="215" t="str">
        <x:v>Studio应用层优先；抽象公共契约后可留Core</x:v>
      </x:c>
      <x:c r="I935" s="215" t="str">
        <x:v>V7.8同名且源文件对应</x:v>
      </x:c>
      <x:c r="J935" s="215" t="str">
        <x:v>C-0117</x:v>
      </x:c>
      <x:c r="K935" s="215" t="str">
        <x:v>原有·待核</x:v>
      </x:c>
      <x:c r="L935" s="215" t="str">
        <x:v>设计审核，待源码与构建测试</x:v>
      </x:c>
    </x:row>
    <x:row r="936" ht="31.5" customHeight="1">
      <x:c r="A936" s="215" t="str">
        <x:v>高</x:v>
      </x:c>
      <x:c r="B936" s="215" t="str">
        <x:v>CxVisual.Mechanism.Core</x:v>
      </x:c>
      <x:c r="C936" s="215" t="str">
        <x:v>M01</x:v>
      </x:c>
      <x:c r="D936" s="215" t="str">
        <x:v>MEMTemplateResourceFactory</x:v>
      </x:c>
      <x:c r="E936" s="215" t="str">
        <x:v>CxVisual.Designer.Application.Studio.TemplateResourceFactory</x:v>
      </x:c>
      <x:c r="F936" s="215" t="str">
        <x:v>Host/Studio/Application/Studio/Resources/ResourcePlatform.cs</x:v>
      </x:c>
      <x:c r="G936" s="215" t="str">
        <x:v>Studio应用类型疑似混入公共Core</x:v>
      </x:c>
      <x:c r="H936" s="215" t="str">
        <x:v>Studio应用层优先；抽象公共契约后可留Core</x:v>
      </x:c>
      <x:c r="I936" s="215" t="str">
        <x:v>V7.8同名且源文件对应</x:v>
      </x:c>
      <x:c r="J936" s="215" t="str">
        <x:v>C-0118</x:v>
      </x:c>
      <x:c r="K936" s="215" t="str">
        <x:v>原有·待核</x:v>
      </x:c>
      <x:c r="L936" s="215" t="str">
        <x:v>设计审核，待源码与构建测试</x:v>
      </x:c>
    </x:row>
    <x:row r="937" ht="31.5" customHeight="1">
      <x:c r="A937" s="215" t="str">
        <x:v>高</x:v>
      </x:c>
      <x:c r="B937" s="215" t="str">
        <x:v>CxVisual.Mechanism.Core</x:v>
      </x:c>
      <x:c r="C937" s="215" t="str">
        <x:v>M01</x:v>
      </x:c>
      <x:c r="D937" s="215" t="str">
        <x:v>MEMTypedJsonResourceFactory&lt;T&gt;</x:v>
      </x:c>
      <x:c r="E937" s="215" t="str">
        <x:v>CxVisual.Designer.Application.Studio.TypedJsonResourceFactory&lt;T&gt;</x:v>
      </x:c>
      <x:c r="F937" s="215" t="str">
        <x:v>D:\cyg\cx-visual-x2\Host\Studio\Application\Studio\Resources\ResourcePlatform.cs:569</x:v>
      </x:c>
      <x:c r="G937" s="215" t="str">
        <x:v>Studio应用类型疑似混入公共Core</x:v>
      </x:c>
      <x:c r="H937" s="215" t="str">
        <x:v>Studio应用层优先；抽象公共契约后可留Core</x:v>
      </x:c>
      <x:c r="I937" s="215" t="str">
        <x:v>V7.8同名且源文件对应</x:v>
      </x:c>
      <x:c r="J937" s="215" t="str">
        <x:v>C-0119</x:v>
      </x:c>
      <x:c r="K937" s="215" t="str">
        <x:v>原有·待核</x:v>
      </x:c>
      <x:c r="L937" s="215" t="str">
        <x:v>设计审核，待源码与构建测试</x:v>
      </x:c>
    </x:row>
    <x:row r="938" ht="31.5" customHeight="1">
      <x:c r="A938" s="215" t="str">
        <x:v>高</x:v>
      </x:c>
      <x:c r="B938" s="215" t="str">
        <x:v>CxVisual.Mechanism.Core</x:v>
      </x:c>
      <x:c r="C938" s="215" t="str">
        <x:v>M01</x:v>
      </x:c>
      <x:c r="D938" s="215" t="str">
        <x:v>MEMResourceDescriptor</x:v>
      </x:c>
      <x:c r="E938" s="215" t="str">
        <x:v>ResourceDescriptor</x:v>
      </x:c>
      <x:c r="F938" s="215" t="str">
        <x:v>Host/Studio/Application/Studio/Resources/ResourcePlatform.cs</x:v>
      </x:c>
      <x:c r="G938" s="215" t="str">
        <x:v>Studio应用类型疑似混入公共Core</x:v>
      </x:c>
      <x:c r="H938" s="215" t="str">
        <x:v>Studio应用层优先；抽象公共契约后可留Core</x:v>
      </x:c>
      <x:c r="I938" s="215" t="str">
        <x:v>V7.8同名且源文件对应</x:v>
      </x:c>
      <x:c r="J938" s="215" t="str">
        <x:v>M01.ResourceDescriptor</x:v>
      </x:c>
      <x:c r="K938" s="215" t="str">
        <x:v>原有·待核</x:v>
      </x:c>
      <x:c r="L938" s="215" t="str">
        <x:v>设计审核，待源码与构建测试</x:v>
      </x:c>
    </x:row>
    <x:row r="939" ht="31.5" customHeight="1">
      <x:c r="A939" s="215" t="str">
        <x:v>高</x:v>
      </x:c>
      <x:c r="B939" s="215" t="str">
        <x:v>CxVisual.Mechanism.Core</x:v>
      </x:c>
      <x:c r="C939" s="215" t="str">
        <x:v>M02</x:v>
      </x:c>
      <x:c r="D939" s="215" t="str">
        <x:v>MRCSymbolAuthoringService</x:v>
      </x:c>
      <x:c r="E939" s="215" t="str">
        <x:v>CxVisual.Designer.Application.SymbolAuthoringService</x:v>
      </x:c>
      <x:c r="F939" s="215" t="str">
        <x:v>Host/Studio/Application/SymbolAuthoringService.cs</x:v>
      </x:c>
      <x:c r="G939" s="215" t="str">
        <x:v>Studio应用类型疑似混入公共Core</x:v>
      </x:c>
      <x:c r="H939" s="215" t="str">
        <x:v>Studio应用层优先；抽象公共契约后可留Core</x:v>
      </x:c>
      <x:c r="I939" s="215" t="str">
        <x:v>V7.8同名且源文件对应</x:v>
      </x:c>
      <x:c r="J939" s="215" t="str">
        <x:v>C-0178</x:v>
      </x:c>
      <x:c r="K939" s="215" t="str">
        <x:v>原有·待核</x:v>
      </x:c>
      <x:c r="L939" s="215" t="str">
        <x:v>设计审核，待源码与构建测试</x:v>
      </x:c>
    </x:row>
    <x:row r="940" ht="31.5" customHeight="1">
      <x:c r="A940" s="215" t="str">
        <x:v>高</x:v>
      </x:c>
      <x:c r="B940" s="215" t="str">
        <x:v>CxVisual.Mechanism.Core</x:v>
      </x:c>
      <x:c r="C940" s="215" t="str">
        <x:v>M02</x:v>
      </x:c>
      <x:c r="D940" s="215" t="str">
        <x:v>MRCSymbolAuthoringWorkflow</x:v>
      </x:c>
      <x:c r="E940" s="215" t="str">
        <x:v>CxVisual.Designer.Application.SymbolAuthoringWorkflow</x:v>
      </x:c>
      <x:c r="F940" s="215" t="str">
        <x:v>Host/Studio/Application/SymbolAuthoringWorkflow.cs</x:v>
      </x:c>
      <x:c r="G940" s="215" t="str">
        <x:v>Studio应用类型疑似混入公共Core</x:v>
      </x:c>
      <x:c r="H940" s="215" t="str">
        <x:v>Studio应用层优先；抽象公共契约后可留Core</x:v>
      </x:c>
      <x:c r="I940" s="215" t="str">
        <x:v>V7.8同名且源文件对应</x:v>
      </x:c>
      <x:c r="J940" s="215" t="str">
        <x:v>C-0179</x:v>
      </x:c>
      <x:c r="K940" s="215" t="str">
        <x:v>原有·待核</x:v>
      </x:c>
      <x:c r="L940" s="215" t="str">
        <x:v>设计审核，待源码与构建测试</x:v>
      </x:c>
    </x:row>
    <x:row r="941" ht="31.5" customHeight="1">
      <x:c r="A941" s="215" t="str">
        <x:v>高</x:v>
      </x:c>
      <x:c r="B941" s="215" t="str">
        <x:v>CxVisual.Mechanism.Core</x:v>
      </x:c>
      <x:c r="C941" s="215" t="str">
        <x:v>M02</x:v>
      </x:c>
      <x:c r="D941" s="215" t="str">
        <x:v>MRCSymbolChildEditorWindow</x:v>
      </x:c>
      <x:c r="E941" s="215" t="str">
        <x:v>CxVisual.Designer.Wpf.SymbolChildEditorWindow</x:v>
      </x:c>
      <x:c r="F941" s="215" t="str">
        <x:v>Host/Studio/Wpf/M5ClosureEditors.cs</x:v>
      </x:c>
      <x:c r="G941" s="215" t="str">
        <x:v>Studio应用类型疑似混入公共Core；具体UI类型不应归Core/无UI Visual</x:v>
      </x:c>
      <x:c r="H941" s="215" t="str">
        <x:v>WPF通用呈现迁入M_PresentationWpf；仅Studio专用窗口留Studio</x:v>
      </x:c>
      <x:c r="I941" s="215" t="str">
        <x:v>V7.8同名且源文件对应</x:v>
      </x:c>
      <x:c r="J941" s="215" t="str">
        <x:v>C-0183</x:v>
      </x:c>
      <x:c r="K941" s="215" t="str">
        <x:v>原有·待核</x:v>
      </x:c>
      <x:c r="L941" s="215" t="str">
        <x:v>设计审核，待源码与构建测试</x:v>
      </x:c>
    </x:row>
    <x:row r="942" ht="31.5" customHeight="1">
      <x:c r="A942" s="215" t="str">
        <x:v>高</x:v>
      </x:c>
      <x:c r="B942" s="215" t="str">
        <x:v>CxVisual.Mechanism.Core</x:v>
      </x:c>
      <x:c r="C942" s="215" t="str">
        <x:v>M02</x:v>
      </x:c>
      <x:c r="D942" s="215" t="str">
        <x:v>MRCSymbolCreationWorkflowResult</x:v>
      </x:c>
      <x:c r="E942" s="215" t="str">
        <x:v>CxVisual.Designer.Application.SymbolCreationWorkflowResult</x:v>
      </x:c>
      <x:c r="F942" s="215" t="str">
        <x:v>Host/Studio/Application/SymbolAuthoringWorkflow.cs</x:v>
      </x:c>
      <x:c r="G942" s="215" t="str">
        <x:v>Studio应用类型疑似混入公共Core</x:v>
      </x:c>
      <x:c r="H942" s="215" t="str">
        <x:v>Studio应用层优先；抽象公共契约后可留Core</x:v>
      </x:c>
      <x:c r="I942" s="215" t="str">
        <x:v>V7.8同名且源文件对应</x:v>
      </x:c>
      <x:c r="J942" s="215" t="str">
        <x:v>C-0180</x:v>
      </x:c>
      <x:c r="K942" s="215" t="str">
        <x:v>原有·待核</x:v>
      </x:c>
      <x:c r="L942" s="215" t="str">
        <x:v>设计审核，待源码与构建测试</x:v>
      </x:c>
    </x:row>
    <x:row r="943" ht="31.5" customHeight="1">
      <x:c r="A943" s="215" t="str">
        <x:v>高</x:v>
      </x:c>
      <x:c r="B943" s="215" t="str">
        <x:v>CxVisual.Mechanism.Core</x:v>
      </x:c>
      <x:c r="C943" s="215" t="str">
        <x:v>M02</x:v>
      </x:c>
      <x:c r="D943" s="215" t="str">
        <x:v>MRCSymbolDefinitionEditorWindow</x:v>
      </x:c>
      <x:c r="E943" s="215" t="str">
        <x:v>CxVisual.Designer.Wpf.SymbolDefinitionEditorWindow</x:v>
      </x:c>
      <x:c r="F943" s="215" t="str">
        <x:v>Host/Studio/Wpf/M5ClosureEditors.cs</x:v>
      </x:c>
      <x:c r="G943" s="215" t="str">
        <x:v>Studio应用类型疑似混入公共Core；具体UI类型不应归Core/无UI Visual</x:v>
      </x:c>
      <x:c r="H943" s="215" t="str">
        <x:v>WPF通用呈现迁入M_PresentationWpf；仅Studio专用窗口留Studio</x:v>
      </x:c>
      <x:c r="I943" s="215" t="str">
        <x:v>V7.8同名且源文件对应</x:v>
      </x:c>
      <x:c r="J943" s="215" t="str">
        <x:v>C-0184</x:v>
      </x:c>
      <x:c r="K943" s="215" t="str">
        <x:v>原有·待核</x:v>
      </x:c>
      <x:c r="L943" s="215" t="str">
        <x:v>设计审核，待源码与构建测试</x:v>
      </x:c>
    </x:row>
    <x:row r="944" ht="31.5" customHeight="1">
      <x:c r="A944" s="215" t="str">
        <x:v>高</x:v>
      </x:c>
      <x:c r="B944" s="215" t="str">
        <x:v>CxVisual.Mechanism.Core</x:v>
      </x:c>
      <x:c r="C944" s="215" t="str">
        <x:v>M02</x:v>
      </x:c>
      <x:c r="D944" s="215" t="str">
        <x:v>MRCSymbolWorkflowStatusIds</x:v>
      </x:c>
      <x:c r="E944" s="215" t="str">
        <x:v>CxVisual.Designer.Application.SymbolWorkflowStatusIds</x:v>
      </x:c>
      <x:c r="F944" s="215" t="str">
        <x:v>Host/Studio/Application/SymbolAuthoringWorkflow.cs</x:v>
      </x:c>
      <x:c r="G944" s="215" t="str">
        <x:v>Studio应用类型疑似混入公共Core</x:v>
      </x:c>
      <x:c r="H944" s="215" t="str">
        <x:v>Studio应用层优先；抽象公共契约后可留Core</x:v>
      </x:c>
      <x:c r="I944" s="215" t="str">
        <x:v>V7.8同名且源文件对应</x:v>
      </x:c>
      <x:c r="J944" s="215" t="str">
        <x:v>C-0181</x:v>
      </x:c>
      <x:c r="K944" s="215" t="str">
        <x:v>原有·待核</x:v>
      </x:c>
      <x:c r="L944" s="215" t="str">
        <x:v>设计审核，待源码与构建测试</x:v>
      </x:c>
    </x:row>
    <x:row r="945" ht="31.5" customHeight="1">
      <x:c r="A945" s="215" t="str">
        <x:v>高</x:v>
      </x:c>
      <x:c r="B945" s="215" t="str">
        <x:v>CxVisual.Mechanism.Core</x:v>
      </x:c>
      <x:c r="C945" s="215" t="str">
        <x:v>M02</x:v>
      </x:c>
      <x:c r="D945" s="215" t="str">
        <x:v>MRCSymbolWorkflowStep</x:v>
      </x:c>
      <x:c r="E945" s="215" t="str">
        <x:v>CxVisual.Designer.Application.SymbolWorkflowStep</x:v>
      </x:c>
      <x:c r="F945" s="215" t="str">
        <x:v>Host/Studio/Application/SymbolAuthoringWorkflow.cs</x:v>
      </x:c>
      <x:c r="G945" s="215" t="str">
        <x:v>Studio应用类型疑似混入公共Core</x:v>
      </x:c>
      <x:c r="H945" s="215" t="str">
        <x:v>Studio应用层优先；抽象公共契约后可留Core</x:v>
      </x:c>
      <x:c r="I945" s="215" t="str">
        <x:v>V7.8同名且源文件对应</x:v>
      </x:c>
      <x:c r="J945" s="215" t="str">
        <x:v>C-0182</x:v>
      </x:c>
      <x:c r="K945" s="215" t="str">
        <x:v>原有·待核</x:v>
      </x:c>
      <x:c r="L945" s="215" t="str">
        <x:v>设计审核，待源码与构建测试</x:v>
      </x:c>
    </x:row>
    <x:row r="946" ht="31.5" customHeight="1">
      <x:c r="A946" s="215" t="str">
        <x:v>高</x:v>
      </x:c>
      <x:c r="B946" s="215" t="str">
        <x:v>CxVisual.Mechanism.Core</x:v>
      </x:c>
      <x:c r="C946" s="215" t="str">
        <x:v>M02</x:v>
      </x:c>
      <x:c r="D946" s="215" t="str">
        <x:v>MRCContentDefinition</x:v>
      </x:c>
      <x:c r="E946" s="215" t="str">
        <x:v>ContentDefinition</x:v>
      </x:c>
      <x:c r="F946" s="215" t="str">
        <x:v>Platform/Core/CxConnections.cs；Platform/Core/CxNodeOwnership.cs；Platform/Core/CxPublicContracts.cs；Platform/Core/UnifiedObjectModel.cs</x:v>
      </x:c>
      <x:c r="G946" s="215" t="str">
        <x:v>历史对象与最新Node/Ref模型存在迁移差异</x:v>
      </x:c>
      <x:c r="H946" s="215" t="str">
        <x:v>旧类型先做兼容适配；最终Symbol由Group承载，不再重复建立独立权威定义树</x:v>
      </x:c>
      <x:c r="I946" s="215" t="str">
        <x:v>V7.8同名且源文件对应</x:v>
      </x:c>
      <x:c r="J946" s="215" t="str">
        <x:v>M02.ContentDefinition</x:v>
      </x:c>
      <x:c r="K946" s="215" t="str">
        <x:v>原有·待核</x:v>
      </x:c>
      <x:c r="L946" s="215" t="str">
        <x:v>设计审核，待源码与构建测试</x:v>
      </x:c>
    </x:row>
    <x:row r="947" ht="31.5" customHeight="1">
      <x:c r="A947" s="215" t="str">
        <x:v>高</x:v>
      </x:c>
      <x:c r="B947" s="215" t="str">
        <x:v>CxVisual.Mechanism.Core</x:v>
      </x:c>
      <x:c r="C947" s="215" t="str">
        <x:v>M02</x:v>
      </x:c>
      <x:c r="D947" s="215" t="str">
        <x:v>MRCSymbolDefinition</x:v>
      </x:c>
      <x:c r="E947" s="215" t="str">
        <x:v>SymbolDefinition</x:v>
      </x:c>
      <x:c r="F947" s="215" t="str">
        <x:v>Platform/Core/Symbols.cs；Platform/Core/CxNodeOwnership.cs；Platform/Core/CxPublicContracts.cs；Platform/Core/CxDefinitionMappings.cs</x:v>
      </x:c>
      <x:c r="G947" s="215" t="str">
        <x:v>历史对象与最新Node/Ref模型存在迁移差异</x:v>
      </x:c>
      <x:c r="H947" s="215" t="str">
        <x:v>旧类型先做兼容适配；最终Symbol由Group承载，不再重复建立独立权威定义树</x:v>
      </x:c>
      <x:c r="I947" s="215" t="str">
        <x:v>V7.8同名且源文件对应</x:v>
      </x:c>
      <x:c r="J947" s="215" t="str">
        <x:v>M02.SymbolDefinition</x:v>
      </x:c>
      <x:c r="K947" s="215" t="str">
        <x:v>原有·待核</x:v>
      </x:c>
      <x:c r="L947" s="215" t="str">
        <x:v>设计审核，待源码与构建测试</x:v>
      </x:c>
    </x:row>
    <x:row r="948" ht="31.5" customHeight="1">
      <x:c r="A948" s="215" t="str">
        <x:v>高</x:v>
      </x:c>
      <x:c r="B948" s="215" t="str">
        <x:v>CxVisual.Mechanism.Visual</x:v>
      </x:c>
      <x:c r="C948" s="215" t="str">
        <x:v>M16</x:v>
      </x:c>
      <x:c r="D948" s="215" t="str">
        <x:v>IMDLDrawingHitTester&lt;T&gt;</x:v>
      </x:c>
      <x:c r="E948" s="215" t="str">
        <x:v>CxVisual.Platform.Presentation.Wpf.Drawing.IDrawingHitTester&lt;T&gt;</x:v>
      </x:c>
      <x:c r="F948" s="215" t="str">
        <x:v>D:\cyg\cx-visual-x2\Platform.Presentation.Wpf\Drawing\DrawingFoundation.cs:63</x:v>
      </x:c>
      <x:c r="G948" s="215" t="str">
        <x:v>具体UI类型不应归Core/无UI Visual</x:v>
      </x:c>
      <x:c r="H948" s="215" t="str">
        <x:v>WPF通用呈现迁入M_PresentationWpf；仅Studio专用窗口留Studio</x:v>
      </x:c>
      <x:c r="I948" s="215" t="str">
        <x:v>V7.8同名且源文件对应</x:v>
      </x:c>
      <x:c r="J948" s="215" t="str">
        <x:v>C-0756</x:v>
      </x:c>
      <x:c r="K948" s="215" t="str">
        <x:v>原有·待核</x:v>
      </x:c>
      <x:c r="L948" s="215" t="str">
        <x:v>设计审核，待源码与构建测试</x:v>
      </x:c>
    </x:row>
    <x:row r="949" ht="31.5" customHeight="1">
      <x:c r="A949" s="215" t="str">
        <x:v>高</x:v>
      </x:c>
      <x:c r="B949" s="215" t="str">
        <x:v>CxVisual.Mechanism.Visual</x:v>
      </x:c>
      <x:c r="C949" s="215" t="str">
        <x:v>M16</x:v>
      </x:c>
      <x:c r="D949" s="215" t="str">
        <x:v>IMDLElementRenderer</x:v>
      </x:c>
      <x:c r="E949" s="215" t="str">
        <x:v>CxVisual.Rendering.Wpf.IElementRenderer</x:v>
      </x:c>
      <x:c r="F949" s="215" t="str">
        <x:v>Platform.Presentation.Wpf/Rendering/ElementRendererRegistry.cs</x:v>
      </x:c>
      <x:c r="G949" s="215" t="str">
        <x:v>具体UI类型不应归Core/无UI Visual</x:v>
      </x:c>
      <x:c r="H949" s="215" t="str">
        <x:v>WPF通用呈现迁入M_PresentationWpf；仅Studio专用窗口留Studio</x:v>
      </x:c>
      <x:c r="I949" s="215" t="str">
        <x:v>V7.8同名且源文件对应</x:v>
      </x:c>
      <x:c r="J949" s="215" t="str">
        <x:v>C-0764</x:v>
      </x:c>
      <x:c r="K949" s="215" t="str">
        <x:v>原有·待核</x:v>
      </x:c>
      <x:c r="L949" s="215" t="str">
        <x:v>设计审核，待源码与构建测试</x:v>
      </x:c>
    </x:row>
    <x:row r="950" ht="31.5" customHeight="1">
      <x:c r="A950" s="215" t="str">
        <x:v>高</x:v>
      </x:c>
      <x:c r="B950" s="215" t="str">
        <x:v>CxVisual.Mechanism.Visual</x:v>
      </x:c>
      <x:c r="C950" s="215" t="str">
        <x:v>M16</x:v>
      </x:c>
      <x:c r="D950" s="215" t="str">
        <x:v>MDLBrushParser</x:v>
      </x:c>
      <x:c r="E950" s="215" t="str">
        <x:v>CxVisual.Rendering.Wpf.BrushParser</x:v>
      </x:c>
      <x:c r="F950" s="215" t="str">
        <x:v>Platform.Presentation.Wpf/Rendering/ElementRendererRegistry.cs</x:v>
      </x:c>
      <x:c r="G950" s="215" t="str">
        <x:v>具体UI类型不应归Core/无UI Visual</x:v>
      </x:c>
      <x:c r="H950" s="215" t="str">
        <x:v>WPF通用呈现迁入M_PresentationWpf；仅Studio专用窗口留Studio</x:v>
      </x:c>
      <x:c r="I950" s="215" t="str">
        <x:v>V7.8同名且源文件对应</x:v>
      </x:c>
      <x:c r="J950" s="215" t="str">
        <x:v>C-0758</x:v>
      </x:c>
      <x:c r="K950" s="215" t="str">
        <x:v>原有·待核</x:v>
      </x:c>
      <x:c r="L950" s="215" t="str">
        <x:v>设计审核，待源码与构建测试</x:v>
      </x:c>
    </x:row>
    <x:row r="951" ht="31.5" customHeight="1">
      <x:c r="A951" s="215" t="str">
        <x:v>高</x:v>
      </x:c>
      <x:c r="B951" s="215" t="str">
        <x:v>CxVisual.Mechanism.Visual</x:v>
      </x:c>
      <x:c r="C951" s="215" t="str">
        <x:v>M16</x:v>
      </x:c>
      <x:c r="D951" s="215" t="str">
        <x:v>MDLBuiltInElementRenderers</x:v>
      </x:c>
      <x:c r="E951" s="215" t="str">
        <x:v>CxVisual.Rendering.Wpf.BuiltInElementRenderers</x:v>
      </x:c>
      <x:c r="F951" s="215" t="str">
        <x:v>Platform.Presentation.Wpf/Rendering/ElementRendererRegistry.cs</x:v>
      </x:c>
      <x:c r="G951" s="215" t="str">
        <x:v>具体UI类型不应归Core/无UI Visual</x:v>
      </x:c>
      <x:c r="H951" s="215" t="str">
        <x:v>WPF通用呈现迁入M_PresentationWpf；仅Studio专用窗口留Studio</x:v>
      </x:c>
      <x:c r="I951" s="215" t="str">
        <x:v>V7.8同名且源文件对应</x:v>
      </x:c>
      <x:c r="J951" s="215" t="str">
        <x:v>C-0759</x:v>
      </x:c>
      <x:c r="K951" s="215" t="str">
        <x:v>原有·待核</x:v>
      </x:c>
      <x:c r="L951" s="215" t="str">
        <x:v>设计审核，待源码与构建测试</x:v>
      </x:c>
    </x:row>
    <x:row r="952" ht="31.5" customHeight="1">
      <x:c r="A952" s="215" t="str">
        <x:v>高</x:v>
      </x:c>
      <x:c r="B952" s="215" t="str">
        <x:v>CxVisual.Mechanism.Visual</x:v>
      </x:c>
      <x:c r="C952" s="215" t="str">
        <x:v>M16</x:v>
      </x:c>
      <x:c r="D952" s="215" t="str">
        <x:v>MDLControlTag</x:v>
      </x:c>
      <x:c r="E952" s="215" t="str">
        <x:v>CxVisual.Rendering.Wpf.StandardControlLayer.ControlTag</x:v>
      </x:c>
      <x:c r="F952" s="215" t="str">
        <x:v>Platform.Presentation.Wpf/Rendering/StandardControlLayer.cs</x:v>
      </x:c>
      <x:c r="G952" s="215" t="str">
        <x:v>具体UI类型不应归Core/无UI Visual</x:v>
      </x:c>
      <x:c r="H952" s="215" t="str">
        <x:v>WPF通用呈现迁入M_PresentationWpf；仅Studio专用窗口留Studio</x:v>
      </x:c>
      <x:c r="I952" s="215" t="str">
        <x:v>V7.8同名且源文件对应</x:v>
      </x:c>
      <x:c r="J952" s="215" t="str">
        <x:v>C-0768</x:v>
      </x:c>
      <x:c r="K952" s="215" t="str">
        <x:v>原有·待核</x:v>
      </x:c>
      <x:c r="L952" s="215" t="str">
        <x:v>设计审核，待源码与构建测试</x:v>
      </x:c>
    </x:row>
    <x:row r="953" ht="31.5" customHeight="1">
      <x:c r="A953" s="215" t="str">
        <x:v>高</x:v>
      </x:c>
      <x:c r="B953" s="215" t="str">
        <x:v>CxVisual.Mechanism.Visual</x:v>
      </x:c>
      <x:c r="C953" s="215" t="str">
        <x:v>M16</x:v>
      </x:c>
      <x:c r="D953" s="215" t="str">
        <x:v>MDLCxCanvasDrawingTarget</x:v>
      </x:c>
      <x:c r="E953" s="215" t="str">
        <x:v>CxVisual.Rendering.Wpf.CxCanvasDrawingTarget</x:v>
      </x:c>
      <x:c r="F953" s="215" t="str">
        <x:v>Platform.Presentation.Wpf/Rendering/CxCanvasDrawingTarget.cs</x:v>
      </x:c>
      <x:c r="G953" s="215" t="str">
        <x:v>具体UI类型不应归Core/无UI Visual</x:v>
      </x:c>
      <x:c r="H953" s="215" t="str">
        <x:v>WPF通用呈现迁入M_PresentationWpf；仅Studio专用窗口留Studio</x:v>
      </x:c>
      <x:c r="I953" s="215" t="str">
        <x:v>V7.8同名且源文件对应</x:v>
      </x:c>
      <x:c r="J953" s="215" t="str">
        <x:v>C-0760</x:v>
      </x:c>
      <x:c r="K953" s="215" t="str">
        <x:v>原有·待核</x:v>
      </x:c>
      <x:c r="L953" s="215" t="str">
        <x:v>设计审核，待源码与构建测试</x:v>
      </x:c>
    </x:row>
    <x:row r="954" ht="31.5" customHeight="1">
      <x:c r="A954" s="215" t="str">
        <x:v>高</x:v>
      </x:c>
      <x:c r="B954" s="215" t="str">
        <x:v>CxVisual.Mechanism.Visual</x:v>
      </x:c>
      <x:c r="C954" s="215" t="str">
        <x:v>M16</x:v>
      </x:c>
      <x:c r="D954" s="215" t="str">
        <x:v>MDLDelegateElementRenderer&lt;TElement&gt;</x:v>
      </x:c>
      <x:c r="E954" s="215" t="str">
        <x:v>CxVisual.Rendering.Wpf.DelegateElementRenderer&lt;TElement&gt;</x:v>
      </x:c>
      <x:c r="F954" s="215" t="str">
        <x:v>D:\cyg\cx-visual-x2\Platform.Presentation.Wpf\Rendering\ElementRendererRegistry.cs:664</x:v>
      </x:c>
      <x:c r="G954" s="215" t="str">
        <x:v>具体UI类型不应归Core/无UI Visual</x:v>
      </x:c>
      <x:c r="H954" s="215" t="str">
        <x:v>WPF通用呈现迁入M_PresentationWpf；仅Studio专用窗口留Studio</x:v>
      </x:c>
      <x:c r="I954" s="215" t="str">
        <x:v>V7.8未检出同名词法声明</x:v>
      </x:c>
      <x:c r="J954" s="215" t="str">
        <x:v>C-0761</x:v>
      </x:c>
      <x:c r="K954" s="215" t="str">
        <x:v>原有·待核</x:v>
      </x:c>
      <x:c r="L954" s="215" t="str">
        <x:v>设计审核，待源码与构建测试</x:v>
      </x:c>
    </x:row>
    <x:row r="955" ht="31.5" customHeight="1">
      <x:c r="A955" s="215" t="str">
        <x:v>高</x:v>
      </x:c>
      <x:c r="B955" s="215" t="str">
        <x:v>CxVisual.Mechanism.Visual</x:v>
      </x:c>
      <x:c r="C955" s="215" t="str">
        <x:v>M16</x:v>
      </x:c>
      <x:c r="D955" s="215" t="str">
        <x:v>MDLDockPane</x:v>
      </x:c>
      <x:c r="E955" s="215" t="str">
        <x:v>CxVisual.Designer.Wpf.DockPane</x:v>
      </x:c>
      <x:c r="F955" s="215" t="str">
        <x:v>Platform.Presentation.Wpf/Workspace/DockPane.xaml.cs</x:v>
      </x:c>
      <x:c r="G955" s="215" t="str">
        <x:v>具体UI类型不应归Core/无UI Visual</x:v>
      </x:c>
      <x:c r="H955" s="215" t="str">
        <x:v>WPF通用呈现迁入M_PresentationWpf；仅Studio专用窗口留Studio</x:v>
      </x:c>
      <x:c r="I955" s="215" t="str">
        <x:v>V7.8同名且源文件对应</x:v>
      </x:c>
      <x:c r="J955" s="215" t="str">
        <x:v>C-0747</x:v>
      </x:c>
      <x:c r="K955" s="215" t="str">
        <x:v>原有·待核</x:v>
      </x:c>
      <x:c r="L955" s="215" t="str">
        <x:v>设计审核，待源码与构建测试</x:v>
      </x:c>
    </x:row>
    <x:row r="956" ht="31.5" customHeight="1">
      <x:c r="A956" s="215" t="str">
        <x:v>高</x:v>
      </x:c>
      <x:c r="B956" s="215" t="str">
        <x:v>CxVisual.Mechanism.Visual</x:v>
      </x:c>
      <x:c r="C956" s="215" t="str">
        <x:v>M16</x:v>
      </x:c>
      <x:c r="D956" s="215" t="str">
        <x:v>MDLDrawingAdornerDescriptor</x:v>
      </x:c>
      <x:c r="E956" s="215" t="str">
        <x:v>CxVisual.Platform.Presentation.Wpf.Drawing.DrawingAdornerDescriptor</x:v>
      </x:c>
      <x:c r="F956" s="215" t="str">
        <x:v>Platform.Presentation.Wpf/Drawing/DrawingFoundation.cs</x:v>
      </x:c>
      <x:c r="G956" s="215" t="str">
        <x:v>具体UI类型不应归Core/无UI Visual</x:v>
      </x:c>
      <x:c r="H956" s="215" t="str">
        <x:v>WPF通用呈现迁入M_PresentationWpf；仅Studio专用窗口留Studio</x:v>
      </x:c>
      <x:c r="I956" s="215" t="str">
        <x:v>V7.8同名且源文件对应</x:v>
      </x:c>
      <x:c r="J956" s="215" t="str">
        <x:v>C-0748</x:v>
      </x:c>
      <x:c r="K956" s="215" t="str">
        <x:v>原有·待核</x:v>
      </x:c>
      <x:c r="L956" s="215" t="str">
        <x:v>设计审核，待源码与构建测试</x:v>
      </x:c>
    </x:row>
    <x:row r="957" ht="31.5" customHeight="1">
      <x:c r="A957" s="215" t="str">
        <x:v>高</x:v>
      </x:c>
      <x:c r="B957" s="215" t="str">
        <x:v>CxVisual.Mechanism.Visual</x:v>
      </x:c>
      <x:c r="C957" s="215" t="str">
        <x:v>M16</x:v>
      </x:c>
      <x:c r="D957" s="215" t="str">
        <x:v>MDLDrawingHitResult&lt;T&gt;</x:v>
      </x:c>
      <x:c r="E957" s="215" t="str">
        <x:v>CxVisual.Platform.Presentation.Wpf.Drawing.DrawingHitResult&lt;T&gt;</x:v>
      </x:c>
      <x:c r="F957" s="215" t="str">
        <x:v>D:\cyg\cx-visual-x2\Platform.Presentation.Wpf\Drawing\DrawingFoundation.cs:55</x:v>
      </x:c>
      <x:c r="G957" s="215" t="str">
        <x:v>具体UI类型不应归Core/无UI Visual</x:v>
      </x:c>
      <x:c r="H957" s="215" t="str">
        <x:v>WPF通用呈现迁入M_PresentationWpf；仅Studio专用窗口留Studio</x:v>
      </x:c>
      <x:c r="I957" s="215" t="str">
        <x:v>V7.8同名且源文件对应</x:v>
      </x:c>
      <x:c r="J957" s="215" t="str">
        <x:v>C-0749</x:v>
      </x:c>
      <x:c r="K957" s="215" t="str">
        <x:v>原有·待核</x:v>
      </x:c>
      <x:c r="L957" s="215" t="str">
        <x:v>设计审核，待源码与构建测试</x:v>
      </x:c>
    </x:row>
    <x:row r="958" ht="31.5" customHeight="1">
      <x:c r="A958" s="215" t="str">
        <x:v>高</x:v>
      </x:c>
      <x:c r="B958" s="215" t="str">
        <x:v>CxVisual.Mechanism.Visual</x:v>
      </x:c>
      <x:c r="C958" s="215" t="str">
        <x:v>M16</x:v>
      </x:c>
      <x:c r="D958" s="215" t="str">
        <x:v>MDLDrawingSelection</x:v>
      </x:c>
      <x:c r="E958" s="215" t="str">
        <x:v>CxVisual.Platform.Presentation.Wpf.Drawing.DrawingSelection</x:v>
      </x:c>
      <x:c r="F958" s="215" t="str">
        <x:v>Platform.Presentation.Wpf/Drawing/DrawingFoundation.cs</x:v>
      </x:c>
      <x:c r="G958" s="215" t="str">
        <x:v>具体UI类型不应归Core/无UI Visual</x:v>
      </x:c>
      <x:c r="H958" s="215" t="str">
        <x:v>WPF通用呈现迁入M_PresentationWpf；仅Studio专用窗口留Studio</x:v>
      </x:c>
      <x:c r="I958" s="215" t="str">
        <x:v>V7.8同名且源文件对应</x:v>
      </x:c>
      <x:c r="J958" s="215" t="str">
        <x:v>C-0750</x:v>
      </x:c>
      <x:c r="K958" s="215" t="str">
        <x:v>原有·待核</x:v>
      </x:c>
      <x:c r="L958" s="215" t="str">
        <x:v>设计审核，待源码与构建测试</x:v>
      </x:c>
    </x:row>
    <x:row r="959" ht="31.5" customHeight="1">
      <x:c r="A959" s="215" t="str">
        <x:v>高</x:v>
      </x:c>
      <x:c r="B959" s="215" t="str">
        <x:v>CxVisual.Mechanism.Visual</x:v>
      </x:c>
      <x:c r="C959" s="215" t="str">
        <x:v>M16</x:v>
      </x:c>
      <x:c r="D959" s="215" t="str">
        <x:v>MDLDrawingSnapPolicy</x:v>
      </x:c>
      <x:c r="E959" s="215" t="str">
        <x:v>CxVisual.Platform.Presentation.Wpf.Drawing.DrawingSnapPolicy</x:v>
      </x:c>
      <x:c r="F959" s="215" t="str">
        <x:v>Platform.Presentation.Wpf/Drawing/DrawingFoundation.cs</x:v>
      </x:c>
      <x:c r="G959" s="215" t="str">
        <x:v>具体UI类型不应归Core/无UI Visual</x:v>
      </x:c>
      <x:c r="H959" s="215" t="str">
        <x:v>WPF通用呈现迁入M_PresentationWpf；仅Studio专用窗口留Studio</x:v>
      </x:c>
      <x:c r="I959" s="215" t="str">
        <x:v>V7.8同名且源文件对应</x:v>
      </x:c>
      <x:c r="J959" s="215" t="str">
        <x:v>C-0751</x:v>
      </x:c>
      <x:c r="K959" s="215" t="str">
        <x:v>原有·待核</x:v>
      </x:c>
      <x:c r="L959" s="215" t="str">
        <x:v>设计审核，待源码与构建测试</x:v>
      </x:c>
    </x:row>
    <x:row r="960" ht="31.5" customHeight="1">
      <x:c r="A960" s="215" t="str">
        <x:v>高</x:v>
      </x:c>
      <x:c r="B960" s="215" t="str">
        <x:v>CxVisual.Mechanism.Visual</x:v>
      </x:c>
      <x:c r="C960" s="215" t="str">
        <x:v>M16</x:v>
      </x:c>
      <x:c r="D960" s="215" t="str">
        <x:v>MDLDrawingSnapResult</x:v>
      </x:c>
      <x:c r="E960" s="215" t="str">
        <x:v>CxVisual.Platform.Presentation.Wpf.Drawing.DrawingSnapResult</x:v>
      </x:c>
      <x:c r="F960" s="215" t="str">
        <x:v>Platform.Presentation.Wpf/Drawing/DrawingFoundation.cs</x:v>
      </x:c>
      <x:c r="G960" s="215" t="str">
        <x:v>具体UI类型不应归Core/无UI Visual</x:v>
      </x:c>
      <x:c r="H960" s="215" t="str">
        <x:v>WPF通用呈现迁入M_PresentationWpf；仅Studio专用窗口留Studio</x:v>
      </x:c>
      <x:c r="I960" s="215" t="str">
        <x:v>V7.8同名且源文件对应</x:v>
      </x:c>
      <x:c r="J960" s="215" t="str">
        <x:v>C-0752</x:v>
      </x:c>
      <x:c r="K960" s="215" t="str">
        <x:v>原有·待核</x:v>
      </x:c>
      <x:c r="L960" s="215" t="str">
        <x:v>设计审核，待源码与构建测试</x:v>
      </x:c>
    </x:row>
    <x:row r="961" ht="31.5" customHeight="1">
      <x:c r="A961" s="215" t="str">
        <x:v>高</x:v>
      </x:c>
      <x:c r="B961" s="215" t="str">
        <x:v>CxVisual.Mechanism.Visual</x:v>
      </x:c>
      <x:c r="C961" s="215" t="str">
        <x:v>M16</x:v>
      </x:c>
      <x:c r="D961" s="215" t="str">
        <x:v>MDLDrawingSnapService</x:v>
      </x:c>
      <x:c r="E961" s="215" t="str">
        <x:v>CxVisual.Platform.Presentation.Wpf.Drawing.DrawingSnapService</x:v>
      </x:c>
      <x:c r="F961" s="215" t="str">
        <x:v>Platform.Presentation.Wpf/Drawing/DrawingFoundation.cs</x:v>
      </x:c>
      <x:c r="G961" s="215" t="str">
        <x:v>具体UI类型不应归Core/无UI Visual</x:v>
      </x:c>
      <x:c r="H961" s="215" t="str">
        <x:v>WPF通用呈现迁入M_PresentationWpf；仅Studio专用窗口留Studio</x:v>
      </x:c>
      <x:c r="I961" s="215" t="str">
        <x:v>V7.8同名且源文件对应</x:v>
      </x:c>
      <x:c r="J961" s="215" t="str">
        <x:v>C-0753</x:v>
      </x:c>
      <x:c r="K961" s="215" t="str">
        <x:v>原有·待核</x:v>
      </x:c>
      <x:c r="L961" s="215" t="str">
        <x:v>设计审核，待源码与构建测试</x:v>
      </x:c>
    </x:row>
    <x:row r="962" ht="31.5" customHeight="1">
      <x:c r="A962" s="215" t="str">
        <x:v>高</x:v>
      </x:c>
      <x:c r="B962" s="215" t="str">
        <x:v>CxVisual.Mechanism.Visual</x:v>
      </x:c>
      <x:c r="C962" s="215" t="str">
        <x:v>M16</x:v>
      </x:c>
      <x:c r="D962" s="215" t="str">
        <x:v>MDLDrawingTransform</x:v>
      </x:c>
      <x:c r="E962" s="215" t="str">
        <x:v>CxVisual.Platform.Presentation.Wpf.Drawing.DrawingTransform</x:v>
      </x:c>
      <x:c r="F962" s="215" t="str">
        <x:v>Platform.Presentation.Wpf/Drawing/DrawingFoundation.cs</x:v>
      </x:c>
      <x:c r="G962" s="215" t="str">
        <x:v>具体UI类型不应归Core/无UI Visual</x:v>
      </x:c>
      <x:c r="H962" s="215" t="str">
        <x:v>WPF通用呈现迁入M_PresentationWpf；仅Studio专用窗口留Studio</x:v>
      </x:c>
      <x:c r="I962" s="215" t="str">
        <x:v>V7.8同名且源文件对应</x:v>
      </x:c>
      <x:c r="J962" s="215" t="str">
        <x:v>C-0754</x:v>
      </x:c>
      <x:c r="K962" s="215" t="str">
        <x:v>原有·待核</x:v>
      </x:c>
      <x:c r="L962" s="215" t="str">
        <x:v>设计审核，待源码与构建测试</x:v>
      </x:c>
    </x:row>
    <x:row r="963" ht="31.5" customHeight="1">
      <x:c r="A963" s="215" t="str">
        <x:v>高</x:v>
      </x:c>
      <x:c r="B963" s="215" t="str">
        <x:v>CxVisual.Mechanism.Visual</x:v>
      </x:c>
      <x:c r="C963" s="215" t="str">
        <x:v>M16</x:v>
      </x:c>
      <x:c r="D963" s="215" t="str">
        <x:v>MDLDrawingViewport</x:v>
      </x:c>
      <x:c r="E963" s="215" t="str">
        <x:v>CxVisual.Platform.Presentation.Wpf.Drawing.DrawingViewport</x:v>
      </x:c>
      <x:c r="F963" s="215" t="str">
        <x:v>Platform.Presentation.Wpf/Drawing/DrawingFoundation.cs</x:v>
      </x:c>
      <x:c r="G963" s="215" t="str">
        <x:v>具体UI类型不应归Core/无UI Visual</x:v>
      </x:c>
      <x:c r="H963" s="215" t="str">
        <x:v>WPF通用呈现迁入M_PresentationWpf；仅Studio专用窗口留Studio</x:v>
      </x:c>
      <x:c r="I963" s="215" t="str">
        <x:v>V7.8同名且源文件对应</x:v>
      </x:c>
      <x:c r="J963" s="215" t="str">
        <x:v>C-0755</x:v>
      </x:c>
      <x:c r="K963" s="215" t="str">
        <x:v>原有·待核</x:v>
      </x:c>
      <x:c r="L963" s="215" t="str">
        <x:v>设计审核，待源码与构建测试</x:v>
      </x:c>
    </x:row>
    <x:row r="964" ht="31.5" customHeight="1">
      <x:c r="A964" s="215" t="str">
        <x:v>高</x:v>
      </x:c>
      <x:c r="B964" s="215" t="str">
        <x:v>CxVisual.Mechanism.Visual</x:v>
      </x:c>
      <x:c r="C964" s="215" t="str">
        <x:v>M16</x:v>
      </x:c>
      <x:c r="D964" s="215" t="str">
        <x:v>MDLElementRenderContext</x:v>
      </x:c>
      <x:c r="E964" s="215" t="str">
        <x:v>CxVisual.Rendering.Wpf.ElementRenderContext</x:v>
      </x:c>
      <x:c r="F964" s="215" t="str">
        <x:v>Platform.Presentation.Wpf/Rendering/ElementRendererRegistry.cs</x:v>
      </x:c>
      <x:c r="G964" s="215" t="str">
        <x:v>具体UI类型不应归Core/无UI Visual</x:v>
      </x:c>
      <x:c r="H964" s="215" t="str">
        <x:v>WPF通用呈现迁入M_PresentationWpf；仅Studio专用窗口留Studio</x:v>
      </x:c>
      <x:c r="I964" s="215" t="str">
        <x:v>V7.8同名且源文件对应</x:v>
      </x:c>
      <x:c r="J964" s="215" t="str">
        <x:v>C-0762</x:v>
      </x:c>
      <x:c r="K964" s="215" t="str">
        <x:v>原有·待核</x:v>
      </x:c>
      <x:c r="L964" s="215" t="str">
        <x:v>设计审核，待源码与构建测试</x:v>
      </x:c>
    </x:row>
    <x:row r="965" ht="31.5" customHeight="1">
      <x:c r="A965" s="215" t="str">
        <x:v>高</x:v>
      </x:c>
      <x:c r="B965" s="215" t="str">
        <x:v>CxVisual.Mechanism.Visual</x:v>
      </x:c>
      <x:c r="C965" s="215" t="str">
        <x:v>M16</x:v>
      </x:c>
      <x:c r="D965" s="215" t="str">
        <x:v>MDLElementRendererRegistry</x:v>
      </x:c>
      <x:c r="E965" s="215" t="str">
        <x:v>CxVisual.Rendering.Wpf.ElementRendererRegistry</x:v>
      </x:c>
      <x:c r="F965" s="215" t="str">
        <x:v>Platform.Presentation.Wpf/Rendering/ElementRendererRegistry.cs</x:v>
      </x:c>
      <x:c r="G965" s="215" t="str">
        <x:v>具体UI类型不应归Core/无UI Visual</x:v>
      </x:c>
      <x:c r="H965" s="215" t="str">
        <x:v>WPF通用呈现迁入M_PresentationWpf；仅Studio专用窗口留Studio</x:v>
      </x:c>
      <x:c r="I965" s="215" t="str">
        <x:v>V7.8同名且源文件对应</x:v>
      </x:c>
      <x:c r="J965" s="215" t="str">
        <x:v>C-0763</x:v>
      </x:c>
      <x:c r="K965" s="215" t="str">
        <x:v>原有·待核</x:v>
      </x:c>
      <x:c r="L965" s="215" t="str">
        <x:v>设计审核，待源码与构建测试</x:v>
      </x:c>
    </x:row>
    <x:row r="966" ht="31.5" customHeight="1">
      <x:c r="A966" s="215" t="str">
        <x:v>高</x:v>
      </x:c>
      <x:c r="B966" s="215" t="str">
        <x:v>CxVisual.Mechanism.Visual</x:v>
      </x:c>
      <x:c r="C966" s="215" t="str">
        <x:v>M16</x:v>
      </x:c>
      <x:c r="D966" s="215" t="str">
        <x:v>MDLNumericInputControl</x:v>
      </x:c>
      <x:c r="E966" s="215" t="str">
        <x:v>CxVisual.Rendering.Wpf.NumericInputControl</x:v>
      </x:c>
      <x:c r="F966" s="215" t="str">
        <x:v>Platform.Presentation.Wpf/Rendering/StandardControlLayer.cs</x:v>
      </x:c>
      <x:c r="G966" s="215" t="str">
        <x:v>具体UI类型不应归Core/无UI Visual</x:v>
      </x:c>
      <x:c r="H966" s="215" t="str">
        <x:v>WPF通用呈现迁入M_PresentationWpf；仅Studio专用窗口留Studio</x:v>
      </x:c>
      <x:c r="I966" s="215" t="str">
        <x:v>V7.8同名且源文件对应</x:v>
      </x:c>
      <x:c r="J966" s="215" t="str">
        <x:v>C-0765</x:v>
      </x:c>
      <x:c r="K966" s="215" t="str">
        <x:v>原有·待核</x:v>
      </x:c>
      <x:c r="L966" s="215" t="str">
        <x:v>设计审核，待源码与构建测试</x:v>
      </x:c>
    </x:row>
    <x:row r="967" ht="31.5" customHeight="1">
      <x:c r="A967" s="215" t="str">
        <x:v>高</x:v>
      </x:c>
      <x:c r="B967" s="215" t="str">
        <x:v>CxVisual.Mechanism.Visual</x:v>
      </x:c>
      <x:c r="C967" s="215" t="str">
        <x:v>M16</x:v>
      </x:c>
      <x:c r="D967" s="215" t="str">
        <x:v>MDLSceneView</x:v>
      </x:c>
      <x:c r="E967" s="215" t="str">
        <x:v>CxVisual.Rendering.Wpf.SceneView</x:v>
      </x:c>
      <x:c r="F967" s="215" t="str">
        <x:v>Platform.Presentation.Wpf/Rendering/SceneView.cs</x:v>
      </x:c>
      <x:c r="G967" s="215" t="str">
        <x:v>具体UI类型不应归Core/无UI Visual</x:v>
      </x:c>
      <x:c r="H967" s="215" t="str">
        <x:v>WPF通用呈现迁入M_PresentationWpf；仅Studio专用窗口留Studio</x:v>
      </x:c>
      <x:c r="I967" s="215" t="str">
        <x:v>V7.8同名且源文件对应</x:v>
      </x:c>
      <x:c r="J967" s="215" t="str">
        <x:v>C-0766</x:v>
      </x:c>
      <x:c r="K967" s="215" t="str">
        <x:v>原有·待核</x:v>
      </x:c>
      <x:c r="L967" s="215" t="str">
        <x:v>设计审核，待源码与构建测试</x:v>
      </x:c>
    </x:row>
    <x:row r="968" ht="31.5" customHeight="1">
      <x:c r="A968" s="215" t="str">
        <x:v>高</x:v>
      </x:c>
      <x:c r="B968" s="215" t="str">
        <x:v>CxVisual.Mechanism.Visual</x:v>
      </x:c>
      <x:c r="C968" s="215" t="str">
        <x:v>M16</x:v>
      </x:c>
      <x:c r="D968" s="215" t="str">
        <x:v>MDLStandardControlLayer</x:v>
      </x:c>
      <x:c r="E968" s="215" t="str">
        <x:v>CxVisual.Rendering.Wpf.StandardControlLayer</x:v>
      </x:c>
      <x:c r="F968" s="215" t="str">
        <x:v>Platform.Presentation.Wpf/Rendering/StandardControlLayer.cs</x:v>
      </x:c>
      <x:c r="G968" s="215" t="str">
        <x:v>具体UI类型不应归Core/无UI Visual</x:v>
      </x:c>
      <x:c r="H968" s="215" t="str">
        <x:v>WPF通用呈现迁入M_PresentationWpf；仅Studio专用窗口留Studio</x:v>
      </x:c>
      <x:c r="I968" s="215" t="str">
        <x:v>V7.8同名且源文件对应</x:v>
      </x:c>
      <x:c r="J968" s="215" t="str">
        <x:v>C-0767</x:v>
      </x:c>
      <x:c r="K968" s="215" t="str">
        <x:v>原有·待核</x:v>
      </x:c>
      <x:c r="L968" s="215" t="str">
        <x:v>设计审核，待源码与构建测试</x:v>
      </x:c>
    </x:row>
    <x:row r="969" ht="31.5" customHeight="1">
      <x:c r="A969" s="215" t="str">
        <x:v>高</x:v>
      </x:c>
      <x:c r="B969" s="215" t="str">
        <x:v>CxVisual.Mechanism.Visual</x:v>
      </x:c>
      <x:c r="C969" s="215" t="str">
        <x:v>M16</x:v>
      </x:c>
      <x:c r="D969" s="215" t="str">
        <x:v>MDLStandardControlValueChangedEventArgs</x:v>
      </x:c>
      <x:c r="E969" s="215" t="str">
        <x:v>CxVisual.Rendering.Wpf.StandardControlValueChangedEventArgs</x:v>
      </x:c>
      <x:c r="F969" s="215" t="str">
        <x:v>Platform.Presentation.Wpf/Rendering/StandardControlLayer.cs</x:v>
      </x:c>
      <x:c r="G969" s="215" t="str">
        <x:v>具体UI类型不应归Core/无UI Visual</x:v>
      </x:c>
      <x:c r="H969" s="215" t="str">
        <x:v>WPF通用呈现迁入M_PresentationWpf；仅Studio专用窗口留Studio</x:v>
      </x:c>
      <x:c r="I969" s="215" t="str">
        <x:v>V7.8同名且源文件对应</x:v>
      </x:c>
      <x:c r="J969" s="215" t="str">
        <x:v>C-0769</x:v>
      </x:c>
      <x:c r="K969" s="215" t="str">
        <x:v>原有·待核</x:v>
      </x:c>
      <x:c r="L969" s="215" t="str">
        <x:v>设计审核，待源码与构建测试</x:v>
      </x:c>
    </x:row>
    <x:row r="970" ht="31.5" customHeight="1">
      <x:c r="A970" s="215" t="str">
        <x:v>高</x:v>
      </x:c>
      <x:c r="B970" s="215" t="str">
        <x:v>CxVisual.Mechanism.Visual</x:v>
      </x:c>
      <x:c r="C970" s="215" t="str">
        <x:v>M16</x:v>
      </x:c>
      <x:c r="D970" s="215" t="str">
        <x:v>MDLUnknownElementRenderer</x:v>
      </x:c>
      <x:c r="E970" s="215" t="str">
        <x:v>CxVisual.Rendering.Wpf.UnknownElementRenderer</x:v>
      </x:c>
      <x:c r="F970" s="215" t="str">
        <x:v>Platform.Presentation.Wpf/Rendering/ElementRendererRegistry.cs</x:v>
      </x:c>
      <x:c r="G970" s="215" t="str">
        <x:v>具体UI类型不应归Core/无UI Visual</x:v>
      </x:c>
      <x:c r="H970" s="215" t="str">
        <x:v>WPF通用呈现迁入M_PresentationWpf；仅Studio专用窗口留Studio</x:v>
      </x:c>
      <x:c r="I970" s="215" t="str">
        <x:v>V7.8同名且源文件对应</x:v>
      </x:c>
      <x:c r="J970" s="215" t="str">
        <x:v>C-0770</x:v>
      </x:c>
      <x:c r="K970" s="215" t="str">
        <x:v>原有·待核</x:v>
      </x:c>
      <x:c r="L970" s="215" t="str">
        <x:v>设计审核，待源码与构建测试</x:v>
      </x:c>
    </x:row>
    <x:row r="971" ht="31.5" customHeight="1">
      <x:c r="A971" s="215" t="str">
        <x:v>高</x:v>
      </x:c>
      <x:c r="B971" s="215" t="str">
        <x:v>CxVisual.Mechanism.Visual</x:v>
      </x:c>
      <x:c r="C971" s="215" t="str">
        <x:v>M16</x:v>
      </x:c>
      <x:c r="D971" s="215" t="str">
        <x:v>MDLViewerHost</x:v>
      </x:c>
      <x:c r="E971" s="215" t="str">
        <x:v>CxVisual.Platform.Presentation.Wpf.ViewerHost</x:v>
      </x:c>
      <x:c r="F971" s="215" t="str">
        <x:v>Platform.Presentation.Wpf/Viewer/ViewerHost.cs</x:v>
      </x:c>
      <x:c r="G971" s="215" t="str">
        <x:v>具体UI类型不应归Core/无UI Visual</x:v>
      </x:c>
      <x:c r="H971" s="215" t="str">
        <x:v>WPF通用呈现迁入M_PresentationWpf；仅Studio专用窗口留Studio</x:v>
      </x:c>
      <x:c r="I971" s="215" t="str">
        <x:v>V7.8同名且源文件对应</x:v>
      </x:c>
      <x:c r="J971" s="215" t="str">
        <x:v>C-0757</x:v>
      </x:c>
      <x:c r="K971" s="215" t="str">
        <x:v>原有·待核</x:v>
      </x:c>
      <x:c r="L971" s="215" t="str">
        <x:v>设计审核，待源码与构建测试</x:v>
      </x:c>
    </x:row>
    <x:row r="972" ht="31.5" customHeight="1">
      <x:c r="A972" s="215" t="str">
        <x:v>中</x:v>
      </x:c>
      <x:c r="B972" s="215" t="str">
        <x:v>CxVisual.Mechanism.Visual</x:v>
      </x:c>
      <x:c r="C972" s="215" t="str">
        <x:v>M16</x:v>
      </x:c>
      <x:c r="D972" s="215" t="str">
        <x:v>MDLCoordinateTransform</x:v>
      </x:c>
      <x:c r="E972" s="215" t="str">
        <x:v>CoordinateTransform</x:v>
      </x:c>
      <x:c r="F972" s="215" t="str">
        <x:v>03_能力对象!C135</x:v>
      </x:c>
      <x:c r="G972" s="215" t="str">
        <x:v>可能重复Foundation.Geometry</x:v>
      </x:c>
      <x:c r="H972" s="215" t="str">
        <x:v>只保留可视投影适配；几何与坐标运算统一引用Foundation.Geometry</x:v>
      </x:c>
      <x:c r="I972" s="215" t="str">
        <x:v>V7.8未检出同名词法声明</x:v>
      </x:c>
      <x:c r="J972" s="215" t="str">
        <x:v>M16.CoordinateTransform</x:v>
      </x:c>
      <x:c r="K972" s="215" t="str">
        <x:v>增构候选·待查重</x:v>
      </x:c>
      <x:c r="L972" s="215" t="str">
        <x:v>设计审核，待源码与构建测试</x:v>
      </x:c>
    </x:row>
    <x:row r="973" ht="31.5" customHeight="1">
      <x:c r="A973" s="215" t="str">
        <x:v>中</x:v>
      </x:c>
      <x:c r="B973" s="215" t="str">
        <x:v>CxVisual.Mechanism.Visual</x:v>
      </x:c>
      <x:c r="C973" s="215" t="str">
        <x:v>M16</x:v>
      </x:c>
      <x:c r="D973" s="215" t="str">
        <x:v>MDLGeometryModel</x:v>
      </x:c>
      <x:c r="E973" s="215" t="str">
        <x:v>GeometryModel</x:v>
      </x:c>
      <x:c r="F973" s="215" t="str">
        <x:v>03_能力对象!C136</x:v>
      </x:c>
      <x:c r="G973" s="215" t="str">
        <x:v>可能重复Foundation.Geometry</x:v>
      </x:c>
      <x:c r="H973" s="215" t="str">
        <x:v>只保留可视投影适配；几何与坐标运算统一引用Foundation.Geometry</x:v>
      </x:c>
      <x:c r="I973" s="215" t="str">
        <x:v>V7.8未检出同名词法声明</x:v>
      </x:c>
      <x:c r="J973" s="215" t="str">
        <x:v>M16.GeometryModel</x:v>
      </x:c>
      <x:c r="K973" s="215" t="str">
        <x:v>增构候选·待查重</x:v>
      </x:c>
      <x:c r="L973" s="215" t="str">
        <x:v>设计审核，待源码与构建测试</x:v>
      </x:c>
    </x:row>
    <x:row r="974" ht="31.5" customHeight="1">
      <x:c r="A974" s="215" t="str">
        <x:v>高</x:v>
      </x:c>
      <x:c r="B974" s="215" t="str">
        <x:v>CxVisual.Mechanism.Visual</x:v>
      </x:c>
      <x:c r="C974" s="215" t="str">
        <x:v>M17</x:v>
      </x:c>
      <x:c r="D974" s="215" t="str">
        <x:v>IMDVPortCompatibilityService</x:v>
      </x:c>
      <x:c r="E974" s="215" t="str">
        <x:v>CxVisual.Platform.Presentation.Wpf.Diagram.IPortCompatibilityService</x:v>
      </x:c>
      <x:c r="F974" s="215" t="str">
        <x:v>Platform.Presentation.Wpf/Diagram/DiagramFoundation.cs</x:v>
      </x:c>
      <x:c r="G974" s="215" t="str">
        <x:v>具体UI类型不应归Core/无UI Visual</x:v>
      </x:c>
      <x:c r="H974" s="215" t="str">
        <x:v>WPF通用呈现迁入M_PresentationWpf；仅Studio专用窗口留Studio</x:v>
      </x:c>
      <x:c r="I974" s="215" t="str">
        <x:v>V7.8同名且源文件对应</x:v>
      </x:c>
      <x:c r="J974" s="215" t="str">
        <x:v>C-0803</x:v>
      </x:c>
      <x:c r="K974" s="215" t="str">
        <x:v>原有·待核</x:v>
      </x:c>
      <x:c r="L974" s="215" t="str">
        <x:v>设计审核，待源码与构建测试</x:v>
      </x:c>
    </x:row>
    <x:row r="975" ht="31.5" customHeight="1">
      <x:c r="A975" s="215" t="str">
        <x:v>高</x:v>
      </x:c>
      <x:c r="B975" s="215" t="str">
        <x:v>CxVisual.Mechanism.Visual</x:v>
      </x:c>
      <x:c r="C975" s="215" t="str">
        <x:v>M17</x:v>
      </x:c>
      <x:c r="D975" s="215" t="str">
        <x:v>MDVConnectionInteraction</x:v>
      </x:c>
      <x:c r="E975" s="215" t="str">
        <x:v>CxVisual.Platform.Presentation.Wpf.Diagram.ConnectionInteraction</x:v>
      </x:c>
      <x:c r="F975" s="215" t="str">
        <x:v>Platform.Presentation.Wpf/Diagram/DiagramFoundation.cs</x:v>
      </x:c>
      <x:c r="G975" s="215" t="str">
        <x:v>具体UI类型不应归Core/无UI Visual</x:v>
      </x:c>
      <x:c r="H975" s="215" t="str">
        <x:v>WPF通用呈现迁入M_PresentationWpf；仅Studio专用窗口留Studio</x:v>
      </x:c>
      <x:c r="I975" s="215" t="str">
        <x:v>V7.8同名且源文件对应</x:v>
      </x:c>
      <x:c r="J975" s="215" t="str">
        <x:v>C-0796</x:v>
      </x:c>
      <x:c r="K975" s="215" t="str">
        <x:v>原有·待核</x:v>
      </x:c>
      <x:c r="L975" s="215" t="str">
        <x:v>设计审核，待源码与构建测试</x:v>
      </x:c>
    </x:row>
    <x:row r="976" ht="31.5" customHeight="1">
      <x:c r="A976" s="215" t="str">
        <x:v>高</x:v>
      </x:c>
      <x:c r="B976" s="215" t="str">
        <x:v>CxVisual.Mechanism.Visual</x:v>
      </x:c>
      <x:c r="C976" s="215" t="str">
        <x:v>M17</x:v>
      </x:c>
      <x:c r="D976" s="215" t="str">
        <x:v>MDVCxDiagramDrawingTarget</x:v>
      </x:c>
      <x:c r="E976" s="215" t="str">
        <x:v>CxVisual.Rendering.Wpf.CxDiagramDrawingTarget</x:v>
      </x:c>
      <x:c r="F976" s="215" t="str">
        <x:v>Platform.Presentation.Wpf/Rendering/CxDiagramDrawingTarget.cs</x:v>
      </x:c>
      <x:c r="G976" s="215" t="str">
        <x:v>具体UI类型不应归Core/无UI Visual</x:v>
      </x:c>
      <x:c r="H976" s="215" t="str">
        <x:v>WPF通用呈现迁入M_PresentationWpf；仅Studio专用窗口留Studio</x:v>
      </x:c>
      <x:c r="I976" s="215" t="str">
        <x:v>V7.8同名且源文件对应</x:v>
      </x:c>
      <x:c r="J976" s="215" t="str">
        <x:v>C-0806</x:v>
      </x:c>
      <x:c r="K976" s="215" t="str">
        <x:v>原有·待核</x:v>
      </x:c>
      <x:c r="L976" s="215" t="str">
        <x:v>设计审核，待源码与构建测试</x:v>
      </x:c>
    </x:row>
    <x:row r="977" ht="31.5" customHeight="1">
      <x:c r="A977" s="215" t="str">
        <x:v>高</x:v>
      </x:c>
      <x:c r="B977" s="215" t="str">
        <x:v>CxVisual.Mechanism.Visual</x:v>
      </x:c>
      <x:c r="C977" s="215" t="str">
        <x:v>M17</x:v>
      </x:c>
      <x:c r="D977" s="215" t="str">
        <x:v>MDVDefaultPortCompatibilityService</x:v>
      </x:c>
      <x:c r="E977" s="215" t="str">
        <x:v>CxVisual.Platform.Presentation.Wpf.Diagram.DefaultPortCompatibilityService</x:v>
      </x:c>
      <x:c r="F977" s="215" t="str">
        <x:v>Platform.Presentation.Wpf/Diagram/DiagramFoundation.cs</x:v>
      </x:c>
      <x:c r="G977" s="215" t="str">
        <x:v>具体UI类型不应归Core/无UI Visual</x:v>
      </x:c>
      <x:c r="H977" s="215" t="str">
        <x:v>WPF通用呈现迁入M_PresentationWpf；仅Studio专用窗口留Studio</x:v>
      </x:c>
      <x:c r="I977" s="215" t="str">
        <x:v>V7.8同名且源文件对应</x:v>
      </x:c>
      <x:c r="J977" s="215" t="str">
        <x:v>C-0797</x:v>
      </x:c>
      <x:c r="K977" s="215" t="str">
        <x:v>原有·待核</x:v>
      </x:c>
      <x:c r="L977" s="215" t="str">
        <x:v>设计审核，待源码与构建测试</x:v>
      </x:c>
    </x:row>
    <x:row r="978" ht="31.5" customHeight="1">
      <x:c r="A978" s="215" t="str">
        <x:v>高</x:v>
      </x:c>
      <x:c r="B978" s="215" t="str">
        <x:v>CxVisual.Mechanism.Visual</x:v>
      </x:c>
      <x:c r="C978" s="215" t="str">
        <x:v>M17</x:v>
      </x:c>
      <x:c r="D978" s="215" t="str">
        <x:v>MDVDiagramCanvas</x:v>
      </x:c>
      <x:c r="E978" s="215" t="str">
        <x:v>CxVisual.Platform.Presentation.Wpf.Diagram.DiagramCanvas</x:v>
      </x:c>
      <x:c r="F978" s="215" t="str">
        <x:v>Platform.Presentation.Wpf/Diagram/DiagramFoundation.cs</x:v>
      </x:c>
      <x:c r="G978" s="215" t="str">
        <x:v>具体UI类型不应归Core/无UI Visual</x:v>
      </x:c>
      <x:c r="H978" s="215" t="str">
        <x:v>WPF通用呈现迁入M_PresentationWpf；仅Studio专用窗口留Studio</x:v>
      </x:c>
      <x:c r="I978" s="215" t="str">
        <x:v>V7.8同名且源文件对应</x:v>
      </x:c>
      <x:c r="J978" s="215" t="str">
        <x:v>C-0798</x:v>
      </x:c>
      <x:c r="K978" s="215" t="str">
        <x:v>原有·待核</x:v>
      </x:c>
      <x:c r="L978" s="215" t="str">
        <x:v>设计审核，待源码与构建测试</x:v>
      </x:c>
    </x:row>
    <x:row r="979" ht="31.5" customHeight="1">
      <x:c r="A979" s="215" t="str">
        <x:v>高</x:v>
      </x:c>
      <x:c r="B979" s="215" t="str">
        <x:v>CxVisual.Mechanism.Visual</x:v>
      </x:c>
      <x:c r="C979" s="215" t="str">
        <x:v>M17</x:v>
      </x:c>
      <x:c r="D979" s="215" t="str">
        <x:v>MDVDiagramEdgeViewModel</x:v>
      </x:c>
      <x:c r="E979" s="215" t="str">
        <x:v>CxVisual.Platform.Presentation.Wpf.Diagram.DiagramEdgeViewModel</x:v>
      </x:c>
      <x:c r="F979" s="215" t="str">
        <x:v>Platform.Presentation.Wpf/Diagram/DiagramFoundation.cs</x:v>
      </x:c>
      <x:c r="G979" s="215" t="str">
        <x:v>具体UI类型不应归Core/无UI Visual</x:v>
      </x:c>
      <x:c r="H979" s="215" t="str">
        <x:v>WPF通用呈现迁入M_PresentationWpf；仅Studio专用窗口留Studio</x:v>
      </x:c>
      <x:c r="I979" s="215" t="str">
        <x:v>V7.8同名且源文件对应</x:v>
      </x:c>
      <x:c r="J979" s="215" t="str">
        <x:v>C-0799</x:v>
      </x:c>
      <x:c r="K979" s="215" t="str">
        <x:v>原有·待核</x:v>
      </x:c>
      <x:c r="L979" s="215" t="str">
        <x:v>设计审核，待源码与构建测试</x:v>
      </x:c>
    </x:row>
    <x:row r="980" ht="31.5" customHeight="1">
      <x:c r="A980" s="215" t="str">
        <x:v>高</x:v>
      </x:c>
      <x:c r="B980" s="215" t="str">
        <x:v>CxVisual.Mechanism.Visual</x:v>
      </x:c>
      <x:c r="C980" s="215" t="str">
        <x:v>M17</x:v>
      </x:c>
      <x:c r="D980" s="215" t="str">
        <x:v>MDVDiagramNodeViewModel</x:v>
      </x:c>
      <x:c r="E980" s="215" t="str">
        <x:v>CxVisual.Platform.Presentation.Wpf.Diagram.DiagramNodeViewModel</x:v>
      </x:c>
      <x:c r="F980" s="215" t="str">
        <x:v>Platform.Presentation.Wpf/Diagram/DiagramFoundation.cs</x:v>
      </x:c>
      <x:c r="G980" s="215" t="str">
        <x:v>具体UI类型不应归Core/无UI Visual</x:v>
      </x:c>
      <x:c r="H980" s="215" t="str">
        <x:v>WPF通用呈现迁入M_PresentationWpf；仅Studio专用窗口留Studio</x:v>
      </x:c>
      <x:c r="I980" s="215" t="str">
        <x:v>V7.8同名且源文件对应</x:v>
      </x:c>
      <x:c r="J980" s="215" t="str">
        <x:v>C-0800</x:v>
      </x:c>
      <x:c r="K980" s="215" t="str">
        <x:v>原有·待核</x:v>
      </x:c>
      <x:c r="L980" s="215" t="str">
        <x:v>设计审核，待源码与构建测试</x:v>
      </x:c>
    </x:row>
    <x:row r="981" ht="31.5" customHeight="1">
      <x:c r="A981" s="215" t="str">
        <x:v>高</x:v>
      </x:c>
      <x:c r="B981" s="215" t="str">
        <x:v>CxVisual.Mechanism.Visual</x:v>
      </x:c>
      <x:c r="C981" s="215" t="str">
        <x:v>M17</x:v>
      </x:c>
      <x:c r="D981" s="215" t="str">
        <x:v>MDVDiagramPortViewModel</x:v>
      </x:c>
      <x:c r="E981" s="215" t="str">
        <x:v>CxVisual.Platform.Presentation.Wpf.Diagram.DiagramPortViewModel</x:v>
      </x:c>
      <x:c r="F981" s="215" t="str">
        <x:v>Platform.Presentation.Wpf/Diagram/DiagramFoundation.cs</x:v>
      </x:c>
      <x:c r="G981" s="215" t="str">
        <x:v>具体UI类型不应归Core/无UI Visual</x:v>
      </x:c>
      <x:c r="H981" s="215" t="str">
        <x:v>WPF通用呈现迁入M_PresentationWpf；仅Studio专用窗口留Studio</x:v>
      </x:c>
      <x:c r="I981" s="215" t="str">
        <x:v>V7.8同名且源文件对应</x:v>
      </x:c>
      <x:c r="J981" s="215" t="str">
        <x:v>C-0801</x:v>
      </x:c>
      <x:c r="K981" s="215" t="str">
        <x:v>原有·待核</x:v>
      </x:c>
      <x:c r="L981" s="215" t="str">
        <x:v>设计审核，待源码与构建测试</x:v>
      </x:c>
    </x:row>
    <x:row r="982" ht="31.5" customHeight="1">
      <x:c r="A982" s="215" t="str">
        <x:v>高</x:v>
      </x:c>
      <x:c r="B982" s="215" t="str">
        <x:v>CxVisual.Mechanism.Visual</x:v>
      </x:c>
      <x:c r="C982" s="215" t="str">
        <x:v>M17</x:v>
      </x:c>
      <x:c r="D982" s="215" t="str">
        <x:v>MDVEdgePresenter</x:v>
      </x:c>
      <x:c r="E982" s="215" t="str">
        <x:v>CxVisual.Platform.Presentation.Wpf.Diagram.EdgePresenter</x:v>
      </x:c>
      <x:c r="F982" s="215" t="str">
        <x:v>Platform.Presentation.Wpf/Diagram/DiagramFoundation.cs</x:v>
      </x:c>
      <x:c r="G982" s="215" t="str">
        <x:v>具体UI类型不应归Core/无UI Visual</x:v>
      </x:c>
      <x:c r="H982" s="215" t="str">
        <x:v>WPF通用呈现迁入M_PresentationWpf；仅Studio专用窗口留Studio</x:v>
      </x:c>
      <x:c r="I982" s="215" t="str">
        <x:v>V7.8同名且源文件对应</x:v>
      </x:c>
      <x:c r="J982" s="215" t="str">
        <x:v>C-0802</x:v>
      </x:c>
      <x:c r="K982" s="215" t="str">
        <x:v>原有·待核</x:v>
      </x:c>
      <x:c r="L982" s="215" t="str">
        <x:v>设计审核，待源码与构建测试</x:v>
      </x:c>
    </x:row>
    <x:row r="983" ht="31.5" customHeight="1">
      <x:c r="A983" s="215" t="str">
        <x:v>高</x:v>
      </x:c>
      <x:c r="B983" s="215" t="str">
        <x:v>CxVisual.Mechanism.Visual</x:v>
      </x:c>
      <x:c r="C983" s="215" t="str">
        <x:v>M17</x:v>
      </x:c>
      <x:c r="D983" s="215" t="str">
        <x:v>MDVNodePresenter</x:v>
      </x:c>
      <x:c r="E983" s="215" t="str">
        <x:v>CxVisual.Platform.Presentation.Wpf.Diagram.NodePresenter</x:v>
      </x:c>
      <x:c r="F983" s="215" t="str">
        <x:v>Platform.Presentation.Wpf/Diagram/DiagramFoundation.cs</x:v>
      </x:c>
      <x:c r="G983" s="215" t="str">
        <x:v>具体UI类型不应归Core/无UI Visual</x:v>
      </x:c>
      <x:c r="H983" s="215" t="str">
        <x:v>WPF通用呈现迁入M_PresentationWpf；仅Studio专用窗口留Studio</x:v>
      </x:c>
      <x:c r="I983" s="215" t="str">
        <x:v>V7.8同名且源文件对应</x:v>
      </x:c>
      <x:c r="J983" s="215" t="str">
        <x:v>C-0804</x:v>
      </x:c>
      <x:c r="K983" s="215" t="str">
        <x:v>原有·待核</x:v>
      </x:c>
      <x:c r="L983" s="215" t="str">
        <x:v>设计审核，待源码与构建测试</x:v>
      </x:c>
    </x:row>
    <x:row r="984" ht="31.5" customHeight="1">
      <x:c r="A984" s="215" t="str">
        <x:v>高</x:v>
      </x:c>
      <x:c r="B984" s="215" t="str">
        <x:v>CxVisual.Mechanism.Visual</x:v>
      </x:c>
      <x:c r="C984" s="215" t="str">
        <x:v>M17</x:v>
      </x:c>
      <x:c r="D984" s="215" t="str">
        <x:v>MDVPortPresenter</x:v>
      </x:c>
      <x:c r="E984" s="215" t="str">
        <x:v>CxVisual.Platform.Presentation.Wpf.Diagram.PortPresenter</x:v>
      </x:c>
      <x:c r="F984" s="215" t="str">
        <x:v>Platform.Presentation.Wpf/Diagram/DiagramFoundation.cs</x:v>
      </x:c>
      <x:c r="G984" s="215" t="str">
        <x:v>具体UI类型不应归Core/无UI Visual</x:v>
      </x:c>
      <x:c r="H984" s="215" t="str">
        <x:v>WPF通用呈现迁入M_PresentationWpf；仅Studio专用窗口留Studio</x:v>
      </x:c>
      <x:c r="I984" s="215" t="str">
        <x:v>V7.8同名且源文件对应</x:v>
      </x:c>
      <x:c r="J984" s="215" t="str">
        <x:v>C-0805</x:v>
      </x:c>
      <x:c r="K984" s="215" t="str">
        <x:v>原有·待核</x:v>
      </x:c>
      <x:c r="L984" s="215" t="str">
        <x:v>设计审核，待源码与构建测试</x:v>
      </x:c>
    </x:row>
  </x:sheetData>
  <x:mergeCells>
    <x:mergeCell ref="A1:K1"/>
  </x:mergeCells>
  <x:pageMargins left="0.7" right="0.7" top="0.75" bottom="0.75" header="0.3" footer="0.3"/>
</x:worksheet>
</file>

<file path=xl/worksheets/sheet2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6" hidden="0" customWidth="1"/>
    <x:col min="2" max="2" width="14" hidden="0" customWidth="1"/>
    <x:col min="3" max="3" width="17" hidden="0" customWidth="1"/>
    <x:col min="4" max="4" width="17" hidden="0" customWidth="1"/>
    <x:col min="5" max="5" width="22" hidden="0" customWidth="1"/>
    <x:col min="6" max="6" width="17" hidden="0" customWidth="1"/>
    <x:col min="7" max="7" width="17" hidden="0" customWidth="1"/>
    <x:col min="8" max="8" width="17" hidden="0" customWidth="1"/>
    <x:col min="9" max="9" width="22" hidden="0" customWidth="1"/>
  </x:cols>
  <x:sheetData>
    <x:row r="1" ht="33" customHeight="1">
      <x:c r="A1" s="96" t="str">
        <x:v>05 | 需求覆盖、API测试、异常边界与冲突闭环</x:v>
      </x:c>
      <x:c r="B1" s="96"/>
      <x:c r="C1" s="96"/>
      <x:c r="D1" s="96"/>
      <x:c r="E1" s="96"/>
      <x:c r="F1" s="96"/>
      <x:c r="G1" s="96"/>
      <x:c r="H1" s="96"/>
      <x:c r="I1" s="96"/>
      <x:c r="J1" s="11"/>
      <x:c r="K1" s="11"/>
      <x:c r="L1" s="11"/>
      <x:c r="M1" s="11"/>
    </x:row>
    <x:row r="2">
      <x:c r="A2" s="105" t="str">
        <x:v>所有状态分为设计候选、代码存在、编译验证、自动化测试、场景验收、实机验证。来源单元格保持V4.9/V5.0/R2/R3-A可追溯；未执行的测试必须写“尚未验收”。</x:v>
      </x:c>
      <x:c r="B2" s="105"/>
      <x:c r="C2" s="105"/>
      <x:c r="D2" s="105"/>
      <x:c r="E2" s="105"/>
      <x:c r="F2" s="105"/>
      <x:c r="G2" s="105"/>
      <x:c r="H2" s="105"/>
      <x:c r="I2" s="105"/>
    </x:row>
    <x:row r="3">
      <x:c r="A3" s="105" t="str">
        <x:v>62子方面  |  553原对象  |  134条R1验收  |  30条Core不变量  |  17组R3-A用例  |  58条待裁决与历史冲突</x:v>
      </x:c>
      <x:c r="B3" s="105"/>
      <x:c r="C3" s="105"/>
      <x:c r="D3" s="105"/>
      <x:c r="E3" s="105"/>
      <x:c r="F3" s="105"/>
      <x:c r="G3" s="105"/>
      <x:c r="H3" s="105"/>
      <x:c r="I3" s="105"/>
    </x:row>
    <x:row r="4">
      <x:c r="A4" s="82"/>
      <x:c r="B4" s="82"/>
      <x:c r="C4" s="82"/>
      <x:c r="D4" s="82"/>
      <x:c r="E4" s="82"/>
      <x:c r="F4" s="82"/>
      <x:c r="G4" s="82"/>
      <x:c r="H4" s="82"/>
      <x:c r="I4" s="82"/>
    </x:row>
    <x:row r="5" ht="27" customHeight="1">
      <x:c r="A5" s="108" t="str">
        <x:v>A. F01～F22 / M01～M40覆盖核查（候选数与能力细节独立统计）</x:v>
      </x:c>
      <x:c r="B5" s="108"/>
      <x:c r="C5" s="108"/>
      <x:c r="D5" s="108"/>
      <x:c r="E5" s="108"/>
      <x:c r="F5" s="108"/>
      <x:c r="G5" s="108"/>
      <x:c r="H5" s="108"/>
      <x:c r="I5" s="108"/>
    </x:row>
    <x:row r="6" ht="36" customHeight="1">
      <x:c r="A6" s="113" t="str">
        <x:v>子方面</x:v>
      </x:c>
      <x:c r="B6" s="113" t="str">
        <x:v>名称</x:v>
      </x:c>
      <x:c r="C6" s="113" t="str">
        <x:v>唯一Owner项目</x:v>
      </x:c>
      <x:c r="D6" s="113" t="str">
        <x:v>V4.9原候选数</x:v>
      </x:c>
      <x:c r="E6" s="113" t="str">
        <x:v>新增待裁决</x:v>
      </x:c>
      <x:c r="F6" s="113" t="str">
        <x:v>Capability条数</x:v>
      </x:c>
      <x:c r="G6" s="113" t="str">
        <x:v>API成熟度</x:v>
      </x:c>
      <x:c r="H6" s="113" t="str">
        <x:v>主要验收禁令</x:v>
      </x:c>
      <x:c r="I6" s="113" t="str">
        <x:v>现状</x:v>
      </x:c>
    </x:row>
    <x:row r="7">
      <x:c r="A7" s="82" t="str">
        <x:v>F01</x:v>
      </x:c>
      <x:c r="B7" s="82" t="str">
        <x:v>标识、值语义与类型</x:v>
      </x:c>
      <x:c r="C7" s="82" t="str">
        <x:v>CxVisual.Foundation.Core</x:v>
      </x:c>
      <x:c r="D7" s="82" t="n">
        <x:v>10</x:v>
      </x:c>
      <x:c r="E7" s="82" t="n">
        <x:v>0</x:v>
      </x:c>
      <x:c r="F7" s="82" t="n">
        <x:v>0</x:v>
      </x:c>
      <x:c r="G7" s="82" t="str">
        <x:v>有原候选与线索；公开API大部分尚非完整C#契约</x:v>
      </x:c>
      <x:c r="H7" s="82" t="str">
        <x:v>源码声明不等于编译/单测/实机通过</x:v>
      </x:c>
      <x:c r="I7" s="82" t="str">
        <x:v>候选审核中</x:v>
      </x:c>
    </x:row>
    <x:row r="8">
      <x:c r="A8" s="82" t="str">
        <x:v>F02</x:v>
      </x:c>
      <x:c r="B8" s="82" t="str">
        <x:v>集合、索引与结构</x:v>
      </x:c>
      <x:c r="C8" s="82" t="str">
        <x:v>CxVisual.Foundation.Core</x:v>
      </x:c>
      <x:c r="D8" s="82" t="n">
        <x:v>10</x:v>
      </x:c>
      <x:c r="E8" s="82" t="n">
        <x:v>0</x:v>
      </x:c>
      <x:c r="F8" s="82" t="n">
        <x:v>0</x:v>
      </x:c>
      <x:c r="G8" s="82" t="str">
        <x:v>有原候选与线索；公开API大部分尚非完整C#契约</x:v>
      </x:c>
      <x:c r="H8" s="82" t="str">
        <x:v>源码声明不等于编译/单测/实机通过</x:v>
      </x:c>
      <x:c r="I8" s="82" t="str">
        <x:v>候选审核中</x:v>
      </x:c>
    </x:row>
    <x:row r="9">
      <x:c r="A9" s="82" t="str">
        <x:v>F03</x:v>
      </x:c>
      <x:c r="B9" s="82" t="str">
        <x:v>标量、向量与矩阵</x:v>
      </x:c>
      <x:c r="C9" s="82" t="str">
        <x:v>CxVisual.Foundation.Numerics</x:v>
      </x:c>
      <x:c r="D9" s="82" t="n">
        <x:v>12</x:v>
      </x:c>
      <x:c r="E9" s="82" t="n">
        <x:v>0</x:v>
      </x:c>
      <x:c r="F9" s="82" t="n">
        <x:v>0</x:v>
      </x:c>
      <x:c r="G9" s="82" t="str">
        <x:v>有原候选与线索；公开API大部分尚非完整C#契约</x:v>
      </x:c>
      <x:c r="H9" s="82" t="str">
        <x:v>源码声明不等于编译/单测/实机通过</x:v>
      </x:c>
      <x:c r="I9" s="82" t="str">
        <x:v>候选审核中</x:v>
      </x:c>
    </x:row>
    <x:row r="10">
      <x:c r="A10" s="82" t="str">
        <x:v>F04</x:v>
      </x:c>
      <x:c r="B10" s="82" t="str">
        <x:v>数值求解与优化</x:v>
      </x:c>
      <x:c r="C10" s="82" t="str">
        <x:v>CxVisual.Foundation.Numerics</x:v>
      </x:c>
      <x:c r="D10" s="82" t="n">
        <x:v>10</x:v>
      </x:c>
      <x:c r="E10" s="82" t="n">
        <x:v>0</x:v>
      </x:c>
      <x:c r="F10" s="82" t="n">
        <x:v>0</x:v>
      </x:c>
      <x:c r="G10" s="82" t="str">
        <x:v>有原候选与线索；公开API大部分尚非完整C#契约</x:v>
      </x:c>
      <x:c r="H10" s="82" t="str">
        <x:v>源码声明不等于编译/单测/实机通过</x:v>
      </x:c>
      <x:c r="I10" s="82" t="str">
        <x:v>候选审核中</x:v>
      </x:c>
    </x:row>
    <x:row r="11">
      <x:c r="A11" s="82" t="str">
        <x:v>F05</x:v>
      </x:c>
      <x:c r="B11" s="82" t="str">
        <x:v>二维几何图元</x:v>
      </x:c>
      <x:c r="C11" s="82" t="str">
        <x:v>CxVisual.Foundation.Geometry</x:v>
      </x:c>
      <x:c r="D11" s="82" t="n">
        <x:v>12</x:v>
      </x:c>
      <x:c r="E11" s="82" t="n">
        <x:v>0</x:v>
      </x:c>
      <x:c r="F11" s="82" t="n">
        <x:v>0</x:v>
      </x:c>
      <x:c r="G11" s="82" t="str">
        <x:v>有原候选与线索；公开API大部分尚非完整C#契约</x:v>
      </x:c>
      <x:c r="H11" s="82" t="str">
        <x:v>源码声明不等于编译/单测/实机通过</x:v>
      </x:c>
      <x:c r="I11" s="82" t="str">
        <x:v>候选审核中</x:v>
      </x:c>
    </x:row>
    <x:row r="12">
      <x:c r="A12" s="82" t="str">
        <x:v>F06</x:v>
      </x:c>
      <x:c r="B12" s="82" t="str">
        <x:v>三维几何图元</x:v>
      </x:c>
      <x:c r="C12" s="82" t="str">
        <x:v>CxVisual.Foundation.Geometry</x:v>
      </x:c>
      <x:c r="D12" s="82" t="n">
        <x:v>12</x:v>
      </x:c>
      <x:c r="E12" s="82" t="n">
        <x:v>0</x:v>
      </x:c>
      <x:c r="F12" s="82" t="n">
        <x:v>0</x:v>
      </x:c>
      <x:c r="G12" s="82" t="str">
        <x:v>有原候选与线索；公开API大部分尚非完整C#契约</x:v>
      </x:c>
      <x:c r="H12" s="82" t="str">
        <x:v>源码声明不等于编译/单测/实机通过</x:v>
      </x:c>
      <x:c r="I12" s="82" t="str">
        <x:v>候选审核中</x:v>
      </x:c>
    </x:row>
    <x:row r="13">
      <x:c r="A13" s="82" t="str">
        <x:v>F07</x:v>
      </x:c>
      <x:c r="B13" s="82" t="str">
        <x:v>坐标框架与空间变换</x:v>
      </x:c>
      <x:c r="C13" s="82" t="str">
        <x:v>CxVisual.Foundation.Geometry</x:v>
      </x:c>
      <x:c r="D13" s="82" t="n">
        <x:v>11</x:v>
      </x:c>
      <x:c r="E13" s="82" t="n">
        <x:v>1</x:v>
      </x:c>
      <x:c r="F13" s="82" t="n">
        <x:v>0</x:v>
      </x:c>
      <x:c r="G13" s="82" t="str">
        <x:v>有原候选与线索；公开API大部分尚非完整C#契约</x:v>
      </x:c>
      <x:c r="H13" s="82" t="str">
        <x:v>源码声明不等于编译/单测/实机通过</x:v>
      </x:c>
      <x:c r="I13" s="82" t="str">
        <x:v>候选审核中</x:v>
      </x:c>
    </x:row>
    <x:row r="14">
      <x:c r="A14" s="82" t="str">
        <x:v>F08</x:v>
      </x:c>
      <x:c r="B14" s="82" t="str">
        <x:v>时间与同步</x:v>
      </x:c>
      <x:c r="C14" s="82" t="str">
        <x:v>CxVisual.Foundation.Core</x:v>
      </x:c>
      <x:c r="D14" s="82" t="n">
        <x:v>8</x:v>
      </x:c>
      <x:c r="E14" s="82" t="n">
        <x:v>0</x:v>
      </x:c>
      <x:c r="F14" s="82" t="n">
        <x:v>0</x:v>
      </x:c>
      <x:c r="G14" s="82" t="str">
        <x:v>有原候选与线索；公开API大部分尚非完整C#契约</x:v>
      </x:c>
      <x:c r="H14" s="82" t="str">
        <x:v>源码声明不等于编译/单测/实机通过</x:v>
      </x:c>
      <x:c r="I14" s="82" t="str">
        <x:v>候选审核中</x:v>
      </x:c>
    </x:row>
    <x:row r="15">
      <x:c r="A15" s="82" t="str">
        <x:v>F09</x:v>
      </x:c>
      <x:c r="B15" s="82" t="str">
        <x:v>单位、误差与测量</x:v>
      </x:c>
      <x:c r="C15" s="82" t="str">
        <x:v>CxVisual.Foundation.Core</x:v>
      </x:c>
      <x:c r="D15" s="82" t="n">
        <x:v>8</x:v>
      </x:c>
      <x:c r="E15" s="82" t="n">
        <x:v>0</x:v>
      </x:c>
      <x:c r="F15" s="82" t="n">
        <x:v>0</x:v>
      </x:c>
      <x:c r="G15" s="82" t="str">
        <x:v>有原候选与线索；公开API大部分尚非完整C#契约</x:v>
      </x:c>
      <x:c r="H15" s="82" t="str">
        <x:v>源码声明不等于编译/单测/实机通过</x:v>
      </x:c>
      <x:c r="I15" s="82" t="str">
        <x:v>候选审核中</x:v>
      </x:c>
    </x:row>
    <x:row r="16">
      <x:c r="A16" s="82" t="str">
        <x:v>F10</x:v>
      </x:c>
      <x:c r="B16" s="82" t="str">
        <x:v>离散采样与时频</x:v>
      </x:c>
      <x:c r="C16" s="82" t="str">
        <x:v>CxVisual.Foundation.Numerics</x:v>
      </x:c>
      <x:c r="D16" s="82" t="n">
        <x:v>11</x:v>
      </x:c>
      <x:c r="E16" s="82" t="n">
        <x:v>0</x:v>
      </x:c>
      <x:c r="F16" s="82" t="n">
        <x:v>0</x:v>
      </x:c>
      <x:c r="G16" s="82" t="str">
        <x:v>有原候选与线索；公开API大部分尚非完整C#契约</x:v>
      </x:c>
      <x:c r="H16" s="82" t="str">
        <x:v>源码声明不等于编译/单测/实机通过</x:v>
      </x:c>
      <x:c r="I16" s="82" t="str">
        <x:v>候选审核中</x:v>
      </x:c>
    </x:row>
    <x:row r="17">
      <x:c r="A17" s="82" t="str">
        <x:v>F11</x:v>
      </x:c>
      <x:c r="B17" s="82" t="str">
        <x:v>图像空间及像素格式</x:v>
      </x:c>
      <x:c r="C17" s="82" t="str">
        <x:v>CxVisual.Foundation.Imaging</x:v>
      </x:c>
      <x:c r="D17" s="82" t="n">
        <x:v>14</x:v>
      </x:c>
      <x:c r="E17" s="82" t="n">
        <x:v>0</x:v>
      </x:c>
      <x:c r="F17" s="82" t="n">
        <x:v>0</x:v>
      </x:c>
      <x:c r="G17" s="82" t="str">
        <x:v>有原候选与线索；公开API大部分尚非完整C#契约</x:v>
      </x:c>
      <x:c r="H17" s="82" t="str">
        <x:v>源码声明不等于编译/单测/实机通过</x:v>
      </x:c>
      <x:c r="I17" s="82" t="str">
        <x:v>候选审核中</x:v>
      </x:c>
    </x:row>
    <x:row r="18">
      <x:c r="A18" s="82" t="str">
        <x:v>F12</x:v>
      </x:c>
      <x:c r="B18" s="82" t="str">
        <x:v>体数据与网格基础</x:v>
      </x:c>
      <x:c r="C18" s="82" t="str">
        <x:v>CxVisual.Foundation.Volume</x:v>
      </x:c>
      <x:c r="D18" s="82" t="n">
        <x:v>13</x:v>
      </x:c>
      <x:c r="E18" s="82" t="n">
        <x:v>0</x:v>
      </x:c>
      <x:c r="F18" s="82" t="n">
        <x:v>0</x:v>
      </x:c>
      <x:c r="G18" s="82" t="str">
        <x:v>有原候选与线索；公开API大部分尚非完整C#契约</x:v>
      </x:c>
      <x:c r="H18" s="82" t="str">
        <x:v>源码声明不等于编译/单测/实机通过</x:v>
      </x:c>
      <x:c r="I18" s="82" t="str">
        <x:v>候选审核中</x:v>
      </x:c>
    </x:row>
    <x:row r="19">
      <x:c r="A19" s="82" t="str">
        <x:v>F13</x:v>
      </x:c>
      <x:c r="B19" s="82" t="str">
        <x:v>张量类型与运算</x:v>
      </x:c>
      <x:c r="C19" s="82" t="str">
        <x:v>CxVisual.Foundation.Numerics</x:v>
      </x:c>
      <x:c r="D19" s="82" t="n">
        <x:v>8</x:v>
      </x:c>
      <x:c r="E19" s="82" t="n">
        <x:v>0</x:v>
      </x:c>
      <x:c r="F19" s="82" t="n">
        <x:v>0</x:v>
      </x:c>
      <x:c r="G19" s="82" t="str">
        <x:v>有原候选与线索；公开API大部分尚非完整C#契约</x:v>
      </x:c>
      <x:c r="H19" s="82" t="str">
        <x:v>源码声明不等于编译/单测/实机通过</x:v>
      </x:c>
      <x:c r="I19" s="82" t="str">
        <x:v>候选审核中</x:v>
      </x:c>
    </x:row>
    <x:row r="20">
      <x:c r="A20" s="82" t="str">
        <x:v>F14</x:v>
      </x:c>
      <x:c r="B20" s="82" t="str">
        <x:v>编码、Codec与协议帧</x:v>
      </x:c>
      <x:c r="C20" s="82" t="str">
        <x:v>CxVisual.Foundation.Data</x:v>
      </x:c>
      <x:c r="D20" s="82" t="n">
        <x:v>13</x:v>
      </x:c>
      <x:c r="E20" s="82" t="n">
        <x:v>0</x:v>
      </x:c>
      <x:c r="F20" s="82" t="n">
        <x:v>0</x:v>
      </x:c>
      <x:c r="G20" s="82" t="str">
        <x:v>有原候选与线索；公开API大部分尚非完整C#契约</x:v>
      </x:c>
      <x:c r="H20" s="82" t="str">
        <x:v>源码声明不等于编译/单测/实机通过</x:v>
      </x:c>
      <x:c r="I20" s="82" t="str">
        <x:v>候选审核中</x:v>
      </x:c>
    </x:row>
    <x:row r="21">
      <x:c r="A21" s="82" t="str">
        <x:v>F15</x:v>
      </x:c>
      <x:c r="B21" s="82" t="str">
        <x:v>配置模型与静态辅助</x:v>
      </x:c>
      <x:c r="C21" s="82" t="str">
        <x:v>CxVisual.Foundation.Data</x:v>
      </x:c>
      <x:c r="D21" s="82" t="n">
        <x:v>10</x:v>
      </x:c>
      <x:c r="E21" s="82" t="n">
        <x:v>0</x:v>
      </x:c>
      <x:c r="F21" s="82" t="n">
        <x:v>0</x:v>
      </x:c>
      <x:c r="G21" s="82" t="str">
        <x:v>有原候选与线索；公开API大部分尚非完整C#契约</x:v>
      </x:c>
      <x:c r="H21" s="82" t="str">
        <x:v>源码声明不等于编译/单测/实机通过</x:v>
      </x:c>
      <x:c r="I21" s="82" t="str">
        <x:v>候选审核中</x:v>
      </x:c>
    </x:row>
    <x:row r="22">
      <x:c r="A22" s="82" t="str">
        <x:v>F16</x:v>
      </x:c>
      <x:c r="B22" s="82" t="str">
        <x:v>日志记录与诊断基础</x:v>
      </x:c>
      <x:c r="C22" s="82" t="str">
        <x:v>CxVisual.Foundation.Infrastructure</x:v>
      </x:c>
      <x:c r="D22" s="82" t="n">
        <x:v>11</x:v>
      </x:c>
      <x:c r="E22" s="82" t="n">
        <x:v>0</x:v>
      </x:c>
      <x:c r="F22" s="82" t="n">
        <x:v>0</x:v>
      </x:c>
      <x:c r="G22" s="82" t="str">
        <x:v>有原候选与线索；公开API大部分尚非完整C#契约</x:v>
      </x:c>
      <x:c r="H22" s="82" t="str">
        <x:v>源码声明不等于编译/单测/实机通过</x:v>
      </x:c>
      <x:c r="I22" s="82" t="str">
        <x:v>候选审核中</x:v>
      </x:c>
    </x:row>
    <x:row r="23">
      <x:c r="A23" s="82" t="str">
        <x:v>F17</x:v>
      </x:c>
      <x:c r="B23" s="82" t="str">
        <x:v>传输描述与缓冲基础</x:v>
      </x:c>
      <x:c r="C23" s="82" t="str">
        <x:v>CxVisual.Foundation.Transport</x:v>
      </x:c>
      <x:c r="D23" s="82" t="n">
        <x:v>10</x:v>
      </x:c>
      <x:c r="E23" s="82" t="n">
        <x:v>0</x:v>
      </x:c>
      <x:c r="F23" s="82" t="n">
        <x:v>0</x:v>
      </x:c>
      <x:c r="G23" s="82" t="str">
        <x:v>有原候选与线索；公开API大部分尚非完整C#契约</x:v>
      </x:c>
      <x:c r="H23" s="82" t="str">
        <x:v>源码声明不等于编译/单测/实机通过</x:v>
      </x:c>
      <x:c r="I23" s="82" t="str">
        <x:v>候选审核中</x:v>
      </x:c>
    </x:row>
    <x:row r="24">
      <x:c r="A24" s="82" t="str">
        <x:v>F18</x:v>
      </x:c>
      <x:c r="B24" s="82" t="str">
        <x:v>路径、文件和流基础</x:v>
      </x:c>
      <x:c r="C24" s="82" t="str">
        <x:v>CxVisual.Foundation.Data</x:v>
      </x:c>
      <x:c r="D24" s="82" t="n">
        <x:v>10</x:v>
      </x:c>
      <x:c r="E24" s="82" t="n">
        <x:v>0</x:v>
      </x:c>
      <x:c r="F24" s="82" t="n">
        <x:v>0</x:v>
      </x:c>
      <x:c r="G24" s="82" t="str">
        <x:v>有原候选与线索；公开API大部分尚非完整C#契约</x:v>
      </x:c>
      <x:c r="H24" s="82" t="str">
        <x:v>源码声明不等于编译/单测/实机通过</x:v>
      </x:c>
      <x:c r="I24" s="82" t="str">
        <x:v>候选审核中</x:v>
      </x:c>
    </x:row>
    <x:row r="25">
      <x:c r="A25" s="82" t="str">
        <x:v>F19</x:v>
      </x:c>
      <x:c r="B25" s="82" t="str">
        <x:v>线程协调与容量计算</x:v>
      </x:c>
      <x:c r="C25" s="82" t="str">
        <x:v>CxVisual.Foundation.Infrastructure</x:v>
      </x:c>
      <x:c r="D25" s="82" t="n">
        <x:v>10</x:v>
      </x:c>
      <x:c r="E25" s="82" t="n">
        <x:v>0</x:v>
      </x:c>
      <x:c r="F25" s="82" t="n">
        <x:v>0</x:v>
      </x:c>
      <x:c r="G25" s="82" t="str">
        <x:v>有原候选与线索；公开API大部分尚非完整C#契约</x:v>
      </x:c>
      <x:c r="H25" s="82" t="str">
        <x:v>源码声明不等于编译/单测/实机通过</x:v>
      </x:c>
      <x:c r="I25" s="82" t="str">
        <x:v>候选审核中</x:v>
      </x:c>
    </x:row>
    <x:row r="26">
      <x:c r="A26" s="82" t="str">
        <x:v>F20</x:v>
      </x:c>
      <x:c r="B26" s="82" t="str">
        <x:v>加密及编码基础</x:v>
      </x:c>
      <x:c r="C26" s="82" t="str">
        <x:v>CxVisual.Foundation.Infrastructure</x:v>
      </x:c>
      <x:c r="D26" s="82" t="n">
        <x:v>9</x:v>
      </x:c>
      <x:c r="E26" s="82" t="n">
        <x:v>0</x:v>
      </x:c>
      <x:c r="F26" s="82" t="n">
        <x:v>0</x:v>
      </x:c>
      <x:c r="G26" s="82" t="str">
        <x:v>有原候选与线索；公开API大部分尚非完整C#契约</x:v>
      </x:c>
      <x:c r="H26" s="82" t="str">
        <x:v>源码声明不等于编译/单测/实机通过</x:v>
      </x:c>
      <x:c r="I26" s="82" t="str">
        <x:v>候选审核中</x:v>
      </x:c>
    </x:row>
    <x:row r="27">
      <x:c r="A27" s="82" t="str">
        <x:v>F21</x:v>
      </x:c>
      <x:c r="B27" s="82" t="str">
        <x:v>基础元数据与校验</x:v>
      </x:c>
      <x:c r="C27" s="82" t="str">
        <x:v>CxVisual.Foundation.Data</x:v>
      </x:c>
      <x:c r="D27" s="82" t="n">
        <x:v>9</x:v>
      </x:c>
      <x:c r="E27" s="82" t="n">
        <x:v>0</x:v>
      </x:c>
      <x:c r="F27" s="82" t="n">
        <x:v>0</x:v>
      </x:c>
      <x:c r="G27" s="82" t="str">
        <x:v>有原候选与线索；公开API大部分尚非完整C#契约</x:v>
      </x:c>
      <x:c r="H27" s="82" t="str">
        <x:v>源码声明不等于编译/单测/实机通过</x:v>
      </x:c>
      <x:c r="I27" s="82" t="str">
        <x:v>候选审核中</x:v>
      </x:c>
    </x:row>
    <x:row r="28">
      <x:c r="A28" s="82" t="str">
        <x:v>F22</x:v>
      </x:c>
      <x:c r="B28" s="82" t="str">
        <x:v>颜色、视口与基础排版</x:v>
      </x:c>
      <x:c r="C28" s="82" t="str">
        <x:v>CxVisual.Foundation.Imaging</x:v>
      </x:c>
      <x:c r="D28" s="82" t="n">
        <x:v>9</x:v>
      </x:c>
      <x:c r="E28" s="82" t="n">
        <x:v>0</x:v>
      </x:c>
      <x:c r="F28" s="82" t="n">
        <x:v>0</x:v>
      </x:c>
      <x:c r="G28" s="82" t="str">
        <x:v>有原候选与线索；公开API大部分尚非完整C#契约</x:v>
      </x:c>
      <x:c r="H28" s="82" t="str">
        <x:v>源码声明不等于编译/单测/实机通过</x:v>
      </x:c>
      <x:c r="I28" s="82" t="str">
        <x:v>候选审核中</x:v>
      </x:c>
    </x:row>
    <x:row r="29">
      <x:c r="A29" s="82" t="str">
        <x:v>M01</x:v>
      </x:c>
      <x:c r="B29" s="82" t="str">
        <x:v>工程对象/资源组织</x:v>
      </x:c>
      <x:c r="C29" s="82" t="str">
        <x:v>CxVisual.Mechanism.Core</x:v>
      </x:c>
      <x:c r="D29" s="82" t="n">
        <x:v>7</x:v>
      </x:c>
      <x:c r="E29" s="82" t="n">
        <x:v>2</x:v>
      </x:c>
      <x:c r="F29" s="82" t="n">
        <x:v>9</x:v>
      </x:c>
      <x:c r="G29" s="82" t="str">
        <x:v>有原候选与线索；公开API大部分尚非完整C#契约</x:v>
      </x:c>
      <x:c r="H29" s="82" t="str">
        <x:v>源码声明不等于编译/单测/实机通过</x:v>
      </x:c>
      <x:c r="I29" s="82" t="str">
        <x:v>候选审核中</x:v>
      </x:c>
    </x:row>
    <x:row r="30">
      <x:c r="A30" s="82" t="str">
        <x:v>M02</x:v>
      </x:c>
      <x:c r="B30" s="82" t="str">
        <x:v>功能组织与复用</x:v>
      </x:c>
      <x:c r="C30" s="82" t="str">
        <x:v>CxVisual.Mechanism.Core</x:v>
      </x:c>
      <x:c r="D30" s="82" t="n">
        <x:v>8</x:v>
      </x:c>
      <x:c r="E30" s="82" t="n">
        <x:v>5</x:v>
      </x:c>
      <x:c r="F30" s="82" t="n">
        <x:v>10</x:v>
      </x:c>
      <x:c r="G30" s="82" t="str">
        <x:v>有原候选与线索；公开API大部分尚非完整C#契约</x:v>
      </x:c>
      <x:c r="H30" s="82" t="str">
        <x:v>源码声明不等于编译/单测/实机通过</x:v>
      </x:c>
      <x:c r="I30" s="82" t="str">
        <x:v>候选审核中</x:v>
      </x:c>
    </x:row>
    <x:row r="31">
      <x:c r="A31" s="82" t="str">
        <x:v>M03</x:v>
      </x:c>
      <x:c r="B31" s="82" t="str">
        <x:v>Reference / Address / Index</x:v>
      </x:c>
      <x:c r="C31" s="82" t="str">
        <x:v>CxVisual.Mechanism.Core</x:v>
      </x:c>
      <x:c r="D31" s="82" t="n">
        <x:v>6</x:v>
      </x:c>
      <x:c r="E31" s="82" t="n">
        <x:v>6</x:v>
      </x:c>
      <x:c r="F31" s="82" t="n">
        <x:v>9</x:v>
      </x:c>
      <x:c r="G31" s="82" t="str">
        <x:v>有原候选与线索；公开API大部分尚非完整C#契约</x:v>
      </x:c>
      <x:c r="H31" s="82" t="str">
        <x:v>源码声明不等于编译/单测/实机通过</x:v>
      </x:c>
      <x:c r="I31" s="82" t="str">
        <x:v>候选审核中</x:v>
      </x:c>
    </x:row>
    <x:row r="32">
      <x:c r="A32" s="82" t="str">
        <x:v>M04</x:v>
      </x:c>
      <x:c r="B32" s="82" t="str">
        <x:v>Property / Metadata / Type</x:v>
      </x:c>
      <x:c r="C32" s="82" t="str">
        <x:v>CxVisual.Mechanism.Core</x:v>
      </x:c>
      <x:c r="D32" s="82" t="n">
        <x:v>10</x:v>
      </x:c>
      <x:c r="E32" s="82" t="n">
        <x:v>5</x:v>
      </x:c>
      <x:c r="F32" s="82" t="n">
        <x:v>10</x:v>
      </x:c>
      <x:c r="G32" s="82" t="str">
        <x:v>有原候选与线索；公开API大部分尚非完整C#契约</x:v>
      </x:c>
      <x:c r="H32" s="82" t="str">
        <x:v>源码声明不等于编译/单测/实机通过</x:v>
      </x:c>
      <x:c r="I32" s="82" t="str">
        <x:v>候选审核中</x:v>
      </x:c>
    </x:row>
    <x:row r="33">
      <x:c r="A33" s="82" t="str">
        <x:v>M05</x:v>
      </x:c>
      <x:c r="B33" s="82" t="str">
        <x:v>Port / Connection / Contract</x:v>
      </x:c>
      <x:c r="C33" s="82" t="str">
        <x:v>CxVisual.Mechanism.Core</x:v>
      </x:c>
      <x:c r="D33" s="82" t="n">
        <x:v>6</x:v>
      </x:c>
      <x:c r="E33" s="82" t="n">
        <x:v>3</x:v>
      </x:c>
      <x:c r="F33" s="82" t="n">
        <x:v>12</x:v>
      </x:c>
      <x:c r="G33" s="82" t="str">
        <x:v>有原候选与线索；公开API大部分尚非完整C#契约</x:v>
      </x:c>
      <x:c r="H33" s="82" t="str">
        <x:v>源码声明不等于编译/单测/实机通过</x:v>
      </x:c>
      <x:c r="I33" s="82" t="str">
        <x:v>候选审核中</x:v>
      </x:c>
    </x:row>
    <x:row r="34">
      <x:c r="A34" s="82" t="str">
        <x:v>M06</x:v>
      </x:c>
      <x:c r="B34" s="82" t="str">
        <x:v>统一时间、空间坐标与量纲契约</x:v>
      </x:c>
      <x:c r="C34" s="82" t="str">
        <x:v>CxVisual.Mechanism.Core</x:v>
      </x:c>
      <x:c r="D34" s="82" t="n">
        <x:v>12</x:v>
      </x:c>
      <x:c r="E34" s="82" t="n">
        <x:v>3</x:v>
      </x:c>
      <x:c r="F34" s="82" t="n">
        <x:v>14</x:v>
      </x:c>
      <x:c r="G34" s="82" t="str">
        <x:v>有原候选与线索；公开API大部分尚非完整C#契约</x:v>
      </x:c>
      <x:c r="H34" s="82" t="str">
        <x:v>源码声明不等于编译/单测/实机通过</x:v>
      </x:c>
      <x:c r="I34" s="82" t="str">
        <x:v>候选审核中</x:v>
      </x:c>
    </x:row>
    <x:row r="35">
      <x:c r="A35" s="82" t="str">
        <x:v>M07</x:v>
      </x:c>
      <x:c r="B35" s="82" t="str">
        <x:v>事务、一致性与可靠交付契约</x:v>
      </x:c>
      <x:c r="C35" s="82" t="str">
        <x:v>CxVisual.Mechanism.Core</x:v>
      </x:c>
      <x:c r="D35" s="82" t="n">
        <x:v>12</x:v>
      </x:c>
      <x:c r="E35" s="82" t="n">
        <x:v>10</x:v>
      </x:c>
      <x:c r="F35" s="82" t="n">
        <x:v>14</x:v>
      </x:c>
      <x:c r="G35" s="82" t="str">
        <x:v>有原候选与线索；公开API大部分尚非完整C#契约</x:v>
      </x:c>
      <x:c r="H35" s="82" t="str">
        <x:v>源码声明不等于编译/单测/实机通过</x:v>
      </x:c>
      <x:c r="I35" s="82" t="str">
        <x:v>候选审核中</x:v>
      </x:c>
    </x:row>
    <x:row r="36">
      <x:c r="A36" s="82" t="str">
        <x:v>M08</x:v>
      </x:c>
      <x:c r="B36" s="82" t="str">
        <x:v>通用验证、验收与证据契约</x:v>
      </x:c>
      <x:c r="C36" s="82" t="str">
        <x:v>CxVisual.Mechanism.Core</x:v>
      </x:c>
      <x:c r="D36" s="82" t="n">
        <x:v>12</x:v>
      </x:c>
      <x:c r="E36" s="82" t="n">
        <x:v>8</x:v>
      </x:c>
      <x:c r="F36" s="82" t="n">
        <x:v>14</x:v>
      </x:c>
      <x:c r="G36" s="82" t="str">
        <x:v>有原候选与线索；公开API大部分尚非完整C#契约</x:v>
      </x:c>
      <x:c r="H36" s="82" t="str">
        <x:v>源码声明不等于编译/单测/实机通过</x:v>
      </x:c>
      <x:c r="I36" s="82" t="str">
        <x:v>候选审核中</x:v>
      </x:c>
    </x:row>
    <x:row r="37">
      <x:c r="A37" s="82" t="str">
        <x:v>M09</x:v>
      </x:c>
      <x:c r="B37" s="82" t="str">
        <x:v>Variable / Binding</x:v>
      </x:c>
      <x:c r="C37" s="82" t="str">
        <x:v>CxVisual.Mechanism.Data</x:v>
      </x:c>
      <x:c r="D37" s="82" t="n">
        <x:v>8</x:v>
      </x:c>
      <x:c r="E37" s="82" t="n">
        <x:v>0</x:v>
      </x:c>
      <x:c r="F37" s="82" t="n">
        <x:v>12</x:v>
      </x:c>
      <x:c r="G37" s="82" t="str">
        <x:v>有原候选与线索；公开API大部分尚非完整C#契约</x:v>
      </x:c>
      <x:c r="H37" s="82" t="str">
        <x:v>源码声明不等于编译/单测/实机通过</x:v>
      </x:c>
      <x:c r="I37" s="82" t="str">
        <x:v>候选审核中</x:v>
      </x:c>
    </x:row>
    <x:row r="38">
      <x:c r="A38" s="82" t="str">
        <x:v>M10</x:v>
      </x:c>
      <x:c r="B38" s="82" t="str">
        <x:v>DataHandle / Stream / Artifact</x:v>
      </x:c>
      <x:c r="C38" s="82" t="str">
        <x:v>CxVisual.Mechanism.Data</x:v>
      </x:c>
      <x:c r="D38" s="82" t="n">
        <x:v>9</x:v>
      </x:c>
      <x:c r="E38" s="82" t="n">
        <x:v>0</x:v>
      </x:c>
      <x:c r="F38" s="82" t="n">
        <x:v>15</x:v>
      </x:c>
      <x:c r="G38" s="82" t="str">
        <x:v>有原候选与线索；公开API大部分尚非完整C#契约</x:v>
      </x:c>
      <x:c r="H38" s="82" t="str">
        <x:v>源码声明不等于编译/单测/实机通过</x:v>
      </x:c>
      <x:c r="I38" s="82" t="str">
        <x:v>候选审核中</x:v>
      </x:c>
    </x:row>
    <x:row r="39">
      <x:c r="A39" s="82" t="str">
        <x:v>M11</x:v>
      </x:c>
      <x:c r="B39" s="82" t="str">
        <x:v>Expression / Rule / Script</x:v>
      </x:c>
      <x:c r="C39" s="82" t="str">
        <x:v>CxVisual.Mechanism.Logic</x:v>
      </x:c>
      <x:c r="D39" s="82" t="n">
        <x:v>6</x:v>
      </x:c>
      <x:c r="E39" s="82" t="n">
        <x:v>0</x:v>
      </x:c>
      <x:c r="F39" s="82" t="n">
        <x:v>13</x:v>
      </x:c>
      <x:c r="G39" s="82" t="str">
        <x:v>有原候选与线索；公开API大部分尚非完整C#契约</x:v>
      </x:c>
      <x:c r="H39" s="82" t="str">
        <x:v>源码声明不等于编译/单测/实机通过</x:v>
      </x:c>
      <x:c r="I39" s="82" t="str">
        <x:v>候选审核中</x:v>
      </x:c>
    </x:row>
    <x:row r="40">
      <x:c r="A40" s="82" t="str">
        <x:v>M12</x:v>
      </x:c>
      <x:c r="B40" s="82" t="str">
        <x:v>Command / State / Event / Action</x:v>
      </x:c>
      <x:c r="C40" s="82" t="str">
        <x:v>CxVisual.Mechanism.Logic</x:v>
      </x:c>
      <x:c r="D40" s="82" t="n">
        <x:v>8</x:v>
      </x:c>
      <x:c r="E40" s="82" t="n">
        <x:v>0</x:v>
      </x:c>
      <x:c r="F40" s="82" t="n">
        <x:v>11</x:v>
      </x:c>
      <x:c r="G40" s="82" t="str">
        <x:v>有原候选与线索；公开API大部分尚非完整C#契约</x:v>
      </x:c>
      <x:c r="H40" s="82" t="str">
        <x:v>源码声明不等于编译/单测/实机通过</x:v>
      </x:c>
      <x:c r="I40" s="82" t="str">
        <x:v>候选审核中</x:v>
      </x:c>
    </x:row>
    <x:row r="41">
      <x:c r="A41" s="82" t="str">
        <x:v>M13</x:v>
      </x:c>
      <x:c r="B41" s="82" t="str">
        <x:v>Channel Foundation</x:v>
      </x:c>
      <x:c r="C41" s="82" t="str">
        <x:v>CxVisual.Mechanism.Connectivity</x:v>
      </x:c>
      <x:c r="D41" s="82" t="n">
        <x:v>9</x:v>
      </x:c>
      <x:c r="E41" s="82" t="n">
        <x:v>0</x:v>
      </x:c>
      <x:c r="F41" s="82" t="n">
        <x:v>12</x:v>
      </x:c>
      <x:c r="G41" s="82" t="str">
        <x:v>有原候选与线索；公开API大部分尚非完整C#契约</x:v>
      </x:c>
      <x:c r="H41" s="82" t="str">
        <x:v>源码声明不等于编译/单测/实机通过</x:v>
      </x:c>
      <x:c r="I41" s="82" t="str">
        <x:v>候选审核中</x:v>
      </x:c>
    </x:row>
    <x:row r="42">
      <x:c r="A42" s="82" t="str">
        <x:v>M14</x:v>
      </x:c>
      <x:c r="B42" s="82" t="str">
        <x:v>Protocol Foundation</x:v>
      </x:c>
      <x:c r="C42" s="82" t="str">
        <x:v>CxVisual.Mechanism.Connectivity</x:v>
      </x:c>
      <x:c r="D42" s="82" t="n">
        <x:v>8</x:v>
      </x:c>
      <x:c r="E42" s="82" t="n">
        <x:v>0</x:v>
      </x:c>
      <x:c r="F42" s="82" t="n">
        <x:v>12</x:v>
      </x:c>
      <x:c r="G42" s="82" t="str">
        <x:v>有原候选与线索；公开API大部分尚非完整C#契约</x:v>
      </x:c>
      <x:c r="H42" s="82" t="str">
        <x:v>源码声明不等于编译/单测/实机通过</x:v>
      </x:c>
      <x:c r="I42" s="82" t="str">
        <x:v>候选审核中</x:v>
      </x:c>
    </x:row>
    <x:row r="43">
      <x:c r="A43" s="82" t="str">
        <x:v>M15</x:v>
      </x:c>
      <x:c r="B43" s="82" t="str">
        <x:v>Driver / Provider / Capability</x:v>
      </x:c>
      <x:c r="C43" s="82" t="str">
        <x:v>CxVisual.Mechanism.Connectivity</x:v>
      </x:c>
      <x:c r="D43" s="82" t="n">
        <x:v>7</x:v>
      </x:c>
      <x:c r="E43" s="82" t="n">
        <x:v>0</x:v>
      </x:c>
      <x:c r="F43" s="82" t="n">
        <x:v>10</x:v>
      </x:c>
      <x:c r="G43" s="82" t="str">
        <x:v>有原候选与线索；公开API大部分尚非完整C#契约</x:v>
      </x:c>
      <x:c r="H43" s="82" t="str">
        <x:v>源码声明不等于编译/单测/实机通过</x:v>
      </x:c>
      <x:c r="I43" s="82" t="str">
        <x:v>候选审核中</x:v>
      </x:c>
    </x:row>
    <x:row r="44">
      <x:c r="A44" s="82" t="str">
        <x:v>M16</x:v>
      </x:c>
      <x:c r="B44" s="82" t="str">
        <x:v>Drawing / Layer / Geometry</x:v>
      </x:c>
      <x:c r="C44" s="82" t="str">
        <x:v>CxVisual.Mechanism.Visual</x:v>
      </x:c>
      <x:c r="D44" s="82" t="n">
        <x:v>9</x:v>
      </x:c>
      <x:c r="E44" s="82" t="n">
        <x:v>5</x:v>
      </x:c>
      <x:c r="F44" s="82" t="n">
        <x:v>15</x:v>
      </x:c>
      <x:c r="G44" s="82" t="str">
        <x:v>有原候选与线索；公开API大部分尚非完整C#契约</x:v>
      </x:c>
      <x:c r="H44" s="82" t="str">
        <x:v>源码声明不等于编译/单测/实机通过</x:v>
      </x:c>
      <x:c r="I44" s="82" t="str">
        <x:v>候选审核中</x:v>
      </x:c>
    </x:row>
    <x:row r="45">
      <x:c r="A45" s="82" t="str">
        <x:v>M17</x:v>
      </x:c>
      <x:c r="B45" s="82" t="str">
        <x:v>Diagram / Node Visual</x:v>
      </x:c>
      <x:c r="C45" s="82" t="str">
        <x:v>CxVisual.Mechanism.Visual</x:v>
      </x:c>
      <x:c r="D45" s="82" t="n">
        <x:v>8</x:v>
      </x:c>
      <x:c r="E45" s="82" t="n">
        <x:v>1</x:v>
      </x:c>
      <x:c r="F45" s="82" t="n">
        <x:v>17</x:v>
      </x:c>
      <x:c r="G45" s="82" t="str">
        <x:v>有原候选与线索；公开API大部分尚非完整C#契约</x:v>
      </x:c>
      <x:c r="H45" s="82" t="str">
        <x:v>源码声明不等于编译/单测/实机通过</x:v>
      </x:c>
      <x:c r="I45" s="82" t="str">
        <x:v>候选审核中</x:v>
      </x:c>
    </x:row>
    <x:row r="46">
      <x:c r="A46" s="82" t="str">
        <x:v>M18</x:v>
      </x:c>
      <x:c r="B46" s="82" t="str">
        <x:v>Graph Core</x:v>
      </x:c>
      <x:c r="C46" s="82" t="str">
        <x:v>CxVisual.Mechanism.Orchestration</x:v>
      </x:c>
      <x:c r="D46" s="82" t="n">
        <x:v>7</x:v>
      </x:c>
      <x:c r="E46" s="82" t="n">
        <x:v>0</x:v>
      </x:c>
      <x:c r="F46" s="82" t="n">
        <x:v>12</x:v>
      </x:c>
      <x:c r="G46" s="82" t="str">
        <x:v>有原候选与线索；公开API大部分尚非完整C#契约</x:v>
      </x:c>
      <x:c r="H46" s="82" t="str">
        <x:v>源码声明不等于编译/单测/实机通过</x:v>
      </x:c>
      <x:c r="I46" s="82" t="str">
        <x:v>候选审核中</x:v>
      </x:c>
    </x:row>
    <x:row r="47">
      <x:c r="A47" s="82" t="str">
        <x:v>M19</x:v>
      </x:c>
      <x:c r="B47" s="82" t="str">
        <x:v>ControlFlow</x:v>
      </x:c>
      <x:c r="C47" s="82" t="str">
        <x:v>CxVisual.Mechanism.Orchestration</x:v>
      </x:c>
      <x:c r="D47" s="82" t="n">
        <x:v>6</x:v>
      </x:c>
      <x:c r="E47" s="82" t="n">
        <x:v>0</x:v>
      </x:c>
      <x:c r="F47" s="82" t="n">
        <x:v>24</x:v>
      </x:c>
      <x:c r="G47" s="82" t="str">
        <x:v>有原候选与线索；公开API大部分尚非完整C#契约</x:v>
      </x:c>
      <x:c r="H47" s="82" t="str">
        <x:v>源码声明不等于编译/单测/实机通过</x:v>
      </x:c>
      <x:c r="I47" s="82" t="str">
        <x:v>候选审核中</x:v>
      </x:c>
    </x:row>
    <x:row r="48">
      <x:c r="A48" s="82" t="str">
        <x:v>M20</x:v>
      </x:c>
      <x:c r="B48" s="82" t="str">
        <x:v>DataFlow / Streaming</x:v>
      </x:c>
      <x:c r="C48" s="82" t="str">
        <x:v>CxVisual.Mechanism.Orchestration</x:v>
      </x:c>
      <x:c r="D48" s="82" t="n">
        <x:v>7</x:v>
      </x:c>
      <x:c r="E48" s="82" t="n">
        <x:v>0</x:v>
      </x:c>
      <x:c r="F48" s="82" t="n">
        <x:v>16</x:v>
      </x:c>
      <x:c r="G48" s="82" t="str">
        <x:v>有原候选与线索；公开API大部分尚非完整C#契约</x:v>
      </x:c>
      <x:c r="H48" s="82" t="str">
        <x:v>源码声明不等于编译/单测/实机通过</x:v>
      </x:c>
      <x:c r="I48" s="82" t="str">
        <x:v>候选审核中</x:v>
      </x:c>
    </x:row>
    <x:row r="49">
      <x:c r="A49" s="82" t="str">
        <x:v>M21</x:v>
      </x:c>
      <x:c r="B49" s="82" t="str">
        <x:v>StateMachine</x:v>
      </x:c>
      <x:c r="C49" s="82" t="str">
        <x:v>CxVisual.Mechanism.Orchestration</x:v>
      </x:c>
      <x:c r="D49" s="82" t="n">
        <x:v>5</x:v>
      </x:c>
      <x:c r="E49" s="82" t="n">
        <x:v>0</x:v>
      </x:c>
      <x:c r="F49" s="82" t="n">
        <x:v>15</x:v>
      </x:c>
      <x:c r="G49" s="82" t="str">
        <x:v>有原候选与线索；公开API大部分尚非完整C#契约</x:v>
      </x:c>
      <x:c r="H49" s="82" t="str">
        <x:v>源码声明不等于编译/单测/实机通过</x:v>
      </x:c>
      <x:c r="I49" s="82" t="str">
        <x:v>候选审核中</x:v>
      </x:c>
    </x:row>
    <x:row r="50">
      <x:c r="A50" s="82" t="str">
        <x:v>M22</x:v>
      </x:c>
      <x:c r="B50" s="82" t="str">
        <x:v>Durable Workflow / ExternalTask</x:v>
      </x:c>
      <x:c r="C50" s="82" t="str">
        <x:v>CxVisual.Mechanism.Orchestration</x:v>
      </x:c>
      <x:c r="D50" s="82" t="n">
        <x:v>7</x:v>
      </x:c>
      <x:c r="E50" s="82" t="n">
        <x:v>0</x:v>
      </x:c>
      <x:c r="F50" s="82" t="n">
        <x:v>12</x:v>
      </x:c>
      <x:c r="G50" s="82" t="str">
        <x:v>有原候选与线索；公开API大部分尚非完整C#契约</x:v>
      </x:c>
      <x:c r="H50" s="82" t="str">
        <x:v>源码声明不等于编译/单测/实机通过</x:v>
      </x:c>
      <x:c r="I50" s="82" t="str">
        <x:v>候选审核中</x:v>
      </x:c>
    </x:row>
    <x:row r="51">
      <x:c r="A51" s="82" t="str">
        <x:v>M23</x:v>
      </x:c>
      <x:c r="B51" s="82" t="str">
        <x:v>Trigger / Subscription / Reactive</x:v>
      </x:c>
      <x:c r="C51" s="82" t="str">
        <x:v>CxVisual.Mechanism.Orchestration</x:v>
      </x:c>
      <x:c r="D51" s="82" t="n">
        <x:v>4</x:v>
      </x:c>
      <x:c r="E51" s="82" t="n">
        <x:v>0</x:v>
      </x:c>
      <x:c r="F51" s="82" t="n">
        <x:v>10</x:v>
      </x:c>
      <x:c r="G51" s="82" t="str">
        <x:v>有原候选与线索；公开API大部分尚非完整C#契约</x:v>
      </x:c>
      <x:c r="H51" s="82" t="str">
        <x:v>源码声明不等于编译/单测/实机通过</x:v>
      </x:c>
      <x:c r="I51" s="82" t="str">
        <x:v>候选审核中</x:v>
      </x:c>
    </x:row>
    <x:row r="52">
      <x:c r="A52" s="82" t="str">
        <x:v>M24</x:v>
      </x:c>
      <x:c r="B52" s="82" t="str">
        <x:v>Invocation / Composition / MultiInstance</x:v>
      </x:c>
      <x:c r="C52" s="82" t="str">
        <x:v>CxVisual.Mechanism.Orchestration</x:v>
      </x:c>
      <x:c r="D52" s="82" t="n">
        <x:v>7</x:v>
      </x:c>
      <x:c r="E52" s="82" t="n">
        <x:v>0</x:v>
      </x:c>
      <x:c r="F52" s="82" t="n">
        <x:v>16</x:v>
      </x:c>
      <x:c r="G52" s="82" t="str">
        <x:v>有原候选与线索；公开API大部分尚非完整C#契约</x:v>
      </x:c>
      <x:c r="H52" s="82" t="str">
        <x:v>源码声明不等于编译/单测/实机通过</x:v>
      </x:c>
      <x:c r="I52" s="82" t="str">
        <x:v>候选审核中</x:v>
      </x:c>
    </x:row>
    <x:row r="53">
      <x:c r="A53" s="82" t="str">
        <x:v>M25</x:v>
      </x:c>
      <x:c r="B53" s="82" t="str">
        <x:v>Time / Scheduler / Queue</x:v>
      </x:c>
      <x:c r="C53" s="82" t="str">
        <x:v>CxVisual.Mechanism.Orchestration</x:v>
      </x:c>
      <x:c r="D53" s="82" t="n">
        <x:v>8</x:v>
      </x:c>
      <x:c r="E53" s="82" t="n">
        <x:v>0</x:v>
      </x:c>
      <x:c r="F53" s="82" t="n">
        <x:v>13</x:v>
      </x:c>
      <x:c r="G53" s="82" t="str">
        <x:v>有原候选与线索；公开API大部分尚非完整C#契约</x:v>
      </x:c>
      <x:c r="H53" s="82" t="str">
        <x:v>源码声明不等于编译/单测/实机通过</x:v>
      </x:c>
      <x:c r="I53" s="82" t="str">
        <x:v>候选审核中</x:v>
      </x:c>
    </x:row>
    <x:row r="54">
      <x:c r="A54" s="82" t="str">
        <x:v>M26</x:v>
      </x:c>
      <x:c r="B54" s="82" t="str">
        <x:v>Runtime Resource / Lease / Placement</x:v>
      </x:c>
      <x:c r="C54" s="82" t="str">
        <x:v>CxVisual.Mechanism.Runtime</x:v>
      </x:c>
      <x:c r="D54" s="82" t="n">
        <x:v>11</x:v>
      </x:c>
      <x:c r="E54" s="82" t="n">
        <x:v>0</x:v>
      </x:c>
      <x:c r="F54" s="82" t="n">
        <x:v>16</x:v>
      </x:c>
      <x:c r="G54" s="82" t="str">
        <x:v>有原候选与线索；公开API大部分尚非完整C#契约</x:v>
      </x:c>
      <x:c r="H54" s="82" t="str">
        <x:v>源码声明不等于编译/单测/实机通过</x:v>
      </x:c>
      <x:c r="I54" s="82" t="str">
        <x:v>候选审核中</x:v>
      </x:c>
    </x:row>
    <x:row r="55">
      <x:c r="A55" s="82" t="str">
        <x:v>M27</x:v>
      </x:c>
      <x:c r="B55" s="82" t="str">
        <x:v>Policy / Fault / Recovery</x:v>
      </x:c>
      <x:c r="C55" s="82" t="str">
        <x:v>CxVisual.Mechanism.Runtime</x:v>
      </x:c>
      <x:c r="D55" s="82" t="n">
        <x:v>9</x:v>
      </x:c>
      <x:c r="E55" s="82" t="n">
        <x:v>0</x:v>
      </x:c>
      <x:c r="F55" s="82" t="n">
        <x:v>15</x:v>
      </x:c>
      <x:c r="G55" s="82" t="str">
        <x:v>有原候选与线索；公开API大部分尚非完整C#契约</x:v>
      </x:c>
      <x:c r="H55" s="82" t="str">
        <x:v>源码声明不等于编译/单测/实机通过</x:v>
      </x:c>
      <x:c r="I55" s="82" t="str">
        <x:v>候选审核中</x:v>
      </x:c>
    </x:row>
    <x:row r="56">
      <x:c r="A56" s="82" t="str">
        <x:v>M28</x:v>
      </x:c>
      <x:c r="B56" s="82" t="str">
        <x:v>Security / Interlock / Audit</x:v>
      </x:c>
      <x:c r="C56" s="82" t="str">
        <x:v>CxVisual.Mechanism.Runtime</x:v>
      </x:c>
      <x:c r="D56" s="82" t="n">
        <x:v>10</x:v>
      </x:c>
      <x:c r="E56" s="82" t="n">
        <x:v>0</x:v>
      </x:c>
      <x:c r="F56" s="82" t="n">
        <x:v>14</x:v>
      </x:c>
      <x:c r="G56" s="82" t="str">
        <x:v>有原候选与线索；公开API大部分尚非完整C#契约</x:v>
      </x:c>
      <x:c r="H56" s="82" t="str">
        <x:v>源码声明不等于编译/单测/实机通过</x:v>
      </x:c>
      <x:c r="I56" s="82" t="str">
        <x:v>候选审核中</x:v>
      </x:c>
    </x:row>
    <x:row r="57">
      <x:c r="A57" s="82" t="str">
        <x:v>M29</x:v>
      </x:c>
      <x:c r="B57" s="82" t="str">
        <x:v>Validate / Resolve / Compile / Plan</x:v>
      </x:c>
      <x:c r="C57" s="82" t="str">
        <x:v>CxVisual.Mechanism.Runtime</x:v>
      </x:c>
      <x:c r="D57" s="82" t="n">
        <x:v>8</x:v>
      </x:c>
      <x:c r="E57" s="82" t="n">
        <x:v>0</x:v>
      </x:c>
      <x:c r="F57" s="82" t="n">
        <x:v>17</x:v>
      </x:c>
      <x:c r="G57" s="82" t="str">
        <x:v>有原候选与线索；公开API大部分尚非完整C#契约</x:v>
      </x:c>
      <x:c r="H57" s="82" t="str">
        <x:v>源码声明不等于编译/单测/实机通过</x:v>
      </x:c>
      <x:c r="I57" s="82" t="str">
        <x:v>候选审核中</x:v>
      </x:c>
    </x:row>
    <x:row r="58">
      <x:c r="A58" s="82" t="str">
        <x:v>M30</x:v>
      </x:c>
      <x:c r="B58" s="82" t="str">
        <x:v>Runtime Kernel / Instance / Scope / Context</x:v>
      </x:c>
      <x:c r="C58" s="82" t="str">
        <x:v>CxVisual.Mechanism.Runtime</x:v>
      </x:c>
      <x:c r="D58" s="82" t="n">
        <x:v>8</x:v>
      </x:c>
      <x:c r="E58" s="82" t="n">
        <x:v>0</x:v>
      </x:c>
      <x:c r="F58" s="82" t="n">
        <x:v>11</x:v>
      </x:c>
      <x:c r="G58" s="82" t="str">
        <x:v>有原候选与线索；公开API大部分尚非完整C#契约</x:v>
      </x:c>
      <x:c r="H58" s="82" t="str">
        <x:v>源码声明不等于编译/单测/实机通过</x:v>
      </x:c>
      <x:c r="I58" s="82" t="str">
        <x:v>候选审核中</x:v>
      </x:c>
    </x:row>
    <x:row r="59">
      <x:c r="A59" s="82" t="str">
        <x:v>M31</x:v>
      </x:c>
      <x:c r="B59" s="82" t="str">
        <x:v>Runtime Data / Event / Resource Planes</x:v>
      </x:c>
      <x:c r="C59" s="82" t="str">
        <x:v>CxVisual.Mechanism.Runtime</x:v>
      </x:c>
      <x:c r="D59" s="82" t="n">
        <x:v>10</x:v>
      </x:c>
      <x:c r="E59" s="82" t="n">
        <x:v>0</x:v>
      </x:c>
      <x:c r="F59" s="82" t="n">
        <x:v>15</x:v>
      </x:c>
      <x:c r="G59" s="82" t="str">
        <x:v>有原候选与线索；公开API大部分尚非完整C#契约</x:v>
      </x:c>
      <x:c r="H59" s="82" t="str">
        <x:v>源码声明不等于编译/单测/实机通过</x:v>
      </x:c>
      <x:c r="I59" s="82" t="str">
        <x:v>候选审核中</x:v>
      </x:c>
    </x:row>
    <x:row r="60">
      <x:c r="A60" s="82" t="str">
        <x:v>M32</x:v>
      </x:c>
      <x:c r="B60" s="82" t="str">
        <x:v>Runtime Visual / Monitor</x:v>
      </x:c>
      <x:c r="C60" s="82" t="str">
        <x:v>CxVisual.Mechanism.Runtime</x:v>
      </x:c>
      <x:c r="D60" s="82" t="n">
        <x:v>7</x:v>
      </x:c>
      <x:c r="E60" s="82" t="n">
        <x:v>0</x:v>
      </x:c>
      <x:c r="F60" s="82" t="n">
        <x:v>12</x:v>
      </x:c>
      <x:c r="G60" s="82" t="str">
        <x:v>有原候选与线索；公开API大部分尚非完整C#契约</x:v>
      </x:c>
      <x:c r="H60" s="82" t="str">
        <x:v>源码声明不等于编译/单测/实机通过</x:v>
      </x:c>
      <x:c r="I60" s="82" t="str">
        <x:v>候选审核中</x:v>
      </x:c>
    </x:row>
    <x:row r="61">
      <x:c r="A61" s="82" t="str">
        <x:v>M33</x:v>
      </x:c>
      <x:c r="B61" s="82" t="str">
        <x:v>Debug / Trace / Timeline / Performance / Replay</x:v>
      </x:c>
      <x:c r="C61" s="82" t="str">
        <x:v>CxVisual.Mechanism.Runtime</x:v>
      </x:c>
      <x:c r="D61" s="82" t="n">
        <x:v>12</x:v>
      </x:c>
      <x:c r="E61" s="82" t="n">
        <x:v>0</x:v>
      </x:c>
      <x:c r="F61" s="82" t="n">
        <x:v>16</x:v>
      </x:c>
      <x:c r="G61" s="82" t="str">
        <x:v>有原候选与线索；公开API大部分尚非完整C#契约</x:v>
      </x:c>
      <x:c r="H61" s="82" t="str">
        <x:v>源码声明不等于编译/单测/实机通过</x:v>
      </x:c>
      <x:c r="I61" s="82" t="str">
        <x:v>候选审核中</x:v>
      </x:c>
    </x:row>
    <x:row r="62">
      <x:c r="A62" s="82" t="str">
        <x:v>M34</x:v>
      </x:c>
      <x:c r="B62" s="82" t="str">
        <x:v>Simulation / Virtualization / Fault Injection</x:v>
      </x:c>
      <x:c r="C62" s="82" t="str">
        <x:v>CxVisual.Mechanism.Runtime</x:v>
      </x:c>
      <x:c r="D62" s="82" t="n">
        <x:v>8</x:v>
      </x:c>
      <x:c r="E62" s="82" t="n">
        <x:v>0</x:v>
      </x:c>
      <x:c r="F62" s="82" t="n">
        <x:v>14</x:v>
      </x:c>
      <x:c r="G62" s="82" t="str">
        <x:v>有原候选与线索；公开API大部分尚非完整C#契约</x:v>
      </x:c>
      <x:c r="H62" s="82" t="str">
        <x:v>源码声明不等于编译/单测/实机通过</x:v>
      </x:c>
      <x:c r="I62" s="82" t="str">
        <x:v>候选审核中</x:v>
      </x:c>
    </x:row>
    <x:row r="63">
      <x:c r="A63" s="82" t="str">
        <x:v>M35</x:v>
      </x:c>
      <x:c r="B63" s="82" t="str">
        <x:v>History / Storage / Retention</x:v>
      </x:c>
      <x:c r="C63" s="82" t="str">
        <x:v>CxVisual.Mechanism.Data</x:v>
      </x:c>
      <x:c r="D63" s="82" t="n">
        <x:v>6</x:v>
      </x:c>
      <x:c r="E63" s="82" t="n">
        <x:v>0</x:v>
      </x:c>
      <x:c r="F63" s="82" t="n">
        <x:v>13</x:v>
      </x:c>
      <x:c r="G63" s="82" t="str">
        <x:v>有原候选与线索；公开API大部分尚非完整C#契约</x:v>
      </x:c>
      <x:c r="H63" s="82" t="str">
        <x:v>源码声明不等于编译/单测/实机通过</x:v>
      </x:c>
      <x:c r="I63" s="82" t="str">
        <x:v>候选审核中</x:v>
      </x:c>
    </x:row>
    <x:row r="64">
      <x:c r="A64" s="82" t="str">
        <x:v>M36</x:v>
      </x:c>
      <x:c r="B64" s="82" t="str">
        <x:v>Notification / Messaging</x:v>
      </x:c>
      <x:c r="C64" s="82" t="str">
        <x:v>CxVisual.Mechanism.Data</x:v>
      </x:c>
      <x:c r="D64" s="82" t="n">
        <x:v>5</x:v>
      </x:c>
      <x:c r="E64" s="82" t="n">
        <x:v>0</x:v>
      </x:c>
      <x:c r="F64" s="82" t="n">
        <x:v>9</x:v>
      </x:c>
      <x:c r="G64" s="82" t="str">
        <x:v>有原候选与线索；公开API大部分尚非完整C#契约</x:v>
      </x:c>
      <x:c r="H64" s="82" t="str">
        <x:v>源码声明不等于编译/单测/实机通过</x:v>
      </x:c>
      <x:c r="I64" s="82" t="str">
        <x:v>候选审核中</x:v>
      </x:c>
    </x:row>
    <x:row r="65">
      <x:c r="A65" s="82" t="str">
        <x:v>M37</x:v>
      </x:c>
      <x:c r="B65" s="82" t="str">
        <x:v>Editing / Studio Contribution</x:v>
      </x:c>
      <x:c r="C65" s="82" t="str">
        <x:v>CxVisual.Mechanism.Visual</x:v>
      </x:c>
      <x:c r="D65" s="82" t="n">
        <x:v>8</x:v>
      </x:c>
      <x:c r="E65" s="82" t="n">
        <x:v>7</x:v>
      </x:c>
      <x:c r="F65" s="82" t="n">
        <x:v>15</x:v>
      </x:c>
      <x:c r="G65" s="82" t="str">
        <x:v>有原候选与线索；公开API大部分尚非完整C#契约</x:v>
      </x:c>
      <x:c r="H65" s="82" t="str">
        <x:v>源码声明不等于编译/单测/实机通过</x:v>
      </x:c>
      <x:c r="I65" s="82" t="str">
        <x:v>候选审核中</x:v>
      </x:c>
    </x:row>
    <x:row r="66">
      <x:c r="A66" s="82" t="str">
        <x:v>M38</x:v>
      </x:c>
      <x:c r="B66" s="82" t="str">
        <x:v>Template / ImportExport / Baseline</x:v>
      </x:c>
      <x:c r="C66" s="82" t="str">
        <x:v>CxVisual.Mechanism.Core</x:v>
      </x:c>
      <x:c r="D66" s="82" t="n">
        <x:v>9</x:v>
      </x:c>
      <x:c r="E66" s="82" t="n">
        <x:v>13</x:v>
      </x:c>
      <x:c r="F66" s="82" t="n">
        <x:v>11</x:v>
      </x:c>
      <x:c r="G66" s="82" t="str">
        <x:v>有原候选与线索；公开API大部分尚非完整C#契约</x:v>
      </x:c>
      <x:c r="H66" s="82" t="str">
        <x:v>源码声明不等于编译/单测/实机通过</x:v>
      </x:c>
      <x:c r="I66" s="82" t="str">
        <x:v>候选审核中</x:v>
      </x:c>
    </x:row>
    <x:row r="67">
      <x:c r="A67" s="82" t="str">
        <x:v>M39</x:v>
      </x:c>
      <x:c r="B67" s="82" t="str">
        <x:v>Version / Migration / Package / Deploy</x:v>
      </x:c>
      <x:c r="C67" s="82" t="str">
        <x:v>CxVisual.Mechanism.Lifecycle</x:v>
      </x:c>
      <x:c r="D67" s="82" t="n">
        <x:v>8</x:v>
      </x:c>
      <x:c r="E67" s="82" t="n">
        <x:v>0</x:v>
      </x:c>
      <x:c r="F67" s="82" t="n">
        <x:v>16</x:v>
      </x:c>
      <x:c r="G67" s="82" t="str">
        <x:v>有原候选与线索；公开API大部分尚非完整C#契约</x:v>
      </x:c>
      <x:c r="H67" s="82" t="str">
        <x:v>源码声明不等于编译/单测/实机通过</x:v>
      </x:c>
      <x:c r="I67" s="82" t="str">
        <x:v>候选审核中</x:v>
      </x:c>
    </x:row>
    <x:row r="68">
      <x:c r="A68" s="82" t="str">
        <x:v>M40</x:v>
      </x:c>
      <x:c r="B68" s="82" t="str">
        <x:v>Plugin / Registry / Extension</x:v>
      </x:c>
      <x:c r="C68" s="82" t="str">
        <x:v>CxVisual.Mechanism.Lifecycle</x:v>
      </x:c>
      <x:c r="D68" s="82" t="n">
        <x:v>8</x:v>
      </x:c>
      <x:c r="E68" s="82" t="n">
        <x:v>0</x:v>
      </x:c>
      <x:c r="F68" s="82" t="n">
        <x:v>13</x:v>
      </x:c>
      <x:c r="G68" s="82" t="str">
        <x:v>有原候选与线索；公开API大部分尚非完整C#契约</x:v>
      </x:c>
      <x:c r="H68" s="82" t="str">
        <x:v>源码声明不等于编译/单测/实机通过</x:v>
      </x:c>
      <x:c r="I68" s="82" t="str">
        <x:v>候选审核中</x:v>
      </x:c>
    </x:row>
    <x:row r="69">
      <x:c r="A69" s="82"/>
      <x:c r="B69" s="82"/>
      <x:c r="C69" s="82"/>
      <x:c r="D69" s="82"/>
      <x:c r="E69" s="82"/>
      <x:c r="F69" s="82"/>
      <x:c r="G69" s="82"/>
      <x:c r="H69" s="82"/>
      <x:c r="I69" s="82"/>
    </x:row>
    <x:row r="70">
      <x:c r="A70" s="82"/>
      <x:c r="B70" s="82"/>
      <x:c r="C70" s="82"/>
      <x:c r="D70" s="82"/>
      <x:c r="E70" s="82"/>
      <x:c r="F70" s="82"/>
      <x:c r="G70" s="82"/>
      <x:c r="H70" s="82"/>
      <x:c r="I70" s="82"/>
    </x:row>
    <x:row r="71" ht="27" customHeight="1">
      <x:c r="A71" s="108" t="str">
        <x:v>B. R1原始测试与验收矩阵（134条，完整保留）</x:v>
      </x:c>
      <x:c r="B71" s="108"/>
      <x:c r="C71" s="108"/>
      <x:c r="D71" s="108"/>
      <x:c r="E71" s="108"/>
      <x:c r="F71" s="108"/>
      <x:c r="G71" s="108"/>
      <x:c r="H71" s="108"/>
      <x:c r="I71" s="108"/>
    </x:row>
    <x:row r="72">
      <x:c r="A72" s="82" t="str">
        <x:v>验证ID</x:v>
      </x:c>
      <x:c r="B72" s="82" t="str">
        <x:v>子方面</x:v>
      </x:c>
      <x:c r="C72" s="82" t="str">
        <x:v>目标项目</x:v>
      </x:c>
      <x:c r="D72" s="82" t="str">
        <x:v>层级</x:v>
      </x:c>
      <x:c r="E72" s="82" t="str">
        <x:v>需要验证的内容</x:v>
      </x:c>
      <x:c r="F72" s="82" t="str">
        <x:v>可观察验收</x:v>
      </x:c>
      <x:c r="G72" s="82" t="str">
        <x:v>真实状态</x:v>
      </x:c>
      <x:c r="H72" s="82" t="str">
        <x:v>异常/审查要点</x:v>
      </x:c>
      <x:c r="I72" s="82" t="str">
        <x:v>依据</x:v>
      </x:c>
    </x:row>
    <x:row r="73">
      <x:c r="A73" s="82" t="str">
        <x:v>AREA-F01</x:v>
      </x:c>
      <x:c r="B73" s="82" t="str">
        <x:v>F01</x:v>
      </x:c>
      <x:c r="C73" s="82" t="str">
        <x:v>CxVisual.Foundation.Core</x:v>
      </x:c>
      <x:c r="D73" s="82" t="str">
        <x:v>子方面能力</x:v>
      </x:c>
      <x:c r="E73" s="82" t="str">
        <x:v>类型范围/零值/溢出/精度/并发/资源释放等边界测试</x:v>
      </x:c>
      <x:c r="F73" s="82" t="str">
        <x:v>F/M对象公开API、单测、集成链、源码依据四证齐全</x:v>
      </x:c>
      <x:c r="G73" s="82" t="str">
        <x:v>尚未验收</x:v>
      </x:c>
      <x:c r="H73" s="82" t="str">
        <x:v>需设计可运行用例并运行</x:v>
      </x:c>
      <x:c r="I73" s="82" t="str">
        <x:v>V5.0/01</x:v>
      </x:c>
    </x:row>
    <x:row r="74">
      <x:c r="A74" s="82" t="str">
        <x:v>AREA-F02</x:v>
      </x:c>
      <x:c r="B74" s="82" t="str">
        <x:v>F02</x:v>
      </x:c>
      <x:c r="C74" s="82" t="str">
        <x:v>CxVisual.Foundation.Core</x:v>
      </x:c>
      <x:c r="D74" s="82" t="str">
        <x:v>子方面能力</x:v>
      </x:c>
      <x:c r="E74" s="82" t="str">
        <x:v>类型范围/零值/溢出/精度/并发/资源释放等边界测试</x:v>
      </x:c>
      <x:c r="F74" s="82" t="str">
        <x:v>F/M对象公开API、单测、集成链、源码依据四证齐全</x:v>
      </x:c>
      <x:c r="G74" s="82" t="str">
        <x:v>尚未验收</x:v>
      </x:c>
      <x:c r="H74" s="82" t="str">
        <x:v>需设计可运行用例并运行</x:v>
      </x:c>
      <x:c r="I74" s="82" t="str">
        <x:v>V5.0/01</x:v>
      </x:c>
    </x:row>
    <x:row r="75">
      <x:c r="A75" s="82" t="str">
        <x:v>AREA-F03</x:v>
      </x:c>
      <x:c r="B75" s="82" t="str">
        <x:v>F03</x:v>
      </x:c>
      <x:c r="C75" s="82" t="str">
        <x:v>CxVisual.Foundation.Numerics</x:v>
      </x:c>
      <x:c r="D75" s="82" t="str">
        <x:v>子方面能力</x:v>
      </x:c>
      <x:c r="E75" s="82" t="str">
        <x:v>类型范围/零值/溢出/精度/并发/资源释放等边界测试</x:v>
      </x:c>
      <x:c r="F75" s="82" t="str">
        <x:v>F/M对象公开API、单测、集成链、源码依据四证齐全</x:v>
      </x:c>
      <x:c r="G75" s="82" t="str">
        <x:v>尚未验收</x:v>
      </x:c>
      <x:c r="H75" s="82" t="str">
        <x:v>需设计可运行用例并运行</x:v>
      </x:c>
      <x:c r="I75" s="82" t="str">
        <x:v>V5.0/01</x:v>
      </x:c>
    </x:row>
    <x:row r="76">
      <x:c r="A76" s="82" t="str">
        <x:v>AREA-F04</x:v>
      </x:c>
      <x:c r="B76" s="82" t="str">
        <x:v>F04</x:v>
      </x:c>
      <x:c r="C76" s="82" t="str">
        <x:v>CxVisual.Foundation.Numerics</x:v>
      </x:c>
      <x:c r="D76" s="82" t="str">
        <x:v>子方面能力</x:v>
      </x:c>
      <x:c r="E76" s="82" t="str">
        <x:v>类型范围/零值/溢出/精度/并发/资源释放等边界测试</x:v>
      </x:c>
      <x:c r="F76" s="82" t="str">
        <x:v>F/M对象公开API、单测、集成链、源码依据四证齐全</x:v>
      </x:c>
      <x:c r="G76" s="82" t="str">
        <x:v>尚未验收</x:v>
      </x:c>
      <x:c r="H76" s="82" t="str">
        <x:v>需设计可运行用例并运行</x:v>
      </x:c>
      <x:c r="I76" s="82" t="str">
        <x:v>V5.0/01</x:v>
      </x:c>
    </x:row>
    <x:row r="77">
      <x:c r="A77" s="82" t="str">
        <x:v>AREA-F05</x:v>
      </x:c>
      <x:c r="B77" s="82" t="str">
        <x:v>F05</x:v>
      </x:c>
      <x:c r="C77" s="82" t="str">
        <x:v>CxVisual.Foundation.Geometry</x:v>
      </x:c>
      <x:c r="D77" s="82" t="str">
        <x:v>子方面能力</x:v>
      </x:c>
      <x:c r="E77" s="82" t="str">
        <x:v>类型范围/零值/溢出/精度/并发/资源释放等边界测试</x:v>
      </x:c>
      <x:c r="F77" s="82" t="str">
        <x:v>F/M对象公开API、单测、集成链、源码依据四证齐全</x:v>
      </x:c>
      <x:c r="G77" s="82" t="str">
        <x:v>尚未验收</x:v>
      </x:c>
      <x:c r="H77" s="82" t="str">
        <x:v>需设计可运行用例并运行</x:v>
      </x:c>
      <x:c r="I77" s="82" t="str">
        <x:v>V5.0/01</x:v>
      </x:c>
    </x:row>
    <x:row r="78">
      <x:c r="A78" s="82" t="str">
        <x:v>AREA-F06</x:v>
      </x:c>
      <x:c r="B78" s="82" t="str">
        <x:v>F06</x:v>
      </x:c>
      <x:c r="C78" s="82" t="str">
        <x:v>CxVisual.Foundation.Geometry</x:v>
      </x:c>
      <x:c r="D78" s="82" t="str">
        <x:v>子方面能力</x:v>
      </x:c>
      <x:c r="E78" s="82" t="str">
        <x:v>类型范围/零值/溢出/精度/并发/资源释放等边界测试</x:v>
      </x:c>
      <x:c r="F78" s="82" t="str">
        <x:v>F/M对象公开API、单测、集成链、源码依据四证齐全</x:v>
      </x:c>
      <x:c r="G78" s="82" t="str">
        <x:v>尚未验收</x:v>
      </x:c>
      <x:c r="H78" s="82" t="str">
        <x:v>需设计可运行用例并运行</x:v>
      </x:c>
      <x:c r="I78" s="82" t="str">
        <x:v>V5.0/01</x:v>
      </x:c>
    </x:row>
    <x:row r="79">
      <x:c r="A79" s="82" t="str">
        <x:v>AREA-F07</x:v>
      </x:c>
      <x:c r="B79" s="82" t="str">
        <x:v>F07</x:v>
      </x:c>
      <x:c r="C79" s="82" t="str">
        <x:v>CxVisual.Foundation.Geometry</x:v>
      </x:c>
      <x:c r="D79" s="82" t="str">
        <x:v>子方面能力</x:v>
      </x:c>
      <x:c r="E79" s="82" t="str">
        <x:v>类型范围/零值/溢出/精度/并发/资源释放等边界测试</x:v>
      </x:c>
      <x:c r="F79" s="82" t="str">
        <x:v>F/M对象公开API、单测、集成链、源码依据四证齐全</x:v>
      </x:c>
      <x:c r="G79" s="82" t="str">
        <x:v>尚未验收</x:v>
      </x:c>
      <x:c r="H79" s="82" t="str">
        <x:v>需设计可运行用例并运行</x:v>
      </x:c>
      <x:c r="I79" s="82" t="str">
        <x:v>V5.0/01</x:v>
      </x:c>
    </x:row>
    <x:row r="80">
      <x:c r="A80" s="82" t="str">
        <x:v>AREA-F08</x:v>
      </x:c>
      <x:c r="B80" s="82" t="str">
        <x:v>F08</x:v>
      </x:c>
      <x:c r="C80" s="82" t="str">
        <x:v>CxVisual.Foundation.Core</x:v>
      </x:c>
      <x:c r="D80" s="82" t="str">
        <x:v>子方面能力</x:v>
      </x:c>
      <x:c r="E80" s="82" t="str">
        <x:v>类型范围/零值/溢出/精度/并发/资源释放等边界测试</x:v>
      </x:c>
      <x:c r="F80" s="82" t="str">
        <x:v>F/M对象公开API、单测、集成链、源码依据四证齐全</x:v>
      </x:c>
      <x:c r="G80" s="82" t="str">
        <x:v>尚未验收</x:v>
      </x:c>
      <x:c r="H80" s="82" t="str">
        <x:v>需设计可运行用例并运行</x:v>
      </x:c>
      <x:c r="I80" s="82" t="str">
        <x:v>V5.0/01</x:v>
      </x:c>
    </x:row>
    <x:row r="81">
      <x:c r="A81" s="82" t="str">
        <x:v>AREA-F09</x:v>
      </x:c>
      <x:c r="B81" s="82" t="str">
        <x:v>F09</x:v>
      </x:c>
      <x:c r="C81" s="82" t="str">
        <x:v>CxVisual.Foundation.Core</x:v>
      </x:c>
      <x:c r="D81" s="82" t="str">
        <x:v>子方面能力</x:v>
      </x:c>
      <x:c r="E81" s="82" t="str">
        <x:v>类型范围/零值/溢出/精度/并发/资源释放等边界测试</x:v>
      </x:c>
      <x:c r="F81" s="82" t="str">
        <x:v>F/M对象公开API、单测、集成链、源码依据四证齐全</x:v>
      </x:c>
      <x:c r="G81" s="82" t="str">
        <x:v>尚未验收</x:v>
      </x:c>
      <x:c r="H81" s="82" t="str">
        <x:v>需设计可运行用例并运行</x:v>
      </x:c>
      <x:c r="I81" s="82" t="str">
        <x:v>V5.0/01</x:v>
      </x:c>
    </x:row>
    <x:row r="82">
      <x:c r="A82" s="82" t="str">
        <x:v>AREA-F10</x:v>
      </x:c>
      <x:c r="B82" s="82" t="str">
        <x:v>F10</x:v>
      </x:c>
      <x:c r="C82" s="82" t="str">
        <x:v>CxVisual.Foundation.Numerics</x:v>
      </x:c>
      <x:c r="D82" s="82" t="str">
        <x:v>子方面能力</x:v>
      </x:c>
      <x:c r="E82" s="82" t="str">
        <x:v>类型范围/零值/溢出/精度/并发/资源释放等边界测试</x:v>
      </x:c>
      <x:c r="F82" s="82" t="str">
        <x:v>F/M对象公开API、单测、集成链、源码依据四证齐全</x:v>
      </x:c>
      <x:c r="G82" s="82" t="str">
        <x:v>尚未验收</x:v>
      </x:c>
      <x:c r="H82" s="82" t="str">
        <x:v>需设计可运行用例并运行</x:v>
      </x:c>
      <x:c r="I82" s="82" t="str">
        <x:v>V5.0/01</x:v>
      </x:c>
    </x:row>
    <x:row r="83">
      <x:c r="A83" s="82" t="str">
        <x:v>AREA-F11</x:v>
      </x:c>
      <x:c r="B83" s="82" t="str">
        <x:v>F11</x:v>
      </x:c>
      <x:c r="C83" s="82" t="str">
        <x:v>CxVisual.Foundation.Imaging</x:v>
      </x:c>
      <x:c r="D83" s="82" t="str">
        <x:v>子方面能力</x:v>
      </x:c>
      <x:c r="E83" s="82" t="str">
        <x:v>类型范围/零值/溢出/精度/并发/资源释放等边界测试</x:v>
      </x:c>
      <x:c r="F83" s="82" t="str">
        <x:v>F/M对象公开API、单测、集成链、源码依据四证齐全</x:v>
      </x:c>
      <x:c r="G83" s="82" t="str">
        <x:v>尚未验收</x:v>
      </x:c>
      <x:c r="H83" s="82" t="str">
        <x:v>需设计可运行用例并运行</x:v>
      </x:c>
      <x:c r="I83" s="82" t="str">
        <x:v>V5.0/01</x:v>
      </x:c>
    </x:row>
    <x:row r="84">
      <x:c r="A84" s="82" t="str">
        <x:v>AREA-F12</x:v>
      </x:c>
      <x:c r="B84" s="82" t="str">
        <x:v>F12</x:v>
      </x:c>
      <x:c r="C84" s="82" t="str">
        <x:v>CxVisual.Foundation.Volume</x:v>
      </x:c>
      <x:c r="D84" s="82" t="str">
        <x:v>子方面能力</x:v>
      </x:c>
      <x:c r="E84" s="82" t="str">
        <x:v>类型范围/零值/溢出/精度/并发/资源释放等边界测试</x:v>
      </x:c>
      <x:c r="F84" s="82" t="str">
        <x:v>F/M对象公开API、单测、集成链、源码依据四证齐全</x:v>
      </x:c>
      <x:c r="G84" s="82" t="str">
        <x:v>尚未验收</x:v>
      </x:c>
      <x:c r="H84" s="82" t="str">
        <x:v>需设计可运行用例并运行</x:v>
      </x:c>
      <x:c r="I84" s="82" t="str">
        <x:v>V5.0/01</x:v>
      </x:c>
    </x:row>
    <x:row r="85">
      <x:c r="A85" s="82" t="str">
        <x:v>AREA-F13</x:v>
      </x:c>
      <x:c r="B85" s="82" t="str">
        <x:v>F13</x:v>
      </x:c>
      <x:c r="C85" s="82" t="str">
        <x:v>CxVisual.Foundation.Numerics</x:v>
      </x:c>
      <x:c r="D85" s="82" t="str">
        <x:v>子方面能力</x:v>
      </x:c>
      <x:c r="E85" s="82" t="str">
        <x:v>类型范围/零值/溢出/精度/并发/资源释放等边界测试</x:v>
      </x:c>
      <x:c r="F85" s="82" t="str">
        <x:v>F/M对象公开API、单测、集成链、源码依据四证齐全</x:v>
      </x:c>
      <x:c r="G85" s="82" t="str">
        <x:v>尚未验收</x:v>
      </x:c>
      <x:c r="H85" s="82" t="str">
        <x:v>需设计可运行用例并运行</x:v>
      </x:c>
      <x:c r="I85" s="82" t="str">
        <x:v>V5.0/01</x:v>
      </x:c>
    </x:row>
    <x:row r="86">
      <x:c r="A86" s="82" t="str">
        <x:v>AREA-F14</x:v>
      </x:c>
      <x:c r="B86" s="82" t="str">
        <x:v>F14</x:v>
      </x:c>
      <x:c r="C86" s="82" t="str">
        <x:v>CxVisual.Foundation.Data</x:v>
      </x:c>
      <x:c r="D86" s="82" t="str">
        <x:v>子方面能力</x:v>
      </x:c>
      <x:c r="E86" s="82" t="str">
        <x:v>类型范围/零值/溢出/精度/并发/资源释放等边界测试</x:v>
      </x:c>
      <x:c r="F86" s="82" t="str">
        <x:v>F/M对象公开API、单测、集成链、源码依据四证齐全</x:v>
      </x:c>
      <x:c r="G86" s="82" t="str">
        <x:v>尚未验收</x:v>
      </x:c>
      <x:c r="H86" s="82" t="str">
        <x:v>需设计可运行用例并运行</x:v>
      </x:c>
      <x:c r="I86" s="82" t="str">
        <x:v>V5.0/01</x:v>
      </x:c>
    </x:row>
    <x:row r="87">
      <x:c r="A87" s="82" t="str">
        <x:v>AREA-F15</x:v>
      </x:c>
      <x:c r="B87" s="82" t="str">
        <x:v>F15</x:v>
      </x:c>
      <x:c r="C87" s="82" t="str">
        <x:v>CxVisual.Foundation.Data</x:v>
      </x:c>
      <x:c r="D87" s="82" t="str">
        <x:v>子方面能力</x:v>
      </x:c>
      <x:c r="E87" s="82" t="str">
        <x:v>类型范围/零值/溢出/精度/并发/资源释放等边界测试</x:v>
      </x:c>
      <x:c r="F87" s="82" t="str">
        <x:v>F/M对象公开API、单测、集成链、源码依据四证齐全</x:v>
      </x:c>
      <x:c r="G87" s="82" t="str">
        <x:v>尚未验收</x:v>
      </x:c>
      <x:c r="H87" s="82" t="str">
        <x:v>需设计可运行用例并运行</x:v>
      </x:c>
      <x:c r="I87" s="82" t="str">
        <x:v>V5.0/01</x:v>
      </x:c>
    </x:row>
    <x:row r="88">
      <x:c r="A88" s="82" t="str">
        <x:v>AREA-F16</x:v>
      </x:c>
      <x:c r="B88" s="82" t="str">
        <x:v>F16</x:v>
      </x:c>
      <x:c r="C88" s="82" t="str">
        <x:v>CxVisual.Foundation.Infrastructure</x:v>
      </x:c>
      <x:c r="D88" s="82" t="str">
        <x:v>子方面能力</x:v>
      </x:c>
      <x:c r="E88" s="82" t="str">
        <x:v>类型范围/零值/溢出/精度/并发/资源释放等边界测试</x:v>
      </x:c>
      <x:c r="F88" s="82" t="str">
        <x:v>F/M对象公开API、单测、集成链、源码依据四证齐全</x:v>
      </x:c>
      <x:c r="G88" s="82" t="str">
        <x:v>尚未验收</x:v>
      </x:c>
      <x:c r="H88" s="82" t="str">
        <x:v>需设计可运行用例并运行</x:v>
      </x:c>
      <x:c r="I88" s="82" t="str">
        <x:v>V5.0/01</x:v>
      </x:c>
    </x:row>
    <x:row r="89">
      <x:c r="A89" s="82" t="str">
        <x:v>AREA-F17</x:v>
      </x:c>
      <x:c r="B89" s="82" t="str">
        <x:v>F17</x:v>
      </x:c>
      <x:c r="C89" s="82" t="str">
        <x:v>CxVisual.Foundation.Transport</x:v>
      </x:c>
      <x:c r="D89" s="82" t="str">
        <x:v>子方面能力</x:v>
      </x:c>
      <x:c r="E89" s="82" t="str">
        <x:v>类型范围/零值/溢出/精度/并发/资源释放等边界测试</x:v>
      </x:c>
      <x:c r="F89" s="82" t="str">
        <x:v>F/M对象公开API、单测、集成链、源码依据四证齐全</x:v>
      </x:c>
      <x:c r="G89" s="82" t="str">
        <x:v>尚未验收</x:v>
      </x:c>
      <x:c r="H89" s="82" t="str">
        <x:v>需设计可运行用例并运行</x:v>
      </x:c>
      <x:c r="I89" s="82" t="str">
        <x:v>V5.0/01</x:v>
      </x:c>
    </x:row>
    <x:row r="90">
      <x:c r="A90" s="82" t="str">
        <x:v>AREA-F18</x:v>
      </x:c>
      <x:c r="B90" s="82" t="str">
        <x:v>F18</x:v>
      </x:c>
      <x:c r="C90" s="82" t="str">
        <x:v>CxVisual.Foundation.Data</x:v>
      </x:c>
      <x:c r="D90" s="82" t="str">
        <x:v>子方面能力</x:v>
      </x:c>
      <x:c r="E90" s="82" t="str">
        <x:v>类型范围/零值/溢出/精度/并发/资源释放等边界测试</x:v>
      </x:c>
      <x:c r="F90" s="82" t="str">
        <x:v>F/M对象公开API、单测、集成链、源码依据四证齐全</x:v>
      </x:c>
      <x:c r="G90" s="82" t="str">
        <x:v>尚未验收</x:v>
      </x:c>
      <x:c r="H90" s="82" t="str">
        <x:v>需设计可运行用例并运行</x:v>
      </x:c>
      <x:c r="I90" s="82" t="str">
        <x:v>V5.0/01</x:v>
      </x:c>
    </x:row>
    <x:row r="91">
      <x:c r="A91" s="82" t="str">
        <x:v>AREA-F19</x:v>
      </x:c>
      <x:c r="B91" s="82" t="str">
        <x:v>F19</x:v>
      </x:c>
      <x:c r="C91" s="82" t="str">
        <x:v>CxVisual.Foundation.Infrastructure</x:v>
      </x:c>
      <x:c r="D91" s="82" t="str">
        <x:v>子方面能力</x:v>
      </x:c>
      <x:c r="E91" s="82" t="str">
        <x:v>类型范围/零值/溢出/精度/并发/资源释放等边界测试</x:v>
      </x:c>
      <x:c r="F91" s="82" t="str">
        <x:v>F/M对象公开API、单测、集成链、源码依据四证齐全</x:v>
      </x:c>
      <x:c r="G91" s="82" t="str">
        <x:v>尚未验收</x:v>
      </x:c>
      <x:c r="H91" s="82" t="str">
        <x:v>需设计可运行用例并运行</x:v>
      </x:c>
      <x:c r="I91" s="82" t="str">
        <x:v>V5.0/01</x:v>
      </x:c>
    </x:row>
    <x:row r="92">
      <x:c r="A92" s="82" t="str">
        <x:v>AREA-F20</x:v>
      </x:c>
      <x:c r="B92" s="82" t="str">
        <x:v>F20</x:v>
      </x:c>
      <x:c r="C92" s="82" t="str">
        <x:v>CxVisual.Foundation.Infrastructure</x:v>
      </x:c>
      <x:c r="D92" s="82" t="str">
        <x:v>子方面能力</x:v>
      </x:c>
      <x:c r="E92" s="82" t="str">
        <x:v>类型范围/零值/溢出/精度/并发/资源释放等边界测试</x:v>
      </x:c>
      <x:c r="F92" s="82" t="str">
        <x:v>F/M对象公开API、单测、集成链、源码依据四证齐全</x:v>
      </x:c>
      <x:c r="G92" s="82" t="str">
        <x:v>尚未验收</x:v>
      </x:c>
      <x:c r="H92" s="82" t="str">
        <x:v>需设计可运行用例并运行</x:v>
      </x:c>
      <x:c r="I92" s="82" t="str">
        <x:v>V5.0/01</x:v>
      </x:c>
    </x:row>
    <x:row r="93">
      <x:c r="A93" s="82" t="str">
        <x:v>AREA-F21</x:v>
      </x:c>
      <x:c r="B93" s="82" t="str">
        <x:v>F21</x:v>
      </x:c>
      <x:c r="C93" s="82" t="str">
        <x:v>CxVisual.Foundation.Data</x:v>
      </x:c>
      <x:c r="D93" s="82" t="str">
        <x:v>子方面能力</x:v>
      </x:c>
      <x:c r="E93" s="82" t="str">
        <x:v>类型范围/零值/溢出/精度/并发/资源释放等边界测试</x:v>
      </x:c>
      <x:c r="F93" s="82" t="str">
        <x:v>F/M对象公开API、单测、集成链、源码依据四证齐全</x:v>
      </x:c>
      <x:c r="G93" s="82" t="str">
        <x:v>尚未验收</x:v>
      </x:c>
      <x:c r="H93" s="82" t="str">
        <x:v>需设计可运行用例并运行</x:v>
      </x:c>
      <x:c r="I93" s="82" t="str">
        <x:v>V5.0/01</x:v>
      </x:c>
    </x:row>
    <x:row r="94">
      <x:c r="A94" s="82" t="str">
        <x:v>AREA-F22</x:v>
      </x:c>
      <x:c r="B94" s="82" t="str">
        <x:v>F22</x:v>
      </x:c>
      <x:c r="C94" s="82" t="str">
        <x:v>CxVisual.Foundation.Imaging</x:v>
      </x:c>
      <x:c r="D94" s="82" t="str">
        <x:v>子方面能力</x:v>
      </x:c>
      <x:c r="E94" s="82" t="str">
        <x:v>类型范围/零值/溢出/精度/并发/资源释放等边界测试</x:v>
      </x:c>
      <x:c r="F94" s="82" t="str">
        <x:v>F/M对象公开API、单测、集成链、源码依据四证齐全</x:v>
      </x:c>
      <x:c r="G94" s="82" t="str">
        <x:v>尚未验收</x:v>
      </x:c>
      <x:c r="H94" s="82" t="str">
        <x:v>需设计可运行用例并运行</x:v>
      </x:c>
      <x:c r="I94" s="82" t="str">
        <x:v>V5.0/01</x:v>
      </x:c>
    </x:row>
    <x:row r="95">
      <x:c r="A95" s="82" t="str">
        <x:v>AREA-M01</x:v>
      </x:c>
      <x:c r="B95" s="82" t="str">
        <x:v>M01</x:v>
      </x:c>
      <x:c r="C95" s="82" t="str">
        <x:v>CxVisual.Mechanism.Core</x:v>
      </x:c>
      <x:c r="D95" s="82" t="str">
        <x:v>子方面能力</x:v>
      </x:c>
      <x:c r="E95" s="82" t="str">
        <x:v>不要把行业对象或Runtime瞬态状态塞入工程主树</x:v>
      </x:c>
      <x:c r="F95" s="82" t="str">
        <x:v>F/M对象公开API、单测、集成链、源码依据四证齐全</x:v>
      </x:c>
      <x:c r="G95" s="82" t="str">
        <x:v>尚未验收</x:v>
      </x:c>
      <x:c r="H95" s="82" t="str">
        <x:v>需设计可运行用例并运行</x:v>
      </x:c>
      <x:c r="I95" s="82" t="str">
        <x:v>V5.0/01</x:v>
      </x:c>
    </x:row>
    <x:row r="96">
      <x:c r="A96" s="82" t="str">
        <x:v>AREA-M02</x:v>
      </x:c>
      <x:c r="B96" s="82" t="str">
        <x:v>M02</x:v>
      </x:c>
      <x:c r="C96" s="82" t="str">
        <x:v>CxVisual.Mechanism.Core</x:v>
      </x:c>
      <x:c r="D96" s="82" t="str">
        <x:v>子方面能力</x:v>
      </x:c>
      <x:c r="E96" s="82" t="str">
        <x:v>Content≠Group；Symbol≠复制Children</x:v>
      </x:c>
      <x:c r="F96" s="82" t="str">
        <x:v>F/M对象公开API、单测、集成链、源码依据四证齐全</x:v>
      </x:c>
      <x:c r="G96" s="82" t="str">
        <x:v>尚未验收</x:v>
      </x:c>
      <x:c r="H96" s="82" t="str">
        <x:v>需设计可运行用例并运行</x:v>
      </x:c>
      <x:c r="I96" s="82" t="str">
        <x:v>V5.0/01</x:v>
      </x:c>
    </x:row>
    <x:row r="97">
      <x:c r="A97" s="82" t="str">
        <x:v>AREA-M03</x:v>
      </x:c>
      <x:c r="B97" s="82" t="str">
        <x:v>M03</x:v>
      </x:c>
      <x:c r="C97" s="82" t="str">
        <x:v>CxVisual.Mechanism.Core</x:v>
      </x:c>
      <x:c r="D97" s="82" t="str">
        <x:v>子方面能力</x:v>
      </x:c>
      <x:c r="E97" s="82" t="str">
        <x:v>Reference永远不是Ownership</x:v>
      </x:c>
      <x:c r="F97" s="82" t="str">
        <x:v>F/M对象公开API、单测、集成链、源码依据四证齐全</x:v>
      </x:c>
      <x:c r="G97" s="82" t="str">
        <x:v>尚未验收</x:v>
      </x:c>
      <x:c r="H97" s="82" t="str">
        <x:v>需设计可运行用例并运行</x:v>
      </x:c>
      <x:c r="I97" s="82" t="str">
        <x:v>V5.0/01</x:v>
      </x:c>
    </x:row>
    <x:row r="98">
      <x:c r="A98" s="82" t="str">
        <x:v>AREA-M04</x:v>
      </x:c>
      <x:c r="B98" s="82" t="str">
        <x:v>M04</x:v>
      </x:c>
      <x:c r="C98" s="82" t="str">
        <x:v>CxVisual.Mechanism.Core</x:v>
      </x:c>
      <x:c r="D98" s="82" t="str">
        <x:v>子方面能力</x:v>
      </x:c>
      <x:c r="E98" s="82" t="str">
        <x:v>专业域贡献Metadata，不建立第二套Property系统</x:v>
      </x:c>
      <x:c r="F98" s="82" t="str">
        <x:v>F/M对象公开API、单测、集成链、源码依据四证齐全</x:v>
      </x:c>
      <x:c r="G98" s="82" t="str">
        <x:v>尚未验收</x:v>
      </x:c>
      <x:c r="H98" s="82" t="str">
        <x:v>需设计可运行用例并运行</x:v>
      </x:c>
      <x:c r="I98" s="82" t="str">
        <x:v>V5.0/01</x:v>
      </x:c>
    </x:row>
    <x:row r="99">
      <x:c r="A99" s="82" t="str">
        <x:v>AREA-M05</x:v>
      </x:c>
      <x:c r="B99" s="82" t="str">
        <x:v>M05</x:v>
      </x:c>
      <x:c r="C99" s="82" t="str">
        <x:v>CxVisual.Mechanism.Core</x:v>
      </x:c>
      <x:c r="D99" s="82" t="str">
        <x:v>子方面能力</x:v>
      </x:c>
      <x:c r="E99" s="82" t="str">
        <x:v>Command/Event/Data/Flow不可混成一种线</x:v>
      </x:c>
      <x:c r="F99" s="82" t="str">
        <x:v>F/M对象公开API、单测、集成链、源码依据四证齐全</x:v>
      </x:c>
      <x:c r="G99" s="82" t="str">
        <x:v>尚未验收</x:v>
      </x:c>
      <x:c r="H99" s="82" t="str">
        <x:v>需设计可运行用例并运行</x:v>
      </x:c>
      <x:c r="I99" s="82" t="str">
        <x:v>V5.0/01</x:v>
      </x:c>
    </x:row>
    <x:row r="100">
      <x:c r="A100" s="82" t="str">
        <x:v>AREA-M06</x:v>
      </x:c>
      <x:c r="B100" s="82" t="str">
        <x:v>M06</x:v>
      </x:c>
      <x:c r="C100" s="82" t="str">
        <x:v>CxVisual.Mechanism.Core</x:v>
      </x:c>
      <x:c r="D100" s="82" t="str">
        <x:v>子方面能力</x:v>
      </x:c>
      <x:c r="E100" s="82" t="str">
        <x:v>Mechanism维护契约/解析/检查；Automation同步设备，Vision/CT3D负责专业标定与几何算法；不替代硬实时控制</x:v>
      </x:c>
      <x:c r="F100" s="82" t="str">
        <x:v>F/M对象公开API、单测、集成链、源码依据四证齐全</x:v>
      </x:c>
      <x:c r="G100" s="82" t="str">
        <x:v>尚未验收</x:v>
      </x:c>
      <x:c r="H100" s="82" t="str">
        <x:v>需设计可运行用例并运行</x:v>
      </x:c>
      <x:c r="I100" s="82" t="str">
        <x:v>V5.0/01</x:v>
      </x:c>
    </x:row>
    <x:row r="101">
      <x:c r="A101" s="82" t="str">
        <x:v>AREA-M07</x:v>
      </x:c>
      <x:c r="B101" s="82" t="str">
        <x:v>M07</x:v>
      </x:c>
      <x:c r="C101" s="82" t="str">
        <x:v>CxVisual.Mechanism.Core</x:v>
      </x:c>
      <x:c r="D101" s="82" t="str">
        <x:v>子方面能力</x:v>
      </x:c>
      <x:c r="E101" s="82" t="str">
        <x:v>Mechanism统一交付契约；专业Provider保证真实设备动作/业务写入语义；不承诺外部硬件分布式原子事务</x:v>
      </x:c>
      <x:c r="F101" s="82" t="str">
        <x:v>F/M对象公开API、单测、集成链、源码依据四证齐全；原子Commit/Rollback，无可视工具依赖</x:v>
      </x:c>
      <x:c r="G101" s="82" t="str">
        <x:v>尚未验收</x:v>
      </x:c>
      <x:c r="H101" s="82" t="str">
        <x:v>需设计可运行用例并运行</x:v>
      </x:c>
      <x:c r="I101" s="82" t="str">
        <x:v>V5.0/01</x:v>
      </x:c>
    </x:row>
    <x:row r="102">
      <x:c r="A102" s="82" t="str">
        <x:v>AREA-M08</x:v>
      </x:c>
      <x:c r="B102" s="82" t="str">
        <x:v>M08</x:v>
      </x:c>
      <x:c r="C102" s="82" t="str">
        <x:v>CxVisual.Mechanism.Core</x:v>
      </x:c>
      <x:c r="D102" s="82" t="str">
        <x:v>子方面能力</x:v>
      </x:c>
      <x:c r="E102" s="82" t="str">
        <x:v>Mechanism定义通用证据契约；各Workbench贡献专业输入/断言/采样/判定；编译通过或自动单测不等于真实业务验收通过</x:v>
      </x:c>
      <x:c r="F102" s="82" t="str">
        <x:v>F/M对象公开API、单测、集成链、源码依据四证齐全</x:v>
      </x:c>
      <x:c r="G102" s="82" t="str">
        <x:v>尚未验收</x:v>
      </x:c>
      <x:c r="H102" s="82" t="str">
        <x:v>需设计可运行用例并运行</x:v>
      </x:c>
      <x:c r="I102" s="82" t="str">
        <x:v>V5.0/01</x:v>
      </x:c>
    </x:row>
    <x:row r="103">
      <x:c r="A103" s="82" t="str">
        <x:v>AREA-M09</x:v>
      </x:c>
      <x:c r="B103" s="82" t="str">
        <x:v>M09</x:v>
      </x:c>
      <x:c r="C103" s="82" t="str">
        <x:v>CxVisual.Mechanism.Data</x:v>
      </x:c>
      <x:c r="D103" s="82" t="str">
        <x:v>子方面能力</x:v>
      </x:c>
      <x:c r="E103" s="82" t="str">
        <x:v>Image/Volume等大对象不放普通Variable</x:v>
      </x:c>
      <x:c r="F103" s="82" t="str">
        <x:v>F/M对象公开API、单测、集成链、源码依据四证齐全</x:v>
      </x:c>
      <x:c r="G103" s="82" t="str">
        <x:v>尚未验收</x:v>
      </x:c>
      <x:c r="H103" s="82" t="str">
        <x:v>需设计可运行用例并运行</x:v>
      </x:c>
      <x:c r="I103" s="82" t="str">
        <x:v>V5.0/01</x:v>
      </x:c>
    </x:row>
    <x:row r="104">
      <x:c r="A104" s="82" t="str">
        <x:v>AREA-M10</x:v>
      </x:c>
      <x:c r="B104" s="82" t="str">
        <x:v>M10</x:v>
      </x:c>
      <x:c r="C104" s="82" t="str">
        <x:v>CxVisual.Mechanism.Data</x:v>
      </x:c>
      <x:c r="D104" s="82" t="str">
        <x:v>子方面能力</x:v>
      </x:c>
      <x:c r="E104" s="82" t="str">
        <x:v>大对象避免深复制/JSON化</x:v>
      </x:c>
      <x:c r="F104" s="82" t="str">
        <x:v>F/M对象公开API、单测、集成链、源码依据四证齐全</x:v>
      </x:c>
      <x:c r="G104" s="82" t="str">
        <x:v>尚未验收</x:v>
      </x:c>
      <x:c r="H104" s="82" t="str">
        <x:v>需设计可运行用例并运行</x:v>
      </x:c>
      <x:c r="I104" s="82" t="str">
        <x:v>V5.0/01</x:v>
      </x:c>
    </x:row>
    <x:row r="105">
      <x:c r="A105" s="82" t="str">
        <x:v>AREA-M11</x:v>
      </x:c>
      <x:c r="B105" s="82" t="str">
        <x:v>M11</x:v>
      </x:c>
      <x:c r="C105" s="82" t="str">
        <x:v>CxVisual.Mechanism.Logic</x:v>
      </x:c>
      <x:c r="D105" s="82" t="str">
        <x:v>子方面能力</x:v>
      </x:c>
      <x:c r="E105" s="82" t="str">
        <x:v>能力阶梯：配置→表达式→规则→Graph→Script→Plugin</x:v>
      </x:c>
      <x:c r="F105" s="82" t="str">
        <x:v>F/M对象公开API、单测、集成链、源码依据四证齐全</x:v>
      </x:c>
      <x:c r="G105" s="82" t="str">
        <x:v>尚未验收</x:v>
      </x:c>
      <x:c r="H105" s="82" t="str">
        <x:v>需设计可运行用例并运行</x:v>
      </x:c>
      <x:c r="I105" s="82" t="str">
        <x:v>V5.0/01</x:v>
      </x:c>
    </x:row>
    <x:row r="106">
      <x:c r="A106" s="82" t="str">
        <x:v>AREA-M12</x:v>
      </x:c>
      <x:c r="B106" s="82" t="str">
        <x:v>M12</x:v>
      </x:c>
      <x:c r="C106" s="82" t="str">
        <x:v>CxVisual.Mechanism.Logic</x:v>
      </x:c>
      <x:c r="D106" s="82" t="str">
        <x:v>子方面能力</x:v>
      </x:c>
      <x:c r="E106" s="82" t="str">
        <x:v>Event是已发生事实；Command是请求；State是持续状态</x:v>
      </x:c>
      <x:c r="F106" s="82" t="str">
        <x:v>F/M对象公开API、单测、集成链、源码依据四证齐全</x:v>
      </x:c>
      <x:c r="G106" s="82" t="str">
        <x:v>尚未验收</x:v>
      </x:c>
      <x:c r="H106" s="82" t="str">
        <x:v>需设计可运行用例并运行</x:v>
      </x:c>
      <x:c r="I106" s="82" t="str">
        <x:v>V5.0/01</x:v>
      </x:c>
    </x:row>
    <x:row r="107">
      <x:c r="A107" s="82" t="str">
        <x:v>AREA-M13</x:v>
      </x:c>
      <x:c r="B107" s="82" t="str">
        <x:v>M13</x:v>
      </x:c>
      <x:c r="C107" s="82" t="str">
        <x:v>CxVisual.Mechanism.Connectivity</x:v>
      </x:c>
      <x:c r="D107" s="82" t="str">
        <x:v>子方面能力</x:v>
      </x:c>
      <x:c r="E107" s="82" t="str">
        <x:v>Channel只回答怎么传，不理解寄存器/Axis/ROI</x:v>
      </x:c>
      <x:c r="F107" s="82" t="str">
        <x:v>F/M对象公开API、单测、集成链、源码依据四证齐全</x:v>
      </x:c>
      <x:c r="G107" s="82" t="str">
        <x:v>尚未验收</x:v>
      </x:c>
      <x:c r="H107" s="82" t="str">
        <x:v>需设计可运行用例并运行</x:v>
      </x:c>
      <x:c r="I107" s="82" t="str">
        <x:v>V5.0/01</x:v>
      </x:c>
    </x:row>
    <x:row r="108">
      <x:c r="A108" s="82" t="str">
        <x:v>AREA-M14</x:v>
      </x:c>
      <x:c r="B108" s="82" t="str">
        <x:v>M14</x:v>
      </x:c>
      <x:c r="C108" s="82" t="str">
        <x:v>CxVisual.Mechanism.Connectivity</x:v>
      </x:c>
      <x:c r="D108" s="82" t="str">
        <x:v>子方面能力</x:v>
      </x:c>
      <x:c r="E108" s="82" t="str">
        <x:v>具体Modbus/S7/OPC UA/MQTT等由专业Driver/Plugin提供</x:v>
      </x:c>
      <x:c r="F108" s="82" t="str">
        <x:v>F/M对象公开API、单测、集成链、源码依据四证齐全</x:v>
      </x:c>
      <x:c r="G108" s="82" t="str">
        <x:v>尚未验收</x:v>
      </x:c>
      <x:c r="H108" s="82" t="str">
        <x:v>需设计可运行用例并运行</x:v>
      </x:c>
      <x:c r="I108" s="82" t="str">
        <x:v>V5.0/01</x:v>
      </x:c>
    </x:row>
    <x:row r="109">
      <x:c r="A109" s="82" t="str">
        <x:v>AREA-M15</x:v>
      </x:c>
      <x:c r="B109" s="82" t="str">
        <x:v>M15</x:v>
      </x:c>
      <x:c r="C109" s="82" t="str">
        <x:v>CxVisual.Mechanism.Connectivity</x:v>
      </x:c>
      <x:c r="D109" s="82" t="str">
        <x:v>子方面能力</x:v>
      </x:c>
      <x:c r="E109" s="82" t="str">
        <x:v>Mechanism不吸收Axis/FDK/AI/Judge等专业语义</x:v>
      </x:c>
      <x:c r="F109" s="82" t="str">
        <x:v>F/M对象公开API、单测、集成链、源码依据四证齐全</x:v>
      </x:c>
      <x:c r="G109" s="82" t="str">
        <x:v>尚未验收</x:v>
      </x:c>
      <x:c r="H109" s="82" t="str">
        <x:v>需设计可运行用例并运行</x:v>
      </x:c>
      <x:c r="I109" s="82" t="str">
        <x:v>V5.0/01</x:v>
      </x:c>
    </x:row>
    <x:row r="110">
      <x:c r="A110" s="82" t="str">
        <x:v>AREA-M16</x:v>
      </x:c>
      <x:c r="B110" s="82" t="str">
        <x:v>M16</x:v>
      </x:c>
      <x:c r="C110" s="82" t="str">
        <x:v>CxVisual.Mechanism.Visual</x:v>
      </x:c>
      <x:c r="D110" s="82" t="str">
        <x:v>子方面能力</x:v>
      </x:c>
      <x:c r="E110" s="82" t="str">
        <x:v>Drawing只回答怎么画，不承担HMI/Vision/Graph业务语义</x:v>
      </x:c>
      <x:c r="F110" s="82" t="str">
        <x:v>F/M对象公开API、单测、集成链、源码依据四证齐全；无UI运行+Undo语义验证</x:v>
      </x:c>
      <x:c r="G110" s="82" t="str">
        <x:v>尚未验收</x:v>
      </x:c>
      <x:c r="H110" s="82" t="str">
        <x:v>需设计可运行用例并运行</x:v>
      </x:c>
      <x:c r="I110" s="82" t="str">
        <x:v>V5.0/01</x:v>
      </x:c>
    </x:row>
    <x:row r="111">
      <x:c r="A111" s="82" t="str">
        <x:v>AREA-M17</x:v>
      </x:c>
      <x:c r="B111" s="82" t="str">
        <x:v>M17</x:v>
      </x:c>
      <x:c r="C111" s="82" t="str">
        <x:v>CxVisual.Mechanism.Visual</x:v>
      </x:c>
      <x:c r="D111" s="82" t="str">
        <x:v>子方面能力</x:v>
      </x:c>
      <x:c r="E111" s="82" t="str">
        <x:v>Diagram UI不等于Graph执行语义</x:v>
      </x:c>
      <x:c r="F111" s="82" t="str">
        <x:v>F/M对象公开API、单测、集成链、源码依据四证齐全；无UI运行+Undo语义验证</x:v>
      </x:c>
      <x:c r="G111" s="82" t="str">
        <x:v>尚未验收</x:v>
      </x:c>
      <x:c r="H111" s="82" t="str">
        <x:v>需设计可运行用例并运行</x:v>
      </x:c>
      <x:c r="I111" s="82" t="str">
        <x:v>V5.0/01</x:v>
      </x:c>
    </x:row>
    <x:row r="112">
      <x:c r="A112" s="82" t="str">
        <x:v>AREA-M18</x:v>
      </x:c>
      <x:c r="B112" s="82" t="str">
        <x:v>M18</x:v>
      </x:c>
      <x:c r="C112" s="82" t="str">
        <x:v>CxVisual.Mechanism.Orchestration</x:v>
      </x:c>
      <x:c r="D112" s="82" t="str">
        <x:v>子方面能力</x:v>
      </x:c>
      <x:c r="E112" s="82" t="str">
        <x:v>Graph是结构，不保存一次运行的瞬态状态</x:v>
      </x:c>
      <x:c r="F112" s="82" t="str">
        <x:v>F/M对象公开API、单测、集成链、源码依据四证齐全</x:v>
      </x:c>
      <x:c r="G112" s="82" t="str">
        <x:v>尚未验收</x:v>
      </x:c>
      <x:c r="H112" s="82" t="str">
        <x:v>需设计可运行用例并运行</x:v>
      </x:c>
      <x:c r="I112" s="82" t="str">
        <x:v>V5.0/01</x:v>
      </x:c>
    </x:row>
    <x:row r="113">
      <x:c r="A113" s="82" t="str">
        <x:v>AREA-M19</x:v>
      </x:c>
      <x:c r="B113" s="82" t="str">
        <x:v>M19</x:v>
      </x:c>
      <x:c r="C113" s="82" t="str">
        <x:v>CxVisual.Mechanism.Orchestration</x:v>
      </x:c>
      <x:c r="D113" s="82" t="str">
        <x:v>子方面能力</x:v>
      </x:c>
      <x:c r="E113" s="82" t="str">
        <x:v>硬实时Servo/EtherCAT/Robot插补不在普通Graph Runtime</x:v>
      </x:c>
      <x:c r="F113" s="82" t="str">
        <x:v>F/M对象公开API、单测、集成链、源码依据四证齐全</x:v>
      </x:c>
      <x:c r="G113" s="82" t="str">
        <x:v>尚未验收</x:v>
      </x:c>
      <x:c r="H113" s="82" t="str">
        <x:v>需设计可运行用例并运行</x:v>
      </x:c>
      <x:c r="I113" s="82" t="str">
        <x:v>V5.0/01</x:v>
      </x:c>
    </x:row>
    <x:row r="114">
      <x:c r="A114" s="82" t="str">
        <x:v>AREA-M20</x:v>
      </x:c>
      <x:c r="B114" s="82" t="str">
        <x:v>M20</x:v>
      </x:c>
      <x:c r="C114" s="82" t="str">
        <x:v>CxVisual.Mechanism.Orchestration</x:v>
      </x:c>
      <x:c r="D114" s="82" t="str">
        <x:v>子方面能力</x:v>
      </x:c>
      <x:c r="E114" s="82" t="str">
        <x:v>DataFlow不应翻译成普通串行调用链</x:v>
      </x:c>
      <x:c r="F114" s="82" t="str">
        <x:v>F/M对象公开API、单测、集成链、源码依据四证齐全</x:v>
      </x:c>
      <x:c r="G114" s="82" t="str">
        <x:v>尚未验收</x:v>
      </x:c>
      <x:c r="H114" s="82" t="str">
        <x:v>需设计可运行用例并运行</x:v>
      </x:c>
      <x:c r="I114" s="82" t="str">
        <x:v>V5.0/01</x:v>
      </x:c>
    </x:row>
    <x:row r="115">
      <x:c r="A115" s="82" t="str">
        <x:v>AREA-M21</x:v>
      </x:c>
      <x:c r="B115" s="82" t="str">
        <x:v>M21</x:v>
      </x:c>
      <x:c r="C115" s="82" t="str">
        <x:v>CxVisual.Mechanism.Orchestration</x:v>
      </x:c>
      <x:c r="D115" s="82" t="str">
        <x:v>子方面能力</x:v>
      </x:c>
      <x:c r="E115" s="82" t="str">
        <x:v>保留原生层次/并行状态语义</x:v>
      </x:c>
      <x:c r="F115" s="82" t="str">
        <x:v>F/M对象公开API、单测、集成链、源码依据四证齐全</x:v>
      </x:c>
      <x:c r="G115" s="82" t="str">
        <x:v>尚未验收</x:v>
      </x:c>
      <x:c r="H115" s="82" t="str">
        <x:v>需设计可运行用例并运行</x:v>
      </x:c>
      <x:c r="I115" s="82" t="str">
        <x:v>V5.0/01</x:v>
      </x:c>
    </x:row>
    <x:row r="116">
      <x:c r="A116" s="82" t="str">
        <x:v>AREA-M22</x:v>
      </x:c>
      <x:c r="B116" s="82" t="str">
        <x:v>M22</x:v>
      </x:c>
      <x:c r="C116" s="82" t="str">
        <x:v>CxVisual.Mechanism.Orchestration</x:v>
      </x:c>
      <x:c r="D116" s="82" t="str">
        <x:v>子方面能力</x:v>
      </x:c>
      <x:c r="E116" s="82" t="str">
        <x:v>不能持久化瞬态SDK句柄</x:v>
      </x:c>
      <x:c r="F116" s="82" t="str">
        <x:v>F/M对象公开API、单测、集成链、源码依据四证齐全</x:v>
      </x:c>
      <x:c r="G116" s="82" t="str">
        <x:v>尚未验收</x:v>
      </x:c>
      <x:c r="H116" s="82" t="str">
        <x:v>需设计可运行用例并运行</x:v>
      </x:c>
      <x:c r="I116" s="82" t="str">
        <x:v>V5.0/01</x:v>
      </x:c>
    </x:row>
    <x:row r="117">
      <x:c r="A117" s="82" t="str">
        <x:v>AREA-M23</x:v>
      </x:c>
      <x:c r="B117" s="82" t="str">
        <x:v>M23</x:v>
      </x:c>
      <x:c r="C117" s="82" t="str">
        <x:v>CxVisual.Mechanism.Orchestration</x:v>
      </x:c>
      <x:c r="D117" s="82" t="str">
        <x:v>子方面能力</x:v>
      </x:c>
      <x:c r="E117" s="82" t="str">
        <x:v>SCADA/IoT不能被简化为Start→End流程</x:v>
      </x:c>
      <x:c r="F117" s="82" t="str">
        <x:v>F/M对象公开API、单测、集成链、源码依据四证齐全</x:v>
      </x:c>
      <x:c r="G117" s="82" t="str">
        <x:v>尚未验收</x:v>
      </x:c>
      <x:c r="H117" s="82" t="str">
        <x:v>需设计可运行用例并运行</x:v>
      </x:c>
      <x:c r="I117" s="82" t="str">
        <x:v>V5.0/01</x:v>
      </x:c>
    </x:row>
    <x:row r="118">
      <x:c r="A118" s="82" t="str">
        <x:v>AREA-M24</x:v>
      </x:c>
      <x:c r="B118" s="82" t="str">
        <x:v>M24</x:v>
      </x:c>
      <x:c r="C118" s="82" t="str">
        <x:v>CxVisual.Mechanism.Orchestration</x:v>
      </x:c>
      <x:c r="D118" s="82" t="str">
        <x:v>子方面能力</x:v>
      </x:c>
      <x:c r="E118" s="82" t="str">
        <x:v>跨ExecutionModel通过显式边界组合</x:v>
      </x:c>
      <x:c r="F118" s="82" t="str">
        <x:v>F/M对象公开API、单测、集成链、源码依据四证齐全</x:v>
      </x:c>
      <x:c r="G118" s="82" t="str">
        <x:v>尚未验收</x:v>
      </x:c>
      <x:c r="H118" s="82" t="str">
        <x:v>需设计可运行用例并运行</x:v>
      </x:c>
      <x:c r="I118" s="82" t="str">
        <x:v>V5.0/01</x:v>
      </x:c>
    </x:row>
    <x:row r="119">
      <x:c r="A119" s="82" t="str">
        <x:v>AREA-M25</x:v>
      </x:c>
      <x:c r="B119" s="82" t="str">
        <x:v>M25</x:v>
      </x:c>
      <x:c r="C119" s="82" t="str">
        <x:v>CxVisual.Mechanism.Orchestration</x:v>
      </x:c>
      <x:c r="D119" s="82" t="str">
        <x:v>子方面能力</x:v>
      </x:c>
      <x:c r="E119" s="82" t="str">
        <x:v>硬实时周期下沉PLC/RTOS/Controller</x:v>
      </x:c>
      <x:c r="F119" s="82" t="str">
        <x:v>F/M对象公开API、单测、集成链、源码依据四证齐全</x:v>
      </x:c>
      <x:c r="G119" s="82" t="str">
        <x:v>尚未验收</x:v>
      </x:c>
      <x:c r="H119" s="82" t="str">
        <x:v>需设计可运行用例并运行</x:v>
      </x:c>
      <x:c r="I119" s="82" t="str">
        <x:v>V5.0/01</x:v>
      </x:c>
    </x:row>
    <x:row r="120">
      <x:c r="A120" s="82" t="str">
        <x:v>AREA-M26</x:v>
      </x:c>
      <x:c r="B120" s="82" t="str">
        <x:v>M26</x:v>
      </x:c>
      <x:c r="C120" s="82" t="str">
        <x:v>CxVisual.Mechanism.Runtime</x:v>
      </x:c>
      <x:c r="D120" s="82" t="str">
        <x:v>子方面能力</x:v>
      </x:c>
      <x:c r="E120" s="82" t="str">
        <x:v>工程Resource与Runtime Lease必须分离</x:v>
      </x:c>
      <x:c r="F120" s="82" t="str">
        <x:v>F/M对象公开API、单测、集成链、源码依据四证齐全</x:v>
      </x:c>
      <x:c r="G120" s="82" t="str">
        <x:v>尚未验收</x:v>
      </x:c>
      <x:c r="H120" s="82" t="str">
        <x:v>需设计可运行用例并运行</x:v>
      </x:c>
      <x:c r="I120" s="82" t="str">
        <x:v>V5.0/01</x:v>
      </x:c>
    </x:row>
    <x:row r="121">
      <x:c r="A121" s="82" t="str">
        <x:v>AREA-M27</x:v>
      </x:c>
      <x:c r="B121" s="82" t="str">
        <x:v>M27</x:v>
      </x:c>
      <x:c r="C121" s="82" t="str">
        <x:v>CxVisual.Mechanism.Runtime</x:v>
      </x:c>
      <x:c r="D121" s="82" t="str">
        <x:v>子方面能力</x:v>
      </x:c>
      <x:c r="E121" s="82" t="str">
        <x:v>异常语义不能只藏在日志或节点属性</x:v>
      </x:c>
      <x:c r="F121" s="82" t="str">
        <x:v>F/M对象公开API、单测、集成链、源码依据四证齐全</x:v>
      </x:c>
      <x:c r="G121" s="82" t="str">
        <x:v>尚未验收</x:v>
      </x:c>
      <x:c r="H121" s="82" t="str">
        <x:v>需设计可运行用例并运行</x:v>
      </x:c>
      <x:c r="I121" s="82" t="str">
        <x:v>V5.0/01</x:v>
      </x:c>
    </x:row>
    <x:row r="122">
      <x:c r="A122" s="82" t="str">
        <x:v>AREA-M28</x:v>
      </x:c>
      <x:c r="B122" s="82" t="str">
        <x:v>M28</x:v>
      </x:c>
      <x:c r="C122" s="82" t="str">
        <x:v>CxVisual.Mechanism.Runtime</x:v>
      </x:c>
      <x:c r="D122" s="82" t="str">
        <x:v>子方面能力</x:v>
      </x:c>
      <x:c r="E122" s="82" t="str">
        <x:v>软件Interlock绝不替代Safety PLC/E-Stop/Safety Relay</x:v>
      </x:c>
      <x:c r="F122" s="82" t="str">
        <x:v>F/M对象公开API、单测、集成链、源码依据四证齐全</x:v>
      </x:c>
      <x:c r="G122" s="82" t="str">
        <x:v>尚未验收</x:v>
      </x:c>
      <x:c r="H122" s="82" t="str">
        <x:v>需设计可运行用例并运行</x:v>
      </x:c>
      <x:c r="I122" s="82" t="str">
        <x:v>V5.0/01</x:v>
      </x:c>
    </x:row>
    <x:row r="123">
      <x:c r="A123" s="82" t="str">
        <x:v>AREA-M29</x:v>
      </x:c>
      <x:c r="B123" s="82" t="str">
        <x:v>M29</x:v>
      </x:c>
      <x:c r="C123" s="82" t="str">
        <x:v>CxVisual.Mechanism.Runtime</x:v>
      </x:c>
      <x:c r="D123" s="82" t="str">
        <x:v>子方面能力</x:v>
      </x:c>
      <x:c r="E123" s="82" t="str">
        <x:v>Runtime不得直接执行Definition Node</x:v>
      </x:c>
      <x:c r="F123" s="82" t="str">
        <x:v>F/M对象公开API、单测、集成链、源码依据四证齐全</x:v>
      </x:c>
      <x:c r="G123" s="82" t="str">
        <x:v>尚未验收</x:v>
      </x:c>
      <x:c r="H123" s="82" t="str">
        <x:v>需设计可运行用例并运行</x:v>
      </x:c>
      <x:c r="I123" s="82" t="str">
        <x:v>V5.0/01</x:v>
      </x:c>
    </x:row>
    <x:row r="124">
      <x:c r="A124" s="82" t="str">
        <x:v>AREA-M30</x:v>
      </x:c>
      <x:c r="B124" s="82" t="str">
        <x:v>M30</x:v>
      </x:c>
      <x:c r="C124" s="82" t="str">
        <x:v>CxVisual.Mechanism.Runtime</x:v>
      </x:c>
      <x:c r="D124" s="82" t="str">
        <x:v>子方面能力</x:v>
      </x:c>
      <x:c r="E124" s="82" t="str">
        <x:v>Kernel不应成为万能GraphExecutor</x:v>
      </x:c>
      <x:c r="F124" s="82" t="str">
        <x:v>F/M对象公开API、单测、集成链、源码依据四证齐全</x:v>
      </x:c>
      <x:c r="G124" s="82" t="str">
        <x:v>尚未验收</x:v>
      </x:c>
      <x:c r="H124" s="82" t="str">
        <x:v>需设计可运行用例并运行</x:v>
      </x:c>
      <x:c r="I124" s="82" t="str">
        <x:v>V5.0/01</x:v>
      </x:c>
    </x:row>
    <x:row r="125">
      <x:c r="A125" s="82" t="str">
        <x:v>AREA-M31</x:v>
      </x:c>
      <x:c r="B125" s="82" t="str">
        <x:v>M31</x:v>
      </x:c>
      <x:c r="C125" s="82" t="str">
        <x:v>CxVisual.Mechanism.Runtime</x:v>
      </x:c>
      <x:c r="D125" s="82" t="str">
        <x:v>子方面能力</x:v>
      </x:c>
      <x:c r="E125" s="82" t="str">
        <x:v>Definition与Runtime状态永久分离</x:v>
      </x:c>
      <x:c r="F125" s="82" t="str">
        <x:v>F/M对象公开API、单测、集成链、源码依据四证齐全</x:v>
      </x:c>
      <x:c r="G125" s="82" t="str">
        <x:v>尚未验收</x:v>
      </x:c>
      <x:c r="H125" s="82" t="str">
        <x:v>需设计可运行用例并运行</x:v>
      </x:c>
      <x:c r="I125" s="82" t="str">
        <x:v>V5.0/01</x:v>
      </x:c>
    </x:row>
    <x:row r="126">
      <x:c r="A126" s="82" t="str">
        <x:v>AREA-M32</x:v>
      </x:c>
      <x:c r="B126" s="82" t="str">
        <x:v>M32</x:v>
      </x:c>
      <x:c r="C126" s="82" t="str">
        <x:v>CxVisual.Mechanism.Runtime</x:v>
      </x:c>
      <x:c r="D126" s="82" t="str">
        <x:v>子方面能力</x:v>
      </x:c>
      <x:c r="E126" s="82" t="str">
        <x:v>运行态不是简单节点红绿高亮</x:v>
      </x:c>
      <x:c r="F126" s="82" t="str">
        <x:v>F/M对象公开API、单测、集成链、源码依据四证齐全</x:v>
      </x:c>
      <x:c r="G126" s="82" t="str">
        <x:v>尚未验收</x:v>
      </x:c>
      <x:c r="H126" s="82" t="str">
        <x:v>需设计可运行用例并运行</x:v>
      </x:c>
      <x:c r="I126" s="82" t="str">
        <x:v>V5.0/01</x:v>
      </x:c>
    </x:row>
    <x:row r="127">
      <x:c r="A127" s="82" t="str">
        <x:v>AREA-M33</x:v>
      </x:c>
      <x:c r="B127" s="82" t="str">
        <x:v>M33</x:v>
      </x:c>
      <x:c r="C127" s="82" t="str">
        <x:v>CxVisual.Mechanism.Runtime</x:v>
      </x:c>
      <x:c r="D127" s="82" t="str">
        <x:v>子方面能力</x:v>
      </x:c>
      <x:c r="E127" s="82" t="str">
        <x:v>域决定是否允许Pause/Step/Inject</x:v>
      </x:c>
      <x:c r="F127" s="82" t="str">
        <x:v>F/M对象公开API、单测、集成链、源码依据四证齐全</x:v>
      </x:c>
      <x:c r="G127" s="82" t="str">
        <x:v>尚未验收</x:v>
      </x:c>
      <x:c r="H127" s="82" t="str">
        <x:v>需设计可运行用例并运行</x:v>
      </x:c>
      <x:c r="I127" s="82" t="str">
        <x:v>V5.0/01</x:v>
      </x:c>
    </x:row>
    <x:row r="128">
      <x:c r="A128" s="82" t="str">
        <x:v>AREA-M34</x:v>
      </x:c>
      <x:c r="B128" s="82" t="str">
        <x:v>M34</x:v>
      </x:c>
      <x:c r="C128" s="82" t="str">
        <x:v>CxVisual.Mechanism.Runtime</x:v>
      </x:c>
      <x:c r="D128" s="82" t="str">
        <x:v>子方面能力</x:v>
      </x:c>
      <x:c r="E128" s="82" t="str">
        <x:v>不得复制第二套Real工程</x:v>
      </x:c>
      <x:c r="F128" s="82" t="str">
        <x:v>F/M对象公开API、单测、集成链、源码依据四证齐全；虚拟/真实设备隔离</x:v>
      </x:c>
      <x:c r="G128" s="82" t="str">
        <x:v>尚未验收</x:v>
      </x:c>
      <x:c r="H128" s="82" t="str">
        <x:v>需设计可运行用例并运行</x:v>
      </x:c>
      <x:c r="I128" s="82" t="str">
        <x:v>V5.0/01</x:v>
      </x:c>
    </x:row>
    <x:row r="129">
      <x:c r="A129" s="82" t="str">
        <x:v>AREA-M35</x:v>
      </x:c>
      <x:c r="B129" s="82" t="str">
        <x:v>M35</x:v>
      </x:c>
      <x:c r="C129" s="82" t="str">
        <x:v>CxVisual.Mechanism.Data</x:v>
      </x:c>
      <x:c r="D129" s="82" t="str">
        <x:v>子方面能力</x:v>
      </x:c>
      <x:c r="E129" s="82" t="str">
        <x:v>History不替代实时Variable/DataHandle</x:v>
      </x:c>
      <x:c r="F129" s="82" t="str">
        <x:v>F/M对象公开API、单测、集成链、源码依据四证齐全</x:v>
      </x:c>
      <x:c r="G129" s="82" t="str">
        <x:v>尚未验收</x:v>
      </x:c>
      <x:c r="H129" s="82" t="str">
        <x:v>需设计可运行用例并运行</x:v>
      </x:c>
      <x:c r="I129" s="82" t="str">
        <x:v>V5.0/01</x:v>
      </x:c>
    </x:row>
    <x:row r="130">
      <x:c r="A130" s="82" t="str">
        <x:v>AREA-M36</x:v>
      </x:c>
      <x:c r="B130" s="82" t="str">
        <x:v>M36</x:v>
      </x:c>
      <x:c r="C130" s="82" t="str">
        <x:v>CxVisual.Mechanism.Data</x:v>
      </x:c>
      <x:c r="D130" s="82" t="str">
        <x:v>子方面能力</x:v>
      </x:c>
      <x:c r="E130" s="82" t="str">
        <x:v>不替代Runtime Event Port与控制命令语义</x:v>
      </x:c>
      <x:c r="F130" s="82" t="str">
        <x:v>F/M对象公开API、单测、集成链、源码依据四证齐全</x:v>
      </x:c>
      <x:c r="G130" s="82" t="str">
        <x:v>尚未验收</x:v>
      </x:c>
      <x:c r="H130" s="82" t="str">
        <x:v>需设计可运行用例并运行</x:v>
      </x:c>
      <x:c r="I130" s="82" t="str">
        <x:v>V5.0/01</x:v>
      </x:c>
    </x:row>
    <x:row r="131">
      <x:c r="A131" s="82" t="str">
        <x:v>AREA-M37</x:v>
      </x:c>
      <x:c r="B131" s="82" t="str">
        <x:v>M37</x:v>
      </x:c>
      <x:c r="C131" s="82" t="str">
        <x:v>CxVisual.Mechanism.Visual</x:v>
      </x:c>
      <x:c r="D131" s="82" t="str">
        <x:v>子方面能力</x:v>
      </x:c>
      <x:c r="E131" s="82" t="str">
        <x:v>Workbench共享Shell，不做6/10套互不相关UI</x:v>
      </x:c>
      <x:c r="F131" s="82" t="str">
        <x:v>F/M对象公开API、单测、集成链、源码依据四证齐全；无UI运行+Undo语义验证</x:v>
      </x:c>
      <x:c r="G131" s="82" t="str">
        <x:v>尚未验收</x:v>
      </x:c>
      <x:c r="H131" s="82" t="str">
        <x:v>需设计可运行用例并运行</x:v>
      </x:c>
      <x:c r="I131" s="82" t="str">
        <x:v>V5.0/01</x:v>
      </x:c>
    </x:row>
    <x:row r="132">
      <x:c r="A132" s="82" t="str">
        <x:v>AREA-M38</x:v>
      </x:c>
      <x:c r="B132" s="82" t="str">
        <x:v>M38</x:v>
      </x:c>
      <x:c r="C132" s="82" t="str">
        <x:v>CxVisual.Mechanism.Core</x:v>
      </x:c>
      <x:c r="D132" s="82" t="str">
        <x:v>子方面能力</x:v>
      </x:c>
      <x:c r="E132" s="82" t="str">
        <x:v>专业格式由插件扩展</x:v>
      </x:c>
      <x:c r="F132" s="82" t="str">
        <x:v>F/M对象公开API、单测、集成链、源码依据四证齐全；模板ID映射与引用恢复</x:v>
      </x:c>
      <x:c r="G132" s="82" t="str">
        <x:v>尚未验收</x:v>
      </x:c>
      <x:c r="H132" s="82" t="str">
        <x:v>需设计可运行用例并运行</x:v>
      </x:c>
      <x:c r="I132" s="82" t="str">
        <x:v>V5.0/01</x:v>
      </x:c>
    </x:row>
    <x:row r="133">
      <x:c r="A133" s="82" t="str">
        <x:v>AREA-M39</x:v>
      </x:c>
      <x:c r="B133" s="82" t="str">
        <x:v>M39</x:v>
      </x:c>
      <x:c r="C133" s="82" t="str">
        <x:v>CxVisual.Mechanism.Lifecycle</x:v>
      </x:c>
      <x:c r="D133" s="82" t="str">
        <x:v>子方面能力</x:v>
      </x:c>
      <x:c r="E133" s="82" t="str">
        <x:v>禁止运行中无审计隐式漂移</x:v>
      </x:c>
      <x:c r="F133" s="82" t="str">
        <x:v>F/M对象公开API、单测、集成链、源码依据四证齐全</x:v>
      </x:c>
      <x:c r="G133" s="82" t="str">
        <x:v>尚未验收</x:v>
      </x:c>
      <x:c r="H133" s="82" t="str">
        <x:v>需设计可运行用例并运行</x:v>
      </x:c>
      <x:c r="I133" s="82" t="str">
        <x:v>V5.0/01</x:v>
      </x:c>
    </x:row>
    <x:row r="134">
      <x:c r="A134" s="82" t="str">
        <x:v>AREA-M40</x:v>
      </x:c>
      <x:c r="B134" s="82" t="str">
        <x:v>M40</x:v>
      </x:c>
      <x:c r="C134" s="82" t="str">
        <x:v>CxVisual.Mechanism.Lifecycle</x:v>
      </x:c>
      <x:c r="D134" s="82" t="str">
        <x:v>子方面能力</x:v>
      </x:c>
      <x:c r="E134" s="82" t="str">
        <x:v>Mechanism固定扩展点与版本门禁；专业Workbench提供具体领域实现</x:v>
      </x:c>
      <x:c r="F134" s="82" t="str">
        <x:v>F/M对象公开API、单测、集成链、源码依据四证齐全</x:v>
      </x:c>
      <x:c r="G134" s="82" t="str">
        <x:v>尚未验收</x:v>
      </x:c>
      <x:c r="H134" s="82" t="str">
        <x:v>需设计可运行用例并运行</x:v>
      </x:c>
      <x:c r="I134" s="82" t="str">
        <x:v>V5.0/01</x:v>
      </x:c>
    </x:row>
    <x:row r="135">
      <x:c r="A135" s="82" t="str">
        <x:v>API-M01-CxNode</x:v>
      </x:c>
      <x:c r="B135" s="82" t="str">
        <x:v>M01</x:v>
      </x:c>
      <x:c r="C135" s="82" t="str">
        <x:v>CxVisual.Mechanism.Core</x:v>
      </x:c>
      <x:c r="D135" s="82" t="str">
        <x:v>公开属性</x:v>
      </x:c>
      <x:c r="E135" s="82" t="str">
        <x:v>public string Id { get; }</x:v>
      </x:c>
      <x:c r="F135" s="82" t="str">
        <x:v>重复ID、移动、序列化往返</x:v>
      </x:c>
      <x:c r="G135" s="82" t="str">
        <x:v>签名草案未编译</x:v>
      </x:c>
      <x:c r="H135" s="82" t="str">
        <x:v>稳定Id；不允许任意写入或把Runtime状态持久化</x:v>
      </x:c>
      <x:c r="I135" s="82" t="str">
        <x:v>本轮提议</x:v>
      </x:c>
    </x:row>
    <x:row r="136">
      <x:c r="A136" s="82" t="str">
        <x:v>API-M01-CxNode</x:v>
      </x:c>
      <x:c r="B136" s="82" t="str">
        <x:v>M01</x:v>
      </x:c>
      <x:c r="C136" s="82" t="str">
        <x:v>CxVisual.Mechanism.Core</x:v>
      </x:c>
      <x:c r="D136" s="82" t="str">
        <x:v>公开属性</x:v>
      </x:c>
      <x:c r="E136" s="82" t="str">
        <x:v>public string Name { get; set; }</x:v>
      </x:c>
      <x:c r="F136" s="82" t="str">
        <x:v>命名冲突、属性编辑与Undo</x:v>
      </x:c>
      <x:c r="G136" s="82" t="str">
        <x:v>签名草案未编译</x:v>
      </x:c>
      <x:c r="H136" s="82" t="str">
        <x:v>应通过受控更改接口保证校验与变更通知</x:v>
      </x:c>
      <x:c r="I136" s="82" t="str">
        <x:v>本轮提议</x:v>
      </x:c>
    </x:row>
    <x:row r="137">
      <x:c r="A137" s="82" t="str">
        <x:v>API-M01-CxNode</x:v>
      </x:c>
      <x:c r="B137" s="82" t="str">
        <x:v>M01</x:v>
      </x:c>
      <x:c r="C137" s="82" t="str">
        <x:v>CxVisual.Mechanism.Core</x:v>
      </x:c>
      <x:c r="D137" s="82" t="str">
        <x:v>公开属性</x:v>
      </x:c>
      <x:c r="E137" s="82" t="str">
        <x:v>public CxNode Parent { get; }</x:v>
      </x:c>
      <x:c r="F137" s="82" t="str">
        <x:v>跨Project Reparent被拒绝</x:v>
      </x:c>
      <x:c r="G137" s="82" t="str">
        <x:v>签名草案未编译</x:v>
      </x:c>
      <x:c r="H137" s="82" t="str">
        <x:v>只读；防止绕过OwnershipService更改父子关系</x:v>
      </x:c>
      <x:c r="I137" s="82" t="str">
        <x:v>本轮提议</x:v>
      </x:c>
    </x:row>
    <x:row r="138">
      <x:c r="A138" s="82" t="str">
        <x:v>API-M01-OwnershipSer</x:v>
      </x:c>
      <x:c r="B138" s="82" t="str">
        <x:v>M01</x:v>
      </x:c>
      <x:c r="C138" s="82" t="str">
        <x:v>CxVisual.Mechanism.Core</x:v>
      </x:c>
      <x:c r="D138" s="82" t="str">
        <x:v>公开方法</x:v>
      </x:c>
      <x:c r="E138" s="82" t="str">
        <x:v>public MutationResult AddChild(CxNode parent, CxNode child, MutationContext context)</x:v>
      </x:c>
      <x:c r="F138" s="82" t="str">
        <x:v>重复挂载、环形挂载、失败无脏状态</x:v>
      </x:c>
      <x:c r="G138" s="82" t="str">
        <x:v>签名草案未编译</x:v>
      </x:c>
      <x:c r="H138" s="82" t="str">
        <x:v>原子改变Owner/Parent/Index；拒绝形成环或重复Owner</x:v>
      </x:c>
      <x:c r="I138" s="82" t="str">
        <x:v>本轮提议</x:v>
      </x:c>
    </x:row>
    <x:row r="139">
      <x:c r="A139" s="82" t="str">
        <x:v>API-M01-OwnershipSer</x:v>
      </x:c>
      <x:c r="B139" s="82" t="str">
        <x:v>M01</x:v>
      </x:c>
      <x:c r="C139" s="82" t="str">
        <x:v>CxVisual.Mechanism.Core</x:v>
      </x:c>
      <x:c r="D139" s="82" t="str">
        <x:v>公开方法</x:v>
      </x:c>
      <x:c r="E139" s="82" t="str">
        <x:v>public MutationResult MoveChild(CxNode child, CxNode targetParent, int targetIndex, MutationContext context)</x:v>
      </x:c>
      <x:c r="F139" s="82" t="str">
        <x:v>跨分组移动失败自动回滚</x:v>
      </x:c>
      <x:c r="G139" s="82" t="str">
        <x:v>签名草案未编译</x:v>
      </x:c>
      <x:c r="H139" s="82" t="str">
        <x:v>确保原Owner解绑、目标挂载在同一事务完成</x:v>
      </x:c>
      <x:c r="I139" s="82" t="str">
        <x:v>本轮提议</x:v>
      </x:c>
    </x:row>
    <x:row r="140">
      <x:c r="A140" s="82" t="str">
        <x:v>API-M02-ContentDefin</x:v>
      </x:c>
      <x:c r="B140" s="82" t="str">
        <x:v>M02</x:v>
      </x:c>
      <x:c r="C140" s="82" t="str">
        <x:v>CxVisual.Mechanism.Core</x:v>
      </x:c>
      <x:c r="D140" s="82" t="str">
        <x:v>公开属性</x:v>
      </x:c>
      <x:c r="E140" s="82" t="str">
        <x:v>public IReadOnlyList&lt;ContentReference&gt; ContentReferences { get; }</x:v>
      </x:c>
      <x:c r="F140" s="82" t="str">
        <x:v>循环Content引用与解析诊断</x:v>
      </x:c>
      <x:c r="G140" s="82" t="str">
        <x:v>签名草案未编译</x:v>
      </x:c>
      <x:c r="H140" s="82" t="str">
        <x:v>引用不能伪装Owner；读写经模型操作接口</x:v>
      </x:c>
      <x:c r="I140" s="82" t="str">
        <x:v>本轮提议</x:v>
      </x:c>
    </x:row>
    <x:row r="141">
      <x:c r="A141" s="82" t="str">
        <x:v>API-M02-SymbolDefini</x:v>
      </x:c>
      <x:c r="B141" s="82" t="str">
        <x:v>M02</x:v>
      </x:c>
      <x:c r="C141" s="82" t="str">
        <x:v>CxVisual.Mechanism.Core</x:v>
      </x:c>
      <x:c r="D141" s="82" t="str">
        <x:v>公开属性</x:v>
      </x:c>
      <x:c r="E141" s="82" t="str">
        <x:v>public GroupElementModel RootGroup { get; }</x:v>
      </x:c>
      <x:c r="F141" s="82" t="str">
        <x:v>十个实例共享Definition</x:v>
      </x:c>
      <x:c r="G141" s="82" t="str">
        <x:v>签名草案未编译</x:v>
      </x:c>
      <x:c r="H141" s="82" t="str">
        <x:v>单一RootGroup；Definition与Instance变换不混淆</x:v>
      </x:c>
      <x:c r="I141" s="82" t="str">
        <x:v>本轮提议</x:v>
      </x:c>
    </x:row>
    <x:row r="142">
      <x:c r="A142" s="82" t="str">
        <x:v>API-M03-IReferenceRe</x:v>
      </x:c>
      <x:c r="B142" s="82" t="str">
        <x:v>M03</x:v>
      </x:c>
      <x:c r="C142" s="82" t="str">
        <x:v>CxVisual.Mechanism.Core</x:v>
      </x:c>
      <x:c r="D142" s="82" t="str">
        <x:v>公开方法</x:v>
      </x:c>
      <x:c r="E142" s="82" t="str">
        <x:v>ResolutionResult&lt;T&gt; Resolve&lt;T&gt;(ReferenceId id, ResolutionContext context) where T : CxNode</x:v>
      </x:c>
      <x:c r="F142" s="82" t="str">
        <x:v>缺失引用、循环引用、跨版本引用</x:v>
      </x:c>
      <x:c r="G142" s="82" t="str">
        <x:v>签名草案未编译</x:v>
      </x:c>
      <x:c r="H142" s="82" t="str">
        <x:v>缺失、循环、版本不兼容必须可诊断</x:v>
      </x:c>
      <x:c r="I142" s="82" t="str">
        <x:v>本轮提议</x:v>
      </x:c>
    </x:row>
    <x:row r="143">
      <x:c r="A143" s="82" t="str">
        <x:v>API-M04-IPropertySch</x:v>
      </x:c>
      <x:c r="B143" s="82" t="str">
        <x:v>M04</x:v>
      </x:c>
      <x:c r="C143" s="82" t="str">
        <x:v>CxVisual.Mechanism.Core</x:v>
      </x:c>
      <x:c r="D143" s="82" t="str">
        <x:v>公开方法</x:v>
      </x:c>
      <x:c r="E143" s="82" t="str">
        <x:v>PropertySchema GetSchema(TypeToken type)</x:v>
      </x:c>
      <x:c r="F143" s="82" t="str">
        <x:v>枚举/单位/只读属性一致</x:v>
      </x:c>
      <x:c r="G143" s="82" t="str">
        <x:v>签名草案未编译</x:v>
      </x:c>
      <x:c r="H143" s="82" t="str">
        <x:v>类型与属性元数据唯一来源；不依赖WPF PropertyGrid</x:v>
      </x:c>
      <x:c r="I143" s="82" t="str">
        <x:v>本轮提议</x:v>
      </x:c>
    </x:row>
    <x:row r="144">
      <x:c r="A144" s="82" t="str">
        <x:v>API-M05-IPortCompati</x:v>
      </x:c>
      <x:c r="B144" s="82" t="str">
        <x:v>M05</x:v>
      </x:c>
      <x:c r="C144" s="82" t="str">
        <x:v>CxVisual.Mechanism.Core</x:v>
      </x:c>
      <x:c r="D144" s="82" t="str">
        <x:v>公开方法</x:v>
      </x:c>
      <x:c r="E144" s="82" t="str">
        <x:v>CompatibilityResult Check(PortDescriptor source, PortDescriptor target, ConnectionContext context)</x:v>
      </x:c>
      <x:c r="F144" s="82" t="str">
        <x:v>不兼容量纲、方向、类型拒绝</x:v>
      </x:c>
      <x:c r="G144" s="82" t="str">
        <x:v>签名草案未编译</x:v>
      </x:c>
      <x:c r="H144" s="82" t="str">
        <x:v>区分控制流和数据流；不只比较名称</x:v>
      </x:c>
      <x:c r="I144" s="82" t="str">
        <x:v>本轮提议</x:v>
      </x:c>
    </x:row>
    <x:row r="145">
      <x:c r="A145" s="82" t="str">
        <x:v>API-M06-IContractDim</x:v>
      </x:c>
      <x:c r="B145" s="82" t="str">
        <x:v>M06</x:v>
      </x:c>
      <x:c r="C145" s="82" t="str">
        <x:v>CxVisual.Mechanism.Core</x:v>
      </x:c>
      <x:c r="D145" s="82" t="str">
        <x:v>公开方法</x:v>
      </x:c>
      <x:c r="E145" s="82" t="str">
        <x:v>ValidationResult Validate(SpatialTemporalContract source, SpatialTemporalContract target)</x:v>
      </x:c>
      <x:c r="F145" s="82" t="str">
        <x:v>毫秒/秒、毫米/像素不匹配</x:v>
      </x:c>
      <x:c r="G145" s="82" t="str">
        <x:v>签名草案未编译</x:v>
      </x:c>
      <x:c r="H145" s="82" t="str">
        <x:v>时间、空间、单位兼容不可隐式放行</x:v>
      </x:c>
      <x:c r="I145" s="82" t="str">
        <x:v>本轮提议</x:v>
      </x:c>
    </x:row>
    <x:row r="146">
      <x:c r="A146" s="82" t="str">
        <x:v>API-M07-IDataMutatio</x:v>
      </x:c>
      <x:c r="B146" s="82" t="str">
        <x:v>M07</x:v>
      </x:c>
      <x:c r="C146" s="82" t="str">
        <x:v>CxVisual.Mechanism.Core</x:v>
      </x:c>
      <x:c r="D146" s="82" t="str">
        <x:v>公开方法</x:v>
      </x:c>
      <x:c r="E146" s="82" t="str">
        <x:v>MutationResult Apply(ChangeSet changes)</x:v>
      </x:c>
      <x:c r="F146" s="82" t="str">
        <x:v>失败原子回滚、验证后提交</x:v>
      </x:c>
      <x:c r="G146" s="82" t="str">
        <x:v>签名草案未编译</x:v>
      </x:c>
      <x:c r="H146" s="82" t="str">
        <x:v>只处理数据事务；不理解拖动、选择、Handle</x:v>
      </x:c>
      <x:c r="I146" s="82" t="str">
        <x:v>本轮提议</x:v>
      </x:c>
    </x:row>
    <x:row r="147">
      <x:c r="A147" s="82" t="str">
        <x:v>API-M07-IDataMutatio</x:v>
      </x:c>
      <x:c r="B147" s="82" t="str">
        <x:v>M07</x:v>
      </x:c>
      <x:c r="C147" s="82" t="str">
        <x:v>CxVisual.Mechanism.Core</x:v>
      </x:c>
      <x:c r="D147" s="82" t="str">
        <x:v>公开方法</x:v>
      </x:c>
      <x:c r="E147" s="82" t="str">
        <x:v>CommitResult Commit()</x:v>
      </x:c>
      <x:c r="F147" s="82" t="str">
        <x:v>一批变更只发一次提交事件</x:v>
      </x:c>
      <x:c r="G147" s="82" t="str">
        <x:v>签名草案未编译</x:v>
      </x:c>
      <x:c r="H147" s="82" t="str">
        <x:v>多对象校验成功后才提交；提交一次发出一致变更事件</x:v>
      </x:c>
      <x:c r="I147" s="82" t="str">
        <x:v>本轮提议</x:v>
      </x:c>
    </x:row>
    <x:row r="148">
      <x:c r="A148" s="82" t="str">
        <x:v>API-M07-IDataMutatio</x:v>
      </x:c>
      <x:c r="B148" s="82" t="str">
        <x:v>M07</x:v>
      </x:c>
      <x:c r="C148" s="82" t="str">
        <x:v>CxVisual.Mechanism.Core</x:v>
      </x:c>
      <x:c r="D148" s="82" t="str">
        <x:v>公开方法</x:v>
      </x:c>
      <x:c r="E148" s="82" t="str">
        <x:v>void Rollback()</x:v>
      </x:c>
      <x:c r="F148" s="82" t="str">
        <x:v>中途异常与取消回滚</x:v>
      </x:c>
      <x:c r="G148" s="82" t="str">
        <x:v>签名草案未编译</x:v>
      </x:c>
      <x:c r="H148" s="82" t="str">
        <x:v>幂等回滚；保证无部分提交</x:v>
      </x:c>
      <x:c r="I148" s="82" t="str">
        <x:v>本轮提议</x:v>
      </x:c>
    </x:row>
    <x:row r="149">
      <x:c r="A149" s="82" t="str">
        <x:v>API-M07-IChangeJourn</x:v>
      </x:c>
      <x:c r="B149" s="82" t="str">
        <x:v>M07</x:v>
      </x:c>
      <x:c r="C149" s="82" t="str">
        <x:v>CxVisual.Mechanism.Core</x:v>
      </x:c>
      <x:c r="D149" s="82" t="str">
        <x:v>公开方法</x:v>
      </x:c>
      <x:c r="E149" s="82" t="str">
        <x:v>IReadOnlyList&lt;ChangeRecord&gt; Snapshot(string transactionId)</x:v>
      </x:c>
      <x:c r="F149" s="82" t="str">
        <x:v>属性修改+对象移动合并取证</x:v>
      </x:c>
      <x:c r="G149" s="82" t="str">
        <x:v>签名草案未编译</x:v>
      </x:c>
      <x:c r="H149" s="82" t="str">
        <x:v>只记录可逆数据差异；不拥有UI编辑命令历史</x:v>
      </x:c>
      <x:c r="I149" s="82" t="str">
        <x:v>本轮提议</x:v>
      </x:c>
    </x:row>
    <x:row r="150">
      <x:c r="A150" s="82" t="str">
        <x:v>API-M08-IProjectVali</x:v>
      </x:c>
      <x:c r="B150" s="82" t="str">
        <x:v>M08</x:v>
      </x:c>
      <x:c r="C150" s="82" t="str">
        <x:v>CxVisual.Mechanism.Core</x:v>
      </x:c>
      <x:c r="D150" s="82" t="str">
        <x:v>公开方法</x:v>
      </x:c>
      <x:c r="E150" s="82" t="str">
        <x:v>ValidationReport Validate(ProjectModel project, ValidationOptions options)</x:v>
      </x:c>
      <x:c r="F150" s="82" t="str">
        <x:v>多个错误同时定位对象</x:v>
      </x:c>
      <x:c r="G150" s="82" t="str">
        <x:v>签名草案未编译</x:v>
      </x:c>
      <x:c r="H150" s="82" t="str">
        <x:v>收集多错误及证据；不遇第一项错误就丢后续诊断</x:v>
      </x:c>
      <x:c r="I150" s="82" t="str">
        <x:v>本轮提议</x:v>
      </x:c>
    </x:row>
    <x:row r="151">
      <x:c r="A151" s="82" t="str">
        <x:v>API-M38-ITemplateCat</x:v>
      </x:c>
      <x:c r="B151" s="82" t="str">
        <x:v>M38</x:v>
      </x:c>
      <x:c r="C151" s="82" t="str">
        <x:v>CxVisual.Mechanism.Core</x:v>
      </x:c>
      <x:c r="D151" s="82" t="str">
        <x:v>公开方法</x:v>
      </x:c>
      <x:c r="E151" s="82" t="str">
        <x:v>IReadOnlyList&lt;TemplateDescriptor&gt; Find(TemplateQuery query)</x:v>
      </x:c>
      <x:c r="F151" s="82" t="str">
        <x:v>图元/流程模板共用Catalog</x:v>
      </x:c>
      <x:c r="G151" s="82" t="str">
        <x:v>签名草案未编译</x:v>
      </x:c>
      <x:c r="H151" s="82" t="str">
        <x:v>通用模板元数据与查询；不能反向依赖Visual</x:v>
      </x:c>
      <x:c r="I151" s="82" t="str">
        <x:v>本轮提议</x:v>
      </x:c>
    </x:row>
    <x:row r="152">
      <x:c r="A152" s="82" t="str">
        <x:v>API-M38-ITemplateIns</x:v>
      </x:c>
      <x:c r="B152" s="82" t="str">
        <x:v>M38</x:v>
      </x:c>
      <x:c r="C152" s="82" t="str">
        <x:v>CxVisual.Mechanism.Core</x:v>
      </x:c>
      <x:c r="D152" s="82" t="str">
        <x:v>公开方法</x:v>
      </x:c>
      <x:c r="E152" s="82" t="str">
        <x:v>InstantiationResult Instantiate(TemplateDescriptor template, InstantiationOptions options, MutationContext context)</x:v>
      </x:c>
      <x:c r="F152" s="82" t="str">
        <x:v>模板实例与原模板互不覆盖</x:v>
      </x:c>
      <x:c r="G152" s="82" t="str">
        <x:v>签名草案未编译</x:v>
      </x:c>
      <x:c r="H152" s="82" t="str">
        <x:v>实例化必须重映射ID、引用与Scope；调用各专业适配</x:v>
      </x:c>
      <x:c r="I152" s="82" t="str">
        <x:v>本轮提议</x:v>
      </x:c>
    </x:row>
    <x:row r="153">
      <x:c r="A153" s="82" t="str">
        <x:v>API-M38-IResourceImp</x:v>
      </x:c>
      <x:c r="B153" s="82" t="str">
        <x:v>M38</x:v>
      </x:c>
      <x:c r="C153" s="82" t="str">
        <x:v>CxVisual.Mechanism.Core</x:v>
      </x:c>
      <x:c r="D153" s="82" t="str">
        <x:v>公开方法</x:v>
      </x:c>
      <x:c r="E153" s="82" t="str">
        <x:v>ImportResult Import(Stream input, ImportOptions options, MutationContext context)</x:v>
      </x:c>
      <x:c r="F153" s="82" t="str">
        <x:v>缺失引用、冲突、非法版本安全拒绝</x:v>
      </x:c>
      <x:c r="G153" s="82" t="str">
        <x:v>签名草案未编译</x:v>
      </x:c>
      <x:c r="H153" s="82" t="str">
        <x:v>通用入口；具体SVG等格式插件实现放调用侧</x:v>
      </x:c>
      <x:c r="I153" s="82" t="str">
        <x:v>本轮提议</x:v>
      </x:c>
    </x:row>
    <x:row r="154">
      <x:c r="A154" s="82" t="str">
        <x:v>API-M16-IVisualProje</x:v>
      </x:c>
      <x:c r="B154" s="82" t="str">
        <x:v>M16</x:v>
      </x:c>
      <x:c r="C154" s="82" t="str">
        <x:v>CxVisual.Mechanism.Visual</x:v>
      </x:c>
      <x:c r="D154" s="82" t="str">
        <x:v>公开方法</x:v>
      </x:c>
      <x:c r="E154" s="82" t="str">
        <x:v>VisualFrame BuildFrame(ContentDefinition content, VisualSession session)</x:v>
      </x:c>
      <x:c r="F154" s="82" t="str">
        <x:v>无UI环境生成帧</x:v>
      </x:c>
      <x:c r="G154" s="82" t="str">
        <x:v>签名草案未编译</x:v>
      </x:c>
      <x:c r="H154" s="82" t="str">
        <x:v>只生成UI无关绘制描述；无WPF类型、无第二工程树</x:v>
      </x:c>
      <x:c r="I154" s="82" t="str">
        <x:v>本轮提议</x:v>
      </x:c>
    </x:row>
    <x:row r="155">
      <x:c r="A155" s="82" t="str">
        <x:v>API-M16-VisualSessio</x:v>
      </x:c>
      <x:c r="B155" s="82" t="str">
        <x:v>M16</x:v>
      </x:c>
      <x:c r="C155" s="82" t="str">
        <x:v>CxVisual.Mechanism.Visual</x:v>
      </x:c>
      <x:c r="D155" s="82" t="str">
        <x:v>公开属性</x:v>
      </x:c>
      <x:c r="E155" s="82" t="str">
        <x:v>public ViewportState Viewport { get; }</x:v>
      </x:c>
      <x:c r="F155" s="82" t="str">
        <x:v>双窗口Zoom分别200%与75%</x:v>
      </x:c>
      <x:c r="G155" s="82" t="str">
        <x:v>签名草案未编译</x:v>
      </x:c>
      <x:c r="H155" s="82" t="str">
        <x:v>每视图会话独立；默认不入工程持久化</x:v>
      </x:c>
      <x:c r="I155" s="82" t="str">
        <x:v>本轮提议</x:v>
      </x:c>
    </x:row>
    <x:row r="156">
      <x:c r="A156" s="82" t="str">
        <x:v>API-M16-VisualSessio</x:v>
      </x:c>
      <x:c r="B156" s="82" t="str">
        <x:v>M16</x:v>
      </x:c>
      <x:c r="C156" s="82" t="str">
        <x:v>CxVisual.Mechanism.Visual</x:v>
      </x:c>
      <x:c r="D156" s="82" t="str">
        <x:v>公开属性</x:v>
      </x:c>
      <x:c r="E156" s="82" t="str">
        <x:v>public SelectionState Selection { get; }</x:v>
      </x:c>
      <x:c r="F156" s="82" t="str">
        <x:v>双画布不同选择</x:v>
      </x:c>
      <x:c r="G156" s="82" t="str">
        <x:v>签名草案未编译</x:v>
      </x:c>
      <x:c r="H156" s="82" t="str">
        <x:v>选择为临时会话态；同对象不同视图可有不同Selection</x:v>
      </x:c>
      <x:c r="I156" s="82" t="str">
        <x:v>本轮提议</x:v>
      </x:c>
    </x:row>
    <x:row r="157">
      <x:c r="A157" s="82" t="str">
        <x:v>API-M16-IVisualHitTe</x:v>
      </x:c>
      <x:c r="B157" s="82" t="str">
        <x:v>M16</x:v>
      </x:c>
      <x:c r="C157" s="82" t="str">
        <x:v>CxVisual.Mechanism.Visual</x:v>
      </x:c>
      <x:c r="D157" s="82" t="str">
        <x:v>公开方法</x:v>
      </x:c>
      <x:c r="E157" s="82" t="str">
        <x:v>HitTestResult HitTest(VisualFrame frame, Point2 position, HitTestOptions options)</x:v>
      </x:c>
      <x:c r="F157" s="82" t="str">
        <x:v>嵌套Group与逆变换命中</x:v>
      </x:c>
      <x:c r="G157" s="82" t="str">
        <x:v>签名草案未编译</x:v>
      </x:c>
      <x:c r="H157" s="82" t="str">
        <x:v>命中返回ElementId/路径/命中类型；算法UI无关</x:v>
      </x:c>
      <x:c r="I157" s="82" t="str">
        <x:v>本轮提议</x:v>
      </x:c>
    </x:row>
    <x:row r="158">
      <x:c r="A158" s="82" t="str">
        <x:v>API-M16-ICanvasLayou</x:v>
      </x:c>
      <x:c r="B158" s="82" t="str">
        <x:v>M16</x:v>
      </x:c>
      <x:c r="C158" s="82" t="str">
        <x:v>CxVisual.Mechanism.Visual</x:v>
      </x:c>
      <x:c r="D158" s="82" t="str">
        <x:v>公开方法</x:v>
      </x:c>
      <x:c r="E158" s="82" t="str">
        <x:v>LayoutResult Arrange(ContentDefinition content, ViewportState viewport, LayoutOptions options)</x:v>
      </x:c>
      <x:c r="F158" s="82" t="str">
        <x:v>缩放、缓存失效、增量布局</x:v>
      </x:c>
      <x:c r="G158" s="82" t="str">
        <x:v>签名草案未编译</x:v>
      </x:c>
      <x:c r="H158" s="82" t="str">
        <x:v>布局结果不能覆盖工程模型；仅提交编辑命令改变工程</x:v>
      </x:c>
      <x:c r="I158" s="82" t="str">
        <x:v>本轮提议</x:v>
      </x:c>
    </x:row>
    <x:row r="159">
      <x:c r="A159" s="82" t="str">
        <x:v>API-M17-IDiagramProj</x:v>
      </x:c>
      <x:c r="B159" s="82" t="str">
        <x:v>M17</x:v>
      </x:c>
      <x:c r="C159" s="82" t="str">
        <x:v>CxVisual.Mechanism.Visual</x:v>
      </x:c>
      <x:c r="D159" s="82" t="str">
        <x:v>公开方法</x:v>
      </x:c>
      <x:c r="E159" s="82" t="str">
        <x:v>DiagramFrame Project(DiagramProjectionInput input, DiagramLayout layout)</x:v>
      </x:c>
      <x:c r="F159" s="82" t="str">
        <x:v>同一Logic两种布局</x:v>
      </x:c>
      <x:c r="G159" s="82" t="str">
        <x:v>签名草案未编译</x:v>
      </x:c>
      <x:c r="H159" s="82" t="str">
        <x:v>逻辑定义与布局分离；不能再存一棵Graph业务树</x:v>
      </x:c>
      <x:c r="I159" s="82" t="str">
        <x:v>本轮提议</x:v>
      </x:c>
    </x:row>
    <x:row r="160">
      <x:c r="A160" s="82" t="str">
        <x:v>API-M17-IConnectionR</x:v>
      </x:c>
      <x:c r="B160" s="82" t="str">
        <x:v>M17</x:v>
      </x:c>
      <x:c r="C160" s="82" t="str">
        <x:v>CxVisual.Mechanism.Visual</x:v>
      </x:c>
      <x:c r="D160" s="82" t="str">
        <x:v>公开方法</x:v>
      </x:c>
      <x:c r="E160" s="82" t="str">
        <x:v>RouteResult Route(DiagramPortView source, DiagramPortView target, RoutingOptions options)</x:v>
      </x:c>
      <x:c r="F160" s="82" t="str">
        <x:v>障碍避让、端口重排</x:v>
      </x:c>
      <x:c r="G160" s="82" t="str">
        <x:v>签名草案未编译</x:v>
      </x:c>
      <x:c r="H160" s="82" t="str">
        <x:v>连线路由仅视觉信息，不修改业务连接定义</x:v>
      </x:c>
      <x:c r="I160" s="82" t="str">
        <x:v>本轮提议</x:v>
      </x:c>
    </x:row>
    <x:row r="161">
      <x:c r="A161" s="82" t="str">
        <x:v>API-M37-IVisualComma</x:v>
      </x:c>
      <x:c r="B161" s="82" t="str">
        <x:v>M37</x:v>
      </x:c>
      <x:c r="C161" s="82" t="str">
        <x:v>CxVisual.Mechanism.Visual</x:v>
      </x:c>
      <x:c r="D161" s="82" t="str">
        <x:v>公开方法</x:v>
      </x:c>
      <x:c r="E161" s="82" t="str">
        <x:v>EditResult Execute(VisualEditContext context)</x:v>
      </x:c>
      <x:c r="F161" s="82" t="str">
        <x:v>跨5个Element的对齐</x:v>
      </x:c>
      <x:c r="G161" s="82" t="str">
        <x:v>签名草案未编译</x:v>
      </x:c>
      <x:c r="H161" s="82" t="str">
        <x:v>复合编辑操作返回一次逻辑变更；依赖Core事务</x:v>
      </x:c>
      <x:c r="I161" s="82" t="str">
        <x:v>本轮提议</x:v>
      </x:c>
    </x:row>
    <x:row r="162">
      <x:c r="A162" s="82" t="str">
        <x:v>API-M37-IVisualComma</x:v>
      </x:c>
      <x:c r="B162" s="82" t="str">
        <x:v>M37</x:v>
      </x:c>
      <x:c r="C162" s="82" t="str">
        <x:v>CxVisual.Mechanism.Visual</x:v>
      </x:c>
      <x:c r="D162" s="82" t="str">
        <x:v>公开方法</x:v>
      </x:c>
      <x:c r="E162" s="82" t="str">
        <x:v>EditResult Undo(VisualEditContext context)</x:v>
      </x:c>
      <x:c r="F162" s="82" t="str">
        <x:v>Undo失败事务回滚</x:v>
      </x:c>
      <x:c r="G162" s="82" t="str">
        <x:v>签名草案未编译</x:v>
      </x:c>
      <x:c r="H162" s="82" t="str">
        <x:v>撤销应通过Core合法变更进行，不直接改字段</x:v>
      </x:c>
      <x:c r="I162" s="82" t="str">
        <x:v>本轮提议</x:v>
      </x:c>
    </x:row>
    <x:row r="163">
      <x:c r="A163" s="82" t="str">
        <x:v>API-M37-IVisualComma</x:v>
      </x:c>
      <x:c r="B163" s="82" t="str">
        <x:v>M37</x:v>
      </x:c>
      <x:c r="C163" s="82" t="str">
        <x:v>CxVisual.Mechanism.Visual</x:v>
      </x:c>
      <x:c r="D163" s="82" t="str">
        <x:v>公开方法</x:v>
      </x:c>
      <x:c r="E163" s="82" t="str">
        <x:v>EditResult Redo(VisualEditContext context)</x:v>
      </x:c>
      <x:c r="F163" s="82" t="str">
        <x:v>外部修改后的Redo冲突</x:v>
      </x:c>
      <x:c r="G163" s="82" t="str">
        <x:v>签名草案未编译</x:v>
      </x:c>
      <x:c r="H163" s="82" t="str">
        <x:v>Redo校验当前版本/冲突，不盲目重放坐标</x:v>
      </x:c>
      <x:c r="I163" s="82" t="str">
        <x:v>本轮提议</x:v>
      </x:c>
    </x:row>
    <x:row r="164">
      <x:c r="A164" s="82" t="str">
        <x:v>API-M37-IVisualHisto</x:v>
      </x:c>
      <x:c r="B164" s="82" t="str">
        <x:v>M37</x:v>
      </x:c>
      <x:c r="C164" s="82" t="str">
        <x:v>CxVisual.Mechanism.Visual</x:v>
      </x:c>
      <x:c r="D164" s="82" t="str">
        <x:v>公开方法</x:v>
      </x:c>
      <x:c r="E164" s="82" t="str">
        <x:v>HistoryResult Push(IVisualCommand command, CommandExecutionRecord record)</x:v>
      </x:c>
      <x:c r="F164" s="82" t="str">
        <x:v>MouseMove 500次Undo仅一条</x:v>
      </x:c>
      <x:c r="G164" s="82" t="str">
        <x:v>签名草案未编译</x:v>
      </x:c>
      <x:c r="H164" s="82" t="str">
        <x:v>同一次拖动仅入栈一条；分离预览与提交</x:v>
      </x:c>
      <x:c r="I164" s="82" t="str">
        <x:v>本轮提议</x:v>
      </x:c>
    </x:row>
    <x:row r="165">
      <x:c r="A165" s="82" t="str">
        <x:v>API-M37-IVisualEditS</x:v>
      </x:c>
      <x:c r="B165" s="82" t="str">
        <x:v>M37</x:v>
      </x:c>
      <x:c r="C165" s="82" t="str">
        <x:v>CxVisual.Mechanism.Visual</x:v>
      </x:c>
      <x:c r="D165" s="82" t="str">
        <x:v>公开方法</x:v>
      </x:c>
      <x:c r="E165" s="82" t="str">
        <x:v>EditPreview Preview(VisualEditIntent intent)</x:v>
      </x:c>
      <x:c r="F165" s="82" t="str">
        <x:v>ESC取消拖动未污染工程</x:v>
      </x:c>
      <x:c r="G165" s="82" t="str">
        <x:v>签名草案未编译</x:v>
      </x:c>
      <x:c r="H165" s="82" t="str">
        <x:v>拖动中只能预览，不能每帧持久化工程数据</x:v>
      </x:c>
      <x:c r="I165" s="82" t="str">
        <x:v>本轮提议</x:v>
      </x:c>
    </x:row>
    <x:row r="166">
      <x:c r="A166" s="82" t="str">
        <x:v>API-M37-IVisualEditS</x:v>
      </x:c>
      <x:c r="B166" s="82" t="str">
        <x:v>M37</x:v>
      </x:c>
      <x:c r="C166" s="82" t="str">
        <x:v>CxVisual.Mechanism.Visual</x:v>
      </x:c>
      <x:c r="D166" s="82" t="str">
        <x:v>公开方法</x:v>
      </x:c>
      <x:c r="E166" s="82" t="str">
        <x:v>EditResult Commit(VisualEditIntent intent, MutationContext context)</x:v>
      </x:c>
      <x:c r="F166" s="82" t="str">
        <x:v>框选+缩放+对齐组合提交</x:v>
      </x:c>
      <x:c r="G166" s="82" t="str">
        <x:v>签名草案未编译</x:v>
      </x:c>
      <x:c r="H166" s="82" t="str">
        <x:v>Commit执行Core数据事务；Visual负责工具语义</x:v>
      </x:c>
      <x:c r="I166" s="82" t="str">
        <x:v>本轮提议</x:v>
      </x:c>
    </x:row>
    <x:row r="167">
      <x:c r="A167" s="82" t="str">
        <x:v>API-M18-IFlowDefinit</x:v>
      </x:c>
      <x:c r="B167" s="82" t="str">
        <x:v>M18</x:v>
      </x:c>
      <x:c r="C167" s="82" t="str">
        <x:v>CxVisual.Mechanism.Orchestration</x:v>
      </x:c>
      <x:c r="D167" s="82" t="str">
        <x:v>公开方法</x:v>
      </x:c>
      <x:c r="E167" s="82" t="str">
        <x:v>FlowDefinitionSnapshot Read(FlowReference reference)</x:v>
      </x:c>
      <x:c r="F167" s="82" t="str">
        <x:v>打开嵌套流程</x:v>
      </x:c>
      <x:c r="G167" s="82" t="str">
        <x:v>签名草案未编译</x:v>
      </x:c>
      <x:c r="H167" s="82" t="str">
        <x:v>定义和执行计划分开；无Visual/WPF依赖</x:v>
      </x:c>
      <x:c r="I167" s="82" t="str">
        <x:v>本轮提议</x:v>
      </x:c>
    </x:row>
    <x:row r="168">
      <x:c r="A168" s="82" t="str">
        <x:v>API-M19-IControlFlow</x:v>
      </x:c>
      <x:c r="B168" s="82" t="str">
        <x:v>M19</x:v>
      </x:c>
      <x:c r="C168" s="82" t="str">
        <x:v>CxVisual.Mechanism.Orchestration</x:v>
      </x:c>
      <x:c r="D168" s="82" t="str">
        <x:v>公开方法</x:v>
      </x:c>
      <x:c r="E168" s="82" t="str">
        <x:v>ValidationReport Validate(FlowDefinitionSnapshot flow)</x:v>
      </x:c>
      <x:c r="F168" s="82" t="str">
        <x:v>死分支、环、无入口</x:v>
      </x:c>
      <x:c r="G168" s="82" t="str">
        <x:v>签名草案未编译</x:v>
      </x:c>
      <x:c r="H168" s="82" t="str">
        <x:v>并行汇合/条件/循环完整，诊断死节点</x:v>
      </x:c>
      <x:c r="I168" s="82" t="str">
        <x:v>本轮提议</x:v>
      </x:c>
    </x:row>
    <x:row r="169">
      <x:c r="A169" s="82" t="str">
        <x:v>API-M20-IDataFlowVal</x:v>
      </x:c>
      <x:c r="B169" s="82" t="str">
        <x:v>M20</x:v>
      </x:c>
      <x:c r="C169" s="82" t="str">
        <x:v>CxVisual.Mechanism.Orchestration</x:v>
      </x:c>
      <x:c r="D169" s="82" t="str">
        <x:v>公开方法</x:v>
      </x:c>
      <x:c r="E169" s="82" t="str">
        <x:v>ValidationReport ValidateBindings(FlowDefinitionSnapshot flow, DataContractCatalog contracts)</x:v>
      </x:c>
      <x:c r="F169" s="82" t="str">
        <x:v>大图像DataHandle跨子流程</x:v>
      </x:c>
      <x:c r="G169" s="82" t="str">
        <x:v>签名草案未编译</x:v>
      </x:c>
      <x:c r="H169" s="82" t="str">
        <x:v>类型、单位、生命周期、Owner校验</x:v>
      </x:c>
      <x:c r="I169" s="82" t="str">
        <x:v>本轮提议</x:v>
      </x:c>
    </x:row>
    <x:row r="170">
      <x:c r="A170" s="82" t="str">
        <x:v>API-M24-ISubflowReso</x:v>
      </x:c>
      <x:c r="B170" s="82" t="str">
        <x:v>M24</x:v>
      </x:c>
      <x:c r="C170" s="82" t="str">
        <x:v>CxVisual.Mechanism.Orchestration</x:v>
      </x:c>
      <x:c r="D170" s="82" t="str">
        <x:v>公开方法</x:v>
      </x:c>
      <x:c r="E170" s="82" t="str">
        <x:v>SubflowResolution Resolve(SubflowReference reference, FlowResolveContext context)</x:v>
      </x:c>
      <x:c r="F170" s="82" t="str">
        <x:v>三级异构子流程的参数映射</x:v>
      </x:c>
      <x:c r="G170" s="82" t="str">
        <x:v>签名草案未编译</x:v>
      </x:c>
      <x:c r="H170" s="82" t="str">
        <x:v>递归/循环版本/作用域限制需明确</x:v>
      </x:c>
      <x:c r="I170" s="82" t="str">
        <x:v>本轮提议</x:v>
      </x:c>
    </x:row>
    <x:row r="171">
      <x:c r="A171" s="82" t="str">
        <x:v>API-M29-IExecutionPl</x:v>
      </x:c>
      <x:c r="B171" s="82" t="str">
        <x:v>M29</x:v>
      </x:c>
      <x:c r="C171" s="82" t="str">
        <x:v>CxVisual.Mechanism.Runtime</x:v>
      </x:c>
      <x:c r="D171" s="82" t="str">
        <x:v>公开方法</x:v>
      </x:c>
      <x:c r="E171" s="82" t="str">
        <x:v>CompileResult Compile(ProjectModel project, CompilationOptions options)</x:v>
      </x:c>
      <x:c r="F171" s="82" t="str">
        <x:v>校验失败不可发布Plan</x:v>
      </x:c>
      <x:c r="G171" s="82" t="str">
        <x:v>签名草案未编译</x:v>
      </x:c>
      <x:c r="H171" s="82" t="str">
        <x:v>编译只生成不可变计划，不运行设备；失败留证据</x:v>
      </x:c>
      <x:c r="I171" s="82" t="str">
        <x:v>本轮提议</x:v>
      </x:c>
    </x:row>
    <x:row r="172">
      <x:c r="A172" s="82" t="str">
        <x:v>API-M30-IRuntimeExec</x:v>
      </x:c>
      <x:c r="B172" s="82" t="str">
        <x:v>M30</x:v>
      </x:c>
      <x:c r="C172" s="82" t="str">
        <x:v>CxVisual.Mechanism.Runtime</x:v>
      </x:c>
      <x:c r="D172" s="82" t="str">
        <x:v>公开方法</x:v>
      </x:c>
      <x:c r="E172" s="82" t="str">
        <x:v>Task&lt;ExecutionResult&gt; ExecuteAsync(ExecutionPlan plan, ExecutionContext context, CancellationToken cancellationToken)</x:v>
      </x:c>
      <x:c r="F172" s="82" t="str">
        <x:v>取消触发资源清理</x:v>
      </x:c>
      <x:c r="G172" s="82" t="str">
        <x:v>签名草案未编译</x:v>
      </x:c>
      <x:c r="H172" s="82" t="str">
        <x:v>取消、超时、幂等、安全资源释放必须定义</x:v>
      </x:c>
      <x:c r="I172" s="82" t="str">
        <x:v>本轮提议</x:v>
      </x:c>
    </x:row>
    <x:row r="173">
      <x:c r="A173" s="82" t="str">
        <x:v>API-M31-IRuntimeData</x:v>
      </x:c>
      <x:c r="B173" s="82" t="str">
        <x:v>M31</x:v>
      </x:c>
      <x:c r="C173" s="82" t="str">
        <x:v>CxVisual.Mechanism.Runtime</x:v>
      </x:c>
      <x:c r="D173" s="82" t="str">
        <x:v>公开方法</x:v>
      </x:c>
      <x:c r="E173" s="82" t="str">
        <x:v>DataLease Acquire(DataHandle handle, AccessMode mode)</x:v>
      </x:c>
      <x:c r="F173" s="82" t="str">
        <x:v>2GB图像跨节点引用不复制</x:v>
      </x:c>
      <x:c r="G173" s="82" t="str">
        <x:v>签名草案未编译</x:v>
      </x:c>
      <x:c r="H173" s="82" t="str">
        <x:v>Lease语义：谁分配谁释放，跨线程/流程有效性</x:v>
      </x:c>
      <x:c r="I173" s="82" t="str">
        <x:v>本轮提议</x:v>
      </x:c>
    </x:row>
    <x:row r="174">
      <x:c r="A174" s="82" t="str">
        <x:v>API-M32-IRuntimeEven</x:v>
      </x:c>
      <x:c r="B174" s="82" t="str">
        <x:v>M32</x:v>
      </x:c>
      <x:c r="C174" s="82" t="str">
        <x:v>CxVisual.Mechanism.Runtime</x:v>
      </x:c>
      <x:c r="D174" s="82" t="str">
        <x:v>公开方法</x:v>
      </x:c>
      <x:c r="E174" s="82" t="str">
        <x:v>IDisposable Subscribe(Action&lt;RuntimeEvent&gt; observer)</x:v>
      </x:c>
      <x:c r="F174" s="82" t="str">
        <x:v>重复订阅与异常订阅者隔离</x:v>
      </x:c>
      <x:c r="G174" s="82" t="str">
        <x:v>签名草案未编译</x:v>
      </x:c>
      <x:c r="H174" s="82" t="str">
        <x:v>状态与定义分离；订阅生命周期明确</x:v>
      </x:c>
      <x:c r="I174" s="82" t="str">
        <x:v>本轮提议</x:v>
      </x:c>
    </x:row>
    <x:row r="175">
      <x:c r="A175" s="82" t="str">
        <x:v>API-M34-ISimulationC</x:v>
      </x:c>
      <x:c r="B175" s="82" t="str">
        <x:v>M34</x:v>
      </x:c>
      <x:c r="C175" s="82" t="str">
        <x:v>CxVisual.Mechanism.Runtime</x:v>
      </x:c>
      <x:c r="D175" s="82" t="str">
        <x:v>公开方法</x:v>
      </x:c>
      <x:c r="E175" s="82" t="str">
        <x:v>void Advance(TimeSpan delta)</x:v>
      </x:c>
      <x:c r="F175" s="82" t="str">
        <x:v>虚拟时间确定性重放</x:v>
      </x:c>
      <x:c r="G175" s="82" t="str">
        <x:v>签名草案未编译</x:v>
      </x:c>
      <x:c r="H175" s="82" t="str">
        <x:v>模拟时钟不可偷偷驱动真实运动设备</x:v>
      </x:c>
      <x:c r="I175" s="82" t="str">
        <x:v>本轮提议</x:v>
      </x:c>
    </x:row>
    <x:row r="176">
      <x:c r="A176" s="82" t="str">
        <x:v>API-F05-Geometry2DUt</x:v>
      </x:c>
      <x:c r="B176" s="82" t="str">
        <x:v>F05</x:v>
      </x:c>
      <x:c r="C176" s="82" t="str">
        <x:v>CxVisual.Foundation.Geometry</x:v>
      </x:c>
      <x:c r="D176" s="82" t="str">
        <x:v>公开方法</x:v>
      </x:c>
      <x:c r="E176" s="82" t="str">
        <x:v>public static bool Contains(Point2 point, Polygon2 polygon, BoundaryPolicy boundary)</x:v>
      </x:c>
      <x:c r="F176" s="82" t="str">
        <x:v>凹多边形、退化边</x:v>
      </x:c>
      <x:c r="G176" s="82" t="str">
        <x:v>签名草案未编译</x:v>
      </x:c>
      <x:c r="H176" s="82" t="str">
        <x:v>纯计算；需定义边界归属规则</x:v>
      </x:c>
      <x:c r="I176" s="82" t="str">
        <x:v>本轮提议</x:v>
      </x:c>
    </x:row>
    <x:row r="177">
      <x:c r="A177" s="82" t="str">
        <x:v>API-F07-AffineTransf</x:v>
      </x:c>
      <x:c r="B177" s="82" t="str">
        <x:v>F07</x:v>
      </x:c>
      <x:c r="C177" s="82" t="str">
        <x:v>CxVisual.Foundation.Geometry</x:v>
      </x:c>
      <x:c r="D177" s="82" t="str">
        <x:v>公开方法</x:v>
      </x:c>
      <x:c r="E177" s="82" t="str">
        <x:v>public bool TryInvert(out AffineTransform2D inverse)</x:v>
      </x:c>
      <x:c r="F177" s="82" t="str">
        <x:v>1000随机变换往返</x:v>
      </x:c>
      <x:c r="G177" s="82" t="str">
        <x:v>签名草案未编译</x:v>
      </x:c>
      <x:c r="H177" s="82" t="str">
        <x:v>奇异矩阵返回false且不传播NaN</x:v>
      </x:c>
      <x:c r="I177" s="82" t="str">
        <x:v>本轮提议</x:v>
      </x:c>
    </x:row>
    <x:row r="178">
      <x:c r="A178" s="82" t="str">
        <x:v>API-F11-ImageBuffer</x:v>
      </x:c>
      <x:c r="B178" s="82" t="str">
        <x:v>F11</x:v>
      </x:c>
      <x:c r="C178" s="82" t="str">
        <x:v>CxVisual.Foundation.Imaging</x:v>
      </x:c>
      <x:c r="D178" s="82" t="str">
        <x:v>公开属性</x:v>
      </x:c>
      <x:c r="E178" s="82" t="str">
        <x:v>public int Stride { get; }</x:v>
      </x:c>
      <x:c r="F178" s="82" t="str">
        <x:v>16位图像ROI与padding</x:v>
      </x:c>
      <x:c r="G178" s="82" t="str">
        <x:v>签名草案未编译</x:v>
      </x:c>
      <x:c r="H178" s="82" t="str">
        <x:v>Stride可大于每行有效字节；内存所有权有文档</x:v>
      </x:c>
      <x:c r="I178" s="82" t="str">
        <x:v>本轮提议</x:v>
      </x:c>
    </x:row>
    <x:row r="179">
      <x:c r="A179" s="82" t="str">
        <x:v>API-F12-IVolumeBlock</x:v>
      </x:c>
      <x:c r="B179" s="82" t="str">
        <x:v>F12</x:v>
      </x:c>
      <x:c r="C179" s="82" t="str">
        <x:v>CxVisual.Foundation.Volume</x:v>
      </x:c>
      <x:c r="D179" s="82" t="str">
        <x:v>公开方法</x:v>
      </x:c>
      <x:c r="E179" s="82" t="str">
        <x:v>int ReadBlock(long byteOffset, byte[] buffer, int offset, int count)</x:v>
      </x:c>
      <x:c r="F179" s="82" t="str">
        <x:v>4GB偏移、EOF、并发读取</x:v>
      </x:c>
      <x:c r="G179" s="82" t="str">
        <x:v>签名草案未编译</x:v>
      </x:c>
      <x:c r="H179" s="82" t="str">
        <x:v>64位文件偏移；边界检查；禁止隐式整块拷贝</x:v>
      </x:c>
      <x:c r="I179" s="82" t="str">
        <x:v>本轮提议</x:v>
      </x:c>
    </x:row>
    <x:row r="180">
      <x:c r="A180" s="82" t="str">
        <x:v>API-F14-BinaryCodecU</x:v>
      </x:c>
      <x:c r="B180" s="82" t="str">
        <x:v>F14</x:v>
      </x:c>
      <x:c r="C180" s="82" t="str">
        <x:v>CxVisual.Foundation.Data</x:v>
      </x:c>
      <x:c r="D180" s="82" t="str">
        <x:v>公开方法</x:v>
      </x:c>
      <x:c r="E180" s="82" t="str">
        <x:v>public static ushort ReadUInt16(byte[] source, int offset, ByteOrder order)</x:v>
      </x:c>
      <x:c r="F180" s="82" t="str">
        <x:v>0x1234两种端序参考值</x:v>
      </x:c>
      <x:c r="G180" s="82" t="str">
        <x:v>签名草案未编译</x:v>
      </x:c>
      <x:c r="H180" s="82" t="str">
        <x:v>显式端序、输入边界检查</x:v>
      </x:c>
      <x:c r="I180" s="82" t="str">
        <x:v>本轮提议</x:v>
      </x:c>
    </x:row>
    <x:row r="181">
      <x:c r="A181" s="82" t="str">
        <x:v>API-F18-AtomicFileWr</x:v>
      </x:c>
      <x:c r="B181" s="82" t="str">
        <x:v>F18</x:v>
      </x:c>
      <x:c r="C181" s="82" t="str">
        <x:v>CxVisual.Foundation.Data</x:v>
      </x:c>
      <x:c r="D181" s="82" t="str">
        <x:v>公开方法</x:v>
      </x:c>
      <x:c r="E181" s="82" t="str">
        <x:v>public static void Replace(string targetPath, byte[] bytes)</x:v>
      </x:c>
      <x:c r="F181" s="82" t="str">
        <x:v>进程中断恢复</x:v>
      </x:c>
      <x:c r="G181" s="82" t="str">
        <x:v>签名草案未编译</x:v>
      </x:c>
      <x:c r="H181" s="82" t="str">
        <x:v>临时文件与原子替换；失败安全</x:v>
      </x:c>
      <x:c r="I181" s="82" t="str">
        <x:v>本轮提议</x:v>
      </x:c>
    </x:row>
    <x:row r="182">
      <x:c r="A182" s="82" t="str">
        <x:v>API-F22-ColorRgba</x:v>
      </x:c>
      <x:c r="B182" s="82" t="str">
        <x:v>F22</x:v>
      </x:c>
      <x:c r="C182" s="82" t="str">
        <x:v>CxVisual.Foundation.Imaging</x:v>
      </x:c>
      <x:c r="D182" s="82" t="str">
        <x:v>公开属性</x:v>
      </x:c>
      <x:c r="E182" s="82" t="str">
        <x:v>public byte A { get; }</x:v>
      </x:c>
      <x:c r="F182" s="82" t="str">
        <x:v>不同后端映射等价</x:v>
      </x:c>
      <x:c r="G182" s="82" t="str">
        <x:v>签名草案未编译</x:v>
      </x:c>
      <x:c r="H182" s="82" t="str">
        <x:v>数据与WPF Brush分离；只持有颜色值</x:v>
      </x:c>
      <x:c r="I182" s="82" t="str">
        <x:v>本轮提议</x:v>
      </x:c>
    </x:row>
    <x:row r="183">
      <x:c r="A183" s="82" t="str">
        <x:v>API-UI-CxWpfSceneVi</x:v>
      </x:c>
      <x:c r="B183" s="82" t="str">
        <x:v>UI</x:v>
      </x:c>
      <x:c r="C183" s="82" t="str">
        <x:v>CxVisual.Mechanism.Presentation.Wpf</x:v>
      </x:c>
      <x:c r="D183" s="82" t="str">
        <x:v>公开方法</x:v>
      </x:c>
      <x:c r="E183" s="82" t="str">
        <x:v>public void Present(VisualFrame frame)</x:v>
      </x:c>
      <x:c r="F183" s="82" t="str">
        <x:v>未启动Runtime也能显示</x:v>
      </x:c>
      <x:c r="G183" s="82" t="str">
        <x:v>签名草案未编译</x:v>
      </x:c>
      <x:c r="H183" s="82" t="str">
        <x:v>只能消费Visual投影数据，不隐式修改Element/Group</x:v>
      </x:c>
      <x:c r="I183" s="82" t="str">
        <x:v>本轮提议</x:v>
      </x:c>
    </x:row>
    <x:row r="184">
      <x:c r="A184" s="82" t="str">
        <x:v>API-UI-CxWpfSceneVi</x:v>
      </x:c>
      <x:c r="B184" s="82" t="str">
        <x:v>UI</x:v>
      </x:c>
      <x:c r="C184" s="82" t="str">
        <x:v>CxVisual.Mechanism.Presentation.Wpf</x:v>
      </x:c>
      <x:c r="D184" s="82" t="str">
        <x:v>公开方法</x:v>
      </x:c>
      <x:c r="E184" s="82" t="str">
        <x:v>protected override void OnRender(DrawingContext drawingContext)</x:v>
      </x:c>
      <x:c r="F184" s="82" t="str">
        <x:v>无业务副作用绘制</x:v>
      </x:c>
      <x:c r="G184" s="82" t="str">
        <x:v>签名草案未编译</x:v>
      </x:c>
      <x:c r="H184" s="82" t="str">
        <x:v>专属WPF实现；仅绘制，无业务事务</x:v>
      </x:c>
      <x:c r="I184" s="82" t="str">
        <x:v>本轮提议</x:v>
      </x:c>
    </x:row>
    <x:row r="185">
      <x:c r="A185" s="82" t="str">
        <x:v>API-UI-WpfInputAdap</x:v>
      </x:c>
      <x:c r="B185" s="82" t="str">
        <x:v>UI</x:v>
      </x:c>
      <x:c r="C185" s="82" t="str">
        <x:v>CxVisual.Mechanism.Presentation.Wpf</x:v>
      </x:c>
      <x:c r="D185" s="82" t="str">
        <x:v>公开方法</x:v>
      </x:c>
      <x:c r="E185" s="82" t="str">
        <x:v>public VisualEditIntent Translate(MouseEventArgs input, ViewportState viewport)</x:v>
      </x:c>
      <x:c r="F185" s="82" t="str">
        <x:v>125%/200%DPI拖动一致</x:v>
      </x:c>
      <x:c r="G185" s="82" t="str">
        <x:v>签名草案未编译</x:v>
      </x:c>
      <x:c r="H185" s="82" t="str">
        <x:v>输入坐标/DPI映射后传Visual，WPF不保存权威选择状态</x:v>
      </x:c>
      <x:c r="I185" s="82" t="str">
        <x:v>本轮提议</x:v>
      </x:c>
    </x:row>
    <x:row r="186">
      <x:c r="A186" s="82" t="str">
        <x:v>API-UI-WpfDiagramVi</x:v>
      </x:c>
      <x:c r="B186" s="82" t="str">
        <x:v>UI</x:v>
      </x:c>
      <x:c r="C186" s="82" t="str">
        <x:v>CxVisual.Mechanism.Presentation.Wpf</x:v>
      </x:c>
      <x:c r="D186" s="82" t="str">
        <x:v>公开方法</x:v>
      </x:c>
      <x:c r="E186" s="82" t="str">
        <x:v>public void Bind(DiagramFrame diagram)</x:v>
      </x:c>
      <x:c r="F186" s="82" t="str">
        <x:v>重新绑定不丢逻辑连接</x:v>
      </x:c>
      <x:c r="G186" s="82" t="str">
        <x:v>签名草案未编译</x:v>
      </x:c>
      <x:c r="H186" s="82" t="str">
        <x:v>Diagram只接受投影结果，不创建第二套LogicUnit树</x:v>
      </x:c>
      <x:c r="I186" s="82" t="str">
        <x:v>本轮提议</x:v>
      </x:c>
    </x:row>
    <x:row r="187">
      <x:c r="A187" s="82" t="str">
        <x:v>CASE-C01</x:v>
      </x:c>
      <x:c r="B187" s="82" t="str">
        <x:v>M01/M16/M37/M07</x:v>
      </x:c>
      <x:c r="C187" s="82" t="str">
        <x:v>多项目集成</x:v>
      </x:c>
      <x:c r="D187" s="82" t="str">
        <x:v>完整工作链</x:v>
      </x:c>
      <x:c r="E187" s="82" t="str">
        <x:v>Core创建Element→Visual投影→WPF绘制→Visual拖动→Core事务提交</x:v>
      </x:c>
      <x:c r="F187" s="82" t="str">
        <x:v>一条Undo可恢复；WPF不写真实位置</x:v>
      </x:c>
      <x:c r="G187" s="82" t="str">
        <x:v>尚未执行</x:v>
      </x:c>
      <x:c r="H187" s="82" t="str">
        <x:v>覆盖正常/错误/取消/资源释放</x:v>
      </x:c>
      <x:c r="I187" s="82" t="str">
        <x:v>本轮设计</x:v>
      </x:c>
    </x:row>
    <x:row r="188">
      <x:c r="A188" s="82" t="str">
        <x:v>CASE-C02</x:v>
      </x:c>
      <x:c r="B188" s="82" t="str">
        <x:v>M02/M16/M37</x:v>
      </x:c>
      <x:c r="C188" s="82" t="str">
        <x:v>多项目集成</x:v>
      </x:c>
      <x:c r="D188" s="82" t="str">
        <x:v>完整工作链</x:v>
      </x:c>
      <x:c r="E188" s="82" t="str">
        <x:v>多层Group→组合变换→命中→整体移动</x:v>
      </x:c>
      <x:c r="F188" s="82" t="str">
        <x:v>组移动不机械改全部子元素</x:v>
      </x:c>
      <x:c r="G188" s="82" t="str">
        <x:v>尚未执行</x:v>
      </x:c>
      <x:c r="H188" s="82" t="str">
        <x:v>覆盖正常/错误/取消/资源释放</x:v>
      </x:c>
      <x:c r="I188" s="82" t="str">
        <x:v>本轮设计</x:v>
      </x:c>
    </x:row>
    <x:row r="189">
      <x:c r="A189" s="82" t="str">
        <x:v>CASE-C03</x:v>
      </x:c>
      <x:c r="B189" s="82" t="str">
        <x:v>M02/M03/M16</x:v>
      </x:c>
      <x:c r="C189" s="82" t="str">
        <x:v>多项目集成</x:v>
      </x:c>
      <x:c r="D189" s="82" t="str">
        <x:v>完整工作链</x:v>
      </x:c>
      <x:c r="E189" s="82" t="str">
        <x:v>SymbolDefinition→10 SymbolRef→多布局投影</x:v>
      </x:c>
      <x:c r="F189" s="82" t="str">
        <x:v>改定义影响所有实例；移动实例不串扰</x:v>
      </x:c>
      <x:c r="G189" s="82" t="str">
        <x:v>尚未执行</x:v>
      </x:c>
      <x:c r="H189" s="82" t="str">
        <x:v>覆盖正常/错误/取消/资源释放</x:v>
      </x:c>
      <x:c r="I189" s="82" t="str">
        <x:v>本轮设计</x:v>
      </x:c>
    </x:row>
    <x:row r="190">
      <x:c r="A190" s="82" t="str">
        <x:v>CASE-C04</x:v>
      </x:c>
      <x:c r="B190" s="82" t="str">
        <x:v>M01/M02/M03</x:v>
      </x:c>
      <x:c r="C190" s="82" t="str">
        <x:v>多项目集成</x:v>
      </x:c>
      <x:c r="D190" s="82" t="str">
        <x:v>完整工作链</x:v>
      </x:c>
      <x:c r="E190" s="82" t="str">
        <x:v>Content包含子Content与ContentRef→作用域解析</x:v>
      </x:c>
      <x:c r="F190" s="82" t="str">
        <x:v>检测循环并显示可追踪错误</x:v>
      </x:c>
      <x:c r="G190" s="82" t="str">
        <x:v>尚未执行</x:v>
      </x:c>
      <x:c r="H190" s="82" t="str">
        <x:v>覆盖正常/错误/取消/资源释放</x:v>
      </x:c>
      <x:c r="I190" s="82" t="str">
        <x:v>本轮设计</x:v>
      </x:c>
    </x:row>
    <x:row r="191">
      <x:c r="A191" s="82" t="str">
        <x:v>CASE-C05</x:v>
      </x:c>
      <x:c r="B191" s="82" t="str">
        <x:v>M01/M07/M16</x:v>
      </x:c>
      <x:c r="C191" s="82" t="str">
        <x:v>多项目集成</x:v>
      </x:c>
      <x:c r="D191" s="82" t="str">
        <x:v>完整工作链</x:v>
      </x:c>
      <x:c r="E191" s="82" t="str">
        <x:v>同Content打开A/B双画布→A编辑→B刷新</x:v>
      </x:c>
      <x:c r="F191" s="82" t="str">
        <x:v>Version冲突清晰处理，不覆盖编辑</x:v>
      </x:c>
      <x:c r="G191" s="82" t="str">
        <x:v>尚未执行</x:v>
      </x:c>
      <x:c r="H191" s="82" t="str">
        <x:v>覆盖正常/错误/取消/资源释放</x:v>
      </x:c>
      <x:c r="I191" s="82" t="str">
        <x:v>本轮设计</x:v>
      </x:c>
    </x:row>
    <x:row r="192">
      <x:c r="A192" s="82" t="str">
        <x:v>CASE-C06</x:v>
      </x:c>
      <x:c r="B192" s="82" t="str">
        <x:v>M07/M37</x:v>
      </x:c>
      <x:c r="C192" s="82" t="str">
        <x:v>多项目集成</x:v>
      </x:c>
      <x:c r="D192" s="82" t="str">
        <x:v>完整工作链</x:v>
      </x:c>
      <x:c r="E192" s="82" t="str">
        <x:v>鼠标连续拖动500帧→预览→一次Commit</x:v>
      </x:c>
      <x:c r="F192" s="82" t="str">
        <x:v>Undo/Redo各只一条记录</x:v>
      </x:c>
      <x:c r="G192" s="82" t="str">
        <x:v>尚未执行</x:v>
      </x:c>
      <x:c r="H192" s="82" t="str">
        <x:v>覆盖正常/错误/取消/资源释放</x:v>
      </x:c>
      <x:c r="I192" s="82" t="str">
        <x:v>本轮设计</x:v>
      </x:c>
    </x:row>
    <x:row r="193">
      <x:c r="A193" s="82" t="str">
        <x:v>CASE-C07</x:v>
      </x:c>
      <x:c r="B193" s="82" t="str">
        <x:v>M07/M37</x:v>
      </x:c>
      <x:c r="C193" s="82" t="str">
        <x:v>多项目集成</x:v>
      </x:c>
      <x:c r="D193" s="82" t="str">
        <x:v>完整工作链</x:v>
      </x:c>
      <x:c r="E193" s="82" t="str">
        <x:v>多选10个Element→对齐→提交</x:v>
      </x:c>
      <x:c r="F193" s="82" t="str">
        <x:v>整批撤销或整批失败，无半提交</x:v>
      </x:c>
      <x:c r="G193" s="82" t="str">
        <x:v>尚未执行</x:v>
      </x:c>
      <x:c r="H193" s="82" t="str">
        <x:v>覆盖正常/错误/取消/资源释放</x:v>
      </x:c>
      <x:c r="I193" s="82" t="str">
        <x:v>本轮设计</x:v>
      </x:c>
    </x:row>
    <x:row r="194">
      <x:c r="A194" s="82" t="str">
        <x:v>CASE-C08</x:v>
      </x:c>
      <x:c r="B194" s="82" t="str">
        <x:v>M04/M07/M16</x:v>
      </x:c>
      <x:c r="C194" s="82" t="str">
        <x:v>多项目集成</x:v>
      </x:c>
      <x:c r="D194" s="82" t="str">
        <x:v>完整工作链</x:v>
      </x:c>
      <x:c r="E194" s="82" t="str">
        <x:v>WPF属性编辑→Core Property Schema校验→Visual刷新</x:v>
      </x:c>
      <x:c r="F194" s="82" t="str">
        <x:v>属性变更+画布撤销历史协调</x:v>
      </x:c>
      <x:c r="G194" s="82" t="str">
        <x:v>尚未执行</x:v>
      </x:c>
      <x:c r="H194" s="82" t="str">
        <x:v>覆盖正常/错误/取消/资源释放</x:v>
      </x:c>
      <x:c r="I194" s="82" t="str">
        <x:v>本轮设计</x:v>
      </x:c>
    </x:row>
    <x:row r="195">
      <x:c r="A195" s="82" t="str">
        <x:v>CASE-C09</x:v>
      </x:c>
      <x:c r="B195" s="82" t="str">
        <x:v>M05/M17/M18/M19/M20</x:v>
      </x:c>
      <x:c r="C195" s="82" t="str">
        <x:v>多项目集成</x:v>
      </x:c>
      <x:c r="D195" s="82" t="str">
        <x:v>完整工作链</x:v>
      </x:c>
      <x:c r="E195" s="82" t="str">
        <x:v>LogicUnit节点投影→拖动Link→Port Validate→提交LogicLink</x:v>
      </x:c>
      <x:c r="F195" s="82" t="str">
        <x:v>Visual不能仅凭线条绘制宣称连接成功</x:v>
      </x:c>
      <x:c r="G195" s="82" t="str">
        <x:v>尚未执行</x:v>
      </x:c>
      <x:c r="H195" s="82" t="str">
        <x:v>覆盖正常/错误/取消/资源释放</x:v>
      </x:c>
      <x:c r="I195" s="82" t="str">
        <x:v>本轮设计</x:v>
      </x:c>
    </x:row>
    <x:row r="196">
      <x:c r="A196" s="82" t="str">
        <x:v>CASE-C10</x:v>
      </x:c>
      <x:c r="B196" s="82" t="str">
        <x:v>M01/M17/M18</x:v>
      </x:c>
      <x:c r="C196" s="82" t="str">
        <x:v>多项目集成</x:v>
      </x:c>
      <x:c r="D196" s="82" t="str">
        <x:v>完整工作链</x:v>
      </x:c>
      <x:c r="E196" s="82" t="str">
        <x:v>同一LogicDefinition→主流程图/监控布局</x:v>
      </x:c>
      <x:c r="F196" s="82" t="str">
        <x:v>逻辑不复制、布局可清理</x:v>
      </x:c>
      <x:c r="G196" s="82" t="str">
        <x:v>尚未执行</x:v>
      </x:c>
      <x:c r="H196" s="82" t="str">
        <x:v>覆盖正常/错误/取消/资源释放</x:v>
      </x:c>
      <x:c r="I196" s="82" t="str">
        <x:v>本轮设计</x:v>
      </x:c>
    </x:row>
    <x:row r="197">
      <x:c r="A197" s="82" t="str">
        <x:v>CASE-C11</x:v>
      </x:c>
      <x:c r="B197" s="82" t="str">
        <x:v>M18-M25/M09-M10</x:v>
      </x:c>
      <x:c r="C197" s="82" t="str">
        <x:v>多项目集成</x:v>
      </x:c>
      <x:c r="D197" s="82" t="str">
        <x:v>完整工作链</x:v>
      </x:c>
      <x:c r="E197" s="82" t="str">
        <x:v>Automation→Vision→CT3D→Inspection三级子流程</x:v>
      </x:c>
      <x:c r="F197" s="82" t="str">
        <x:v>解析失败时禁止执行并留诊断</x:v>
      </x:c>
      <x:c r="G197" s="82" t="str">
        <x:v>尚未执行</x:v>
      </x:c>
      <x:c r="H197" s="82" t="str">
        <x:v>覆盖正常/错误/取消/资源释放</x:v>
      </x:c>
      <x:c r="I197" s="82" t="str">
        <x:v>本轮设计</x:v>
      </x:c>
    </x:row>
    <x:row r="198">
      <x:c r="A198" s="82" t="str">
        <x:v>CASE-C12</x:v>
      </x:c>
      <x:c r="B198" s="82" t="str">
        <x:v>M09/M10/M20/M31</x:v>
      </x:c>
      <x:c r="C198" s="82" t="str">
        <x:v>多项目集成</x:v>
      </x:c>
      <x:c r="D198" s="82" t="str">
        <x:v>完整工作链</x:v>
      </x:c>
      <x:c r="E198" s="82" t="str">
        <x:v>图像采集DataHandle→AI→检测→结果归档</x:v>
      </x:c>
      <x:c r="F198" s="82" t="str">
        <x:v>无悬空引用或内存泄漏</x:v>
      </x:c>
      <x:c r="G198" s="82" t="str">
        <x:v>尚未执行</x:v>
      </x:c>
      <x:c r="H198" s="82" t="str">
        <x:v>覆盖正常/错误/取消/资源释放</x:v>
      </x:c>
      <x:c r="I198" s="82" t="str">
        <x:v>本轮设计</x:v>
      </x:c>
    </x:row>
    <x:row r="199">
      <x:c r="A199" s="82" t="str">
        <x:v>CASE-C13</x:v>
      </x:c>
      <x:c r="B199" s="82" t="str">
        <x:v>M30/M32/M17</x:v>
      </x:c>
      <x:c r="C199" s="82" t="str">
        <x:v>多项目集成</x:v>
      </x:c>
      <x:c r="D199" s="82" t="str">
        <x:v>完整工作链</x:v>
      </x:c>
      <x:c r="E199" s="82" t="str">
        <x:v>RuntimeEvent→Visual状态装饰→WPF显示</x:v>
      </x:c>
      <x:c r="F199" s="82" t="str">
        <x:v>运行画面不更改流程定义</x:v>
      </x:c>
      <x:c r="G199" s="82" t="str">
        <x:v>尚未执行</x:v>
      </x:c>
      <x:c r="H199" s="82" t="str">
        <x:v>覆盖正常/错误/取消/资源释放</x:v>
      </x:c>
      <x:c r="I199" s="82" t="str">
        <x:v>本轮设计</x:v>
      </x:c>
    </x:row>
    <x:row r="200">
      <x:c r="A200" s="82" t="str">
        <x:v>CASE-C14</x:v>
      </x:c>
      <x:c r="B200" s="82" t="str">
        <x:v>M38/M01/M03/M07</x:v>
      </x:c>
      <x:c r="C200" s="82" t="str">
        <x:v>多项目集成</x:v>
      </x:c>
      <x:c r="D200" s="82" t="str">
        <x:v>完整工作链</x:v>
      </x:c>
      <x:c r="E200" s="82" t="str">
        <x:v>导入Content模板→ID重映射→引用绑定→添加到Project</x:v>
      </x:c>
      <x:c r="F200" s="82" t="str">
        <x:v>部分失败全部回滚</x:v>
      </x:c>
      <x:c r="G200" s="82" t="str">
        <x:v>尚未执行</x:v>
      </x:c>
      <x:c r="H200" s="82" t="str">
        <x:v>覆盖正常/错误/取消/资源释放</x:v>
      </x:c>
      <x:c r="I200" s="82" t="str">
        <x:v>本轮设计</x:v>
      </x:c>
    </x:row>
    <x:row r="201">
      <x:c r="A201" s="82" t="str">
        <x:v>CASE-C15</x:v>
      </x:c>
      <x:c r="B201" s="82" t="str">
        <x:v>M16/M38/F05/F22</x:v>
      </x:c>
      <x:c r="C201" s="82" t="str">
        <x:v>多项目集成</x:v>
      </x:c>
      <x:c r="D201" s="82" t="str">
        <x:v>完整工作链</x:v>
      </x:c>
      <x:c r="E201" s="82" t="str">
        <x:v>Core Element→Visual绘图描述→SVG导出实现</x:v>
      </x:c>
      <x:c r="F201" s="82" t="str">
        <x:v>导出可重导入但无第二业务树</x:v>
      </x:c>
      <x:c r="G201" s="82" t="str">
        <x:v>尚未执行</x:v>
      </x:c>
      <x:c r="H201" s="82" t="str">
        <x:v>覆盖正常/错误/取消/资源释放</x:v>
      </x:c>
      <x:c r="I201" s="82" t="str">
        <x:v>本轮设计</x:v>
      </x:c>
    </x:row>
    <x:row r="202">
      <x:c r="A202" s="82" t="str">
        <x:v>CASE-C16</x:v>
      </x:c>
      <x:c r="B202" s="82" t="str">
        <x:v>M13-M15/M26-M30</x:v>
      </x:c>
      <x:c r="C202" s="82" t="str">
        <x:v>多项目集成</x:v>
      </x:c>
      <x:c r="D202" s="82" t="str">
        <x:v>完整工作链</x:v>
      </x:c>
      <x:c r="E202" s="82" t="str">
        <x:v>专业Provider失败→Runtime恢复与退避</x:v>
      </x:c>
      <x:c r="F202" s="82" t="str">
        <x:v>正确停止、诊断、人工恢复</x:v>
      </x:c>
      <x:c r="G202" s="82" t="str">
        <x:v>尚未执行</x:v>
      </x:c>
      <x:c r="H202" s="82" t="str">
        <x:v>覆盖正常/错误/取消/资源释放</x:v>
      </x:c>
      <x:c r="I202" s="82" t="str">
        <x:v>本轮设计</x:v>
      </x:c>
    </x:row>
    <x:row r="203">
      <x:c r="A203" s="82" t="str">
        <x:v>CASE-C17</x:v>
      </x:c>
      <x:c r="B203" s="82" t="str">
        <x:v>M34/M30/M33/F08</x:v>
      </x:c>
      <x:c r="C203" s="82" t="str">
        <x:v>多项目集成</x:v>
      </x:c>
      <x:c r="D203" s="82" t="str">
        <x:v>完整工作链</x:v>
      </x:c>
      <x:c r="E203" s="82" t="str">
        <x:v>虚拟Clock→流程模拟运行→确定性Replay</x:v>
      </x:c>
      <x:c r="F203" s="82" t="str">
        <x:v>测试与真实设备隔离</x:v>
      </x:c>
      <x:c r="G203" s="82" t="str">
        <x:v>尚未执行</x:v>
      </x:c>
      <x:c r="H203" s="82" t="str">
        <x:v>覆盖正常/错误/取消/资源释放</x:v>
      </x:c>
      <x:c r="I203" s="82" t="str">
        <x:v>本轮设计</x:v>
      </x:c>
    </x:row>
    <x:row r="204">
      <x:c r="A204" s="82" t="str">
        <x:v>CASE-C18</x:v>
      </x:c>
      <x:c r="B204" s="82" t="str">
        <x:v>M01/M29/M30</x:v>
      </x:c>
      <x:c r="C204" s="82" t="str">
        <x:v>多项目集成</x:v>
      </x:c>
      <x:c r="D204" s="82" t="str">
        <x:v>完整工作链</x:v>
      </x:c>
      <x:c r="E204" s="82" t="str">
        <x:v>保存工程→命令行加载→编译→执行</x:v>
      </x:c>
      <x:c r="F204" s="82" t="str">
        <x:v>流程仍可执行</x:v>
      </x:c>
      <x:c r="G204" s="82" t="str">
        <x:v>尚未执行</x:v>
      </x:c>
      <x:c r="H204" s="82" t="str">
        <x:v>覆盖正常/错误/取消/资源释放</x:v>
      </x:c>
      <x:c r="I204" s="82" t="str">
        <x:v>本轮设计</x:v>
      </x:c>
    </x:row>
    <x:row r="205">
      <x:c r="A205" s="82" t="str">
        <x:v>CASE-C19</x:v>
      </x:c>
      <x:c r="B205" s="82" t="str">
        <x:v>M16/M17/F22</x:v>
      </x:c>
      <x:c r="C205" s="82" t="str">
        <x:v>多项目集成</x:v>
      </x:c>
      <x:c r="D205" s="82" t="str">
        <x:v>完整工作链</x:v>
      </x:c>
      <x:c r="E205" s="82" t="str">
        <x:v>同VisualFrame→WPF/假想Web渲染后端</x:v>
      </x:c>
      <x:c r="F205" s="82" t="str">
        <x:v>不改Core/Visual源码即可替换绘制</x:v>
      </x:c>
      <x:c r="G205" s="82" t="str">
        <x:v>尚未执行</x:v>
      </x:c>
      <x:c r="H205" s="82" t="str">
        <x:v>覆盖正常/错误/取消/资源释放</x:v>
      </x:c>
      <x:c r="I205" s="82" t="str">
        <x:v>本轮设计</x:v>
      </x:c>
    </x:row>
    <x:row r="206">
      <x:c r="A206" s="82" t="str">
        <x:v>CASE-C20</x:v>
      </x:c>
      <x:c r="B206" s="82" t="str">
        <x:v>F12/P43-P53</x:v>
      </x:c>
      <x:c r="C206" s="82" t="str">
        <x:v>多项目集成</x:v>
      </x:c>
      <x:c r="D206" s="82" t="str">
        <x:v>完整工作链</x:v>
      </x:c>
      <x:c r="E206" s="82" t="str">
        <x:v>CT独立3D Viewer使用Volume；2D编排WPF无Volume引用</x:v>
      </x:c>
      <x:c r="F206" s="82" t="str">
        <x:v>WPF图元编排独立启动</x:v>
      </x:c>
      <x:c r="G206" s="82" t="str">
        <x:v>尚未执行</x:v>
      </x:c>
      <x:c r="H206" s="82" t="str">
        <x:v>覆盖正常/错误/取消/资源释放</x:v>
      </x:c>
      <x:c r="I206" s="82" t="str">
        <x:v>本轮设计</x:v>
      </x:c>
    </x:row>
    <x:row r="207">
      <x:c r="A207" s="82"/>
      <x:c r="B207" s="82"/>
      <x:c r="C207" s="82"/>
      <x:c r="D207" s="82"/>
      <x:c r="E207" s="82"/>
      <x:c r="F207" s="82"/>
      <x:c r="G207" s="82"/>
      <x:c r="H207" s="82"/>
      <x:c r="I207" s="82"/>
    </x:row>
    <x:row r="208">
      <x:c r="A208" s="82"/>
      <x:c r="B208" s="82"/>
      <x:c r="C208" s="82"/>
      <x:c r="D208" s="82"/>
      <x:c r="E208" s="82"/>
      <x:c r="F208" s="82"/>
      <x:c r="G208" s="82"/>
      <x:c r="H208" s="82"/>
      <x:c r="I208" s="82"/>
    </x:row>
    <x:row r="209" ht="27" customHeight="1">
      <x:c r="A209" s="108" t="str">
        <x:v>C. R3-A Core不变量及反例（30条）</x:v>
      </x:c>
      <x:c r="B209" s="108"/>
      <x:c r="C209" s="108"/>
      <x:c r="D209" s="108"/>
      <x:c r="E209" s="108"/>
      <x:c r="F209" s="108"/>
      <x:c r="G209" s="108"/>
      <x:c r="H209" s="108"/>
      <x:c r="I209" s="108"/>
    </x:row>
    <x:row r="210">
      <x:c r="A210" s="82" t="str">
        <x:v>规则ID</x:v>
      </x:c>
      <x:c r="B210" s="82" t="str">
        <x:v>子方面</x:v>
      </x:c>
      <x:c r="C210" s="82" t="str">
        <x:v>不变量</x:v>
      </x:c>
      <x:c r="D210" s="82" t="str">
        <x:v>必须满足的约束</x:v>
      </x:c>
      <x:c r="E210" s="82" t="str">
        <x:v>触发反例</x:v>
      </x:c>
      <x:c r="F210" s="82" t="str">
        <x:v>通过标准</x:v>
      </x:c>
      <x:c r="G210" s="82" t="str">
        <x:v>关联验收</x:v>
      </x:c>
      <x:c r="H210" s="82"/>
      <x:c r="I210" s="82"/>
    </x:row>
    <x:row r="211">
      <x:c r="A211" s="82" t="str">
        <x:v>INV-01</x:v>
      </x:c>
      <x:c r="B211" s="82" t="str">
        <x:v>M01</x:v>
      </x:c>
      <x:c r="C211" s="82" t="str">
        <x:v>唯一对象归属</x:v>
      </x:c>
      <x:c r="D211" s="82" t="str">
        <x:v>非根节点恰有1个Owner；同Project不可2次挂载</x:v>
      </x:c>
      <x:c r="E211" s="82" t="str">
        <x:v>构造两个Parent尝试挂同一Element</x:v>
      </x:c>
      <x:c r="F211" s="82" t="str">
        <x:v>第二次提交失败且无状态改变</x:v>
      </x:c>
      <x:c r="G211" s="82" t="str">
        <x:v>T01</x:v>
      </x:c>
      <x:c r="H211" s="82"/>
      <x:c r="I211" s="82"/>
    </x:row>
    <x:row r="212">
      <x:c r="A212" s="82" t="str">
        <x:v>INV-02</x:v>
      </x:c>
      <x:c r="B212" s="82" t="str">
        <x:v>M01</x:v>
      </x:c>
      <x:c r="C212" s="82" t="str">
        <x:v>Owner无环</x:v>
      </x:c>
      <x:c r="D212" s="82" t="str">
        <x:v>Owner链不得存在祖先回挂</x:v>
      </x:c>
      <x:c r="E212" s="82" t="str">
        <x:v>A→B→C，再尝试C→A</x:v>
      </x:c>
      <x:c r="F212" s="82" t="str">
        <x:v>拒绝Cycle，索引未被更改</x:v>
      </x:c>
      <x:c r="G212" s="82" t="str">
        <x:v>T01</x:v>
      </x:c>
      <x:c r="H212" s="82"/>
      <x:c r="I212" s="82"/>
    </x:row>
    <x:row r="213">
      <x:c r="A213" s="82" t="str">
        <x:v>INV-03</x:v>
      </x:c>
      <x:c r="B213" s="82" t="str">
        <x:v>M01</x:v>
      </x:c>
      <x:c r="C213" s="82" t="str">
        <x:v>稳定ID</x:v>
      </x:c>
      <x:c r="D213" s="82" t="str">
        <x:v>NodeId创建后不可变、Project域唯一</x:v>
      </x:c>
      <x:c r="E213" s="82" t="str">
        <x:v>相同ID创建2节点</x:v>
      </x:c>
      <x:c r="F213" s="82" t="str">
        <x:v>拒绝DuplicateId</x:v>
      </x:c>
      <x:c r="G213" s="82" t="str">
        <x:v>T02</x:v>
      </x:c>
      <x:c r="H213" s="82"/>
      <x:c r="I213" s="82"/>
    </x:row>
    <x:row r="214">
      <x:c r="A214" s="82" t="str">
        <x:v>INV-04</x:v>
      </x:c>
      <x:c r="B214" s="82" t="str">
        <x:v>M01</x:v>
      </x:c>
      <x:c r="C214" s="82" t="str">
        <x:v>强类型子集投影</x:v>
      </x:c>
      <x:c r="D214" s="82" t="str">
        <x:v>ChildNodes只从OwnedContents/Groups等现有集合计算</x:v>
      </x:c>
      <x:c r="E214" s="82" t="str">
        <x:v>序列化后检查Tree与强类型集合</x:v>
      </x:c>
      <x:c r="F214" s="82" t="str">
        <x:v>不存在第二份可写OwnerTree</x:v>
      </x:c>
      <x:c r="G214" s="82" t="str">
        <x:v>T01</x:v>
      </x:c>
      <x:c r="H214" s="82"/>
      <x:c r="I214" s="82"/>
    </x:row>
    <x:row r="215">
      <x:c r="A215" s="82" t="str">
        <x:v>INV-05</x:v>
      </x:c>
      <x:c r="B215" s="82" t="str">
        <x:v>M02</x:v>
      </x:c>
      <x:c r="C215" s="82" t="str">
        <x:v>Symbol单根Group</x:v>
      </x:c>
      <x:c r="D215" s="82" t="str">
        <x:v>SymbolDefinition只拥有1个RootGroup</x:v>
      </x:c>
      <x:c r="E215" s="82" t="str">
        <x:v>构造两RootGroup</x:v>
      </x:c>
      <x:c r="F215" s="82" t="str">
        <x:v>拒绝Schema</x:v>
      </x:c>
      <x:c r="G215" s="82" t="str">
        <x:v>T03</x:v>
      </x:c>
      <x:c r="H215" s="82"/>
      <x:c r="I215" s="82"/>
    </x:row>
    <x:row r="216">
      <x:c r="A216" s="82" t="str">
        <x:v>INV-06</x:v>
      </x:c>
      <x:c r="B216" s="82" t="str">
        <x:v>M02</x:v>
      </x:c>
      <x:c r="C216" s="82" t="str">
        <x:v>实例不污染定义</x:v>
      </x:c>
      <x:c r="D216" s="82" t="str">
        <x:v>引用位置和Override不改SymbolDefinition</x:v>
      </x:c>
      <x:c r="E216" s="82" t="str">
        <x:v>修改引用#3的Transform</x:v>
      </x:c>
      <x:c r="F216" s="82" t="str">
        <x:v>其他实例/定义保持原值</x:v>
      </x:c>
      <x:c r="G216" s="82" t="str">
        <x:v>T03</x:v>
      </x:c>
      <x:c r="H216" s="82"/>
      <x:c r="I216" s="82"/>
    </x:row>
    <x:row r="217">
      <x:c r="A217" s="82" t="str">
        <x:v>INV-07</x:v>
      </x:c>
      <x:c r="B217" s="82" t="str">
        <x:v>M02</x:v>
      </x:c>
      <x:c r="C217" s="82" t="str">
        <x:v>Content组合边界</x:v>
      </x:c>
      <x:c r="D217" s="82" t="str">
        <x:v>ContentRef和OwnedContent不同</x:v>
      </x:c>
      <x:c r="E217" s="82" t="str">
        <x:v>同一目标被引用3次</x:v>
      </x:c>
      <x:c r="F217" s="82" t="str">
        <x:v>目标仍只有1个Owner</x:v>
      </x:c>
      <x:c r="G217" s="82" t="str">
        <x:v>T04</x:v>
      </x:c>
      <x:c r="H217" s="82"/>
      <x:c r="I217" s="82"/>
    </x:row>
    <x:row r="218">
      <x:c r="A218" s="82" t="str">
        <x:v>INV-08</x:v>
      </x:c>
      <x:c r="B218" s="82" t="str">
        <x:v>M02</x:v>
      </x:c>
      <x:c r="C218" s="82" t="str">
        <x:v>旧VisualChildren迁移</x:v>
      </x:c>
      <x:c r="D218" s="82" t="str">
        <x:v>V7.8直接子Element必须可无损读取或显式失败</x:v>
      </x:c>
      <x:c r="E218" s="82" t="str">
        <x:v>导入老Content含VisualChildren</x:v>
      </x:c>
      <x:c r="F218" s="82" t="str">
        <x:v>ID/顺序/样式可回读</x:v>
      </x:c>
      <x:c r="G218" s="82" t="str">
        <x:v>T14</x:v>
      </x:c>
      <x:c r="H218" s="82"/>
      <x:c r="I218" s="82"/>
    </x:row>
    <x:row r="219">
      <x:c r="A219" s="82" t="str">
        <x:v>INV-09</x:v>
      </x:c>
      <x:c r="B219" s="82" t="str">
        <x:v>M03</x:v>
      </x:c>
      <x:c r="C219" s="82" t="str">
        <x:v>缺失引用不丢</x:v>
      </x:c>
      <x:c r="D219" s="82" t="str">
        <x:v>即使目标失效也保留ReferenceToken</x:v>
      </x:c>
      <x:c r="E219" s="82" t="str">
        <x:v>删除目标后加载工程</x:v>
      </x:c>
      <x:c r="F219" s="82" t="str">
        <x:v>Missing但引用记录不消失</x:v>
      </x:c>
      <x:c r="G219" s="82" t="str">
        <x:v>T04</x:v>
      </x:c>
      <x:c r="H219" s="82"/>
      <x:c r="I219" s="82"/>
    </x:row>
    <x:row r="220">
      <x:c r="A220" s="82" t="str">
        <x:v>INV-10</x:v>
      </x:c>
      <x:c r="B220" s="82" t="str">
        <x:v>M03</x:v>
      </x:c>
      <x:c r="C220" s="82" t="str">
        <x:v>引用环不误认为Owner环</x:v>
      </x:c>
      <x:c r="D220" s="82" t="str">
        <x:v>独立判断ReferenceLoop与OwnerCycle</x:v>
      </x:c>
      <x:c r="E220" s="82" t="str">
        <x:v>A引用B，B引用A</x:v>
      </x:c>
      <x:c r="F220" s="82" t="str">
        <x:v>按引用策略报告，不污染Owner</x:v>
      </x:c>
      <x:c r="G220" s="82" t="str">
        <x:v>T04</x:v>
      </x:c>
      <x:c r="H220" s="82"/>
      <x:c r="I220" s="82"/>
    </x:row>
    <x:row r="221">
      <x:c r="A221" s="82" t="str">
        <x:v>INV-11</x:v>
      </x:c>
      <x:c r="B221" s="82" t="str">
        <x:v>M03</x:v>
      </x:c>
      <x:c r="C221" s="82" t="str">
        <x:v>ID重映射闭合</x:v>
      </x:c>
      <x:c r="D221" s="82" t="str">
        <x:v>导入复制后内部Ref全部更新为新ID</x:v>
      </x:c>
      <x:c r="E221" s="82" t="str">
        <x:v>模板有3层Ref，重复导入</x:v>
      </x:c>
      <x:c r="F221" s="82" t="str">
        <x:v>新旧实例完全隔离</x:v>
      </x:c>
      <x:c r="G221" s="82" t="str">
        <x:v>T11</x:v>
      </x:c>
      <x:c r="H221" s="82"/>
      <x:c r="I221" s="82"/>
    </x:row>
    <x:row r="222">
      <x:c r="A222" s="82" t="str">
        <x:v>INV-12</x:v>
      </x:c>
      <x:c r="B222" s="82" t="str">
        <x:v>M04</x:v>
      </x:c>
      <x:c r="C222" s="82" t="str">
        <x:v>元数据稳定</x:v>
      </x:c>
      <x:c r="D222" s="82" t="str">
        <x:v>PropertyId不随显示名或UI控件更改</x:v>
      </x:c>
      <x:c r="E222" s="82" t="str">
        <x:v>重命名DisplayName</x:v>
      </x:c>
      <x:c r="F222" s="82" t="str">
        <x:v>绑定仍有效</x:v>
      </x:c>
      <x:c r="G222" s="82" t="str">
        <x:v>T05</x:v>
      </x:c>
      <x:c r="H222" s="82"/>
      <x:c r="I222" s="82"/>
    </x:row>
    <x:row r="223">
      <x:c r="A223" s="82" t="str">
        <x:v>INV-13</x:v>
      </x:c>
      <x:c r="B223" s="82" t="str">
        <x:v>M04</x:v>
      </x:c>
      <x:c r="C223" s="82" t="str">
        <x:v>只读属性受Core保护</x:v>
      </x:c>
      <x:c r="D223" s="82" t="str">
        <x:v>WPF禁用不能替代Core校验</x:v>
      </x:c>
      <x:c r="E223" s="82" t="str">
        <x:v>直接API修改ReadOnly属性</x:v>
      </x:c>
      <x:c r="F223" s="82" t="str">
        <x:v>拒绝且无副作用</x:v>
      </x:c>
      <x:c r="G223" s="82" t="str">
        <x:v>T05</x:v>
      </x:c>
      <x:c r="H223" s="82"/>
      <x:c r="I223" s="82"/>
    </x:row>
    <x:row r="224">
      <x:c r="A224" s="82" t="str">
        <x:v>INV-14</x:v>
      </x:c>
      <x:c r="B224" s="82" t="str">
        <x:v>M05</x:v>
      </x:c>
      <x:c r="C224" s="82" t="str">
        <x:v>端口方向和类型</x:v>
      </x:c>
      <x:c r="D224" s="82" t="str">
        <x:v>Output→Input、类型/量纲/基数必须兼容</x:v>
      </x:c>
      <x:c r="E224" s="82" t="str">
        <x:v>非法类型连线</x:v>
      </x:c>
      <x:c r="F224" s="82" t="str">
        <x:v>拒绝且不显示已提交连接</x:v>
      </x:c>
      <x:c r="G224" s="82" t="str">
        <x:v>T06</x:v>
      </x:c>
      <x:c r="H224" s="82"/>
      <x:c r="I224" s="82"/>
    </x:row>
    <x:row r="225">
      <x:c r="A225" s="82" t="str">
        <x:v>INV-15</x:v>
      </x:c>
      <x:c r="B225" s="82" t="str">
        <x:v>M05</x:v>
      </x:c>
      <x:c r="C225" s="82" t="str">
        <x:v>通用连接非逻辑连线</x:v>
      </x:c>
      <x:c r="D225" s="82" t="str">
        <x:v>CxConnectionDefinition不能悄悄充当LogicLink</x:v>
      </x:c>
      <x:c r="E225" s="82" t="str">
        <x:v>普通画线、流程连线各测试</x:v>
      </x:c>
      <x:c r="F225" s="82" t="str">
        <x:v>只有编排通过才修改LogicLink</x:v>
      </x:c>
      <x:c r="G225" s="82" t="str">
        <x:v>T06</x:v>
      </x:c>
      <x:c r="H225" s="82"/>
      <x:c r="I225" s="82"/>
    </x:row>
    <x:row r="226">
      <x:c r="A226" s="82" t="str">
        <x:v>INV-16</x:v>
      </x:c>
      <x:c r="B226" s="82" t="str">
        <x:v>M06</x:v>
      </x:c>
      <x:c r="C226" s="82" t="str">
        <x:v>时空单位显式</x:v>
      </x:c>
      <x:c r="D226" s="82" t="str">
        <x:v>坐标/单位/时间基准缺失不隐式Identity/1</x:v>
      </x:c>
      <x:c r="E226" s="82" t="str">
        <x:v>像素与世界坐标混接</x:v>
      </x:c>
      <x:c r="F226" s="82" t="str">
        <x:v>返回可诊断失败</x:v>
      </x:c>
      <x:c r="G226" s="82" t="str">
        <x:v>T07</x:v>
      </x:c>
      <x:c r="H226" s="82"/>
      <x:c r="I226" s="82"/>
    </x:row>
    <x:row r="227">
      <x:c r="A227" s="82" t="str">
        <x:v>INV-17</x:v>
      </x:c>
      <x:c r="B227" s="82" t="str">
        <x:v>M06</x:v>
      </x:c>
      <x:c r="C227" s="82" t="str">
        <x:v>物理校准独立</x:v>
      </x:c>
      <x:c r="D227" s="82" t="str">
        <x:v>Core不能持有专业设备实机校准执行</x:v>
      </x:c>
      <x:c r="E227" s="82" t="str">
        <x:v>CT设备无SDK时测试</x:v>
      </x:c>
      <x:c r="F227" s="82" t="str">
        <x:v>Core构建独立通过</x:v>
      </x:c>
      <x:c r="G227" s="82" t="str">
        <x:v>T07</x:v>
      </x:c>
      <x:c r="H227" s="82"/>
      <x:c r="I227" s="82"/>
    </x:row>
    <x:row r="228">
      <x:c r="A228" s="82" t="str">
        <x:v>INV-18</x:v>
      </x:c>
      <x:c r="B228" s="82" t="str">
        <x:v>M07</x:v>
      </x:c>
      <x:c r="C228" s="82" t="str">
        <x:v>整组原子</x:v>
      </x:c>
      <x:c r="D228" s="82" t="str">
        <x:v>批变更要么全成功，要么完全无变化</x:v>
      </x:c>
      <x:c r="E228" s="82" t="str">
        <x:v>第3条操作失败</x:v>
      </x:c>
      <x:c r="F228" s="82" t="str">
        <x:v>全量回滚/版本不变</x:v>
      </x:c>
      <x:c r="G228" s="82" t="str">
        <x:v>T08</x:v>
      </x:c>
      <x:c r="H228" s="82"/>
      <x:c r="I228" s="82"/>
    </x:row>
    <x:row r="229">
      <x:c r="A229" s="82" t="str">
        <x:v>INV-19</x:v>
      </x:c>
      <x:c r="B229" s="82" t="str">
        <x:v>M07</x:v>
      </x:c>
      <x:c r="C229" s="82" t="str">
        <x:v>乐观并发</x:v>
      </x:c>
      <x:c r="D229" s="82" t="str">
        <x:v>旧Revision无法覆盖新提交</x:v>
      </x:c>
      <x:c r="E229" s="82" t="str">
        <x:v>两文档交错提交</x:v>
      </x:c>
      <x:c r="F229" s="82" t="str">
        <x:v>第二方Conflict</x:v>
      </x:c>
      <x:c r="G229" s="82" t="str">
        <x:v>T09</x:v>
      </x:c>
      <x:c r="H229" s="82"/>
      <x:c r="I229" s="82"/>
    </x:row>
    <x:row r="230">
      <x:c r="A230" s="82" t="str">
        <x:v>INV-20</x:v>
      </x:c>
      <x:c r="B230" s="82" t="str">
        <x:v>M07</x:v>
      </x:c>
      <x:c r="C230" s="82" t="str">
        <x:v>Undo数据正确</x:v>
      </x:c>
      <x:c r="D230" s="82" t="str">
        <x:v>Undo变更经Core同样验证，Visual掌握编辑语义</x:v>
      </x:c>
      <x:c r="E230" s="82" t="str">
        <x:v>拖动1000次MouseMove</x:v>
      </x:c>
      <x:c r="F230" s="82" t="str">
        <x:v>1条History、1次核心提交</x:v>
      </x:c>
      <x:c r="G230" s="82" t="str">
        <x:v>T10</x:v>
      </x:c>
      <x:c r="H230" s="82"/>
      <x:c r="I230" s="82"/>
    </x:row>
    <x:row r="231">
      <x:c r="A231" s="82" t="str">
        <x:v>INV-21</x:v>
      </x:c>
      <x:c r="B231" s="82" t="str">
        <x:v>M07</x:v>
      </x:c>
      <x:c r="C231" s="82" t="str">
        <x:v>Redo再次校验</x:v>
      </x:c>
      <x:c r="D231" s="82" t="str">
        <x:v>Undo之后其他用户变更导致冲突</x:v>
      </x:c>
      <x:c r="E231" s="82" t="str">
        <x:v>外部变更后Redo</x:v>
      </x:c>
      <x:c r="F231" s="82" t="str">
        <x:v>返回Conflict且History保留</x:v>
      </x:c>
      <x:c r="G231" s="82" t="str">
        <x:v>T09</x:v>
      </x:c>
      <x:c r="H231" s="82"/>
      <x:c r="I231" s="82"/>
    </x:row>
    <x:row r="232">
      <x:c r="A232" s="82" t="str">
        <x:v>INV-22</x:v>
      </x:c>
      <x:c r="B232" s="82" t="str">
        <x:v>M07</x:v>
      </x:c>
      <x:c r="C232" s="82" t="str">
        <x:v>分布式运行不进入Core</x:v>
      </x:c>
      <x:c r="D232" s="82" t="str">
        <x:v>Outbox、Saga、Inbox实际执行在Runtime/Data</x:v>
      </x:c>
      <x:c r="E232" s="82" t="str">
        <x:v>仅引用Core并加载工程</x:v>
      </x:c>
      <x:c r="F232" s="82" t="str">
        <x:v>无网络/设备初始化</x:v>
      </x:c>
      <x:c r="G232" s="82" t="str">
        <x:v>T13</x:v>
      </x:c>
      <x:c r="H232" s="82"/>
      <x:c r="I232" s="82"/>
    </x:row>
    <x:row r="233">
      <x:c r="A233" s="82" t="str">
        <x:v>INV-23</x:v>
      </x:c>
      <x:c r="B233" s="82" t="str">
        <x:v>M08</x:v>
      </x:c>
      <x:c r="C233" s="82" t="str">
        <x:v>证据不可假造通过</x:v>
      </x:c>
      <x:c r="D233" s="82" t="str">
        <x:v>NotRun/MissingEvidence不能被标Pass</x:v>
      </x:c>
      <x:c r="E233" s="82" t="str">
        <x:v>无设备证据的HardwareTest</x:v>
      </x:c>
      <x:c r="F233" s="82" t="str">
        <x:v>报告NotRun或Inconclusive</x:v>
      </x:c>
      <x:c r="G233" s="82" t="str">
        <x:v>T12</x:v>
      </x:c>
      <x:c r="H233" s="82"/>
      <x:c r="I233" s="82"/>
    </x:row>
    <x:row r="234">
      <x:c r="A234" s="82" t="str">
        <x:v>INV-24</x:v>
      </x:c>
      <x:c r="B234" s="82" t="str">
        <x:v>M08</x:v>
      </x:c>
      <x:c r="C234" s="82" t="str">
        <x:v>验证与设备动作隔离</x:v>
      </x:c>
      <x:c r="D234" s="82" t="str">
        <x:v>报告评估不启动PLC/X-Ray</x:v>
      </x:c>
      <x:c r="E234" s="82" t="str">
        <x:v>调用Core验证器</x:v>
      </x:c>
      <x:c r="F234" s="82" t="str">
        <x:v>不出现设备SDK依赖</x:v>
      </x:c>
      <x:c r="G234" s="82" t="str">
        <x:v>T12</x:v>
      </x:c>
      <x:c r="H234" s="82"/>
      <x:c r="I234" s="82"/>
    </x:row>
    <x:row r="235">
      <x:c r="A235" s="82" t="str">
        <x:v>INV-25</x:v>
      </x:c>
      <x:c r="B235" s="82" t="str">
        <x:v>M38</x:v>
      </x:c>
      <x:c r="C235" s="82" t="str">
        <x:v>导入草稿隔离</x:v>
      </x:c>
      <x:c r="D235" s="82" t="str">
        <x:v>Deserialize/Import不得直接修改Project</x:v>
      </x:c>
      <x:c r="E235" s="82" t="str">
        <x:v>导入损坏/恶意数据</x:v>
      </x:c>
      <x:c r="F235" s="82" t="str">
        <x:v>完整拒绝、Project不变</x:v>
      </x:c>
      <x:c r="G235" s="82" t="str">
        <x:v>T11</x:v>
      </x:c>
      <x:c r="H235" s="82"/>
      <x:c r="I235" s="82"/>
    </x:row>
    <x:row r="236">
      <x:c r="A236" s="82" t="str">
        <x:v>INV-26</x:v>
      </x:c>
      <x:c r="B236" s="82" t="str">
        <x:v>M38</x:v>
      </x:c>
      <x:c r="C236" s="82" t="str">
        <x:v>序列化往返</x:v>
      </x:c>
      <x:c r="D236" s="82" t="str">
        <x:v>ID、Owner、Ref、Overrides、布局、未知字段策略一致</x:v>
      </x:c>
      <x:c r="E236" s="82" t="str">
        <x:v>新旧工程保存/加载</x:v>
      </x:c>
      <x:c r="F236" s="82" t="str">
        <x:v>无损或明确诊断</x:v>
      </x:c>
      <x:c r="G236" s="82" t="str">
        <x:v>T14</x:v>
      </x:c>
      <x:c r="H236" s="82"/>
      <x:c r="I236" s="82"/>
    </x:row>
    <x:row r="237">
      <x:c r="A237" s="82" t="str">
        <x:v>INV-27</x:v>
      </x:c>
      <x:c r="B237" s="82" t="str">
        <x:v>M38</x:v>
      </x:c>
      <x:c r="C237" s="82" t="str">
        <x:v>Schema版本兼容</x:v>
      </x:c>
      <x:c r="D237" s="82" t="str">
        <x:v>未知版本不得以空工程代替成功</x:v>
      </x:c>
      <x:c r="E237" s="82" t="str">
        <x:v>高版本项目文件</x:v>
      </x:c>
      <x:c r="F237" s="82" t="str">
        <x:v>SchemaUnsupported并保留原始文件</x:v>
      </x:c>
      <x:c r="G237" s="82" t="str">
        <x:v>T14</x:v>
      </x:c>
      <x:c r="H237" s="82"/>
      <x:c r="I237" s="82"/>
    </x:row>
    <x:row r="238">
      <x:c r="A238" s="82" t="str">
        <x:v>INV-28</x:v>
      </x:c>
      <x:c r="B238" s="82" t="str">
        <x:v>跨项目</x:v>
      </x:c>
      <x:c r="C238" s="82" t="str">
        <x:v>构建DAG</x:v>
      </x:c>
      <x:c r="D238" s="82" t="str">
        <x:v>Core不得引用Visual/WPF/Runtime/Professional</x:v>
      </x:c>
      <x:c r="E238" s="82" t="str">
        <x:v>静态扫描.csproj + 源码using</x:v>
      </x:c>
      <x:c r="F238" s="82" t="str">
        <x:v>0条禁用依赖</x:v>
      </x:c>
      <x:c r="G238" s="82" t="str">
        <x:v>T15</x:v>
      </x:c>
      <x:c r="H238" s="82"/>
      <x:c r="I238" s="82"/>
    </x:row>
    <x:row r="239">
      <x:c r="A239" s="82" t="str">
        <x:v>INV-29</x:v>
      </x:c>
      <x:c r="B239" s="82" t="str">
        <x:v>跨项目</x:v>
      </x:c>
      <x:c r="C239" s="82" t="str">
        <x:v>交互状态分离</x:v>
      </x:c>
      <x:c r="D239" s="82" t="str">
        <x:v>Selection/Zoom/DragPreview不进持久化Core</x:v>
      </x:c>
      <x:c r="E239" s="82" t="str">
        <x:v>双画布不同选中集</x:v>
      </x:c>
      <x:c r="F239" s="82" t="str">
        <x:v>不互相覆盖Selection</x:v>
      </x:c>
      <x:c r="G239" s="82" t="str">
        <x:v>T10</x:v>
      </x:c>
      <x:c r="H239" s="82"/>
      <x:c r="I239" s="82"/>
    </x:row>
    <x:row r="240">
      <x:c r="A240" s="82" t="str">
        <x:v>INV-30</x:v>
      </x:c>
      <x:c r="B240" s="82" t="str">
        <x:v>跨项目</x:v>
      </x:c>
      <x:c r="C240" s="82" t="str">
        <x:v>逻辑与布局独立</x:v>
      </x:c>
      <x:c r="D240" s="82" t="str">
        <x:v>LogicUnit语义不从Diagram布局推导</x:v>
      </x:c>
      <x:c r="E240" s="82" t="str">
        <x:v>自动布局重新排版</x:v>
      </x:c>
      <x:c r="F240" s="82" t="str">
        <x:v>编译计划不变</x:v>
      </x:c>
      <x:c r="G240" s="82" t="str">
        <x:v>T06</x:v>
      </x:c>
      <x:c r="H240" s="82"/>
      <x:c r="I240" s="82"/>
    </x:row>
    <x:row r="241">
      <x:c r="A241" s="82"/>
      <x:c r="B241" s="82"/>
      <x:c r="C241" s="82"/>
      <x:c r="D241" s="82"/>
      <x:c r="E241" s="82"/>
      <x:c r="F241" s="82"/>
      <x:c r="G241" s="82"/>
      <x:c r="H241" s="82"/>
      <x:c r="I241" s="82"/>
    </x:row>
    <x:row r="242">
      <x:c r="A242" s="82"/>
      <x:c r="B242" s="82"/>
      <x:c r="C242" s="82"/>
      <x:c r="D242" s="82"/>
      <x:c r="E242" s="82"/>
      <x:c r="F242" s="82"/>
      <x:c r="G242" s="82"/>
      <x:c r="H242" s="82"/>
      <x:c r="I242" s="82"/>
    </x:row>
    <x:row r="243" ht="27" customHeight="1">
      <x:c r="A243" s="108" t="str">
        <x:v>D. R3-A Core验收用例（17组，来自同一结构化源）</x:v>
      </x:c>
      <x:c r="B243" s="108"/>
      <x:c r="C243" s="108"/>
      <x:c r="D243" s="108"/>
      <x:c r="E243" s="108"/>
      <x:c r="F243" s="108"/>
      <x:c r="G243" s="108"/>
      <x:c r="H243" s="108"/>
      <x:c r="I243" s="108"/>
    </x:row>
    <x:row r="244">
      <x:c r="A244" s="82" t="str">
        <x:v>案例ID</x:v>
      </x:c>
      <x:c r="B244" s="82" t="str">
        <x:v>场景</x:v>
      </x:c>
      <x:c r="C244" s="82" t="str">
        <x:v>准备与反例</x:v>
      </x:c>
      <x:c r="D244" s="82" t="str">
        <x:v>执行调用</x:v>
      </x:c>
      <x:c r="E244" s="82" t="str">
        <x:v>正确结果</x:v>
      </x:c>
      <x:c r="F244" s="82" t="str">
        <x:v>关联M</x:v>
      </x:c>
      <x:c r="G244" s="82" t="str">
        <x:v>优先级</x:v>
      </x:c>
      <x:c r="H244" s="82" t="str">
        <x:v>验证状态</x:v>
      </x:c>
      <x:c r="I244" s="82"/>
    </x:row>
    <x:row r="245">
      <x:c r="A245" s="82" t="str">
        <x:v>T01</x:v>
      </x:c>
      <x:c r="B245" s="82" t="str">
        <x:v>Owner唯一/无环</x:v>
      </x:c>
      <x:c r="C245" s="82" t="str">
        <x:v>创建Project+Page+Content+Group+Element；再双Owner/反挂</x:v>
      </x:c>
      <x:c r="D245" s="82" t="str">
        <x:v>通过批提交创建；非法提交必须失败</x:v>
      </x:c>
      <x:c r="E245" s="82" t="str">
        <x:v>OwnerTree不重复、Revision不变、索引一致</x:v>
      </x:c>
      <x:c r="F245" s="82" t="str">
        <x:v>M01</x:v>
      </x:c>
      <x:c r="G245" s="82" t="str">
        <x:v>P0</x:v>
      </x:c>
      <x:c r="H245" s="82" t="str">
        <x:v>尚未执行</x:v>
      </x:c>
      <x:c r="I245" s="82"/>
    </x:row>
    <x:row r="246">
      <x:c r="A246" s="82" t="str">
        <x:v>T02</x:v>
      </x:c>
      <x:c r="B246" s="82" t="str">
        <x:v>对象ID稳定</x:v>
      </x:c>
      <x:c r="C246" s="82" t="str">
        <x:v>插入两个相同Id的Element</x:v>
      </x:c>
      <x:c r="D246" s="82" t="str">
        <x:v>第二个拒绝DuplicateId</x:v>
      </x:c>
      <x:c r="E246" s="82" t="str">
        <x:v>全局索引没有残留项</x:v>
      </x:c>
      <x:c r="F246" s="82" t="str">
        <x:v>M01</x:v>
      </x:c>
      <x:c r="G246" s="82" t="str">
        <x:v>P0</x:v>
      </x:c>
      <x:c r="H246" s="82" t="str">
        <x:v>尚未执行</x:v>
      </x:c>
      <x:c r="I246" s="82"/>
    </x:row>
    <x:row r="247">
      <x:c r="A247" s="82" t="str">
        <x:v>T03</x:v>
      </x:c>
      <x:c r="B247" s="82" t="str">
        <x:v>Symbol十实例</x:v>
      </x:c>
      <x:c r="C247" s="82" t="str">
        <x:v>一份SymbolDefinition加十个SymbolReference，修改#3 Override</x:v>
      </x:c>
      <x:c r="D247" s="82" t="str">
        <x:v>调用Symbol解析/实例化</x:v>
      </x:c>
      <x:c r="E247" s="82" t="str">
        <x:v>只实例#3变；定义和另九实例不变</x:v>
      </x:c>
      <x:c r="F247" s="82" t="str">
        <x:v>M02</x:v>
      </x:c>
      <x:c r="G247" s="82" t="str">
        <x:v>P0</x:v>
      </x:c>
      <x:c r="H247" s="82" t="str">
        <x:v>尚未执行</x:v>
      </x:c>
      <x:c r="I247" s="82"/>
    </x:row>
    <x:row r="248">
      <x:c r="A248" s="82" t="str">
        <x:v>T04</x:v>
      </x:c>
      <x:c r="B248" s="82" t="str">
        <x:v>ContentRef缺失及循环</x:v>
      </x:c>
      <x:c r="C248" s="82" t="str">
        <x:v>缺失目标、跨内容引用循环</x:v>
      </x:c>
      <x:c r="D248" s="82" t="str">
        <x:v>Resolve返回结构化错误并保留Token</x:v>
      </x:c>
      <x:c r="E248" s="82" t="str">
        <x:v>工程还能打开；Owner无环</x:v>
      </x:c>
      <x:c r="F248" s="82" t="str">
        <x:v>M02/M03</x:v>
      </x:c>
      <x:c r="G248" s="82" t="str">
        <x:v>P0</x:v>
      </x:c>
      <x:c r="H248" s="82" t="str">
        <x:v>尚未执行</x:v>
      </x:c>
      <x:c r="I248" s="82"/>
    </x:row>
    <x:row r="249">
      <x:c r="A249" s="82" t="str">
        <x:v>T05</x:v>
      </x:c>
      <x:c r="B249" s="82" t="str">
        <x:v>属性Schema误用</x:v>
      </x:c>
      <x:c r="C249" s="82" t="str">
        <x:v>尝试改只读属性、错误单位、错误枚举值</x:v>
      </x:c>
      <x:c r="D249" s="82" t="str">
        <x:v>Core IPropertyValidator 拒绝</x:v>
      </x:c>
      <x:c r="E249" s="82" t="str">
        <x:v>无副作用，Error可读</x:v>
      </x:c>
      <x:c r="F249" s="82" t="str">
        <x:v>M04</x:v>
      </x:c>
      <x:c r="G249" s="82" t="str">
        <x:v>P0</x:v>
      </x:c>
      <x:c r="H249" s="82" t="str">
        <x:v>尚未执行</x:v>
      </x:c>
      <x:c r="I249" s="82"/>
    </x:row>
    <x:row r="250">
      <x:c r="A250" s="82" t="str">
        <x:v>T06</x:v>
      </x:c>
      <x:c r="B250" s="82" t="str">
        <x:v>普通绘制线与编排连线</x:v>
      </x:c>
      <x:c r="C250" s="82" t="str">
        <x:v>分别画纯图元线和LogicLink</x:v>
      </x:c>
      <x:c r="D250" s="82" t="str">
        <x:v>FlowLink须Orchestration批准</x:v>
      </x:c>
      <x:c r="E250" s="82" t="str">
        <x:v>视觉线路不代表逻辑流生效</x:v>
      </x:c>
      <x:c r="F250" s="82" t="str">
        <x:v>M05/M18</x:v>
      </x:c>
      <x:c r="G250" s="82" t="str">
        <x:v>P0</x:v>
      </x:c>
      <x:c r="H250" s="82" t="str">
        <x:v>尚未执行</x:v>
      </x:c>
      <x:c r="I250" s="82"/>
    </x:row>
    <x:row r="251">
      <x:c r="A251" s="82" t="str">
        <x:v>T07</x:v>
      </x:c>
      <x:c r="B251" s="82" t="str">
        <x:v>时空单位转换失败</x:v>
      </x:c>
      <x:c r="C251" s="82" t="str">
        <x:v>像素→mm缺校准矩阵、UTC→设备时钟缺映射</x:v>
      </x:c>
      <x:c r="D251" s="82" t="str">
        <x:v>Contract校验失败</x:v>
      </x:c>
      <x:c r="E251" s="82" t="str">
        <x:v>不会静默Identity/同单位</x:v>
      </x:c>
      <x:c r="F251" s="82" t="str">
        <x:v>M06</x:v>
      </x:c>
      <x:c r="G251" s="82" t="str">
        <x:v>P0</x:v>
      </x:c>
      <x:c r="H251" s="82" t="str">
        <x:v>尚未执行</x:v>
      </x:c>
      <x:c r="I251" s="82"/>
    </x:row>
    <x:row r="252">
      <x:c r="A252" s="82" t="str">
        <x:v>T08</x:v>
      </x:c>
      <x:c r="B252" s="82" t="str">
        <x:v>原子事务回滚</x:v>
      </x:c>
      <x:c r="C252" s="82" t="str">
        <x:v>5操作中第3条非法，包含Owner/Ref/属性</x:v>
      </x:c>
      <x:c r="D252" s="82" t="str">
        <x:v>一次TryApply</x:v>
      </x:c>
      <x:c r="E252" s="82" t="str">
        <x:v>所有数据、索引、Revision与提交前一致</x:v>
      </x:c>
      <x:c r="F252" s="82" t="str">
        <x:v>M07</x:v>
      </x:c>
      <x:c r="G252" s="82" t="str">
        <x:v>P0</x:v>
      </x:c>
      <x:c r="H252" s="82" t="str">
        <x:v>尚未执行</x:v>
      </x:c>
      <x:c r="I252" s="82"/>
    </x:row>
    <x:row r="253">
      <x:c r="A253" s="82" t="str">
        <x:v>T09</x:v>
      </x:c>
      <x:c r="B253" s="82" t="str">
        <x:v>修订冲突</x:v>
      </x:c>
      <x:c r="C253" s="82" t="str">
        <x:v>窗口A/B并发编辑相同对象</x:v>
      </x:c>
      <x:c r="D253" s="82" t="str">
        <x:v>A提交后B以旧Revision提交</x:v>
      </x:c>
      <x:c r="E253" s="82" t="str">
        <x:v>B RevisionConflict；Undo/Redo不丢历史</x:v>
      </x:c>
      <x:c r="F253" s="82" t="str">
        <x:v>M07</x:v>
      </x:c>
      <x:c r="G253" s="82" t="str">
        <x:v>P0</x:v>
      </x:c>
      <x:c r="H253" s="82" t="str">
        <x:v>尚未执行</x:v>
      </x:c>
      <x:c r="I253" s="82"/>
    </x:row>
    <x:row r="254">
      <x:c r="A254" s="82" t="str">
        <x:v>T10</x:v>
      </x:c>
      <x:c r="B254" s="82" t="str">
        <x:v>一次复杂拖动单Undo</x:v>
      </x:c>
      <x:c r="C254" s="82" t="str">
        <x:v>多层Group拖动500个MouseMove，涉及实例Transform</x:v>
      </x:c>
      <x:c r="D254" s="82" t="str">
        <x:v>Visual累积预览，Core一次提交</x:v>
      </x:c>
      <x:c r="E254" s="82" t="str">
        <x:v>Undo恢复全部工程值、Selection由会话保持</x:v>
      </x:c>
      <x:c r="F254" s="82" t="str">
        <x:v>M07/M37</x:v>
      </x:c>
      <x:c r="G254" s="82" t="str">
        <x:v>P0</x:v>
      </x:c>
      <x:c r="H254" s="82" t="str">
        <x:v>尚未执行</x:v>
      </x:c>
      <x:c r="I254" s="82"/>
    </x:row>
    <x:row r="255">
      <x:c r="A255" s="82" t="str">
        <x:v>T11</x:v>
      </x:c>
      <x:c r="B255" s="82" t="str">
        <x:v>模板重复导入</x:v>
      </x:c>
      <x:c r="C255" s="82" t="str">
        <x:v>嵌套Symbol+Content引用导入两次</x:v>
      </x:c>
      <x:c r="D255" s="82" t="str">
        <x:v>先生成草稿、Remap、验证再Commit</x:v>
      </x:c>
      <x:c r="E255" s="82" t="str">
        <x:v>两次导入ID隔离，失败整组无污染</x:v>
      </x:c>
      <x:c r="F255" s="82" t="str">
        <x:v>M38</x:v>
      </x:c>
      <x:c r="G255" s="82" t="str">
        <x:v>P0</x:v>
      </x:c>
      <x:c r="H255" s="82" t="str">
        <x:v>尚未执行</x:v>
      </x:c>
      <x:c r="I255" s="82"/>
    </x:row>
    <x:row r="256">
      <x:c r="A256" s="82" t="str">
        <x:v>T12</x:v>
      </x:c>
      <x:c r="B256" s="82" t="str">
        <x:v>证据真假</x:v>
      </x:c>
      <x:c r="C256" s="82" t="str">
        <x:v>没有真实硬件证据仍要求HardwareTest通过</x:v>
      </x:c>
      <x:c r="D256" s="82" t="str">
        <x:v>IVerificationEngine.Evaluate</x:v>
      </x:c>
      <x:c r="E256" s="82" t="str">
        <x:v>NotRun/Inconclusive而不是Pass</x:v>
      </x:c>
      <x:c r="F256" s="82" t="str">
        <x:v>M08</x:v>
      </x:c>
      <x:c r="G256" s="82" t="str">
        <x:v>P0</x:v>
      </x:c>
      <x:c r="H256" s="82" t="str">
        <x:v>尚未执行</x:v>
      </x:c>
      <x:c r="I256" s="82"/>
    </x:row>
    <x:row r="257">
      <x:c r="A257" s="82" t="str">
        <x:v>T13</x:v>
      </x:c>
      <x:c r="B257" s="82" t="str">
        <x:v>可靠消息失联</x:v>
      </x:c>
      <x:c r="C257" s="82" t="str">
        <x:v>Outbox发布/Inbox重复/超时补偿</x:v>
      </x:c>
      <x:c r="D257" s="82" t="str">
        <x:v>Core构建与验证，不进行网络IO；Runtime执行</x:v>
      </x:c>
      <x:c r="E257" s="82" t="str">
        <x:v>重试可诊断且Core无SDK依赖</x:v>
      </x:c>
      <x:c r="F257" s="82" t="str">
        <x:v>M07/M30</x:v>
      </x:c>
      <x:c r="G257" s="82" t="str">
        <x:v>P1</x:v>
      </x:c>
      <x:c r="H257" s="82" t="str">
        <x:v>尚未执行</x:v>
      </x:c>
      <x:c r="I257" s="82"/>
    </x:row>
    <x:row r="258">
      <x:c r="A258" s="82" t="str">
        <x:v>T14</x:v>
      </x:c>
      <x:c r="B258" s="82" t="str">
        <x:v>旧工程完整往返</x:v>
      </x:c>
      <x:c r="C258" s="82" t="str">
        <x:v>V7.8含VisualChildren、LogicUnit.ViewPosition、未知字段</x:v>
      </x:c>
      <x:c r="D258" s="82" t="str">
        <x:v>旧工程导入迁移，再导出回载</x:v>
      </x:c>
      <x:c r="E258" s="82" t="str">
        <x:v>属性与引用保留；丢失应有显式告警</x:v>
      </x:c>
      <x:c r="F258" s="82" t="str">
        <x:v>M02/M38</x:v>
      </x:c>
      <x:c r="G258" s="82" t="str">
        <x:v>P0</x:v>
      </x:c>
      <x:c r="H258" s="82" t="str">
        <x:v>尚未执行</x:v>
      </x:c>
      <x:c r="I258" s="82"/>
    </x:row>
    <x:row r="259">
      <x:c r="A259" s="82" t="str">
        <x:v>T15</x:v>
      </x:c>
      <x:c r="B259" s="82" t="str">
        <x:v>无界面构建与执行</x:v>
      </x:c>
      <x:c r="C259" s="82" t="str">
        <x:v>在没有WPF程序集的Host引用Core+Orchestration+Runtime</x:v>
      </x:c>
      <x:c r="D259" s="82" t="str">
        <x:v>扫描项目依赖并执行流程</x:v>
      </x:c>
      <x:c r="E259" s="82" t="str">
        <x:v>无UI加载与循环引用</x:v>
      </x:c>
      <x:c r="F259" s="82" t="str">
        <x:v>跨机制</x:v>
      </x:c>
      <x:c r="G259" s="82" t="str">
        <x:v>P0</x:v>
      </x:c>
      <x:c r="H259" s="82" t="str">
        <x:v>尚未执行</x:v>
      </x:c>
      <x:c r="I259" s="82"/>
    </x:row>
    <x:row r="260">
      <x:c r="A260" s="82" t="str">
        <x:v>T16</x:v>
      </x:c>
      <x:c r="B260" s="82" t="str">
        <x:v>导入安全</x:v>
      </x:c>
      <x:c r="C260" s="82" t="str">
        <x:v>未知字段、巨大字段、无效Schema/序列化攻击</x:v>
      </x:c>
      <x:c r="D260" s="82" t="str">
        <x:v>Deserialize到隔离草稿</x:v>
      </x:c>
      <x:c r="E260" s="82" t="str">
        <x:v>限制大小、拒绝危险引用、工程不改变</x:v>
      </x:c>
      <x:c r="F260" s="82" t="str">
        <x:v>M38</x:v>
      </x:c>
      <x:c r="G260" s="82" t="str">
        <x:v>P0</x:v>
      </x:c>
      <x:c r="H260" s="82" t="str">
        <x:v>尚未执行</x:v>
      </x:c>
      <x:c r="I260" s="82"/>
    </x:row>
    <x:row r="261">
      <x:c r="A261" s="82" t="str">
        <x:v>T17</x:v>
      </x:c>
      <x:c r="B261" s="82" t="str">
        <x:v>双视图一致性</x:v>
      </x:c>
      <x:c r="C261" s="82" t="str">
        <x:v>两个WPF Canvas显示同一个Content</x:v>
      </x:c>
      <x:c r="D261" s="82" t="str">
        <x:v>A改变工程，B订阅Version刷新</x:v>
      </x:c>
      <x:c r="E261" s="82" t="str">
        <x:v>两套Zoom/Selection独立，共享唯一Core对象</x:v>
      </x:c>
      <x:c r="F261" s="82" t="str">
        <x:v>M01/M37</x:v>
      </x:c>
      <x:c r="G261" s="82" t="str">
        <x:v>P0</x:v>
      </x:c>
      <x:c r="H261" s="82" t="str">
        <x:v>尚未执行</x:v>
      </x:c>
      <x:c r="I261" s="82"/>
    </x:row>
    <x:row r="262">
      <x:c r="A262" s="82"/>
      <x:c r="B262" s="82"/>
      <x:c r="C262" s="82"/>
      <x:c r="D262" s="82"/>
      <x:c r="E262" s="82"/>
      <x:c r="F262" s="82"/>
      <x:c r="G262" s="82"/>
      <x:c r="H262" s="82"/>
      <x:c r="I262" s="82"/>
    </x:row>
    <x:row r="263">
      <x:c r="A263" s="82"/>
      <x:c r="B263" s="82"/>
      <x:c r="C263" s="82"/>
      <x:c r="D263" s="82"/>
      <x:c r="E263" s="82"/>
      <x:c r="F263" s="82"/>
      <x:c r="G263" s="82"/>
      <x:c r="H263" s="82"/>
      <x:c r="I263" s="82"/>
    </x:row>
    <x:row r="264" ht="27" customHeight="1">
      <x:c r="A264" s="108" t="str">
        <x:v>E. R1冲突及能力缺口（26项）</x:v>
      </x:c>
      <x:c r="B264" s="108"/>
      <x:c r="C264" s="108"/>
      <x:c r="D264" s="108"/>
      <x:c r="E264" s="108"/>
      <x:c r="F264" s="108"/>
      <x:c r="G264" s="108"/>
      <x:c r="H264" s="108"/>
      <x:c r="I264" s="108"/>
    </x:row>
    <x:row r="265">
      <x:c r="A265" s="82" t="str">
        <x:v>ID</x:v>
      </x:c>
      <x:c r="B265" s="82" t="str">
        <x:v>优先级</x:v>
      </x:c>
      <x:c r="C265" s="82" t="str">
        <x:v>问题</x:v>
      </x:c>
      <x:c r="D265" s="82" t="str">
        <x:v>建议边界/处理方式</x:v>
      </x:c>
      <x:c r="E265" s="82" t="str">
        <x:v>状态</x:v>
      </x:c>
      <x:c r="F265" s="82" t="str">
        <x:v>证据来源</x:v>
      </x:c>
      <x:c r="G265" s="82" t="str">
        <x:v>解决前的验收</x:v>
      </x:c>
      <x:c r="H265" s="82" t="str">
        <x:v>后续代码动作</x:v>
      </x:c>
      <x:c r="I265" s="82"/>
    </x:row>
    <x:row r="266">
      <x:c r="A266" s="82" t="str">
        <x:v>D01</x:v>
      </x:c>
      <x:c r="B266" s="82" t="str">
        <x:v>P0</x:v>
      </x:c>
      <x:c r="C266" s="82" t="str">
        <x:v>三方面方向</x:v>
      </x:c>
      <x:c r="D266" s="82" t="str">
        <x:v>Foundation不得依赖Mechanism；Mechanism不得依赖Professional；禁止反向引用</x:v>
      </x:c>
      <x:c r="E266" s="82" t="str">
        <x:v>已讨论定案</x:v>
      </x:c>
      <x:c r="F266" s="82" t="str">
        <x:v>V4.9/V5.0+近期讨论</x:v>
      </x:c>
      <x:c r="G266" s="82" t="str">
        <x:v>所有28项目静态依赖DAG检查</x:v>
      </x:c>
      <x:c r="H266" s="82" t="str">
        <x:v>待在V1.4 csproj/完整类型/API中落实</x:v>
      </x:c>
      <x:c r="I266" s="82"/>
    </x:row>
    <x:row r="267">
      <x:c r="A267" s="82" t="str">
        <x:v>D02</x:v>
      </x:c>
      <x:c r="B267" s="82" t="str">
        <x:v>P0</x:v>
      </x:c>
      <x:c r="C267" s="82" t="str">
        <x:v>Core对象树</x:v>
      </x:c>
      <x:c r="D267" s="82" t="str">
        <x:v>Project/Page/Content/Symbol/Group/Element共用CxNode对象身份，Graph不独立持久化</x:v>
      </x:c>
      <x:c r="E267" s="82" t="str">
        <x:v>已讨论定案</x:v>
      </x:c>
      <x:c r="F267" s="82" t="str">
        <x:v>V7.8+近期讨论</x:v>
      </x:c>
      <x:c r="G267" s="82" t="str">
        <x:v>保存加载与循环Ownership校验</x:v>
      </x:c>
      <x:c r="H267" s="82" t="str">
        <x:v>待在V1.4 csproj/完整类型/API中落实</x:v>
      </x:c>
      <x:c r="I267" s="82"/>
    </x:row>
    <x:row r="268">
      <x:c r="A268" s="82" t="str">
        <x:v>D03</x:v>
      </x:c>
      <x:c r="B268" s="82" t="str">
        <x:v>P0</x:v>
      </x:c>
      <x:c r="C268" s="82" t="str">
        <x:v>Content复用</x:v>
      </x:c>
      <x:c r="D268" s="82" t="str">
        <x:v>ContentRef、SymbolRef与Ownership严格分离，Symbol以一个RootGroup为主体</x:v>
      </x:c>
      <x:c r="E268" s="82" t="str">
        <x:v>已讨论定案</x:v>
      </x:c>
      <x:c r="F268" s="82" t="str">
        <x:v>近期讨论</x:v>
      </x:c>
      <x:c r="G268" s="82" t="str">
        <x:v>10实例复用与缺失引用测试</x:v>
      </x:c>
      <x:c r="H268" s="82" t="str">
        <x:v>待在V1.4 csproj/完整类型/API中落实</x:v>
      </x:c>
      <x:c r="I268" s="82"/>
    </x:row>
    <x:row r="269">
      <x:c r="A269" s="82" t="str">
        <x:v>D04</x:v>
      </x:c>
      <x:c r="B269" s="82" t="str">
        <x:v>P0</x:v>
      </x:c>
      <x:c r="C269" s="82" t="str">
        <x:v>Core M07</x:v>
      </x:c>
      <x:c r="D269" s="82" t="str">
        <x:v>数据修改事务、变更集、提交/回滚、约束；不感知拖动/选中/Handle</x:v>
      </x:c>
      <x:c r="E269" s="82" t="str">
        <x:v>已讨论定案</x:v>
      </x:c>
      <x:c r="F269" s="82" t="str">
        <x:v>用户明确修正</x:v>
      </x:c>
      <x:c r="G269" s="82" t="str">
        <x:v>普通数据变更、跨对象原子性</x:v>
      </x:c>
      <x:c r="H269" s="82" t="str">
        <x:v>待在V1.4 csproj/完整类型/API中落实</x:v>
      </x:c>
      <x:c r="I269" s="82"/>
    </x:row>
    <x:row r="270">
      <x:c r="A270" s="82" t="str">
        <x:v>D05</x:v>
      </x:c>
      <x:c r="B270" s="82" t="str">
        <x:v>P0</x:v>
      </x:c>
      <x:c r="C270" s="82" t="str">
        <x:v>Visual M37</x:v>
      </x:c>
      <x:c r="D270" s="82" t="str">
        <x:v>可视操作、选择、拖动、Handle、复合Undo/Redo属于Visual</x:v>
      </x:c>
      <x:c r="E270" s="82" t="str">
        <x:v>已讨论定案</x:v>
      </x:c>
      <x:c r="F270" s="82" t="str">
        <x:v>用户明确修正</x:v>
      </x:c>
      <x:c r="G270" s="82" t="str">
        <x:v>500步拖动只产生1条Undo</x:v>
      </x:c>
      <x:c r="H270" s="82" t="str">
        <x:v>待在V1.4 csproj/完整类型/API中落实</x:v>
      </x:c>
      <x:c r="I270" s="82"/>
    </x:row>
    <x:row r="271">
      <x:c r="A271" s="82" t="str">
        <x:v>D06</x:v>
      </x:c>
      <x:c r="B271" s="82" t="str">
        <x:v>P0</x:v>
      </x:c>
      <x:c r="C271" s="82" t="str">
        <x:v>Mechanism.Visual技术无关</x:v>
      </x:c>
      <x:c r="D271" s="82" t="str">
        <x:v>Visual禁止引用WPF/WinForms/WebView/OpenGL；计算可视模型及绘制描述</x:v>
      </x:c>
      <x:c r="E271" s="82" t="str">
        <x:v>已讨论定案</x:v>
      </x:c>
      <x:c r="F271" s="82" t="str">
        <x:v>用户明确确认</x:v>
      </x:c>
      <x:c r="G271" s="82" t="str">
        <x:v>无UI独立测试和依赖扫描</x:v>
      </x:c>
      <x:c r="H271" s="82" t="str">
        <x:v>待在V1.4 csproj/完整类型/API中落实</x:v>
      </x:c>
      <x:c r="I271" s="82"/>
    </x:row>
    <x:row r="272">
      <x:c r="A272" s="82" t="str">
        <x:v>D07</x:v>
      </x:c>
      <x:c r="B272" s="82" t="str">
        <x:v>P0</x:v>
      </x:c>
      <x:c r="C272" s="82" t="str">
        <x:v>WPF项目归属</x:v>
      </x:c>
      <x:c r="D272" s="82" t="str">
        <x:v>单独Mechanism.Presentation.Wpf（无M编号），可以引用Core/Visual/F.Geometry/F.Imaging</x:v>
      </x:c>
      <x:c r="E272" s="82" t="str">
        <x:v>已讨论定案</x:v>
      </x:c>
      <x:c r="F272" s="82" t="str">
        <x:v>近期讨论</x:v>
      </x:c>
      <x:c r="G272" s="82" t="str">
        <x:v>不得有重复工程树或选择权威状态</x:v>
      </x:c>
      <x:c r="H272" s="82" t="str">
        <x:v>待在V1.4 csproj/完整类型/API中落实</x:v>
      </x:c>
      <x:c r="I272" s="82"/>
    </x:row>
    <x:row r="273">
      <x:c r="A273" s="82" t="str">
        <x:v>D08</x:v>
      </x:c>
      <x:c r="B273" s="82" t="str">
        <x:v>P0</x:v>
      </x:c>
      <x:c r="C273" s="82" t="str">
        <x:v>WPF体绘隔离</x:v>
      </x:c>
      <x:c r="D273" s="82" t="str">
        <x:v>Mechanism.Presentation.Wpf不引用Foundation.Volume；3D独立</x:v>
      </x:c>
      <x:c r="E273" s="82" t="str">
        <x:v>已讨论定案</x:v>
      </x:c>
      <x:c r="F273" s="82" t="str">
        <x:v>用户明确确认</x:v>
      </x:c>
      <x:c r="G273" s="82" t="str">
        <x:v>WPF无Volume及VTK引用</x:v>
      </x:c>
      <x:c r="H273" s="82" t="str">
        <x:v>待在V1.4 csproj/完整类型/API中落实</x:v>
      </x:c>
      <x:c r="I273" s="82"/>
    </x:row>
    <x:row r="274">
      <x:c r="A274" s="82" t="str">
        <x:v>D09</x:v>
      </x:c>
      <x:c r="B274" s="82" t="str">
        <x:v>P0</x:v>
      </x:c>
      <x:c r="C274" s="82" t="str">
        <x:v>M38归属</x:v>
      </x:c>
      <x:c r="D274" s="82" t="str">
        <x:v>模板/工程导入导出通用契约暂归Mechanism.Core，不是Visual或Lifecycle</x:v>
      </x:c>
      <x:c r="E274" s="82" t="str">
        <x:v>基本认同，正式规格待Owner冻结</x:v>
      </x:c>
      <x:c r="F274" s="82" t="str">
        <x:v>近期讨论</x:v>
      </x:c>
      <x:c r="G274" s="82" t="str">
        <x:v>格式适配不得造成循环依赖</x:v>
      </x:c>
      <x:c r="H274" s="82" t="str">
        <x:v>待在V1.4 csproj/完整类型/API中落实</x:v>
      </x:c>
      <x:c r="I274" s="82"/>
    </x:row>
    <x:row r="275">
      <x:c r="A275" s="82" t="str">
        <x:v>D10</x:v>
      </x:c>
      <x:c r="B275" s="82" t="str">
        <x:v>P1</x:v>
      </x:c>
      <x:c r="C275" s="82" t="str">
        <x:v>M34归属</x:v>
      </x:c>
      <x:c r="D275" s="82" t="str">
        <x:v>通用仿真机制归Mechanism.Runtime，专业虚拟设备归Professional.Simulation</x:v>
      </x:c>
      <x:c r="E275" s="82" t="str">
        <x:v>拟定方案</x:v>
      </x:c>
      <x:c r="F275" s="82" t="str">
        <x:v>近期讨论</x:v>
      </x:c>
      <x:c r="G275" s="82" t="str">
        <x:v>仿真/真实硬件隔离</x:v>
      </x:c>
      <x:c r="H275" s="82" t="str">
        <x:v>待在V1.4 csproj/完整类型/API中落实</x:v>
      </x:c>
      <x:c r="I275" s="82"/>
    </x:row>
    <x:row r="276">
      <x:c r="A276" s="82" t="str">
        <x:v>D11</x:v>
      </x:c>
      <x:c r="B276" s="82" t="str">
        <x:v>P0</x:v>
      </x:c>
      <x:c r="C276" s="82" t="str">
        <x:v>Logic与Diagram</x:v>
      </x:c>
      <x:c r="D276" s="82" t="str">
        <x:v>逻辑定义唯一，布局可多份；持久Layout绑定稳定LogicUnit ID</x:v>
      </x:c>
      <x:c r="E276" s="82" t="str">
        <x:v>基本认同，具体DTO待定</x:v>
      </x:c>
      <x:c r="F276" s="82" t="str">
        <x:v>近期讨论</x:v>
      </x:c>
      <x:c r="G276" s="82" t="str">
        <x:v>双布局/缺Unit布局兼容测试</x:v>
      </x:c>
      <x:c r="H276" s="82" t="str">
        <x:v>待在V1.4 csproj/完整类型/API中落实</x:v>
      </x:c>
      <x:c r="I276" s="82"/>
    </x:row>
    <x:row r="277">
      <x:c r="A277" s="82" t="str">
        <x:v>D12</x:v>
      </x:c>
      <x:c r="B277" s="82" t="str">
        <x:v>P0</x:v>
      </x:c>
      <x:c r="C277" s="82" t="str">
        <x:v>全局编辑历史</x:v>
      </x:c>
      <x:c r="D277" s="82" t="str">
        <x:v>Visual提供可视Undo/Redo语义，跨非可视编辑的共享历史由上层编辑会话协调</x:v>
      </x:c>
      <x:c r="E277" s="82" t="str">
        <x:v>需定案</x:v>
      </x:c>
      <x:c r="F277" s="82" t="str">
        <x:v>近期讨论</x:v>
      </x:c>
      <x:c r="G277" s="82" t="str">
        <x:v>属性面板/可视拖动交叉Undo</x:v>
      </x:c>
      <x:c r="H277" s="82" t="str">
        <x:v>待在V1.4 csproj/完整类型/API中落实</x:v>
      </x:c>
      <x:c r="I277" s="82"/>
    </x:row>
    <x:row r="278">
      <x:c r="A278" s="82" t="str">
        <x:v>D13</x:v>
      </x:c>
      <x:c r="B278" s="82" t="str">
        <x:v>P0</x:v>
      </x:c>
      <x:c r="C278" s="82" t="str">
        <x:v>数据句柄</x:v>
      </x:c>
      <x:c r="D278" s="82" t="str">
        <x:v>DataHandle/DataLease/Artifact的所有权、引用和卸载策略跨专业统一</x:v>
      </x:c>
      <x:c r="E278" s="82" t="str">
        <x:v>需定案</x:v>
      </x:c>
      <x:c r="F278" s="82" t="str">
        <x:v>V4.9/V5.0</x:v>
      </x:c>
      <x:c r="G278" s="82" t="str">
        <x:v>2~10GB数据并发传递取消/释放</x:v>
      </x:c>
      <x:c r="H278" s="82" t="str">
        <x:v>待在V1.4 csproj/完整类型/API中落实</x:v>
      </x:c>
      <x:c r="I278" s="82"/>
    </x:row>
    <x:row r="279">
      <x:c r="A279" s="82" t="str">
        <x:v>D14</x:v>
      </x:c>
      <x:c r="B279" s="82" t="str">
        <x:v>P0</x:v>
      </x:c>
      <x:c r="C279" s="82" t="str">
        <x:v>流程执行</x:v>
      </x:c>
      <x:c r="D279" s="82" t="str">
        <x:v>Orchestration仅定义逻辑与语义；Runtime负责执行、资源和故障</x:v>
      </x:c>
      <x:c r="E279" s="82" t="str">
        <x:v>基本认同，编译计划Owner待定</x:v>
      </x:c>
      <x:c r="F279" s="82" t="str">
        <x:v>近期讨论</x:v>
      </x:c>
      <x:c r="G279" s="82" t="str">
        <x:v>无UI、故障恢复、子流程</x:v>
      </x:c>
      <x:c r="H279" s="82" t="str">
        <x:v>待在V1.4 csproj/完整类型/API中落实</x:v>
      </x:c>
      <x:c r="I279" s="82"/>
    </x:row>
    <x:row r="280">
      <x:c r="A280" s="82" t="str">
        <x:v>D15</x:v>
      </x:c>
      <x:c r="B280" s="82" t="str">
        <x:v>P0</x:v>
      </x:c>
      <x:c r="C280" s="82" t="str">
        <x:v>V7.8复用</x:v>
      </x:c>
      <x:c r="D280" s="82" t="str">
        <x:v>保留源码证据，优先成熟代码；同名只代表声明，不代表实现可用</x:v>
      </x:c>
      <x:c r="E280" s="82" t="str">
        <x:v>已讨论定案</x:v>
      </x:c>
      <x:c r="F280" s="82" t="str">
        <x:v>V5.0审核</x:v>
      </x:c>
      <x:c r="G280" s="82" t="str">
        <x:v>提取/重构需行为与回归测试</x:v>
      </x:c>
      <x:c r="H280" s="82" t="str">
        <x:v>待在V1.4 csproj/完整类型/API中落实</x:v>
      </x:c>
      <x:c r="I280" s="82"/>
    </x:row>
    <x:row r="281">
      <x:c r="A281" s="82" t="str">
        <x:v>D16</x:v>
      </x:c>
      <x:c r="B281" s="82" t="str">
        <x:v>P0</x:v>
      </x:c>
      <x:c r="C281" s="82" t="str">
        <x:v>WPF单向性</x:v>
      </x:c>
      <x:c r="D281" s="82" t="str">
        <x:v>Core/Visual不反向引用WPF，Runtime无UI依赖</x:v>
      </x:c>
      <x:c r="E281" s="82" t="str">
        <x:v>已讨论定案</x:v>
      </x:c>
      <x:c r="F281" s="82" t="str">
        <x:v>近期讨论</x:v>
      </x:c>
      <x:c r="G281" s="82" t="str">
        <x:v>DAG与反射扫描</x:v>
      </x:c>
      <x:c r="H281" s="82" t="str">
        <x:v>待在V1.4 csproj/完整类型/API中落实</x:v>
      </x:c>
      <x:c r="I281" s="82"/>
    </x:row>
    <x:row r="282">
      <x:c r="A282" s="82" t="str">
        <x:v>D17</x:v>
      </x:c>
      <x:c r="B282" s="82" t="str">
        <x:v>P0</x:v>
      </x:c>
      <x:c r="C282" s="82" t="str">
        <x:v>对象数量</x:v>
      </x:c>
      <x:c r="D282" s="82" t="str">
        <x:v>553项候选可合并/拆分/新增，但62子方面必须覆盖</x:v>
      </x:c>
      <x:c r="E282" s="82" t="str">
        <x:v>已讨论定案</x:v>
      </x:c>
      <x:c r="F282" s="82" t="str">
        <x:v>V4.9+用户指示</x:v>
      </x:c>
      <x:c r="G282" s="82" t="str">
        <x:v>裁决后仍映射完整62项</x:v>
      </x:c>
      <x:c r="H282" s="82" t="str">
        <x:v>待在V1.4 csproj/完整类型/API中落实</x:v>
      </x:c>
      <x:c r="I282" s="82"/>
    </x:row>
    <x:row r="283">
      <x:c r="A283" s="82" t="str">
        <x:v>D18</x:v>
      </x:c>
      <x:c r="B283" s="82" t="str">
        <x:v>P0</x:v>
      </x:c>
      <x:c r="C283" s="82" t="str">
        <x:v>公开签名</x:v>
      </x:c>
      <x:c r="D283" s="82" t="str">
        <x:v>V4.9行为动词不能直接视作可编译C#方法；逐项设计完整参数结果</x:v>
      </x:c>
      <x:c r="E283" s="82" t="str">
        <x:v>已讨论定案</x:v>
      </x:c>
      <x:c r="F283" s="82" t="str">
        <x:v>V5.0</x:v>
      </x:c>
      <x:c r="G283" s="82" t="str">
        <x:v>契约编译/异常/线程/所有权测试</x:v>
      </x:c>
      <x:c r="H283" s="82" t="str">
        <x:v>待在V1.4 csproj/完整类型/API中落实</x:v>
      </x:c>
      <x:c r="I283" s="82"/>
    </x:row>
    <x:row r="284">
      <x:c r="A284" s="82" t="str">
        <x:v>D19</x:v>
      </x:c>
      <x:c r="B284" s="82" t="str">
        <x:v>P1</x:v>
      </x:c>
      <x:c r="C284" s="82" t="str">
        <x:v>WPF技术实现</x:v>
      </x:c>
      <x:c r="D284" s="82" t="str">
        <x:v>现在只实现WPF；不预创建WinForms/WebView项目</x:v>
      </x:c>
      <x:c r="E284" s="82" t="str">
        <x:v>已讨论定案</x:v>
      </x:c>
      <x:c r="F284" s="82" t="str">
        <x:v>近期讨论</x:v>
      </x:c>
      <x:c r="G284" s="82" t="str">
        <x:v>WPF画布/Diagram闭环</x:v>
      </x:c>
      <x:c r="H284" s="82" t="str">
        <x:v>待在V1.4 csproj/完整类型/API中落实</x:v>
      </x:c>
      <x:c r="I284" s="82"/>
    </x:row>
    <x:row r="285">
      <x:c r="A285" s="82" t="str">
        <x:v>D20</x:v>
      </x:c>
      <x:c r="B285" s="82" t="str">
        <x:v>P1</x:v>
      </x:c>
      <x:c r="C285" s="82" t="str">
        <x:v>渲染范围</x:v>
      </x:c>
      <x:c r="D285" s="82" t="str">
        <x:v>2D图元渲染归Imaging/Visual/WPF协作；3D Viewer独立于通用2D WPF</x:v>
      </x:c>
      <x:c r="E285" s="82" t="str">
        <x:v>基本认同</x:v>
      </x:c>
      <x:c r="F285" s="82" t="str">
        <x:v>近期讨论</x:v>
      </x:c>
      <x:c r="G285" s="82" t="str">
        <x:v>普通图元、图像与3D Viewer独立运行</x:v>
      </x:c>
      <x:c r="H285" s="82" t="str">
        <x:v>待在V1.4 csproj/完整类型/API中落实</x:v>
      </x:c>
      <x:c r="I285" s="82"/>
    </x:row>
    <x:row r="286">
      <x:c r="A286" s="82" t="str">
        <x:v>I01</x:v>
      </x:c>
      <x:c r="B286" s="82" t="str">
        <x:v>P0</x:v>
      </x:c>
      <x:c r="C286" s="82" t="str">
        <x:v>V4.9 M534索引粘连</x:v>
      </x:c>
      <x:c r="D286" s="82" t="str">
        <x:v>CAP-EXEC01-010 WaitAll 和 CAP-EXEC01-011 WaitAny在文字导出时连成一行</x:v>
      </x:c>
      <x:c r="E286" s="82" t="str">
        <x:v>已在本册按CapabilityId拆分</x:v>
      </x:c>
      <x:c r="F286" s="82" t="str">
        <x:v>V4.9/02C</x:v>
      </x:c>
      <x:c r="G286" s="82" t="str">
        <x:v>核对原Excel原始两行</x:v>
      </x:c>
      <x:c r="H286" s="82" t="str">
        <x:v>仅对索引文本修复，未回写源V4.9</x:v>
      </x:c>
      <x:c r="I286" s="82"/>
    </x:row>
    <x:row r="287">
      <x:c r="A287" s="82" t="str">
        <x:v>I02</x:v>
      </x:c>
      <x:c r="B287" s="82" t="str">
        <x:v>P0</x:v>
      </x:c>
      <x:c r="C287" s="82" t="str">
        <x:v>旧式F22 vs M16 Viewport</x:v>
      </x:c>
      <x:c r="D287" s="82" t="str">
        <x:v>F22纯视口数学/几何；Visual管理用户当前Zoom/Pan/Selection</x:v>
      </x:c>
      <x:c r="E287" s="82" t="str">
        <x:v>需对象级冻结</x:v>
      </x:c>
      <x:c r="F287" s="82" t="str">
        <x:v>V4.9+最新讨论</x:v>
      </x:c>
      <x:c r="G287" s="82" t="str">
        <x:v>杜绝ViewportState重复Owner</x:v>
      </x:c>
      <x:c r="H287" s="82" t="str">
        <x:v>检查全部Viewport相关类</x:v>
      </x:c>
      <x:c r="I287" s="82"/>
    </x:row>
    <x:row r="288">
      <x:c r="A288" s="82" t="str">
        <x:v>I03</x:v>
      </x:c>
      <x:c r="B288" s="82" t="str">
        <x:v>P0</x:v>
      </x:c>
      <x:c r="C288" s="82" t="str">
        <x:v>跨专业Undo历史</x:v>
      </x:c>
      <x:c r="D288" s="82" t="str">
        <x:v>可视命令历史归Visual；非可视操作如何统一Undo顺序仍需上层协调</x:v>
      </x:c>
      <x:c r="E288" s="82" t="str">
        <x:v>待定</x:v>
      </x:c>
      <x:c r="F288" s="82" t="str">
        <x:v>最新用户意见</x:v>
      </x:c>
      <x:c r="G288" s="82" t="str">
        <x:v>两种编辑器交替撤销</x:v>
      </x:c>
      <x:c r="H288" s="82" t="str">
        <x:v>不要让Core理解Handle语义</x:v>
      </x:c>
      <x:c r="I288" s="82"/>
    </x:row>
    <x:row r="289">
      <x:c r="A289" s="82" t="str">
        <x:v>I04</x:v>
      </x:c>
      <x:c r="B289" s="82" t="str">
        <x:v>P0</x:v>
      </x:c>
      <x:c r="C289" s="82" t="str">
        <x:v>LogicUnit/Diagram真实Owner</x:v>
      </x:c>
      <x:c r="D289" s="82" t="str">
        <x:v>单一LogicDefinition+多份Layout；Orchestration/ Core定义界限待落API</x:v>
      </x:c>
      <x:c r="E289" s="82" t="str">
        <x:v>待定</x:v>
      </x:c>
      <x:c r="F289" s="82" t="str">
        <x:v>V7.8与最近讨论</x:v>
      </x:c>
      <x:c r="G289" s="82" t="str">
        <x:v>同Logic两布局和数据回写</x:v>
      </x:c>
      <x:c r="H289" s="82" t="str">
        <x:v>不同UI不复制造型树</x:v>
      </x:c>
      <x:c r="I289" s="82"/>
    </x:row>
    <x:row r="290">
      <x:c r="A290" s="82" t="str">
        <x:v>I05</x:v>
      </x:c>
      <x:c r="B290" s="82" t="str">
        <x:v>P0</x:v>
      </x:c>
      <x:c r="C290" s="82" t="str">
        <x:v>553候选规格欠签名</x:v>
      </x:c>
      <x:c r="D290" s="82" t="str">
        <x:v>V4.9字段大部分仅为属性名/行为词；仍需逐对象完整API设计</x:v>
      </x:c>
      <x:c r="E290" s="82" t="str">
        <x:v>需深化</x:v>
      </x:c>
      <x:c r="F290" s="82" t="str">
        <x:v>V5.0</x:v>
      </x:c>
      <x:c r="G290" s="82" t="str">
        <x:v>不得把行为词直接生成方法</x:v>
      </x:c>
      <x:c r="H290" s="82" t="str">
        <x:v>源事实与草案严格分离</x:v>
      </x:c>
      <x:c r="I290" s="82"/>
    </x:row>
    <x:row r="291">
      <x:c r="A291" s="82" t="str">
        <x:v>I06</x:v>
      </x:c>
      <x:c r="B291" s="82" t="str">
        <x:v>P0</x:v>
      </x:c>
      <x:c r="C291" s="82" t="str">
        <x:v>V7.8 WPF多Canvas实现</x:v>
      </x:c>
      <x:c r="D291" s="82" t="str">
        <x:v>SceneView/DiagramCanvas/LogicDesigner重叠的命中/选择/状态需消除</x:v>
      </x:c>
      <x:c r="E291" s="82" t="str">
        <x:v>需代码迁移审核</x:v>
      </x:c>
      <x:c r="F291" s="82" t="str">
        <x:v>V7.8源码</x:v>
      </x:c>
      <x:c r="G291" s="82" t="str">
        <x:v>抽出Visual单一状态机</x:v>
      </x:c>
      <x:c r="H291" s="82" t="str">
        <x:v>WPF负责绘制与事件适配</x:v>
      </x:c>
      <x:c r="I291" s="82"/>
    </x:row>
    <x:row r="292">
      <x:c r="A292" s="82"/>
      <x:c r="B292" s="82"/>
      <x:c r="C292" s="82"/>
      <x:c r="D292" s="82"/>
      <x:c r="E292" s="82"/>
      <x:c r="F292" s="82"/>
      <x:c r="G292" s="82"/>
      <x:c r="H292" s="82"/>
      <x:c r="I292" s="82"/>
    </x:row>
    <x:row r="293">
      <x:c r="A293" s="82"/>
      <x:c r="B293" s="82"/>
      <x:c r="C293" s="82"/>
      <x:c r="D293" s="82"/>
      <x:c r="E293" s="82"/>
      <x:c r="F293" s="82"/>
      <x:c r="G293" s="82"/>
      <x:c r="H293" s="82"/>
      <x:c r="I293" s="82"/>
    </x:row>
    <x:row r="294" ht="27" customHeight="1">
      <x:c r="A294" s="108" t="str">
        <x:v>F. R2跨项冲突与未决事项（16项）</x:v>
      </x:c>
      <x:c r="B294" s="108"/>
      <x:c r="C294" s="108"/>
      <x:c r="D294" s="108"/>
      <x:c r="E294" s="108"/>
      <x:c r="F294" s="108"/>
      <x:c r="G294" s="108"/>
      <x:c r="H294" s="108"/>
      <x:c r="I294" s="108"/>
    </x:row>
    <x:row r="295">
      <x:c r="A295" s="82" t="str">
        <x:v>事项ID</x:v>
      </x:c>
      <x:c r="B295" s="82" t="str">
        <x:v>相关子方面</x:v>
      </x:c>
      <x:c r="C295" s="82" t="str">
        <x:v>旧方案/冲突</x:v>
      </x:c>
      <x:c r="D295" s="82" t="str">
        <x:v>R2建议</x:v>
      </x:c>
      <x:c r="E295" s="82" t="str">
        <x:v>优先级</x:v>
      </x:c>
      <x:c r="F295" s="82" t="str">
        <x:v>当前状态</x:v>
      </x:c>
      <x:c r="G295" s="82" t="str">
        <x:v>待批准决策</x:v>
      </x:c>
      <x:c r="H295" s="82" t="str">
        <x:v>最低验收证据</x:v>
      </x:c>
      <x:c r="I295" s="82"/>
    </x:row>
    <x:row r="296">
      <x:c r="A296" s="82" t="str">
        <x:v>R2-001</x:v>
      </x:c>
      <x:c r="B296" s="82" t="str">
        <x:v>M07/M37</x:v>
      </x:c>
      <x:c r="C296" s="82" t="str">
        <x:v>旧CxUndoService位于Workbench/Editing且依赖编辑文档</x:v>
      </x:c>
      <x:c r="D296" s="82" t="str">
        <x:v>Undo执行与数据事务剥离</x:v>
      </x:c>
      <x:c r="E296" s="82" t="str">
        <x:v>P0</x:v>
      </x:c>
      <x:c r="F296" s="82" t="str">
        <x:v>待源码级裁决</x:v>
      </x:c>
      <x:c r="G296" s="82" t="str">
        <x:v>Core提供Mutation；Visual管理历史；非可视编辑需共同历史协调器</x:v>
      </x:c>
      <x:c r="H296" s="82" t="str">
        <x:v>两个窗口+属性面板同时编辑后一条Undo正确</x:v>
      </x:c>
      <x:c r="I296" s="82"/>
    </x:row>
    <x:row r="297">
      <x:c r="A297" s="82" t="str">
        <x:v>R2-002</x:v>
      </x:c>
      <x:c r="B297" s="82" t="str">
        <x:v>M16/M37</x:v>
      </x:c>
      <x:c r="C297" s="82" t="str">
        <x:v>CxDocumentContext.Selection旧为文档级</x:v>
      </x:c>
      <x:c r="D297" s="82" t="str">
        <x:v>每画布Selection + 文档编辑共享历史</x:v>
      </x:c>
      <x:c r="E297" s="82" t="str">
        <x:v>P0</x:v>
      </x:c>
      <x:c r="F297" s="82" t="str">
        <x:v>待定案</x:v>
      </x:c>
      <x:c r="G297" s="82" t="str">
        <x:v>Selection单画布；Undo历史归编辑文档</x:v>
      </x:c>
      <x:c r="H297" s="82" t="str">
        <x:v>两个画布不同选择且只一个有效对象Owner</x:v>
      </x:c>
      <x:c r="I297" s="82"/>
    </x:row>
    <x:row r="298">
      <x:c r="A298" s="82" t="str">
        <x:v>R2-003</x:v>
      </x:c>
      <x:c r="B298" s="82" t="str">
        <x:v>M17/M18</x:v>
      </x:c>
      <x:c r="C298" s="82" t="str">
        <x:v>旧LogicUnit.ViewPosition/ViewSize混入逻辑定义</x:v>
      </x:c>
      <x:c r="D298" s="82" t="str">
        <x:v>抽成Content关联VisualLayout映射UnitId</x:v>
      </x:c>
      <x:c r="E298" s="82" t="str">
        <x:v>P0</x:v>
      </x:c>
      <x:c r="F298" s="82" t="str">
        <x:v>待迁移验证</x:v>
      </x:c>
      <x:c r="G298" s="82" t="str">
        <x:v>一Logic多个布局且兼容旧工程</x:v>
      </x:c>
      <x:c r="H298" s="82" t="str">
        <x:v>旧工程往返无坐标丢失，运行计划不读布局</x:v>
      </x:c>
      <x:c r="I298" s="82"/>
    </x:row>
    <x:row r="299">
      <x:c r="A299" s="82" t="str">
        <x:v>R2-004</x:v>
      </x:c>
      <x:c r="B299" s="82" t="str">
        <x:v>M05</x:v>
      </x:c>
      <x:c r="C299" s="82" t="str">
        <x:v>CxPortEndpoint原对象候选标枚举</x:v>
      </x:c>
      <x:c r="D299" s="82" t="str">
        <x:v>改不可变值对象</x:v>
      </x:c>
      <x:c r="E299" s="82" t="str">
        <x:v>P0</x:v>
      </x:c>
      <x:c r="F299" s="82" t="str">
        <x:v>拟裁决</x:v>
      </x:c>
      <x:c r="G299" s="82" t="str">
        <x:v>OwnerId+PortKey；方向与数据类型来自PortDefinition</x:v>
      </x:c>
      <x:c r="H299" s="82" t="str">
        <x:v>1000组合法端点与非法端点</x:v>
      </x:c>
      <x:c r="I299" s="82"/>
    </x:row>
    <x:row r="300">
      <x:c r="A300" s="82" t="str">
        <x:v>R2-005</x:v>
      </x:c>
      <x:c r="B300" s="82" t="str">
        <x:v>M16</x:v>
      </x:c>
      <x:c r="C300" s="82" t="str">
        <x:v>ViewTransform原候选标枚举</x:v>
      </x:c>
      <x:c r="D300" s="82" t="str">
        <x:v>改CxViewportState状态类型</x:v>
      </x:c>
      <x:c r="E300" s="82" t="str">
        <x:v>P1</x:v>
      </x:c>
      <x:c r="F300" s="82" t="str">
        <x:v>拟裁决</x:v>
      </x:c>
      <x:c r="G300" s="82" t="str">
        <x:v>Viewport与Geometry Transform分别Owner</x:v>
      </x:c>
      <x:c r="H300" s="82" t="str">
        <x:v>双画布不同变换下HitTest一致</x:v>
      </x:c>
      <x:c r="I300" s="82"/>
    </x:row>
    <x:row r="301">
      <x:c r="A301" s="82" t="str">
        <x:v>R2-006</x:v>
      </x:c>
      <x:c r="B301" s="82" t="str">
        <x:v>M17</x:v>
      </x:c>
      <x:c r="C301" s="82" t="str">
        <x:v>GraphCanvas vs CxDiagramCanvas同义且旧有多套画布</x:v>
      </x:c>
      <x:c r="D301" s="82" t="str">
        <x:v>只保留一个Diagram投影入口</x:v>
      </x:c>
      <x:c r="E301" s="82" t="str">
        <x:v>P0</x:v>
      </x:c>
      <x:c r="F301" s="82" t="str">
        <x:v>拟裁决</x:v>
      </x:c>
      <x:c r="G301" s="82" t="str">
        <x:v>消除重复Graph树与画布Session</x:v>
      </x:c>
      <x:c r="H301" s="82" t="str">
        <x:v>普通画布+逻辑Diagram同一底座</x:v>
      </x:c>
      <x:c r="I301" s="82"/>
    </x:row>
    <x:row r="302">
      <x:c r="A302" s="82" t="str">
        <x:v>R2-007</x:v>
      </x:c>
      <x:c r="B302" s="82" t="str">
        <x:v>M38</x:v>
      </x:c>
      <x:c r="C302" s="82" t="str">
        <x:v>旧M38候选表曾归Visual</x:v>
      </x:c>
      <x:c r="D302" s="82" t="str">
        <x:v>Core拥有Template/Import/Export契约</x:v>
      </x:c>
      <x:c r="E302" s="82" t="str">
        <x:v>P0</x:v>
      </x:c>
      <x:c r="F302" s="82" t="str">
        <x:v>已确认方向</x:v>
      </x:c>
      <x:c r="G302" s="82" t="str">
        <x:v>专业导入器不能反向进入Core</x:v>
      </x:c>
      <x:c r="H302" s="82" t="str">
        <x:v>旧Symbol/Content模板往返</x:v>
      </x:c>
      <x:c r="I302" s="82"/>
    </x:row>
    <x:row r="303">
      <x:c r="A303" s="82" t="str">
        <x:v>R2-008</x:v>
      </x:c>
      <x:c r="B303" s="82" t="str">
        <x:v>M34</x:v>
      </x:c>
      <x:c r="C303" s="82" t="str">
        <x:v>通用仿真不属于Lifecycle</x:v>
      </x:c>
      <x:c r="D303" s="82" t="str">
        <x:v>项目归Runtime，子方面仍M34</x:v>
      </x:c>
      <x:c r="E303" s="82" t="str">
        <x:v>P1</x:v>
      </x:c>
      <x:c r="F303" s="82" t="str">
        <x:v>已确认方向</x:v>
      </x:c>
      <x:c r="G303" s="82" t="str">
        <x:v>虚拟设备仍Professional.Simulation</x:v>
      </x:c>
      <x:c r="H303" s="82" t="str">
        <x:v>时间模拟多实例隔离</x:v>
      </x:c>
      <x:c r="I303" s="82"/>
    </x:row>
    <x:row r="304">
      <x:c r="A304" s="82" t="str">
        <x:v>R2-009</x:v>
      </x:c>
      <x:c r="B304" s="82" t="str">
        <x:v>M18/M19</x:v>
      </x:c>
      <x:c r="C304" s="82" t="str">
        <x:v>Core存逻辑Definition、Orchestration需要语义</x:v>
      </x:c>
      <x:c r="D304" s="82" t="str">
        <x:v>Definition Owner与语义Owner契约</x:v>
      </x:c>
      <x:c r="E304" s="82" t="str">
        <x:v>P0</x:v>
      </x:c>
      <x:c r="F304" s="82" t="str">
        <x:v>待细化</x:v>
      </x:c>
      <x:c r="G304" s="82" t="str">
        <x:v>Core不运行流程；Orchestration可编排和验证</x:v>
      </x:c>
      <x:c r="H304" s="82" t="str">
        <x:v>Headless跨子流程运行</x:v>
      </x:c>
      <x:c r="I304" s="82"/>
    </x:row>
    <x:row r="305">
      <x:c r="A305" s="82" t="str">
        <x:v>R2-010</x:v>
      </x:c>
      <x:c r="B305" s="82" t="str">
        <x:v>M10</x:v>
      </x:c>
      <x:c r="C305" s="82" t="str">
        <x:v>DataHandle借用/释放跨流程未闭合</x:v>
      </x:c>
      <x:c r="D305" s="82" t="str">
        <x:v>明确Lease + ref-count或ownership transfer</x:v>
      </x:c>
      <x:c r="E305" s="82" t="str">
        <x:v>P0</x:v>
      </x:c>
      <x:c r="F305" s="82" t="str">
        <x:v>待设计</x:v>
      </x:c>
      <x:c r="G305" s="82" t="str">
        <x:v>分块CT数据不可每节点复制</x:v>
      </x:c>
      <x:c r="H305" s="82" t="str">
        <x:v>2GB数据故障取消正确释放</x:v>
      </x:c>
      <x:c r="I305" s="82"/>
    </x:row>
    <x:row r="306">
      <x:c r="A306" s="82" t="str">
        <x:v>R2-011</x:v>
      </x:c>
      <x:c r="B306" s="82" t="str">
        <x:v>M16/WPF</x:v>
      </x:c>
      <x:c r="C306" s="82" t="str">
        <x:v>SceneView中重复HitTest/Viewport</x:v>
      </x:c>
      <x:c r="D306" s="82" t="str">
        <x:v>Visual唯一命中/视口；WPF只Input/Draw</x:v>
      </x:c>
      <x:c r="E306" s="82" t="str">
        <x:v>P0</x:v>
      </x:c>
      <x:c r="F306" s="82" t="str">
        <x:v>待源码迁移</x:v>
      </x:c>
      <x:c r="G306" s="82" t="str">
        <x:v>SceneView移除业务HitTest</x:v>
      </x:c>
      <x:c r="H306" s="82" t="str">
        <x:v>无UI与WPF测试坐标一致</x:v>
      </x:c>
      <x:c r="I306" s="82"/>
    </x:row>
    <x:row r="307">
      <x:c r="A307" s="82" t="str">
        <x:v>R2-012</x:v>
      </x:c>
      <x:c r="B307" s="82" t="str">
        <x:v>全体</x:v>
      </x:c>
      <x:c r="C307" s="82" t="str">
        <x:v>R1公开方法多为行为词</x:v>
      </x:c>
      <x:c r="D307" s="82" t="str">
        <x:v>全部目标API逐步签名化</x:v>
      </x:c>
      <x:c r="E307" s="82" t="str">
        <x:v>P0</x:v>
      </x:c>
      <x:c r="F307" s="82" t="str">
        <x:v>进行中</x:v>
      </x:c>
      <x:c r="G307" s="82" t="str">
        <x:v>禁止将词条当成已编译API</x:v>
      </x:c>
      <x:c r="H307" s="82" t="str">
        <x:v>553候选逐项有真实签名/裁决/未定状态</x:v>
      </x:c>
      <x:c r="I307" s="82"/>
    </x:row>
    <x:row r="308">
      <x:c r="A308" s="82" t="str">
        <x:v>R2-013</x:v>
      </x:c>
      <x:c r="B308" s="82" t="str">
        <x:v>F05/F22</x:v>
      </x:c>
      <x:c r="C308" s="82" t="str">
        <x:v>几何基础与UI具体Drawing混淆</x:v>
      </x:c>
      <x:c r="D308" s="82" t="str">
        <x:v>Geometry pure data; Visual frame; WPF Draw</x:v>
      </x:c>
      <x:c r="E308" s="82" t="str">
        <x:v>P0</x:v>
      </x:c>
      <x:c r="F308" s="82" t="str">
        <x:v>已确认原则</x:v>
      </x:c>
      <x:c r="G308" s="82" t="str">
        <x:v>Foundation不得引用WPF</x:v>
      </x:c>
      <x:c r="H308" s="82" t="str">
        <x:v>静态工程DAG+离屏帧单测</x:v>
      </x:c>
      <x:c r="I308" s="82"/>
    </x:row>
    <x:row r="309">
      <x:c r="A309" s="82" t="str">
        <x:v>R2-014</x:v>
      </x:c>
      <x:c r="B309" s="82" t="str">
        <x:v>M07</x:v>
      </x:c>
      <x:c r="C309" s="82" t="str">
        <x:v>跨资源事务与设备Saga范围混合</x:v>
      </x:c>
      <x:c r="D309" s="82" t="str">
        <x:v>数据事务和设备补偿显式区分</x:v>
      </x:c>
      <x:c r="E309" s="82" t="str">
        <x:v>P0</x:v>
      </x:c>
      <x:c r="F309" s="82" t="str">
        <x:v>待定案</x:v>
      </x:c>
      <x:c r="G309" s="82" t="str">
        <x:v>M07对象Transaction不应伪装设备原子操作</x:v>
      </x:c>
      <x:c r="H309" s="82" t="str">
        <x:v>设备失败只留Saga补偿记录，不回滚物理世界</x:v>
      </x:c>
      <x:c r="I309" s="82"/>
    </x:row>
    <x:row r="310">
      <x:c r="A310" s="82" t="str">
        <x:v>R2-015</x:v>
      </x:c>
      <x:c r="B310" s="82" t="str">
        <x:v>版本兼容</x:v>
      </x:c>
      <x:c r="C310" s="82" t="str">
        <x:v>旧CxNode使用可写Id/Parent与JSON</x:v>
      </x:c>
      <x:c r="D310" s="82" t="str">
        <x:v>新只读签名需加载/迁移途径</x:v>
      </x:c>
      <x:c r="E310" s="82" t="str">
        <x:v>P0</x:v>
      </x:c>
      <x:c r="F310" s="82" t="str">
        <x:v>待兼容验证</x:v>
      </x:c>
      <x:c r="G310" s="82" t="str">
        <x:v>序列化时可设置内部字段/旧ID映射</x:v>
      </x:c>
      <x:c r="H310" s="82" t="str">
        <x:v>旧V7.8工程完整回放</x:v>
      </x:c>
      <x:c r="I310" s="82"/>
    </x:row>
    <x:row r="311">
      <x:c r="A311" s="82" t="str">
        <x:v>R2-016</x:v>
      </x:c>
      <x:c r="B311" s="82" t="str">
        <x:v>工程引用</x:v>
      </x:c>
      <x:c r="C311" s="82" t="str">
        <x:v>28项目存在规划但真实V1.3仍48项目</x:v>
      </x:c>
      <x:c r="D311" s="82" t="str">
        <x:v>方案与代码差异</x:v>
      </x:c>
      <x:c r="E311" s="82" t="str">
        <x:v>P0</x:v>
      </x:c>
      <x:c r="F311" s="82" t="str">
        <x:v>未实施</x:v>
      </x:c>
      <x:c r="G311" s="82" t="str">
        <x:v>先通过目标DAG静态检查，再实际迁移</x:v>
      </x:c>
      <x:c r="H311" s="82" t="str">
        <x:v>VS2022 Windows NET48 WPF编译</x:v>
      </x:c>
      <x:c r="I311" s="82"/>
    </x:row>
    <x:row r="312">
      <x:c r="A312" s="82"/>
      <x:c r="B312" s="82"/>
      <x:c r="C312" s="82"/>
      <x:c r="D312" s="82"/>
      <x:c r="E312" s="82"/>
      <x:c r="F312" s="82"/>
      <x:c r="G312" s="82"/>
      <x:c r="H312" s="82"/>
      <x:c r="I312" s="82"/>
    </x:row>
    <x:row r="313">
      <x:c r="A313" s="82"/>
      <x:c r="B313" s="82"/>
      <x:c r="C313" s="82"/>
      <x:c r="D313" s="82"/>
      <x:c r="E313" s="82"/>
      <x:c r="F313" s="82"/>
      <x:c r="G313" s="82"/>
      <x:c r="H313" s="82"/>
      <x:c r="I313" s="82"/>
    </x:row>
    <x:row r="314" ht="27" customHeight="1">
      <x:c r="A314" s="108" t="str">
        <x:v>G. R3-A Core未决与边界风险（16项）</x:v>
      </x:c>
      <x:c r="B314" s="108"/>
      <x:c r="C314" s="108"/>
      <x:c r="D314" s="108"/>
      <x:c r="E314" s="108"/>
      <x:c r="F314" s="108"/>
      <x:c r="G314" s="108"/>
      <x:c r="H314" s="108"/>
      <x:c r="I314" s="108"/>
    </x:row>
    <x:row r="315">
      <x:c r="A315" s="82" t="str">
        <x:v>风险ID</x:v>
      </x:c>
      <x:c r="B315" s="82" t="str">
        <x:v>涉及子方面</x:v>
      </x:c>
      <x:c r="C315" s="82" t="str">
        <x:v>实际冲突/缺口</x:v>
      </x:c>
      <x:c r="D315" s="82" t="str">
        <x:v>R3-A建议</x:v>
      </x:c>
      <x:c r="E315" s="82" t="str">
        <x:v>状态</x:v>
      </x:c>
      <x:c r="F315" s="82" t="str">
        <x:v>优先级</x:v>
      </x:c>
      <x:c r="G315" s="82"/>
      <x:c r="H315" s="82"/>
      <x:c r="I315" s="82"/>
    </x:row>
    <x:row r="316">
      <x:c r="A316" s="82" t="str">
        <x:v>A-01</x:v>
      </x:c>
      <x:c r="B316" s="82" t="str">
        <x:v>M01/M02</x:v>
      </x:c>
      <x:c r="C316" s="82" t="str">
        <x:v>Content.VisualChildren 与Content→Symbol/Group约定存在张力</x:v>
      </x:c>
      <x:c r="D316" s="82" t="str">
        <x:v>需明确是否保留直接Element及旧工程无损映射</x:v>
      </x:c>
      <x:c r="E316" s="82" t="str">
        <x:v>待批准</x:v>
      </x:c>
      <x:c r="F316" s="82" t="str">
        <x:v>P0</x:v>
      </x:c>
      <x:c r="G316" s="82"/>
      <x:c r="H316" s="82"/>
      <x:c r="I316" s="82"/>
    </x:row>
    <x:row r="317">
      <x:c r="A317" s="82" t="str">
        <x:v>A-02</x:v>
      </x:c>
      <x:c r="B317" s="82" t="str">
        <x:v>M01</x:v>
      </x:c>
      <x:c r="C317" s="82" t="str">
        <x:v>原V7.8 CxNode.Id/Name 可set，新规格get-only</x:v>
      </x:c>
      <x:c r="D317" s="82" t="str">
        <x:v>迁移DTO用内部构建/反序列化赋值，禁止公共set</x:v>
      </x:c>
      <x:c r="E317" s="82" t="str">
        <x:v>设计提案</x:v>
      </x:c>
      <x:c r="F317" s="82" t="str">
        <x:v>P0</x:v>
      </x:c>
      <x:c r="G317" s="82"/>
      <x:c r="H317" s="82"/>
      <x:c r="I317" s="82"/>
    </x:row>
    <x:row r="318">
      <x:c r="A318" s="82" t="str">
        <x:v>A-03</x:v>
      </x:c>
      <x:c r="B318" s="82" t="str">
        <x:v>M07</x:v>
      </x:c>
      <x:c r="C318" s="82" t="str">
        <x:v>Outbox/Saga/Inbox在M07而Core只负责工程事务</x:v>
      </x:c>
      <x:c r="D318" s="82" t="str">
        <x:v>保留M07契约Owner；运行实现外移Runtime/Data</x:v>
      </x:c>
      <x:c r="E318" s="82" t="str">
        <x:v>建议定案</x:v>
      </x:c>
      <x:c r="F318" s="82" t="str">
        <x:v>P0</x:v>
      </x:c>
      <x:c r="G318" s="82"/>
      <x:c r="H318" s="82"/>
      <x:c r="I318" s="82"/>
    </x:row>
    <x:row r="319">
      <x:c r="A319" s="82" t="str">
        <x:v>A-04</x:v>
      </x:c>
      <x:c r="B319" s="82" t="str">
        <x:v>M08</x:v>
      </x:c>
      <x:c r="C319" s="82" t="str">
        <x:v>VerificationRun实际执行硬件/测试程序</x:v>
      </x:c>
      <x:c r="D319" s="82" t="str">
        <x:v>Core仅验收模型；实际Run外移Tests/Professional</x:v>
      </x:c>
      <x:c r="E319" s="82" t="str">
        <x:v>建议定案</x:v>
      </x:c>
      <x:c r="F319" s="82" t="str">
        <x:v>P0</x:v>
      </x:c>
      <x:c r="G319" s="82"/>
      <x:c r="H319" s="82"/>
      <x:c r="I319" s="82"/>
    </x:row>
    <x:row r="320">
      <x:c r="A320" s="82" t="str">
        <x:v>A-05</x:v>
      </x:c>
      <x:c r="B320" s="82" t="str">
        <x:v>M04/F15</x:v>
      </x:c>
      <x:c r="C320" s="82" t="str">
        <x:v>通用配置服务重复Owner</x:v>
      </x:c>
      <x:c r="D320" s="82" t="str">
        <x:v>通用ConfigProvider移F15，工程属性M04</x:v>
      </x:c>
      <x:c r="E320" s="82" t="str">
        <x:v>建议定案</x:v>
      </x:c>
      <x:c r="F320" s="82" t="str">
        <x:v>P0</x:v>
      </x:c>
      <x:c r="G320" s="82"/>
      <x:c r="H320" s="82"/>
      <x:c r="I320" s="82"/>
    </x:row>
    <x:row r="321">
      <x:c r="A321" s="82" t="str">
        <x:v>A-06</x:v>
      </x:c>
      <x:c r="B321" s="82" t="str">
        <x:v>M06/M10</x:v>
      </x:c>
      <x:c r="C321" s="82" t="str">
        <x:v>数据流中的TimestampAlignmentService不应增加Core状态</x:v>
      </x:c>
      <x:c r="D321" s="82" t="str">
        <x:v>跨流对时实施移Data，Core留契约</x:v>
      </x:c>
      <x:c r="E321" s="82" t="str">
        <x:v>建议定案</x:v>
      </x:c>
      <x:c r="F321" s="82" t="str">
        <x:v>P1</x:v>
      </x:c>
      <x:c r="G321" s="82"/>
      <x:c r="H321" s="82"/>
      <x:c r="I321" s="82"/>
    </x:row>
    <x:row r="322">
      <x:c r="A322" s="82" t="str">
        <x:v>A-07</x:v>
      </x:c>
      <x:c r="B322" s="82" t="str">
        <x:v>M38/M39</x:v>
      </x:c>
      <x:c r="C322" s="82" t="str">
        <x:v>SchemaMigrationRegistry混合格式模板与版本迁移</x:v>
      </x:c>
      <x:c r="D322" s="82" t="str">
        <x:v>Core保留格式ID/Schema，执行迁移移Lifecycle</x:v>
      </x:c>
      <x:c r="E322" s="82" t="str">
        <x:v>建议定案</x:v>
      </x:c>
      <x:c r="F322" s="82" t="str">
        <x:v>P0</x:v>
      </x:c>
      <x:c r="G322" s="82"/>
      <x:c r="H322" s="82"/>
      <x:c r="I322" s="82"/>
    </x:row>
    <x:row r="323">
      <x:c r="A323" s="82" t="str">
        <x:v>A-08</x:v>
      </x:c>
      <x:c r="B323" s="82" t="str">
        <x:v>M02</x:v>
      </x:c>
      <x:c r="C323" s="82" t="str">
        <x:v>ContentRef/SymbolRef作为Node还是嵌套引用值对象</x:v>
      </x:c>
      <x:c r="D323" s="82" t="str">
        <x:v>沿用V7.8事实并确定每个引用是否具稳定实例Id</x:v>
      </x:c>
      <x:c r="E323" s="82" t="str">
        <x:v>待源码级定案</x:v>
      </x:c>
      <x:c r="F323" s="82" t="str">
        <x:v>P0</x:v>
      </x:c>
      <x:c r="G323" s="82"/>
      <x:c r="H323" s="82"/>
      <x:c r="I323" s="82"/>
    </x:row>
    <x:row r="324">
      <x:c r="A324" s="82" t="str">
        <x:v>A-09</x:v>
      </x:c>
      <x:c r="B324" s="82" t="str">
        <x:v>M07/M37</x:v>
      </x:c>
      <x:c r="C324" s="82" t="str">
        <x:v>Undo历史能否跨属性编辑/画布编辑混合</x:v>
      </x:c>
      <x:c r="D324" s="82" t="str">
        <x:v>Core只提供ChangeSet；Visual保管可视命令，Host统一文档历史入口待定</x:v>
      </x:c>
      <x:c r="E324" s="82" t="str">
        <x:v>待批准</x:v>
      </x:c>
      <x:c r="F324" s="82" t="str">
        <x:v>P0</x:v>
      </x:c>
      <x:c r="G324" s="82"/>
      <x:c r="H324" s="82"/>
      <x:c r="I324" s="82"/>
    </x:row>
    <x:row r="325">
      <x:c r="A325" s="82" t="str">
        <x:v>A-10</x:v>
      </x:c>
      <x:c r="B325" s="82" t="str">
        <x:v>M03</x:v>
      </x:c>
      <x:c r="C325" s="82" t="str">
        <x:v>跨Project引用/断链/循环允许策略未完备</x:v>
      </x:c>
      <x:c r="D325" s="82" t="str">
        <x:v>必须显式策略与深度/权限控制</x:v>
      </x:c>
      <x:c r="E325" s="82" t="str">
        <x:v>待API评审</x:v>
      </x:c>
      <x:c r="F325" s="82" t="str">
        <x:v>P0</x:v>
      </x:c>
      <x:c r="G325" s="82"/>
      <x:c r="H325" s="82"/>
      <x:c r="I325" s="82"/>
    </x:row>
    <x:row r="326">
      <x:c r="A326" s="82" t="str">
        <x:v>A-11</x:v>
      </x:c>
      <x:c r="B326" s="82" t="str">
        <x:v>M05/M18</x:v>
      </x:c>
      <x:c r="C326" s="82" t="str">
        <x:v>通用Connection与LogicLink重复</x:v>
      </x:c>
      <x:c r="D326" s="82" t="str">
        <x:v>互通通过adapter，不得自动写入逻辑编排</x:v>
      </x:c>
      <x:c r="E326" s="82" t="str">
        <x:v>待API评审</x:v>
      </x:c>
      <x:c r="F326" s="82" t="str">
        <x:v>P0</x:v>
      </x:c>
      <x:c r="G326" s="82"/>
      <x:c r="H326" s="82"/>
      <x:c r="I326" s="82"/>
    </x:row>
    <x:row r="327">
      <x:c r="A327" s="82" t="str">
        <x:v>A-12</x:v>
      </x:c>
      <x:c r="B327" s="82" t="str">
        <x:v>M38</x:v>
      </x:c>
      <x:c r="C327" s="82" t="str">
        <x:v>导入身份重映射/未知字段/稳定Schema策略</x:v>
      </x:c>
      <x:c r="D327" s="82" t="str">
        <x:v>以旧工程回归作为API冻结门禁</x:v>
      </x:c>
      <x:c r="E327" s="82" t="str">
        <x:v>待兼容测试</x:v>
      </x:c>
      <x:c r="F327" s="82" t="str">
        <x:v>P0</x:v>
      </x:c>
      <x:c r="G327" s="82"/>
      <x:c r="H327" s="82"/>
      <x:c r="I327" s="82"/>
    </x:row>
    <x:row r="328">
      <x:c r="A328" s="82" t="str">
        <x:v>A-13</x:v>
      </x:c>
      <x:c r="B328" s="82" t="str">
        <x:v>M07</x:v>
      </x:c>
      <x:c r="C328" s="82" t="str">
        <x:v>设计草案ChangeSet可逆但有外部副作用</x:v>
      </x:c>
      <x:c r="D328" s="82" t="str">
        <x:v>外部硬件操作不承诺Core回滚；使用补偿显式编排</x:v>
      </x:c>
      <x:c r="E328" s="82" t="str">
        <x:v>建议定案</x:v>
      </x:c>
      <x:c r="F328" s="82" t="str">
        <x:v>P0</x:v>
      </x:c>
      <x:c r="G328" s="82"/>
      <x:c r="H328" s="82"/>
      <x:c r="I328" s="82"/>
    </x:row>
    <x:row r="329">
      <x:c r="A329" s="82" t="str">
        <x:v>A-14</x:v>
      </x:c>
      <x:c r="B329" s="82" t="str">
        <x:v>M01/M07</x:v>
      </x:c>
      <x:c r="C329" s="82" t="str">
        <x:v>Core并发策略未定</x:v>
      </x:c>
      <x:c r="D329" s="82" t="str">
        <x:v>首期文档会话单写+快照读+Revision冲突，未来再扩多写</x:v>
      </x:c>
      <x:c r="E329" s="82" t="str">
        <x:v>建议定案</x:v>
      </x:c>
      <x:c r="F329" s="82" t="str">
        <x:v>P0</x:v>
      </x:c>
      <x:c r="G329" s="82"/>
      <x:c r="H329" s="82"/>
      <x:c r="I329" s="82"/>
    </x:row>
    <x:row r="330">
      <x:c r="A330" s="82" t="str">
        <x:v>A-15</x:v>
      </x:c>
      <x:c r="B330" s="82" t="str">
        <x:v>M08</x:v>
      </x:c>
      <x:c r="C330" s="82" t="str">
        <x:v>静态验证报告与硬件验收结果可能混淆</x:v>
      </x:c>
      <x:c r="D330" s="82" t="str">
        <x:v>状态引入NotRun、Inconclusive等</x:v>
      </x:c>
      <x:c r="E330" s="82" t="str">
        <x:v>建议定案</x:v>
      </x:c>
      <x:c r="F330" s="82" t="str">
        <x:v>P0</x:v>
      </x:c>
      <x:c r="G330" s="82"/>
      <x:c r="H330" s="82"/>
      <x:c r="I330" s="82"/>
    </x:row>
    <x:row r="331">
      <x:c r="A331" s="82" t="str">
        <x:v>A-16</x:v>
      </x:c>
      <x:c r="B331" s="82" t="str">
        <x:v>M38</x:v>
      </x:c>
      <x:c r="C331" s="82" t="str">
        <x:v>旧工程资源保存存在类型缺口/插件缺失</x:v>
      </x:c>
      <x:c r="D331" s="82" t="str">
        <x:v>保存未知资源占位与原始字节或明确不兼容，不静默丢数据</x:v>
      </x:c>
      <x:c r="E331" s="82" t="str">
        <x:v>待技术选择</x:v>
      </x:c>
      <x:c r="F331" s="82" t="str">
        <x:v>P0</x:v>
      </x:c>
      <x:c r="G331" s="82"/>
      <x:c r="H331" s="82"/>
      <x:c r="I331" s="82"/>
    </x:row>
    <x:row r="332">
      <x:c r="A332" s="82"/>
      <x:c r="B332" s="82"/>
      <x:c r="C332" s="82"/>
      <x:c r="D332" s="82"/>
      <x:c r="E332" s="82"/>
      <x:c r="F332" s="82"/>
      <x:c r="G332" s="82"/>
      <x:c r="H332" s="82"/>
      <x:c r="I332" s="82"/>
    </x:row>
    <x:row r="333">
      <x:c r="A333" s="82"/>
      <x:c r="B333" s="82"/>
      <x:c r="C333" s="82"/>
      <x:c r="D333" s="82"/>
      <x:c r="E333" s="82"/>
      <x:c r="F333" s="82"/>
      <x:c r="G333" s="82"/>
      <x:c r="H333" s="82"/>
      <x:c r="I333" s="82"/>
    </x:row>
    <x:row r="334" ht="27" customHeight="1">
      <x:c r="A334" s="108" t="str">
        <x:v>H. 本轮新增架构门禁与仍须批准的事项</x:v>
      </x:c>
      <x:c r="B334" s="108"/>
      <x:c r="C334" s="108"/>
      <x:c r="D334" s="108"/>
      <x:c r="E334" s="108"/>
      <x:c r="F334" s="108"/>
      <x:c r="G334" s="108"/>
      <x:c r="H334" s="108"/>
      <x:c r="I334" s="108"/>
    </x:row>
    <x:row r="335">
      <x:c r="A335" s="82" t="str">
        <x:v>优先级</x:v>
      </x:c>
      <x:c r="B335" s="82" t="str">
        <x:v>项目/方面</x:v>
      </x:c>
      <x:c r="C335" s="82" t="str">
        <x:v>风险或缺口</x:v>
      </x:c>
      <x:c r="D335" s="82" t="str">
        <x:v>实现前必须达成的证据</x:v>
      </x:c>
      <x:c r="E335" s="82" t="str">
        <x:v>状态</x:v>
      </x:c>
      <x:c r="F335" s="82"/>
      <x:c r="G335" s="82"/>
      <x:c r="H335" s="82"/>
      <x:c r="I335" s="82"/>
    </x:row>
    <x:row r="336">
      <x:c r="A336" s="82" t="str">
        <x:v>P0</x:v>
      </x:c>
      <x:c r="B336" s="82" t="str">
        <x:v>Core M02</x:v>
      </x:c>
      <x:c r="C336" s="82" t="str">
        <x:v>Content.VisualChildren与旧工程结构兼容</x:v>
      </x:c>
      <x:c r="D336" s="82" t="str">
        <x:v>必须决定直接Element是否允许及转换政策</x:v>
      </x:c>
      <x:c r="E336" s="82" t="str">
        <x:v>未定案</x:v>
      </x:c>
      <x:c r="F336" s="82"/>
      <x:c r="G336" s="82"/>
      <x:c r="H336" s="82"/>
      <x:c r="I336" s="82"/>
    </x:row>
    <x:row r="337">
      <x:c r="A337" s="82" t="str">
        <x:v>P0</x:v>
      </x:c>
      <x:c r="B337" s="82" t="str">
        <x:v>M07 M37</x:v>
      </x:c>
      <x:c r="C337" s="82" t="str">
        <x:v>全局Undo历史需跨可视及非可视变更协调</x:v>
      </x:c>
      <x:c r="D337" s="82" t="str">
        <x:v>Visual拥有可视语义；Core纯数据变更；同一Document History协调入口待协议冻结</x:v>
      </x:c>
      <x:c r="E337" s="82" t="str">
        <x:v>未定案</x:v>
      </x:c>
      <x:c r="F337" s="82"/>
      <x:c r="G337" s="82"/>
      <x:c r="H337" s="82"/>
      <x:c r="I337" s="82"/>
    </x:row>
    <x:row r="338">
      <x:c r="A338" s="82" t="str">
        <x:v>P0</x:v>
      </x:c>
      <x:c r="B338" s="82" t="str">
        <x:v>M16 M17</x:v>
      </x:c>
      <x:c r="C338" s="82" t="str">
        <x:v>Visual无UI依赖的DrawPrimitive模型是否覆盖Path/Image/Text/Overlay/Handle</x:v>
      </x:c>
      <x:c r="D338" s="82" t="str">
        <x:v>用场景T01～T12回归，并验证WPF与离屏投影一致</x:v>
      </x:c>
      <x:c r="E338" s="82" t="str">
        <x:v>未定案</x:v>
      </x:c>
      <x:c r="F338" s="82"/>
      <x:c r="G338" s="82"/>
      <x:c r="H338" s="82"/>
      <x:c r="I338" s="82"/>
    </x:row>
    <x:row r="339">
      <x:c r="A339" s="82" t="str">
        <x:v>P0</x:v>
      </x:c>
      <x:c r="B339" s="82" t="str">
        <x:v>M17 M18</x:v>
      </x:c>
      <x:c r="C339" s="82" t="str">
        <x:v>LogicUnit与多布局的持久化迁移</x:v>
      </x:c>
      <x:c r="D339" s="82" t="str">
        <x:v>保留原UnitId/ViewPosition来源及可逆转换；不产生第二持久Graph</x:v>
      </x:c>
      <x:c r="E339" s="82" t="str">
        <x:v>未定案</x:v>
      </x:c>
      <x:c r="F339" s="82"/>
      <x:c r="G339" s="82"/>
      <x:c r="H339" s="82"/>
      <x:c r="I339" s="82"/>
    </x:row>
    <x:row r="340">
      <x:c r="A340" s="82" t="str">
        <x:v>P0</x:v>
      </x:c>
      <x:c r="B340" s="82" t="str">
        <x:v>Presentation.Wpf</x:v>
      </x:c>
      <x:c r="C340" s="82" t="str">
        <x:v>WPF仅2D，不引用Foundation.Volume</x:v>
      </x:c>
      <x:c r="D340" s="82" t="str">
        <x:v>构建依赖断言禁令+WPF UI自动测试</x:v>
      </x:c>
      <x:c r="E340" s="82" t="str">
        <x:v>已讨论但源码未实施</x:v>
      </x:c>
      <x:c r="F340" s="82"/>
      <x:c r="G340" s="82"/>
      <x:c r="H340" s="82"/>
      <x:c r="I340" s="82"/>
    </x:row>
    <x:row r="341">
      <x:c r="A341" s="82" t="str">
        <x:v>P0</x:v>
      </x:c>
      <x:c r="B341" s="82" t="str">
        <x:v>M38</x:v>
      </x:c>
      <x:c r="C341" s="82" t="str">
        <x:v>模板基线与版本Schema迁移项目边界</x:v>
      </x:c>
      <x:c r="D341" s="82" t="str">
        <x:v>Core拥有模板和导入导出契约；Lifecycle拥有版本迁移执行</x:v>
      </x:c>
      <x:c r="E341" s="82" t="str">
        <x:v>提案待最终签字</x:v>
      </x:c>
      <x:c r="F341" s="82"/>
      <x:c r="G341" s="82"/>
      <x:c r="H341" s="82"/>
      <x:c r="I341" s="82"/>
    </x:row>
    <x:row r="342">
      <x:c r="A342" s="82" t="str">
        <x:v>P1</x:v>
      </x:c>
      <x:c r="B342" s="82" t="str">
        <x:v>全F/M</x:v>
      </x:c>
      <x:c r="C342" s="82" t="str">
        <x:v>部分原“方法”是行为词</x:v>
      </x:c>
      <x:c r="D342" s="82" t="str">
        <x:v>补齐参数、返回值、异常、线程、副作用和DTO后方可冻结public API</x:v>
      </x:c>
      <x:c r="E342" s="82" t="str">
        <x:v>未完成</x:v>
      </x:c>
      <x:c r="F342" s="82"/>
      <x:c r="G342" s="82"/>
      <x:c r="H342" s="82"/>
      <x:c r="I342" s="82"/>
    </x:row>
    <x:row r="343">
      <x:c r="A343" s="82" t="str">
        <x:v>P1</x:v>
      </x:c>
      <x:c r="B343" s="82" t="str">
        <x:v>项目目录</x:v>
      </x:c>
      <x:c r="C343" s="82" t="str">
        <x:v>28项目为精简V1.4设计</x:v>
      </x:c>
      <x:c r="D343" s="82" t="str">
        <x:v>仍须真正重构V1.3 csproj、解决方案、程序集引用、Windows编译</x:v>
      </x:c>
      <x:c r="E343" s="82" t="str">
        <x:v>未实际编译</x:v>
      </x:c>
      <x:c r="F343" s="82"/>
      <x:c r="G343" s="82"/>
      <x:c r="H343" s="82"/>
      <x:c r="I343" s="82"/>
    </x:row>
    <x:row r="346">
      <x:c r="A346" s="119" t="str">
        <x:v>V6.1 补充：Mechanism 原534条CapabilityId（由V4.9 02C原文导入）</x:v>
      </x:c>
      <x:c r="B346" s="119" t="str"/>
      <x:c r="C346" s="119" t="str"/>
      <x:c r="D346" s="119" t="str"/>
      <x:c r="E346" s="119" t="str"/>
      <x:c r="F346" s="119" t="str"/>
      <x:c r="G346" s="119" t="str"/>
      <x:c r="H346" s="119" t="str"/>
    </x:row>
    <x:row r="347" ht="36" customHeight="1">
      <x:c r="A347" s="36" t="str">
        <x:v>Mechanism一级分类</x:v>
      </x:c>
      <x:c r="B347" s="36" t="str">
        <x:v>Mechanism子方面</x:v>
      </x:c>
      <x:c r="C347" s="36" t="str">
        <x:v>CapabilityId</x:v>
      </x:c>
      <x:c r="D347" s="36" t="str">
        <x:v>机制细节</x:v>
      </x:c>
      <x:c r="E347" s="36" t="str">
        <x:v>功能行为</x:v>
      </x:c>
      <x:c r="F347" s="36" t="str">
        <x:v>责任与边界</x:v>
      </x:c>
      <x:c r="G347" s="36" t="str">
        <x:v>来源</x:v>
      </x:c>
      <x:c r="H347" s="36" t="str">
        <x:v>备注</x:v>
      </x:c>
    </x:row>
    <x:row r="348">
      <x:c r="A348" s="82" t="str">
        <x:v>Definition与工程组织</x:v>
      </x:c>
      <x:c r="B348" s="82" t="str">
        <x:v>工程对象/资源组织</x:v>
      </x:c>
      <x:c r="C348" s="82" t="str">
        <x:v>CAP-ORG01-001</x:v>
      </x:c>
      <x:c r="D348" s="82" t="str">
        <x:v>Project工程根</x:v>
      </x:c>
      <x:c r="E348" s="82" t="str">
        <x:v>创建/打开/关闭工程，聚合全局Definition、Resource、配置与依赖。</x:v>
      </x:c>
      <x:c r="F348" s="82" t="str">
        <x:v>不要把行业对象或Runtime瞬态状态塞入工程主树</x:v>
      </x:c>
      <x:c r="G348" s="82" t="str">
        <x:v>原基线478项</x:v>
      </x:c>
      <x:c r="H348" s="82" t="str">
        <x:v>原始能力契约；未按对象数量推算完成度</x:v>
      </x:c>
    </x:row>
    <x:row r="349">
      <x:c r="A349" s="82" t="str">
        <x:v>Definition与工程组织</x:v>
      </x:c>
      <x:c r="B349" s="82" t="str">
        <x:v>工程对象/资源组织</x:v>
      </x:c>
      <x:c r="C349" s="82" t="str">
        <x:v>CAP-ORG01-002</x:v>
      </x:c>
      <x:c r="D349" s="82" t="str">
        <x:v>Page页面组织</x:v>
      </x:c>
      <x:c r="E349" s="82" t="str">
        <x:v>Page作为工作视图，稳定拥有一个RootContent并保存页面尺寸/背景/导航信息。</x:v>
      </x:c>
      <x:c r="F349" s="82" t="str"/>
      <x:c r="G349" s="82" t="str">
        <x:v>原基线478项</x:v>
      </x:c>
      <x:c r="H349" s="82" t="str">
        <x:v>原始能力契约；未按对象数量推算完成度</x:v>
      </x:c>
    </x:row>
    <x:row r="350">
      <x:c r="A350" s="82" t="str">
        <x:v>Definition与工程组织</x:v>
      </x:c>
      <x:c r="B350" s="82" t="str">
        <x:v>工程对象/资源组织</x:v>
      </x:c>
      <x:c r="C350" s="82" t="str">
        <x:v>CAP-ORG01-003</x:v>
      </x:c>
      <x:c r="D350" s="82" t="str">
        <x:v>Resource独立制品</x:v>
      </x:c>
      <x:c r="E350" s="82" t="str">
        <x:v>支持资源独立创建、保存、加载、引用、版本、比较与发布。</x:v>
      </x:c>
      <x:c r="F350" s="82" t="str"/>
      <x:c r="G350" s="82" t="str">
        <x:v>原基线478项</x:v>
      </x:c>
      <x:c r="H350" s="82" t="str">
        <x:v>原始能力契约；未按对象数量推算完成度</x:v>
      </x:c>
    </x:row>
    <x:row r="351">
      <x:c r="A351" s="82" t="str">
        <x:v>Definition与工程组织</x:v>
      </x:c>
      <x:c r="B351" s="82" t="str">
        <x:v>工程对象/资源组织</x:v>
      </x:c>
      <x:c r="C351" s="82" t="str">
        <x:v>CAP-ORG01-004</x:v>
      </x:c>
      <x:c r="D351" s="82" t="str">
        <x:v>Ownership父子树</x:v>
      </x:c>
      <x:c r="E351" s="82" t="str">
        <x:v>统一Parent/Children真源，支持Add/Remove/Move/Reparent并保持结构一致。</x:v>
      </x:c>
      <x:c r="F351" s="82" t="str"/>
      <x:c r="G351" s="82" t="str">
        <x:v>原基线478项</x:v>
      </x:c>
      <x:c r="H351" s="82" t="str">
        <x:v>原始能力契约；未按对象数量推算完成度</x:v>
      </x:c>
    </x:row>
    <x:row r="352">
      <x:c r="A352" s="82" t="str">
        <x:v>Definition与工程组织</x:v>
      </x:c>
      <x:c r="B352" s="82" t="str">
        <x:v>工程对象/资源组织</x:v>
      </x:c>
      <x:c r="C352" s="82" t="str">
        <x:v>CAP-ORG01-005</x:v>
      </x:c>
      <x:c r="D352" s="82" t="str">
        <x:v>Clone/Duplicate</x:v>
      </x:c>
      <x:c r="E352" s="82" t="str">
        <x:v>支持对象/资源深浅克隆、ID保留策略和引用重定向。</x:v>
      </x:c>
      <x:c r="F352" s="82" t="str"/>
      <x:c r="G352" s="82" t="str">
        <x:v>原基线478项</x:v>
      </x:c>
      <x:c r="H352" s="82" t="str">
        <x:v>原始能力契约；未按对象数量推算完成度</x:v>
      </x:c>
    </x:row>
    <x:row r="353">
      <x:c r="A353" s="82" t="str">
        <x:v>Definition与工程组织</x:v>
      </x:c>
      <x:c r="B353" s="82" t="str">
        <x:v>工程对象/资源组织</x:v>
      </x:c>
      <x:c r="C353" s="82" t="str">
        <x:v>CAP-ORG01-006</x:v>
      </x:c>
      <x:c r="D353" s="82" t="str">
        <x:v>Mutation事务</x:v>
      </x:c>
      <x:c r="E353" s="82" t="str">
        <x:v>结构修改必须经过Mutation/Transaction并接入Undo/Redo。</x:v>
      </x:c>
      <x:c r="F353" s="82" t="str"/>
      <x:c r="G353" s="82" t="str">
        <x:v>原基线478项</x:v>
      </x:c>
      <x:c r="H353" s="82" t="str">
        <x:v>原始能力契约；未按对象数量推算完成度</x:v>
      </x:c>
    </x:row>
    <x:row r="354">
      <x:c r="A354" s="82" t="str">
        <x:v>Definition与工程组织</x:v>
      </x:c>
      <x:c r="B354" s="82" t="str">
        <x:v>工程对象/资源组织</x:v>
      </x:c>
      <x:c r="C354" s="82" t="str">
        <x:v>CAP-ORG01-007</x:v>
      </x:c>
      <x:c r="D354" s="82" t="str">
        <x:v>RoundTrip持久化</x:v>
      </x:c>
      <x:c r="E354" s="82" t="str">
        <x:v>Save→Load后Ownership、ID、属性、引用、扩展字段保持等价。</x:v>
      </x:c>
      <x:c r="F354" s="82" t="str"/>
      <x:c r="G354" s="82" t="str">
        <x:v>原基线478项</x:v>
      </x:c>
      <x:c r="H354" s="82" t="str">
        <x:v>原始能力契约；未按对象数量推算完成度</x:v>
      </x:c>
    </x:row>
    <x:row r="355">
      <x:c r="A355" s="82" t="str">
        <x:v>Definition与工程组织</x:v>
      </x:c>
      <x:c r="B355" s="82" t="str">
        <x:v>工程对象/资源组织</x:v>
      </x:c>
      <x:c r="C355" s="82" t="str">
        <x:v>CAP-ORG01-008</x:v>
      </x:c>
      <x:c r="D355" s="82" t="str">
        <x:v>依赖声明</x:v>
      </x:c>
      <x:c r="E355" s="82" t="str">
        <x:v>Resource之间显式Dependency，支持依赖检查、排序与缺失诊断。</x:v>
      </x:c>
      <x:c r="F355" s="82" t="str"/>
      <x:c r="G355" s="82" t="str">
        <x:v>原基线478项</x:v>
      </x:c>
      <x:c r="H355" s="82" t="str">
        <x:v>原始能力契约；未按对象数量推算完成度</x:v>
      </x:c>
    </x:row>
    <x:row r="356">
      <x:c r="A356" s="82" t="str">
        <x:v>Definition与工程组织</x:v>
      </x:c>
      <x:c r="B356" s="82" t="str">
        <x:v>工程对象/资源组织</x:v>
      </x:c>
      <x:c r="C356" s="82" t="str">
        <x:v>CAP-ORG01-009</x:v>
      </x:c>
      <x:c r="D356" s="82" t="str">
        <x:v>工程范围枚举</x:v>
      </x:c>
      <x:c r="E356" s="82" t="str">
        <x:v>可从Project稳定枚举资源与Definition对象，不依赖UI树。</x:v>
      </x:c>
      <x:c r="F356" s="82" t="str"/>
      <x:c r="G356" s="82" t="str">
        <x:v>原基线478项</x:v>
      </x:c>
      <x:c r="H356" s="82" t="str">
        <x:v>原始能力契约；未按对象数量推算完成度</x:v>
      </x:c>
    </x:row>
    <x:row r="357">
      <x:c r="A357" s="82" t="str">
        <x:v>Definition与工程组织</x:v>
      </x:c>
      <x:c r="B357" s="82" t="str">
        <x:v>功能组织与复用</x:v>
      </x:c>
      <x:c r="C357" s="82" t="str">
        <x:v>CAP-ORG02-001</x:v>
      </x:c>
      <x:c r="D357" s="82" t="str">
        <x:v>Content业务组合</x:v>
      </x:c>
      <x:c r="E357" s="82" t="str">
        <x:v>Content作为业务组合、编排、Scope和复用边界，支持嵌套Content/Ref/Symbol/Element。</x:v>
      </x:c>
      <x:c r="F357" s="82" t="str">
        <x:v>Content≠Group；Symbol≠复制Children</x:v>
      </x:c>
      <x:c r="G357" s="82" t="str">
        <x:v>原基线478项</x:v>
      </x:c>
      <x:c r="H357" s="82" t="str">
        <x:v>原始能力契约；未按对象数量推算完成度</x:v>
      </x:c>
    </x:row>
    <x:row r="358">
      <x:c r="A358" s="82" t="str">
        <x:v>Definition与工程组织</x:v>
      </x:c>
      <x:c r="B358" s="82" t="str">
        <x:v>功能组织与复用</x:v>
      </x:c>
      <x:c r="C358" s="82" t="str">
        <x:v>CAP-ORG02-002</x:v>
      </x:c>
      <x:c r="D358" s="82" t="str">
        <x:v>ContentReference</x:v>
      </x:c>
      <x:c r="E358" s="82" t="str">
        <x:v>通过稳定Ref复用Content Definition，不复制目标Children。</x:v>
      </x:c>
      <x:c r="F358" s="82" t="str"/>
      <x:c r="G358" s="82" t="str">
        <x:v>原基线478项</x:v>
      </x:c>
      <x:c r="H358" s="82" t="str">
        <x:v>原始能力契约；未按对象数量推算完成度</x:v>
      </x:c>
    </x:row>
    <x:row r="359">
      <x:c r="A359" s="82" t="str">
        <x:v>Definition与工程组织</x:v>
      </x:c>
      <x:c r="B359" s="82" t="str">
        <x:v>功能组织与复用</x:v>
      </x:c>
      <x:c r="C359" s="82" t="str">
        <x:v>CAP-ORG02-003</x:v>
      </x:c>
      <x:c r="D359" s="82" t="str">
        <x:v>SymbolDefinition</x:v>
      </x:c>
      <x:c r="E359" s="82" t="str">
        <x:v>Symbol作为复合视觉/语义/能力模板，拥有RootGroup与公开契约。</x:v>
      </x:c>
      <x:c r="F359" s="82" t="str"/>
      <x:c r="G359" s="82" t="str">
        <x:v>原基线478项</x:v>
      </x:c>
      <x:c r="H359" s="82" t="str">
        <x:v>原始能力契约；未按对象数量推算完成度</x:v>
      </x:c>
    </x:row>
    <x:row r="360">
      <x:c r="A360" s="82" t="str">
        <x:v>Definition与工程组织</x:v>
      </x:c>
      <x:c r="B360" s="82" t="str">
        <x:v>功能组织与复用</x:v>
      </x:c>
      <x:c r="C360" s="82" t="str">
        <x:v>CAP-ORG02-004</x:v>
      </x:c>
      <x:c r="D360" s="82" t="str">
        <x:v>SymbolReference/Instance</x:v>
      </x:c>
      <x:c r="E360" s="82" t="str">
        <x:v>实例化Symbol并隔离参数、状态和实例地址。</x:v>
      </x:c>
      <x:c r="F360" s="82" t="str"/>
      <x:c r="G360" s="82" t="str">
        <x:v>原基线478项</x:v>
      </x:c>
      <x:c r="H360" s="82" t="str">
        <x:v>原始能力契约；未按对象数量推算完成度</x:v>
      </x:c>
    </x:row>
    <x:row r="361">
      <x:c r="A361" s="82" t="str">
        <x:v>Definition与工程组织</x:v>
      </x:c>
      <x:c r="B361" s="82" t="str">
        <x:v>功能组织与复用</x:v>
      </x:c>
      <x:c r="C361" s="82" t="str">
        <x:v>CAP-ORG02-005</x:v>
      </x:c>
      <x:c r="D361" s="82" t="str">
        <x:v>Public Property</x:v>
      </x:c>
      <x:c r="E361" s="82" t="str">
        <x:v>Content/Symbol公开稳定属性，内部结构变化不破坏外部调用。</x:v>
      </x:c>
      <x:c r="F361" s="82" t="str"/>
      <x:c r="G361" s="82" t="str">
        <x:v>原基线478项</x:v>
      </x:c>
      <x:c r="H361" s="82" t="str">
        <x:v>原始能力契约；未按对象数量推算完成度</x:v>
      </x:c>
    </x:row>
    <x:row r="362">
      <x:c r="A362" s="82" t="str">
        <x:v>Definition与工程组织</x:v>
      </x:c>
      <x:c r="B362" s="82" t="str">
        <x:v>功能组织与复用</x:v>
      </x:c>
      <x:c r="C362" s="82" t="str">
        <x:v>CAP-ORG02-006</x:v>
      </x:c>
      <x:c r="D362" s="82" t="str">
        <x:v>Public Port</x:v>
      </x:c>
      <x:c r="E362" s="82" t="str">
        <x:v>Content/Symbol公开Data/Event/Command/Flow/Resource/Visual契约。</x:v>
      </x:c>
      <x:c r="F362" s="82" t="str"/>
      <x:c r="G362" s="82" t="str">
        <x:v>原基线478项</x:v>
      </x:c>
      <x:c r="H362" s="82" t="str">
        <x:v>原始能力契约；未按对象数量推算完成度</x:v>
      </x:c>
    </x:row>
    <x:row r="363">
      <x:c r="A363" s="82" t="str">
        <x:v>Definition与工程组织</x:v>
      </x:c>
      <x:c r="B363" s="82" t="str">
        <x:v>功能组织与复用</x:v>
      </x:c>
      <x:c r="C363" s="82" t="str">
        <x:v>CAP-ORG02-007</x:v>
      </x:c>
      <x:c r="D363" s="82" t="str">
        <x:v>Port Mapping</x:v>
      </x:c>
      <x:c r="E363" s="82" t="str">
        <x:v>公开Port可映射内部Child/Ref/Element的Port、Operation或Anchor。</x:v>
      </x:c>
      <x:c r="F363" s="82" t="str"/>
      <x:c r="G363" s="82" t="str">
        <x:v>原基线478项</x:v>
      </x:c>
      <x:c r="H363" s="82" t="str">
        <x:v>原始能力契约；未按对象数量推算完成度</x:v>
      </x:c>
    </x:row>
    <x:row r="364">
      <x:c r="A364" s="82" t="str">
        <x:v>Definition与工程组织</x:v>
      </x:c>
      <x:c r="B364" s="82" t="str">
        <x:v>功能组织与复用</x:v>
      </x:c>
      <x:c r="C364" s="82" t="str">
        <x:v>CAP-ORG02-008</x:v>
      </x:c>
      <x:c r="D364" s="82" t="str">
        <x:v>参数覆盖</x:v>
      </x:c>
      <x:c r="E364" s="82" t="str">
        <x:v>实例可覆盖模板/Definition参数但不篡改共享定义。</x:v>
      </x:c>
      <x:c r="F364" s="82" t="str"/>
      <x:c r="G364" s="82" t="str">
        <x:v>原基线478项</x:v>
      </x:c>
      <x:c r="H364" s="82" t="str">
        <x:v>原始能力契约；未按对象数量推算完成度</x:v>
      </x:c>
    </x:row>
    <x:row r="365">
      <x:c r="A365" s="82" t="str">
        <x:v>Definition与工程组织</x:v>
      </x:c>
      <x:c r="B365" s="82" t="str">
        <x:v>功能组织与复用</x:v>
      </x:c>
      <x:c r="C365" s="82" t="str">
        <x:v>CAP-ORG02-009</x:v>
      </x:c>
      <x:c r="D365" s="82" t="str">
        <x:v>复用下钻</x:v>
      </x:c>
      <x:c r="E365" s="82" t="str">
        <x:v>支持从引用/实例下钻到Definition，并可返回调用上下文。</x:v>
      </x:c>
      <x:c r="F365" s="82" t="str"/>
      <x:c r="G365" s="82" t="str">
        <x:v>原基线478项</x:v>
      </x:c>
      <x:c r="H365" s="82" t="str">
        <x:v>原始能力契约；未按对象数量推算完成度</x:v>
      </x:c>
    </x:row>
    <x:row r="366">
      <x:c r="A366" s="82" t="str">
        <x:v>Definition与工程组织</x:v>
      </x:c>
      <x:c r="B366" s="82" t="str">
        <x:v>功能组织与复用</x:v>
      </x:c>
      <x:c r="C366" s="82" t="str">
        <x:v>CAP-ORG02-010</x:v>
      </x:c>
      <x:c r="D366" s="82" t="str">
        <x:v>作用域边界</x:v>
      </x:c>
      <x:c r="E366" s="82" t="str">
        <x:v>Content/Symbol明确Variable/Resource/Name/Connection等作用域边界。</x:v>
      </x:c>
      <x:c r="F366" s="82" t="str"/>
      <x:c r="G366" s="82" t="str">
        <x:v>原基线478项</x:v>
      </x:c>
      <x:c r="H366" s="82" t="str">
        <x:v>原始能力契约；未按对象数量推算完成度</x:v>
      </x:c>
    </x:row>
    <x:row r="367">
      <x:c r="A367" s="82" t="str">
        <x:v>Definition与工程组织</x:v>
      </x:c>
      <x:c r="B367" s="82" t="str">
        <x:v>Reference / Address / Index</x:v>
      </x:c>
      <x:c r="C367" s="82" t="str">
        <x:v>CAP-ORG03-001</x:v>
      </x:c>
      <x:c r="D367" s="82" t="str">
        <x:v>Stable Id</x:v>
      </x:c>
      <x:c r="E367" s="82" t="str">
        <x:v>所有可引用对象具有稳定ID，保存加载/迁移后保持可追踪。</x:v>
      </x:c>
      <x:c r="F367" s="82" t="str">
        <x:v>Reference永远不是Ownership</x:v>
      </x:c>
      <x:c r="G367" s="82" t="str">
        <x:v>原基线478项</x:v>
      </x:c>
      <x:c r="H367" s="82" t="str">
        <x:v>原始能力契约；未按对象数量推算完成度</x:v>
      </x:c>
    </x:row>
    <x:row r="368">
      <x:c r="A368" s="82" t="str">
        <x:v>Definition与工程组织</x:v>
      </x:c>
      <x:c r="B368" s="82" t="str">
        <x:v>Reference / Address / Index</x:v>
      </x:c>
      <x:c r="C368" s="82" t="str">
        <x:v>CAP-ORG03-002</x:v>
      </x:c>
      <x:c r="D368" s="82" t="str">
        <x:v>Object Address</x:v>
      </x:c>
      <x:c r="E368" s="82" t="str">
        <x:v>用工程/资源/对象路径形成稳定地址，用于引用、诊断和Runtime反查。</x:v>
      </x:c>
      <x:c r="F368" s="82" t="str"/>
      <x:c r="G368" s="82" t="str">
        <x:v>原基线478项</x:v>
      </x:c>
      <x:c r="H368" s="82" t="str">
        <x:v>原始能力契约；未按对象数量推算完成度</x:v>
      </x:c>
    </x:row>
    <x:row r="369">
      <x:c r="A369" s="82" t="str">
        <x:v>Definition与工程组织</x:v>
      </x:c>
      <x:c r="B369" s="82" t="str">
        <x:v>Reference / Address / Index</x:v>
      </x:c>
      <x:c r="C369" s="82" t="str">
        <x:v>CAP-ORG03-003</x:v>
      </x:c>
      <x:c r="D369" s="82" t="str">
        <x:v>Project Index</x:v>
      </x:c>
      <x:c r="E369" s="82" t="str">
        <x:v>建立全工程对象索引，支持按ID/Kind/Name/Resource快速定位。</x:v>
      </x:c>
      <x:c r="F369" s="82" t="str"/>
      <x:c r="G369" s="82" t="str">
        <x:v>原基线478项</x:v>
      </x:c>
      <x:c r="H369" s="82" t="str">
        <x:v>原始能力契约；未按对象数量推算完成度</x:v>
      </x:c>
    </x:row>
    <x:row r="370">
      <x:c r="A370" s="82" t="str">
        <x:v>Definition与工程组织</x:v>
      </x:c>
      <x:c r="B370" s="82" t="str">
        <x:v>Reference / Address / Index</x:v>
      </x:c>
      <x:c r="C370" s="82" t="str">
        <x:v>CAP-ORG03-004</x:v>
      </x:c>
      <x:c r="D370" s="82" t="str">
        <x:v>Reference Resolve</x:v>
      </x:c>
      <x:c r="E370" s="82" t="str">
        <x:v>将ContentRef/SymbolRef/VariableRef/ResourceRef解析为稳定目标。</x:v>
      </x:c>
      <x:c r="F370" s="82" t="str"/>
      <x:c r="G370" s="82" t="str">
        <x:v>原基线478项</x:v>
      </x:c>
      <x:c r="H370" s="82" t="str">
        <x:v>原始能力契约；未按对象数量推算完成度</x:v>
      </x:c>
    </x:row>
    <x:row r="371">
      <x:c r="A371" s="82" t="str">
        <x:v>Definition与工程组织</x:v>
      </x:c>
      <x:c r="B371" s="82" t="str">
        <x:v>Reference / Address / Index</x:v>
      </x:c>
      <x:c r="C371" s="82" t="str">
        <x:v>CAP-ORG03-005</x:v>
      </x:c>
      <x:c r="D371" s="82" t="str">
        <x:v>Missing Reference诊断</x:v>
      </x:c>
      <x:c r="E371" s="82" t="str">
        <x:v>目标缺失时保留Placeholder并给出可恢复诊断，不静默丢失。</x:v>
      </x:c>
      <x:c r="F371" s="82" t="str"/>
      <x:c r="G371" s="82" t="str">
        <x:v>原基线478项</x:v>
      </x:c>
      <x:c r="H371" s="82" t="str">
        <x:v>原始能力契约；未按对象数量推算完成度</x:v>
      </x:c>
    </x:row>
    <x:row r="372">
      <x:c r="A372" s="82" t="str">
        <x:v>Definition与工程组织</x:v>
      </x:c>
      <x:c r="B372" s="82" t="str">
        <x:v>Reference / Address / Index</x:v>
      </x:c>
      <x:c r="C372" s="82" t="str">
        <x:v>CAP-ORG03-006</x:v>
      </x:c>
      <x:c r="D372" s="82" t="str">
        <x:v>Dependency Graph</x:v>
      </x:c>
      <x:c r="E372" s="82" t="str">
        <x:v>构建引用/依赖图，检测循环、缺失、发布顺序与影响范围。</x:v>
      </x:c>
      <x:c r="F372" s="82" t="str"/>
      <x:c r="G372" s="82" t="str">
        <x:v>原基线478项</x:v>
      </x:c>
      <x:c r="H372" s="82" t="str">
        <x:v>原始能力契约；未按对象数量推算完成度</x:v>
      </x:c>
    </x:row>
    <x:row r="373">
      <x:c r="A373" s="82" t="str">
        <x:v>Definition与工程组织</x:v>
      </x:c>
      <x:c r="B373" s="82" t="str">
        <x:v>Reference / Address / Index</x:v>
      </x:c>
      <x:c r="C373" s="82" t="str">
        <x:v>CAP-ORG03-007</x:v>
      </x:c>
      <x:c r="D373" s="82" t="str">
        <x:v>Find Usages</x:v>
      </x:c>
      <x:c r="E373" s="82" t="str">
        <x:v>从Definition对象反查所有引用者/连接者/调用者。</x:v>
      </x:c>
      <x:c r="F373" s="82" t="str"/>
      <x:c r="G373" s="82" t="str">
        <x:v>原基线478项</x:v>
      </x:c>
      <x:c r="H373" s="82" t="str">
        <x:v>原始能力契约；未按对象数量推算完成度</x:v>
      </x:c>
    </x:row>
    <x:row r="374">
      <x:c r="A374" s="82" t="str">
        <x:v>Definition与工程组织</x:v>
      </x:c>
      <x:c r="B374" s="82" t="str">
        <x:v>Reference / Address / Index</x:v>
      </x:c>
      <x:c r="C374" s="82" t="str">
        <x:v>CAP-ORG03-008</x:v>
      </x:c>
      <x:c r="D374" s="82" t="str">
        <x:v>Search/Reveal</x:v>
      </x:c>
      <x:c r="E374" s="82" t="str">
        <x:v>跨资源搜索并在Project Explorer/Outline/Editor中Reveal目标。</x:v>
      </x:c>
      <x:c r="F374" s="82" t="str"/>
      <x:c r="G374" s="82" t="str">
        <x:v>原基线478项</x:v>
      </x:c>
      <x:c r="H374" s="82" t="str">
        <x:v>原始能力契约；未按对象数量推算完成度</x:v>
      </x:c>
    </x:row>
    <x:row r="375">
      <x:c r="A375" s="82" t="str">
        <x:v>Definition与工程组织</x:v>
      </x:c>
      <x:c r="B375" s="82" t="str">
        <x:v>Reference / Address / Index</x:v>
      </x:c>
      <x:c r="C375" s="82" t="str">
        <x:v>CAP-ORG03-009</x:v>
      </x:c>
      <x:c r="D375" s="82" t="str">
        <x:v>Runtime Address Mapping</x:v>
      </x:c>
      <x:c r="E375" s="82" t="str">
        <x:v>DefinitionAddress与RuntimeAddress双向映射。</x:v>
      </x:c>
      <x:c r="F375" s="82" t="str"/>
      <x:c r="G375" s="82" t="str">
        <x:v>原基线478项</x:v>
      </x:c>
      <x:c r="H375" s="82" t="str">
        <x:v>原始能力契约；未按对象数量推算完成度</x:v>
      </x:c>
    </x:row>
    <x:row r="376">
      <x:c r="A376" s="82" t="str">
        <x:v>Definition与契约</x:v>
      </x:c>
      <x:c r="B376" s="82" t="str">
        <x:v>Property / Metadata / Type</x:v>
      </x:c>
      <x:c r="C376" s="82" t="str">
        <x:v>CAP-META01-001</x:v>
      </x:c>
      <x:c r="D376" s="82" t="str">
        <x:v>Property Descriptor</x:v>
      </x:c>
      <x:c r="E376" s="82" t="str">
        <x:v>统一描述属性Key/DisplayName/Category/Type/Default/ReadOnly/Visibility。</x:v>
      </x:c>
      <x:c r="F376" s="82" t="str">
        <x:v>专业域贡献Metadata，不建立第二套Property系统</x:v>
      </x:c>
      <x:c r="G376" s="82" t="str">
        <x:v>原基线478项</x:v>
      </x:c>
      <x:c r="H376" s="82" t="str">
        <x:v>原始能力契约；未按对象数量推算完成度</x:v>
      </x:c>
    </x:row>
    <x:row r="377">
      <x:c r="A377" s="82" t="str">
        <x:v>Definition与契约</x:v>
      </x:c>
      <x:c r="B377" s="82" t="str">
        <x:v>Property / Metadata / Type</x:v>
      </x:c>
      <x:c r="C377" s="82" t="str">
        <x:v>CAP-META01-002</x:v>
      </x:c>
      <x:c r="D377" s="82" t="str">
        <x:v>Metadata Provider</x:v>
      </x:c>
      <x:c r="E377" s="82" t="str">
        <x:v>Workbench/Plugin可动态贡献专业属性与编辑器元数据。</x:v>
      </x:c>
      <x:c r="F377" s="82" t="str"/>
      <x:c r="G377" s="82" t="str">
        <x:v>原基线478项</x:v>
      </x:c>
      <x:c r="H377" s="82" t="str">
        <x:v>原始能力契约；未按对象数量推算完成度</x:v>
      </x:c>
    </x:row>
    <x:row r="378">
      <x:c r="A378" s="82" t="str">
        <x:v>Definition与契约</x:v>
      </x:c>
      <x:c r="B378" s="82" t="str">
        <x:v>Property / Metadata / Type</x:v>
      </x:c>
      <x:c r="C378" s="82" t="str">
        <x:v>CAP-META01-003</x:v>
      </x:c>
      <x:c r="D378" s="82" t="str">
        <x:v>Type Descriptor</x:v>
      </x:c>
      <x:c r="E378" s="82" t="str">
        <x:v>稳定TypeId/Schema，支撑Port、Variable、Parameter和序列化类型契约。</x:v>
      </x:c>
      <x:c r="F378" s="82" t="str"/>
      <x:c r="G378" s="82" t="str">
        <x:v>原基线478项</x:v>
      </x:c>
      <x:c r="H378" s="82" t="str">
        <x:v>原始能力契约；未按对象数量推算完成度</x:v>
      </x:c>
    </x:row>
    <x:row r="379">
      <x:c r="A379" s="82" t="str">
        <x:v>Definition与契约</x:v>
      </x:c>
      <x:c r="B379" s="82" t="str">
        <x:v>Property / Metadata / Type</x:v>
      </x:c>
      <x:c r="C379" s="82" t="str">
        <x:v>CAP-META01-004</x:v>
      </x:c>
      <x:c r="D379" s="82" t="str">
        <x:v>Unit &amp; Dimension</x:v>
      </x:c>
      <x:c r="E379" s="82" t="str">
        <x:v>数值支持单位/量纲、显示格式和兼容性检查。</x:v>
      </x:c>
      <x:c r="F379" s="82" t="str"/>
      <x:c r="G379" s="82" t="str">
        <x:v>原基线478项</x:v>
      </x:c>
      <x:c r="H379" s="82" t="str">
        <x:v>原始能力契约；未按对象数量推算完成度</x:v>
      </x:c>
    </x:row>
    <x:row r="380">
      <x:c r="A380" s="82" t="str">
        <x:v>Definition与契约</x:v>
      </x:c>
      <x:c r="B380" s="82" t="str">
        <x:v>Property / Metadata / Type</x:v>
      </x:c>
      <x:c r="C380" s="82" t="str">
        <x:v>CAP-META01-005</x:v>
      </x:c>
      <x:c r="D380" s="82" t="str">
        <x:v>Enum/Range约束</x:v>
      </x:c>
      <x:c r="E380" s="82" t="str">
        <x:v>属性支持Enum、Min/Max、Step、Regex、AllowedValues等约束。</x:v>
      </x:c>
      <x:c r="F380" s="82" t="str"/>
      <x:c r="G380" s="82" t="str">
        <x:v>原基线478项</x:v>
      </x:c>
      <x:c r="H380" s="82" t="str">
        <x:v>原始能力契约；未按对象数量推算完成度</x:v>
      </x:c>
    </x:row>
    <x:row r="381">
      <x:c r="A381" s="82" t="str">
        <x:v>Definition与契约</x:v>
      </x:c>
      <x:c r="B381" s="82" t="str">
        <x:v>Property / Metadata / Type</x:v>
      </x:c>
      <x:c r="C381" s="82" t="str">
        <x:v>CAP-META01-006</x:v>
      </x:c>
      <x:c r="D381" s="82" t="str">
        <x:v>Validation Rule</x:v>
      </x:c>
      <x:c r="E381" s="82" t="str">
        <x:v>属性级与对象级Validation，返回结构化Severity/Location/FixHint。</x:v>
      </x:c>
      <x:c r="F381" s="82" t="str"/>
      <x:c r="G381" s="82" t="str">
        <x:v>原基线478项</x:v>
      </x:c>
      <x:c r="H381" s="82" t="str">
        <x:v>原始能力契约；未按对象数量推算完成度</x:v>
      </x:c>
    </x:row>
    <x:row r="382">
      <x:c r="A382" s="82" t="str">
        <x:v>Definition与契约</x:v>
      </x:c>
      <x:c r="B382" s="82" t="str">
        <x:v>Property / Metadata / Type</x:v>
      </x:c>
      <x:c r="C382" s="82" t="str">
        <x:v>CAP-META01-007</x:v>
      </x:c>
      <x:c r="D382" s="82" t="str">
        <x:v>Editor Template</x:v>
      </x:c>
      <x:c r="E382" s="82" t="str">
        <x:v>按Type/Metadata选择Property Editor、Picker、ResourceRef Editor等。</x:v>
      </x:c>
      <x:c r="F382" s="82" t="str"/>
      <x:c r="G382" s="82" t="str">
        <x:v>原基线478项</x:v>
      </x:c>
      <x:c r="H382" s="82" t="str">
        <x:v>原始能力契约；未按对象数量推算完成度</x:v>
      </x:c>
    </x:row>
    <x:row r="383">
      <x:c r="A383" s="82" t="str">
        <x:v>Definition与契约</x:v>
      </x:c>
      <x:c r="B383" s="82" t="str">
        <x:v>Property / Metadata / Type</x:v>
      </x:c>
      <x:c r="C383" s="82" t="str">
        <x:v>CAP-META01-008</x:v>
      </x:c>
      <x:c r="D383" s="82" t="str">
        <x:v>Visibility/Readonly Rule</x:v>
      </x:c>
      <x:c r="E383" s="82" t="str">
        <x:v>属性可按RunMode/Selection/Capability动态只读或隐藏。</x:v>
      </x:c>
      <x:c r="F383" s="82" t="str"/>
      <x:c r="G383" s="82" t="str">
        <x:v>原基线478项</x:v>
      </x:c>
      <x:c r="H383" s="82" t="str">
        <x:v>原始能力契约；未按对象数量推算完成度</x:v>
      </x:c>
    </x:row>
    <x:row r="384">
      <x:c r="A384" s="82" t="str">
        <x:v>Definition与契约</x:v>
      </x:c>
      <x:c r="B384" s="82" t="str">
        <x:v>Property / Metadata / Type</x:v>
      </x:c>
      <x:c r="C384" s="82" t="str">
        <x:v>CAP-META01-009</x:v>
      </x:c>
      <x:c r="D384" s="82" t="str">
        <x:v>Schema Version</x:v>
      </x:c>
      <x:c r="E384" s="82" t="str">
        <x:v>对象/属性Schema可版本化并参与Migration。</x:v>
      </x:c>
      <x:c r="F384" s="82" t="str"/>
      <x:c r="G384" s="82" t="str">
        <x:v>原基线478项</x:v>
      </x:c>
      <x:c r="H384" s="82" t="str">
        <x:v>原始能力契约；未按对象数量推算完成度</x:v>
      </x:c>
    </x:row>
    <x:row r="385">
      <x:c r="A385" s="82" t="str">
        <x:v>Definition与契约</x:v>
      </x:c>
      <x:c r="B385" s="82" t="str">
        <x:v>Property / Metadata / Type</x:v>
      </x:c>
      <x:c r="C385" s="82" t="str">
        <x:v>CAP-META01-010</x:v>
      </x:c>
      <x:c r="D385" s="82" t="str">
        <x:v>Type Conversion</x:v>
      </x:c>
      <x:c r="E385" s="82" t="str">
        <x:v>支持显式安全Converter，不允许隐式破坏Typed Contract。</x:v>
      </x:c>
      <x:c r="F385" s="82" t="str"/>
      <x:c r="G385" s="82" t="str">
        <x:v>原基线478项</x:v>
      </x:c>
      <x:c r="H385" s="82" t="str">
        <x:v>原始能力契约；未按对象数量推算完成度</x:v>
      </x:c>
    </x:row>
    <x:row r="386">
      <x:c r="A386" s="82" t="str">
        <x:v>Definition与契约</x:v>
      </x:c>
      <x:c r="B386" s="82" t="str">
        <x:v>Port / Connection / Contract</x:v>
      </x:c>
      <x:c r="C386" s="82" t="str">
        <x:v>CAP-CON01-001</x:v>
      </x:c>
      <x:c r="D386" s="82" t="str">
        <x:v>Object Port</x:v>
      </x:c>
      <x:c r="E386" s="82" t="str">
        <x:v>Content/Symbol/Element提供统一对象级Port。</x:v>
      </x:c>
      <x:c r="F386" s="82" t="str">
        <x:v>Command/Event/Data/Flow不可混成一种线</x:v>
      </x:c>
      <x:c r="G386" s="82" t="str">
        <x:v>原基线478项</x:v>
      </x:c>
      <x:c r="H386" s="82" t="str">
        <x:v>原始能力契约；未按对象数量推算完成度</x:v>
      </x:c>
    </x:row>
    <x:row r="387">
      <x:c r="A387" s="82" t="str">
        <x:v>Definition与契约</x:v>
      </x:c>
      <x:c r="B387" s="82" t="str">
        <x:v>Port / Connection / Contract</x:v>
      </x:c>
      <x:c r="C387" s="82" t="str">
        <x:v>CAP-CON01-002</x:v>
      </x:c>
      <x:c r="D387" s="82" t="str">
        <x:v>Port Kind</x:v>
      </x:c>
      <x:c r="E387" s="82" t="str">
        <x:v>Data/Event/Command/Flow/Resource/Visual Kind明确且不可混淆。</x:v>
      </x:c>
      <x:c r="F387" s="82" t="str"/>
      <x:c r="G387" s="82" t="str">
        <x:v>原基线478项</x:v>
      </x:c>
      <x:c r="H387" s="82" t="str">
        <x:v>原始能力契约；未按对象数量推算完成度</x:v>
      </x:c>
    </x:row>
    <x:row r="388">
      <x:c r="A388" s="82" t="str">
        <x:v>Definition与契约</x:v>
      </x:c>
      <x:c r="B388" s="82" t="str">
        <x:v>Port / Connection / Contract</x:v>
      </x:c>
      <x:c r="C388" s="82" t="str">
        <x:v>CAP-CON01-003</x:v>
      </x:c>
      <x:c r="D388" s="82" t="str">
        <x:v>Direction</x:v>
      </x:c>
      <x:c r="E388" s="82" t="str">
        <x:v>Input/Output/Bidirectional方向约束。</x:v>
      </x:c>
      <x:c r="F388" s="82" t="str"/>
      <x:c r="G388" s="82" t="str">
        <x:v>原基线478项</x:v>
      </x:c>
      <x:c r="H388" s="82" t="str">
        <x:v>原始能力契约；未按对象数量推算完成度</x:v>
      </x:c>
    </x:row>
    <x:row r="389">
      <x:c r="A389" s="82" t="str">
        <x:v>Definition与契约</x:v>
      </x:c>
      <x:c r="B389" s="82" t="str">
        <x:v>Port / Connection / Contract</x:v>
      </x:c>
      <x:c r="C389" s="82" t="str">
        <x:v>CAP-CON01-004</x:v>
      </x:c>
      <x:c r="D389" s="82" t="str">
        <x:v>Cardinality</x:v>
      </x:c>
      <x:c r="E389" s="82" t="str">
        <x:v>One/Many及Required/Optional约束。</x:v>
      </x:c>
      <x:c r="F389" s="82" t="str"/>
      <x:c r="G389" s="82" t="str">
        <x:v>原基线478项</x:v>
      </x:c>
      <x:c r="H389" s="82" t="str">
        <x:v>原始能力契约；未按对象数量推算完成度</x:v>
      </x:c>
    </x:row>
    <x:row r="390">
      <x:c r="A390" s="82" t="str">
        <x:v>Definition与契约</x:v>
      </x:c>
      <x:c r="B390" s="82" t="str">
        <x:v>Port / Connection / Contract</x:v>
      </x:c>
      <x:c r="C390" s="82" t="str">
        <x:v>CAP-CON01-005</x:v>
      </x:c>
      <x:c r="D390" s="82" t="str">
        <x:v>Typed Contract</x:v>
      </x:c>
      <x:c r="E390" s="82" t="str">
        <x:v>TypeId/ContractId支撑类型、Payload与专业契约。</x:v>
      </x:c>
      <x:c r="F390" s="82" t="str"/>
      <x:c r="G390" s="82" t="str">
        <x:v>原基线478项</x:v>
      </x:c>
      <x:c r="H390" s="82" t="str">
        <x:v>原始能力契约；未按对象数量推算完成度</x:v>
      </x:c>
    </x:row>
    <x:row r="391">
      <x:c r="A391" s="82" t="str">
        <x:v>Definition与契约</x:v>
      </x:c>
      <x:c r="B391" s="82" t="str">
        <x:v>Port / Connection / Contract</x:v>
      </x:c>
      <x:c r="C391" s="82" t="str">
        <x:v>CAP-CON01-006</x:v>
      </x:c>
      <x:c r="D391" s="82" t="str">
        <x:v>Public Port Mapping</x:v>
      </x:c>
      <x:c r="E391" s="82" t="str">
        <x:v>Content/Symbol公开Port映射内部Endpoint/Operation/Anchor。</x:v>
      </x:c>
      <x:c r="F391" s="82" t="str"/>
      <x:c r="G391" s="82" t="str">
        <x:v>原基线478项</x:v>
      </x:c>
      <x:c r="H391" s="82" t="str">
        <x:v>原始能力契约；未按对象数量推算完成度</x:v>
      </x:c>
    </x:row>
    <x:row r="392">
      <x:c r="A392" s="82" t="str">
        <x:v>Definition与契约</x:v>
      </x:c>
      <x:c r="B392" s="82" t="str">
        <x:v>Port / Connection / Contract</x:v>
      </x:c>
      <x:c r="C392" s="82" t="str">
        <x:v>CAP-CON01-007</x:v>
      </x:c>
      <x:c r="D392" s="82" t="str">
        <x:v>Connection Definition</x:v>
      </x:c>
      <x:c r="E392" s="82" t="str">
        <x:v>连接由Scope拥有并持久化Source/Target/Adapter/Metadata。</x:v>
      </x:c>
      <x:c r="F392" s="82" t="str"/>
      <x:c r="G392" s="82" t="str">
        <x:v>原基线478项</x:v>
      </x:c>
      <x:c r="H392" s="82" t="str">
        <x:v>原始能力契约；未按对象数量推算完成度</x:v>
      </x:c>
    </x:row>
    <x:row r="393">
      <x:c r="A393" s="82" t="str">
        <x:v>Definition与契约</x:v>
      </x:c>
      <x:c r="B393" s="82" t="str">
        <x:v>Port / Connection / Contract</x:v>
      </x:c>
      <x:c r="C393" s="82" t="str">
        <x:v>CAP-CON01-008</x:v>
      </x:c>
      <x:c r="D393" s="82" t="str">
        <x:v>Connect/Reconnect/Disconnect</x:v>
      </x:c>
      <x:c r="E393" s="82" t="str">
        <x:v>ConnectionService统一创建、修改、删除连接。</x:v>
      </x:c>
      <x:c r="F393" s="82" t="str"/>
      <x:c r="G393" s="82" t="str">
        <x:v>原基线478项</x:v>
      </x:c>
      <x:c r="H393" s="82" t="str">
        <x:v>原始能力契约；未按对象数量推算完成度</x:v>
      </x:c>
    </x:row>
    <x:row r="394">
      <x:c r="A394" s="82" t="str">
        <x:v>Definition与契约</x:v>
      </x:c>
      <x:c r="B394" s="82" t="str">
        <x:v>Port / Connection / Contract</x:v>
      </x:c>
      <x:c r="C394" s="82" t="str">
        <x:v>CAP-CON01-009</x:v>
      </x:c>
      <x:c r="D394" s="82" t="str">
        <x:v>Port Resolve</x:v>
      </x:c>
      <x:c r="E394" s="82" t="str">
        <x:v>跨Ref/Instance解析到真实Definition Owner与Port。</x:v>
      </x:c>
      <x:c r="F394" s="82" t="str"/>
      <x:c r="G394" s="82" t="str">
        <x:v>原基线478项</x:v>
      </x:c>
      <x:c r="H394" s="82" t="str">
        <x:v>原始能力契约；未按对象数量推算完成度</x:v>
      </x:c>
    </x:row>
    <x:row r="395">
      <x:c r="A395" s="82" t="str">
        <x:v>Definition与契约</x:v>
      </x:c>
      <x:c r="B395" s="82" t="str">
        <x:v>Port / Connection / Contract</x:v>
      </x:c>
      <x:c r="C395" s="82" t="str">
        <x:v>CAP-CON01-010</x:v>
      </x:c>
      <x:c r="D395" s="82" t="str">
        <x:v>Compatibility Check</x:v>
      </x:c>
      <x:c r="E395" s="82" t="str">
        <x:v>连接前验证Kind/Direction/Type/Cardinality/Scope/Adapter。</x:v>
      </x:c>
      <x:c r="F395" s="82" t="str"/>
      <x:c r="G395" s="82" t="str">
        <x:v>原基线478项</x:v>
      </x:c>
      <x:c r="H395" s="82" t="str">
        <x:v>原始能力契约；未按对象数量推算完成度</x:v>
      </x:c>
    </x:row>
    <x:row r="396">
      <x:c r="A396" s="82" t="str">
        <x:v>Definition与契约</x:v>
      </x:c>
      <x:c r="B396" s="82" t="str">
        <x:v>Port / Connection / Contract</x:v>
      </x:c>
      <x:c r="C396" s="82" t="str">
        <x:v>CAP-CON01-011</x:v>
      </x:c>
      <x:c r="D396" s="82" t="str">
        <x:v>Converter/Adapter</x:v>
      </x:c>
      <x:c r="E396" s="82" t="str">
        <x:v>需要转换时显式选择Converter/Adapter并参与Compile。</x:v>
      </x:c>
      <x:c r="F396" s="82" t="str"/>
      <x:c r="G396" s="82" t="str">
        <x:v>原基线478项</x:v>
      </x:c>
      <x:c r="H396" s="82" t="str">
        <x:v>原始能力契约；未按对象数量推算完成度</x:v>
      </x:c>
    </x:row>
    <x:row r="397">
      <x:c r="A397" s="82" t="str">
        <x:v>Definition与契约</x:v>
      </x:c>
      <x:c r="B397" s="82" t="str">
        <x:v>Port / Connection / Contract</x:v>
      </x:c>
      <x:c r="C397" s="82" t="str">
        <x:v>CAP-CON01-012</x:v>
      </x:c>
      <x:c r="D397" s="82" t="str">
        <x:v>Visual Anchor</x:v>
      </x:c>
      <x:c r="E397" s="82" t="str">
        <x:v>Visual Port支持Orientation/Medium/SnapRadius和世界坐标路由。</x:v>
      </x:c>
      <x:c r="F397" s="82" t="str"/>
      <x:c r="G397" s="82" t="str">
        <x:v>原基线478项</x:v>
      </x:c>
      <x:c r="H397" s="82" t="str">
        <x:v>原始能力契约；未按对象数量推算完成度</x:v>
      </x:c>
    </x:row>
    <x:row r="398">
      <x:c r="A398" s="82" t="str">
        <x:v>跨专业基础契约</x:v>
      </x:c>
      <x:c r="B398" s="82" t="str">
        <x:v>统一时间、空间坐标与量纲契约</x:v>
      </x:c>
      <x:c r="C398" s="82" t="str">
        <x:v>CAP-SPACE01-001</x:v>
      </x:c>
      <x:c r="D398" s="82" t="str">
        <x:v>时钟域与时间基准</x:v>
      </x:c>
      <x:c r="E398" s="82" t="str">
        <x:v>分别标识UTC墙钟、单调时钟、设备时钟、仿真时钟与重放时钟及其域ID；不同域禁止无声明直接相减。</x:v>
      </x:c>
      <x:c r="F398" s="82" t="str">
        <x:v>Mechanism维护契约/解析/检查；Automation同步设备，Vision/CT3D负责专业标定与几何算法；不替代硬实时控制</x:v>
      </x:c>
      <x:c r="G398" s="82" t="str">
        <x:v>新增Mechanism子方面</x:v>
      </x:c>
      <x:c r="H398" s="82" t="str">
        <x:v>原始能力契约；未按对象数量推算完成度</x:v>
      </x:c>
    </x:row>
    <x:row r="399">
      <x:c r="A399" s="82" t="str">
        <x:v>跨专业基础契约</x:v>
      </x:c>
      <x:c r="B399" s="82" t="str">
        <x:v>统一时间、空间坐标与量纲契约</x:v>
      </x:c>
      <x:c r="C399" s="82" t="str">
        <x:v>CAP-SPACE01-002</x:v>
      </x:c>
      <x:c r="D399" s="82" t="str">
        <x:v>时间戳阶段区分</x:v>
      </x:c>
      <x:c r="E399" s="82" t="str">
        <x:v>独立记录触发、源采样、接收、处理、发布等阶段时间戳，不用“一个timestamp”替代所有时序。</x:v>
      </x:c>
      <x:c r="F399" s="82" t="str"/>
      <x:c r="G399" s="82" t="str">
        <x:v>新增Mechanism子方面</x:v>
      </x:c>
      <x:c r="H399" s="82" t="str">
        <x:v>原始能力契约；未按对象数量推算完成度</x:v>
      </x:c>
    </x:row>
    <x:row r="400">
      <x:c r="A400" s="82" t="str">
        <x:v>跨专业基础契约</x:v>
      </x:c>
      <x:c r="B400" s="82" t="str">
        <x:v>统一时间、空间坐标与量纲契约</x:v>
      </x:c>
      <x:c r="C400" s="82" t="str">
        <x:v>CAP-SPACE01-003</x:v>
      </x:c>
      <x:c r="D400" s="82" t="str">
        <x:v>时钟同步质量</x:v>
      </x:c>
      <x:c r="E400" s="82" t="str">
        <x:v>统一表达PTP/NTP/硬件同步偏移、漂移、测量不确定度和同步质量；超差可诊断。</x:v>
      </x:c>
      <x:c r="F400" s="82" t="str"/>
      <x:c r="G400" s="82" t="str">
        <x:v>新增Mechanism子方面</x:v>
      </x:c>
      <x:c r="H400" s="82" t="str">
        <x:v>原始能力契约；未按对象数量推算完成度</x:v>
      </x:c>
    </x:row>
    <x:row r="401">
      <x:c r="A401" s="82" t="str">
        <x:v>跨专业基础契约</x:v>
      </x:c>
      <x:c r="B401" s="82" t="str">
        <x:v>统一时间、空间坐标与量纲契约</x:v>
      </x:c>
      <x:c r="C401" s="82" t="str">
        <x:v>CAP-SPACE01-004</x:v>
      </x:c>
      <x:c r="D401" s="82" t="str">
        <x:v>跨设备时间对齐</x:v>
      </x:c>
      <x:c r="E401" s="82" t="str">
        <x:v>对Motion、Camera、Detector、DAQ等流声明同步窗口、触发源、对齐算法与超差策略。</x:v>
      </x:c>
      <x:c r="F401" s="82" t="str"/>
      <x:c r="G401" s="82" t="str">
        <x:v>新增Mechanism子方面</x:v>
      </x:c>
      <x:c r="H401" s="82" t="str">
        <x:v>原始能力契约；未按对象数量推算完成度</x:v>
      </x:c>
    </x:row>
    <x:row r="402">
      <x:c r="A402" s="82" t="str">
        <x:v>跨专业基础契约</x:v>
      </x:c>
      <x:c r="B402" s="82" t="str">
        <x:v>统一时间、空间坐标与量纲契约</x:v>
      </x:c>
      <x:c r="C402" s="82" t="str">
        <x:v>CAP-SPACE01-005</x:v>
      </x:c>
      <x:c r="D402" s="82" t="str">
        <x:v>帧序号与乱序判定</x:v>
      </x:c>
      <x:c r="E402" s="82" t="str">
        <x:v>时间序列携带SourceId、Sequence、Correlation及丢帧/重复/乱序标记。</x:v>
      </x:c>
      <x:c r="F402" s="82" t="str"/>
      <x:c r="G402" s="82" t="str">
        <x:v>新增Mechanism子方面</x:v>
      </x:c>
      <x:c r="H402" s="82" t="str">
        <x:v>原始能力契约；未按对象数量推算完成度</x:v>
      </x:c>
    </x:row>
    <x:row r="403">
      <x:c r="A403" s="82" t="str">
        <x:v>跨专业基础契约</x:v>
      </x:c>
      <x:c r="B403" s="82" t="str">
        <x:v>统一时间、空间坐标与量纲契约</x:v>
      </x:c>
      <x:c r="C403" s="82" t="str">
        <x:v>CAP-SPACE01-006</x:v>
      </x:c>
      <x:c r="D403" s="82" t="str">
        <x:v>坐标系及参考框架</x:v>
      </x:c>
      <x:c r="E403" s="82" t="str">
        <x:v>以FrameId记录设备坐标、工具坐标、工件坐标、图像坐标、体素坐标和世界坐标的类型及基准。</x:v>
      </x:c>
      <x:c r="F403" s="82" t="str"/>
      <x:c r="G403" s="82" t="str">
        <x:v>新增Mechanism子方面</x:v>
      </x:c>
      <x:c r="H403" s="82" t="str">
        <x:v>原始能力契约；未按对象数量推算完成度</x:v>
      </x:c>
    </x:row>
    <x:row r="404">
      <x:c r="A404" s="82" t="str">
        <x:v>跨专业基础契约</x:v>
      </x:c>
      <x:c r="B404" s="82" t="str">
        <x:v>统一时间、空间坐标与量纲契约</x:v>
      </x:c>
      <x:c r="C404" s="82" t="str">
        <x:v>CAP-SPACE01-007</x:v>
      </x:c>
      <x:c r="D404" s="82" t="str">
        <x:v>坐标变换引用链</x:v>
      </x:c>
      <x:c r="E404" s="82" t="str">
        <x:v>通过TransformRef与时间/版本组织可解析的坐标变换链，校验方向、可逆性与引用有效性。</x:v>
      </x:c>
      <x:c r="F404" s="82" t="str"/>
      <x:c r="G404" s="82" t="str">
        <x:v>新增Mechanism子方面</x:v>
      </x:c>
      <x:c r="H404" s="82" t="str">
        <x:v>原始能力契约；未按对象数量推算完成度</x:v>
      </x:c>
    </x:row>
    <x:row r="405">
      <x:c r="A405" s="82" t="str">
        <x:v>跨专业基础契约</x:v>
      </x:c>
      <x:c r="B405" s="82" t="str">
        <x:v>统一时间、空间坐标与量纲契约</x:v>
      </x:c>
      <x:c r="C405" s="82" t="str">
        <x:v>CAP-SPACE01-008</x:v>
      </x:c>
      <x:c r="D405" s="82" t="str">
        <x:v>量纲与单位兼容</x:v>
      </x:c>
      <x:c r="E405" s="82" t="str">
        <x:v>统一长度、角度、时间、温度、压力、电流等量纲与单位；只允许显式兼容转换，拒绝mm与角度相加。</x:v>
      </x:c>
      <x:c r="F405" s="82" t="str"/>
      <x:c r="G405" s="82" t="str">
        <x:v>新增Mechanism子方面</x:v>
      </x:c>
      <x:c r="H405" s="82" t="str">
        <x:v>原始能力契约；未按对象数量推算完成度</x:v>
      </x:c>
    </x:row>
    <x:row r="406">
      <x:c r="A406" s="82" t="str">
        <x:v>跨专业基础契约</x:v>
      </x:c>
      <x:c r="B406" s="82" t="str">
        <x:v>统一时间、空间坐标与量纲契约</x:v>
      </x:c>
      <x:c r="C406" s="82" t="str">
        <x:v>CAP-SPACE01-009</x:v>
      </x:c>
      <x:c r="D406" s="82" t="str">
        <x:v>物理精度与不确定度</x:v>
      </x:c>
      <x:c r="E406" s="82" t="str">
        <x:v>数值可携带精度、容差、采样误差及不确定度传播说明；阈值判断应明确单位。</x:v>
      </x:c>
      <x:c r="F406" s="82" t="str"/>
      <x:c r="G406" s="82" t="str">
        <x:v>新增Mechanism子方面</x:v>
      </x:c>
      <x:c r="H406" s="82" t="str">
        <x:v>原始能力契约；未按对象数量推算完成度</x:v>
      </x:c>
    </x:row>
    <x:row r="407">
      <x:c r="A407" s="82" t="str">
        <x:v>跨专业基础契约</x:v>
      </x:c>
      <x:c r="B407" s="82" t="str">
        <x:v>统一时间、空间坐标与量纲契约</x:v>
      </x:c>
      <x:c r="C407" s="82" t="str">
        <x:v>CAP-SPACE01-010</x:v>
      </x:c>
      <x:c r="D407" s="82" t="str">
        <x:v>标定引用与版本</x:v>
      </x:c>
      <x:c r="E407" s="82" t="str">
        <x:v>物理坐标与图像/体数据转换需引用专业CalibrationId、有效设备、版本、适用时间和温度区间。</x:v>
      </x:c>
      <x:c r="F407" s="82" t="str"/>
      <x:c r="G407" s="82" t="str">
        <x:v>新增Mechanism子方面</x:v>
      </x:c>
      <x:c r="H407" s="82" t="str">
        <x:v>原始能力契约；未按对象数量推算完成度</x:v>
      </x:c>
    </x:row>
    <x:row r="408">
      <x:c r="A408" s="82" t="str">
        <x:v>跨专业基础契约</x:v>
      </x:c>
      <x:c r="B408" s="82" t="str">
        <x:v>统一时间、空间坐标与量纲契约</x:v>
      </x:c>
      <x:c r="C408" s="82" t="str">
        <x:v>CAP-SPACE01-011</x:v>
      </x:c>
      <x:c r="D408" s="82" t="str">
        <x:v>像素体素到物理空间</x:v>
      </x:c>
      <x:c r="E408" s="82" t="str">
        <x:v>规范Pixel/Voxel Space与World Space映射的方向、spacing、origin和坐标约定；转换算法由专业提供。</x:v>
      </x:c>
      <x:c r="F408" s="82" t="str"/>
      <x:c r="G408" s="82" t="str">
        <x:v>新增Mechanism子方面</x:v>
      </x:c>
      <x:c r="H408" s="82" t="str">
        <x:v>原始能力契约；未按对象数量推算完成度</x:v>
      </x:c>
    </x:row>
    <x:row r="409">
      <x:c r="A409" s="82" t="str">
        <x:v>跨专业基础契约</x:v>
      </x:c>
      <x:c r="B409" s="82" t="str">
        <x:v>统一时间、空间坐标与量纲契约</x:v>
      </x:c>
      <x:c r="C409" s="82" t="str">
        <x:v>CAP-SPACE01-012</x:v>
      </x:c>
      <x:c r="D409" s="82" t="str">
        <x:v>扫描运动采集关联</x:v>
      </x:c>
      <x:c r="E409" s="82" t="str">
        <x:v>统一关联运动Pose、曝光触发、投影角度、序列帧与采集时间，保证CT/扫描链路追溯。</x:v>
      </x:c>
      <x:c r="F409" s="82" t="str"/>
      <x:c r="G409" s="82" t="str">
        <x:v>新增Mechanism子方面</x:v>
      </x:c>
      <x:c r="H409" s="82" t="str">
        <x:v>原始能力契约；未按对象数量推算完成度</x:v>
      </x:c>
    </x:row>
    <x:row r="410">
      <x:c r="A410" s="82" t="str">
        <x:v>跨专业基础契约</x:v>
      </x:c>
      <x:c r="B410" s="82" t="str">
        <x:v>统一时间、空间坐标与量纲契约</x:v>
      </x:c>
      <x:c r="C410" s="82" t="str">
        <x:v>CAP-SPACE01-013</x:v>
      </x:c>
      <x:c r="D410" s="82" t="str">
        <x:v>时空链联合校验</x:v>
      </x:c>
      <x:c r="E410" s="82" t="str">
        <x:v>解析时校验时钟域、帧参考、变换环、量纲、校准生效范围，不允许静默采用默认单位。</x:v>
      </x:c>
      <x:c r="F410" s="82" t="str"/>
      <x:c r="G410" s="82" t="str">
        <x:v>新增Mechanism子方面</x:v>
      </x:c>
      <x:c r="H410" s="82" t="str">
        <x:v>原始能力契约；未按对象数量推算完成度</x:v>
      </x:c>
    </x:row>
    <x:row r="411">
      <x:c r="A411" s="82" t="str">
        <x:v>跨专业基础契约</x:v>
      </x:c>
      <x:c r="B411" s="82" t="str">
        <x:v>统一时间、空间坐标与量纲契约</x:v>
      </x:c>
      <x:c r="C411" s="82" t="str">
        <x:v>CAP-SPACE01-014</x:v>
      </x:c>
      <x:c r="D411" s="82" t="str">
        <x:v>时空元数据全链传播</x:v>
      </x:c>
      <x:c r="E411" s="82" t="str">
        <x:v>DataHandle、Result、Artifact、Trace沿工作流保留源时间、坐标框架、Unit及版本，避免跨专业处理丢失。</x:v>
      </x:c>
      <x:c r="F411" s="82" t="str"/>
      <x:c r="G411" s="82" t="str">
        <x:v>新增Mechanism子方面</x:v>
      </x:c>
      <x:c r="H411" s="82" t="str">
        <x:v>原始能力契约；未按对象数量推算完成度</x:v>
      </x:c>
    </x:row>
    <x:row r="412">
      <x:c r="A412" s="82" t="str">
        <x:v>跨专业基础契约</x:v>
      </x:c>
      <x:c r="B412" s="82" t="str">
        <x:v>事务、一致性与可靠交付契约</x:v>
      </x:c>
      <x:c r="C412" s="82" t="str">
        <x:v>CAP-TXN01-001</x:v>
      </x:c>
      <x:c r="D412" s="82" t="str">
        <x:v>一致性模式声明</x:v>
      </x:c>
      <x:c r="E412" s="82" t="str">
        <x:v>对工程编辑、运行状态、外部设备写入、历史写入声明强一致、最终一致或单向观测等模式。</x:v>
      </x:c>
      <x:c r="F412" s="82" t="str">
        <x:v>Mechanism统一交付契约；专业Provider保证真实设备动作/业务写入语义；不承诺外部硬件分布式原子事务</x:v>
      </x:c>
      <x:c r="G412" s="82" t="str">
        <x:v>新增Mechanism子方面</x:v>
      </x:c>
      <x:c r="H412" s="82" t="str">
        <x:v>原始能力契约；未按对象数量推算完成度</x:v>
      </x:c>
    </x:row>
    <x:row r="413">
      <x:c r="A413" s="82" t="str">
        <x:v>跨专业基础契约</x:v>
      </x:c>
      <x:c r="B413" s="82" t="str">
        <x:v>事务、一致性与可靠交付契约</x:v>
      </x:c>
      <x:c r="C413" s="82" t="str">
        <x:v>CAP-TXN01-002</x:v>
      </x:c>
      <x:c r="D413" s="82" t="str">
        <x:v>提交边界与结果状态</x:v>
      </x:c>
      <x:c r="E413" s="82" t="str">
        <x:v>每次写操作区分Requested、Accepted、Applied、Verified、Failed、Unknown，不能把请求发送当作设备成功。</x:v>
      </x:c>
      <x:c r="F413" s="82" t="str"/>
      <x:c r="G413" s="82" t="str">
        <x:v>新增Mechanism子方面</x:v>
      </x:c>
      <x:c r="H413" s="82" t="str">
        <x:v>原始能力契约；未按对象数量推算完成度</x:v>
      </x:c>
    </x:row>
    <x:row r="414">
      <x:c r="A414" s="82" t="str">
        <x:v>跨专业基础契约</x:v>
      </x:c>
      <x:c r="B414" s="82" t="str">
        <x:v>事务、一致性与可靠交付契约</x:v>
      </x:c>
      <x:c r="C414" s="82" t="str">
        <x:v>CAP-TXN01-003</x:v>
      </x:c>
      <x:c r="D414" s="82" t="str">
        <x:v>跨重启幂等标识</x:v>
      </x:c>
      <x:c r="E414" s="82" t="str">
        <x:v>外部副作用请求携带业务IdempotencyKey、版本、作用域与有效期，重启后可识别重复请求。</x:v>
      </x:c>
      <x:c r="F414" s="82" t="str"/>
      <x:c r="G414" s="82" t="str">
        <x:v>新增Mechanism子方面</x:v>
      </x:c>
      <x:c r="H414" s="82" t="str">
        <x:v>原始能力契约；未按对象数量推算完成度</x:v>
      </x:c>
    </x:row>
    <x:row r="415">
      <x:c r="A415" s="82" t="str">
        <x:v>跨专业基础契约</x:v>
      </x:c>
      <x:c r="B415" s="82" t="str">
        <x:v>事务、一致性与可靠交付契约</x:v>
      </x:c>
      <x:c r="C415" s="82" t="str">
        <x:v>CAP-TXN01-004</x:v>
      </x:c>
      <x:c r="D415" s="82" t="str">
        <x:v>工程修改事务</x:v>
      </x:c>
      <x:c r="E415" s="82" t="str">
        <x:v>多对象Mutation支持原子提交/回滚，Undo/Redo与持久化版本必须一致，不产生半保存引用树。</x:v>
      </x:c>
      <x:c r="F415" s="82" t="str"/>
      <x:c r="G415" s="82" t="str">
        <x:v>新增Mechanism子方面</x:v>
      </x:c>
      <x:c r="H415" s="82" t="str">
        <x:v>原始能力契约；未按对象数量推算完成度</x:v>
      </x:c>
    </x:row>
    <x:row r="416">
      <x:c r="A416" s="82" t="str">
        <x:v>跨专业基础契约</x:v>
      </x:c>
      <x:c r="B416" s="82" t="str">
        <x:v>事务、一致性与可靠交付契约</x:v>
      </x:c>
      <x:c r="C416" s="82" t="str">
        <x:v>CAP-TXN01-005</x:v>
      </x:c>
      <x:c r="D416" s="82" t="str">
        <x:v>并发版本冲突检测</x:v>
      </x:c>
      <x:c r="E416" s="82" t="str">
        <x:v>修改工程Definition、Recipe或参数时采用Revision/ETag比较，冲突时显式拒绝或人工合并。</x:v>
      </x:c>
      <x:c r="F416" s="82" t="str"/>
      <x:c r="G416" s="82" t="str">
        <x:v>新增Mechanism子方面</x:v>
      </x:c>
      <x:c r="H416" s="82" t="str">
        <x:v>原始能力契约；未按对象数量推算完成度</x:v>
      </x:c>
    </x:row>
    <x:row r="417">
      <x:c r="A417" s="82" t="str">
        <x:v>跨专业基础契约</x:v>
      </x:c>
      <x:c r="B417" s="82" t="str">
        <x:v>事务、一致性与可靠交付契约</x:v>
      </x:c>
      <x:c r="C417" s="82" t="str">
        <x:v>CAP-TXN01-006</x:v>
      </x:c>
      <x:c r="D417" s="82" t="str">
        <x:v>快照一致性发布</x:v>
      </x:c>
      <x:c r="E417" s="82" t="str">
        <x:v>Plan/Manifest/配置与依赖作为一致版本发布，Runtime不同时读取混用不同修订。</x:v>
      </x:c>
      <x:c r="F417" s="82" t="str"/>
      <x:c r="G417" s="82" t="str">
        <x:v>新增Mechanism子方面</x:v>
      </x:c>
      <x:c r="H417" s="82" t="str">
        <x:v>原始能力契约；未按对象数量推算完成度</x:v>
      </x:c>
    </x:row>
    <x:row r="418">
      <x:c r="A418" s="82" t="str">
        <x:v>跨专业基础契约</x:v>
      </x:c>
      <x:c r="B418" s="82" t="str">
        <x:v>事务、一致性与可靠交付契约</x:v>
      </x:c>
      <x:c r="C418" s="82" t="str">
        <x:v>CAP-TXN01-007</x:v>
      </x:c>
      <x:c r="D418" s="82" t="str">
        <x:v>可靠收件与发件箱</x:v>
      </x:c>
      <x:c r="E418" s="82" t="str">
        <x:v>MES/IoT等外部消息采用持久Inbox/Outbox、重复消除和交付状态，说明至少一次语义。</x:v>
      </x:c>
      <x:c r="F418" s="82" t="str"/>
      <x:c r="G418" s="82" t="str">
        <x:v>新增Mechanism子方面</x:v>
      </x:c>
      <x:c r="H418" s="82" t="str">
        <x:v>原始能力契约；未按对象数量推算完成度</x:v>
      </x:c>
    </x:row>
    <x:row r="419">
      <x:c r="A419" s="82" t="str">
        <x:v>跨专业基础契约</x:v>
      </x:c>
      <x:c r="B419" s="82" t="str">
        <x:v>事务、一致性与可靠交付契约</x:v>
      </x:c>
      <x:c r="C419" s="82" t="str">
        <x:v>CAP-TXN01-008</x:v>
      </x:c>
      <x:c r="D419" s="82" t="str">
        <x:v>长业务事务与补偿</x:v>
      </x:c>
      <x:c r="E419" s="82" t="str">
        <x:v>不具备原子提交的多专业流程通过Saga/Compensation描述已完成副作用及补偿边界。</x:v>
      </x:c>
      <x:c r="F419" s="82" t="str"/>
      <x:c r="G419" s="82" t="str">
        <x:v>新增Mechanism子方面</x:v>
      </x:c>
      <x:c r="H419" s="82" t="str">
        <x:v>原始能力契约；未按对象数量推算完成度</x:v>
      </x:c>
    </x:row>
    <x:row r="420">
      <x:c r="A420" s="82" t="str">
        <x:v>跨专业基础契约</x:v>
      </x:c>
      <x:c r="B420" s="82" t="str">
        <x:v>事务、一致性与可靠交付契约</x:v>
      </x:c>
      <x:c r="C420" s="82" t="str">
        <x:v>CAP-TXN01-009</x:v>
      </x:c>
      <x:c r="D420" s="82" t="str">
        <x:v>检查点与副作用屏障</x:v>
      </x:c>
      <x:c r="E420" s="82" t="str">
        <x:v>Durable恢复先核查已执行副作用及确认记录，避免恢复后重复下发运动或曝光动作。</x:v>
      </x:c>
      <x:c r="F420" s="82" t="str"/>
      <x:c r="G420" s="82" t="str">
        <x:v>新增Mechanism子方面</x:v>
      </x:c>
      <x:c r="H420" s="82" t="str">
        <x:v>原始能力契约；未按对象数量推算完成度</x:v>
      </x:c>
    </x:row>
    <x:row r="421">
      <x:c r="A421" s="82" t="str">
        <x:v>跨专业基础契约</x:v>
      </x:c>
      <x:c r="B421" s="82" t="str">
        <x:v>事务、一致性与可靠交付契约</x:v>
      </x:c>
      <x:c r="C421" s="82" t="str">
        <x:v>CAP-TXN01-010</x:v>
      </x:c>
      <x:c r="D421" s="82" t="str">
        <x:v>离线缓存与补传顺序</x:v>
      </x:c>
      <x:c r="E421" s="82" t="str">
        <x:v>断网补传声明分区Key、先后约束、丢弃/保留政策及幂等Key，保留失败队列。</x:v>
      </x:c>
      <x:c r="F421" s="82" t="str"/>
      <x:c r="G421" s="82" t="str">
        <x:v>新增Mechanism子方面</x:v>
      </x:c>
      <x:c r="H421" s="82" t="str">
        <x:v>原始能力契约；未按对象数量推算完成度</x:v>
      </x:c>
    </x:row>
    <x:row r="422">
      <x:c r="A422" s="82" t="str">
        <x:v>跨专业基础契约</x:v>
      </x:c>
      <x:c r="B422" s="82" t="str">
        <x:v>事务、一致性与可靠交付契约</x:v>
      </x:c>
      <x:c r="C422" s="82" t="str">
        <x:v>CAP-TXN01-011</x:v>
      </x:c>
      <x:c r="D422" s="82" t="str">
        <x:v>对账与冲突仲裁</x:v>
      </x:c>
      <x:c r="E422" s="82" t="str">
        <x:v>设备真实状态、运行快照及MES回执不一致时产生对账任务和结构化冲突证据。</x:v>
      </x:c>
      <x:c r="F422" s="82" t="str"/>
      <x:c r="G422" s="82" t="str">
        <x:v>新增Mechanism子方面</x:v>
      </x:c>
      <x:c r="H422" s="82" t="str">
        <x:v>原始能力契约；未按对象数量推算完成度</x:v>
      </x:c>
    </x:row>
    <x:row r="423">
      <x:c r="A423" s="82" t="str">
        <x:v>跨专业基础契约</x:v>
      </x:c>
      <x:c r="B423" s="82" t="str">
        <x:v>事务、一致性与可靠交付契约</x:v>
      </x:c>
      <x:c r="C423" s="82" t="str">
        <x:v>CAP-TXN01-012</x:v>
      </x:c>
      <x:c r="D423" s="82" t="str">
        <x:v>命令回执与物理确认</x:v>
      </x:c>
      <x:c r="E423" s="82" t="str">
        <x:v>区分通讯ACK、控制器受理、实际动作完成与后置条件验证，最终状态以专业反馈为依据。</x:v>
      </x:c>
      <x:c r="F423" s="82" t="str"/>
      <x:c r="G423" s="82" t="str">
        <x:v>新增Mechanism子方面</x:v>
      </x:c>
      <x:c r="H423" s="82" t="str">
        <x:v>原始能力契约；未按对象数量推算完成度</x:v>
      </x:c>
    </x:row>
    <x:row r="424">
      <x:c r="A424" s="82" t="str">
        <x:v>跨专业基础契约</x:v>
      </x:c>
      <x:c r="B424" s="82" t="str">
        <x:v>事务、一致性与可靠交付契约</x:v>
      </x:c>
      <x:c r="C424" s="82" t="str">
        <x:v>CAP-TXN01-013</x:v>
      </x:c>
      <x:c r="D424" s="82" t="str">
        <x:v>进程崩溃恢复裁决</x:v>
      </x:c>
      <x:c r="E424" s="82" t="str">
        <x:v>重启时根据Journal/CommitToken/Checkpoint确定安全重试、只读检查、人工处置或补偿。</x:v>
      </x:c>
      <x:c r="F424" s="82" t="str"/>
      <x:c r="G424" s="82" t="str">
        <x:v>新增Mechanism子方面</x:v>
      </x:c>
      <x:c r="H424" s="82" t="str">
        <x:v>原始能力契约；未按对象数量推算完成度</x:v>
      </x:c>
    </x:row>
    <x:row r="425">
      <x:c r="A425" s="82" t="str">
        <x:v>跨专业基础契约</x:v>
      </x:c>
      <x:c r="B425" s="82" t="str">
        <x:v>事务、一致性与可靠交付契约</x:v>
      </x:c>
      <x:c r="C425" s="82" t="str">
        <x:v>CAP-TXN01-014</x:v>
      </x:c>
      <x:c r="D425" s="82" t="str">
        <x:v>事务诊断与审计</x:v>
      </x:c>
      <x:c r="E425" s="82" t="str">
        <x:v>记录业务Key、Correlation、提交阶段、重试次数、回执、补偿结果与最终一致性状态。</x:v>
      </x:c>
      <x:c r="F425" s="82" t="str"/>
      <x:c r="G425" s="82" t="str">
        <x:v>新增Mechanism子方面</x:v>
      </x:c>
      <x:c r="H425" s="82" t="str">
        <x:v>原始能力契约；未按对象数量推算完成度</x:v>
      </x:c>
    </x:row>
    <x:row r="426">
      <x:c r="A426" s="82" t="str">
        <x:v>跨专业基础契约</x:v>
      </x:c>
      <x:c r="B426" s="82" t="str">
        <x:v>通用验证、验收与证据契约</x:v>
      </x:c>
      <x:c r="C426" s="82" t="str">
        <x:v>CAP-VERIFY01-001</x:v>
      </x:c>
      <x:c r="D426" s="82" t="str">
        <x:v>能力验收声明</x:v>
      </x:c>
      <x:c r="E426" s="82" t="str">
        <x:v>每个CapabilityId关联可版本化AcceptanceContract：前置条件、输入、期望、环境、观察窗口和证据类型。</x:v>
      </x:c>
      <x:c r="F426" s="82" t="str">
        <x:v>Mechanism定义通用证据契约；各Workbench贡献专业输入/断言/采样/判定；编译通过或自动单测不等于真实业务验收通过</x:v>
      </x:c>
      <x:c r="G426" s="82" t="str">
        <x:v>新增Mechanism子方面</x:v>
      </x:c>
      <x:c r="H426" s="82" t="str">
        <x:v>原始能力契约；未按对象数量推算完成度</x:v>
      </x:c>
    </x:row>
    <x:row r="427">
      <x:c r="A427" s="82" t="str">
        <x:v>跨专业基础契约</x:v>
      </x:c>
      <x:c r="B427" s="82" t="str">
        <x:v>通用验证、验收与证据契约</x:v>
      </x:c>
      <x:c r="C427" s="82" t="str">
        <x:v>CAP-VERIFY01-002</x:v>
      </x:c>
      <x:c r="D427" s="82" t="str">
        <x:v>可复现环境清单</x:v>
      </x:c>
      <x:c r="E427" s="82" t="str">
        <x:v>记录工程/插件/Provider/模型/驱动/设备固件/数据集/运行模式及其版本，不能只写“已测试”。</x:v>
      </x:c>
      <x:c r="F427" s="82" t="str"/>
      <x:c r="G427" s="82" t="str">
        <x:v>新增Mechanism子方面</x:v>
      </x:c>
      <x:c r="H427" s="82" t="str">
        <x:v>原始能力契约；未按对象数量推算完成度</x:v>
      </x:c>
    </x:row>
    <x:row r="428">
      <x:c r="A428" s="82" t="str">
        <x:v>跨专业基础契约</x:v>
      </x:c>
      <x:c r="B428" s="82" t="str">
        <x:v>通用验证、验收与证据契约</x:v>
      </x:c>
      <x:c r="C428" s="82" t="str">
        <x:v>CAP-VERIFY01-003</x:v>
      </x:c>
      <x:c r="D428" s="82" t="str">
        <x:v>能力追溯映射</x:v>
      </x:c>
      <x:c r="E428" s="82" t="str">
        <x:v>建立需求→Mechanism细节→Mechanism对象→代码实现→测试用例→证据的双向追溯关系。</x:v>
      </x:c>
      <x:c r="F428" s="82" t="str"/>
      <x:c r="G428" s="82" t="str">
        <x:v>新增Mechanism子方面</x:v>
      </x:c>
      <x:c r="H428" s="82" t="str">
        <x:v>原始能力契约；未按对象数量推算完成度</x:v>
      </x:c>
    </x:row>
    <x:row r="429">
      <x:c r="A429" s="82" t="str">
        <x:v>跨专业基础契约</x:v>
      </x:c>
      <x:c r="B429" s="82" t="str">
        <x:v>通用验证、验收与证据契约</x:v>
      </x:c>
      <x:c r="C429" s="82" t="str">
        <x:v>CAP-VERIFY01-004</x:v>
      </x:c>
      <x:c r="D429" s="82" t="str">
        <x:v>测试输入与Fixtures</x:v>
      </x:c>
      <x:c r="E429" s="82" t="str">
        <x:v>标准化已知正常、边界、异常输入及设备/数据Fixture引用，不把演示专属路径写死进公共能力。</x:v>
      </x:c>
      <x:c r="F429" s="82" t="str"/>
      <x:c r="G429" s="82" t="str">
        <x:v>新增Mechanism子方面</x:v>
      </x:c>
      <x:c r="H429" s="82" t="str">
        <x:v>原始能力契约；未按对象数量推算完成度</x:v>
      </x:c>
    </x:row>
    <x:row r="430">
      <x:c r="A430" s="82" t="str">
        <x:v>跨专业基础契约</x:v>
      </x:c>
      <x:c r="B430" s="82" t="str">
        <x:v>通用验证、验收与证据契约</x:v>
      </x:c>
      <x:c r="C430" s="82" t="str">
        <x:v>CAP-VERIFY01-005</x:v>
      </x:c>
      <x:c r="D430" s="82" t="str">
        <x:v>可判定预期结果</x:v>
      </x:c>
      <x:c r="E430" s="82" t="str">
        <x:v>断言定义Expected Value、状态变化、事件、数据产物、误差容限和时序约束，不能只记录测试已运行。</x:v>
      </x:c>
      <x:c r="F430" s="82" t="str"/>
      <x:c r="G430" s="82" t="str">
        <x:v>新增Mechanism子方面</x:v>
      </x:c>
      <x:c r="H430" s="82" t="str">
        <x:v>原始能力契约；未按对象数量推算完成度</x:v>
      </x:c>
    </x:row>
    <x:row r="431">
      <x:c r="A431" s="82" t="str">
        <x:v>跨专业基础契约</x:v>
      </x:c>
      <x:c r="B431" s="82" t="str">
        <x:v>通用验证、验收与证据契约</x:v>
      </x:c>
      <x:c r="C431" s="82" t="str">
        <x:v>CAP-VERIFY01-006</x:v>
      </x:c>
      <x:c r="D431" s="82" t="str">
        <x:v>实际证据采集</x:v>
      </x:c>
      <x:c r="E431" s="82" t="str">
        <x:v>记录运行步骤、输出值、状态、Trace、截图/数据文件、时间和Correlation，证据可复看。</x:v>
      </x:c>
      <x:c r="F431" s="82" t="str"/>
      <x:c r="G431" s="82" t="str">
        <x:v>新增Mechanism子方面</x:v>
      </x:c>
      <x:c r="H431" s="82" t="str">
        <x:v>原始能力契约；未按对象数量推算完成度</x:v>
      </x:c>
    </x:row>
    <x:row r="432">
      <x:c r="A432" s="82" t="str">
        <x:v>跨专业基础契约</x:v>
      </x:c>
      <x:c r="B432" s="82" t="str">
        <x:v>通用验证、验收与证据契约</x:v>
      </x:c>
      <x:c r="C432" s="82" t="str">
        <x:v>CAP-VERIFY01-007</x:v>
      </x:c>
      <x:c r="D432" s="82" t="str">
        <x:v>真实硬件与仿真区分</x:v>
      </x:c>
      <x:c r="E432" s="82" t="str">
        <x:v>证据注明Hardware/Simulator/HIL/Replay及目标资源，不允许虚拟通过冒充真实设备通过。</x:v>
      </x:c>
      <x:c r="F432" s="82" t="str"/>
      <x:c r="G432" s="82" t="str">
        <x:v>新增Mechanism子方面</x:v>
      </x:c>
      <x:c r="H432" s="82" t="str">
        <x:v>原始能力契约；未按对象数量推算完成度</x:v>
      </x:c>
    </x:row>
    <x:row r="433">
      <x:c r="A433" s="82" t="str">
        <x:v>跨专业基础契约</x:v>
      </x:c>
      <x:c r="B433" s="82" t="str">
        <x:v>通用验证、验收与证据契约</x:v>
      </x:c>
      <x:c r="C433" s="82" t="str">
        <x:v>CAP-VERIFY01-008</x:v>
      </x:c>
      <x:c r="D433" s="82" t="str">
        <x:v>负面及边界验收</x:v>
      </x:c>
      <x:c r="E433" s="82" t="str">
        <x:v>明确网络断开、坏帧、超时、取消、权限不足、内存不足、超压或故障注入等失败期望。</x:v>
      </x:c>
      <x:c r="F433" s="82" t="str"/>
      <x:c r="G433" s="82" t="str">
        <x:v>新增Mechanism子方面</x:v>
      </x:c>
      <x:c r="H433" s="82" t="str">
        <x:v>原始能力契约；未按对象数量推算完成度</x:v>
      </x:c>
    </x:row>
    <x:row r="434">
      <x:c r="A434" s="82" t="str">
        <x:v>跨专业基础契约</x:v>
      </x:c>
      <x:c r="B434" s="82" t="str">
        <x:v>通用验证、验收与证据契约</x:v>
      </x:c>
      <x:c r="C434" s="82" t="str">
        <x:v>CAP-VERIFY01-009</x:v>
      </x:c>
      <x:c r="D434" s="82" t="str">
        <x:v>性能与容量验收</x:v>
      </x:c>
      <x:c r="E434" s="82" t="str">
        <x:v>可声明吞吐、延迟、CPU/GPU、内存、丢帧、稳定运行时长及样本规模的门槛和测量方法。</x:v>
      </x:c>
      <x:c r="F434" s="82" t="str"/>
      <x:c r="G434" s="82" t="str">
        <x:v>新增Mechanism子方面</x:v>
      </x:c>
      <x:c r="H434" s="82" t="str">
        <x:v>原始能力契约；未按对象数量推算完成度</x:v>
      </x:c>
    </x:row>
    <x:row r="435">
      <x:c r="A435" s="82" t="str">
        <x:v>跨专业基础契约</x:v>
      </x:c>
      <x:c r="B435" s="82" t="str">
        <x:v>通用验证、验收与证据契约</x:v>
      </x:c>
      <x:c r="C435" s="82" t="str">
        <x:v>CAP-VERIFY01-010</x:v>
      </x:c>
      <x:c r="D435" s="82" t="str">
        <x:v>跨进程端到端验收</x:v>
      </x:c>
      <x:c r="E435" s="82" t="str">
        <x:v>按真实工程配置→编译发布→Runtime/Provider执行→结果回写→重新打开的闭环采证。</x:v>
      </x:c>
      <x:c r="F435" s="82" t="str"/>
      <x:c r="G435" s="82" t="str">
        <x:v>新增Mechanism子方面</x:v>
      </x:c>
      <x:c r="H435" s="82" t="str">
        <x:v>原始能力契约；未按对象数量推算完成度</x:v>
      </x:c>
    </x:row>
    <x:row r="436">
      <x:c r="A436" s="82" t="str">
        <x:v>跨专业基础契约</x:v>
      </x:c>
      <x:c r="B436" s="82" t="str">
        <x:v>通用验证、验收与证据契约</x:v>
      </x:c>
      <x:c r="C436" s="82" t="str">
        <x:v>CAP-VERIFY01-011</x:v>
      </x:c>
      <x:c r="D436" s="82" t="str">
        <x:v>基线对比及回归</x:v>
      </x:c>
      <x:c r="E436" s="82" t="str">
        <x:v>引用Golden/Baseline/历史版本进行结构化对比，设置可解释的误差容限和差异原因。</x:v>
      </x:c>
      <x:c r="F436" s="82" t="str"/>
      <x:c r="G436" s="82" t="str">
        <x:v>新增Mechanism子方面</x:v>
      </x:c>
      <x:c r="H436" s="82" t="str">
        <x:v>原始能力契约；未按对象数量推算完成度</x:v>
      </x:c>
    </x:row>
    <x:row r="437">
      <x:c r="A437" s="82" t="str">
        <x:v>跨专业基础契约</x:v>
      </x:c>
      <x:c r="B437" s="82" t="str">
        <x:v>通用验证、验收与证据契约</x:v>
      </x:c>
      <x:c r="C437" s="82" t="str">
        <x:v>CAP-VERIFY01-012</x:v>
      </x:c>
      <x:c r="D437" s="82" t="str">
        <x:v>验收环境隔离</x:v>
      </x:c>
      <x:c r="E437" s="82" t="str">
        <x:v>区分软件测试、仿真、硬件台架、生产现场，限制危险写入和测试故障注入范围。</x:v>
      </x:c>
      <x:c r="F437" s="82" t="str"/>
      <x:c r="G437" s="82" t="str">
        <x:v>新增Mechanism子方面</x:v>
      </x:c>
      <x:c r="H437" s="82" t="str">
        <x:v>原始能力契约；未按对象数量推算完成度</x:v>
      </x:c>
    </x:row>
    <x:row r="438">
      <x:c r="A438" s="82" t="str">
        <x:v>跨专业基础契约</x:v>
      </x:c>
      <x:c r="B438" s="82" t="str">
        <x:v>通用验证、验收与证据契约</x:v>
      </x:c>
      <x:c r="C438" s="82" t="str">
        <x:v>CAP-VERIFY01-013</x:v>
      </x:c>
      <x:c r="D438" s="82" t="str">
        <x:v>证据版本与完整性</x:v>
      </x:c>
      <x:c r="E438" s="82" t="str">
        <x:v>EvidenceRef应与CapabilityId、DefinitionVersion、Build、Artifact校验和及操作者关联，保证防误配。</x:v>
      </x:c>
      <x:c r="F438" s="82" t="str"/>
      <x:c r="G438" s="82" t="str">
        <x:v>新增Mechanism子方面</x:v>
      </x:c>
      <x:c r="H438" s="82" t="str">
        <x:v>原始能力契约；未按对象数量推算完成度</x:v>
      </x:c>
    </x:row>
    <x:row r="439">
      <x:c r="A439" s="82" t="str">
        <x:v>跨专业基础契约</x:v>
      </x:c>
      <x:c r="B439" s="82" t="str">
        <x:v>通用验证、验收与证据契约</x:v>
      </x:c>
      <x:c r="C439" s="82" t="str">
        <x:v>CAP-VERIFY01-014</x:v>
      </x:c>
      <x:c r="D439" s="82" t="str">
        <x:v>验收状态客观裁决</x:v>
      </x:c>
      <x:c r="E439" s="82" t="str">
        <x:v>区分未实现、已编码、已运行、模拟通过、硬件通过、回归通过、失败；必须有证据才能提升状态。</x:v>
      </x:c>
      <x:c r="F439" s="82" t="str"/>
      <x:c r="G439" s="82" t="str">
        <x:v>新增Mechanism子方面</x:v>
      </x:c>
      <x:c r="H439" s="82" t="str">
        <x:v>原始能力契约；未按对象数量推算完成度</x:v>
      </x:c>
    </x:row>
    <x:row r="440">
      <x:c r="A440" s="82" t="str">
        <x:v>数据与状态</x:v>
      </x:c>
      <x:c r="B440" s="82" t="str">
        <x:v>Variable / Binding</x:v>
      </x:c>
      <x:c r="C440" s="82" t="str">
        <x:v>CAP-VAR01-001</x:v>
      </x:c>
      <x:c r="D440" s="82" t="str">
        <x:v>Variable Definition</x:v>
      </x:c>
      <x:c r="E440" s="82" t="str">
        <x:v>定义Name/Type/Unit/Initial/Access/Provider/History等稳定元数据。</x:v>
      </x:c>
      <x:c r="F440" s="82" t="str">
        <x:v>Image/Volume等大对象不放普通Variable</x:v>
      </x:c>
      <x:c r="G440" s="82" t="str">
        <x:v>原基线478项</x:v>
      </x:c>
      <x:c r="H440" s="82" t="str">
        <x:v>原始能力契约；未按对象数量推算完成度</x:v>
      </x:c>
    </x:row>
    <x:row r="441">
      <x:c r="A441" s="82" t="str">
        <x:v>数据与状态</x:v>
      </x:c>
      <x:c r="B441" s="82" t="str">
        <x:v>Variable / Binding</x:v>
      </x:c>
      <x:c r="C441" s="82" t="str">
        <x:v>CAP-VAR01-002</x:v>
      </x:c>
      <x:c r="D441" s="82" t="str">
        <x:v>Variable Reference</x:v>
      </x:c>
      <x:c r="E441" s="82" t="str">
        <x:v>使用稳定VariableRef跨对象引用，不复制实时值。</x:v>
      </x:c>
      <x:c r="F441" s="82" t="str"/>
      <x:c r="G441" s="82" t="str">
        <x:v>原基线478项</x:v>
      </x:c>
      <x:c r="H441" s="82" t="str">
        <x:v>原始能力契约；未按对象数量推算完成度</x:v>
      </x:c>
    </x:row>
    <x:row r="442">
      <x:c r="A442" s="82" t="str">
        <x:v>数据与状态</x:v>
      </x:c>
      <x:c r="B442" s="82" t="str">
        <x:v>Variable / Binding</x:v>
      </x:c>
      <x:c r="C442" s="82" t="str">
        <x:v>CAP-VAR01-003</x:v>
      </x:c>
      <x:c r="D442" s="82" t="str">
        <x:v>Runtime State</x:v>
      </x:c>
      <x:c r="E442" s="82" t="str">
        <x:v>保存Value/OldValue/Quality/Timestamp/Source/Reason等运行状态。</x:v>
      </x:c>
      <x:c r="F442" s="82" t="str"/>
      <x:c r="G442" s="82" t="str">
        <x:v>原基线478项</x:v>
      </x:c>
      <x:c r="H442" s="82" t="str">
        <x:v>原始能力契约；未按对象数量推算完成度</x:v>
      </x:c>
    </x:row>
    <x:row r="443">
      <x:c r="A443" s="82" t="str">
        <x:v>数据与状态</x:v>
      </x:c>
      <x:c r="B443" s="82" t="str">
        <x:v>Variable / Binding</x:v>
      </x:c>
      <x:c r="C443" s="82" t="str">
        <x:v>CAP-VAR01-004</x:v>
      </x:c>
      <x:c r="D443" s="82" t="str">
        <x:v>Quality Model</x:v>
      </x:c>
      <x:c r="E443" s="82" t="str">
        <x:v>Good/Bad/Uncertain及错误/通信原因可统一表达。</x:v>
      </x:c>
      <x:c r="F443" s="82" t="str"/>
      <x:c r="G443" s="82" t="str">
        <x:v>原基线478项</x:v>
      </x:c>
      <x:c r="H443" s="82" t="str">
        <x:v>原始能力契约；未按对象数量推算完成度</x:v>
      </x:c>
    </x:row>
    <x:row r="444">
      <x:c r="A444" s="82" t="str">
        <x:v>数据与状态</x:v>
      </x:c>
      <x:c r="B444" s="82" t="str">
        <x:v>Variable / Binding</x:v>
      </x:c>
      <x:c r="C444" s="82" t="str">
        <x:v>CAP-VAR01-005</x:v>
      </x:c>
      <x:c r="D444" s="82" t="str">
        <x:v>Variable Provider</x:v>
      </x:c>
      <x:c r="E444" s="82" t="str">
        <x:v>通过Provider读写设备/服务变量，不让HMI/Graph直接访问Vendor SDK。</x:v>
      </x:c>
      <x:c r="F444" s="82" t="str"/>
      <x:c r="G444" s="82" t="str">
        <x:v>原基线478项</x:v>
      </x:c>
      <x:c r="H444" s="82" t="str">
        <x:v>原始能力契约；未按对象数量推算完成度</x:v>
      </x:c>
    </x:row>
    <x:row r="445">
      <x:c r="A445" s="82" t="str">
        <x:v>数据与状态</x:v>
      </x:c>
      <x:c r="B445" s="82" t="str">
        <x:v>Variable / Binding</x:v>
      </x:c>
      <x:c r="C445" s="82" t="str">
        <x:v>CAP-VAR01-006</x:v>
      </x:c>
      <x:c r="D445" s="82" t="str">
        <x:v>Subscription</x:v>
      </x:c>
      <x:c r="E445" s="82" t="str">
        <x:v>按Value/Quality/Timestamp变化订阅，支持取消与Scope生命周期。</x:v>
      </x:c>
      <x:c r="F445" s="82" t="str"/>
      <x:c r="G445" s="82" t="str">
        <x:v>原基线478项</x:v>
      </x:c>
      <x:c r="H445" s="82" t="str">
        <x:v>原始能力契约；未按对象数量推算完成度</x:v>
      </x:c>
    </x:row>
    <x:row r="446">
      <x:c r="A446" s="82" t="str">
        <x:v>数据与状态</x:v>
      </x:c>
      <x:c r="B446" s="82" t="str">
        <x:v>Variable / Binding</x:v>
      </x:c>
      <x:c r="C446" s="82" t="str">
        <x:v>CAP-VAR01-007</x:v>
      </x:c>
      <x:c r="D446" s="82" t="str">
        <x:v>Binding</x:v>
      </x:c>
      <x:c r="E446" s="82" t="str">
        <x:v>Property↔Variable单向/双向绑定，支持Converter/Format/Fallback。</x:v>
      </x:c>
      <x:c r="F446" s="82" t="str"/>
      <x:c r="G446" s="82" t="str">
        <x:v>原基线478项</x:v>
      </x:c>
      <x:c r="H446" s="82" t="str">
        <x:v>原始能力契约；未按对象数量推算完成度</x:v>
      </x:c>
    </x:row>
    <x:row r="447">
      <x:c r="A447" s="82" t="str">
        <x:v>数据与状态</x:v>
      </x:c>
      <x:c r="B447" s="82" t="str">
        <x:v>Variable / Binding</x:v>
      </x:c>
      <x:c r="C447" s="82" t="str">
        <x:v>CAP-VAR01-008</x:v>
      </x:c>
      <x:c r="D447" s="82" t="str">
        <x:v>Calculated Variable</x:v>
      </x:c>
      <x:c r="E447" s="82" t="str">
        <x:v>由Expression/Rule计算派生变量并处理依赖变化。</x:v>
      </x:c>
      <x:c r="F447" s="82" t="str"/>
      <x:c r="G447" s="82" t="str">
        <x:v>原基线478项</x:v>
      </x:c>
      <x:c r="H447" s="82" t="str">
        <x:v>原始能力契约；未按对象数量推算完成度</x:v>
      </x:c>
    </x:row>
    <x:row r="448">
      <x:c r="A448" s="82" t="str">
        <x:v>数据与状态</x:v>
      </x:c>
      <x:c r="B448" s="82" t="str">
        <x:v>Variable / Binding</x:v>
      </x:c>
      <x:c r="C448" s="82" t="str">
        <x:v>CAP-VAR01-009</x:v>
      </x:c>
      <x:c r="D448" s="82" t="str">
        <x:v>Snapshot</x:v>
      </x:c>
      <x:c r="E448" s="82" t="str">
        <x:v>按Execution/时间点形成一致变量快照，用于Debug/Replay/Trace。</x:v>
      </x:c>
      <x:c r="F448" s="82" t="str"/>
      <x:c r="G448" s="82" t="str">
        <x:v>原基线478项</x:v>
      </x:c>
      <x:c r="H448" s="82" t="str">
        <x:v>原始能力契约；未按对象数量推算完成度</x:v>
      </x:c>
    </x:row>
    <x:row r="449">
      <x:c r="A449" s="82" t="str">
        <x:v>数据与状态</x:v>
      </x:c>
      <x:c r="B449" s="82" t="str">
        <x:v>Variable / Binding</x:v>
      </x:c>
      <x:c r="C449" s="82" t="str">
        <x:v>CAP-VAR01-010</x:v>
      </x:c>
      <x:c r="D449" s="82" t="str">
        <x:v>Variable Scope</x:v>
      </x:c>
      <x:c r="E449" s="82" t="str">
        <x:v>Project/Content/Execution/Local等作用域明确且可解析。</x:v>
      </x:c>
      <x:c r="F449" s="82" t="str"/>
      <x:c r="G449" s="82" t="str">
        <x:v>原基线478项</x:v>
      </x:c>
      <x:c r="H449" s="82" t="str">
        <x:v>原始能力契约；未按对象数量推算完成度</x:v>
      </x:c>
    </x:row>
    <x:row r="450">
      <x:c r="A450" s="82" t="str">
        <x:v>数据与状态</x:v>
      </x:c>
      <x:c r="B450" s="82" t="str">
        <x:v>Variable / Binding</x:v>
      </x:c>
      <x:c r="C450" s="82" t="str">
        <x:v>CAP-VAR01-011</x:v>
      </x:c>
      <x:c r="D450" s="82" t="str">
        <x:v>Write Pipeline</x:v>
      </x:c>
      <x:c r="E450" s="82" t="str">
        <x:v>写变量经过Permission/Mode/Interlock/Provider/Audit链。</x:v>
      </x:c>
      <x:c r="F450" s="82" t="str"/>
      <x:c r="G450" s="82" t="str">
        <x:v>原基线478项</x:v>
      </x:c>
      <x:c r="H450" s="82" t="str">
        <x:v>原始能力契约；未按对象数量推算完成度</x:v>
      </x:c>
    </x:row>
    <x:row r="451">
      <x:c r="A451" s="82" t="str">
        <x:v>数据与状态</x:v>
      </x:c>
      <x:c r="B451" s="82" t="str">
        <x:v>Variable / Binding</x:v>
      </x:c>
      <x:c r="C451" s="82" t="str">
        <x:v>CAP-VAR01-012</x:v>
      </x:c>
      <x:c r="D451" s="82" t="str">
        <x:v>History Binding</x:v>
      </x:c>
      <x:c r="E451" s="82" t="str">
        <x:v>Variable可声明Historian策略但实时值与历史存储分离。</x:v>
      </x:c>
      <x:c r="F451" s="82" t="str"/>
      <x:c r="G451" s="82" t="str">
        <x:v>原基线478项</x:v>
      </x:c>
      <x:c r="H451" s="82" t="str">
        <x:v>原始能力契约；未按对象数量推算完成度</x:v>
      </x:c>
    </x:row>
    <x:row r="452">
      <x:c r="A452" s="82" t="str">
        <x:v>数据与状态</x:v>
      </x:c>
      <x:c r="B452" s="82" t="str">
        <x:v>DataHandle / Stream / Artifact</x:v>
      </x:c>
      <x:c r="C452" s="82" t="str">
        <x:v>CAP-DATA01-001</x:v>
      </x:c>
      <x:c r="D452" s="82" t="str">
        <x:v>DataHandle</x:v>
      </x:c>
      <x:c r="E452" s="82" t="str">
        <x:v>Image/Projection/Volume/大数组通过Handle传递，包含Type/Size/Metadata/Lifetime。</x:v>
      </x:c>
      <x:c r="F452" s="82" t="str">
        <x:v>大对象避免深复制/JSON化</x:v>
      </x:c>
      <x:c r="G452" s="82" t="str">
        <x:v>原基线478项</x:v>
      </x:c>
      <x:c r="H452" s="82" t="str">
        <x:v>原始能力契约；未按对象数量推算完成度</x:v>
      </x:c>
    </x:row>
    <x:row r="453">
      <x:c r="A453" s="82" t="str">
        <x:v>数据与状态</x:v>
      </x:c>
      <x:c r="B453" s="82" t="str">
        <x:v>DataHandle / Stream / Artifact</x:v>
      </x:c>
      <x:c r="C453" s="82" t="str">
        <x:v>CAP-DATA01-002</x:v>
      </x:c>
      <x:c r="D453" s="82" t="str">
        <x:v>Acquire/Release</x:v>
      </x:c>
      <x:c r="E453" s="82" t="str">
        <x:v>Handle具备显式引用/租约生命周期，避免大对象悬空或过早释放。</x:v>
      </x:c>
      <x:c r="F453" s="82" t="str"/>
      <x:c r="G453" s="82" t="str">
        <x:v>原基线478项</x:v>
      </x:c>
      <x:c r="H453" s="82" t="str">
        <x:v>原始能力契约；未按对象数量推算完成度</x:v>
      </x:c>
    </x:row>
    <x:row r="454">
      <x:c r="A454" s="82" t="str">
        <x:v>数据与状态</x:v>
      </x:c>
      <x:c r="B454" s="82" t="str">
        <x:v>DataHandle / Stream / Artifact</x:v>
      </x:c>
      <x:c r="C454" s="82" t="str">
        <x:v>CAP-DATA01-003</x:v>
      </x:c>
      <x:c r="D454" s="82" t="str">
        <x:v>Stream Handle</x:v>
      </x:c>
      <x:c r="E454" s="82" t="str">
        <x:v>连续数据通过StreamHandle表达生产者/消费者、类型与生命周期。</x:v>
      </x:c>
      <x:c r="F454" s="82" t="str"/>
      <x:c r="G454" s="82" t="str">
        <x:v>原基线478项</x:v>
      </x:c>
      <x:c r="H454" s="82" t="str">
        <x:v>原始能力契约；未按对象数量推算完成度</x:v>
      </x:c>
    </x:row>
    <x:row r="455">
      <x:c r="A455" s="82" t="str">
        <x:v>数据与状态</x:v>
      </x:c>
      <x:c r="B455" s="82" t="str">
        <x:v>DataHandle / Stream / Artifact</x:v>
      </x:c>
      <x:c r="C455" s="82" t="str">
        <x:v>CAP-DATA01-004</x:v>
      </x:c>
      <x:c r="D455" s="82" t="str">
        <x:v>Buffer Policy</x:v>
      </x:c>
      <x:c r="E455" s="82" t="str">
        <x:v>配置Capacity/Batch/Ordering/NoDrop/DropPolicy。</x:v>
      </x:c>
      <x:c r="F455" s="82" t="str"/>
      <x:c r="G455" s="82" t="str">
        <x:v>原基线478项</x:v>
      </x:c>
      <x:c r="H455" s="82" t="str">
        <x:v>原始能力契约；未按对象数量推算完成度</x:v>
      </x:c>
    </x:row>
    <x:row r="456">
      <x:c r="A456" s="82" t="str">
        <x:v>数据与状态</x:v>
      </x:c>
      <x:c r="B456" s="82" t="str">
        <x:v>DataHandle / Stream / Artifact</x:v>
      </x:c>
      <x:c r="C456" s="82" t="str">
        <x:v>CAP-DATA01-005</x:v>
      </x:c>
      <x:c r="D456" s="82" t="str">
        <x:v>Backpressure</x:v>
      </x:c>
      <x:c r="E456" s="82" t="str">
        <x:v>消费者落后时支持Block/Drop/Latest/Throttle等背压策略。</x:v>
      </x:c>
      <x:c r="F456" s="82" t="str"/>
      <x:c r="G456" s="82" t="str">
        <x:v>原基线478项</x:v>
      </x:c>
      <x:c r="H456" s="82" t="str">
        <x:v>原始能力契约；未按对象数量推算完成度</x:v>
      </x:c>
    </x:row>
    <x:row r="457">
      <x:c r="A457" s="82" t="str">
        <x:v>数据与状态</x:v>
      </x:c>
      <x:c r="B457" s="82" t="str">
        <x:v>DataHandle / Stream / Artifact</x:v>
      </x:c>
      <x:c r="C457" s="82" t="str">
        <x:v>CAP-DATA01-006</x:v>
      </x:c>
      <x:c r="D457" s="82" t="str">
        <x:v>Artifact Ref</x:v>
      </x:c>
      <x:c r="E457" s="82" t="str">
        <x:v>已持久化结果以ArtifactRef引用，包含版本、位置、校验与Lineage。</x:v>
      </x:c>
      <x:c r="F457" s="82" t="str"/>
      <x:c r="G457" s="82" t="str">
        <x:v>原基线478项</x:v>
      </x:c>
      <x:c r="H457" s="82" t="str">
        <x:v>原始能力契约；未按对象数量推算完成度</x:v>
      </x:c>
    </x:row>
    <x:row r="458">
      <x:c r="A458" s="82" t="str">
        <x:v>数据与状态</x:v>
      </x:c>
      <x:c r="B458" s="82" t="str">
        <x:v>DataHandle / Stream / Artifact</x:v>
      </x:c>
      <x:c r="C458" s="82" t="str">
        <x:v>CAP-DATA01-007</x:v>
      </x:c>
      <x:c r="D458" s="82" t="str">
        <x:v>Shared Memory Transport</x:v>
      </x:c>
      <x:c r="E458" s="82" t="str">
        <x:v>支持大数据共享内存/零拷贝或高效跨进程传输适配。</x:v>
      </x:c>
      <x:c r="F458" s="82" t="str"/>
      <x:c r="G458" s="82" t="str">
        <x:v>原基线478项</x:v>
      </x:c>
      <x:c r="H458" s="82" t="str">
        <x:v>原始能力契约；未按对象数量推算完成度</x:v>
      </x:c>
    </x:row>
    <x:row r="459">
      <x:c r="A459" s="82" t="str">
        <x:v>数据与状态</x:v>
      </x:c>
      <x:c r="B459" s="82" t="str">
        <x:v>DataHandle / Stream / Artifact</x:v>
      </x:c>
      <x:c r="C459" s="82" t="str">
        <x:v>CAP-DATA01-008</x:v>
      </x:c>
      <x:c r="D459" s="82" t="str">
        <x:v>Chunk/Partition</x:v>
      </x:c>
      <x:c r="E459" s="82" t="str">
        <x:v>超大Projection/Volume支持分块、分区和逐步处理。</x:v>
      </x:c>
      <x:c r="F459" s="82" t="str"/>
      <x:c r="G459" s="82" t="str">
        <x:v>原基线478项</x:v>
      </x:c>
      <x:c r="H459" s="82" t="str">
        <x:v>原始能力契约；未按对象数量推算完成度</x:v>
      </x:c>
    </x:row>
    <x:row r="460">
      <x:c r="A460" s="82" t="str">
        <x:v>数据与状态</x:v>
      </x:c>
      <x:c r="B460" s="82" t="str">
        <x:v>DataHandle / Stream / Artifact</x:v>
      </x:c>
      <x:c r="C460" s="82" t="str">
        <x:v>CAP-DATA01-009</x:v>
      </x:c>
      <x:c r="D460" s="82" t="str">
        <x:v>Transfer Policy</x:v>
      </x:c>
      <x:c r="E460" s="82" t="str">
        <x:v>跨Worker/进程/GPU时定义Copy/Move/Share/Serialize策略。</x:v>
      </x:c>
      <x:c r="F460" s="82" t="str"/>
      <x:c r="G460" s="82" t="str">
        <x:v>原基线478项</x:v>
      </x:c>
      <x:c r="H460" s="82" t="str">
        <x:v>原始能力契约；未按对象数量推算完成度</x:v>
      </x:c>
    </x:row>
    <x:row r="461">
      <x:c r="A461" s="82" t="str">
        <x:v>数据与状态</x:v>
      </x:c>
      <x:c r="B461" s="82" t="str">
        <x:v>DataHandle / Stream / Artifact</x:v>
      </x:c>
      <x:c r="C461" s="82" t="str">
        <x:v>CAP-DATA01-010</x:v>
      </x:c>
      <x:c r="D461" s="82" t="str">
        <x:v>Data Descriptor</x:v>
      </x:c>
      <x:c r="E461" s="82" t="str">
        <x:v>统一数据Type/Shape/Pixel/Voxel/Coordinate等元信息契约。</x:v>
      </x:c>
      <x:c r="F461" s="82" t="str"/>
      <x:c r="G461" s="82" t="str">
        <x:v>原基线478项</x:v>
      </x:c>
      <x:c r="H461" s="82" t="str">
        <x:v>原始能力契约；未按对象数量推算完成度</x:v>
      </x:c>
    </x:row>
    <x:row r="462">
      <x:c r="A462" s="82" t="str">
        <x:v>数据与状态</x:v>
      </x:c>
      <x:c r="B462" s="82" t="str">
        <x:v>DataHandle / Stream / Artifact</x:v>
      </x:c>
      <x:c r="C462" s="82" t="str">
        <x:v>CAP-DATA01-011</x:v>
      </x:c>
      <x:c r="D462" s="82" t="str">
        <x:v>Data Probe</x:v>
      </x:c>
      <x:c r="E462" s="82" t="str">
        <x:v>Runtime调试只显示摘要/元数据并可跳转专业Viewer。</x:v>
      </x:c>
      <x:c r="F462" s="82" t="str"/>
      <x:c r="G462" s="82" t="str">
        <x:v>原基线478项</x:v>
      </x:c>
      <x:c r="H462" s="82" t="str">
        <x:v>原始能力契约；未按对象数量推算完成度</x:v>
      </x:c>
    </x:row>
    <x:row r="463">
      <x:c r="A463" s="82" t="str">
        <x:v>数据与状态</x:v>
      </x:c>
      <x:c r="B463" s="82" t="str">
        <x:v>DataHandle / Stream / Artifact</x:v>
      </x:c>
      <x:c r="C463" s="82" t="str">
        <x:v>CAP-DATA01-012</x:v>
      </x:c>
      <x:c r="D463" s="82" t="str">
        <x:v>DataCarrier加载卸载契约</x:v>
      </x:c>
      <x:c r="E463" s="82" t="str">
        <x:v>DataCarrier为Handle/Stream/Artifact定义Attach/Detach、拥有者、作用域、释放回调和跨进程转移规则。</x:v>
      </x:c>
      <x:c r="F463" s="82" t="str"/>
      <x:c r="G463" s="82" t="str">
        <x:v>原Mechanism子方面补强</x:v>
      </x:c>
      <x:c r="H463" s="82" t="str">
        <x:v>原始能力契约；未按对象数量推算完成度</x:v>
      </x:c>
    </x:row>
    <x:row r="464">
      <x:c r="A464" s="82" t="str">
        <x:v>数据与状态</x:v>
      </x:c>
      <x:c r="B464" s="82" t="str">
        <x:v>DataHandle / Stream / Artifact</x:v>
      </x:c>
      <x:c r="C464" s="82" t="str">
        <x:v>CAP-DATA01-013</x:v>
      </x:c>
      <x:c r="D464" s="82" t="str">
        <x:v>DataStack作用域与引用</x:v>
      </x:c>
      <x:c r="E464" s="82" t="str">
        <x:v>执行中可按Scope保存、查找和借用数据引用；出作用域自动释放引用或转为持久Artifact。</x:v>
      </x:c>
      <x:c r="F464" s="82" t="str"/>
      <x:c r="G464" s="82" t="str">
        <x:v>原Mechanism子方面补强</x:v>
      </x:c>
      <x:c r="H464" s="82" t="str">
        <x:v>原始能力契约；未按对象数量推算完成度</x:v>
      </x:c>
    </x:row>
    <x:row r="465">
      <x:c r="A465" s="82" t="str">
        <x:v>数据与状态</x:v>
      </x:c>
      <x:c r="B465" s="82" t="str">
        <x:v>DataHandle / Stream / Artifact</x:v>
      </x:c>
      <x:c r="C465" s="82" t="str">
        <x:v>CAP-DATA01-014</x:v>
      </x:c>
      <x:c r="D465" s="82" t="str">
        <x:v>流数据端到端完整性</x:v>
      </x:c>
      <x:c r="E465" s="82" t="str">
        <x:v>Frame/Chunk携带Sequence/Checksum/SourceId，发现重复、丢帧、乱序与损坏并提供NoDrop策略。</x:v>
      </x:c>
      <x:c r="F465" s="82" t="str"/>
      <x:c r="G465" s="82" t="str">
        <x:v>原Mechanism子方面补强</x:v>
      </x:c>
      <x:c r="H465" s="82" t="str">
        <x:v>原始能力契约；未按对象数量推算完成度</x:v>
      </x:c>
    </x:row>
    <x:row r="466">
      <x:c r="A466" s="82" t="str">
        <x:v>数据与状态</x:v>
      </x:c>
      <x:c r="B466" s="82" t="str">
        <x:v>DataHandle / Stream / Artifact</x:v>
      </x:c>
      <x:c r="C466" s="82" t="str">
        <x:v>CAP-DATA01-015</x:v>
      </x:c>
      <x:c r="D466" s="82" t="str">
        <x:v>数据生命周期泄漏检测</x:v>
      </x:c>
      <x:c r="E466" s="82" t="str">
        <x:v>提供Handle/Stream占用、借用、租约失效及未释放诊断；取消/异常路径必须清理。</x:v>
      </x:c>
      <x:c r="F466" s="82" t="str"/>
      <x:c r="G466" s="82" t="str">
        <x:v>原Mechanism子方面补强</x:v>
      </x:c>
      <x:c r="H466" s="82" t="str">
        <x:v>原始能力契约；未按对象数量推算完成度</x:v>
      </x:c>
    </x:row>
    <x:row r="467">
      <x:c r="A467" s="82" t="str">
        <x:v>逻辑与行为</x:v>
      </x:c>
      <x:c r="B467" s="82" t="str">
        <x:v>Expression / Rule / Script</x:v>
      </x:c>
      <x:c r="C467" s="82" t="str">
        <x:v>CAP-LOGIC01-001</x:v>
      </x:c>
      <x:c r="D467" s="82" t="str">
        <x:v>Literal</x:v>
      </x:c>
      <x:c r="E467" s="82" t="str">
        <x:v>支持Bool/Number/String/Enum等字面值。</x:v>
      </x:c>
      <x:c r="F467" s="82" t="str">
        <x:v>能力阶梯：配置→表达式→规则→Graph→Script→Plugin</x:v>
      </x:c>
      <x:c r="G467" s="82" t="str">
        <x:v>原基线478项</x:v>
      </x:c>
      <x:c r="H467" s="82" t="str">
        <x:v>原始能力契约；未按对象数量推算完成度</x:v>
      </x:c>
    </x:row>
    <x:row r="468">
      <x:c r="A468" s="82" t="str">
        <x:v>逻辑与行为</x:v>
      </x:c>
      <x:c r="B468" s="82" t="str">
        <x:v>Expression / Rule / Script</x:v>
      </x:c>
      <x:c r="C468" s="82" t="str">
        <x:v>CAP-LOGIC01-002</x:v>
      </x:c>
      <x:c r="D468" s="82" t="str">
        <x:v>VariableRef Expression</x:v>
      </x:c>
      <x:c r="E468" s="82" t="str">
        <x:v>表达式可安全引用变量/参数/Context。</x:v>
      </x:c>
      <x:c r="F468" s="82" t="str"/>
      <x:c r="G468" s="82" t="str">
        <x:v>原基线478项</x:v>
      </x:c>
      <x:c r="H468" s="82" t="str">
        <x:v>原始能力契约；未按对象数量推算完成度</x:v>
      </x:c>
    </x:row>
    <x:row r="469">
      <x:c r="A469" s="82" t="str">
        <x:v>逻辑与行为</x:v>
      </x:c>
      <x:c r="B469" s="82" t="str">
        <x:v>Expression / Rule / Script</x:v>
      </x:c>
      <x:c r="C469" s="82" t="str">
        <x:v>CAP-LOGIC01-003</x:v>
      </x:c>
      <x:c r="D469" s="82" t="str">
        <x:v>Compare</x:v>
      </x:c>
      <x:c r="E469" s="82" t="str">
        <x:v>比较运算符：== != &gt; &gt;= &lt; &lt;=及专业类型比较。</x:v>
      </x:c>
      <x:c r="F469" s="82" t="str"/>
      <x:c r="G469" s="82" t="str">
        <x:v>原基线478项</x:v>
      </x:c>
      <x:c r="H469" s="82" t="str">
        <x:v>原始能力契约；未按对象数量推算完成度</x:v>
      </x:c>
    </x:row>
    <x:row r="470">
      <x:c r="A470" s="82" t="str">
        <x:v>逻辑与行为</x:v>
      </x:c>
      <x:c r="B470" s="82" t="str">
        <x:v>Expression / Rule / Script</x:v>
      </x:c>
      <x:c r="C470" s="82" t="str">
        <x:v>CAP-LOGIC01-004</x:v>
      </x:c>
      <x:c r="D470" s="82" t="str">
        <x:v>Boolean</x:v>
      </x:c>
      <x:c r="E470" s="82" t="str">
        <x:v>AND/OR/NOT与短路规则。</x:v>
      </x:c>
      <x:c r="F470" s="82" t="str"/>
      <x:c r="G470" s="82" t="str">
        <x:v>原基线478项</x:v>
      </x:c>
      <x:c r="H470" s="82" t="str">
        <x:v>原始能力契约；未按对象数量推算完成度</x:v>
      </x:c>
    </x:row>
    <x:row r="471">
      <x:c r="A471" s="82" t="str">
        <x:v>逻辑与行为</x:v>
      </x:c>
      <x:c r="B471" s="82" t="str">
        <x:v>Expression / Rule / Script</x:v>
      </x:c>
      <x:c r="C471" s="82" t="str">
        <x:v>CAP-LOGIC01-005</x:v>
      </x:c>
      <x:c r="D471" s="82" t="str">
        <x:v>Arithmetic</x:v>
      </x:c>
      <x:c r="E471" s="82" t="str">
        <x:v>+-*/%等数值计算及单位兼容。</x:v>
      </x:c>
      <x:c r="F471" s="82" t="str"/>
      <x:c r="G471" s="82" t="str">
        <x:v>原基线478项</x:v>
      </x:c>
      <x:c r="H471" s="82" t="str">
        <x:v>原始能力契约；未按对象数量推算完成度</x:v>
      </x:c>
    </x:row>
    <x:row r="472">
      <x:c r="A472" s="82" t="str">
        <x:v>逻辑与行为</x:v>
      </x:c>
      <x:c r="B472" s="82" t="str">
        <x:v>Expression / Rule / Script</x:v>
      </x:c>
      <x:c r="C472" s="82" t="str">
        <x:v>CAP-LOGIC01-006</x:v>
      </x:c>
      <x:c r="D472" s="82" t="str">
        <x:v>Range/Between</x:v>
      </x:c>
      <x:c r="E472" s="82" t="str">
        <x:v>范围、容差、上下限判断。</x:v>
      </x:c>
      <x:c r="F472" s="82" t="str"/>
      <x:c r="G472" s="82" t="str">
        <x:v>原基线478项</x:v>
      </x:c>
      <x:c r="H472" s="82" t="str">
        <x:v>原始能力契约；未按对象数量推算完成度</x:v>
      </x:c>
    </x:row>
    <x:row r="473">
      <x:c r="A473" s="82" t="str">
        <x:v>逻辑与行为</x:v>
      </x:c>
      <x:c r="B473" s="82" t="str">
        <x:v>Expression / Rule / Script</x:v>
      </x:c>
      <x:c r="C473" s="82" t="str">
        <x:v>CAP-LOGIC01-007</x:v>
      </x:c>
      <x:c r="D473" s="82" t="str">
        <x:v>Function</x:v>
      </x:c>
      <x:c r="E473" s="82" t="str">
        <x:v>公共函数注册与Workbench专业函数扩展。</x:v>
      </x:c>
      <x:c r="F473" s="82" t="str"/>
      <x:c r="G473" s="82" t="str">
        <x:v>原基线478项</x:v>
      </x:c>
      <x:c r="H473" s="82" t="str">
        <x:v>原始能力契约；未按对象数量推算完成度</x:v>
      </x:c>
    </x:row>
    <x:row r="474">
      <x:c r="A474" s="82" t="str">
        <x:v>逻辑与行为</x:v>
      </x:c>
      <x:c r="B474" s="82" t="str">
        <x:v>Expression / Rule / Script</x:v>
      </x:c>
      <x:c r="C474" s="82" t="str">
        <x:v>CAP-LOGIC01-008</x:v>
      </x:c>
      <x:c r="D474" s="82" t="str">
        <x:v>Expression</x:v>
      </x:c>
      <x:c r="E474" s="82" t="str">
        <x:v>可解析、验证、执行并给出错误位置。</x:v>
      </x:c>
      <x:c r="F474" s="82" t="str"/>
      <x:c r="G474" s="82" t="str">
        <x:v>原基线478项</x:v>
      </x:c>
      <x:c r="H474" s="82" t="str">
        <x:v>原始能力契约；未按对象数量推算完成度</x:v>
      </x:c>
    </x:row>
    <x:row r="475">
      <x:c r="A475" s="82" t="str">
        <x:v>逻辑与行为</x:v>
      </x:c>
      <x:c r="B475" s="82" t="str">
        <x:v>Expression / Rule / Script</x:v>
      </x:c>
      <x:c r="C475" s="82" t="str">
        <x:v>CAP-LOGIC01-009</x:v>
      </x:c>
      <x:c r="D475" s="82" t="str">
        <x:v>Condition</x:v>
      </x:c>
      <x:c r="E475" s="82" t="str">
        <x:v>作为Guard/Branch/Interlock/Rule条件的稳定契约。</x:v>
      </x:c>
      <x:c r="F475" s="82" t="str"/>
      <x:c r="G475" s="82" t="str">
        <x:v>原基线478项</x:v>
      </x:c>
      <x:c r="H475" s="82" t="str">
        <x:v>原始能力契约；未按对象数量推算完成度</x:v>
      </x:c>
    </x:row>
    <x:row r="476">
      <x:c r="A476" s="82" t="str">
        <x:v>逻辑与行为</x:v>
      </x:c>
      <x:c r="B476" s="82" t="str">
        <x:v>Expression / Rule / Script</x:v>
      </x:c>
      <x:c r="C476" s="82" t="str">
        <x:v>CAP-LOGIC01-010</x:v>
      </x:c>
      <x:c r="D476" s="82" t="str">
        <x:v>Rule</x:v>
      </x:c>
      <x:c r="E476" s="82" t="str">
        <x:v>Condition + Action/Result的规则定义。</x:v>
      </x:c>
      <x:c r="F476" s="82" t="str"/>
      <x:c r="G476" s="82" t="str">
        <x:v>原基线478项</x:v>
      </x:c>
      <x:c r="H476" s="82" t="str">
        <x:v>原始能力契约；未按对象数量推算完成度</x:v>
      </x:c>
    </x:row>
    <x:row r="477">
      <x:c r="A477" s="82" t="str">
        <x:v>逻辑与行为</x:v>
      </x:c>
      <x:c r="B477" s="82" t="str">
        <x:v>Expression / Rule / Script</x:v>
      </x:c>
      <x:c r="C477" s="82" t="str">
        <x:v>CAP-LOGIC01-011</x:v>
      </x:c>
      <x:c r="D477" s="82" t="str">
        <x:v>RuleSet</x:v>
      </x:c>
      <x:c r="E477" s="82" t="str">
        <x:v>多规则优先级、Stop/Continue、冲突与命中策略。</x:v>
      </x:c>
      <x:c r="F477" s="82" t="str"/>
      <x:c r="G477" s="82" t="str">
        <x:v>原基线478项</x:v>
      </x:c>
      <x:c r="H477" s="82" t="str">
        <x:v>原始能力契约；未按对象数量推算完成度</x:v>
      </x:c>
    </x:row>
    <x:row r="478">
      <x:c r="A478" s="82" t="str">
        <x:v>逻辑与行为</x:v>
      </x:c>
      <x:c r="B478" s="82" t="str">
        <x:v>Expression / Rule / Script</x:v>
      </x:c>
      <x:c r="C478" s="82" t="str">
        <x:v>CAP-LOGIC01-012</x:v>
      </x:c>
      <x:c r="D478" s="82" t="str">
        <x:v>Script</x:v>
      </x:c>
      <x:c r="E478" s="82" t="str">
        <x:v>受控脚本资源、输入输出、依赖、版本。</x:v>
      </x:c>
      <x:c r="F478" s="82" t="str"/>
      <x:c r="G478" s="82" t="str">
        <x:v>原基线478项</x:v>
      </x:c>
      <x:c r="H478" s="82" t="str">
        <x:v>原始能力契约；未按对象数量推算完成度</x:v>
      </x:c>
    </x:row>
    <x:row r="479">
      <x:c r="A479" s="82" t="str">
        <x:v>逻辑与行为</x:v>
      </x:c>
      <x:c r="B479" s="82" t="str">
        <x:v>Expression / Rule / Script</x:v>
      </x:c>
      <x:c r="C479" s="82" t="str">
        <x:v>CAP-LOGIC01-013</x:v>
      </x:c>
      <x:c r="D479" s="82" t="str">
        <x:v>Script Sandbox</x:v>
      </x:c>
      <x:c r="E479" s="82" t="str">
        <x:v>权限、超时、资源限制和可访问Service白名单。</x:v>
      </x:c>
      <x:c r="F479" s="82" t="str"/>
      <x:c r="G479" s="82" t="str">
        <x:v>原基线478项</x:v>
      </x:c>
      <x:c r="H479" s="82" t="str">
        <x:v>原始能力契约；未按对象数量推算完成度</x:v>
      </x:c>
    </x:row>
    <x:row r="480">
      <x:c r="A480" s="82" t="str">
        <x:v>逻辑与行为</x:v>
      </x:c>
      <x:c r="B480" s="82" t="str">
        <x:v>Command / State / Event / Action</x:v>
      </x:c>
      <x:c r="C480" s="82" t="str">
        <x:v>CAP-CSE01-001</x:v>
      </x:c>
      <x:c r="D480" s="82" t="str">
        <x:v>Command Definition</x:v>
      </x:c>
      <x:c r="E480" s="82" t="str">
        <x:v>定义可请求动作的CommandId、Input/Result Contract与权限需求。</x:v>
      </x:c>
      <x:c r="F480" s="82" t="str">
        <x:v>Event是已发生事实；Command是请求；State是持续状态</x:v>
      </x:c>
      <x:c r="G480" s="82" t="str">
        <x:v>原基线478项</x:v>
      </x:c>
      <x:c r="H480" s="82" t="str">
        <x:v>原始能力契约；未按对象数量推算完成度</x:v>
      </x:c>
    </x:row>
    <x:row r="481">
      <x:c r="A481" s="82" t="str">
        <x:v>逻辑与行为</x:v>
      </x:c>
      <x:c r="B481" s="82" t="str">
        <x:v>Command / State / Event / Action</x:v>
      </x:c>
      <x:c r="C481" s="82" t="str">
        <x:v>CAP-CSE01-002</x:v>
      </x:c>
      <x:c r="D481" s="82" t="str">
        <x:v>Command Request</x:v>
      </x:c>
      <x:c r="E481" s="82" t="str">
        <x:v>运行时请求包含Correlation、Caller、Mode、Payload。</x:v>
      </x:c>
      <x:c r="F481" s="82" t="str"/>
      <x:c r="G481" s="82" t="str">
        <x:v>原基线478项</x:v>
      </x:c>
      <x:c r="H481" s="82" t="str">
        <x:v>原始能力契约；未按对象数量推算完成度</x:v>
      </x:c>
    </x:row>
    <x:row r="482">
      <x:c r="A482" s="82" t="str">
        <x:v>逻辑与行为</x:v>
      </x:c>
      <x:c r="B482" s="82" t="str">
        <x:v>Command / State / Event / Action</x:v>
      </x:c>
      <x:c r="C482" s="82" t="str">
        <x:v>CAP-CSE01-003</x:v>
      </x:c>
      <x:c r="D482" s="82" t="str">
        <x:v>Command Result</x:v>
      </x:c>
      <x:c r="E482" s="82" t="str">
        <x:v>统一Success/Reject/Fault/Output/Diagnostic结果。</x:v>
      </x:c>
      <x:c r="F482" s="82" t="str"/>
      <x:c r="G482" s="82" t="str">
        <x:v>原基线478项</x:v>
      </x:c>
      <x:c r="H482" s="82" t="str">
        <x:v>原始能力契约；未按对象数量推算完成度</x:v>
      </x:c>
    </x:row>
    <x:row r="483">
      <x:c r="A483" s="82" t="str">
        <x:v>逻辑与行为</x:v>
      </x:c>
      <x:c r="B483" s="82" t="str">
        <x:v>Command / State / Event / Action</x:v>
      </x:c>
      <x:c r="C483" s="82" t="str">
        <x:v>CAP-CSE01-004</x:v>
      </x:c>
      <x:c r="D483" s="82" t="str">
        <x:v>State Definition</x:v>
      </x:c>
      <x:c r="E483" s="82" t="str">
        <x:v>稳定状态契约与可观察State Snapshot。</x:v>
      </x:c>
      <x:c r="F483" s="82" t="str"/>
      <x:c r="G483" s="82" t="str">
        <x:v>原基线478项</x:v>
      </x:c>
      <x:c r="H483" s="82" t="str">
        <x:v>原始能力契约；未按对象数量推算完成度</x:v>
      </x:c>
    </x:row>
    <x:row r="484">
      <x:c r="A484" s="82" t="str">
        <x:v>逻辑与行为</x:v>
      </x:c>
      <x:c r="B484" s="82" t="str">
        <x:v>Command / State / Event / Action</x:v>
      </x:c>
      <x:c r="C484" s="82" t="str">
        <x:v>CAP-CSE01-005</x:v>
      </x:c>
      <x:c r="D484" s="82" t="str">
        <x:v>Event Definition</x:v>
      </x:c>
      <x:c r="E484" s="82" t="str">
        <x:v>定义事件Type/Payload/Source/Version。</x:v>
      </x:c>
      <x:c r="F484" s="82" t="str"/>
      <x:c r="G484" s="82" t="str">
        <x:v>原基线478项</x:v>
      </x:c>
      <x:c r="H484" s="82" t="str">
        <x:v>原始能力契约；未按对象数量推算完成度</x:v>
      </x:c>
    </x:row>
    <x:row r="485">
      <x:c r="A485" s="82" t="str">
        <x:v>逻辑与行为</x:v>
      </x:c>
      <x:c r="B485" s="82" t="str">
        <x:v>Command / State / Event / Action</x:v>
      </x:c>
      <x:c r="C485" s="82" t="str">
        <x:v>CAP-CSE01-006</x:v>
      </x:c>
      <x:c r="D485" s="82" t="str">
        <x:v>Runtime Event</x:v>
      </x:c>
      <x:c r="E485" s="82" t="str">
        <x:v>发生事实包含Timestamp/Correlation/Source/Payload。</x:v>
      </x:c>
      <x:c r="F485" s="82" t="str"/>
      <x:c r="G485" s="82" t="str">
        <x:v>原基线478项</x:v>
      </x:c>
      <x:c r="H485" s="82" t="str">
        <x:v>原始能力契约；未按对象数量推算完成度</x:v>
      </x:c>
    </x:row>
    <x:row r="486">
      <x:c r="A486" s="82" t="str">
        <x:v>逻辑与行为</x:v>
      </x:c>
      <x:c r="B486" s="82" t="str">
        <x:v>Command / State / Event / Action</x:v>
      </x:c>
      <x:c r="C486" s="82" t="str">
        <x:v>CAP-CSE01-007</x:v>
      </x:c>
      <x:c r="D486" s="82" t="str">
        <x:v>Subscription</x:v>
      </x:c>
      <x:c r="E486" s="82" t="str">
        <x:v>按Event/State/Variable订阅并绑定Scope生命周期。</x:v>
      </x:c>
      <x:c r="F486" s="82" t="str"/>
      <x:c r="G486" s="82" t="str">
        <x:v>原基线478项</x:v>
      </x:c>
      <x:c r="H486" s="82" t="str">
        <x:v>原始能力契约；未按对象数量推算完成度</x:v>
      </x:c>
    </x:row>
    <x:row r="487">
      <x:c r="A487" s="82" t="str">
        <x:v>逻辑与行为</x:v>
      </x:c>
      <x:c r="B487" s="82" t="str">
        <x:v>Command / State / Event / Action</x:v>
      </x:c>
      <x:c r="C487" s="82" t="str">
        <x:v>CAP-CSE01-008</x:v>
      </x:c>
      <x:c r="D487" s="82" t="str">
        <x:v>Action Descriptor</x:v>
      </x:c>
      <x:c r="E487" s="82" t="str">
        <x:v>UI/Rule/Graph Action映射Command/Invocation/Navigation等。</x:v>
      </x:c>
      <x:c r="F487" s="82" t="str"/>
      <x:c r="G487" s="82" t="str">
        <x:v>原基线478项</x:v>
      </x:c>
      <x:c r="H487" s="82" t="str">
        <x:v>原始能力契约；未按对象数量推算完成度</x:v>
      </x:c>
    </x:row>
    <x:row r="488">
      <x:c r="A488" s="82" t="str">
        <x:v>逻辑与行为</x:v>
      </x:c>
      <x:c r="B488" s="82" t="str">
        <x:v>Command / State / Event / Action</x:v>
      </x:c>
      <x:c r="C488" s="82" t="str">
        <x:v>CAP-CSE01-009</x:v>
      </x:c>
      <x:c r="D488" s="82" t="str">
        <x:v>Event Route</x:v>
      </x:c>
      <x:c r="E488" s="82" t="str">
        <x:v>事件Source→Filter→Subscriber路由和优先级。</x:v>
      </x:c>
      <x:c r="F488" s="82" t="str"/>
      <x:c r="G488" s="82" t="str">
        <x:v>原基线478项</x:v>
      </x:c>
      <x:c r="H488" s="82" t="str">
        <x:v>原始能力契约；未按对象数量推算完成度</x:v>
      </x:c>
    </x:row>
    <x:row r="489">
      <x:c r="A489" s="82" t="str">
        <x:v>逻辑与行为</x:v>
      </x:c>
      <x:c r="B489" s="82" t="str">
        <x:v>Command / State / Event / Action</x:v>
      </x:c>
      <x:c r="C489" s="82" t="str">
        <x:v>CAP-CSE01-010</x:v>
      </x:c>
      <x:c r="D489" s="82" t="str">
        <x:v>Result Contract</x:v>
      </x:c>
      <x:c r="E489" s="82" t="str">
        <x:v>跨Command/Invocation稳定结果类型与错误语义。</x:v>
      </x:c>
      <x:c r="F489" s="82" t="str"/>
      <x:c r="G489" s="82" t="str">
        <x:v>原基线478项</x:v>
      </x:c>
      <x:c r="H489" s="82" t="str">
        <x:v>原始能力契约；未按对象数量推算完成度</x:v>
      </x:c>
    </x:row>
    <x:row r="490">
      <x:c r="A490" s="82" t="str">
        <x:v>逻辑与行为</x:v>
      </x:c>
      <x:c r="B490" s="82" t="str">
        <x:v>Command / State / Event / Action</x:v>
      </x:c>
      <x:c r="C490" s="82" t="str">
        <x:v>CAP-CSE01-011</x:v>
      </x:c>
      <x:c r="D490" s="82" t="str">
        <x:v>Command Idempotency</x:v>
      </x:c>
      <x:c r="E490" s="82" t="str">
        <x:v>可重复Command声明幂等键/重复处理策略。</x:v>
      </x:c>
      <x:c r="F490" s="82" t="str"/>
      <x:c r="G490" s="82" t="str">
        <x:v>原基线478项</x:v>
      </x:c>
      <x:c r="H490" s="82" t="str">
        <x:v>原始能力契约；未按对象数量推算完成度</x:v>
      </x:c>
    </x:row>
    <x:row r="491">
      <x:c r="A491" s="82" t="str">
        <x:v>通信与集成</x:v>
      </x:c>
      <x:c r="B491" s="82" t="str">
        <x:v>Channel Foundation</x:v>
      </x:c>
      <x:c r="C491" s="82" t="str">
        <x:v>CAP-CH01-001</x:v>
      </x:c>
      <x:c r="D491" s="82" t="str">
        <x:v>Channel Descriptor</x:v>
      </x:c>
      <x:c r="E491" s="82" t="str">
        <x:v>定义Transport、Endpoint、Options、Security、Buffer与Reconnect。</x:v>
      </x:c>
      <x:c r="F491" s="82" t="str">
        <x:v>Channel只回答怎么传，不理解寄存器/Axis/ROI</x:v>
      </x:c>
      <x:c r="G491" s="82" t="str">
        <x:v>原基线478项</x:v>
      </x:c>
      <x:c r="H491" s="82" t="str">
        <x:v>原始能力契约；未按对象数量推算完成度</x:v>
      </x:c>
    </x:row>
    <x:row r="492">
      <x:c r="A492" s="82" t="str">
        <x:v>通信与集成</x:v>
      </x:c>
      <x:c r="B492" s="82" t="str">
        <x:v>Channel Foundation</x:v>
      </x:c>
      <x:c r="C492" s="82" t="str">
        <x:v>CAP-CH01-002</x:v>
      </x:c>
      <x:c r="D492" s="82" t="str">
        <x:v>Channel Factory</x:v>
      </x:c>
      <x:c r="E492" s="82" t="str">
        <x:v>按Descriptor创建具体IChannel实现。</x:v>
      </x:c>
      <x:c r="F492" s="82" t="str"/>
      <x:c r="G492" s="82" t="str">
        <x:v>原基线478项</x:v>
      </x:c>
      <x:c r="H492" s="82" t="str">
        <x:v>原始能力契约；未按对象数量推算完成度</x:v>
      </x:c>
    </x:row>
    <x:row r="493">
      <x:c r="A493" s="82" t="str">
        <x:v>通信与集成</x:v>
      </x:c>
      <x:c r="B493" s="82" t="str">
        <x:v>Channel Foundation</x:v>
      </x:c>
      <x:c r="C493" s="82" t="str">
        <x:v>CAP-CH01-003</x:v>
      </x:c>
      <x:c r="D493" s="82" t="str">
        <x:v>Open/Close</x:v>
      </x:c>
      <x:c r="E493" s="82" t="str">
        <x:v>统一打开、关闭、状态变化与取消。</x:v>
      </x:c>
      <x:c r="F493" s="82" t="str"/>
      <x:c r="G493" s="82" t="str">
        <x:v>原基线478项</x:v>
      </x:c>
      <x:c r="H493" s="82" t="str">
        <x:v>原始能力契约；未按对象数量推算完成度</x:v>
      </x:c>
    </x:row>
    <x:row r="494">
      <x:c r="A494" s="82" t="str">
        <x:v>通信与集成</x:v>
      </x:c>
      <x:c r="B494" s="82" t="str">
        <x:v>Channel Foundation</x:v>
      </x:c>
      <x:c r="C494" s="82" t="str">
        <x:v>CAP-CH01-004</x:v>
      </x:c>
      <x:c r="D494" s="82" t="str">
        <x:v>Send/Receive</x:v>
      </x:c>
      <x:c r="E494" s="82" t="str">
        <x:v>统一消息/字节发送接收、超时与Cancellation。</x:v>
      </x:c>
      <x:c r="F494" s="82" t="str"/>
      <x:c r="G494" s="82" t="str">
        <x:v>原基线478项</x:v>
      </x:c>
      <x:c r="H494" s="82" t="str">
        <x:v>原始能力契约；未按对象数量推算完成度</x:v>
      </x:c>
    </x:row>
    <x:row r="495">
      <x:c r="A495" s="82" t="str">
        <x:v>通信与集成</x:v>
      </x:c>
      <x:c r="B495" s="82" t="str">
        <x:v>Channel Foundation</x:v>
      </x:c>
      <x:c r="C495" s="82" t="str">
        <x:v>CAP-CH01-005</x:v>
      </x:c>
      <x:c r="D495" s="82" t="str">
        <x:v>Buffer/Queue</x:v>
      </x:c>
      <x:c r="E495" s="82" t="str">
        <x:v>发送/接收缓冲、Capacity、队列指标。</x:v>
      </x:c>
      <x:c r="F495" s="82" t="str"/>
      <x:c r="G495" s="82" t="str">
        <x:v>原基线478项</x:v>
      </x:c>
      <x:c r="H495" s="82" t="str">
        <x:v>原始能力契约；未按对象数量推算完成度</x:v>
      </x:c>
    </x:row>
    <x:row r="496">
      <x:c r="A496" s="82" t="str">
        <x:v>通信与集成</x:v>
      </x:c>
      <x:c r="B496" s="82" t="str">
        <x:v>Channel Foundation</x:v>
      </x:c>
      <x:c r="C496" s="82" t="str">
        <x:v>CAP-CH01-006</x:v>
      </x:c>
      <x:c r="D496" s="82" t="str">
        <x:v>Backpressure</x:v>
      </x:c>
      <x:c r="E496" s="82" t="str">
        <x:v>高吞吐Channel支持背压与Drop策略。</x:v>
      </x:c>
      <x:c r="F496" s="82" t="str"/>
      <x:c r="G496" s="82" t="str">
        <x:v>原基线478项</x:v>
      </x:c>
      <x:c r="H496" s="82" t="str">
        <x:v>原始能力契约；未按对象数量推算完成度</x:v>
      </x:c>
    </x:row>
    <x:row r="497">
      <x:c r="A497" s="82" t="str">
        <x:v>通信与集成</x:v>
      </x:c>
      <x:c r="B497" s="82" t="str">
        <x:v>Channel Foundation</x:v>
      </x:c>
      <x:c r="C497" s="82" t="str">
        <x:v>CAP-CH01-007</x:v>
      </x:c>
      <x:c r="D497" s="82" t="str">
        <x:v>Health</x:v>
      </x:c>
      <x:c r="E497" s="82" t="str">
        <x:v>Connected/Degraded/Faulted、Latency、Bytes、Error等健康指标。</x:v>
      </x:c>
      <x:c r="F497" s="82" t="str"/>
      <x:c r="G497" s="82" t="str">
        <x:v>原基线478项</x:v>
      </x:c>
      <x:c r="H497" s="82" t="str">
        <x:v>原始能力契约；未按对象数量推算完成度</x:v>
      </x:c>
    </x:row>
    <x:row r="498">
      <x:c r="A498" s="82" t="str">
        <x:v>通信与集成</x:v>
      </x:c>
      <x:c r="B498" s="82" t="str">
        <x:v>Channel Foundation</x:v>
      </x:c>
      <x:c r="C498" s="82" t="str">
        <x:v>CAP-CH01-008</x:v>
      </x:c>
      <x:c r="D498" s="82" t="str">
        <x:v>Reconnect</x:v>
      </x:c>
      <x:c r="E498" s="82" t="str">
        <x:v>断线检测、Backoff、重连、Session恢复策略。</x:v>
      </x:c>
      <x:c r="F498" s="82" t="str"/>
      <x:c r="G498" s="82" t="str">
        <x:v>原基线478项</x:v>
      </x:c>
      <x:c r="H498" s="82" t="str">
        <x:v>原始能力契约；未按对象数量推算完成度</x:v>
      </x:c>
    </x:row>
    <x:row r="499">
      <x:c r="A499" s="82" t="str">
        <x:v>通信与集成</x:v>
      </x:c>
      <x:c r="B499" s="82" t="str">
        <x:v>Channel Foundation</x:v>
      </x:c>
      <x:c r="C499" s="82" t="str">
        <x:v>CAP-CH01-009</x:v>
      </x:c>
      <x:c r="D499" s="82" t="str">
        <x:v>Correlation</x:v>
      </x:c>
      <x:c r="E499" s="82" t="str">
        <x:v>Request/Response与Message Correlation。</x:v>
      </x:c>
      <x:c r="F499" s="82" t="str"/>
      <x:c r="G499" s="82" t="str">
        <x:v>原基线478项</x:v>
      </x:c>
      <x:c r="H499" s="82" t="str">
        <x:v>原始能力契约；未按对象数量推算完成度</x:v>
      </x:c>
    </x:row>
    <x:row r="500">
      <x:c r="A500" s="82" t="str">
        <x:v>通信与集成</x:v>
      </x:c>
      <x:c r="B500" s="82" t="str">
        <x:v>Channel Foundation</x:v>
      </x:c>
      <x:c r="C500" s="82" t="str">
        <x:v>CAP-CH01-010</x:v>
      </x:c>
      <x:c r="D500" s="82" t="str">
        <x:v>Endpoint</x:v>
      </x:c>
      <x:c r="E500" s="82" t="str">
        <x:v>URI/Address/Port/Serial/IPC等稳定Endpoint模型。</x:v>
      </x:c>
      <x:c r="F500" s="82" t="str"/>
      <x:c r="G500" s="82" t="str">
        <x:v>原基线478项</x:v>
      </x:c>
      <x:c r="H500" s="82" t="str">
        <x:v>原始能力契约；未按对象数量推算完成度</x:v>
      </x:c>
    </x:row>
    <x:row r="501">
      <x:c r="A501" s="82" t="str">
        <x:v>通信与集成</x:v>
      </x:c>
      <x:c r="B501" s="82" t="str">
        <x:v>Channel Foundation</x:v>
      </x:c>
      <x:c r="C501" s="82" t="str">
        <x:v>CAP-CH01-011</x:v>
      </x:c>
      <x:c r="D501" s="82" t="str">
        <x:v>Message Envelope</x:v>
      </x:c>
      <x:c r="E501" s="82" t="str">
        <x:v>统一消息Header/Correlation/Payload/Metadata。</x:v>
      </x:c>
      <x:c r="F501" s="82" t="str"/>
      <x:c r="G501" s="82" t="str">
        <x:v>原基线478项</x:v>
      </x:c>
      <x:c r="H501" s="82" t="str">
        <x:v>原始能力契约；未按对象数量推算完成度</x:v>
      </x:c>
    </x:row>
    <x:row r="502">
      <x:c r="A502" s="82" t="str">
        <x:v>通信与集成</x:v>
      </x:c>
      <x:c r="B502" s="82" t="str">
        <x:v>Channel Foundation</x:v>
      </x:c>
      <x:c r="C502" s="82" t="str">
        <x:v>CAP-CH01-012</x:v>
      </x:c>
      <x:c r="D502" s="82" t="str">
        <x:v>SharedMemory/InProc</x:v>
      </x:c>
      <x:c r="E502" s="82" t="str">
        <x:v>支持本进程/共享内存高性能Channel适配。</x:v>
      </x:c>
      <x:c r="F502" s="82" t="str"/>
      <x:c r="G502" s="82" t="str">
        <x:v>原基线478项</x:v>
      </x:c>
      <x:c r="H502" s="82" t="str">
        <x:v>原始能力契约；未按对象数量推算完成度</x:v>
      </x:c>
    </x:row>
    <x:row r="503">
      <x:c r="A503" s="82" t="str">
        <x:v>通信与集成</x:v>
      </x:c>
      <x:c r="B503" s="82" t="str">
        <x:v>Protocol Foundation</x:v>
      </x:c>
      <x:c r="C503" s="82" t="str">
        <x:v>CAP-PR01-001</x:v>
      </x:c>
      <x:c r="D503" s="82" t="str">
        <x:v>Protocol Descriptor</x:v>
      </x:c>
      <x:c r="E503" s="82" t="str">
        <x:v>描述ProtocolId、Version、Capability、Frame/Message Schema。</x:v>
      </x:c>
      <x:c r="F503" s="82" t="str">
        <x:v>具体Modbus/S7/OPC UA/MQTT等由专业Driver/Plugin提供</x:v>
      </x:c>
      <x:c r="G503" s="82" t="str">
        <x:v>原基线478项</x:v>
      </x:c>
      <x:c r="H503" s="82" t="str">
        <x:v>原始能力契约；未按对象数量推算完成度</x:v>
      </x:c>
    </x:row>
    <x:row r="504">
      <x:c r="A504" s="82" t="str">
        <x:v>通信与集成</x:v>
      </x:c>
      <x:c r="B504" s="82" t="str">
        <x:v>Protocol Foundation</x:v>
      </x:c>
      <x:c r="C504" s="82" t="str">
        <x:v>CAP-PR01-002</x:v>
      </x:c>
      <x:c r="D504" s="82" t="str">
        <x:v>Frame/Message Schema</x:v>
      </x:c>
      <x:c r="E504" s="82" t="str">
        <x:v>定义字段、地址、编码、长度、校验与Payload结构。</x:v>
      </x:c>
      <x:c r="F504" s="82" t="str"/>
      <x:c r="G504" s="82" t="str">
        <x:v>原基线478项</x:v>
      </x:c>
      <x:c r="H504" s="82" t="str">
        <x:v>原始能力契约；未按对象数量推算完成度</x:v>
      </x:c>
    </x:row>
    <x:row r="505">
      <x:c r="A505" s="82" t="str">
        <x:v>通信与集成</x:v>
      </x:c>
      <x:c r="B505" s="82" t="str">
        <x:v>Protocol Foundation</x:v>
      </x:c>
      <x:c r="C505" s="82" t="str">
        <x:v>CAP-PR01-003</x:v>
      </x:c>
      <x:c r="D505" s="82" t="str">
        <x:v>Codec</x:v>
      </x:c>
      <x:c r="E505" s="82" t="str">
        <x:v>编码/解码稳定对象模型与字节/消息。</x:v>
      </x:c>
      <x:c r="F505" s="82" t="str"/>
      <x:c r="G505" s="82" t="str">
        <x:v>原基线478项</x:v>
      </x:c>
      <x:c r="H505" s="82" t="str">
        <x:v>原始能力契约；未按对象数量推算完成度</x:v>
      </x:c>
    </x:row>
    <x:row r="506">
      <x:c r="A506" s="82" t="str">
        <x:v>通信与集成</x:v>
      </x:c>
      <x:c r="B506" s="82" t="str">
        <x:v>Protocol Foundation</x:v>
      </x:c>
      <x:c r="C506" s="82" t="str">
        <x:v>CAP-PR01-004</x:v>
      </x:c>
      <x:c r="D506" s="82" t="str">
        <x:v>Parser</x:v>
      </x:c>
      <x:c r="E506" s="82" t="str">
        <x:v>流式拆帧、粘包/半包处理和错误定位。</x:v>
      </x:c>
      <x:c r="F506" s="82" t="str"/>
      <x:c r="G506" s="82" t="str">
        <x:v>原基线478项</x:v>
      </x:c>
      <x:c r="H506" s="82" t="str">
        <x:v>原始能力契约；未按对象数量推算完成度</x:v>
      </x:c>
    </x:row>
    <x:row r="507">
      <x:c r="A507" s="82" t="str">
        <x:v>通信与集成</x:v>
      </x:c>
      <x:c r="B507" s="82" t="str">
        <x:v>Protocol Foundation</x:v>
      </x:c>
      <x:c r="C507" s="82" t="str">
        <x:v>CAP-PR01-005</x:v>
      </x:c>
      <x:c r="D507" s="82" t="str">
        <x:v>Protocol Session</x:v>
      </x:c>
      <x:c r="E507" s="82" t="str">
        <x:v>Handshake、State、Pending Request、Sequence等会话状态。</x:v>
      </x:c>
      <x:c r="F507" s="82" t="str"/>
      <x:c r="G507" s="82" t="str">
        <x:v>原基线478项</x:v>
      </x:c>
      <x:c r="H507" s="82" t="str">
        <x:v>原始能力契约；未按对象数量推算完成度</x:v>
      </x:c>
    </x:row>
    <x:row r="508">
      <x:c r="A508" s="82" t="str">
        <x:v>通信与集成</x:v>
      </x:c>
      <x:c r="B508" s="82" t="str">
        <x:v>Protocol Foundation</x:v>
      </x:c>
      <x:c r="C508" s="82" t="str">
        <x:v>CAP-PR01-006</x:v>
      </x:c>
      <x:c r="D508" s="82" t="str">
        <x:v>Request/Response</x:v>
      </x:c>
      <x:c r="E508" s="82" t="str">
        <x:v>统一请求、响应、超时、Correlation和错误映射。</x:v>
      </x:c>
      <x:c r="F508" s="82" t="str"/>
      <x:c r="G508" s="82" t="str">
        <x:v>原基线478项</x:v>
      </x:c>
      <x:c r="H508" s="82" t="str">
        <x:v>原始能力契约；未按对象数量推算完成度</x:v>
      </x:c>
    </x:row>
    <x:row r="509">
      <x:c r="A509" s="82" t="str">
        <x:v>通信与集成</x:v>
      </x:c>
      <x:c r="B509" s="82" t="str">
        <x:v>Protocol Foundation</x:v>
      </x:c>
      <x:c r="C509" s="82" t="str">
        <x:v>CAP-PR01-007</x:v>
      </x:c>
      <x:c r="D509" s="82" t="str">
        <x:v>Handshake</x:v>
      </x:c>
      <x:c r="E509" s="82" t="str">
        <x:v>连接建立后的协商/登录/初始化流程。</x:v>
      </x:c>
      <x:c r="F509" s="82" t="str"/>
      <x:c r="G509" s="82" t="str">
        <x:v>原基线478项</x:v>
      </x:c>
      <x:c r="H509" s="82" t="str">
        <x:v>原始能力契约；未按对象数量推算完成度</x:v>
      </x:c>
    </x:row>
    <x:row r="510">
      <x:c r="A510" s="82" t="str">
        <x:v>通信与集成</x:v>
      </x:c>
      <x:c r="B510" s="82" t="str">
        <x:v>Protocol Foundation</x:v>
      </x:c>
      <x:c r="C510" s="82" t="str">
        <x:v>CAP-PR01-008</x:v>
      </x:c>
      <x:c r="D510" s="82" t="str">
        <x:v>Heartbeat</x:v>
      </x:c>
      <x:c r="E510" s="82" t="str">
        <x:v>心跳、KeepAlive、断线判定。</x:v>
      </x:c>
      <x:c r="F510" s="82" t="str"/>
      <x:c r="G510" s="82" t="str">
        <x:v>原基线478项</x:v>
      </x:c>
      <x:c r="H510" s="82" t="str">
        <x:v>原始能力契约；未按对象数量推算完成度</x:v>
      </x:c>
    </x:row>
    <x:row r="511">
      <x:c r="A511" s="82" t="str">
        <x:v>通信与集成</x:v>
      </x:c>
      <x:c r="B511" s="82" t="str">
        <x:v>Protocol Foundation</x:v>
      </x:c>
      <x:c r="C511" s="82" t="str">
        <x:v>CAP-PR01-009</x:v>
      </x:c>
      <x:c r="D511" s="82" t="str">
        <x:v>Version Negotiation</x:v>
      </x:c>
      <x:c r="E511" s="82" t="str">
        <x:v>Protocol/Peer版本协商与兼容检查。</x:v>
      </x:c>
      <x:c r="F511" s="82" t="str"/>
      <x:c r="G511" s="82" t="str">
        <x:v>原基线478项</x:v>
      </x:c>
      <x:c r="H511" s="82" t="str">
        <x:v>原始能力契约；未按对象数量推算完成度</x:v>
      </x:c>
    </x:row>
    <x:row r="512">
      <x:c r="A512" s="82" t="str">
        <x:v>通信与集成</x:v>
      </x:c>
      <x:c r="B512" s="82" t="str">
        <x:v>Protocol Foundation</x:v>
      </x:c>
      <x:c r="C512" s="82" t="str">
        <x:v>CAP-PR01-010</x:v>
      </x:c>
      <x:c r="D512" s="82" t="str">
        <x:v>Error Mapping</x:v>
      </x:c>
      <x:c r="E512" s="82" t="str">
        <x:v>协议错误码映射为结构化ProtocolError。</x:v>
      </x:c>
      <x:c r="F512" s="82" t="str"/>
      <x:c r="G512" s="82" t="str">
        <x:v>原基线478项</x:v>
      </x:c>
      <x:c r="H512" s="82" t="str">
        <x:v>原始能力契约；未按对象数量推算完成度</x:v>
      </x:c>
    </x:row>
    <x:row r="513">
      <x:c r="A513" s="82" t="str">
        <x:v>通信与集成</x:v>
      </x:c>
      <x:c r="B513" s="82" t="str">
        <x:v>Protocol Foundation</x:v>
      </x:c>
      <x:c r="C513" s="82" t="str">
        <x:v>CAP-PR01-011</x:v>
      </x:c>
      <x:c r="D513" s="82" t="str">
        <x:v>Capability Discovery</x:v>
      </x:c>
      <x:c r="E513" s="82" t="str">
        <x:v>发现Peer支持的功能/地址/命令集。</x:v>
      </x:c>
      <x:c r="F513" s="82" t="str"/>
      <x:c r="G513" s="82" t="str">
        <x:v>原基线478项</x:v>
      </x:c>
      <x:c r="H513" s="82" t="str">
        <x:v>原始能力契约；未按对象数量推算完成度</x:v>
      </x:c>
    </x:row>
    <x:row r="514">
      <x:c r="A514" s="82" t="str">
        <x:v>通信与集成</x:v>
      </x:c>
      <x:c r="B514" s="82" t="str">
        <x:v>Protocol Foundation</x:v>
      </x:c>
      <x:c r="C514" s="82" t="str">
        <x:v>CAP-PR01-012</x:v>
      </x:c>
      <x:c r="D514" s="82" t="str">
        <x:v>Protocol Diagnostics</x:v>
      </x:c>
      <x:c r="E514" s="82" t="str">
        <x:v>Frame/Session/Decode/Error可在线诊断。</x:v>
      </x:c>
      <x:c r="F514" s="82" t="str"/>
      <x:c r="G514" s="82" t="str">
        <x:v>原基线478项</x:v>
      </x:c>
      <x:c r="H514" s="82" t="str">
        <x:v>原始能力契约；未按对象数量推算完成度</x:v>
      </x:c>
    </x:row>
    <x:row r="515">
      <x:c r="A515" s="82" t="str">
        <x:v>通信与集成</x:v>
      </x:c>
      <x:c r="B515" s="82" t="str">
        <x:v>Driver / Provider / Capability</x:v>
      </x:c>
      <x:c r="C515" s="82" t="str">
        <x:v>CAP-PROV01-001</x:v>
      </x:c>
      <x:c r="D515" s="82" t="str">
        <x:v>Capability Descriptor</x:v>
      </x:c>
      <x:c r="E515" s="82" t="str">
        <x:v>稳定描述设备/算法/服务能够提供哪些Operation/State/Data。</x:v>
      </x:c>
      <x:c r="F515" s="82" t="str">
        <x:v>Mechanism不吸收Axis/FDK/AI/Judge等专业语义</x:v>
      </x:c>
      <x:c r="G515" s="82" t="str">
        <x:v>原基线478项</x:v>
      </x:c>
      <x:c r="H515" s="82" t="str">
        <x:v>原始能力契约；未按对象数量推算完成度</x:v>
      </x:c>
    </x:row>
    <x:row r="516">
      <x:c r="A516" s="82" t="str">
        <x:v>通信与集成</x:v>
      </x:c>
      <x:c r="B516" s="82" t="str">
        <x:v>Driver / Provider / Capability</x:v>
      </x:c>
      <x:c r="C516" s="82" t="str">
        <x:v>CAP-PROV01-002</x:v>
      </x:c>
      <x:c r="D516" s="82" t="str">
        <x:v>Provider Descriptor</x:v>
      </x:c>
      <x:c r="E516" s="82" t="str">
        <x:v>定义Provider类型、Capability、配置Schema与Runtime入口。</x:v>
      </x:c>
      <x:c r="F516" s="82" t="str"/>
      <x:c r="G516" s="82" t="str">
        <x:v>原基线478项</x:v>
      </x:c>
      <x:c r="H516" s="82" t="str">
        <x:v>原始能力契约；未按对象数量推算完成度</x:v>
      </x:c>
    </x:row>
    <x:row r="517">
      <x:c r="A517" s="82" t="str">
        <x:v>通信与集成</x:v>
      </x:c>
      <x:c r="B517" s="82" t="str">
        <x:v>Driver / Provider / Capability</x:v>
      </x:c>
      <x:c r="C517" s="82" t="str">
        <x:v>CAP-PROV01-003</x:v>
      </x:c>
      <x:c r="D517" s="82" t="str">
        <x:v>Driver Adapter</x:v>
      </x:c>
      <x:c r="E517" s="82" t="str">
        <x:v>将Vendor SDK/协议地址/命令映射为专业Provider能力。</x:v>
      </x:c>
      <x:c r="F517" s="82" t="str"/>
      <x:c r="G517" s="82" t="str">
        <x:v>原基线478项</x:v>
      </x:c>
      <x:c r="H517" s="82" t="str">
        <x:v>原始能力契约；未按对象数量推算完成度</x:v>
      </x:c>
    </x:row>
    <x:row r="518">
      <x:c r="A518" s="82" t="str">
        <x:v>通信与集成</x:v>
      </x:c>
      <x:c r="B518" s="82" t="str">
        <x:v>Driver / Provider / Capability</x:v>
      </x:c>
      <x:c r="C518" s="82" t="str">
        <x:v>CAP-PROV01-004</x:v>
      </x:c>
      <x:c r="D518" s="82" t="str">
        <x:v>Provider Registry</x:v>
      </x:c>
      <x:c r="E518" s="82" t="str">
        <x:v>按Capability/Resource/Target发现和选择Provider。</x:v>
      </x:c>
      <x:c r="F518" s="82" t="str"/>
      <x:c r="G518" s="82" t="str">
        <x:v>原基线478项</x:v>
      </x:c>
      <x:c r="H518" s="82" t="str">
        <x:v>原始能力契约；未按对象数量推算完成度</x:v>
      </x:c>
    </x:row>
    <x:row r="519">
      <x:c r="A519" s="82" t="str">
        <x:v>通信与集成</x:v>
      </x:c>
      <x:c r="B519" s="82" t="str">
        <x:v>Driver / Provider / Capability</x:v>
      </x:c>
      <x:c r="C519" s="82" t="str">
        <x:v>CAP-PROV01-005</x:v>
      </x:c>
      <x:c r="D519" s="82" t="str">
        <x:v>Runtime Adapter</x:v>
      </x:c>
      <x:c r="E519" s="82" t="str">
        <x:v>把ExecutionPlan Operation转换为Provider/Worker调用。</x:v>
      </x:c>
      <x:c r="F519" s="82" t="str"/>
      <x:c r="G519" s="82" t="str">
        <x:v>原基线478项</x:v>
      </x:c>
      <x:c r="H519" s="82" t="str">
        <x:v>原始能力契约；未按对象数量推算完成度</x:v>
      </x:c>
    </x:row>
    <x:row r="520">
      <x:c r="A520" s="82" t="str">
        <x:v>通信与集成</x:v>
      </x:c>
      <x:c r="B520" s="82" t="str">
        <x:v>Driver / Provider / Capability</x:v>
      </x:c>
      <x:c r="C520" s="82" t="str">
        <x:v>CAP-PROV01-006</x:v>
      </x:c>
      <x:c r="D520" s="82" t="str">
        <x:v>Worker Descriptor</x:v>
      </x:c>
      <x:c r="E520" s="82" t="str">
        <x:v>描述Worker能力、Placement、GPU/CPU/Memory与版本。</x:v>
      </x:c>
      <x:c r="F520" s="82" t="str"/>
      <x:c r="G520" s="82" t="str">
        <x:v>原基线478项</x:v>
      </x:c>
      <x:c r="H520" s="82" t="str">
        <x:v>原始能力契约；未按对象数量推算完成度</x:v>
      </x:c>
    </x:row>
    <x:row r="521">
      <x:c r="A521" s="82" t="str">
        <x:v>通信与集成</x:v>
      </x:c>
      <x:c r="B521" s="82" t="str">
        <x:v>Driver / Provider / Capability</x:v>
      </x:c>
      <x:c r="C521" s="82" t="str">
        <x:v>CAP-PROV01-007</x:v>
      </x:c>
      <x:c r="D521" s="82" t="str">
        <x:v>Worker Discovery</x:v>
      </x:c>
      <x:c r="E521" s="82" t="str">
        <x:v>发现本地/远端Worker、健康和负载。</x:v>
      </x:c>
      <x:c r="F521" s="82" t="str"/>
      <x:c r="G521" s="82" t="str">
        <x:v>原基线478项</x:v>
      </x:c>
      <x:c r="H521" s="82" t="str">
        <x:v>原始能力契约；未按对象数量推算完成度</x:v>
      </x:c>
    </x:row>
    <x:row r="522">
      <x:c r="A522" s="82" t="str">
        <x:v>通信与集成</x:v>
      </x:c>
      <x:c r="B522" s="82" t="str">
        <x:v>Driver / Provider / Capability</x:v>
      </x:c>
      <x:c r="C522" s="82" t="str">
        <x:v>CAP-PROV01-008</x:v>
      </x:c>
      <x:c r="D522" s="82" t="str">
        <x:v>Provider Binding</x:v>
      </x:c>
      <x:c r="E522" s="82" t="str">
        <x:v>Definition/Resource到具体Provider/Driver实例的绑定。</x:v>
      </x:c>
      <x:c r="F522" s="82" t="str"/>
      <x:c r="G522" s="82" t="str">
        <x:v>原基线478项</x:v>
      </x:c>
      <x:c r="H522" s="82" t="str">
        <x:v>原始能力契约；未按对象数量推算完成度</x:v>
      </x:c>
    </x:row>
    <x:row r="523">
      <x:c r="A523" s="82" t="str">
        <x:v>通信与集成</x:v>
      </x:c>
      <x:c r="B523" s="82" t="str">
        <x:v>Driver / Provider / Capability</x:v>
      </x:c>
      <x:c r="C523" s="82" t="str">
        <x:v>CAP-PROV01-009</x:v>
      </x:c>
      <x:c r="D523" s="82" t="str">
        <x:v>Health/Diagnostics</x:v>
      </x:c>
      <x:c r="E523" s="82" t="str">
        <x:v>Provider/Driver/Worker统一Health、Metric、Fault。</x:v>
      </x:c>
      <x:c r="F523" s="82" t="str"/>
      <x:c r="G523" s="82" t="str">
        <x:v>原基线478项</x:v>
      </x:c>
      <x:c r="H523" s="82" t="str">
        <x:v>原始能力契约；未按对象数量推算完成度</x:v>
      </x:c>
    </x:row>
    <x:row r="524">
      <x:c r="A524" s="82" t="str">
        <x:v>通信与集成</x:v>
      </x:c>
      <x:c r="B524" s="82" t="str">
        <x:v>Driver / Provider / Capability</x:v>
      </x:c>
      <x:c r="C524" s="82" t="str">
        <x:v>CAP-PROV01-010</x:v>
      </x:c>
      <x:c r="D524" s="82" t="str">
        <x:v>Raw Access Boundary</x:v>
      </x:c>
      <x:c r="E524" s="82" t="str">
        <x:v>Maintenance场景可受控Raw Access，普通Graph/HMI禁止绕过Provider。</x:v>
      </x:c>
      <x:c r="F524" s="82" t="str"/>
      <x:c r="G524" s="82" t="str">
        <x:v>原基线478项</x:v>
      </x:c>
      <x:c r="H524" s="82" t="str">
        <x:v>原始能力契约；未按对象数量推算完成度</x:v>
      </x:c>
    </x:row>
    <x:row r="525">
      <x:c r="A525" s="82" t="str">
        <x:v>表现与编辑</x:v>
      </x:c>
      <x:c r="B525" s="82" t="str">
        <x:v>Drawing / Layer / Geometry</x:v>
      </x:c>
      <x:c r="C525" s="82" t="str">
        <x:v>CAP-VIS01-001</x:v>
      </x:c>
      <x:c r="D525" s="82" t="str">
        <x:v>Canvas/Viewport</x:v>
      </x:c>
      <x:c r="E525" s="82" t="str">
        <x:v>统一有限/无限画布、裁剪与Viewport。</x:v>
      </x:c>
      <x:c r="F525" s="82" t="str">
        <x:v>Drawing只回答怎么画，不承担HMI/Vision/Graph业务语义</x:v>
      </x:c>
      <x:c r="G525" s="82" t="str">
        <x:v>原基线478项</x:v>
      </x:c>
      <x:c r="H525" s="82" t="str">
        <x:v>原始能力契约；未按对象数量推算完成度</x:v>
      </x:c>
    </x:row>
    <x:row r="526">
      <x:c r="A526" s="82" t="str">
        <x:v>表现与编辑</x:v>
      </x:c>
      <x:c r="B526" s="82" t="str">
        <x:v>Drawing / Layer / Geometry</x:v>
      </x:c>
      <x:c r="C526" s="82" t="str">
        <x:v>CAP-VIS01-002</x:v>
      </x:c>
      <x:c r="D526" s="82" t="str">
        <x:v>Zoom/Pan/Fit</x:v>
      </x:c>
      <x:c r="E526" s="82" t="str">
        <x:v>统一缩放、平移、Fit/Center及视图历史。</x:v>
      </x:c>
      <x:c r="F526" s="82" t="str"/>
      <x:c r="G526" s="82" t="str">
        <x:v>原基线478项</x:v>
      </x:c>
      <x:c r="H526" s="82" t="str">
        <x:v>原始能力契约；未按对象数量推算完成度</x:v>
      </x:c>
    </x:row>
    <x:row r="527">
      <x:c r="A527" s="82" t="str">
        <x:v>表现与编辑</x:v>
      </x:c>
      <x:c r="B527" s="82" t="str">
        <x:v>Drawing / Layer / Geometry</x:v>
      </x:c>
      <x:c r="C527" s="82" t="str">
        <x:v>CAP-VIS01-003</x:v>
      </x:c>
      <x:c r="D527" s="82" t="str">
        <x:v>Selection</x:v>
      </x:c>
      <x:c r="E527" s="82" t="str">
        <x:v>单选、多选、框选、层级选择与SelectionContext。</x:v>
      </x:c>
      <x:c r="F527" s="82" t="str"/>
      <x:c r="G527" s="82" t="str">
        <x:v>原基线478项</x:v>
      </x:c>
      <x:c r="H527" s="82" t="str">
        <x:v>原始能力契约；未按对象数量推算完成度</x:v>
      </x:c>
    </x:row>
    <x:row r="528">
      <x:c r="A528" s="82" t="str">
        <x:v>表现与编辑</x:v>
      </x:c>
      <x:c r="B528" s="82" t="str">
        <x:v>Drawing / Layer / Geometry</x:v>
      </x:c>
      <x:c r="C528" s="82" t="str">
        <x:v>CAP-VIS01-004</x:v>
      </x:c>
      <x:c r="D528" s="82" t="str">
        <x:v>HitTest</x:v>
      </x:c>
      <x:c r="E528" s="82" t="str">
        <x:v>Element/Shape/Handle/Port/ROI/Overlay可插拔命中测试。</x:v>
      </x:c>
      <x:c r="F528" s="82" t="str"/>
      <x:c r="G528" s="82" t="str">
        <x:v>原基线478项</x:v>
      </x:c>
      <x:c r="H528" s="82" t="str">
        <x:v>原始能力契约；未按对象数量推算完成度</x:v>
      </x:c>
    </x:row>
    <x:row r="529">
      <x:c r="A529" s="82" t="str">
        <x:v>表现与编辑</x:v>
      </x:c>
      <x:c r="B529" s="82" t="str">
        <x:v>Drawing / Layer / Geometry</x:v>
      </x:c>
      <x:c r="C529" s="82" t="str">
        <x:v>CAP-VIS01-005</x:v>
      </x:c>
      <x:c r="D529" s="82" t="str">
        <x:v>Transform</x:v>
      </x:c>
      <x:c r="E529" s="82" t="str">
        <x:v>Move/Scale/Rotate及Local/World坐标变换。</x:v>
      </x:c>
      <x:c r="F529" s="82" t="str"/>
      <x:c r="G529" s="82" t="str">
        <x:v>原基线478项</x:v>
      </x:c>
      <x:c r="H529" s="82" t="str">
        <x:v>原始能力契约；未按对象数量推算完成度</x:v>
      </x:c>
    </x:row>
    <x:row r="530">
      <x:c r="A530" s="82" t="str">
        <x:v>表现与编辑</x:v>
      </x:c>
      <x:c r="B530" s="82" t="str">
        <x:v>Drawing / Layer / Geometry</x:v>
      </x:c>
      <x:c r="C530" s="82" t="str">
        <x:v>CAP-VIS01-006</x:v>
      </x:c>
      <x:c r="D530" s="82" t="str">
        <x:v>Adorner/Handle</x:v>
      </x:c>
      <x:c r="E530" s="82" t="str">
        <x:v>Resize/Rotate/ControlPoint等编辑手柄，允许专业扩展。</x:v>
      </x:c>
      <x:c r="F530" s="82" t="str"/>
      <x:c r="G530" s="82" t="str">
        <x:v>原基线478项</x:v>
      </x:c>
      <x:c r="H530" s="82" t="str">
        <x:v>原始能力契约；未按对象数量推算完成度</x:v>
      </x:c>
    </x:row>
    <x:row r="531">
      <x:c r="A531" s="82" t="str">
        <x:v>表现与编辑</x:v>
      </x:c>
      <x:c r="B531" s="82" t="str">
        <x:v>Drawing / Layer / Geometry</x:v>
      </x:c>
      <x:c r="C531" s="82" t="str">
        <x:v>CAP-VIS01-007</x:v>
      </x:c>
      <x:c r="D531" s="82" t="str">
        <x:v>Snap/Guide</x:v>
      </x:c>
      <x:c r="E531" s="82" t="str">
        <x:v>Grid/Object/Guide/Anchor/Port吸附与参考线。</x:v>
      </x:c>
      <x:c r="F531" s="82" t="str"/>
      <x:c r="G531" s="82" t="str">
        <x:v>原基线478项</x:v>
      </x:c>
      <x:c r="H531" s="82" t="str">
        <x:v>原始能力契约；未按对象数量推算完成度</x:v>
      </x:c>
    </x:row>
    <x:row r="532">
      <x:c r="A532" s="82" t="str">
        <x:v>表现与编辑</x:v>
      </x:c>
      <x:c r="B532" s="82" t="str">
        <x:v>Drawing / Layer / Geometry</x:v>
      </x:c>
      <x:c r="C532" s="82" t="str">
        <x:v>CAP-VIS01-008</x:v>
      </x:c>
      <x:c r="D532" s="82" t="str">
        <x:v>Layer/ZOrder</x:v>
      </x:c>
      <x:c r="E532" s="82" t="str">
        <x:v>Layer Visibility/Lock/ZOrder与专业Overlay Layer。</x:v>
      </x:c>
      <x:c r="F532" s="82" t="str"/>
      <x:c r="G532" s="82" t="str">
        <x:v>原基线478项</x:v>
      </x:c>
      <x:c r="H532" s="82" t="str">
        <x:v>原始能力契约；未按对象数量推算完成度</x:v>
      </x:c>
    </x:row>
    <x:row r="533">
      <x:c r="A533" s="82" t="str">
        <x:v>表现与编辑</x:v>
      </x:c>
      <x:c r="B533" s="82" t="str">
        <x:v>Drawing / Layer / Geometry</x:v>
      </x:c>
      <x:c r="C533" s="82" t="str">
        <x:v>CAP-VIS01-009</x:v>
      </x:c>
      <x:c r="D533" s="82" t="str">
        <x:v>Geometry</x:v>
      </x:c>
      <x:c r="E533" s="82" t="str">
        <x:v>Line/Rect/Ellipse/Polygon/Path/Bezier/Arc等基础几何。</x:v>
      </x:c>
      <x:c r="F533" s="82" t="str"/>
      <x:c r="G533" s="82" t="str">
        <x:v>原基线478项</x:v>
      </x:c>
      <x:c r="H533" s="82" t="str">
        <x:v>原始能力契约；未按对象数量推算完成度</x:v>
      </x:c>
    </x:row>
    <x:row r="534">
      <x:c r="A534" s="82" t="str">
        <x:v>表现与编辑</x:v>
      </x:c>
      <x:c r="B534" s="82" t="str">
        <x:v>Drawing / Layer / Geometry</x:v>
      </x:c>
      <x:c r="C534" s="82" t="str">
        <x:v>CAP-VIS01-010</x:v>
      </x:c>
      <x:c r="D534" s="82" t="str">
        <x:v>Style</x:v>
      </x:c>
      <x:c r="E534" s="82" t="str">
        <x:v>Pen/Brush/Font/Fill/Opacity/Theme等统一样式描述。</x:v>
      </x:c>
      <x:c r="F534" s="82" t="str"/>
      <x:c r="G534" s="82" t="str">
        <x:v>原基线478项</x:v>
      </x:c>
      <x:c r="H534" s="82" t="str">
        <x:v>原始能力契约；未按对象数量推算完成度</x:v>
      </x:c>
    </x:row>
    <x:row r="535">
      <x:c r="A535" s="82" t="str">
        <x:v>表现与编辑</x:v>
      </x:c>
      <x:c r="B535" s="82" t="str">
        <x:v>Drawing / Layer / Geometry</x:v>
      </x:c>
      <x:c r="C535" s="82" t="str">
        <x:v>CAP-VIS01-011</x:v>
      </x:c>
      <x:c r="D535" s="82" t="str">
        <x:v>SVG/Vector</x:v>
      </x:c>
      <x:c r="E535" s="82" t="str">
        <x:v>SVG导入、解析、渲染、保真与Symbol化。</x:v>
      </x:c>
      <x:c r="F535" s="82" t="str"/>
      <x:c r="G535" s="82" t="str">
        <x:v>原基线478项</x:v>
      </x:c>
      <x:c r="H535" s="82" t="str">
        <x:v>原始能力契约；未按对象数量推算完成度</x:v>
      </x:c>
    </x:row>
    <x:row r="536">
      <x:c r="A536" s="82" t="str">
        <x:v>表现与编辑</x:v>
      </x:c>
      <x:c r="B536" s="82" t="str">
        <x:v>Drawing / Layer / Geometry</x:v>
      </x:c>
      <x:c r="C536" s="82" t="str">
        <x:v>CAP-VIS01-012</x:v>
      </x:c>
      <x:c r="D536" s="82" t="str">
        <x:v>Image Visual</x:v>
      </x:c>
      <x:c r="E536" s="82" t="str">
        <x:v>Bitmap/灰度图/纹理等图像显示基础。</x:v>
      </x:c>
      <x:c r="F536" s="82" t="str"/>
      <x:c r="G536" s="82" t="str">
        <x:v>原基线478项</x:v>
      </x:c>
      <x:c r="H536" s="82" t="str">
        <x:v>原始能力契约；未按对象数量推算完成度</x:v>
      </x:c>
    </x:row>
    <x:row r="537">
      <x:c r="A537" s="82" t="str">
        <x:v>表现与编辑</x:v>
      </x:c>
      <x:c r="B537" s="82" t="str">
        <x:v>Drawing / Layer / Geometry</x:v>
      </x:c>
      <x:c r="C537" s="82" t="str">
        <x:v>CAP-VIS01-013</x:v>
      </x:c>
      <x:c r="D537" s="82" t="str">
        <x:v>Overlay</x:v>
      </x:c>
      <x:c r="E537" s="82" t="str">
        <x:v>ROI/检测结果/十字线/标记等专业叠加层。</x:v>
      </x:c>
      <x:c r="F537" s="82" t="str"/>
      <x:c r="G537" s="82" t="str">
        <x:v>原基线478项</x:v>
      </x:c>
      <x:c r="H537" s="82" t="str">
        <x:v>原始能力契约；未按对象数量推算完成度</x:v>
      </x:c>
    </x:row>
    <x:row r="538">
      <x:c r="A538" s="82" t="str">
        <x:v>表现与编辑</x:v>
      </x:c>
      <x:c r="B538" s="82" t="str">
        <x:v>Drawing / Layer / Geometry</x:v>
      </x:c>
      <x:c r="C538" s="82" t="str">
        <x:v>CAP-VIS01-014</x:v>
      </x:c>
      <x:c r="D538" s="82" t="str">
        <x:v>Annotation</x:v>
      </x:c>
      <x:c r="E538" s="82" t="str">
        <x:v>Text/Arrow/Marker/Dimension等标注。</x:v>
      </x:c>
      <x:c r="F538" s="82" t="str"/>
      <x:c r="G538" s="82" t="str">
        <x:v>原基线478项</x:v>
      </x:c>
      <x:c r="H538" s="82" t="str">
        <x:v>原始能力契约；未按对象数量推算完成度</x:v>
      </x:c>
    </x:row>
    <x:row r="539">
      <x:c r="A539" s="82" t="str">
        <x:v>表现与编辑</x:v>
      </x:c>
      <x:c r="B539" s="82" t="str">
        <x:v>Drawing / Layer / Geometry</x:v>
      </x:c>
      <x:c r="C539" s="82" t="str">
        <x:v>CAP-VIS01-015</x:v>
      </x:c>
      <x:c r="D539" s="82" t="str">
        <x:v>Coordinate Transform</x:v>
      </x:c>
      <x:c r="E539" s="82" t="str">
        <x:v>World/View/Screen/Image/Volume坐标统一变换。</x:v>
      </x:c>
      <x:c r="F539" s="82" t="str"/>
      <x:c r="G539" s="82" t="str">
        <x:v>原基线478项</x:v>
      </x:c>
      <x:c r="H539" s="82" t="str">
        <x:v>原始能力契约；未按对象数量推算完成度</x:v>
      </x:c>
    </x:row>
    <x:row r="540">
      <x:c r="A540" s="82" t="str">
        <x:v>表现与编辑</x:v>
      </x:c>
      <x:c r="B540" s="82" t="str">
        <x:v>Diagram / Node Visual</x:v>
      </x:c>
      <x:c r="C540" s="82" t="str">
        <x:v>CAP-DIAG01-001</x:v>
      </x:c>
      <x:c r="D540" s="82" t="str">
        <x:v>Node Visual</x:v>
      </x:c>
      <x:c r="E540" s="82" t="str">
        <x:v>统一Node Box/Header/Icon/Status/Badge/Collapse外观模型。</x:v>
      </x:c>
      <x:c r="F540" s="82" t="str">
        <x:v>Diagram UI不等于Graph执行语义</x:v>
      </x:c>
      <x:c r="G540" s="82" t="str">
        <x:v>原基线478项</x:v>
      </x:c>
      <x:c r="H540" s="82" t="str">
        <x:v>原始能力契约；未按对象数量推算完成度</x:v>
      </x:c>
    </x:row>
    <x:row r="541">
      <x:c r="A541" s="82" t="str">
        <x:v>表现与编辑</x:v>
      </x:c>
      <x:c r="B541" s="82" t="str">
        <x:v>Diagram / Node Visual</x:v>
      </x:c>
      <x:c r="C541" s="82" t="str">
        <x:v>CAP-DIAG01-002</x:v>
      </x:c>
      <x:c r="D541" s="82" t="str">
        <x:v>Port Visual</x:v>
      </x:c>
      <x:c r="E541" s="82" t="str">
        <x:v>Input/Output/InOut与Port Kind/Type/Multiplicity视觉表达。</x:v>
      </x:c>
      <x:c r="F541" s="82" t="str"/>
      <x:c r="G541" s="82" t="str">
        <x:v>原基线478项</x:v>
      </x:c>
      <x:c r="H541" s="82" t="str">
        <x:v>原始能力契约；未按对象数量推算完成度</x:v>
      </x:c>
    </x:row>
    <x:row r="542">
      <x:c r="A542" s="82" t="str">
        <x:v>表现与编辑</x:v>
      </x:c>
      <x:c r="B542" s="82" t="str">
        <x:v>Diagram / Node Visual</x:v>
      </x:c>
      <x:c r="C542" s="82" t="str">
        <x:v>CAP-DIAG01-003</x:v>
      </x:c>
      <x:c r="D542" s="82" t="str">
        <x:v>Edge Visual</x:v>
      </x:c>
      <x:c r="E542" s="82" t="str">
        <x:v>Flow/Data/Event/Command/Resource等边使用不同线型/箭头/标签。</x:v>
      </x:c>
      <x:c r="F542" s="82" t="str"/>
      <x:c r="G542" s="82" t="str">
        <x:v>原基线478项</x:v>
      </x:c>
      <x:c r="H542" s="82" t="str">
        <x:v>原始能力契约；未按对象数量推算完成度</x:v>
      </x:c>
    </x:row>
    <x:row r="543">
      <x:c r="A543" s="82" t="str">
        <x:v>表现与编辑</x:v>
      </x:c>
      <x:c r="B543" s="82" t="str">
        <x:v>Diagram / Node Visual</x:v>
      </x:c>
      <x:c r="C543" s="82" t="str">
        <x:v>CAP-DIAG01-004</x:v>
      </x:c>
      <x:c r="D543" s="82" t="str">
        <x:v>Connection Interaction</x:v>
      </x:c>
      <x:c r="E543" s="82" t="str">
        <x:v>拖线创建、重连、断开与连接即时校验。</x:v>
      </x:c>
      <x:c r="F543" s="82" t="str"/>
      <x:c r="G543" s="82" t="str">
        <x:v>原基线478项</x:v>
      </x:c>
      <x:c r="H543" s="82" t="str">
        <x:v>原始能力契约；未按对象数量推算完成度</x:v>
      </x:c>
    </x:row>
    <x:row r="544">
      <x:c r="A544" s="82" t="str">
        <x:v>表现与编辑</x:v>
      </x:c>
      <x:c r="B544" s="82" t="str">
        <x:v>Diagram / Node Visual</x:v>
      </x:c>
      <x:c r="C544" s="82" t="str">
        <x:v>CAP-DIAG01-005</x:v>
      </x:c>
      <x:c r="D544" s="82" t="str">
        <x:v>Edge Routing</x:v>
      </x:c>
      <x:c r="E544" s="82" t="str">
        <x:v>Straight/Orthogonal/Bezier/Obstacle Routing可插拔。</x:v>
      </x:c>
      <x:c r="F544" s="82" t="str"/>
      <x:c r="G544" s="82" t="str">
        <x:v>原基线478项</x:v>
      </x:c>
      <x:c r="H544" s="82" t="str">
        <x:v>原始能力契约；未按对象数量推算完成度</x:v>
      </x:c>
    </x:row>
    <x:row r="545">
      <x:c r="A545" s="82" t="str">
        <x:v>表现与编辑</x:v>
      </x:c>
      <x:c r="B545" s="82" t="str">
        <x:v>Diagram / Node Visual</x:v>
      </x:c>
      <x:c r="C545" s="82" t="str">
        <x:v>CAP-DIAG01-006</x:v>
      </x:c>
      <x:c r="D545" s="82" t="str">
        <x:v>Node Move/Resize</x:v>
      </x:c>
      <x:c r="E545" s="82" t="str">
        <x:v>多节点移动、对齐、尺寸调整与Drawing Transform复用。</x:v>
      </x:c>
      <x:c r="F545" s="82" t="str"/>
      <x:c r="G545" s="82" t="str">
        <x:v>原基线478项</x:v>
      </x:c>
      <x:c r="H545" s="82" t="str">
        <x:v>原始能力契约；未按对象数量推算完成度</x:v>
      </x:c>
    </x:row>
    <x:row r="546">
      <x:c r="A546" s="82" t="str">
        <x:v>表现与编辑</x:v>
      </x:c>
      <x:c r="B546" s="82" t="str">
        <x:v>Diagram / Node Visual</x:v>
      </x:c>
      <x:c r="C546" s="82" t="str">
        <x:v>CAP-DIAG01-007</x:v>
      </x:c>
      <x:c r="D546" s="82" t="str">
        <x:v>Collapse/DrillDown</x:v>
      </x:c>
      <x:c r="E546" s="82" t="str">
        <x:v>SubGraph/Content/Invocation折叠、展开、下钻与返回。</x:v>
      </x:c>
      <x:c r="F546" s="82" t="str"/>
      <x:c r="G546" s="82" t="str">
        <x:v>原基线478项</x:v>
      </x:c>
      <x:c r="H546" s="82" t="str">
        <x:v>原始能力契约；未按对象数量推算完成度</x:v>
      </x:c>
    </x:row>
    <x:row r="547">
      <x:c r="A547" s="82" t="str">
        <x:v>表现与编辑</x:v>
      </x:c>
      <x:c r="B547" s="82" t="str">
        <x:v>Diagram / Node Visual</x:v>
      </x:c>
      <x:c r="C547" s="82" t="str">
        <x:v>CAP-DIAG01-008</x:v>
      </x:c>
      <x:c r="D547" s="82" t="str">
        <x:v>Auto Layout</x:v>
      </x:c>
      <x:c r="E547" s="82" t="str">
        <x:v>Tree/DAG/Grid/Force及领域布局算法。</x:v>
      </x:c>
      <x:c r="F547" s="82" t="str"/>
      <x:c r="G547" s="82" t="str">
        <x:v>原基线478项</x:v>
      </x:c>
      <x:c r="H547" s="82" t="str">
        <x:v>原始能力契约；未按对象数量推算完成度</x:v>
      </x:c>
    </x:row>
    <x:row r="548">
      <x:c r="A548" s="82" t="str">
        <x:v>表现与编辑</x:v>
      </x:c>
      <x:c r="B548" s="82" t="str">
        <x:v>Diagram / Node Visual</x:v>
      </x:c>
      <x:c r="C548" s="82" t="str">
        <x:v>CAP-DIAG01-009</x:v>
      </x:c>
      <x:c r="D548" s="82" t="str">
        <x:v>Minimap</x:v>
      </x:c>
      <x:c r="E548" s="82" t="str">
        <x:v>复杂图Overview与视口导航。</x:v>
      </x:c>
      <x:c r="F548" s="82" t="str"/>
      <x:c r="G548" s="82" t="str">
        <x:v>原基线478项</x:v>
      </x:c>
      <x:c r="H548" s="82" t="str">
        <x:v>原始能力契约；未按对象数量推算完成度</x:v>
      </x:c>
    </x:row>
    <x:row r="549">
      <x:c r="A549" s="82" t="str">
        <x:v>表现与编辑</x:v>
      </x:c>
      <x:c r="B549" s="82" t="str">
        <x:v>Diagram / Node Visual</x:v>
      </x:c>
      <x:c r="C549" s="82" t="str">
        <x:v>CAP-DIAG01-010</x:v>
      </x:c>
      <x:c r="D549" s="82" t="str">
        <x:v>Navigator/Search</x:v>
      </x:c>
      <x:c r="E549" s="82" t="str">
        <x:v>ZoomToNode、Search、Reveal与错误定位。</x:v>
      </x:c>
      <x:c r="F549" s="82" t="str"/>
      <x:c r="G549" s="82" t="str">
        <x:v>原基线478项</x:v>
      </x:c>
      <x:c r="H549" s="82" t="str">
        <x:v>原始能力契约；未按对象数量推算完成度</x:v>
      </x:c>
    </x:row>
    <x:row r="550">
      <x:c r="A550" s="82" t="str">
        <x:v>表现与编辑</x:v>
      </x:c>
      <x:c r="B550" s="82" t="str">
        <x:v>Diagram / Node Visual</x:v>
      </x:c>
      <x:c r="C550" s="82" t="str">
        <x:v>CAP-DIAG01-011</x:v>
      </x:c>
      <x:c r="D550" s="82" t="str">
        <x:v>Semantic Zoom</x:v>
      </x:c>
      <x:c r="E550" s="82" t="str">
        <x:v>缩放级别决定显示Content摘要、Node、Port或参数细节。</x:v>
      </x:c>
      <x:c r="F550" s="82" t="str"/>
      <x:c r="G550" s="82" t="str">
        <x:v>原基线478项</x:v>
      </x:c>
      <x:c r="H550" s="82" t="str">
        <x:v>原始能力契约；未按对象数量推算完成度</x:v>
      </x:c>
    </x:row>
    <x:row r="551">
      <x:c r="A551" s="82" t="str">
        <x:v>表现与编辑</x:v>
      </x:c>
      <x:c r="B551" s="82" t="str">
        <x:v>Diagram / Node Visual</x:v>
      </x:c>
      <x:c r="C551" s="82" t="str">
        <x:v>CAP-DIAG01-012</x:v>
      </x:c>
      <x:c r="D551" s="82" t="str">
        <x:v>Layer Visibility</x:v>
      </x:c>
      <x:c r="E551" s="82" t="str">
        <x:v>主路径/异常/数据/事件/资源/策略分层显示。</x:v>
      </x:c>
      <x:c r="F551" s="82" t="str"/>
      <x:c r="G551" s="82" t="str">
        <x:v>原基线478项</x:v>
      </x:c>
      <x:c r="H551" s="82" t="str">
        <x:v>原始能力契约；未按对象数量推算完成度</x:v>
      </x:c>
    </x:row>
    <x:row r="552">
      <x:c r="A552" s="82" t="str">
        <x:v>表现与编辑</x:v>
      </x:c>
      <x:c r="B552" s="82" t="str">
        <x:v>Diagram / Node Visual</x:v>
      </x:c>
      <x:c r="C552" s="82" t="str">
        <x:v>CAP-DIAG01-013</x:v>
      </x:c>
      <x:c r="D552" s="82" t="str">
        <x:v>Runtime Adornment</x:v>
      </x:c>
      <x:c r="E552" s="82" t="str">
        <x:v>Running/Waiting/Fault/Retry/Progress等运行态叠加。</x:v>
      </x:c>
      <x:c r="F552" s="82" t="str"/>
      <x:c r="G552" s="82" t="str">
        <x:v>原基线478项</x:v>
      </x:c>
      <x:c r="H552" s="82" t="str">
        <x:v>原始能力契约；未按对象数量推算完成度</x:v>
      </x:c>
    </x:row>
    <x:row r="553">
      <x:c r="A553" s="82" t="str">
        <x:v>表现与编辑</x:v>
      </x:c>
      <x:c r="B553" s="82" t="str">
        <x:v>Diagram / Node Visual</x:v>
      </x:c>
      <x:c r="C553" s="82" t="str">
        <x:v>CAP-DIAG01-014</x:v>
      </x:c>
      <x:c r="D553" s="82" t="str">
        <x:v>Breakpoint Adornment</x:v>
      </x:c>
      <x:c r="E553" s="82" t="str">
        <x:v>断点/条件断点/事件断点等统一标记。</x:v>
      </x:c>
      <x:c r="F553" s="82" t="str"/>
      <x:c r="G553" s="82" t="str">
        <x:v>原基线478项</x:v>
      </x:c>
      <x:c r="H553" s="82" t="str">
        <x:v>原始能力契约；未按对象数量推算完成度</x:v>
      </x:c>
    </x:row>
    <x:row r="554">
      <x:c r="A554" s="82" t="str">
        <x:v>表现与编辑</x:v>
      </x:c>
      <x:c r="B554" s="82" t="str">
        <x:v>Diagram / Node Visual</x:v>
      </x:c>
      <x:c r="C554" s="82" t="str">
        <x:v>CAP-DIAG01-015</x:v>
      </x:c>
      <x:c r="D554" s="82" t="str">
        <x:v>Value Preview</x:v>
      </x:c>
      <x:c r="E554" s="82" t="str">
        <x:v>Port/Variable小数据值预览，大对象显示摘要。</x:v>
      </x:c>
      <x:c r="F554" s="82" t="str"/>
      <x:c r="G554" s="82" t="str">
        <x:v>原基线478项</x:v>
      </x:c>
      <x:c r="H554" s="82" t="str">
        <x:v>原始能力契约；未按对象数量推算完成度</x:v>
      </x:c>
    </x:row>
    <x:row r="555">
      <x:c r="A555" s="82" t="str">
        <x:v>表现与编辑</x:v>
      </x:c>
      <x:c r="B555" s="82" t="str">
        <x:v>Diagram / Node Visual</x:v>
      </x:c>
      <x:c r="C555" s="82" t="str">
        <x:v>CAP-DIAG01-016</x:v>
      </x:c>
      <x:c r="D555" s="82" t="str">
        <x:v>Toolbox/Catalog</x:v>
      </x:c>
      <x:c r="E555" s="82" t="str">
        <x:v>Descriptor驱动的Node Palette、分类、搜索、收藏与拖放。</x:v>
      </x:c>
      <x:c r="F555" s="82" t="str"/>
      <x:c r="G555" s="82" t="str">
        <x:v>原基线478项</x:v>
      </x:c>
      <x:c r="H555" s="82" t="str">
        <x:v>原始能力契约；未按对象数量推算完成度</x:v>
      </x:c>
    </x:row>
    <x:row r="556">
      <x:c r="A556" s="82" t="str">
        <x:v>表现与编辑</x:v>
      </x:c>
      <x:c r="B556" s="82" t="str">
        <x:v>Diagram / Node Visual</x:v>
      </x:c>
      <x:c r="C556" s="82" t="str">
        <x:v>CAP-DIAG01-017</x:v>
      </x:c>
      <x:c r="D556" s="82" t="str">
        <x:v>Outline</x:v>
      </x:c>
      <x:c r="E556" s="82" t="str">
        <x:v>图结构树与Studio Outline统一导航。</x:v>
      </x:c>
      <x:c r="F556" s="82" t="str"/>
      <x:c r="G556" s="82" t="str">
        <x:v>原基线478项</x:v>
      </x:c>
      <x:c r="H556" s="82" t="str">
        <x:v>原始能力契约；未按对象数量推算完成度</x:v>
      </x:c>
    </x:row>
    <x:row r="557">
      <x:c r="A557" s="82" t="str">
        <x:v>编排与执行</x:v>
      </x:c>
      <x:c r="B557" s="82" t="str">
        <x:v>Graph Core</x:v>
      </x:c>
      <x:c r="C557" s="82" t="str">
        <x:v>CAP-GRAPH01-001</x:v>
      </x:c>
      <x:c r="D557" s="82" t="str">
        <x:v>Graph Definition</x:v>
      </x:c>
      <x:c r="E557" s="82" t="str">
        <x:v>Graph整体元数据、ExecutionModel、Version、Inputs/Outputs/Parameters。</x:v>
      </x:c>
      <x:c r="F557" s="82" t="str">
        <x:v>Graph是结构，不保存一次运行的瞬态状态</x:v>
      </x:c>
      <x:c r="G557" s="82" t="str">
        <x:v>原基线478项</x:v>
      </x:c>
      <x:c r="H557" s="82" t="str">
        <x:v>原始能力契约；未按对象数量推算完成度</x:v>
      </x:c>
    </x:row>
    <x:row r="558">
      <x:c r="A558" s="82" t="str">
        <x:v>编排与执行</x:v>
      </x:c>
      <x:c r="B558" s="82" t="str">
        <x:v>Graph Core</x:v>
      </x:c>
      <x:c r="C558" s="82" t="str">
        <x:v>CAP-GRAPH01-002</x:v>
      </x:c>
      <x:c r="D558" s="82" t="str">
        <x:v>Graph Node</x:v>
      </x:c>
      <x:c r="E558" s="82" t="str">
        <x:v>Node实例、NodeTypeId、参数、位置、扩展Metadata。</x:v>
      </x:c>
      <x:c r="F558" s="82" t="str"/>
      <x:c r="G558" s="82" t="str">
        <x:v>原基线478项</x:v>
      </x:c>
      <x:c r="H558" s="82" t="str">
        <x:v>原始能力契约；未按对象数量推算完成度</x:v>
      </x:c>
    </x:row>
    <x:row r="559">
      <x:c r="A559" s="82" t="str">
        <x:v>编排与执行</x:v>
      </x:c>
      <x:c r="B559" s="82" t="str">
        <x:v>Graph Core</x:v>
      </x:c>
      <x:c r="C559" s="82" t="str">
        <x:v>CAP-GRAPH01-003</x:v>
      </x:c>
      <x:c r="D559" s="82" t="str">
        <x:v>Graph Port</x:v>
      </x:c>
      <x:c r="E559" s="82" t="str">
        <x:v>Node输入输出Port实例与Type/Kind契约。</x:v>
      </x:c>
      <x:c r="F559" s="82" t="str"/>
      <x:c r="G559" s="82" t="str">
        <x:v>原基线478项</x:v>
      </x:c>
      <x:c r="H559" s="82" t="str">
        <x:v>原始能力契约；未按对象数量推算完成度</x:v>
      </x:c>
    </x:row>
    <x:row r="560">
      <x:c r="A560" s="82" t="str">
        <x:v>编排与执行</x:v>
      </x:c>
      <x:c r="B560" s="82" t="str">
        <x:v>Graph Core</x:v>
      </x:c>
      <x:c r="C560" s="82" t="str">
        <x:v>CAP-GRAPH01-004</x:v>
      </x:c>
      <x:c r="D560" s="82" t="str">
        <x:v>Graph Edge</x:v>
      </x:c>
      <x:c r="E560" s="82" t="str">
        <x:v>Port-to-Port连接、条件、Label和Edge Metadata。</x:v>
      </x:c>
      <x:c r="F560" s="82" t="str"/>
      <x:c r="G560" s="82" t="str">
        <x:v>原基线478项</x:v>
      </x:c>
      <x:c r="H560" s="82" t="str">
        <x:v>原始能力契约；未按对象数量推算完成度</x:v>
      </x:c>
    </x:row>
    <x:row r="561">
      <x:c r="A561" s="82" t="str">
        <x:v>编排与执行</x:v>
      </x:c>
      <x:c r="B561" s="82" t="str">
        <x:v>Graph Core</x:v>
      </x:c>
      <x:c r="C561" s="82" t="str">
        <x:v>CAP-GRAPH01-005</x:v>
      </x:c>
      <x:c r="D561" s="82" t="str">
        <x:v>SubGraph</x:v>
      </x:c>
      <x:c r="E561" s="82" t="str">
        <x:v>封装/复用局部Graph并支持折叠/下钻。</x:v>
      </x:c>
      <x:c r="F561" s="82" t="str"/>
      <x:c r="G561" s="82" t="str">
        <x:v>原基线478项</x:v>
      </x:c>
      <x:c r="H561" s="82" t="str">
        <x:v>原始能力契约；未按对象数量推算完成度</x:v>
      </x:c>
    </x:row>
    <x:row r="562">
      <x:c r="A562" s="82" t="str">
        <x:v>编排与执行</x:v>
      </x:c>
      <x:c r="B562" s="82" t="str">
        <x:v>Graph Core</x:v>
      </x:c>
      <x:c r="C562" s="82" t="str">
        <x:v>CAP-GRAPH01-006</x:v>
      </x:c>
      <x:c r="D562" s="82" t="str">
        <x:v>Node Descriptor</x:v>
      </x:c>
      <x:c r="E562" s="82" t="str">
        <x:v>节点Category/Icon/Property/Port/Compile/Runtime贡献元数据。</x:v>
      </x:c>
      <x:c r="F562" s="82" t="str"/>
      <x:c r="G562" s="82" t="str">
        <x:v>原基线478项</x:v>
      </x:c>
      <x:c r="H562" s="82" t="str">
        <x:v>原始能力契约；未按对象数量推算完成度</x:v>
      </x:c>
    </x:row>
    <x:row r="563">
      <x:c r="A563" s="82" t="str">
        <x:v>编排与执行</x:v>
      </x:c>
      <x:c r="B563" s="82" t="str">
        <x:v>Graph Core</x:v>
      </x:c>
      <x:c r="C563" s="82" t="str">
        <x:v>CAP-GRAPH01-007</x:v>
      </x:c>
      <x:c r="D563" s="82" t="str">
        <x:v>Node Factory</x:v>
      </x:c>
      <x:c r="E563" s="82" t="str">
        <x:v>按Descriptor创建/反序列化Node。</x:v>
      </x:c>
      <x:c r="F563" s="82" t="str"/>
      <x:c r="G563" s="82" t="str">
        <x:v>原基线478项</x:v>
      </x:c>
      <x:c r="H563" s="82" t="str">
        <x:v>原始能力契约；未按对象数量推算完成度</x:v>
      </x:c>
    </x:row>
    <x:row r="564">
      <x:c r="A564" s="82" t="str">
        <x:v>编排与执行</x:v>
      </x:c>
      <x:c r="B564" s="82" t="str">
        <x:v>Graph Core</x:v>
      </x:c>
      <x:c r="C564" s="82" t="str">
        <x:v>CAP-GRAPH01-008</x:v>
      </x:c>
      <x:c r="D564" s="82" t="str">
        <x:v>Node Catalog</x:v>
      </x:c>
      <x:c r="E564" s="82" t="str">
        <x:v>Mechanism+插件注册可用Node并供Toolbox查询。</x:v>
      </x:c>
      <x:c r="F564" s="82" t="str"/>
      <x:c r="G564" s="82" t="str">
        <x:v>原基线478项</x:v>
      </x:c>
      <x:c r="H564" s="82" t="str">
        <x:v>原始能力契约；未按对象数量推算完成度</x:v>
      </x:c>
    </x:row>
    <x:row r="565">
      <x:c r="A565" s="82" t="str">
        <x:v>编排与执行</x:v>
      </x:c>
      <x:c r="B565" s="82" t="str">
        <x:v>Graph Core</x:v>
      </x:c>
      <x:c r="C565" s="82" t="str">
        <x:v>CAP-GRAPH01-009</x:v>
      </x:c>
      <x:c r="D565" s="82" t="str">
        <x:v>Graph I/O</x:v>
      </x:c>
      <x:c r="E565" s="82" t="str">
        <x:v>GraphInput/GraphOutput形成ExecutionUnit公开数据契约。</x:v>
      </x:c>
      <x:c r="F565" s="82" t="str"/>
      <x:c r="G565" s="82" t="str">
        <x:v>原基线478项</x:v>
      </x:c>
      <x:c r="H565" s="82" t="str">
        <x:v>原始能力契约；未按对象数量推算完成度</x:v>
      </x:c>
    </x:row>
    <x:row r="566">
      <x:c r="A566" s="82" t="str">
        <x:v>编排与执行</x:v>
      </x:c>
      <x:c r="B566" s="82" t="str">
        <x:v>Graph Core</x:v>
      </x:c>
      <x:c r="C566" s="82" t="str">
        <x:v>CAP-GRAPH01-010</x:v>
      </x:c>
      <x:c r="D566" s="82" t="str">
        <x:v>Graph Parameter</x:v>
      </x:c>
      <x:c r="E566" s="82" t="str">
        <x:v>Definition参数与Invocation输入映射。</x:v>
      </x:c>
      <x:c r="F566" s="82" t="str"/>
      <x:c r="G566" s="82" t="str">
        <x:v>原基线478项</x:v>
      </x:c>
      <x:c r="H566" s="82" t="str">
        <x:v>原始能力契约；未按对象数量推算完成度</x:v>
      </x:c>
    </x:row>
    <x:row r="567">
      <x:c r="A567" s="82" t="str">
        <x:v>编排与执行</x:v>
      </x:c>
      <x:c r="B567" s="82" t="str">
        <x:v>Graph Core</x:v>
      </x:c>
      <x:c r="C567" s="82" t="str">
        <x:v>CAP-GRAPH01-011</x:v>
      </x:c>
      <x:c r="D567" s="82" t="str">
        <x:v>Graph Version</x:v>
      </x:c>
      <x:c r="E567" s="82" t="str">
        <x:v>Graph/Node版本、迁移与兼容性。</x:v>
      </x:c>
      <x:c r="F567" s="82" t="str"/>
      <x:c r="G567" s="82" t="str">
        <x:v>原基线478项</x:v>
      </x:c>
      <x:c r="H567" s="82" t="str">
        <x:v>原始能力契约；未按对象数量推算完成度</x:v>
      </x:c>
    </x:row>
    <x:row r="568">
      <x:c r="A568" s="82" t="str">
        <x:v>编排与执行</x:v>
      </x:c>
      <x:c r="B568" s="82" t="str">
        <x:v>Graph Core</x:v>
      </x:c>
      <x:c r="C568" s="82" t="str">
        <x:v>CAP-GRAPH01-012</x:v>
      </x:c>
      <x:c r="D568" s="82" t="str">
        <x:v>Graph Validation</x:v>
      </x:c>
      <x:c r="E568" s="82" t="str">
        <x:v>结构、孤立节点、非法Edge、必需Port等公共验证。</x:v>
      </x:c>
      <x:c r="F568" s="82" t="str"/>
      <x:c r="G568" s="82" t="str">
        <x:v>原基线478项</x:v>
      </x:c>
      <x:c r="H568" s="82" t="str">
        <x:v>原始能力契约；未按对象数量推算完成度</x:v>
      </x:c>
    </x:row>
    <x:row r="569">
      <x:c r="A569" s="82" t="str">
        <x:v>编排与执行</x:v>
      </x:c>
      <x:c r="B569" s="82" t="str">
        <x:v>ControlFlow</x:v>
      </x:c>
      <x:c r="C569" s="82" t="str">
        <x:v>CAP-EXEC01-001</x:v>
      </x:c>
      <x:c r="D569" s="82" t="str">
        <x:v>Start</x:v>
      </x:c>
      <x:c r="E569" s="82" t="str">
        <x:v>控制流入口。</x:v>
      </x:c>
      <x:c r="F569" s="82" t="str">
        <x:v>硬实时Servo/EtherCAT/Robot插补不在普通Graph Runtime</x:v>
      </x:c>
      <x:c r="G569" s="82" t="str">
        <x:v>原基线478项</x:v>
      </x:c>
      <x:c r="H569" s="82" t="str">
        <x:v>原始能力契约；未按对象数量推算完成度</x:v>
      </x:c>
    </x:row>
    <x:row r="570">
      <x:c r="A570" s="82" t="str">
        <x:v>编排与执行</x:v>
      </x:c>
      <x:c r="B570" s="82" t="str">
        <x:v>ControlFlow</x:v>
      </x:c>
      <x:c r="C570" s="82" t="str">
        <x:v>CAP-EXEC01-002</x:v>
      </x:c>
      <x:c r="D570" s="82" t="str">
        <x:v>End/Return</x:v>
      </x:c>
      <x:c r="E570" s="82" t="str">
        <x:v>正常结束或返回结果。</x:v>
      </x:c>
      <x:c r="F570" s="82" t="str"/>
      <x:c r="G570" s="82" t="str">
        <x:v>原基线478项</x:v>
      </x:c>
      <x:c r="H570" s="82" t="str">
        <x:v>原始能力契约；未按对象数量推算完成度</x:v>
      </x:c>
    </x:row>
    <x:row r="571">
      <x:c r="A571" s="82" t="str">
        <x:v>编排与执行</x:v>
      </x:c>
      <x:c r="B571" s="82" t="str">
        <x:v>ControlFlow</x:v>
      </x:c>
      <x:c r="C571" s="82" t="str">
        <x:v>CAP-EXEC01-003</x:v>
      </x:c>
      <x:c r="D571" s="82" t="str">
        <x:v>Sequence</x:v>
      </x:c>
      <x:c r="E571" s="82" t="str">
        <x:v>顺序执行一组Operation。</x:v>
      </x:c>
      <x:c r="F571" s="82" t="str"/>
      <x:c r="G571" s="82" t="str">
        <x:v>原基线478项</x:v>
      </x:c>
      <x:c r="H571" s="82" t="str">
        <x:v>原始能力契约；未按对象数量推算完成度</x:v>
      </x:c>
    </x:row>
    <x:row r="572">
      <x:c r="A572" s="82" t="str">
        <x:v>编排与执行</x:v>
      </x:c>
      <x:c r="B572" s="82" t="str">
        <x:v>ControlFlow</x:v>
      </x:c>
      <x:c r="C572" s="82" t="str">
        <x:v>CAP-EXEC01-004</x:v>
      </x:c>
      <x:c r="D572" s="82" t="str">
        <x:v>If/Else</x:v>
      </x:c>
      <x:c r="E572" s="82" t="str">
        <x:v>二分支条件执行。</x:v>
      </x:c>
      <x:c r="F572" s="82" t="str"/>
      <x:c r="G572" s="82" t="str">
        <x:v>原基线478项</x:v>
      </x:c>
      <x:c r="H572" s="82" t="str">
        <x:v>原始能力契约；未按对象数量推算完成度</x:v>
      </x:c>
    </x:row>
    <x:row r="573">
      <x:c r="A573" s="82" t="str">
        <x:v>编排与执行</x:v>
      </x:c>
      <x:c r="B573" s="82" t="str">
        <x:v>ControlFlow</x:v>
      </x:c>
      <x:c r="C573" s="82" t="str">
        <x:v>CAP-EXEC01-005</x:v>
      </x:c>
      <x:c r="D573" s="82" t="str">
        <x:v>Switch/Case</x:v>
      </x:c>
      <x:c r="E573" s="82" t="str">
        <x:v>多分支值/枚举选择。</x:v>
      </x:c>
      <x:c r="F573" s="82" t="str"/>
      <x:c r="G573" s="82" t="str">
        <x:v>原基线478项</x:v>
      </x:c>
      <x:c r="H573" s="82" t="str">
        <x:v>原始能力契约；未按对象数量推算完成度</x:v>
      </x:c>
    </x:row>
    <x:row r="574">
      <x:c r="A574" s="82" t="str">
        <x:v>编排与执行</x:v>
      </x:c>
      <x:c r="B574" s="82" t="str">
        <x:v>ControlFlow</x:v>
      </x:c>
      <x:c r="C574" s="82" t="str">
        <x:v>CAP-EXEC01-006</x:v>
      </x:c>
      <x:c r="D574" s="82" t="str">
        <x:v>Merge</x:v>
      </x:c>
      <x:c r="E574" s="82" t="str">
        <x:v>非同步语义的路径合并。</x:v>
      </x:c>
      <x:c r="F574" s="82" t="str"/>
      <x:c r="G574" s="82" t="str">
        <x:v>原基线478项</x:v>
      </x:c>
      <x:c r="H574" s="82" t="str">
        <x:v>原始能力契约；未按对象数量推算完成度</x:v>
      </x:c>
    </x:row>
    <x:row r="575">
      <x:c r="A575" s="82" t="str">
        <x:v>编排与执行</x:v>
      </x:c>
      <x:c r="B575" s="82" t="str">
        <x:v>ControlFlow</x:v>
      </x:c>
      <x:c r="C575" s="82" t="str">
        <x:v>CAP-EXEC01-007</x:v>
      </x:c>
      <x:c r="D575" s="82" t="str">
        <x:v>Fork</x:v>
      </x:c>
      <x:c r="E575" s="82" t="str">
        <x:v>开启并行分支。</x:v>
      </x:c>
      <x:c r="F575" s="82" t="str"/>
      <x:c r="G575" s="82" t="str">
        <x:v>原基线478项</x:v>
      </x:c>
      <x:c r="H575" s="82" t="str">
        <x:v>原始能力契约；未按对象数量推算完成度</x:v>
      </x:c>
    </x:row>
    <x:row r="576">
      <x:c r="A576" s="82" t="str">
        <x:v>编排与执行</x:v>
      </x:c>
      <x:c r="B576" s="82" t="str">
        <x:v>ControlFlow</x:v>
      </x:c>
      <x:c r="C576" s="82" t="str">
        <x:v>CAP-EXEC01-008</x:v>
      </x:c>
      <x:c r="D576" s="82" t="str">
        <x:v>Parallel</x:v>
      </x:c>
      <x:c r="E576" s="82" t="str">
        <x:v>结构化并行块。</x:v>
      </x:c>
      <x:c r="F576" s="82" t="str"/>
      <x:c r="G576" s="82" t="str">
        <x:v>原基线478项</x:v>
      </x:c>
      <x:c r="H576" s="82" t="str">
        <x:v>原始能力契约；未按对象数量推算完成度</x:v>
      </x:c>
    </x:row>
    <x:row r="577">
      <x:c r="A577" s="82" t="str">
        <x:v>编排与执行</x:v>
      </x:c>
      <x:c r="B577" s="82" t="str">
        <x:v>ControlFlow</x:v>
      </x:c>
      <x:c r="C577" s="82" t="str">
        <x:v>CAP-EXEC01-009</x:v>
      </x:c>
      <x:c r="D577" s="82" t="str">
        <x:v>Join</x:v>
      </x:c>
      <x:c r="E577" s="82" t="str">
        <x:v>按策略等待并行分支汇合。</x:v>
      </x:c>
      <x:c r="F577" s="82" t="str"/>
      <x:c r="G577" s="82" t="str">
        <x:v>原基线478项</x:v>
      </x:c>
      <x:c r="H577" s="82" t="str">
        <x:v>原始能力契约；未按对象数量推算完成度</x:v>
      </x:c>
    </x:row>
    <x:row r="578">
      <x:c r="A578" s="82" t="str">
        <x:v>编排与执行</x:v>
      </x:c>
      <x:c r="B578" s="82" t="str">
        <x:v>ControlFlow</x:v>
      </x:c>
      <x:c r="C578" s="82" t="str">
        <x:v>CAP-EXEC01-010</x:v>
      </x:c>
      <x:c r="D578" s="82" t="str">
        <x:v>WaitAll</x:v>
      </x:c>
      <x:c r="E578" s="82" t="str">
        <x:v>等待所有并行任务。</x:v>
      </x:c>
      <x:c r="F578" s="82" t="str"/>
      <x:c r="G578" s="82" t="str">
        <x:v>原基线478项</x:v>
      </x:c>
      <x:c r="H578" s="82" t="str">
        <x:v>原始能力契约；未按对象数量推算完成度</x:v>
      </x:c>
    </x:row>
    <x:row r="579">
      <x:c r="A579" s="82" t="str">
        <x:v>编排与执行</x:v>
      </x:c>
      <x:c r="B579" s="82" t="str">
        <x:v>ControlFlow</x:v>
      </x:c>
      <x:c r="C579" s="82" t="str">
        <x:v>CAP-EXEC01-011</x:v>
      </x:c>
      <x:c r="D579" s="82" t="str">
        <x:v>WaitAny</x:v>
      </x:c>
      <x:c r="E579" s="82" t="str">
        <x:v>任一完成后继续。</x:v>
      </x:c>
      <x:c r="F579" s="82" t="str"/>
      <x:c r="G579" s="82" t="str">
        <x:v>原基线478项</x:v>
      </x:c>
      <x:c r="H579" s="82" t="str">
        <x:v>原始能力契约；未按对象数量推算完成度</x:v>
      </x:c>
    </x:row>
    <x:row r="580">
      <x:c r="A580" s="82" t="str">
        <x:v>编排与执行</x:v>
      </x:c>
      <x:c r="B580" s="82" t="str">
        <x:v>ControlFlow</x:v>
      </x:c>
      <x:c r="C580" s="82" t="str">
        <x:v>CAP-EXEC01-012</x:v>
      </x:c>
      <x:c r="D580" s="82" t="str">
        <x:v>Barrier</x:v>
      </x:c>
      <x:c r="E580" s="82" t="str">
        <x:v>多分支同步屏障。</x:v>
      </x:c>
      <x:c r="F580" s="82" t="str"/>
      <x:c r="G580" s="82" t="str">
        <x:v>原基线478项</x:v>
      </x:c>
      <x:c r="H580" s="82" t="str">
        <x:v>原始能力契约；未按对象数量推算完成度</x:v>
      </x:c>
    </x:row>
    <x:row r="581">
      <x:c r="A581" s="82" t="str">
        <x:v>编排与执行</x:v>
      </x:c>
      <x:c r="B581" s="82" t="str">
        <x:v>ControlFlow</x:v>
      </x:c>
      <x:c r="C581" s="82" t="str">
        <x:v>CAP-EXEC01-013</x:v>
      </x:c>
      <x:c r="D581" s="82" t="str">
        <x:v>Race</x:v>
      </x:c>
      <x:c r="E581" s="82" t="str">
        <x:v>首个满足条件/完成者获胜并可取消其他分支。</x:v>
      </x:c>
      <x:c r="F581" s="82" t="str"/>
      <x:c r="G581" s="82" t="str">
        <x:v>原基线478项</x:v>
      </x:c>
      <x:c r="H581" s="82" t="str">
        <x:v>原始能力契约；未按对象数量推算完成度</x:v>
      </x:c>
    </x:row>
    <x:row r="582">
      <x:c r="A582" s="82" t="str">
        <x:v>编排与执行</x:v>
      </x:c>
      <x:c r="B582" s="82" t="str">
        <x:v>ControlFlow</x:v>
      </x:c>
      <x:c r="C582" s="82" t="str">
        <x:v>CAP-EXEC01-014</x:v>
      </x:c>
      <x:c r="D582" s="82" t="str">
        <x:v>While</x:v>
      </x:c>
      <x:c r="E582" s="82" t="str">
        <x:v>前判断循环。</x:v>
      </x:c>
      <x:c r="F582" s="82" t="str"/>
      <x:c r="G582" s="82" t="str">
        <x:v>原基线478项</x:v>
      </x:c>
      <x:c r="H582" s="82" t="str">
        <x:v>原始能力契约；未按对象数量推算完成度</x:v>
      </x:c>
    </x:row>
    <x:row r="583">
      <x:c r="A583" s="82" t="str">
        <x:v>编排与执行</x:v>
      </x:c>
      <x:c r="B583" s="82" t="str">
        <x:v>ControlFlow</x:v>
      </x:c>
      <x:c r="C583" s="82" t="str">
        <x:v>CAP-EXEC01-015</x:v>
      </x:c>
      <x:c r="D583" s="82" t="str">
        <x:v>DoWhile</x:v>
      </x:c>
      <x:c r="E583" s="82" t="str">
        <x:v>后判断循环。</x:v>
      </x:c>
      <x:c r="F583" s="82" t="str"/>
      <x:c r="G583" s="82" t="str">
        <x:v>原基线478项</x:v>
      </x:c>
      <x:c r="H583" s="82" t="str">
        <x:v>原始能力契约；未按对象数量推算完成度</x:v>
      </x:c>
    </x:row>
    <x:row r="584">
      <x:c r="A584" s="82" t="str">
        <x:v>编排与执行</x:v>
      </x:c>
      <x:c r="B584" s="82" t="str">
        <x:v>ControlFlow</x:v>
      </x:c>
      <x:c r="C584" s="82" t="str">
        <x:v>CAP-EXEC01-016</x:v>
      </x:c>
      <x:c r="D584" s="82" t="str">
        <x:v>For</x:v>
      </x:c>
      <x:c r="E584" s="82" t="str">
        <x:v>计数循环。</x:v>
      </x:c>
      <x:c r="F584" s="82" t="str"/>
      <x:c r="G584" s="82" t="str">
        <x:v>原基线478项</x:v>
      </x:c>
      <x:c r="H584" s="82" t="str">
        <x:v>原始能力契约；未按对象数量推算完成度</x:v>
      </x:c>
    </x:row>
    <x:row r="585">
      <x:c r="A585" s="82" t="str">
        <x:v>编排与执行</x:v>
      </x:c>
      <x:c r="B585" s="82" t="str">
        <x:v>ControlFlow</x:v>
      </x:c>
      <x:c r="C585" s="82" t="str">
        <x:v>CAP-EXEC01-017</x:v>
      </x:c>
      <x:c r="D585" s="82" t="str">
        <x:v>ForEach</x:v>
      </x:c>
      <x:c r="E585" s="82" t="str">
        <x:v>集合遍历与可配置并发。</x:v>
      </x:c>
      <x:c r="F585" s="82" t="str"/>
      <x:c r="G585" s="82" t="str">
        <x:v>原基线478项</x:v>
      </x:c>
      <x:c r="H585" s="82" t="str">
        <x:v>原始能力契约；未按对象数量推算完成度</x:v>
      </x:c>
    </x:row>
    <x:row r="586">
      <x:c r="A586" s="82" t="str">
        <x:v>编排与执行</x:v>
      </x:c>
      <x:c r="B586" s="82" t="str">
        <x:v>ControlFlow</x:v>
      </x:c>
      <x:c r="C586" s="82" t="str">
        <x:v>CAP-EXEC01-018</x:v>
      </x:c>
      <x:c r="D586" s="82" t="str">
        <x:v>Break/Continue</x:v>
      </x:c>
      <x:c r="E586" s="82" t="str">
        <x:v>循环控制。</x:v>
      </x:c>
      <x:c r="F586" s="82" t="str"/>
      <x:c r="G586" s="82" t="str">
        <x:v>原基线478项</x:v>
      </x:c>
      <x:c r="H586" s="82" t="str">
        <x:v>原始能力契约；未按对象数量推算完成度</x:v>
      </x:c>
    </x:row>
    <x:row r="587">
      <x:c r="A587" s="82" t="str">
        <x:v>编排与执行</x:v>
      </x:c>
      <x:c r="B587" s="82" t="str">
        <x:v>ControlFlow</x:v>
      </x:c>
      <x:c r="C587" s="82" t="str">
        <x:v>CAP-EXEC01-019</x:v>
      </x:c>
      <x:c r="D587" s="82" t="str">
        <x:v>Delay</x:v>
      </x:c>
      <x:c r="E587" s="82" t="str">
        <x:v>基于Clock的软实时延时。</x:v>
      </x:c>
      <x:c r="F587" s="82" t="str"/>
      <x:c r="G587" s="82" t="str">
        <x:v>原基线478项</x:v>
      </x:c>
      <x:c r="H587" s="82" t="str">
        <x:v>原始能力契约；未按对象数量推算完成度</x:v>
      </x:c>
    </x:row>
    <x:row r="588">
      <x:c r="A588" s="82" t="str">
        <x:v>编排与执行</x:v>
      </x:c>
      <x:c r="B588" s="82" t="str">
        <x:v>ControlFlow</x:v>
      </x:c>
      <x:c r="C588" s="82" t="str">
        <x:v>CAP-EXEC01-020</x:v>
      </x:c>
      <x:c r="D588" s="82" t="str">
        <x:v>WaitUntil</x:v>
      </x:c>
      <x:c r="E588" s="82" t="str">
        <x:v>等待表达式条件。</x:v>
      </x:c>
      <x:c r="F588" s="82" t="str"/>
      <x:c r="G588" s="82" t="str">
        <x:v>原基线478项</x:v>
      </x:c>
      <x:c r="H588" s="82" t="str">
        <x:v>原始能力契约；未按对象数量推算完成度</x:v>
      </x:c>
    </x:row>
    <x:row r="589">
      <x:c r="A589" s="82" t="str">
        <x:v>编排与执行</x:v>
      </x:c>
      <x:c r="B589" s="82" t="str">
        <x:v>ControlFlow</x:v>
      </x:c>
      <x:c r="C589" s="82" t="str">
        <x:v>CAP-EXEC01-021</x:v>
      </x:c>
      <x:c r="D589" s="82" t="str">
        <x:v>WaitState</x:v>
      </x:c>
      <x:c r="E589" s="82" t="str">
        <x:v>等待State达到条件。</x:v>
      </x:c>
      <x:c r="F589" s="82" t="str"/>
      <x:c r="G589" s="82" t="str">
        <x:v>原基线478项</x:v>
      </x:c>
      <x:c r="H589" s="82" t="str">
        <x:v>原始能力契约；未按对象数量推算完成度</x:v>
      </x:c>
    </x:row>
    <x:row r="590">
      <x:c r="A590" s="82" t="str">
        <x:v>编排与执行</x:v>
      </x:c>
      <x:c r="B590" s="82" t="str">
        <x:v>ControlFlow</x:v>
      </x:c>
      <x:c r="C590" s="82" t="str">
        <x:v>CAP-EXEC01-022</x:v>
      </x:c>
      <x:c r="D590" s="82" t="str">
        <x:v>WaitEvent</x:v>
      </x:c>
      <x:c r="E590" s="82" t="str">
        <x:v>等待Runtime Event/Subscription。</x:v>
      </x:c>
      <x:c r="F590" s="82" t="str"/>
      <x:c r="G590" s="82" t="str">
        <x:v>原基线478项</x:v>
      </x:c>
      <x:c r="H590" s="82" t="str">
        <x:v>原始能力契约；未按对象数量推算完成度</x:v>
      </x:c>
    </x:row>
    <x:row r="591">
      <x:c r="A591" s="82" t="str">
        <x:v>编排与执行</x:v>
      </x:c>
      <x:c r="B591" s="82" t="str">
        <x:v>ControlFlow</x:v>
      </x:c>
      <x:c r="C591" s="82" t="str">
        <x:v>CAP-EXEC01-023</x:v>
      </x:c>
      <x:c r="D591" s="82" t="str">
        <x:v>WaitResult</x:v>
      </x:c>
      <x:c r="E591" s="82" t="str">
        <x:v>等待Invocation/Job/External结果。</x:v>
      </x:c>
      <x:c r="F591" s="82" t="str"/>
      <x:c r="G591" s="82" t="str">
        <x:v>原基线478项</x:v>
      </x:c>
      <x:c r="H591" s="82" t="str">
        <x:v>原始能力契约；未按对象数量推算完成度</x:v>
      </x:c>
    </x:row>
    <x:row r="592">
      <x:c r="A592" s="82" t="str">
        <x:v>编排与执行</x:v>
      </x:c>
      <x:c r="B592" s="82" t="str">
        <x:v>ControlFlow</x:v>
      </x:c>
      <x:c r="C592" s="82" t="str">
        <x:v>CAP-EXEC01-024</x:v>
      </x:c>
      <x:c r="D592" s="82" t="str">
        <x:v>Try/Catch/Finally</x:v>
      </x:c>
      <x:c r="E592" s="82" t="str">
        <x:v>结构化错误处理与清理作用域。</x:v>
      </x:c>
      <x:c r="F592" s="82" t="str"/>
      <x:c r="G592" s="82" t="str">
        <x:v>原基线478项</x:v>
      </x:c>
      <x:c r="H592" s="82" t="str">
        <x:v>原始能力契约；未按对象数量推算完成度</x:v>
      </x:c>
    </x:row>
    <x:row r="593">
      <x:c r="A593" s="82" t="str">
        <x:v>编排与执行</x:v>
      </x:c>
      <x:c r="B593" s="82" t="str">
        <x:v>DataFlow / Streaming</x:v>
      </x:c>
      <x:c r="C593" s="82" t="str">
        <x:v>CAP-EXEC02-001</x:v>
      </x:c>
      <x:c r="D593" s="82" t="str">
        <x:v>DataFlow Graph</x:v>
      </x:c>
      <x:c r="E593" s="82" t="str">
        <x:v>以Typed Data依赖为主的执行语义。</x:v>
      </x:c>
      <x:c r="F593" s="82" t="str">
        <x:v>DataFlow不应翻译成普通串行调用链</x:v>
      </x:c>
      <x:c r="G593" s="82" t="str">
        <x:v>原基线478项</x:v>
      </x:c>
      <x:c r="H593" s="82" t="str">
        <x:v>原始能力契约；未按对象数量推算完成度</x:v>
      </x:c>
    </x:row>
    <x:row r="594">
      <x:c r="A594" s="82" t="str">
        <x:v>编排与执行</x:v>
      </x:c>
      <x:c r="B594" s="82" t="str">
        <x:v>DataFlow / Streaming</x:v>
      </x:c>
      <x:c r="C594" s="82" t="str">
        <x:v>CAP-EXEC02-002</x:v>
      </x:c>
      <x:c r="D594" s="82" t="str">
        <x:v>FanOut</x:v>
      </x:c>
      <x:c r="E594" s="82" t="str">
        <x:v>一个输入并行分发到多个消费者。</x:v>
      </x:c>
      <x:c r="F594" s="82" t="str"/>
      <x:c r="G594" s="82" t="str">
        <x:v>原基线478项</x:v>
      </x:c>
      <x:c r="H594" s="82" t="str">
        <x:v>原始能力契约；未按对象数量推算完成度</x:v>
      </x:c>
    </x:row>
    <x:row r="595">
      <x:c r="A595" s="82" t="str">
        <x:v>编排与执行</x:v>
      </x:c>
      <x:c r="B595" s="82" t="str">
        <x:v>DataFlow / Streaming</x:v>
      </x:c>
      <x:c r="C595" s="82" t="str">
        <x:v>CAP-EXEC02-003</x:v>
      </x:c>
      <x:c r="D595" s="82" t="str">
        <x:v>Data Join</x:v>
      </x:c>
      <x:c r="E595" s="82" t="str">
        <x:v>按Key/Correlation/Window等待多个数据输入。</x:v>
      </x:c>
      <x:c r="F595" s="82" t="str"/>
      <x:c r="G595" s="82" t="str">
        <x:v>原基线478项</x:v>
      </x:c>
      <x:c r="H595" s="82" t="str">
        <x:v>原始能力契约；未按对象数量推算完成度</x:v>
      </x:c>
    </x:row>
    <x:row r="596">
      <x:c r="A596" s="82" t="str">
        <x:v>编排与执行</x:v>
      </x:c>
      <x:c r="B596" s="82" t="str">
        <x:v>DataFlow / Streaming</x:v>
      </x:c>
      <x:c r="C596" s="82" t="str">
        <x:v>CAP-EXEC02-004</x:v>
      </x:c>
      <x:c r="D596" s="82" t="str">
        <x:v>Worker Pool</x:v>
      </x:c>
      <x:c r="E596" s="82" t="str">
        <x:v>将Node任务提交Worker/GPU池并限制并发。</x:v>
      </x:c>
      <x:c r="F596" s="82" t="str"/>
      <x:c r="G596" s="82" t="str">
        <x:v>原基线478项</x:v>
      </x:c>
      <x:c r="H596" s="82" t="str">
        <x:v>原始能力契约；未按对象数量推算完成度</x:v>
      </x:c>
    </x:row>
    <x:row r="597">
      <x:c r="A597" s="82" t="str">
        <x:v>编排与执行</x:v>
      </x:c>
      <x:c r="B597" s="82" t="str">
        <x:v>DataFlow / Streaming</x:v>
      </x:c>
      <x:c r="C597" s="82" t="str">
        <x:v>CAP-EXEC02-005</x:v>
      </x:c>
      <x:c r="D597" s="82" t="str">
        <x:v>Stream</x:v>
      </x:c>
      <x:c r="E597" s="82" t="str">
        <x:v>连续数据序列、Producer/Consumer生命周期。</x:v>
      </x:c>
      <x:c r="F597" s="82" t="str"/>
      <x:c r="G597" s="82" t="str">
        <x:v>原基线478项</x:v>
      </x:c>
      <x:c r="H597" s="82" t="str">
        <x:v>原始能力契约；未按对象数量推算完成度</x:v>
      </x:c>
    </x:row>
    <x:row r="598">
      <x:c r="A598" s="82" t="str">
        <x:v>编排与执行</x:v>
      </x:c>
      <x:c r="B598" s="82" t="str">
        <x:v>DataFlow / Streaming</x:v>
      </x:c>
      <x:c r="C598" s="82" t="str">
        <x:v>CAP-EXEC02-006</x:v>
      </x:c>
      <x:c r="D598" s="82" t="str">
        <x:v>Buffer</x:v>
      </x:c>
      <x:c r="E598" s="82" t="str">
        <x:v>节点/流之间配置容量和批量。</x:v>
      </x:c>
      <x:c r="F598" s="82" t="str"/>
      <x:c r="G598" s="82" t="str">
        <x:v>原基线478项</x:v>
      </x:c>
      <x:c r="H598" s="82" t="str">
        <x:v>原始能力契约；未按对象数量推算完成度</x:v>
      </x:c>
    </x:row>
    <x:row r="599">
      <x:c r="A599" s="82" t="str">
        <x:v>编排与执行</x:v>
      </x:c>
      <x:c r="B599" s="82" t="str">
        <x:v>DataFlow / Streaming</x:v>
      </x:c>
      <x:c r="C599" s="82" t="str">
        <x:v>CAP-EXEC02-007</x:v>
      </x:c>
      <x:c r="D599" s="82" t="str">
        <x:v>Backpressure</x:v>
      </x:c>
      <x:c r="E599" s="82" t="str">
        <x:v>消费者落后时控制Producer或丢弃策略。</x:v>
      </x:c>
      <x:c r="F599" s="82" t="str"/>
      <x:c r="G599" s="82" t="str">
        <x:v>原基线478项</x:v>
      </x:c>
      <x:c r="H599" s="82" t="str">
        <x:v>原始能力契约；未按对象数量推算完成度</x:v>
      </x:c>
    </x:row>
    <x:row r="600">
      <x:c r="A600" s="82" t="str">
        <x:v>编排与执行</x:v>
      </x:c>
      <x:c r="B600" s="82" t="str">
        <x:v>DataFlow / Streaming</x:v>
      </x:c>
      <x:c r="C600" s="82" t="str">
        <x:v>CAP-EXEC02-008</x:v>
      </x:c>
      <x:c r="D600" s="82" t="str">
        <x:v>Batching</x:v>
      </x:c>
      <x:c r="E600" s="82" t="str">
        <x:v>按数量/时间形成Batch。</x:v>
      </x:c>
      <x:c r="F600" s="82" t="str"/>
      <x:c r="G600" s="82" t="str">
        <x:v>原基线478项</x:v>
      </x:c>
      <x:c r="H600" s="82" t="str">
        <x:v>原始能力契约；未按对象数量推算完成度</x:v>
      </x:c>
    </x:row>
    <x:row r="601">
      <x:c r="A601" s="82" t="str">
        <x:v>编排与执行</x:v>
      </x:c>
      <x:c r="B601" s="82" t="str">
        <x:v>DataFlow / Streaming</x:v>
      </x:c>
      <x:c r="C601" s="82" t="str">
        <x:v>CAP-EXEC02-009</x:v>
      </x:c>
      <x:c r="D601" s="82" t="str">
        <x:v>Ordering</x:v>
      </x:c>
      <x:c r="E601" s="82" t="str">
        <x:v>FIFO/Keyed/Unordered等顺序保证。</x:v>
      </x:c>
      <x:c r="F601" s="82" t="str"/>
      <x:c r="G601" s="82" t="str">
        <x:v>原基线478项</x:v>
      </x:c>
      <x:c r="H601" s="82" t="str">
        <x:v>原始能力契约；未按对象数量推算完成度</x:v>
      </x:c>
    </x:row>
    <x:row r="602">
      <x:c r="A602" s="82" t="str">
        <x:v>编排与执行</x:v>
      </x:c>
      <x:c r="B602" s="82" t="str">
        <x:v>DataFlow / Streaming</x:v>
      </x:c>
      <x:c r="C602" s="82" t="str">
        <x:v>CAP-EXEC02-010</x:v>
      </x:c>
      <x:c r="D602" s="82" t="str">
        <x:v>Partition</x:v>
      </x:c>
      <x:c r="E602" s="82" t="str">
        <x:v>按Key/Device/Product分区并行。</x:v>
      </x:c>
      <x:c r="F602" s="82" t="str"/>
      <x:c r="G602" s="82" t="str">
        <x:v>原基线478项</x:v>
      </x:c>
      <x:c r="H602" s="82" t="str">
        <x:v>原始能力契约；未按对象数量推算完成度</x:v>
      </x:c>
    </x:row>
    <x:row r="603">
      <x:c r="A603" s="82" t="str">
        <x:v>编排与执行</x:v>
      </x:c>
      <x:c r="B603" s="82" t="str">
        <x:v>DataFlow / Streaming</x:v>
      </x:c>
      <x:c r="C603" s="82" t="str">
        <x:v>CAP-EXEC02-011</x:v>
      </x:c>
      <x:c r="D603" s="82" t="str">
        <x:v>Concurrency Limit</x:v>
      </x:c>
      <x:c r="E603" s="82" t="str">
        <x:v>Node/Worker最大并发数。</x:v>
      </x:c>
      <x:c r="F603" s="82" t="str"/>
      <x:c r="G603" s="82" t="str">
        <x:v>原基线478项</x:v>
      </x:c>
      <x:c r="H603" s="82" t="str">
        <x:v>原始能力契约；未按对象数量推算完成度</x:v>
      </x:c>
    </x:row>
    <x:row r="604">
      <x:c r="A604" s="82" t="str">
        <x:v>编排与执行</x:v>
      </x:c>
      <x:c r="B604" s="82" t="str">
        <x:v>DataFlow / Streaming</x:v>
      </x:c>
      <x:c r="C604" s="82" t="str">
        <x:v>CAP-EXEC02-012</x:v>
      </x:c>
      <x:c r="D604" s="82" t="str">
        <x:v>NoDrop/Drop Policy</x:v>
      </x:c>
      <x:c r="E604" s="82" t="str">
        <x:v>工业检测流显式声明不可丢或丢弃策略。</x:v>
      </x:c>
      <x:c r="F604" s="82" t="str"/>
      <x:c r="G604" s="82" t="str">
        <x:v>原基线478项</x:v>
      </x:c>
      <x:c r="H604" s="82" t="str">
        <x:v>原始能力契约；未按对象数量推算完成度</x:v>
      </x:c>
    </x:row>
    <x:row r="605">
      <x:c r="A605" s="82" t="str">
        <x:v>编排与执行</x:v>
      </x:c>
      <x:c r="B605" s="82" t="str">
        <x:v>DataFlow / Streaming</x:v>
      </x:c>
      <x:c r="C605" s="82" t="str">
        <x:v>CAP-EXEC02-013</x:v>
      </x:c>
      <x:c r="D605" s="82" t="str">
        <x:v>Rate/Latency Metric</x:v>
      </x:c>
      <x:c r="E605" s="82" t="str">
        <x:v>运行时统计吞吐、端到端延迟、QueueLatency。</x:v>
      </x:c>
      <x:c r="F605" s="82" t="str"/>
      <x:c r="G605" s="82" t="str">
        <x:v>原基线478项</x:v>
      </x:c>
      <x:c r="H605" s="82" t="str">
        <x:v>原始能力契约；未按对象数量推算完成度</x:v>
      </x:c>
    </x:row>
    <x:row r="606">
      <x:c r="A606" s="82" t="str">
        <x:v>编排与执行</x:v>
      </x:c>
      <x:c r="B606" s="82" t="str">
        <x:v>DataFlow / Streaming</x:v>
      </x:c>
      <x:c r="C606" s="82" t="str">
        <x:v>CAP-EXEC02-014</x:v>
      </x:c>
      <x:c r="D606" s="82" t="str">
        <x:v>Streaming Cancellation</x:v>
      </x:c>
      <x:c r="E606" s="82" t="str">
        <x:v>流取消、Drain/Abort与资源释放。</x:v>
      </x:c>
      <x:c r="F606" s="82" t="str"/>
      <x:c r="G606" s="82" t="str">
        <x:v>原基线478项</x:v>
      </x:c>
      <x:c r="H606" s="82" t="str">
        <x:v>原始能力契约；未按对象数量推算完成度</x:v>
      </x:c>
    </x:row>
    <x:row r="607">
      <x:c r="A607" s="82" t="str">
        <x:v>编排与执行</x:v>
      </x:c>
      <x:c r="B607" s="82" t="str">
        <x:v>DataFlow / Streaming</x:v>
      </x:c>
      <x:c r="C607" s="82" t="str">
        <x:v>CAP-EXEC02-015</x:v>
      </x:c>
      <x:c r="D607" s="82" t="str">
        <x:v>流式任务内存预算</x:v>
      </x:c>
      <x:c r="E607" s="82" t="str">
        <x:v>定义Buffer和Worker的RAM/VRAM预算及溢出策略，超出预算须限流、排队或明确失败。</x:v>
      </x:c>
      <x:c r="F607" s="82" t="str"/>
      <x:c r="G607" s="82" t="str">
        <x:v>原Mechanism子方面补强</x:v>
      </x:c>
      <x:c r="H607" s="82" t="str">
        <x:v>原始能力契约；未按对象数量推算完成度</x:v>
      </x:c>
    </x:row>
    <x:row r="608">
      <x:c r="A608" s="82" t="str">
        <x:v>编排与执行</x:v>
      </x:c>
      <x:c r="B608" s="82" t="str">
        <x:v>DataFlow / Streaming</x:v>
      </x:c>
      <x:c r="C608" s="82" t="str">
        <x:v>CAP-EXEC02-016</x:v>
      </x:c>
      <x:c r="D608" s="82" t="str">
        <x:v>队列积压公平性与保护</x:v>
      </x:c>
      <x:c r="E608" s="82" t="str">
        <x:v>多流分区支持优先级/公平性/最大排队等待与过载保护，不得无声丢弃工业NoDrop数据。</x:v>
      </x:c>
      <x:c r="F608" s="82" t="str"/>
      <x:c r="G608" s="82" t="str">
        <x:v>原Mechanism子方面补强</x:v>
      </x:c>
      <x:c r="H608" s="82" t="str">
        <x:v>原始能力契约；未按对象数量推算完成度</x:v>
      </x:c>
    </x:row>
    <x:row r="609">
      <x:c r="A609" s="82" t="str">
        <x:v>编排与执行</x:v>
      </x:c>
      <x:c r="B609" s="82" t="str">
        <x:v>StateMachine</x:v>
      </x:c>
      <x:c r="C609" s="82" t="str">
        <x:v>CAP-EXEC03-001</x:v>
      </x:c>
      <x:c r="D609" s="82" t="str">
        <x:v>Initial State</x:v>
      </x:c>
      <x:c r="E609" s="82" t="str">
        <x:v>状态机初始状态。</x:v>
      </x:c>
      <x:c r="F609" s="82" t="str">
        <x:v>保留原生层次/并行状态语义</x:v>
      </x:c>
      <x:c r="G609" s="82" t="str">
        <x:v>原基线478项</x:v>
      </x:c>
      <x:c r="H609" s="82" t="str">
        <x:v>原始能力契约；未按对象数量推算完成度</x:v>
      </x:c>
    </x:row>
    <x:row r="610">
      <x:c r="A610" s="82" t="str">
        <x:v>编排与执行</x:v>
      </x:c>
      <x:c r="B610" s="82" t="str">
        <x:v>StateMachine</x:v>
      </x:c>
      <x:c r="C610" s="82" t="str">
        <x:v>CAP-EXEC03-002</x:v>
      </x:c>
      <x:c r="D610" s="82" t="str">
        <x:v>Final State</x:v>
      </x:c>
      <x:c r="E610" s="82" t="str">
        <x:v>正常终止状态。</x:v>
      </x:c>
      <x:c r="F610" s="82" t="str"/>
      <x:c r="G610" s="82" t="str">
        <x:v>原基线478项</x:v>
      </x:c>
      <x:c r="H610" s="82" t="str">
        <x:v>原始能力契约；未按对象数量推算完成度</x:v>
      </x:c>
    </x:row>
    <x:row r="611">
      <x:c r="A611" s="82" t="str">
        <x:v>编排与执行</x:v>
      </x:c>
      <x:c r="B611" s="82" t="str">
        <x:v>StateMachine</x:v>
      </x:c>
      <x:c r="C611" s="82" t="str">
        <x:v>CAP-EXEC03-003</x:v>
      </x:c>
      <x:c r="D611" s="82" t="str">
        <x:v>State</x:v>
      </x:c>
      <x:c r="E611" s="82" t="str">
        <x:v>稳定状态及Entry/Main/Exit行为。</x:v>
      </x:c>
      <x:c r="F611" s="82" t="str"/>
      <x:c r="G611" s="82" t="str">
        <x:v>原基线478项</x:v>
      </x:c>
      <x:c r="H611" s="82" t="str">
        <x:v>原始能力契约；未按对象数量推算完成度</x:v>
      </x:c>
    </x:row>
    <x:row r="612">
      <x:c r="A612" s="82" t="str">
        <x:v>编排与执行</x:v>
      </x:c>
      <x:c r="B612" s="82" t="str">
        <x:v>StateMachine</x:v>
      </x:c>
      <x:c r="C612" s="82" t="str">
        <x:v>CAP-EXEC03-004</x:v>
      </x:c>
      <x:c r="D612" s="82" t="str">
        <x:v>Transition</x:v>
      </x:c>
      <x:c r="E612" s="82" t="str">
        <x:v>Source→Target迁移及事件/条件。</x:v>
      </x:c>
      <x:c r="F612" s="82" t="str"/>
      <x:c r="G612" s="82" t="str">
        <x:v>原基线478项</x:v>
      </x:c>
      <x:c r="H612" s="82" t="str">
        <x:v>原始能力契约；未按对象数量推算完成度</x:v>
      </x:c>
    </x:row>
    <x:row r="613">
      <x:c r="A613" s="82" t="str">
        <x:v>编排与执行</x:v>
      </x:c>
      <x:c r="B613" s="82" t="str">
        <x:v>StateMachine</x:v>
      </x:c>
      <x:c r="C613" s="82" t="str">
        <x:v>CAP-EXEC03-005</x:v>
      </x:c>
      <x:c r="D613" s="82" t="str">
        <x:v>Event Trigger</x:v>
      </x:c>
      <x:c r="E613" s="82" t="str">
        <x:v>事件触发Transition。</x:v>
      </x:c>
      <x:c r="F613" s="82" t="str"/>
      <x:c r="G613" s="82" t="str">
        <x:v>原基线478项</x:v>
      </x:c>
      <x:c r="H613" s="82" t="str">
        <x:v>原始能力契约；未按对象数量推算完成度</x:v>
      </x:c>
    </x:row>
    <x:row r="614">
      <x:c r="A614" s="82" t="str">
        <x:v>编排与执行</x:v>
      </x:c>
      <x:c r="B614" s="82" t="str">
        <x:v>StateMachine</x:v>
      </x:c>
      <x:c r="C614" s="82" t="str">
        <x:v>CAP-EXEC03-006</x:v>
      </x:c>
      <x:c r="D614" s="82" t="str">
        <x:v>Guard</x:v>
      </x:c>
      <x:c r="E614" s="82" t="str">
        <x:v>迁移条件表达式。</x:v>
      </x:c>
      <x:c r="F614" s="82" t="str"/>
      <x:c r="G614" s="82" t="str">
        <x:v>原基线478项</x:v>
      </x:c>
      <x:c r="H614" s="82" t="str">
        <x:v>原始能力契约；未按对象数量推算完成度</x:v>
      </x:c>
    </x:row>
    <x:row r="615">
      <x:c r="A615" s="82" t="str">
        <x:v>编排与执行</x:v>
      </x:c>
      <x:c r="B615" s="82" t="str">
        <x:v>StateMachine</x:v>
      </x:c>
      <x:c r="C615" s="82" t="str">
        <x:v>CAP-EXEC03-007</x:v>
      </x:c>
      <x:c r="D615" s="82" t="str">
        <x:v>Entry Action</x:v>
      </x:c>
      <x:c r="E615" s="82" t="str">
        <x:v>进入状态动作。</x:v>
      </x:c>
      <x:c r="F615" s="82" t="str"/>
      <x:c r="G615" s="82" t="str">
        <x:v>原基线478项</x:v>
      </x:c>
      <x:c r="H615" s="82" t="str">
        <x:v>原始能力契约；未按对象数量推算完成度</x:v>
      </x:c>
    </x:row>
    <x:row r="616">
      <x:c r="A616" s="82" t="str">
        <x:v>编排与执行</x:v>
      </x:c>
      <x:c r="B616" s="82" t="str">
        <x:v>StateMachine</x:v>
      </x:c>
      <x:c r="C616" s="82" t="str">
        <x:v>CAP-EXEC03-008</x:v>
      </x:c>
      <x:c r="D616" s="82" t="str">
        <x:v>Exit Action</x:v>
      </x:c>
      <x:c r="E616" s="82" t="str">
        <x:v>退出状态动作。</x:v>
      </x:c>
      <x:c r="F616" s="82" t="str"/>
      <x:c r="G616" s="82" t="str">
        <x:v>原基线478项</x:v>
      </x:c>
      <x:c r="H616" s="82" t="str">
        <x:v>原始能力契约；未按对象数量推算完成度</x:v>
      </x:c>
    </x:row>
    <x:row r="617">
      <x:c r="A617" s="82" t="str">
        <x:v>编排与执行</x:v>
      </x:c>
      <x:c r="B617" s="82" t="str">
        <x:v>StateMachine</x:v>
      </x:c>
      <x:c r="C617" s="82" t="str">
        <x:v>CAP-EXEC03-009</x:v>
      </x:c>
      <x:c r="D617" s="82" t="str">
        <x:v>Internal Transition</x:v>
      </x:c>
      <x:c r="E617" s="82" t="str">
        <x:v>不离开State的内部事件处理。</x:v>
      </x:c>
      <x:c r="F617" s="82" t="str"/>
      <x:c r="G617" s="82" t="str">
        <x:v>原基线478项</x:v>
      </x:c>
      <x:c r="H617" s="82" t="str">
        <x:v>原始能力契约；未按对象数量推算完成度</x:v>
      </x:c>
    </x:row>
    <x:row r="618">
      <x:c r="A618" s="82" t="str">
        <x:v>编排与执行</x:v>
      </x:c>
      <x:c r="B618" s="82" t="str">
        <x:v>StateMachine</x:v>
      </x:c>
      <x:c r="C618" s="82" t="str">
        <x:v>CAP-EXEC03-010</x:v>
      </x:c>
      <x:c r="D618" s="82" t="str">
        <x:v>Compound State</x:v>
      </x:c>
      <x:c r="E618" s="82" t="str">
        <x:v>层次子状态。</x:v>
      </x:c>
      <x:c r="F618" s="82" t="str"/>
      <x:c r="G618" s="82" t="str">
        <x:v>原基线478项</x:v>
      </x:c>
      <x:c r="H618" s="82" t="str">
        <x:v>原始能力契约；未按对象数量推算完成度</x:v>
      </x:c>
    </x:row>
    <x:row r="619">
      <x:c r="A619" s="82" t="str">
        <x:v>编排与执行</x:v>
      </x:c>
      <x:c r="B619" s="82" t="str">
        <x:v>StateMachine</x:v>
      </x:c>
      <x:c r="C619" s="82" t="str">
        <x:v>CAP-EXEC03-011</x:v>
      </x:c>
      <x:c r="D619" s="82" t="str">
        <x:v>Parallel Region</x:v>
      </x:c>
      <x:c r="E619" s="82" t="str">
        <x:v>同一父状态内多个并行Region。</x:v>
      </x:c>
      <x:c r="F619" s="82" t="str"/>
      <x:c r="G619" s="82" t="str">
        <x:v>原基线478项</x:v>
      </x:c>
      <x:c r="H619" s="82" t="str">
        <x:v>原始能力契约；未按对象数量推算完成度</x:v>
      </x:c>
    </x:row>
    <x:row r="620">
      <x:c r="A620" s="82" t="str">
        <x:v>编排与执行</x:v>
      </x:c>
      <x:c r="B620" s="82" t="str">
        <x:v>StateMachine</x:v>
      </x:c>
      <x:c r="C620" s="82" t="str">
        <x:v>CAP-EXEC03-012</x:v>
      </x:c>
      <x:c r="D620" s="82" t="str">
        <x:v>History State</x:v>
      </x:c>
      <x:c r="E620" s="82" t="str">
        <x:v>恢复到上次活动子状态。</x:v>
      </x:c>
      <x:c r="F620" s="82" t="str"/>
      <x:c r="G620" s="82" t="str">
        <x:v>原基线478项</x:v>
      </x:c>
      <x:c r="H620" s="82" t="str">
        <x:v>原始能力契约；未按对象数量推算完成度</x:v>
      </x:c>
    </x:row>
    <x:row r="621">
      <x:c r="A621" s="82" t="str">
        <x:v>编排与执行</x:v>
      </x:c>
      <x:c r="B621" s="82" t="str">
        <x:v>StateMachine</x:v>
      </x:c>
      <x:c r="C621" s="82" t="str">
        <x:v>CAP-EXEC03-013</x:v>
      </x:c>
      <x:c r="D621" s="82" t="str">
        <x:v>Deferred Event</x:v>
      </x:c>
      <x:c r="E621" s="82" t="str">
        <x:v>状态可延迟某些事件。</x:v>
      </x:c>
      <x:c r="F621" s="82" t="str"/>
      <x:c r="G621" s="82" t="str">
        <x:v>原基线478项</x:v>
      </x:c>
      <x:c r="H621" s="82" t="str">
        <x:v>原始能力契约；未按对象数量推算完成度</x:v>
      </x:c>
    </x:row>
    <x:row r="622">
      <x:c r="A622" s="82" t="str">
        <x:v>编排与执行</x:v>
      </x:c>
      <x:c r="B622" s="82" t="str">
        <x:v>StateMachine</x:v>
      </x:c>
      <x:c r="C622" s="82" t="str">
        <x:v>CAP-EXEC03-014</x:v>
      </x:c>
      <x:c r="D622" s="82" t="str">
        <x:v>Reentry</x:v>
      </x:c>
      <x:c r="E622" s="82" t="str">
        <x:v>显式自迁移/重入语义。</x:v>
      </x:c>
      <x:c r="F622" s="82" t="str"/>
      <x:c r="G622" s="82" t="str">
        <x:v>原基线478项</x:v>
      </x:c>
      <x:c r="H622" s="82" t="str">
        <x:v>原始能力契约；未按对象数量推算完成度</x:v>
      </x:c>
    </x:row>
    <x:row r="623">
      <x:c r="A623" s="82" t="str">
        <x:v>编排与执行</x:v>
      </x:c>
      <x:c r="B623" s="82" t="str">
        <x:v>StateMachine</x:v>
      </x:c>
      <x:c r="C623" s="82" t="str">
        <x:v>CAP-EXEC03-015</x:v>
      </x:c>
      <x:c r="D623" s="82" t="str">
        <x:v>State Timeout</x:v>
      </x:c>
      <x:c r="E623" s="82" t="str">
        <x:v>状态超时触发事件/Transition。</x:v>
      </x:c>
      <x:c r="F623" s="82" t="str"/>
      <x:c r="G623" s="82" t="str">
        <x:v>原基线478项</x:v>
      </x:c>
      <x:c r="H623" s="82" t="str">
        <x:v>原始能力契约；未按对象数量推算完成度</x:v>
      </x:c>
    </x:row>
    <x:row r="624">
      <x:c r="A624" s="82" t="str">
        <x:v>编排与执行</x:v>
      </x:c>
      <x:c r="B624" s="82" t="str">
        <x:v>Durable Workflow / ExternalTask</x:v>
      </x:c>
      <x:c r="C624" s="82" t="str">
        <x:v>CAP-EXEC04-001</x:v>
      </x:c>
      <x:c r="D624" s="82" t="str">
        <x:v>Durable Workflow</x:v>
      </x:c>
      <x:c r="E624" s="82" t="str">
        <x:v>可跨进程重启/长时间等待的业务Workflow。</x:v>
      </x:c>
      <x:c r="F624" s="82" t="str">
        <x:v>不能持久化瞬态SDK句柄</x:v>
      </x:c>
      <x:c r="G624" s="82" t="str">
        <x:v>原基线478项</x:v>
      </x:c>
      <x:c r="H624" s="82" t="str">
        <x:v>原始能力契约；未按对象数量推算完成度</x:v>
      </x:c>
    </x:row>
    <x:row r="625">
      <x:c r="A625" s="82" t="str">
        <x:v>编排与执行</x:v>
      </x:c>
      <x:c r="B625" s="82" t="str">
        <x:v>Durable Workflow / ExternalTask</x:v>
      </x:c>
      <x:c r="C625" s="82" t="str">
        <x:v>CAP-EXEC04-002</x:v>
      </x:c>
      <x:c r="D625" s="82" t="str">
        <x:v>Checkpoint</x:v>
      </x:c>
      <x:c r="E625" s="82" t="str">
        <x:v>在安全边界保存可恢复Execution状态。</x:v>
      </x:c>
      <x:c r="F625" s="82" t="str"/>
      <x:c r="G625" s="82" t="str">
        <x:v>原基线478项</x:v>
      </x:c>
      <x:c r="H625" s="82" t="str">
        <x:v>原始能力契约；未按对象数量推算完成度</x:v>
      </x:c>
    </x:row>
    <x:row r="626">
      <x:c r="A626" s="82" t="str">
        <x:v>编排与执行</x:v>
      </x:c>
      <x:c r="B626" s="82" t="str">
        <x:v>Durable Workflow / ExternalTask</x:v>
      </x:c>
      <x:c r="C626" s="82" t="str">
        <x:v>CAP-EXEC04-003</x:v>
      </x:c>
      <x:c r="D626" s="82" t="str">
        <x:v>Journal</x:v>
      </x:c>
      <x:c r="E626" s="82" t="str">
        <x:v>记录Durable事实用于恢复/审计。</x:v>
      </x:c>
      <x:c r="F626" s="82" t="str"/>
      <x:c r="G626" s="82" t="str">
        <x:v>原基线478项</x:v>
      </x:c>
      <x:c r="H626" s="82" t="str">
        <x:v>原始能力契约；未按对象数量推算完成度</x:v>
      </x:c>
    </x:row>
    <x:row r="627">
      <x:c r="A627" s="82" t="str">
        <x:v>编排与执行</x:v>
      </x:c>
      <x:c r="B627" s="82" t="str">
        <x:v>Durable Workflow / ExternalTask</x:v>
      </x:c>
      <x:c r="C627" s="82" t="str">
        <x:v>CAP-EXEC04-004</x:v>
      </x:c>
      <x:c r="D627" s="82" t="str">
        <x:v>Execution State Store</x:v>
      </x:c>
      <x:c r="E627" s="82" t="str">
        <x:v>持久化Workflow运行状态。</x:v>
      </x:c>
      <x:c r="F627" s="82" t="str"/>
      <x:c r="G627" s="82" t="str">
        <x:v>原基线478项</x:v>
      </x:c>
      <x:c r="H627" s="82" t="str">
        <x:v>原始能力契约；未按对象数量推算完成度</x:v>
      </x:c>
    </x:row>
    <x:row r="628">
      <x:c r="A628" s="82" t="str">
        <x:v>编排与执行</x:v>
      </x:c>
      <x:c r="B628" s="82" t="str">
        <x:v>Durable Workflow / ExternalTask</x:v>
      </x:c>
      <x:c r="C628" s="82" t="str">
        <x:v>CAP-EXEC04-005</x:v>
      </x:c>
      <x:c r="D628" s="82" t="str">
        <x:v>External Task</x:v>
      </x:c>
      <x:c r="E628" s="82" t="str">
        <x:v>把任务交给外部服务并释放执行线程，凭Token完成。</x:v>
      </x:c>
      <x:c r="F628" s="82" t="str"/>
      <x:c r="G628" s="82" t="str">
        <x:v>原基线478项</x:v>
      </x:c>
      <x:c r="H628" s="82" t="str">
        <x:v>原始能力契约；未按对象数量推算完成度</x:v>
      </x:c>
    </x:row>
    <x:row r="629">
      <x:c r="A629" s="82" t="str">
        <x:v>编排与执行</x:v>
      </x:c>
      <x:c r="B629" s="82" t="str">
        <x:v>Durable Workflow / ExternalTask</x:v>
      </x:c>
      <x:c r="C629" s="82" t="str">
        <x:v>CAP-EXEC04-006</x:v>
      </x:c>
      <x:c r="D629" s="82" t="str">
        <x:v>Human Task</x:v>
      </x:c>
      <x:c r="E629" s="82" t="str">
        <x:v>人工复判/审批等ExternalTask特化。</x:v>
      </x:c>
      <x:c r="F629" s="82" t="str"/>
      <x:c r="G629" s="82" t="str">
        <x:v>原基线478项</x:v>
      </x:c>
      <x:c r="H629" s="82" t="str">
        <x:v>原始能力契约；未按对象数量推算完成度</x:v>
      </x:c>
    </x:row>
    <x:row r="630">
      <x:c r="A630" s="82" t="str">
        <x:v>编排与执行</x:v>
      </x:c>
      <x:c r="B630" s="82" t="str">
        <x:v>Durable Workflow / ExternalTask</x:v>
      </x:c>
      <x:c r="C630" s="82" t="str">
        <x:v>CAP-EXEC04-007</x:v>
      </x:c>
      <x:c r="D630" s="82" t="str">
        <x:v>Suspend/Resume</x:v>
      </x:c>
      <x:c r="E630" s="82" t="str">
        <x:v>显式暂停、持久化和恢复。</x:v>
      </x:c>
      <x:c r="F630" s="82" t="str"/>
      <x:c r="G630" s="82" t="str">
        <x:v>原基线478项</x:v>
      </x:c>
      <x:c r="H630" s="82" t="str">
        <x:v>原始能力契约；未按对象数量推算完成度</x:v>
      </x:c>
    </x:row>
    <x:row r="631">
      <x:c r="A631" s="82" t="str">
        <x:v>编排与执行</x:v>
      </x:c>
      <x:c r="B631" s="82" t="str">
        <x:v>Durable Workflow / ExternalTask</x:v>
      </x:c>
      <x:c r="C631" s="82" t="str">
        <x:v>CAP-EXEC04-008</x:v>
      </x:c>
      <x:c r="D631" s="82" t="str">
        <x:v>Long Timer</x:v>
      </x:c>
      <x:c r="E631" s="82" t="str">
        <x:v>跨重启的持久Timer/Deadline。</x:v>
      </x:c>
      <x:c r="F631" s="82" t="str"/>
      <x:c r="G631" s="82" t="str">
        <x:v>原基线478项</x:v>
      </x:c>
      <x:c r="H631" s="82" t="str">
        <x:v>原始能力契约；未按对象数量推算完成度</x:v>
      </x:c>
    </x:row>
    <x:row r="632">
      <x:c r="A632" s="82" t="str">
        <x:v>编排与执行</x:v>
      </x:c>
      <x:c r="B632" s="82" t="str">
        <x:v>Durable Workflow / ExternalTask</x:v>
      </x:c>
      <x:c r="C632" s="82" t="str">
        <x:v>CAP-EXEC04-009</x:v>
      </x:c>
      <x:c r="D632" s="82" t="str">
        <x:v>Idempotency</x:v>
      </x:c>
      <x:c r="E632" s="82" t="str">
        <x:v>外部调用/业务步骤支持幂等键与重复检测。</x:v>
      </x:c>
      <x:c r="F632" s="82" t="str"/>
      <x:c r="G632" s="82" t="str">
        <x:v>原基线478项</x:v>
      </x:c>
      <x:c r="H632" s="82" t="str">
        <x:v>原始能力契约；未按对象数量推算完成度</x:v>
      </x:c>
    </x:row>
    <x:row r="633">
      <x:c r="A633" s="82" t="str">
        <x:v>编排与执行</x:v>
      </x:c>
      <x:c r="B633" s="82" t="str">
        <x:v>Durable Workflow / ExternalTask</x:v>
      </x:c>
      <x:c r="C633" s="82" t="str">
        <x:v>CAP-EXEC04-010</x:v>
      </x:c>
      <x:c r="D633" s="82" t="str">
        <x:v>Compensation</x:v>
      </x:c>
      <x:c r="E633" s="82" t="str">
        <x:v>为已完成业务步骤定义补偿动作。</x:v>
      </x:c>
      <x:c r="F633" s="82" t="str"/>
      <x:c r="G633" s="82" t="str">
        <x:v>原基线478项</x:v>
      </x:c>
      <x:c r="H633" s="82" t="str">
        <x:v>原始能力契约；未按对象数量推算完成度</x:v>
      </x:c>
    </x:row>
    <x:row r="634">
      <x:c r="A634" s="82" t="str">
        <x:v>编排与执行</x:v>
      </x:c>
      <x:c r="B634" s="82" t="str">
        <x:v>Durable Workflow / ExternalTask</x:v>
      </x:c>
      <x:c r="C634" s="82" t="str">
        <x:v>CAP-EXEC04-011</x:v>
      </x:c>
      <x:c r="D634" s="82" t="str">
        <x:v>Correlation</x:v>
      </x:c>
      <x:c r="E634" s="82" t="str">
        <x:v>外部回调通过业务Key/Token关联原Execution。</x:v>
      </x:c>
      <x:c r="F634" s="82" t="str"/>
      <x:c r="G634" s="82" t="str">
        <x:v>原基线478项</x:v>
      </x:c>
      <x:c r="H634" s="82" t="str">
        <x:v>原始能力契约；未按对象数量推算完成度</x:v>
      </x:c>
    </x:row>
    <x:row r="635">
      <x:c r="A635" s="82" t="str">
        <x:v>编排与执行</x:v>
      </x:c>
      <x:c r="B635" s="82" t="str">
        <x:v>Durable Workflow / ExternalTask</x:v>
      </x:c>
      <x:c r="C635" s="82" t="str">
        <x:v>CAP-EXEC04-012</x:v>
      </x:c>
      <x:c r="D635" s="82" t="str">
        <x:v>Version Binding</x:v>
      </x:c>
      <x:c r="E635" s="82" t="str">
        <x:v>长流程永久绑定DefinitionVersion，迁移需显式。</x:v>
      </x:c>
      <x:c r="F635" s="82" t="str"/>
      <x:c r="G635" s="82" t="str">
        <x:v>原基线478项</x:v>
      </x:c>
      <x:c r="H635" s="82" t="str">
        <x:v>原始能力契约；未按对象数量推算完成度</x:v>
      </x:c>
    </x:row>
    <x:row r="636">
      <x:c r="A636" s="82" t="str">
        <x:v>编排与执行</x:v>
      </x:c>
      <x:c r="B636" s="82" t="str">
        <x:v>Trigger / Subscription / Reactive</x:v>
      </x:c>
      <x:c r="C636" s="82" t="str">
        <x:v>CAP-EXEC05-001</x:v>
      </x:c>
      <x:c r="D636" s="82" t="str">
        <x:v>Event Trigger</x:v>
      </x:c>
      <x:c r="E636" s="82" t="str">
        <x:v>某类Runtime Event产生Execution或唤醒Workflow。</x:v>
      </x:c>
      <x:c r="F636" s="82" t="str">
        <x:v>SCADA/IoT不能被简化为Start→End流程</x:v>
      </x:c>
      <x:c r="G636" s="82" t="str">
        <x:v>原基线478项</x:v>
      </x:c>
      <x:c r="H636" s="82" t="str">
        <x:v>原始能力契约；未按对象数量推算完成度</x:v>
      </x:c>
    </x:row>
    <x:row r="637">
      <x:c r="A637" s="82" t="str">
        <x:v>编排与执行</x:v>
      </x:c>
      <x:c r="B637" s="82" t="str">
        <x:v>Trigger / Subscription / Reactive</x:v>
      </x:c>
      <x:c r="C637" s="82" t="str">
        <x:v>CAP-EXEC05-002</x:v>
      </x:c>
      <x:c r="D637" s="82" t="str">
        <x:v>Variable Change Trigger</x:v>
      </x:c>
      <x:c r="E637" s="82" t="str">
        <x:v>Variable Value/Quality变化触发。</x:v>
      </x:c>
      <x:c r="F637" s="82" t="str"/>
      <x:c r="G637" s="82" t="str">
        <x:v>原基线478项</x:v>
      </x:c>
      <x:c r="H637" s="82" t="str">
        <x:v>原始能力契约；未按对象数量推算完成度</x:v>
      </x:c>
    </x:row>
    <x:row r="638">
      <x:c r="A638" s="82" t="str">
        <x:v>编排与执行</x:v>
      </x:c>
      <x:c r="B638" s="82" t="str">
        <x:v>Trigger / Subscription / Reactive</x:v>
      </x:c>
      <x:c r="C638" s="82" t="str">
        <x:v>CAP-EXEC05-003</x:v>
      </x:c>
      <x:c r="D638" s="82" t="str">
        <x:v>Message Subscription</x:v>
      </x:c>
      <x:c r="E638" s="82" t="str">
        <x:v>订阅Topic/Message并按Filter处理。</x:v>
      </x:c>
      <x:c r="F638" s="82" t="str"/>
      <x:c r="G638" s="82" t="str">
        <x:v>原基线478项</x:v>
      </x:c>
      <x:c r="H638" s="82" t="str">
        <x:v>原始能力契约；未按对象数量推算完成度</x:v>
      </x:c>
    </x:row>
    <x:row r="639">
      <x:c r="A639" s="82" t="str">
        <x:v>编排与执行</x:v>
      </x:c>
      <x:c r="B639" s="82" t="str">
        <x:v>Trigger / Subscription / Reactive</x:v>
      </x:c>
      <x:c r="C639" s="82" t="str">
        <x:v>CAP-EXEC05-004</x:v>
      </x:c>
      <x:c r="D639" s="82" t="str">
        <x:v>Timer Trigger</x:v>
      </x:c>
      <x:c r="E639" s="82" t="str">
        <x:v>按Clock/Schedule触发。</x:v>
      </x:c>
      <x:c r="F639" s="82" t="str"/>
      <x:c r="G639" s="82" t="str">
        <x:v>原基线478项</x:v>
      </x:c>
      <x:c r="H639" s="82" t="str">
        <x:v>原始能力契约；未按对象数量推算完成度</x:v>
      </x:c>
    </x:row>
    <x:row r="640">
      <x:c r="A640" s="82" t="str">
        <x:v>编排与执行</x:v>
      </x:c>
      <x:c r="B640" s="82" t="str">
        <x:v>Trigger / Subscription / Reactive</x:v>
      </x:c>
      <x:c r="C640" s="82" t="str">
        <x:v>CAP-EXEC05-005</x:v>
      </x:c>
      <x:c r="D640" s="82" t="str">
        <x:v>Filter</x:v>
      </x:c>
      <x:c r="E640" s="82" t="str">
        <x:v>Source/Payload/Condition过滤事件。</x:v>
      </x:c>
      <x:c r="F640" s="82" t="str"/>
      <x:c r="G640" s="82" t="str">
        <x:v>原基线478项</x:v>
      </x:c>
      <x:c r="H640" s="82" t="str">
        <x:v>原始能力契约；未按对象数量推算完成度</x:v>
      </x:c>
    </x:row>
    <x:row r="641">
      <x:c r="A641" s="82" t="str">
        <x:v>编排与执行</x:v>
      </x:c>
      <x:c r="B641" s="82" t="str">
        <x:v>Trigger / Subscription / Reactive</x:v>
      </x:c>
      <x:c r="C641" s="82" t="str">
        <x:v>CAP-EXEC05-006</x:v>
      </x:c>
      <x:c r="D641" s="82" t="str">
        <x:v>Debounce/Throttle</x:v>
      </x:c>
      <x:c r="E641" s="82" t="str">
        <x:v>高频事件去抖/限速。</x:v>
      </x:c>
      <x:c r="F641" s="82" t="str"/>
      <x:c r="G641" s="82" t="str">
        <x:v>原基线478项</x:v>
      </x:c>
      <x:c r="H641" s="82" t="str">
        <x:v>原始能力契约；未按对象数量推算完成度</x:v>
      </x:c>
    </x:row>
    <x:row r="642">
      <x:c r="A642" s="82" t="str">
        <x:v>编排与执行</x:v>
      </x:c>
      <x:c r="B642" s="82" t="str">
        <x:v>Trigger / Subscription / Reactive</x:v>
      </x:c>
      <x:c r="C642" s="82" t="str">
        <x:v>CAP-EXEC05-007</x:v>
      </x:c>
      <x:c r="D642" s="82" t="str">
        <x:v>Reactive Rule</x:v>
      </x:c>
      <x:c r="E642" s="82" t="str">
        <x:v>Event/Variable→Condition→Action规则网络。</x:v>
      </x:c>
      <x:c r="F642" s="82" t="str"/>
      <x:c r="G642" s="82" t="str">
        <x:v>原基线478项</x:v>
      </x:c>
      <x:c r="H642" s="82" t="str">
        <x:v>原始能力契约；未按对象数量推算完成度</x:v>
      </x:c>
    </x:row>
    <x:row r="643">
      <x:c r="A643" s="82" t="str">
        <x:v>编排与执行</x:v>
      </x:c>
      <x:c r="B643" s="82" t="str">
        <x:v>Trigger / Subscription / Reactive</x:v>
      </x:c>
      <x:c r="C643" s="82" t="str">
        <x:v>CAP-EXEC05-008</x:v>
      </x:c>
      <x:c r="D643" s="82" t="str">
        <x:v>Event Route</x:v>
      </x:c>
      <x:c r="E643" s="82" t="str">
        <x:v>Source→多个Subscriber的路由。</x:v>
      </x:c>
      <x:c r="F643" s="82" t="str"/>
      <x:c r="G643" s="82" t="str">
        <x:v>原基线478项</x:v>
      </x:c>
      <x:c r="H643" s="82" t="str">
        <x:v>原始能力契约；未按对象数量推算完成度</x:v>
      </x:c>
    </x:row>
    <x:row r="644">
      <x:c r="A644" s="82" t="str">
        <x:v>编排与执行</x:v>
      </x:c>
      <x:c r="B644" s="82" t="str">
        <x:v>Trigger / Subscription / Reactive</x:v>
      </x:c>
      <x:c r="C644" s="82" t="str">
        <x:v>CAP-EXEC05-009</x:v>
      </x:c>
      <x:c r="D644" s="82" t="str">
        <x:v>Wake Wait</x:v>
      </x:c>
      <x:c r="E644" s="82" t="str">
        <x:v>事件唤醒WaitEvent/External等待。</x:v>
      </x:c>
      <x:c r="F644" s="82" t="str"/>
      <x:c r="G644" s="82" t="str">
        <x:v>原基线478项</x:v>
      </x:c>
      <x:c r="H644" s="82" t="str">
        <x:v>原始能力契约；未按对象数量推算完成度</x:v>
      </x:c>
    </x:row>
    <x:row r="645">
      <x:c r="A645" s="82" t="str">
        <x:v>编排与执行</x:v>
      </x:c>
      <x:c r="B645" s="82" t="str">
        <x:v>Trigger / Subscription / Reactive</x:v>
      </x:c>
      <x:c r="C645" s="82" t="str">
        <x:v>CAP-EXEC05-010</x:v>
      </x:c>
      <x:c r="D645" s="82" t="str">
        <x:v>Subscription Lifecycle</x:v>
      </x:c>
      <x:c r="E645" s="82" t="str">
        <x:v>订阅与Project/Session/Execution Scope绑定并可靠取消。</x:v>
      </x:c>
      <x:c r="F645" s="82" t="str"/>
      <x:c r="G645" s="82" t="str">
        <x:v>原基线478项</x:v>
      </x:c>
      <x:c r="H645" s="82" t="str">
        <x:v>原始能力契约；未按对象数量推算完成度</x:v>
      </x:c>
    </x:row>
    <x:row r="646">
      <x:c r="A646" s="82" t="str">
        <x:v>编排与执行</x:v>
      </x:c>
      <x:c r="B646" s="82" t="str">
        <x:v>Invocation / Composition / MultiInstance</x:v>
      </x:c>
      <x:c r="C646" s="82" t="str">
        <x:v>CAP-COMP01-001</x:v>
      </x:c>
      <x:c r="D646" s="82" t="str">
        <x:v>Invocation</x:v>
      </x:c>
      <x:c r="E646" s="82" t="str">
        <x:v>显式调用另一ExecutionUnit/Workbench能力。</x:v>
      </x:c>
      <x:c r="F646" s="82" t="str">
        <x:v>跨ExecutionModel通过显式边界组合</x:v>
      </x:c>
      <x:c r="G646" s="82" t="str">
        <x:v>原基线478项</x:v>
      </x:c>
      <x:c r="H646" s="82" t="str">
        <x:v>原始能力契约；未按对象数量推算完成度</x:v>
      </x:c>
    </x:row>
    <x:row r="647">
      <x:c r="A647" s="82" t="str">
        <x:v>编排与执行</x:v>
      </x:c>
      <x:c r="B647" s="82" t="str">
        <x:v>Invocation / Composition / MultiInstance</x:v>
      </x:c>
      <x:c r="C647" s="82" t="str">
        <x:v>CAP-COMP01-002</x:v>
      </x:c>
      <x:c r="D647" s="82" t="str">
        <x:v>Async Invocation</x:v>
      </x:c>
      <x:c r="E647" s="82" t="str">
        <x:v>调用立即返回Handle，结果异步完成。</x:v>
      </x:c>
      <x:c r="F647" s="82" t="str"/>
      <x:c r="G647" s="82" t="str">
        <x:v>原基线478项</x:v>
      </x:c>
      <x:c r="H647" s="82" t="str">
        <x:v>原始能力契约；未按对象数量推算完成度</x:v>
      </x:c>
    </x:row>
    <x:row r="648">
      <x:c r="A648" s="82" t="str">
        <x:v>编排与执行</x:v>
      </x:c>
      <x:c r="B648" s="82" t="str">
        <x:v>Invocation / Composition / MultiInstance</x:v>
      </x:c>
      <x:c r="C648" s="82" t="str">
        <x:v>CAP-COMP01-003</x:v>
      </x:c>
      <x:c r="D648" s="82" t="str">
        <x:v>Job</x:v>
      </x:c>
      <x:c r="E648" s="82" t="str">
        <x:v>长任务对象支持Progress/Cancel/Result。</x:v>
      </x:c>
      <x:c r="F648" s="82" t="str"/>
      <x:c r="G648" s="82" t="str">
        <x:v>原基线478项</x:v>
      </x:c>
      <x:c r="H648" s="82" t="str">
        <x:v>原始能力契约；未按对象数量推算完成度</x:v>
      </x:c>
    </x:row>
    <x:row r="649">
      <x:c r="A649" s="82" t="str">
        <x:v>编排与执行</x:v>
      </x:c>
      <x:c r="B649" s="82" t="str">
        <x:v>Invocation / Composition / MultiInstance</x:v>
      </x:c>
      <x:c r="C649" s="82" t="str">
        <x:v>CAP-COMP01-004</x:v>
      </x:c>
      <x:c r="D649" s="82" t="str">
        <x:v>Progress</x:v>
      </x:c>
      <x:c r="E649" s="82" t="str">
        <x:v>Stage/Percent/ETA结构化进度。</x:v>
      </x:c>
      <x:c r="F649" s="82" t="str"/>
      <x:c r="G649" s="82" t="str">
        <x:v>原基线478项</x:v>
      </x:c>
      <x:c r="H649" s="82" t="str">
        <x:v>原始能力契约；未按对象数量推算完成度</x:v>
      </x:c>
    </x:row>
    <x:row r="650">
      <x:c r="A650" s="82" t="str">
        <x:v>编排与执行</x:v>
      </x:c>
      <x:c r="B650" s="82" t="str">
        <x:v>Invocation / Composition / MultiInstance</x:v>
      </x:c>
      <x:c r="C650" s="82" t="str">
        <x:v>CAP-COMP01-005</x:v>
      </x:c>
      <x:c r="D650" s="82" t="str">
        <x:v>Cancel</x:v>
      </x:c>
      <x:c r="E650" s="82" t="str">
        <x:v>取消请求、传播与最终状态。</x:v>
      </x:c>
      <x:c r="F650" s="82" t="str"/>
      <x:c r="G650" s="82" t="str">
        <x:v>原基线478项</x:v>
      </x:c>
      <x:c r="H650" s="82" t="str">
        <x:v>原始能力契约；未按对象数量推算完成度</x:v>
      </x:c>
    </x:row>
    <x:row r="651">
      <x:c r="A651" s="82" t="str">
        <x:v>编排与执行</x:v>
      </x:c>
      <x:c r="B651" s="82" t="str">
        <x:v>Invocation / Composition / MultiInstance</x:v>
      </x:c>
      <x:c r="C651" s="82" t="str">
        <x:v>CAP-COMP01-006</x:v>
      </x:c>
      <x:c r="D651" s="82" t="str">
        <x:v>Invocation Result</x:v>
      </x:c>
      <x:c r="E651" s="82" t="str">
        <x:v>统一Success/Fault/Output/Diagnostic。</x:v>
      </x:c>
      <x:c r="F651" s="82" t="str"/>
      <x:c r="G651" s="82" t="str">
        <x:v>原基线478项</x:v>
      </x:c>
      <x:c r="H651" s="82" t="str">
        <x:v>原始能力契约；未按对象数量推算完成度</x:v>
      </x:c>
    </x:row>
    <x:row r="652">
      <x:c r="A652" s="82" t="str">
        <x:v>编排与执行</x:v>
      </x:c>
      <x:c r="B652" s="82" t="str">
        <x:v>Invocation / Composition / MultiInstance</x:v>
      </x:c>
      <x:c r="C652" s="82" t="str">
        <x:v>CAP-COMP01-007</x:v>
      </x:c>
      <x:c r="D652" s="82" t="str">
        <x:v>Parameter Mapping</x:v>
      </x:c>
      <x:c r="E652" s="82" t="str">
        <x:v>Caller输入映射Callee GraphInput/Parameter。</x:v>
      </x:c>
      <x:c r="F652" s="82" t="str"/>
      <x:c r="G652" s="82" t="str">
        <x:v>原基线478项</x:v>
      </x:c>
      <x:c r="H652" s="82" t="str">
        <x:v>原始能力契约；未按对象数量推算完成度</x:v>
      </x:c>
    </x:row>
    <x:row r="653">
      <x:c r="A653" s="82" t="str">
        <x:v>编排与执行</x:v>
      </x:c>
      <x:c r="B653" s="82" t="str">
        <x:v>Invocation / Composition / MultiInstance</x:v>
      </x:c>
      <x:c r="C653" s="82" t="str">
        <x:v>CAP-COMP01-008</x:v>
      </x:c>
      <x:c r="D653" s="82" t="str">
        <x:v>Output Mapping</x:v>
      </x:c>
      <x:c r="E653" s="82" t="str">
        <x:v>Callee结果映射Caller变量/Port/Result。</x:v>
      </x:c>
      <x:c r="F653" s="82" t="str"/>
      <x:c r="G653" s="82" t="str">
        <x:v>原基线478项</x:v>
      </x:c>
      <x:c r="H653" s="82" t="str">
        <x:v>原始能力契约；未按对象数量推算完成度</x:v>
      </x:c>
    </x:row>
    <x:row r="654">
      <x:c r="A654" s="82" t="str">
        <x:v>编排与执行</x:v>
      </x:c>
      <x:c r="B654" s="82" t="str">
        <x:v>Invocation / Composition / MultiInstance</x:v>
      </x:c>
      <x:c r="C654" s="82" t="str">
        <x:v>CAP-COMP01-009</x:v>
      </x:c>
      <x:c r="D654" s="82" t="str">
        <x:v>Parent/Child Execution</x:v>
      </x:c>
      <x:c r="E654" s="82" t="str">
        <x:v>Invocation创建Child ExecutionInstance并定义生命周期。</x:v>
      </x:c>
      <x:c r="F654" s="82" t="str"/>
      <x:c r="G654" s="82" t="str">
        <x:v>原基线478项</x:v>
      </x:c>
      <x:c r="H654" s="82" t="str">
        <x:v>原始能力契约；未按对象数量推算完成度</x:v>
      </x:c>
    </x:row>
    <x:row r="655">
      <x:c r="A655" s="82" t="str">
        <x:v>编排与执行</x:v>
      </x:c>
      <x:c r="B655" s="82" t="str">
        <x:v>Invocation / Composition / MultiInstance</x:v>
      </x:c>
      <x:c r="C655" s="82" t="str">
        <x:v>CAP-COMP01-010</x:v>
      </x:c>
      <x:c r="D655" s="82" t="str">
        <x:v>MultiInstance</x:v>
      </x:c>
      <x:c r="E655" s="82" t="str">
        <x:v>按集合动态创建N个实例。</x:v>
      </x:c>
      <x:c r="F655" s="82" t="str"/>
      <x:c r="G655" s="82" t="str">
        <x:v>原基线478项</x:v>
      </x:c>
      <x:c r="H655" s="82" t="str">
        <x:v>原始能力契约；未按对象数量推算完成度</x:v>
      </x:c>
    </x:row>
    <x:row r="656">
      <x:c r="A656" s="82" t="str">
        <x:v>编排与执行</x:v>
      </x:c>
      <x:c r="B656" s="82" t="str">
        <x:v>Invocation / Composition / MultiInstance</x:v>
      </x:c>
      <x:c r="C656" s="82" t="str">
        <x:v>CAP-COMP01-011</x:v>
      </x:c>
      <x:c r="D656" s="82" t="str">
        <x:v>MultiInstance Concurrency</x:v>
      </x:c>
      <x:c r="E656" s="82" t="str">
        <x:v>限制N实例最大并发并支持队列。</x:v>
      </x:c>
      <x:c r="F656" s="82" t="str"/>
      <x:c r="G656" s="82" t="str">
        <x:v>原基线478项</x:v>
      </x:c>
      <x:c r="H656" s="82" t="str">
        <x:v>原始能力契约；未按对象数量推算完成度</x:v>
      </x:c>
    </x:row>
    <x:row r="657">
      <x:c r="A657" s="82" t="str">
        <x:v>编排与执行</x:v>
      </x:c>
      <x:c r="B657" s="82" t="str">
        <x:v>Invocation / Composition / MultiInstance</x:v>
      </x:c>
      <x:c r="C657" s="82" t="str">
        <x:v>CAP-COMP01-012</x:v>
      </x:c>
      <x:c r="D657" s="82" t="str">
        <x:v>Join/Aggregation</x:v>
      </x:c>
      <x:c r="E657" s="82" t="str">
        <x:v>多个实例/调用结果等待与聚合。</x:v>
      </x:c>
      <x:c r="F657" s="82" t="str"/>
      <x:c r="G657" s="82" t="str">
        <x:v>原基线478项</x:v>
      </x:c>
      <x:c r="H657" s="82" t="str">
        <x:v>原始能力契约；未按对象数量推算完成度</x:v>
      </x:c>
    </x:row>
    <x:row r="658">
      <x:c r="A658" s="82" t="str">
        <x:v>编排与执行</x:v>
      </x:c>
      <x:c r="B658" s="82" t="str">
        <x:v>Invocation / Composition / MultiInstance</x:v>
      </x:c>
      <x:c r="C658" s="82" t="str">
        <x:v>CAP-COMP01-013</x:v>
      </x:c>
      <x:c r="D658" s="82" t="str">
        <x:v>Embedded Scope</x:v>
      </x:c>
      <x:c r="E658" s="82" t="str">
        <x:v>Try/Loop/Parallel等结构化Scope不一定创建Child Instance。</x:v>
      </x:c>
      <x:c r="F658" s="82" t="str"/>
      <x:c r="G658" s="82" t="str">
        <x:v>原基线478项</x:v>
      </x:c>
      <x:c r="H658" s="82" t="str">
        <x:v>原始能力契约；未按对象数量推算完成度</x:v>
      </x:c>
    </x:row>
    <x:row r="659">
      <x:c r="A659" s="82" t="str">
        <x:v>编排与执行</x:v>
      </x:c>
      <x:c r="B659" s="82" t="str">
        <x:v>Invocation / Composition / MultiInstance</x:v>
      </x:c>
      <x:c r="C659" s="82" t="str">
        <x:v>CAP-COMP01-014</x:v>
      </x:c>
      <x:c r="D659" s="82" t="str">
        <x:v>Placement</x:v>
      </x:c>
      <x:c r="E659" s="82" t="str">
        <x:v>调用目标可Local/Worker/GPU/Remote。</x:v>
      </x:c>
      <x:c r="F659" s="82" t="str"/>
      <x:c r="G659" s="82" t="str">
        <x:v>原基线478项</x:v>
      </x:c>
      <x:c r="H659" s="82" t="str">
        <x:v>原始能力契约；未按对象数量推算完成度</x:v>
      </x:c>
    </x:row>
    <x:row r="660">
      <x:c r="A660" s="82" t="str">
        <x:v>编排与执行</x:v>
      </x:c>
      <x:c r="B660" s="82" t="str">
        <x:v>Invocation / Composition / MultiInstance</x:v>
      </x:c>
      <x:c r="C660" s="82" t="str">
        <x:v>CAP-COMP01-015</x:v>
      </x:c>
      <x:c r="D660" s="82" t="str">
        <x:v>Version Binding</x:v>
      </x:c>
      <x:c r="E660" s="82" t="str">
        <x:v>Invocation固定目标Definition/Manifest版本。</x:v>
      </x:c>
      <x:c r="F660" s="82" t="str"/>
      <x:c r="G660" s="82" t="str">
        <x:v>原基线478项</x:v>
      </x:c>
      <x:c r="H660" s="82" t="str">
        <x:v>原始能力契约；未按对象数量推算完成度</x:v>
      </x:c>
    </x:row>
    <x:row r="661">
      <x:c r="A661" s="82" t="str">
        <x:v>编排与执行</x:v>
      </x:c>
      <x:c r="B661" s="82" t="str">
        <x:v>Invocation / Composition / MultiInstance</x:v>
      </x:c>
      <x:c r="C661" s="82" t="str">
        <x:v>CAP-COMP01-016</x:v>
      </x:c>
      <x:c r="D661" s="82" t="str">
        <x:v>Correlation Propagation</x:v>
      </x:c>
      <x:c r="E661" s="82" t="str">
        <x:v>跨Workbench/Worker传播CorrelationId。</x:v>
      </x:c>
      <x:c r="F661" s="82" t="str"/>
      <x:c r="G661" s="82" t="str">
        <x:v>原基线478项</x:v>
      </x:c>
      <x:c r="H661" s="82" t="str">
        <x:v>原始能力契约；未按对象数量推算完成度</x:v>
      </x:c>
    </x:row>
    <x:row r="662">
      <x:c r="A662" s="82" t="str">
        <x:v>编排与执行</x:v>
      </x:c>
      <x:c r="B662" s="82" t="str">
        <x:v>Time / Scheduler / Queue</x:v>
      </x:c>
      <x:c r="C662" s="82" t="str">
        <x:v>CAP-TIME01-001</x:v>
      </x:c>
      <x:c r="D662" s="82" t="str">
        <x:v>IClock</x:v>
      </x:c>
      <x:c r="E662" s="82" t="str">
        <x:v>统一Now/Delay/Timer抽象。</x:v>
      </x:c>
      <x:c r="F662" s="82" t="str">
        <x:v>硬实时周期下沉PLC/RTOS/Controller</x:v>
      </x:c>
      <x:c r="G662" s="82" t="str">
        <x:v>原基线478项</x:v>
      </x:c>
      <x:c r="H662" s="82" t="str">
        <x:v>原始能力契约；未按对象数量推算完成度</x:v>
      </x:c>
    </x:row>
    <x:row r="663">
      <x:c r="A663" s="82" t="str">
        <x:v>编排与执行</x:v>
      </x:c>
      <x:c r="B663" s="82" t="str">
        <x:v>Time / Scheduler / Queue</x:v>
      </x:c>
      <x:c r="C663" s="82" t="str">
        <x:v>CAP-TIME01-002</x:v>
      </x:c>
      <x:c r="D663" s="82" t="str">
        <x:v>System Clock</x:v>
      </x:c>
      <x:c r="E663" s="82" t="str">
        <x:v>生产Runtime真实时钟。</x:v>
      </x:c>
      <x:c r="F663" s="82" t="str"/>
      <x:c r="G663" s="82" t="str">
        <x:v>原基线478项</x:v>
      </x:c>
      <x:c r="H663" s="82" t="str">
        <x:v>原始能力契约；未按对象数量推算完成度</x:v>
      </x:c>
    </x:row>
    <x:row r="664">
      <x:c r="A664" s="82" t="str">
        <x:v>编排与执行</x:v>
      </x:c>
      <x:c r="B664" s="82" t="str">
        <x:v>Time / Scheduler / Queue</x:v>
      </x:c>
      <x:c r="C664" s="82" t="str">
        <x:v>CAP-TIME01-003</x:v>
      </x:c>
      <x:c r="D664" s="82" t="str">
        <x:v>Simulation Clock</x:v>
      </x:c>
      <x:c r="E664" s="82" t="str">
        <x:v>可加速/暂停/Step的仿真时钟。</x:v>
      </x:c>
      <x:c r="F664" s="82" t="str"/>
      <x:c r="G664" s="82" t="str">
        <x:v>原基线478项</x:v>
      </x:c>
      <x:c r="H664" s="82" t="str">
        <x:v>原始能力契约；未按对象数量推算完成度</x:v>
      </x:c>
    </x:row>
    <x:row r="665">
      <x:c r="A665" s="82" t="str">
        <x:v>编排与执行</x:v>
      </x:c>
      <x:c r="B665" s="82" t="str">
        <x:v>Time / Scheduler / Queue</x:v>
      </x:c>
      <x:c r="C665" s="82" t="str">
        <x:v>CAP-TIME01-004</x:v>
      </x:c>
      <x:c r="D665" s="82" t="str">
        <x:v>Replay Clock</x:v>
      </x:c>
      <x:c r="E665" s="82" t="str">
        <x:v>按历史Timestamp重放。</x:v>
      </x:c>
      <x:c r="F665" s="82" t="str"/>
      <x:c r="G665" s="82" t="str">
        <x:v>原基线478项</x:v>
      </x:c>
      <x:c r="H665" s="82" t="str">
        <x:v>原始能力契约；未按对象数量推算完成度</x:v>
      </x:c>
    </x:row>
    <x:row r="666">
      <x:c r="A666" s="82" t="str">
        <x:v>编排与执行</x:v>
      </x:c>
      <x:c r="B666" s="82" t="str">
        <x:v>Time / Scheduler / Queue</x:v>
      </x:c>
      <x:c r="C666" s="82" t="str">
        <x:v>CAP-TIME01-005</x:v>
      </x:c>
      <x:c r="D666" s="82" t="str">
        <x:v>Timer/Delay</x:v>
      </x:c>
      <x:c r="E666" s="82" t="str">
        <x:v>基于Clock定时等待。</x:v>
      </x:c>
      <x:c r="F666" s="82" t="str"/>
      <x:c r="G666" s="82" t="str">
        <x:v>原基线478项</x:v>
      </x:c>
      <x:c r="H666" s="82" t="str">
        <x:v>原始能力契约；未按对象数量推算完成度</x:v>
      </x:c>
    </x:row>
    <x:row r="667">
      <x:c r="A667" s="82" t="str">
        <x:v>编排与执行</x:v>
      </x:c>
      <x:c r="B667" s="82" t="str">
        <x:v>Time / Scheduler / Queue</x:v>
      </x:c>
      <x:c r="C667" s="82" t="str">
        <x:v>CAP-TIME01-006</x:v>
      </x:c>
      <x:c r="D667" s="82" t="str">
        <x:v>Deadline</x:v>
      </x:c>
      <x:c r="E667" s="82" t="str">
        <x:v>任务/步骤最晚完成时间。</x:v>
      </x:c>
      <x:c r="F667" s="82" t="str"/>
      <x:c r="G667" s="82" t="str">
        <x:v>原基线478项</x:v>
      </x:c>
      <x:c r="H667" s="82" t="str">
        <x:v>原始能力契约；未按对象数量推算完成度</x:v>
      </x:c>
    </x:row>
    <x:row r="668">
      <x:c r="A668" s="82" t="str">
        <x:v>编排与执行</x:v>
      </x:c>
      <x:c r="B668" s="82" t="str">
        <x:v>Time / Scheduler / Queue</x:v>
      </x:c>
      <x:c r="C668" s="82" t="str">
        <x:v>CAP-TIME01-007</x:v>
      </x:c>
      <x:c r="D668" s="82" t="str">
        <x:v>Schedule</x:v>
      </x:c>
      <x:c r="E668" s="82" t="str">
        <x:v>一次/周期/Cron式计划。</x:v>
      </x:c>
      <x:c r="F668" s="82" t="str"/>
      <x:c r="G668" s="82" t="str">
        <x:v>原基线478项</x:v>
      </x:c>
      <x:c r="H668" s="82" t="str">
        <x:v>原始能力契约；未按对象数量推算完成度</x:v>
      </x:c>
    </x:row>
    <x:row r="669">
      <x:c r="A669" s="82" t="str">
        <x:v>编排与执行</x:v>
      </x:c>
      <x:c r="B669" s="82" t="str">
        <x:v>Time / Scheduler / Queue</x:v>
      </x:c>
      <x:c r="C669" s="82" t="str">
        <x:v>CAP-TIME01-008</x:v>
      </x:c>
      <x:c r="D669" s="82" t="str">
        <x:v>Cyclic Task</x:v>
      </x:c>
      <x:c r="E669" s="82" t="str">
        <x:v>软实时周期任务和漂移处理。</x:v>
      </x:c>
      <x:c r="F669" s="82" t="str"/>
      <x:c r="G669" s="82" t="str">
        <x:v>原基线478项</x:v>
      </x:c>
      <x:c r="H669" s="82" t="str">
        <x:v>原始能力契约；未按对象数量推算完成度</x:v>
      </x:c>
    </x:row>
    <x:row r="670">
      <x:c r="A670" s="82" t="str">
        <x:v>编排与执行</x:v>
      </x:c>
      <x:c r="B670" s="82" t="str">
        <x:v>Time / Scheduler / Queue</x:v>
      </x:c>
      <x:c r="C670" s="82" t="str">
        <x:v>CAP-TIME01-009</x:v>
      </x:c>
      <x:c r="D670" s="82" t="str">
        <x:v>Priority</x:v>
      </x:c>
      <x:c r="E670" s="82" t="str">
        <x:v>调度优先级元数据。</x:v>
      </x:c>
      <x:c r="F670" s="82" t="str"/>
      <x:c r="G670" s="82" t="str">
        <x:v>原基线478项</x:v>
      </x:c>
      <x:c r="H670" s="82" t="str">
        <x:v>原始能力契约；未按对象数量推算完成度</x:v>
      </x:c>
    </x:row>
    <x:row r="671">
      <x:c r="A671" s="82" t="str">
        <x:v>编排与执行</x:v>
      </x:c>
      <x:c r="B671" s="82" t="str">
        <x:v>Time / Scheduler / Queue</x:v>
      </x:c>
      <x:c r="C671" s="82" t="str">
        <x:v>CAP-TIME01-010</x:v>
      </x:c>
      <x:c r="D671" s="82" t="str">
        <x:v>Queue</x:v>
      </x:c>
      <x:c r="E671" s="82" t="str">
        <x:v>执行/Worker/Channel队列与Capacity。</x:v>
      </x:c>
      <x:c r="F671" s="82" t="str"/>
      <x:c r="G671" s="82" t="str">
        <x:v>原基线478项</x:v>
      </x:c>
      <x:c r="H671" s="82" t="str">
        <x:v>原始能力契约；未按对象数量推算完成度</x:v>
      </x:c>
    </x:row>
    <x:row r="672">
      <x:c r="A672" s="82" t="str">
        <x:v>编排与执行</x:v>
      </x:c>
      <x:c r="B672" s="82" t="str">
        <x:v>Time / Scheduler / Queue</x:v>
      </x:c>
      <x:c r="C672" s="82" t="str">
        <x:v>CAP-TIME01-011</x:v>
      </x:c>
      <x:c r="D672" s="82" t="str">
        <x:v>Concurrency Limit</x:v>
      </x:c>
      <x:c r="E672" s="82" t="str">
        <x:v>执行单元/Worker最大并发。</x:v>
      </x:c>
      <x:c r="F672" s="82" t="str"/>
      <x:c r="G672" s="82" t="str">
        <x:v>原基线478项</x:v>
      </x:c>
      <x:c r="H672" s="82" t="str">
        <x:v>原始能力契约；未按对象数量推算完成度</x:v>
      </x:c>
    </x:row>
    <x:row r="673">
      <x:c r="A673" s="82" t="str">
        <x:v>编排与执行</x:v>
      </x:c>
      <x:c r="B673" s="82" t="str">
        <x:v>Time / Scheduler / Queue</x:v>
      </x:c>
      <x:c r="C673" s="82" t="str">
        <x:v>CAP-TIME01-012</x:v>
      </x:c>
      <x:c r="D673" s="82" t="str">
        <x:v>Worker Affinity</x:v>
      </x:c>
      <x:c r="E673" s="82" t="str">
        <x:v>指定/偏好GPU、CPU、Station或Worker。</x:v>
      </x:c>
      <x:c r="F673" s="82" t="str"/>
      <x:c r="G673" s="82" t="str">
        <x:v>原基线478项</x:v>
      </x:c>
      <x:c r="H673" s="82" t="str">
        <x:v>原始能力契约；未按对象数量推算完成度</x:v>
      </x:c>
    </x:row>
    <x:row r="674">
      <x:c r="A674" s="82" t="str">
        <x:v>编排与执行</x:v>
      </x:c>
      <x:c r="B674" s="82" t="str">
        <x:v>Time / Scheduler / Queue</x:v>
      </x:c>
      <x:c r="C674" s="82" t="str">
        <x:v>CAP-TIME01-013</x:v>
      </x:c>
      <x:c r="D674" s="82" t="str">
        <x:v>Execution Policy</x:v>
      </x:c>
      <x:c r="E674" s="82" t="str">
        <x:v>调度、Queue、Deadline组合策略。</x:v>
      </x:c>
      <x:c r="F674" s="82" t="str"/>
      <x:c r="G674" s="82" t="str">
        <x:v>原基线478项</x:v>
      </x:c>
      <x:c r="H674" s="82" t="str">
        <x:v>原始能力契约；未按对象数量推算完成度</x:v>
      </x:c>
    </x:row>
    <x:row r="675">
      <x:c r="A675" s="82" t="str">
        <x:v>资源与治理</x:v>
      </x:c>
      <x:c r="B675" s="82" t="str">
        <x:v>Runtime Resource / Lease / Placement</x:v>
      </x:c>
      <x:c r="C675" s="82" t="str">
        <x:v>CAP-RES01-001</x:v>
      </x:c>
      <x:c r="D675" s="82" t="str">
        <x:v>Resource Definition</x:v>
      </x:c>
      <x:c r="E675" s="82" t="str">
        <x:v>可被Runtime占用的Axis/Robot/GPU/Detector/Fixture/Worker等资源。</x:v>
      </x:c>
      <x:c r="F675" s="82" t="str">
        <x:v>工程Resource与Runtime Lease必须分离</x:v>
      </x:c>
      <x:c r="G675" s="82" t="str">
        <x:v>原基线478项</x:v>
      </x:c>
      <x:c r="H675" s="82" t="str">
        <x:v>原始能力契约；未按对象数量推算完成度</x:v>
      </x:c>
    </x:row>
    <x:row r="676">
      <x:c r="A676" s="82" t="str">
        <x:v>资源与治理</x:v>
      </x:c>
      <x:c r="B676" s="82" t="str">
        <x:v>Runtime Resource / Lease / Placement</x:v>
      </x:c>
      <x:c r="C676" s="82" t="str">
        <x:v>CAP-RES01-002</x:v>
      </x:c>
      <x:c r="D676" s="82" t="str">
        <x:v>Resource Reference</x:v>
      </x:c>
      <x:c r="E676" s="82" t="str">
        <x:v>Definition稳定引用资源而不持有Runtime句柄。</x:v>
      </x:c>
      <x:c r="F676" s="82" t="str"/>
      <x:c r="G676" s="82" t="str">
        <x:v>原基线478项</x:v>
      </x:c>
      <x:c r="H676" s="82" t="str">
        <x:v>原始能力契约；未按对象数量推算完成度</x:v>
      </x:c>
    </x:row>
    <x:row r="677">
      <x:c r="A677" s="82" t="str">
        <x:v>资源与治理</x:v>
      </x:c>
      <x:c r="B677" s="82" t="str">
        <x:v>Runtime Resource / Lease / Placement</x:v>
      </x:c>
      <x:c r="C677" s="82" t="str">
        <x:v>CAP-RES01-003</x:v>
      </x:c>
      <x:c r="D677" s="82" t="str">
        <x:v>Resource Requirement</x:v>
      </x:c>
      <x:c r="E677" s="82" t="str">
        <x:v>Execution声明资源类型、数量、模式与约束。</x:v>
      </x:c>
      <x:c r="F677" s="82" t="str"/>
      <x:c r="G677" s="82" t="str">
        <x:v>原基线478项</x:v>
      </x:c>
      <x:c r="H677" s="82" t="str">
        <x:v>原始能力契约；未按对象数量推算完成度</x:v>
      </x:c>
    </x:row>
    <x:row r="678">
      <x:c r="A678" s="82" t="str">
        <x:v>资源与治理</x:v>
      </x:c>
      <x:c r="B678" s="82" t="str">
        <x:v>Runtime Resource / Lease / Placement</x:v>
      </x:c>
      <x:c r="C678" s="82" t="str">
        <x:v>CAP-RES01-004</x:v>
      </x:c>
      <x:c r="D678" s="82" t="str">
        <x:v>Resource Resolve</x:v>
      </x:c>
      <x:c r="E678" s="82" t="str">
        <x:v>Compile阶段将Requirement解析到候选/具体资源。</x:v>
      </x:c>
      <x:c r="F678" s="82" t="str"/>
      <x:c r="G678" s="82" t="str">
        <x:v>原基线478项</x:v>
      </x:c>
      <x:c r="H678" s="82" t="str">
        <x:v>原始能力契约；未按对象数量推算完成度</x:v>
      </x:c>
    </x:row>
    <x:row r="679">
      <x:c r="A679" s="82" t="str">
        <x:v>资源与治理</x:v>
      </x:c>
      <x:c r="B679" s="82" t="str">
        <x:v>Runtime Resource / Lease / Placement</x:v>
      </x:c>
      <x:c r="C679" s="82" t="str">
        <x:v>CAP-RES01-005</x:v>
      </x:c>
      <x:c r="D679" s="82" t="str">
        <x:v>Acquire</x:v>
      </x:c>
      <x:c r="E679" s="82" t="str">
        <x:v>Runtime申请资源并可能进入WaitingResource。</x:v>
      </x:c>
      <x:c r="F679" s="82" t="str"/>
      <x:c r="G679" s="82" t="str">
        <x:v>原基线478项</x:v>
      </x:c>
      <x:c r="H679" s="82" t="str">
        <x:v>原始能力契约；未按对象数量推算完成度</x:v>
      </x:c>
    </x:row>
    <x:row r="680">
      <x:c r="A680" s="82" t="str">
        <x:v>资源与治理</x:v>
      </x:c>
      <x:c r="B680" s="82" t="str">
        <x:v>Runtime Resource / Lease / Placement</x:v>
      </x:c>
      <x:c r="C680" s="82" t="str">
        <x:v>CAP-RES01-006</x:v>
      </x:c>
      <x:c r="D680" s="82" t="str">
        <x:v>Release</x:v>
      </x:c>
      <x:c r="E680" s="82" t="str">
        <x:v>成功/失败/取消/Scope结束均可靠释放。</x:v>
      </x:c>
      <x:c r="F680" s="82" t="str"/>
      <x:c r="G680" s="82" t="str">
        <x:v>原基线478项</x:v>
      </x:c>
      <x:c r="H680" s="82" t="str">
        <x:v>原始能力契约；未按对象数量推算完成度</x:v>
      </x:c>
    </x:row>
    <x:row r="681">
      <x:c r="A681" s="82" t="str">
        <x:v>资源与治理</x:v>
      </x:c>
      <x:c r="B681" s="82" t="str">
        <x:v>Runtime Resource / Lease / Placement</x:v>
      </x:c>
      <x:c r="C681" s="82" t="str">
        <x:v>CAP-RES01-007</x:v>
      </x:c>
      <x:c r="D681" s="82" t="str">
        <x:v>Lease</x:v>
      </x:c>
      <x:c r="E681" s="82" t="str">
        <x:v>资源占用以LeaseHandle表达Owner、Mode、Lifetime。</x:v>
      </x:c>
      <x:c r="F681" s="82" t="str"/>
      <x:c r="G681" s="82" t="str">
        <x:v>原基线478项</x:v>
      </x:c>
      <x:c r="H681" s="82" t="str">
        <x:v>原始能力契约；未按对象数量推算完成度</x:v>
      </x:c>
    </x:row>
    <x:row r="682">
      <x:c r="A682" s="82" t="str">
        <x:v>资源与治理</x:v>
      </x:c>
      <x:c r="B682" s="82" t="str">
        <x:v>Runtime Resource / Lease / Placement</x:v>
      </x:c>
      <x:c r="C682" s="82" t="str">
        <x:v>CAP-RES01-008</x:v>
      </x:c>
      <x:c r="D682" s="82" t="str">
        <x:v>Exclusive/Shared</x:v>
      </x:c>
      <x:c r="E682" s="82" t="str">
        <x:v>独占、共享N槽或读写等模式。</x:v>
      </x:c>
      <x:c r="F682" s="82" t="str"/>
      <x:c r="G682" s="82" t="str">
        <x:v>原基线478项</x:v>
      </x:c>
      <x:c r="H682" s="82" t="str">
        <x:v>原始能力契约；未按对象数量推算完成度</x:v>
      </x:c>
    </x:row>
    <x:row r="683">
      <x:c r="A683" s="82" t="str">
        <x:v>资源与治理</x:v>
      </x:c>
      <x:c r="B683" s="82" t="str">
        <x:v>Runtime Resource / Lease / Placement</x:v>
      </x:c>
      <x:c r="C683" s="82" t="str">
        <x:v>CAP-RES01-009</x:v>
      </x:c>
      <x:c r="D683" s="82" t="str">
        <x:v>Mutex</x:v>
      </x:c>
      <x:c r="E683" s="82" t="str">
        <x:v>互斥策略。</x:v>
      </x:c>
      <x:c r="F683" s="82" t="str"/>
      <x:c r="G683" s="82" t="str">
        <x:v>原基线478项</x:v>
      </x:c>
      <x:c r="H683" s="82" t="str">
        <x:v>原始能力契约；未按对象数量推算完成度</x:v>
      </x:c>
    </x:row>
    <x:row r="684">
      <x:c r="A684" s="82" t="str">
        <x:v>资源与治理</x:v>
      </x:c>
      <x:c r="B684" s="82" t="str">
        <x:v>Runtime Resource / Lease / Placement</x:v>
      </x:c>
      <x:c r="C684" s="82" t="str">
        <x:v>CAP-RES01-010</x:v>
      </x:c>
      <x:c r="D684" s="82" t="str">
        <x:v>Semaphore</x:v>
      </x:c>
      <x:c r="E684" s="82" t="str">
        <x:v>数量资源并发控制。</x:v>
      </x:c>
      <x:c r="F684" s="82" t="str"/>
      <x:c r="G684" s="82" t="str">
        <x:v>原基线478项</x:v>
      </x:c>
      <x:c r="H684" s="82" t="str">
        <x:v>原始能力契约；未按对象数量推算完成度</x:v>
      </x:c>
    </x:row>
    <x:row r="685">
      <x:c r="A685" s="82" t="str">
        <x:v>资源与治理</x:v>
      </x:c>
      <x:c r="B685" s="82" t="str">
        <x:v>Runtime Resource / Lease / Placement</x:v>
      </x:c>
      <x:c r="C685" s="82" t="str">
        <x:v>CAP-RES01-011</x:v>
      </x:c>
      <x:c r="D685" s="82" t="str">
        <x:v>Wait Queue</x:v>
      </x:c>
      <x:c r="E685" s="82" t="str">
        <x:v>资源等待队列、优先级、超时与诊断。</x:v>
      </x:c>
      <x:c r="F685" s="82" t="str"/>
      <x:c r="G685" s="82" t="str">
        <x:v>原基线478项</x:v>
      </x:c>
      <x:c r="H685" s="82" t="str">
        <x:v>原始能力契约；未按对象数量推算完成度</x:v>
      </x:c>
    </x:row>
    <x:row r="686">
      <x:c r="A686" s="82" t="str">
        <x:v>资源与治理</x:v>
      </x:c>
      <x:c r="B686" s="82" t="str">
        <x:v>Runtime Resource / Lease / Placement</x:v>
      </x:c>
      <x:c r="C686" s="82" t="str">
        <x:v>CAP-RES01-012</x:v>
      </x:c>
      <x:c r="D686" s="82" t="str">
        <x:v>Resource Scope</x:v>
      </x:c>
      <x:c r="E686" s="82" t="str">
        <x:v>资源在Execution/Child Scope中的可见性与继承。</x:v>
      </x:c>
      <x:c r="F686" s="82" t="str"/>
      <x:c r="G686" s="82" t="str">
        <x:v>原基线478项</x:v>
      </x:c>
      <x:c r="H686" s="82" t="str">
        <x:v>原始能力契约；未按对象数量推算完成度</x:v>
      </x:c>
    </x:row>
    <x:row r="687">
      <x:c r="A687" s="82" t="str">
        <x:v>资源与治理</x:v>
      </x:c>
      <x:c r="B687" s="82" t="str">
        <x:v>Runtime Resource / Lease / Placement</x:v>
      </x:c>
      <x:c r="C687" s="82" t="str">
        <x:v>CAP-RES01-013</x:v>
      </x:c>
      <x:c r="D687" s="82" t="str">
        <x:v>Transfer</x:v>
      </x:c>
      <x:c r="E687" s="82" t="str">
        <x:v>跨进程/Worker资源或DataHandle传递策略。</x:v>
      </x:c>
      <x:c r="F687" s="82" t="str"/>
      <x:c r="G687" s="82" t="str">
        <x:v>原基线478项</x:v>
      </x:c>
      <x:c r="H687" s="82" t="str">
        <x:v>原始能力契约；未按对象数量推算完成度</x:v>
      </x:c>
    </x:row>
    <x:row r="688">
      <x:c r="A688" s="82" t="str">
        <x:v>资源与治理</x:v>
      </x:c>
      <x:c r="B688" s="82" t="str">
        <x:v>Runtime Resource / Lease / Placement</x:v>
      </x:c>
      <x:c r="C688" s="82" t="str">
        <x:v>CAP-RES01-014</x:v>
      </x:c>
      <x:c r="D688" s="82" t="str">
        <x:v>Placement Target</x:v>
      </x:c>
      <x:c r="E688" s="82" t="str">
        <x:v>Local/GPU/Remote/Controller等目标资源。</x:v>
      </x:c>
      <x:c r="F688" s="82" t="str"/>
      <x:c r="G688" s="82" t="str">
        <x:v>原基线478项</x:v>
      </x:c>
      <x:c r="H688" s="82" t="str">
        <x:v>原始能力契约；未按对象数量推算完成度</x:v>
      </x:c>
    </x:row>
    <x:row r="689">
      <x:c r="A689" s="82" t="str">
        <x:v>资源与治理</x:v>
      </x:c>
      <x:c r="B689" s="82" t="str">
        <x:v>Runtime Resource / Lease / Placement</x:v>
      </x:c>
      <x:c r="C689" s="82" t="str">
        <x:v>CAP-RES01-015</x:v>
      </x:c>
      <x:c r="D689" s="82" t="str">
        <x:v>Resource Health</x:v>
      </x:c>
      <x:c r="E689" s="82" t="str">
        <x:v>不可用/降级资源影响调度并提供诊断。</x:v>
      </x:c>
      <x:c r="F689" s="82" t="str"/>
      <x:c r="G689" s="82" t="str">
        <x:v>原基线478项</x:v>
      </x:c>
      <x:c r="H689" s="82" t="str">
        <x:v>原始能力契约；未按对象数量推算完成度</x:v>
      </x:c>
    </x:row>
    <x:row r="690">
      <x:c r="A690" s="82" t="str">
        <x:v>资源与治理</x:v>
      </x:c>
      <x:c r="B690" s="82" t="str">
        <x:v>Runtime Resource / Lease / Placement</x:v>
      </x:c>
      <x:c r="C690" s="82" t="str">
        <x:v>CAP-RES01-016</x:v>
      </x:c>
      <x:c r="D690" s="82" t="str">
        <x:v>跨资源容量与配额</x:v>
      </x:c>
      <x:c r="E690" s="82" t="str">
        <x:v>对GPU显存、CPU内存、设备连接数和许可证容量建立Reservation/Quota与超限诊断。</x:v>
      </x:c>
      <x:c r="F690" s="82" t="str"/>
      <x:c r="G690" s="82" t="str">
        <x:v>原Mechanism子方面补强</x:v>
      </x:c>
      <x:c r="H690" s="82" t="str">
        <x:v>原始能力契约；未按对象数量推算完成度</x:v>
      </x:c>
    </x:row>
    <x:row r="691">
      <x:c r="A691" s="82" t="str">
        <x:v>资源与治理</x:v>
      </x:c>
      <x:c r="B691" s="82" t="str">
        <x:v>Policy / Fault / Recovery</x:v>
      </x:c>
      <x:c r="C691" s="82" t="str">
        <x:v>CAP-POL01-001</x:v>
      </x:c>
      <x:c r="D691" s="82" t="str">
        <x:v>Timeout Policy</x:v>
      </x:c>
      <x:c r="E691" s="82" t="str">
        <x:v>Operation/Invocation/Wait/ExternalTask超时语义。</x:v>
      </x:c>
      <x:c r="F691" s="82" t="str">
        <x:v>异常语义不能只藏在日志或节点属性</x:v>
      </x:c>
      <x:c r="G691" s="82" t="str">
        <x:v>原基线478项</x:v>
      </x:c>
      <x:c r="H691" s="82" t="str">
        <x:v>原始能力契约；未按对象数量推算完成度</x:v>
      </x:c>
    </x:row>
    <x:row r="692">
      <x:c r="A692" s="82" t="str">
        <x:v>资源与治理</x:v>
      </x:c>
      <x:c r="B692" s="82" t="str">
        <x:v>Policy / Fault / Recovery</x:v>
      </x:c>
      <x:c r="C692" s="82" t="str">
        <x:v>CAP-POL01-002</x:v>
      </x:c>
      <x:c r="D692" s="82" t="str">
        <x:v>Retry Policy</x:v>
      </x:c>
      <x:c r="E692" s="82" t="str">
        <x:v>Count/Interval/Condition/Retryable Fault。</x:v>
      </x:c>
      <x:c r="F692" s="82" t="str"/>
      <x:c r="G692" s="82" t="str">
        <x:v>原基线478项</x:v>
      </x:c>
      <x:c r="H692" s="82" t="str">
        <x:v>原始能力契约；未按对象数量推算完成度</x:v>
      </x:c>
    </x:row>
    <x:row r="693">
      <x:c r="A693" s="82" t="str">
        <x:v>资源与治理</x:v>
      </x:c>
      <x:c r="B693" s="82" t="str">
        <x:v>Policy / Fault / Recovery</x:v>
      </x:c>
      <x:c r="C693" s="82" t="str">
        <x:v>CAP-POL01-003</x:v>
      </x:c>
      <x:c r="D693" s="82" t="str">
        <x:v>Backoff</x:v>
      </x:c>
      <x:c r="E693" s="82" t="str">
        <x:v>Fixed/Linear/Exponential/Jitter重试退避。</x:v>
      </x:c>
      <x:c r="F693" s="82" t="str"/>
      <x:c r="G693" s="82" t="str">
        <x:v>原基线478项</x:v>
      </x:c>
      <x:c r="H693" s="82" t="str">
        <x:v>原始能力契约；未按对象数量推算完成度</x:v>
      </x:c>
    </x:row>
    <x:row r="694">
      <x:c r="A694" s="82" t="str">
        <x:v>资源与治理</x:v>
      </x:c>
      <x:c r="B694" s="82" t="str">
        <x:v>Policy / Fault / Recovery</x:v>
      </x:c>
      <x:c r="C694" s="82" t="str">
        <x:v>CAP-POL01-004</x:v>
      </x:c>
      <x:c r="D694" s="82" t="str">
        <x:v>Fallback</x:v>
      </x:c>
      <x:c r="E694" s="82" t="str">
        <x:v>主路径失败后使用替代Provider/算法/路径。</x:v>
      </x:c>
      <x:c r="F694" s="82" t="str"/>
      <x:c r="G694" s="82" t="str">
        <x:v>原基线478项</x:v>
      </x:c>
      <x:c r="H694" s="82" t="str">
        <x:v>原始能力契约；未按对象数量推算完成度</x:v>
      </x:c>
    </x:row>
    <x:row r="695">
      <x:c r="A695" s="82" t="str">
        <x:v>资源与治理</x:v>
      </x:c>
      <x:c r="B695" s="82" t="str">
        <x:v>Policy / Fault / Recovery</x:v>
      </x:c>
      <x:c r="C695" s="82" t="str">
        <x:v>CAP-POL01-005</x:v>
      </x:c>
      <x:c r="D695" s="82" t="str">
        <x:v>Circuit Breaker</x:v>
      </x:c>
      <x:c r="E695" s="82" t="str">
        <x:v>外部服务连续失败时熔断并恢复探测。</x:v>
      </x:c>
      <x:c r="F695" s="82" t="str"/>
      <x:c r="G695" s="82" t="str">
        <x:v>原基线478项</x:v>
      </x:c>
      <x:c r="H695" s="82" t="str">
        <x:v>原始能力契约；未按对象数量推算完成度</x:v>
      </x:c>
    </x:row>
    <x:row r="696">
      <x:c r="A696" s="82" t="str">
        <x:v>资源与治理</x:v>
      </x:c>
      <x:c r="B696" s="82" t="str">
        <x:v>Policy / Fault / Recovery</x:v>
      </x:c>
      <x:c r="C696" s="82" t="str">
        <x:v>CAP-POL01-006</x:v>
      </x:c>
      <x:c r="D696" s="82" t="str">
        <x:v>Rate Limit</x:v>
      </x:c>
      <x:c r="E696" s="82" t="str">
        <x:v>Command/Service调用限速。</x:v>
      </x:c>
      <x:c r="F696" s="82" t="str"/>
      <x:c r="G696" s="82" t="str">
        <x:v>原基线478项</x:v>
      </x:c>
      <x:c r="H696" s="82" t="str">
        <x:v>原始能力契约；未按对象数量推算完成度</x:v>
      </x:c>
    </x:row>
    <x:row r="697">
      <x:c r="A697" s="82" t="str">
        <x:v>资源与治理</x:v>
      </x:c>
      <x:c r="B697" s="82" t="str">
        <x:v>Policy / Fault / Recovery</x:v>
      </x:c>
      <x:c r="C697" s="82" t="str">
        <x:v>CAP-POL01-007</x:v>
      </x:c>
      <x:c r="D697" s="82" t="str">
        <x:v>Failure Policy</x:v>
      </x:c>
      <x:c r="E697" s="82" t="str">
        <x:v>FailFast/Continue/Collect/PartialSuccess等策略。</x:v>
      </x:c>
      <x:c r="F697" s="82" t="str"/>
      <x:c r="G697" s="82" t="str">
        <x:v>原基线478项</x:v>
      </x:c>
      <x:c r="H697" s="82" t="str">
        <x:v>原始能力契约；未按对象数量推算完成度</x:v>
      </x:c>
    </x:row>
    <x:row r="698">
      <x:c r="A698" s="82" t="str">
        <x:v>资源与治理</x:v>
      </x:c>
      <x:c r="B698" s="82" t="str">
        <x:v>Policy / Fault / Recovery</x:v>
      </x:c>
      <x:c r="C698" s="82" t="str">
        <x:v>CAP-POL01-008</x:v>
      </x:c>
      <x:c r="D698" s="82" t="str">
        <x:v>Cancellation Policy</x:v>
      </x:c>
      <x:c r="E698" s="82" t="str">
        <x:v>Cancel传播、Graceful/Force行为。</x:v>
      </x:c>
      <x:c r="F698" s="82" t="str"/>
      <x:c r="G698" s="82" t="str">
        <x:v>原基线478项</x:v>
      </x:c>
      <x:c r="H698" s="82" t="str">
        <x:v>原始能力契约；未按对象数量推算完成度</x:v>
      </x:c>
    </x:row>
    <x:row r="699">
      <x:c r="A699" s="82" t="str">
        <x:v>资源与治理</x:v>
      </x:c>
      <x:c r="B699" s="82" t="str">
        <x:v>Policy / Fault / Recovery</x:v>
      </x:c>
      <x:c r="C699" s="82" t="str">
        <x:v>CAP-POL01-009</x:v>
      </x:c>
      <x:c r="D699" s="82" t="str">
        <x:v>Parent Close Policy</x:v>
      </x:c>
      <x:c r="E699" s="82" t="str">
        <x:v>父Execution完成/取消时Child的Join/Cancel/Detach策略。</x:v>
      </x:c>
      <x:c r="F699" s="82" t="str"/>
      <x:c r="G699" s="82" t="str">
        <x:v>原基线478项</x:v>
      </x:c>
      <x:c r="H699" s="82" t="str">
        <x:v>原始能力契约；未按对象数量推算完成度</x:v>
      </x:c>
    </x:row>
    <x:row r="700">
      <x:c r="A700" s="82" t="str">
        <x:v>资源与治理</x:v>
      </x:c>
      <x:c r="B700" s="82" t="str">
        <x:v>Policy / Fault / Recovery</x:v>
      </x:c>
      <x:c r="C700" s="82" t="str">
        <x:v>CAP-POL01-010</x:v>
      </x:c>
      <x:c r="D700" s="82" t="str">
        <x:v>Fault Propagation</x:v>
      </x:c>
      <x:c r="E700" s="82" t="str">
        <x:v>子Fault如何传播/转换/隔离。</x:v>
      </x:c>
      <x:c r="F700" s="82" t="str"/>
      <x:c r="G700" s="82" t="str">
        <x:v>原基线478项</x:v>
      </x:c>
      <x:c r="H700" s="82" t="str">
        <x:v>原始能力契约；未按对象数量推算完成度</x:v>
      </x:c>
    </x:row>
    <x:row r="701">
      <x:c r="A701" s="82" t="str">
        <x:v>资源与治理</x:v>
      </x:c>
      <x:c r="B701" s="82" t="str">
        <x:v>Policy / Fault / Recovery</x:v>
      </x:c>
      <x:c r="C701" s="82" t="str">
        <x:v>CAP-POL01-011</x:v>
      </x:c>
      <x:c r="D701" s="82" t="str">
        <x:v>Recovery Policy</x:v>
      </x:c>
      <x:c r="E701" s="82" t="str">
        <x:v>Reset/Reconnect/Rehome/Rebind/Resume等恢复策略。</x:v>
      </x:c>
      <x:c r="F701" s="82" t="str"/>
      <x:c r="G701" s="82" t="str">
        <x:v>原基线478项</x:v>
      </x:c>
      <x:c r="H701" s="82" t="str">
        <x:v>原始能力契约；未按对象数量推算完成度</x:v>
      </x:c>
    </x:row>
    <x:row r="702">
      <x:c r="A702" s="82" t="str">
        <x:v>资源与治理</x:v>
      </x:c>
      <x:c r="B702" s="82" t="str">
        <x:v>Policy / Fault / Recovery</x:v>
      </x:c>
      <x:c r="C702" s="82" t="str">
        <x:v>CAP-POL01-012</x:v>
      </x:c>
      <x:c r="D702" s="82" t="str">
        <x:v>Compensation</x:v>
      </x:c>
      <x:c r="E702" s="82" t="str">
        <x:v>业务副作用补偿。</x:v>
      </x:c>
      <x:c r="F702" s="82" t="str"/>
      <x:c r="G702" s="82" t="str">
        <x:v>原基线478项</x:v>
      </x:c>
      <x:c r="H702" s="82" t="str">
        <x:v>原始能力契约；未按对象数量推算完成度</x:v>
      </x:c>
    </x:row>
    <x:row r="703">
      <x:c r="A703" s="82" t="str">
        <x:v>资源与治理</x:v>
      </x:c>
      <x:c r="B703" s="82" t="str">
        <x:v>Policy / Fault / Recovery</x:v>
      </x:c>
      <x:c r="C703" s="82" t="str">
        <x:v>CAP-POL01-013</x:v>
      </x:c>
      <x:c r="D703" s="82" t="str">
        <x:v>ContinueOnError</x:v>
      </x:c>
      <x:c r="E703" s="82" t="str">
        <x:v>批处理/检测允许记录错误继续。</x:v>
      </x:c>
      <x:c r="F703" s="82" t="str"/>
      <x:c r="G703" s="82" t="str">
        <x:v>原基线478项</x:v>
      </x:c>
      <x:c r="H703" s="82" t="str">
        <x:v>原始能力契约；未按对象数量推算完成度</x:v>
      </x:c>
    </x:row>
    <x:row r="704">
      <x:c r="A704" s="82" t="str">
        <x:v>资源与治理</x:v>
      </x:c>
      <x:c r="B704" s="82" t="str">
        <x:v>Policy / Fault / Recovery</x:v>
      </x:c>
      <x:c r="C704" s="82" t="str">
        <x:v>CAP-POL01-014</x:v>
      </x:c>
      <x:c r="D704" s="82" t="str">
        <x:v>Idempotency Policy</x:v>
      </x:c>
      <x:c r="E704" s="82" t="str">
        <x:v>幂等Key、重复窗口、结果缓存。</x:v>
      </x:c>
      <x:c r="F704" s="82" t="str"/>
      <x:c r="G704" s="82" t="str">
        <x:v>原基线478项</x:v>
      </x:c>
      <x:c r="H704" s="82" t="str">
        <x:v>原始能力契约；未按对象数量推算完成度</x:v>
      </x:c>
    </x:row>
    <x:row r="705">
      <x:c r="A705" s="82" t="str">
        <x:v>资源与治理</x:v>
      </x:c>
      <x:c r="B705" s="82" t="str">
        <x:v>Policy / Fault / Recovery</x:v>
      </x:c>
      <x:c r="C705" s="82" t="str">
        <x:v>CAP-POL01-015</x:v>
      </x:c>
      <x:c r="D705" s="82" t="str">
        <x:v>SideEffect Policy</x:v>
      </x:c>
      <x:c r="E705" s="82" t="str">
        <x:v>标识副作用Operation并限制Replay/Retry行为。</x:v>
      </x:c>
      <x:c r="F705" s="82" t="str"/>
      <x:c r="G705" s="82" t="str">
        <x:v>原基线478项</x:v>
      </x:c>
      <x:c r="H705" s="82" t="str">
        <x:v>原始能力契约；未按对象数量推算完成度</x:v>
      </x:c>
    </x:row>
    <x:row r="706">
      <x:c r="A706" s="82" t="str">
        <x:v>资源与治理</x:v>
      </x:c>
      <x:c r="B706" s="82" t="str">
        <x:v>Security / Interlock / Audit</x:v>
      </x:c>
      <x:c r="C706" s="82" t="str">
        <x:v>CAP-SEC01-001</x:v>
      </x:c>
      <x:c r="D706" s="82" t="str">
        <x:v>Identity</x:v>
      </x:c>
      <x:c r="E706" s="82" t="str">
        <x:v>用户/服务/设备身份。</x:v>
      </x:c>
      <x:c r="F706" s="82" t="str">
        <x:v>软件Interlock绝不替代Safety PLC/E-Stop/Safety Relay</x:v>
      </x:c>
      <x:c r="G706" s="82" t="str">
        <x:v>原基线478项</x:v>
      </x:c>
      <x:c r="H706" s="82" t="str">
        <x:v>原始能力契约；未按对象数量推算完成度</x:v>
      </x:c>
    </x:row>
    <x:row r="707">
      <x:c r="A707" s="82" t="str">
        <x:v>资源与治理</x:v>
      </x:c>
      <x:c r="B707" s="82" t="str">
        <x:v>Security / Interlock / Audit</x:v>
      </x:c>
      <x:c r="C707" s="82" t="str">
        <x:v>CAP-SEC01-002</x:v>
      </x:c>
      <x:c r="D707" s="82" t="str">
        <x:v>Role</x:v>
      </x:c>
      <x:c r="E707" s="82" t="str">
        <x:v>角色与权限集合。</x:v>
      </x:c>
      <x:c r="F707" s="82" t="str"/>
      <x:c r="G707" s="82" t="str">
        <x:v>原基线478项</x:v>
      </x:c>
      <x:c r="H707" s="82" t="str">
        <x:v>原始能力契约；未按对象数量推算完成度</x:v>
      </x:c>
    </x:row>
    <x:row r="708">
      <x:c r="A708" s="82" t="str">
        <x:v>资源与治理</x:v>
      </x:c>
      <x:c r="B708" s="82" t="str">
        <x:v>Security / Interlock / Audit</x:v>
      </x:c>
      <x:c r="C708" s="82" t="str">
        <x:v>CAP-SEC01-003</x:v>
      </x:c>
      <x:c r="D708" s="82" t="str">
        <x:v>Permission Policy</x:v>
      </x:c>
      <x:c r="E708" s="82" t="str">
        <x:v>Resource/Command/Property级授权。</x:v>
      </x:c>
      <x:c r="F708" s="82" t="str"/>
      <x:c r="G708" s="82" t="str">
        <x:v>原基线478项</x:v>
      </x:c>
      <x:c r="H708" s="82" t="str">
        <x:v>原始能力契约；未按对象数量推算完成度</x:v>
      </x:c>
    </x:row>
    <x:row r="709">
      <x:c r="A709" s="82" t="str">
        <x:v>资源与治理</x:v>
      </x:c>
      <x:c r="B709" s="82" t="str">
        <x:v>Security / Interlock / Audit</x:v>
      </x:c>
      <x:c r="C709" s="82" t="str">
        <x:v>CAP-SEC01-004</x:v>
      </x:c>
      <x:c r="D709" s="82" t="str">
        <x:v>RunMode</x:v>
      </x:c>
      <x:c r="E709" s="82" t="str">
        <x:v>Auto/Manual/Maintenance/Debug/Monitor等模式。</x:v>
      </x:c>
      <x:c r="F709" s="82" t="str"/>
      <x:c r="G709" s="82" t="str">
        <x:v>原基线478项</x:v>
      </x:c>
      <x:c r="H709" s="82" t="str">
        <x:v>原始能力契约；未按对象数量推算完成度</x:v>
      </x:c>
    </x:row>
    <x:row r="710">
      <x:c r="A710" s="82" t="str">
        <x:v>资源与治理</x:v>
      </x:c>
      <x:c r="B710" s="82" t="str">
        <x:v>Security / Interlock / Audit</x:v>
      </x:c>
      <x:c r="C710" s="82" t="str">
        <x:v>CAP-SEC01-005</x:v>
      </x:c>
      <x:c r="D710" s="82" t="str">
        <x:v>Interlock Definition</x:v>
      </x:c>
      <x:c r="E710" s="82" t="str">
        <x:v>软件工艺互锁条件与原因。</x:v>
      </x:c>
      <x:c r="F710" s="82" t="str"/>
      <x:c r="G710" s="82" t="str">
        <x:v>原基线478项</x:v>
      </x:c>
      <x:c r="H710" s="82" t="str">
        <x:v>原始能力契约；未按对象数量推算完成度</x:v>
      </x:c>
    </x:row>
    <x:row r="711">
      <x:c r="A711" s="82" t="str">
        <x:v>资源与治理</x:v>
      </x:c>
      <x:c r="B711" s="82" t="str">
        <x:v>Security / Interlock / Audit</x:v>
      </x:c>
      <x:c r="C711" s="82" t="str">
        <x:v>CAP-SEC01-006</x:v>
      </x:c>
      <x:c r="D711" s="82" t="str">
        <x:v>Interlock Guard</x:v>
      </x:c>
      <x:c r="E711" s="82" t="str">
        <x:v>Command/Operation执行前统一互锁检查。</x:v>
      </x:c>
      <x:c r="F711" s="82" t="str"/>
      <x:c r="G711" s="82" t="str">
        <x:v>原基线478项</x:v>
      </x:c>
      <x:c r="H711" s="82" t="str">
        <x:v>原始能力契约；未按对象数量推算完成度</x:v>
      </x:c>
    </x:row>
    <x:row r="712">
      <x:c r="A712" s="82" t="str">
        <x:v>资源与治理</x:v>
      </x:c>
      <x:c r="B712" s="82" t="str">
        <x:v>Security / Interlock / Audit</x:v>
      </x:c>
      <x:c r="C712" s="82" t="str">
        <x:v>CAP-SEC01-007</x:v>
      </x:c>
      <x:c r="D712" s="82" t="str">
        <x:v>Precondition</x:v>
      </x:c>
      <x:c r="E712" s="82" t="str">
        <x:v>执行前条件。</x:v>
      </x:c>
      <x:c r="F712" s="82" t="str"/>
      <x:c r="G712" s="82" t="str">
        <x:v>原基线478项</x:v>
      </x:c>
      <x:c r="H712" s="82" t="str">
        <x:v>原始能力契约；未按对象数量推算完成度</x:v>
      </x:c>
    </x:row>
    <x:row r="713">
      <x:c r="A713" s="82" t="str">
        <x:v>资源与治理</x:v>
      </x:c>
      <x:c r="B713" s="82" t="str">
        <x:v>Security / Interlock / Audit</x:v>
      </x:c>
      <x:c r="C713" s="82" t="str">
        <x:v>CAP-SEC01-008</x:v>
      </x:c>
      <x:c r="D713" s="82" t="str">
        <x:v>Postcondition</x:v>
      </x:c>
      <x:c r="E713" s="82" t="str">
        <x:v>执行后验证。</x:v>
      </x:c>
      <x:c r="F713" s="82" t="str"/>
      <x:c r="G713" s="82" t="str">
        <x:v>原基线478项</x:v>
      </x:c>
      <x:c r="H713" s="82" t="str">
        <x:v>原始能力契约；未按对象数量推算完成度</x:v>
      </x:c>
    </x:row>
    <x:row r="714">
      <x:c r="A714" s="82" t="str">
        <x:v>资源与治理</x:v>
      </x:c>
      <x:c r="B714" s="82" t="str">
        <x:v>Security / Interlock / Audit</x:v>
      </x:c>
      <x:c r="C714" s="82" t="str">
        <x:v>CAP-SEC01-009</x:v>
      </x:c>
      <x:c r="D714" s="82" t="str">
        <x:v>Audit Gate</x:v>
      </x:c>
      <x:c r="E714" s="82" t="str">
        <x:v>高风险操作强制记录Who/When/What/Before/After/Result。</x:v>
      </x:c>
      <x:c r="F714" s="82" t="str"/>
      <x:c r="G714" s="82" t="str">
        <x:v>原基线478项</x:v>
      </x:c>
      <x:c r="H714" s="82" t="str">
        <x:v>原始能力契约；未按对象数量推算完成度</x:v>
      </x:c>
    </x:row>
    <x:row r="715">
      <x:c r="A715" s="82" t="str">
        <x:v>资源与治理</x:v>
      </x:c>
      <x:c r="B715" s="82" t="str">
        <x:v>Security / Interlock / Audit</x:v>
      </x:c>
      <x:c r="C715" s="82" t="str">
        <x:v>CAP-SEC01-010</x:v>
      </x:c>
      <x:c r="D715" s="82" t="str">
        <x:v>Confirmation/Approval</x:v>
      </x:c>
      <x:c r="E715" s="82" t="str">
        <x:v>危险动作确认/双人审批等扩展机制。</x:v>
      </x:c>
      <x:c r="F715" s="82" t="str"/>
      <x:c r="G715" s="82" t="str">
        <x:v>原基线478项</x:v>
      </x:c>
      <x:c r="H715" s="82" t="str">
        <x:v>原始能力契约；未按对象数量推算完成度</x:v>
      </x:c>
    </x:row>
    <x:row r="716">
      <x:c r="A716" s="82" t="str">
        <x:v>资源与治理</x:v>
      </x:c>
      <x:c r="B716" s="82" t="str">
        <x:v>Security / Interlock / Audit</x:v>
      </x:c>
      <x:c r="C716" s="82" t="str">
        <x:v>CAP-SEC01-011</x:v>
      </x:c>
      <x:c r="D716" s="82" t="str">
        <x:v>Raw Access Boundary</x:v>
      </x:c>
      <x:c r="E716" s="82" t="str">
        <x:v>维修Raw PLC/Device Access仅Maintenance权限开放。</x:v>
      </x:c>
      <x:c r="F716" s="82" t="str"/>
      <x:c r="G716" s="82" t="str">
        <x:v>原基线478项</x:v>
      </x:c>
      <x:c r="H716" s="82" t="str">
        <x:v>原始能力契约；未按对象数量推算完成度</x:v>
      </x:c>
    </x:row>
    <x:row r="717">
      <x:c r="A717" s="82" t="str">
        <x:v>资源与治理</x:v>
      </x:c>
      <x:c r="B717" s="82" t="str">
        <x:v>Security / Interlock / Audit</x:v>
      </x:c>
      <x:c r="C717" s="82" t="str">
        <x:v>CAP-SEC01-012</x:v>
      </x:c>
      <x:c r="D717" s="82" t="str">
        <x:v>Security Context Propagation</x:v>
      </x:c>
      <x:c r="E717" s="82" t="str">
        <x:v>Invocation/Worker携带Caller/Role/Mode上下文。</x:v>
      </x:c>
      <x:c r="F717" s="82" t="str"/>
      <x:c r="G717" s="82" t="str">
        <x:v>原基线478项</x:v>
      </x:c>
      <x:c r="H717" s="82" t="str">
        <x:v>原始能力契约；未按对象数量推算完成度</x:v>
      </x:c>
    </x:row>
    <x:row r="718">
      <x:c r="A718" s="82" t="str">
        <x:v>资源与治理</x:v>
      </x:c>
      <x:c r="B718" s="82" t="str">
        <x:v>Security / Interlock / Audit</x:v>
      </x:c>
      <x:c r="C718" s="82" t="str">
        <x:v>CAP-SEC01-013</x:v>
      </x:c>
      <x:c r="D718" s="82" t="str">
        <x:v>凭据与Secret安全托管</x:v>
      </x:c>
      <x:c r="E718" s="82" t="str">
        <x:v>设备密码、Token、证书及密钥以SecretRef托管，工程包/日志/Trace不保存明文。</x:v>
      </x:c>
      <x:c r="F718" s="82" t="str"/>
      <x:c r="G718" s="82" t="str">
        <x:v>原Mechanism子方面补强</x:v>
      </x:c>
      <x:c r="H718" s="82" t="str">
        <x:v>原始能力契约；未按对象数量推算完成度</x:v>
      </x:c>
    </x:row>
    <x:row r="719">
      <x:c r="A719" s="82" t="str">
        <x:v>资源与治理</x:v>
      </x:c>
      <x:c r="B719" s="82" t="str">
        <x:v>Security / Interlock / Audit</x:v>
      </x:c>
      <x:c r="C719" s="82" t="str">
        <x:v>CAP-SEC01-014</x:v>
      </x:c>
      <x:c r="D719" s="82" t="str">
        <x:v>凭据轮换与设备身份校验</x:v>
      </x:c>
      <x:c r="E719" s="82" t="str">
        <x:v>支持Secret版本/轮换/吊销以及机器、Provider、Worker身份验证与最小权限绑定。</x:v>
      </x:c>
      <x:c r="F719" s="82" t="str"/>
      <x:c r="G719" s="82" t="str">
        <x:v>原Mechanism子方面补强</x:v>
      </x:c>
      <x:c r="H719" s="82" t="str">
        <x:v>原始能力契约；未按对象数量推算完成度</x:v>
      </x:c>
    </x:row>
    <x:row r="720">
      <x:c r="A720" s="82" t="str">
        <x:v>编译与计划</x:v>
      </x:c>
      <x:c r="B720" s="82" t="str">
        <x:v>Validate / Resolve / Compile / Plan</x:v>
      </x:c>
      <x:c r="C720" s="82" t="str">
        <x:v>CAP-COMPILER01-001</x:v>
      </x:c>
      <x:c r="D720" s="82" t="str">
        <x:v>Structural Validation</x:v>
      </x:c>
      <x:c r="E720" s="82" t="str">
        <x:v>Ownership、Start/End、孤立Node、非法Edge等结构检查。</x:v>
      </x:c>
      <x:c r="F720" s="82" t="str">
        <x:v>Runtime不得直接执行Definition Node</x:v>
      </x:c>
      <x:c r="G720" s="82" t="str">
        <x:v>原基线478项</x:v>
      </x:c>
      <x:c r="H720" s="82" t="str">
        <x:v>原始能力契约；未按对象数量推算完成度</x:v>
      </x:c>
    </x:row>
    <x:row r="721">
      <x:c r="A721" s="82" t="str">
        <x:v>编译与计划</x:v>
      </x:c>
      <x:c r="B721" s="82" t="str">
        <x:v>Validate / Resolve / Compile / Plan</x:v>
      </x:c>
      <x:c r="C721" s="82" t="str">
        <x:v>CAP-COMPILER01-002</x:v>
      </x:c>
      <x:c r="D721" s="82" t="str">
        <x:v>Type Validation</x:v>
      </x:c>
      <x:c r="E721" s="82" t="str">
        <x:v>Port/Variable/Parameter Type/Unit兼容。</x:v>
      </x:c>
      <x:c r="F721" s="82" t="str"/>
      <x:c r="G721" s="82" t="str">
        <x:v>原基线478项</x:v>
      </x:c>
      <x:c r="H721" s="82" t="str">
        <x:v>原始能力契约；未按对象数量推算完成度</x:v>
      </x:c>
    </x:row>
    <x:row r="722">
      <x:c r="A722" s="82" t="str">
        <x:v>编译与计划</x:v>
      </x:c>
      <x:c r="B722" s="82" t="str">
        <x:v>Validate / Resolve / Compile / Plan</x:v>
      </x:c>
      <x:c r="C722" s="82" t="str">
        <x:v>CAP-COMPILER01-003</x:v>
      </x:c>
      <x:c r="D722" s="82" t="str">
        <x:v>Reference Resolve</x:v>
      </x:c>
      <x:c r="E722" s="82" t="str">
        <x:v>解析Resource/Variable/Content/Symbol/Endpoint等引用。</x:v>
      </x:c>
      <x:c r="F722" s="82" t="str"/>
      <x:c r="G722" s="82" t="str">
        <x:v>原基线478项</x:v>
      </x:c>
      <x:c r="H722" s="82" t="str">
        <x:v>原始能力契约；未按对象数量推算完成度</x:v>
      </x:c>
    </x:row>
    <x:row r="723">
      <x:c r="A723" s="82" t="str">
        <x:v>编译与计划</x:v>
      </x:c>
      <x:c r="B723" s="82" t="str">
        <x:v>Validate / Resolve / Compile / Plan</x:v>
      </x:c>
      <x:c r="C723" s="82" t="str">
        <x:v>CAP-COMPILER01-004</x:v>
      </x:c>
      <x:c r="D723" s="82" t="str">
        <x:v>Cycle Validation</x:v>
      </x:c>
      <x:c r="E723" s="82" t="str">
        <x:v>检测非法Ownership/Invocation/Graph依赖环。</x:v>
      </x:c>
      <x:c r="F723" s="82" t="str"/>
      <x:c r="G723" s="82" t="str">
        <x:v>原基线478项</x:v>
      </x:c>
      <x:c r="H723" s="82" t="str">
        <x:v>原始能力契约；未按对象数量推算完成度</x:v>
      </x:c>
    </x:row>
    <x:row r="724">
      <x:c r="A724" s="82" t="str">
        <x:v>编译与计划</x:v>
      </x:c>
      <x:c r="B724" s="82" t="str">
        <x:v>Validate / Resolve / Compile / Plan</x:v>
      </x:c>
      <x:c r="C724" s="82" t="str">
        <x:v>CAP-COMPILER01-005</x:v>
      </x:c>
      <x:c r="D724" s="82" t="str">
        <x:v>Capability Resolve</x:v>
      </x:c>
      <x:c r="E724" s="82" t="str">
        <x:v>确认Provider/Worker/Device具有所需Capability。</x:v>
      </x:c>
      <x:c r="F724" s="82" t="str"/>
      <x:c r="G724" s="82" t="str">
        <x:v>原基线478项</x:v>
      </x:c>
      <x:c r="H724" s="82" t="str">
        <x:v>原始能力契约；未按对象数量推算完成度</x:v>
      </x:c>
    </x:row>
    <x:row r="725">
      <x:c r="A725" s="82" t="str">
        <x:v>编译与计划</x:v>
      </x:c>
      <x:c r="B725" s="82" t="str">
        <x:v>Validate / Resolve / Compile / Plan</x:v>
      </x:c>
      <x:c r="C725" s="82" t="str">
        <x:v>CAP-COMPILER01-006</x:v>
      </x:c>
      <x:c r="D725" s="82" t="str">
        <x:v>Security Resolve</x:v>
      </x:c>
      <x:c r="E725" s="82" t="str">
        <x:v>验证Permission/RunMode/Interlock引用有效。</x:v>
      </x:c>
      <x:c r="F725" s="82" t="str"/>
      <x:c r="G725" s="82" t="str">
        <x:v>原基线478项</x:v>
      </x:c>
      <x:c r="H725" s="82" t="str">
        <x:v>原始能力契约；未按对象数量推算完成度</x:v>
      </x:c>
    </x:row>
    <x:row r="726">
      <x:c r="A726" s="82" t="str">
        <x:v>编译与计划</x:v>
      </x:c>
      <x:c r="B726" s="82" t="str">
        <x:v>Validate / Resolve / Compile / Plan</x:v>
      </x:c>
      <x:c r="C726" s="82" t="str">
        <x:v>CAP-COMPILER01-007</x:v>
      </x:c>
      <x:c r="D726" s="82" t="str">
        <x:v>Resource Resolve</x:v>
      </x:c>
      <x:c r="E726" s="82" t="str">
        <x:v>验证资源需求、候选、冲突与Placement。</x:v>
      </x:c>
      <x:c r="F726" s="82" t="str"/>
      <x:c r="G726" s="82" t="str">
        <x:v>原基线478项</x:v>
      </x:c>
      <x:c r="H726" s="82" t="str">
        <x:v>原始能力契约；未按对象数量推算完成度</x:v>
      </x:c>
    </x:row>
    <x:row r="727">
      <x:c r="A727" s="82" t="str">
        <x:v>编译与计划</x:v>
      </x:c>
      <x:c r="B727" s="82" t="str">
        <x:v>Validate / Resolve / Compile / Plan</x:v>
      </x:c>
      <x:c r="C727" s="82" t="str">
        <x:v>CAP-COMPILER01-008</x:v>
      </x:c>
      <x:c r="D727" s="82" t="str">
        <x:v>Placement Resolve</x:v>
      </x:c>
      <x:c r="E727" s="82" t="str">
        <x:v>决定Local/Controller/GPU/Remote执行位置。</x:v>
      </x:c>
      <x:c r="F727" s="82" t="str"/>
      <x:c r="G727" s="82" t="str">
        <x:v>原基线478项</x:v>
      </x:c>
      <x:c r="H727" s="82" t="str">
        <x:v>原始能力契约；未按对象数量推算完成度</x:v>
      </x:c>
    </x:row>
    <x:row r="728">
      <x:c r="A728" s="82" t="str">
        <x:v>编译与计划</x:v>
      </x:c>
      <x:c r="B728" s="82" t="str">
        <x:v>Validate / Resolve / Compile / Plan</x:v>
      </x:c>
      <x:c r="C728" s="82" t="str">
        <x:v>CAP-COMPILER01-009</x:v>
      </x:c>
      <x:c r="D728" s="82" t="str">
        <x:v>Missing Plugin</x:v>
      </x:c>
      <x:c r="E728" s="82" t="str">
        <x:v>缺插件/Node/Provider时保留诊断与Placeholder。</x:v>
      </x:c>
      <x:c r="F728" s="82" t="str"/>
      <x:c r="G728" s="82" t="str">
        <x:v>原基线478项</x:v>
      </x:c>
      <x:c r="H728" s="82" t="str">
        <x:v>原始能力契约；未按对象数量推算完成度</x:v>
      </x:c>
    </x:row>
    <x:row r="729">
      <x:c r="A729" s="82" t="str">
        <x:v>编译与计划</x:v>
      </x:c>
      <x:c r="B729" s="82" t="str">
        <x:v>Validate / Resolve / Compile / Plan</x:v>
      </x:c>
      <x:c r="C729" s="82" t="str">
        <x:v>CAP-COMPILER01-010</x:v>
      </x:c>
      <x:c r="D729" s="82" t="str">
        <x:v>Version Compatibility</x:v>
      </x:c>
      <x:c r="E729" s="82" t="str">
        <x:v>Project/Node/Protocol/Provider/Manifest兼容检查。</x:v>
      </x:c>
      <x:c r="F729" s="82" t="str"/>
      <x:c r="G729" s="82" t="str">
        <x:v>原基线478项</x:v>
      </x:c>
      <x:c r="H729" s="82" t="str">
        <x:v>原始能力契约；未按对象数量推算完成度</x:v>
      </x:c>
    </x:row>
    <x:row r="730">
      <x:c r="A730" s="82" t="str">
        <x:v>编译与计划</x:v>
      </x:c>
      <x:c r="B730" s="82" t="str">
        <x:v>Validate / Resolve / Compile / Plan</x:v>
      </x:c>
      <x:c r="C730" s="82" t="str">
        <x:v>CAP-COMPILER01-011</x:v>
      </x:c>
      <x:c r="D730" s="82" t="str">
        <x:v>Resolved Project</x:v>
      </x:c>
      <x:c r="E730" s="82" t="str">
        <x:v>产生只含稳定Resolved Reference的中间模型。</x:v>
      </x:c>
      <x:c r="F730" s="82" t="str"/>
      <x:c r="G730" s="82" t="str">
        <x:v>原基线478项</x:v>
      </x:c>
      <x:c r="H730" s="82" t="str">
        <x:v>原始能力契约；未按对象数量推算完成度</x:v>
      </x:c>
    </x:row>
    <x:row r="731">
      <x:c r="A731" s="82" t="str">
        <x:v>编译与计划</x:v>
      </x:c>
      <x:c r="B731" s="82" t="str">
        <x:v>Validate / Resolve / Compile / Plan</x:v>
      </x:c>
      <x:c r="C731" s="82" t="str">
        <x:v>CAP-COMPILER01-012</x:v>
      </x:c>
      <x:c r="D731" s="82" t="str">
        <x:v>Compile Context</x:v>
      </x:c>
      <x:c r="E731" s="82" t="str">
        <x:v>携带Target/Mode/Capability/Version的编译上下文。</x:v>
      </x:c>
      <x:c r="F731" s="82" t="str"/>
      <x:c r="G731" s="82" t="str">
        <x:v>原基线478项</x:v>
      </x:c>
      <x:c r="H731" s="82" t="str">
        <x:v>原始能力契约；未按对象数量推算完成度</x:v>
      </x:c>
    </x:row>
    <x:row r="732">
      <x:c r="A732" s="82" t="str">
        <x:v>编译与计划</x:v>
      </x:c>
      <x:c r="B732" s="82" t="str">
        <x:v>Validate / Resolve / Compile / Plan</x:v>
      </x:c>
      <x:c r="C732" s="82" t="str">
        <x:v>CAP-COMPILER01-013</x:v>
      </x:c>
      <x:c r="D732" s="82" t="str">
        <x:v>Execution IR</x:v>
      </x:c>
      <x:c r="E732" s="82" t="str">
        <x:v>生成ExecutionNode/Dependency/Policy/Metadata等IR。</x:v>
      </x:c>
      <x:c r="F732" s="82" t="str"/>
      <x:c r="G732" s="82" t="str">
        <x:v>原基线478项</x:v>
      </x:c>
      <x:c r="H732" s="82" t="str">
        <x:v>原始能力契约；未按对象数量推算完成度</x:v>
      </x:c>
    </x:row>
    <x:row r="733">
      <x:c r="A733" s="82" t="str">
        <x:v>编译与计划</x:v>
      </x:c>
      <x:c r="B733" s="82" t="str">
        <x:v>Validate / Resolve / Compile / Plan</x:v>
      </x:c>
      <x:c r="C733" s="82" t="str">
        <x:v>CAP-COMPILER01-014</x:v>
      </x:c>
      <x:c r="D733" s="82" t="str">
        <x:v>Execution Plan</x:v>
      </x:c>
      <x:c r="E733" s="82" t="str">
        <x:v>生成Runtime可直接消费的计划。</x:v>
      </x:c>
      <x:c r="F733" s="82" t="str"/>
      <x:c r="G733" s="82" t="str">
        <x:v>原基线478项</x:v>
      </x:c>
      <x:c r="H733" s="82" t="str">
        <x:v>原始能力契约；未按对象数量推算完成度</x:v>
      </x:c>
    </x:row>
    <x:row r="734">
      <x:c r="A734" s="82" t="str">
        <x:v>编译与计划</x:v>
      </x:c>
      <x:c r="B734" s="82" t="str">
        <x:v>Validate / Resolve / Compile / Plan</x:v>
      </x:c>
      <x:c r="C734" s="82" t="str">
        <x:v>CAP-COMPILER01-015</x:v>
      </x:c>
      <x:c r="D734" s="82" t="str">
        <x:v>Resource/Deployment Plan</x:v>
      </x:c>
      <x:c r="E734" s="82" t="str">
        <x:v>生成资源/Worker/部署Binding计划。</x:v>
      </x:c>
      <x:c r="F734" s="82" t="str"/>
      <x:c r="G734" s="82" t="str">
        <x:v>原基线478项</x:v>
      </x:c>
      <x:c r="H734" s="82" t="str">
        <x:v>原始能力契约；未按对象数量推算完成度</x:v>
      </x:c>
    </x:row>
    <x:row r="735">
      <x:c r="A735" s="82" t="str">
        <x:v>编译与计划</x:v>
      </x:c>
      <x:c r="B735" s="82" t="str">
        <x:v>Validate / Resolve / Compile / Plan</x:v>
      </x:c>
      <x:c r="C735" s="82" t="str">
        <x:v>CAP-COMPILER01-016</x:v>
      </x:c>
      <x:c r="D735" s="82" t="str">
        <x:v>Compile Diagnostics</x:v>
      </x:c>
      <x:c r="E735" s="82" t="str">
        <x:v>错误/警告/Hint与Source Location。</x:v>
      </x:c>
      <x:c r="F735" s="82" t="str"/>
      <x:c r="G735" s="82" t="str">
        <x:v>原基线478项</x:v>
      </x:c>
      <x:c r="H735" s="82" t="str">
        <x:v>原始能力契约；未按对象数量推算完成度</x:v>
      </x:c>
    </x:row>
    <x:row r="736">
      <x:c r="A736" s="82" t="str">
        <x:v>编译与计划</x:v>
      </x:c>
      <x:c r="B736" s="82" t="str">
        <x:v>Validate / Resolve / Compile / Plan</x:v>
      </x:c>
      <x:c r="C736" s="82" t="str">
        <x:v>CAP-COMPILER01-017</x:v>
      </x:c>
      <x:c r="D736" s="82" t="str">
        <x:v>跨域契约联合核验</x:v>
      </x:c>
      <x:c r="E736" s="82" t="str">
        <x:v>Resolve/Compile联合检查ClockDomain、Unit、ConsistencyMode、Evidence需求与Resource约束，并给出SourceLocation。</x:v>
      </x:c>
      <x:c r="F736" s="82" t="str"/>
      <x:c r="G736" s="82" t="str">
        <x:v>原Mechanism子方面补强</x:v>
      </x:c>
      <x:c r="H736" s="82" t="str">
        <x:v>原始能力契约；未按对象数量推算完成度</x:v>
      </x:c>
    </x:row>
    <x:row r="737">
      <x:c r="A737" s="82" t="str">
        <x:v>运行时</x:v>
      </x:c>
      <x:c r="B737" s="82" t="str">
        <x:v>Runtime Kernel / Instance / Scope / Context</x:v>
      </x:c>
      <x:c r="C737" s="82" t="str">
        <x:v>CAP-RT01-001</x:v>
      </x:c>
      <x:c r="D737" s="82" t="str">
        <x:v>Project Runtime Host</x:v>
      </x:c>
      <x:c r="E737" s="82" t="str">
        <x:v>加载已发布Manifest/Plan并管理Runtime Service。</x:v>
      </x:c>
      <x:c r="F737" s="82" t="str">
        <x:v>Kernel不应成为万能GraphExecutor</x:v>
      </x:c>
      <x:c r="G737" s="82" t="str">
        <x:v>原基线478项</x:v>
      </x:c>
      <x:c r="H737" s="82" t="str">
        <x:v>原始能力契约；未按对象数量推算完成度</x:v>
      </x:c>
    </x:row>
    <x:row r="738">
      <x:c r="A738" s="82" t="str">
        <x:v>运行时</x:v>
      </x:c>
      <x:c r="B738" s="82" t="str">
        <x:v>Runtime Kernel / Instance / Scope / Context</x:v>
      </x:c>
      <x:c r="C738" s="82" t="str">
        <x:v>CAP-RT01-002</x:v>
      </x:c>
      <x:c r="D738" s="82" t="str">
        <x:v>Runtime Session</x:v>
      </x:c>
      <x:c r="E738" s="82" t="str">
        <x:v>一次运行会话、Mode、Version、Target、Correlation根。</x:v>
      </x:c>
      <x:c r="F738" s="82" t="str"/>
      <x:c r="G738" s="82" t="str">
        <x:v>原基线478项</x:v>
      </x:c>
      <x:c r="H738" s="82" t="str">
        <x:v>原始能力契约；未按对象数量推算完成度</x:v>
      </x:c>
    </x:row>
    <x:row r="739">
      <x:c r="A739" s="82" t="str">
        <x:v>运行时</x:v>
      </x:c>
      <x:c r="B739" s="82" t="str">
        <x:v>Runtime Kernel / Instance / Scope / Context</x:v>
      </x:c>
      <x:c r="C739" s="82" t="str">
        <x:v>CAP-RT01-003</x:v>
      </x:c>
      <x:c r="D739" s="82" t="str">
        <x:v>Execution Instance</x:v>
      </x:c>
      <x:c r="E739" s="82" t="str">
        <x:v>Definition的一次真实执行实例，具有独立InstanceId和State。</x:v>
      </x:c>
      <x:c r="F739" s="82" t="str"/>
      <x:c r="G739" s="82" t="str">
        <x:v>原基线478项</x:v>
      </x:c>
      <x:c r="H739" s="82" t="str">
        <x:v>原始能力契约；未按对象数量推算完成度</x:v>
      </x:c>
    </x:row>
    <x:row r="740">
      <x:c r="A740" s="82" t="str">
        <x:v>运行时</x:v>
      </x:c>
      <x:c r="B740" s="82" t="str">
        <x:v>Runtime Kernel / Instance / Scope / Context</x:v>
      </x:c>
      <x:c r="C740" s="82" t="str">
        <x:v>CAP-RT01-004</x:v>
      </x:c>
      <x:c r="D740" s="82" t="str">
        <x:v>Execution Tree</x:v>
      </x:c>
      <x:c r="E740" s="82" t="str">
        <x:v>父子Invocation/MultiInstance形成动态实例树。</x:v>
      </x:c>
      <x:c r="F740" s="82" t="str"/>
      <x:c r="G740" s="82" t="str">
        <x:v>原基线478项</x:v>
      </x:c>
      <x:c r="H740" s="82" t="str">
        <x:v>原始能力契约；未按对象数量推算完成度</x:v>
      </x:c>
    </x:row>
    <x:row r="741">
      <x:c r="A741" s="82" t="str">
        <x:v>运行时</x:v>
      </x:c>
      <x:c r="B741" s="82" t="str">
        <x:v>Runtime Kernel / Instance / Scope / Context</x:v>
      </x:c>
      <x:c r="C741" s="82" t="str">
        <x:v>CAP-RT01-005</x:v>
      </x:c>
      <x:c r="D741" s="82" t="str">
        <x:v>Execution Scope</x:v>
      </x:c>
      <x:c r="E741" s="82" t="str">
        <x:v>结构化Scope、Local、Child、Cancellation和资源生命周期。</x:v>
      </x:c>
      <x:c r="F741" s="82" t="str"/>
      <x:c r="G741" s="82" t="str">
        <x:v>原基线478项</x:v>
      </x:c>
      <x:c r="H741" s="82" t="str">
        <x:v>原始能力契约；未按对象数量推算完成度</x:v>
      </x:c>
    </x:row>
    <x:row r="742">
      <x:c r="A742" s="82" t="str">
        <x:v>运行时</x:v>
      </x:c>
      <x:c r="B742" s="82" t="str">
        <x:v>Runtime Kernel / Instance / Scope / Context</x:v>
      </x:c>
      <x:c r="C742" s="82" t="str">
        <x:v>CAP-RT01-006</x:v>
      </x:c>
      <x:c r="D742" s="82" t="str">
        <x:v>Execution Context</x:v>
      </x:c>
      <x:c r="E742" s="82" t="str">
        <x:v>Session/Correlation/RunMode/Services/Clock/Caller。</x:v>
      </x:c>
      <x:c r="F742" s="82" t="str"/>
      <x:c r="G742" s="82" t="str">
        <x:v>原基线478项</x:v>
      </x:c>
      <x:c r="H742" s="82" t="str">
        <x:v>原始能力契约；未按对象数量推算完成度</x:v>
      </x:c>
    </x:row>
    <x:row r="743">
      <x:c r="A743" s="82" t="str">
        <x:v>运行时</x:v>
      </x:c>
      <x:c r="B743" s="82" t="str">
        <x:v>Runtime Kernel / Instance / Scope / Context</x:v>
      </x:c>
      <x:c r="C743" s="82" t="str">
        <x:v>CAP-RT01-007</x:v>
      </x:c>
      <x:c r="D743" s="82" t="str">
        <x:v>Lifecycle</x:v>
      </x:c>
      <x:c r="E743" s="82" t="str">
        <x:v>Create/Start/Pause/Resume/Stop/Restart/Dispose。</x:v>
      </x:c>
      <x:c r="F743" s="82" t="str"/>
      <x:c r="G743" s="82" t="str">
        <x:v>原基线478项</x:v>
      </x:c>
      <x:c r="H743" s="82" t="str">
        <x:v>原始能力契约；未按对象数量推算完成度</x:v>
      </x:c>
    </x:row>
    <x:row r="744">
      <x:c r="A744" s="82" t="str">
        <x:v>运行时</x:v>
      </x:c>
      <x:c r="B744" s="82" t="str">
        <x:v>Runtime Kernel / Instance / Scope / Context</x:v>
      </x:c>
      <x:c r="C744" s="82" t="str">
        <x:v>CAP-RT01-008</x:v>
      </x:c>
      <x:c r="D744" s="82" t="str">
        <x:v>Cancellation</x:v>
      </x:c>
      <x:c r="E744" s="82" t="str">
        <x:v>取消Token、传播、原因与最终状态。</x:v>
      </x:c>
      <x:c r="F744" s="82" t="str"/>
      <x:c r="G744" s="82" t="str">
        <x:v>原基线478项</x:v>
      </x:c>
      <x:c r="H744" s="82" t="str">
        <x:v>原始能力契约；未按对象数量推算完成度</x:v>
      </x:c>
    </x:row>
    <x:row r="745">
      <x:c r="A745" s="82" t="str">
        <x:v>运行时</x:v>
      </x:c>
      <x:c r="B745" s="82" t="str">
        <x:v>Runtime Kernel / Instance / Scope / Context</x:v>
      </x:c>
      <x:c r="C745" s="82" t="str">
        <x:v>CAP-RT01-009</x:v>
      </x:c>
      <x:c r="D745" s="82" t="str">
        <x:v>Definition Version Binding</x:v>
      </x:c>
      <x:c r="E745" s="82" t="str">
        <x:v>Instance永久绑定Definition/Manifest版本。</x:v>
      </x:c>
      <x:c r="F745" s="82" t="str"/>
      <x:c r="G745" s="82" t="str">
        <x:v>原基线478项</x:v>
      </x:c>
      <x:c r="H745" s="82" t="str">
        <x:v>原始能力契约；未按对象数量推算完成度</x:v>
      </x:c>
    </x:row>
    <x:row r="746">
      <x:c r="A746" s="82" t="str">
        <x:v>运行时</x:v>
      </x:c>
      <x:c r="B746" s="82" t="str">
        <x:v>Runtime Kernel / Instance / Scope / Context</x:v>
      </x:c>
      <x:c r="C746" s="82" t="str">
        <x:v>CAP-RT01-010</x:v>
      </x:c>
      <x:c r="D746" s="82" t="str">
        <x:v>Correlation</x:v>
      </x:c>
      <x:c r="E746" s="82" t="str">
        <x:v>跨Node/Invocation/Worker全链路Correlation。</x:v>
      </x:c>
      <x:c r="F746" s="82" t="str"/>
      <x:c r="G746" s="82" t="str">
        <x:v>原基线478项</x:v>
      </x:c>
      <x:c r="H746" s="82" t="str">
        <x:v>原始能力契约；未按对象数量推算完成度</x:v>
      </x:c>
    </x:row>
    <x:row r="747">
      <x:c r="A747" s="82" t="str">
        <x:v>运行时</x:v>
      </x:c>
      <x:c r="B747" s="82" t="str">
        <x:v>Runtime Kernel / Instance / Scope / Context</x:v>
      </x:c>
      <x:c r="C747" s="82" t="str">
        <x:v>CAP-RT01-011</x:v>
      </x:c>
      <x:c r="D747" s="82" t="str">
        <x:v>Instance Filtering</x:v>
      </x:c>
      <x:c r="E747" s="82" t="str">
        <x:v>按SN/Task/Worker/State/Definition筛选运行实例。</x:v>
      </x:c>
      <x:c r="F747" s="82" t="str"/>
      <x:c r="G747" s="82" t="str">
        <x:v>原基线478项</x:v>
      </x:c>
      <x:c r="H747" s="82" t="str">
        <x:v>原始能力契约；未按对象数量推算完成度</x:v>
      </x:c>
    </x:row>
    <x:row r="748">
      <x:c r="A748" s="82" t="str">
        <x:v>运行时</x:v>
      </x:c>
      <x:c r="B748" s="82" t="str">
        <x:v>Runtime Data / Event / Resource Planes</x:v>
      </x:c>
      <x:c r="C748" s="82" t="str">
        <x:v>CAP-RT02-001</x:v>
      </x:c>
      <x:c r="D748" s="82" t="str">
        <x:v>Runtime Data Scope</x:v>
      </x:c>
      <x:c r="E748" s="82" t="str">
        <x:v>Input/Output/Local/Result/DataHandle运行数据作用域。</x:v>
      </x:c>
      <x:c r="F748" s="82" t="str">
        <x:v>Definition与Runtime状态永久分离</x:v>
      </x:c>
      <x:c r="G748" s="82" t="str">
        <x:v>原基线478项</x:v>
      </x:c>
      <x:c r="H748" s="82" t="str">
        <x:v>原始能力契约；未按对象数量推算完成度</x:v>
      </x:c>
    </x:row>
    <x:row r="749">
      <x:c r="A749" s="82" t="str">
        <x:v>运行时</x:v>
      </x:c>
      <x:c r="B749" s="82" t="str">
        <x:v>Runtime Data / Event / Resource Planes</x:v>
      </x:c>
      <x:c r="C749" s="82" t="str">
        <x:v>CAP-RT02-002</x:v>
      </x:c>
      <x:c r="D749" s="82" t="str">
        <x:v>Runtime Event Bus</x:v>
      </x:c>
      <x:c r="E749" s="82" t="str">
        <x:v>结构化Runtime Event发布/订阅。</x:v>
      </x:c>
      <x:c r="F749" s="82" t="str"/>
      <x:c r="G749" s="82" t="str">
        <x:v>原基线478项</x:v>
      </x:c>
      <x:c r="H749" s="82" t="str">
        <x:v>原始能力契约；未按对象数量推算完成度</x:v>
      </x:c>
    </x:row>
    <x:row r="750">
      <x:c r="A750" s="82" t="str">
        <x:v>运行时</x:v>
      </x:c>
      <x:c r="B750" s="82" t="str">
        <x:v>Runtime Data / Event / Resource Planes</x:v>
      </x:c>
      <x:c r="C750" s="82" t="str">
        <x:v>CAP-RT02-003</x:v>
      </x:c>
      <x:c r="D750" s="82" t="str">
        <x:v>Runtime Resource Scope</x:v>
      </x:c>
      <x:c r="E750" s="82" t="str">
        <x:v>当前Resource Requirement/Lease/Wait可见性。</x:v>
      </x:c>
      <x:c r="F750" s="82" t="str"/>
      <x:c r="G750" s="82" t="str">
        <x:v>原基线478项</x:v>
      </x:c>
      <x:c r="H750" s="82" t="str">
        <x:v>原始能力契约；未按对象数量推算完成度</x:v>
      </x:c>
    </x:row>
    <x:row r="751">
      <x:c r="A751" s="82" t="str">
        <x:v>运行时</x:v>
      </x:c>
      <x:c r="B751" s="82" t="str">
        <x:v>Runtime Data / Event / Resource Planes</x:v>
      </x:c>
      <x:c r="C751" s="82" t="str">
        <x:v>CAP-RT02-004</x:v>
      </x:c>
      <x:c r="D751" s="82" t="str">
        <x:v>Runtime State</x:v>
      </x:c>
      <x:c r="E751" s="82" t="str">
        <x:v>Ready/Queued/Running/Waiting/Completed/Faulted等统一状态。</x:v>
      </x:c>
      <x:c r="F751" s="82" t="str"/>
      <x:c r="G751" s="82" t="str">
        <x:v>原基线478项</x:v>
      </x:c>
      <x:c r="H751" s="82" t="str">
        <x:v>原始能力契约；未按对象数量推算完成度</x:v>
      </x:c>
    </x:row>
    <x:row r="752">
      <x:c r="A752" s="82" t="str">
        <x:v>运行时</x:v>
      </x:c>
      <x:c r="B752" s="82" t="str">
        <x:v>Runtime Data / Event / Resource Planes</x:v>
      </x:c>
      <x:c r="C752" s="82" t="str">
        <x:v>CAP-RT02-005</x:v>
      </x:c>
      <x:c r="D752" s="82" t="str">
        <x:v>Node Runtime State</x:v>
      </x:c>
      <x:c r="E752" s="82" t="str">
        <x:v>每个Node/Operation的运行状态与次数。</x:v>
      </x:c>
      <x:c r="F752" s="82" t="str"/>
      <x:c r="G752" s="82" t="str">
        <x:v>原基线478项</x:v>
      </x:c>
      <x:c r="H752" s="82" t="str">
        <x:v>原始能力契约；未按对象数量推算完成度</x:v>
      </x:c>
    </x:row>
    <x:row r="753">
      <x:c r="A753" s="82" t="str">
        <x:v>运行时</x:v>
      </x:c>
      <x:c r="B753" s="82" t="str">
        <x:v>Runtime Data / Event / Resource Planes</x:v>
      </x:c>
      <x:c r="C753" s="82" t="str">
        <x:v>CAP-RT02-006</x:v>
      </x:c>
      <x:c r="D753" s="82" t="str">
        <x:v>Edge Runtime State</x:v>
      </x:c>
      <x:c r="E753" s="82" t="str">
        <x:v>Flow执行次数、Data Rate、LastEvent、Resource Lease等边状态。</x:v>
      </x:c>
      <x:c r="F753" s="82" t="str"/>
      <x:c r="G753" s="82" t="str">
        <x:v>原基线478项</x:v>
      </x:c>
      <x:c r="H753" s="82" t="str">
        <x:v>原始能力契约；未按对象数量推算完成度</x:v>
      </x:c>
    </x:row>
    <x:row r="754">
      <x:c r="A754" s="82" t="str">
        <x:v>运行时</x:v>
      </x:c>
      <x:c r="B754" s="82" t="str">
        <x:v>Runtime Data / Event / Resource Planes</x:v>
      </x:c>
      <x:c r="C754" s="82" t="str">
        <x:v>CAP-RT02-007</x:v>
      </x:c>
      <x:c r="D754" s="82" t="str">
        <x:v>Waiting Reason</x:v>
      </x:c>
      <x:c r="E754" s="82" t="str">
        <x:v>Resource/Event/External/Timer/Join/Retry等等待原因。</x:v>
      </x:c>
      <x:c r="F754" s="82" t="str"/>
      <x:c r="G754" s="82" t="str">
        <x:v>原基线478项</x:v>
      </x:c>
      <x:c r="H754" s="82" t="str">
        <x:v>原始能力契约；未按对象数量推算完成度</x:v>
      </x:c>
    </x:row>
    <x:row r="755">
      <x:c r="A755" s="82" t="str">
        <x:v>运行时</x:v>
      </x:c>
      <x:c r="B755" s="82" t="str">
        <x:v>Runtime Data / Event / Resource Planes</x:v>
      </x:c>
      <x:c r="C755" s="82" t="str">
        <x:v>CAP-RT02-008</x:v>
      </x:c>
      <x:c r="D755" s="82" t="str">
        <x:v>Progress Snapshot</x:v>
      </x:c>
      <x:c r="E755" s="82" t="str">
        <x:v>Long Job/Node/Workflow结构化进度。</x:v>
      </x:c>
      <x:c r="F755" s="82" t="str"/>
      <x:c r="G755" s="82" t="str">
        <x:v>原基线478项</x:v>
      </x:c>
      <x:c r="H755" s="82" t="str">
        <x:v>原始能力契约；未按对象数量推算完成度</x:v>
      </x:c>
    </x:row>
    <x:row r="756">
      <x:c r="A756" s="82" t="str">
        <x:v>运行时</x:v>
      </x:c>
      <x:c r="B756" s="82" t="str">
        <x:v>Runtime Data / Event / Resource Planes</x:v>
      </x:c>
      <x:c r="C756" s="82" t="str">
        <x:v>CAP-RT02-009</x:v>
      </x:c>
      <x:c r="D756" s="82" t="str">
        <x:v>Runtime Snapshot</x:v>
      </x:c>
      <x:c r="E756" s="82" t="str">
        <x:v>某时刻变量/状态/Scope快照。</x:v>
      </x:c>
      <x:c r="F756" s="82" t="str"/>
      <x:c r="G756" s="82" t="str">
        <x:v>原基线478项</x:v>
      </x:c>
      <x:c r="H756" s="82" t="str">
        <x:v>原始能力契约；未按对象数量推算完成度</x:v>
      </x:c>
    </x:row>
    <x:row r="757">
      <x:c r="A757" s="82" t="str">
        <x:v>运行时</x:v>
      </x:c>
      <x:c r="B757" s="82" t="str">
        <x:v>Runtime Data / Event / Resource Planes</x:v>
      </x:c>
      <x:c r="C757" s="82" t="str">
        <x:v>CAP-RT02-010</x:v>
      </x:c>
      <x:c r="D757" s="82" t="str">
        <x:v>Fault Detail</x:v>
      </x:c>
      <x:c r="E757" s="82" t="str">
        <x:v>FaultCode/Cause/Inner/Source/Severity/Retryable。</x:v>
      </x:c>
      <x:c r="F757" s="82" t="str"/>
      <x:c r="G757" s="82" t="str">
        <x:v>原基线478项</x:v>
      </x:c>
      <x:c r="H757" s="82" t="str">
        <x:v>原始能力契约；未按对象数量推算完成度</x:v>
      </x:c>
    </x:row>
    <x:row r="758">
      <x:c r="A758" s="82" t="str">
        <x:v>运行时</x:v>
      </x:c>
      <x:c r="B758" s="82" t="str">
        <x:v>Runtime Data / Event / Resource Planes</x:v>
      </x:c>
      <x:c r="C758" s="82" t="str">
        <x:v>CAP-RT02-011</x:v>
      </x:c>
      <x:c r="D758" s="82" t="str">
        <x:v>Retry State</x:v>
      </x:c>
      <x:c r="E758" s="82" t="str">
        <x:v>Attempt/NextRetry/Backoff/LastFault。</x:v>
      </x:c>
      <x:c r="F758" s="82" t="str"/>
      <x:c r="G758" s="82" t="str">
        <x:v>原基线478项</x:v>
      </x:c>
      <x:c r="H758" s="82" t="str">
        <x:v>原始能力契约；未按对象数量推算完成度</x:v>
      </x:c>
    </x:row>
    <x:row r="759">
      <x:c r="A759" s="82" t="str">
        <x:v>运行时</x:v>
      </x:c>
      <x:c r="B759" s="82" t="str">
        <x:v>Runtime Data / Event / Resource Planes</x:v>
      </x:c>
      <x:c r="C759" s="82" t="str">
        <x:v>CAP-RT02-012</x:v>
      </x:c>
      <x:c r="D759" s="82" t="str">
        <x:v>Recovery State</x:v>
      </x:c>
      <x:c r="E759" s="82" t="str">
        <x:v>Recovering Step/Result/Resume Point。</x:v>
      </x:c>
      <x:c r="F759" s="82" t="str"/>
      <x:c r="G759" s="82" t="str">
        <x:v>原基线478项</x:v>
      </x:c>
      <x:c r="H759" s="82" t="str">
        <x:v>原始能力契约；未按对象数量推算完成度</x:v>
      </x:c>
    </x:row>
    <x:row r="760">
      <x:c r="A760" s="82" t="str">
        <x:v>运行时</x:v>
      </x:c>
      <x:c r="B760" s="82" t="str">
        <x:v>Runtime Data / Event / Resource Planes</x:v>
      </x:c>
      <x:c r="C760" s="82" t="str">
        <x:v>CAP-RT02-013</x:v>
      </x:c>
      <x:c r="D760" s="82" t="str">
        <x:v>Placement State</x:v>
      </x:c>
      <x:c r="E760" s="82" t="str">
        <x:v>实际Worker/GPU/Target/Queue。</x:v>
      </x:c>
      <x:c r="F760" s="82" t="str"/>
      <x:c r="G760" s="82" t="str">
        <x:v>原基线478项</x:v>
      </x:c>
      <x:c r="H760" s="82" t="str">
        <x:v>原始能力契约；未按对象数量推算完成度</x:v>
      </x:c>
    </x:row>
    <x:row r="761">
      <x:c r="A761" s="82" t="str">
        <x:v>运行时</x:v>
      </x:c>
      <x:c r="B761" s="82" t="str">
        <x:v>Runtime Data / Event / Resource Planes</x:v>
      </x:c>
      <x:c r="C761" s="82" t="str">
        <x:v>CAP-RT02-014</x:v>
      </x:c>
      <x:c r="D761" s="82" t="str">
        <x:v>Worker Health State</x:v>
      </x:c>
      <x:c r="E761" s="82" t="str">
        <x:v>Worker负载/内存/GPU/心跳/版本。</x:v>
      </x:c>
      <x:c r="F761" s="82" t="str"/>
      <x:c r="G761" s="82" t="str">
        <x:v>原基线478项</x:v>
      </x:c>
      <x:c r="H761" s="82" t="str">
        <x:v>原始能力契约；未按对象数量推算完成度</x:v>
      </x:c>
    </x:row>
    <x:row r="762">
      <x:c r="A762" s="82" t="str">
        <x:v>运行时</x:v>
      </x:c>
      <x:c r="B762" s="82" t="str">
        <x:v>Runtime Data / Event / Resource Planes</x:v>
      </x:c>
      <x:c r="C762" s="82" t="str">
        <x:v>CAP-RT02-015</x:v>
      </x:c>
      <x:c r="D762" s="82" t="str">
        <x:v>运行态数据引用与回收</x:v>
      </x:c>
      <x:c r="E762" s="82" t="str">
        <x:v>ExecutionScope之间以稳定DataRef/Handle传递，异常/取消/并行Join后能追溯并正确释放。</x:v>
      </x:c>
      <x:c r="F762" s="82" t="str"/>
      <x:c r="G762" s="82" t="str">
        <x:v>原Mechanism子方面补强</x:v>
      </x:c>
      <x:c r="H762" s="82" t="str">
        <x:v>原始能力契约；未按对象数量推算完成度</x:v>
      </x:c>
    </x:row>
    <x:row r="763">
      <x:c r="A763" s="82" t="str">
        <x:v>运行时</x:v>
      </x:c>
      <x:c r="B763" s="82" t="str">
        <x:v>Runtime Visual / Monitor</x:v>
      </x:c>
      <x:c r="C763" s="82" t="str">
        <x:v>CAP-RT03-001</x:v>
      </x:c>
      <x:c r="D763" s="82" t="str">
        <x:v>Runtime Overlay</x:v>
      </x:c>
      <x:c r="E763" s="82" t="str">
        <x:v>在Definition图叠加当前Instance/Node/Edge状态。</x:v>
      </x:c>
      <x:c r="F763" s="82" t="str">
        <x:v>运行态不是简单节点红绿高亮</x:v>
      </x:c>
      <x:c r="G763" s="82" t="str">
        <x:v>原基线478项</x:v>
      </x:c>
      <x:c r="H763" s="82" t="str">
        <x:v>原始能力契约；未按对象数量推算完成度</x:v>
      </x:c>
    </x:row>
    <x:row r="764">
      <x:c r="A764" s="82" t="str">
        <x:v>运行时</x:v>
      </x:c>
      <x:c r="B764" s="82" t="str">
        <x:v>Runtime Visual / Monitor</x:v>
      </x:c>
      <x:c r="C764" s="82" t="str">
        <x:v>CAP-RT03-002</x:v>
      </x:c>
      <x:c r="D764" s="82" t="str">
        <x:v>Execution Instance Tree</x:v>
      </x:c>
      <x:c r="E764" s="82" t="str">
        <x:v>显示父子实例、多产品、多ROI/设备实例。</x:v>
      </x:c>
      <x:c r="F764" s="82" t="str"/>
      <x:c r="G764" s="82" t="str">
        <x:v>原基线478项</x:v>
      </x:c>
      <x:c r="H764" s="82" t="str">
        <x:v>原始能力契约；未按对象数量推算完成度</x:v>
      </x:c>
    </x:row>
    <x:row r="765">
      <x:c r="A765" s="82" t="str">
        <x:v>运行时</x:v>
      </x:c>
      <x:c r="B765" s="82" t="str">
        <x:v>Runtime Visual / Monitor</x:v>
      </x:c>
      <x:c r="C765" s="82" t="str">
        <x:v>CAP-RT03-003</x:v>
      </x:c>
      <x:c r="D765" s="82" t="str">
        <x:v>Resource Tree</x:v>
      </x:c>
      <x:c r="E765" s="82" t="str">
        <x:v>显示资源Owner/Mode/Lease/WaitQueue/Health。</x:v>
      </x:c>
      <x:c r="F765" s="82" t="str"/>
      <x:c r="G765" s="82" t="str">
        <x:v>原基线478项</x:v>
      </x:c>
      <x:c r="H765" s="82" t="str">
        <x:v>原始能力契约；未按对象数量推算完成度</x:v>
      </x:c>
    </x:row>
    <x:row r="766">
      <x:c r="A766" s="82" t="str">
        <x:v>运行时</x:v>
      </x:c>
      <x:c r="B766" s="82" t="str">
        <x:v>Runtime Visual / Monitor</x:v>
      </x:c>
      <x:c r="C766" s="82" t="str">
        <x:v>CAP-RT03-004</x:v>
      </x:c>
      <x:c r="D766" s="82" t="str">
        <x:v>Event Stream</x:v>
      </x:c>
      <x:c r="E766" s="82" t="str">
        <x:v>结构化事件流按时间/Correlation/Source过滤。</x:v>
      </x:c>
      <x:c r="F766" s="82" t="str"/>
      <x:c r="G766" s="82" t="str">
        <x:v>原基线478项</x:v>
      </x:c>
      <x:c r="H766" s="82" t="str">
        <x:v>原始能力契约；未按对象数量推算完成度</x:v>
      </x:c>
    </x:row>
    <x:row r="767">
      <x:c r="A767" s="82" t="str">
        <x:v>运行时</x:v>
      </x:c>
      <x:c r="B767" s="82" t="str">
        <x:v>Runtime Visual / Monitor</x:v>
      </x:c>
      <x:c r="C767" s="82" t="str">
        <x:v>CAP-RT03-005</x:v>
      </x:c>
      <x:c r="D767" s="82" t="str">
        <x:v>Data Probe</x:v>
      </x:c>
      <x:c r="E767" s="82" t="str">
        <x:v>查看Node/Port/Variable/DataHandle摘要与专业Viewer入口。</x:v>
      </x:c>
      <x:c r="F767" s="82" t="str"/>
      <x:c r="G767" s="82" t="str">
        <x:v>原基线478项</x:v>
      </x:c>
      <x:c r="H767" s="82" t="str">
        <x:v>原始能力契约；未按对象数量推算完成度</x:v>
      </x:c>
    </x:row>
    <x:row r="768">
      <x:c r="A768" s="82" t="str">
        <x:v>运行时</x:v>
      </x:c>
      <x:c r="B768" s="82" t="str">
        <x:v>Runtime Visual / Monitor</x:v>
      </x:c>
      <x:c r="C768" s="82" t="str">
        <x:v>CAP-RT03-006</x:v>
      </x:c>
      <x:c r="D768" s="82" t="str">
        <x:v>Runtime Inspector</x:v>
      </x:c>
      <x:c r="E768" s="82" t="str">
        <x:v>选中Instance/Node显示State/Data/Resource/Policy/Fault。</x:v>
      </x:c>
      <x:c r="F768" s="82" t="str"/>
      <x:c r="G768" s="82" t="str">
        <x:v>原基线478项</x:v>
      </x:c>
      <x:c r="H768" s="82" t="str">
        <x:v>原始能力契约；未按对象数量推算完成度</x:v>
      </x:c>
    </x:row>
    <x:row r="769">
      <x:c r="A769" s="82" t="str">
        <x:v>运行时</x:v>
      </x:c>
      <x:c r="B769" s="82" t="str">
        <x:v>Runtime Visual / Monitor</x:v>
      </x:c>
      <x:c r="C769" s="82" t="str">
        <x:v>CAP-RT03-007</x:v>
      </x:c>
      <x:c r="D769" s="82" t="str">
        <x:v>Placement/Worker View</x:v>
      </x:c>
      <x:c r="E769" s="82" t="str">
        <x:v>显示执行位置、Worker、GPU、Queue和Health。</x:v>
      </x:c>
      <x:c r="F769" s="82" t="str"/>
      <x:c r="G769" s="82" t="str">
        <x:v>原基线478项</x:v>
      </x:c>
      <x:c r="H769" s="82" t="str">
        <x:v>原始能力契约；未按对象数量推算完成度</x:v>
      </x:c>
    </x:row>
    <x:row r="770">
      <x:c r="A770" s="82" t="str">
        <x:v>运行时</x:v>
      </x:c>
      <x:c r="B770" s="82" t="str">
        <x:v>Runtime Visual / Monitor</x:v>
      </x:c>
      <x:c r="C770" s="82" t="str">
        <x:v>CAP-RT03-008</x:v>
      </x:c>
      <x:c r="D770" s="82" t="str">
        <x:v>Queue/Backpressure View</x:v>
      </x:c>
      <x:c r="E770" s="82" t="str">
        <x:v>显示Buffer使用率、Rate、Dropped、Backpressure。</x:v>
      </x:c>
      <x:c r="F770" s="82" t="str"/>
      <x:c r="G770" s="82" t="str">
        <x:v>原基线478项</x:v>
      </x:c>
      <x:c r="H770" s="82" t="str">
        <x:v>原始能力契约；未按对象数量推算完成度</x:v>
      </x:c>
    </x:row>
    <x:row r="771">
      <x:c r="A771" s="82" t="str">
        <x:v>运行时</x:v>
      </x:c>
      <x:c r="B771" s="82" t="str">
        <x:v>Runtime Visual / Monitor</x:v>
      </x:c>
      <x:c r="C771" s="82" t="str">
        <x:v>CAP-RT03-009</x:v>
      </x:c>
      <x:c r="D771" s="82" t="str">
        <x:v>Fault/Retry View</x:v>
      </x:c>
      <x:c r="E771" s="82" t="str">
        <x:v>错误链、Retry、Fallback、Recovery当前状态。</x:v>
      </x:c>
      <x:c r="F771" s="82" t="str"/>
      <x:c r="G771" s="82" t="str">
        <x:v>原基线478项</x:v>
      </x:c>
      <x:c r="H771" s="82" t="str">
        <x:v>原始能力契约；未按对象数量推算完成度</x:v>
      </x:c>
    </x:row>
    <x:row r="772">
      <x:c r="A772" s="82" t="str">
        <x:v>运行时</x:v>
      </x:c>
      <x:c r="B772" s="82" t="str">
        <x:v>Runtime Visual / Monitor</x:v>
      </x:c>
      <x:c r="C772" s="82" t="str">
        <x:v>CAP-RT03-010</x:v>
      </x:c>
      <x:c r="D772" s="82" t="str">
        <x:v>Definition→Runtime</x:v>
      </x:c>
      <x:c r="E772" s="82" t="str">
        <x:v>从Definition对象列出所有活跃/历史实例。</x:v>
      </x:c>
      <x:c r="F772" s="82" t="str"/>
      <x:c r="G772" s="82" t="str">
        <x:v>原基线478项</x:v>
      </x:c>
      <x:c r="H772" s="82" t="str">
        <x:v>原始能力契约；未按对象数量推算完成度</x:v>
      </x:c>
    </x:row>
    <x:row r="773">
      <x:c r="A773" s="82" t="str">
        <x:v>运行时</x:v>
      </x:c>
      <x:c r="B773" s="82" t="str">
        <x:v>Runtime Visual / Monitor</x:v>
      </x:c>
      <x:c r="C773" s="82" t="str">
        <x:v>CAP-RT03-011</x:v>
      </x:c>
      <x:c r="D773" s="82" t="str">
        <x:v>Runtime→Definition</x:v>
      </x:c>
      <x:c r="E773" s="82" t="str">
        <x:v>从Instance/Fault/Trace跳回Definition节点/资源。</x:v>
      </x:c>
      <x:c r="F773" s="82" t="str"/>
      <x:c r="G773" s="82" t="str">
        <x:v>原基线478项</x:v>
      </x:c>
      <x:c r="H773" s="82" t="str">
        <x:v>原始能力契约；未按对象数量推算完成度</x:v>
      </x:c>
    </x:row>
    <x:row r="774">
      <x:c r="A774" s="82" t="str">
        <x:v>运行时</x:v>
      </x:c>
      <x:c r="B774" s="82" t="str">
        <x:v>Runtime Visual / Monitor</x:v>
      </x:c>
      <x:c r="C774" s="82" t="str">
        <x:v>CAP-RT03-012</x:v>
      </x:c>
      <x:c r="D774" s="82" t="str">
        <x:v>Runtime Filter</x:v>
      </x:c>
      <x:c r="E774" s="82" t="str">
        <x:v>按Instance/State/Resource/Product/Worker过滤复杂运行图。</x:v>
      </x:c>
      <x:c r="F774" s="82" t="str"/>
      <x:c r="G774" s="82" t="str">
        <x:v>原基线478项</x:v>
      </x:c>
      <x:c r="H774" s="82" t="str">
        <x:v>原始能力契约；未按对象数量推算完成度</x:v>
      </x:c>
    </x:row>
    <x:row r="775">
      <x:c r="A775" s="82" t="str">
        <x:v>运行时</x:v>
      </x:c>
      <x:c r="B775" s="82" t="str">
        <x:v>Debug / Trace / Timeline / Performance / Replay</x:v>
      </x:c>
      <x:c r="C775" s="82" t="str">
        <x:v>CAP-DBG01-001</x:v>
      </x:c>
      <x:c r="D775" s="82" t="str">
        <x:v>Node Breakpoint</x:v>
      </x:c>
      <x:c r="E775" s="82" t="str">
        <x:v>Node进入/离开或指定Phase断点。</x:v>
      </x:c>
      <x:c r="F775" s="82" t="str">
        <x:v>域决定是否允许Pause/Step/Inject</x:v>
      </x:c>
      <x:c r="G775" s="82" t="str">
        <x:v>原基线478项</x:v>
      </x:c>
      <x:c r="H775" s="82" t="str">
        <x:v>原始能力契约；未按对象数量推算完成度</x:v>
      </x:c>
    </x:row>
    <x:row r="776">
      <x:c r="A776" s="82" t="str">
        <x:v>运行时</x:v>
      </x:c>
      <x:c r="B776" s="82" t="str">
        <x:v>Debug / Trace / Timeline / Performance / Replay</x:v>
      </x:c>
      <x:c r="C776" s="82" t="str">
        <x:v>CAP-DBG01-002</x:v>
      </x:c>
      <x:c r="D776" s="82" t="str">
        <x:v>Edge Breakpoint</x:v>
      </x:c>
      <x:c r="E776" s="82" t="str">
        <x:v>Flow/Data/Event边满足条件时断点。</x:v>
      </x:c>
      <x:c r="F776" s="82" t="str"/>
      <x:c r="G776" s="82" t="str">
        <x:v>原基线478项</x:v>
      </x:c>
      <x:c r="H776" s="82" t="str">
        <x:v>原始能力契约；未按对象数量推算完成度</x:v>
      </x:c>
    </x:row>
    <x:row r="777">
      <x:c r="A777" s="82" t="str">
        <x:v>运行时</x:v>
      </x:c>
      <x:c r="B777" s="82" t="str">
        <x:v>Debug / Trace / Timeline / Performance / Replay</x:v>
      </x:c>
      <x:c r="C777" s="82" t="str">
        <x:v>CAP-DBG01-003</x:v>
      </x:c>
      <x:c r="D777" s="82" t="str">
        <x:v>Event Breakpoint</x:v>
      </x:c>
      <x:c r="E777" s="82" t="str">
        <x:v>指定Runtime Event/Payload断点。</x:v>
      </x:c>
      <x:c r="F777" s="82" t="str"/>
      <x:c r="G777" s="82" t="str">
        <x:v>原基线478项</x:v>
      </x:c>
      <x:c r="H777" s="82" t="str">
        <x:v>原始能力契约；未按对象数量推算完成度</x:v>
      </x:c>
    </x:row>
    <x:row r="778">
      <x:c r="A778" s="82" t="str">
        <x:v>运行时</x:v>
      </x:c>
      <x:c r="B778" s="82" t="str">
        <x:v>Debug / Trace / Timeline / Performance / Replay</x:v>
      </x:c>
      <x:c r="C778" s="82" t="str">
        <x:v>CAP-DBG01-004</x:v>
      </x:c>
      <x:c r="D778" s="82" t="str">
        <x:v>Data Breakpoint</x:v>
      </x:c>
      <x:c r="E778" s="82" t="str">
        <x:v>Variable/Port值变化或条件断点。</x:v>
      </x:c>
      <x:c r="F778" s="82" t="str"/>
      <x:c r="G778" s="82" t="str">
        <x:v>原基线478项</x:v>
      </x:c>
      <x:c r="H778" s="82" t="str">
        <x:v>原始能力契约；未按对象数量推算完成度</x:v>
      </x:c>
    </x:row>
    <x:row r="779">
      <x:c r="A779" s="82" t="str">
        <x:v>运行时</x:v>
      </x:c>
      <x:c r="B779" s="82" t="str">
        <x:v>Debug / Trace / Timeline / Performance / Replay</x:v>
      </x:c>
      <x:c r="C779" s="82" t="str">
        <x:v>CAP-DBG01-005</x:v>
      </x:c>
      <x:c r="D779" s="82" t="str">
        <x:v>Fault Breakpoint</x:v>
      </x:c>
      <x:c r="E779" s="82" t="str">
        <x:v>FaultCode/Severity断点。</x:v>
      </x:c>
      <x:c r="F779" s="82" t="str"/>
      <x:c r="G779" s="82" t="str">
        <x:v>原基线478项</x:v>
      </x:c>
      <x:c r="H779" s="82" t="str">
        <x:v>原始能力契约；未按对象数量推算完成度</x:v>
      </x:c>
    </x:row>
    <x:row r="780">
      <x:c r="A780" s="82" t="str">
        <x:v>运行时</x:v>
      </x:c>
      <x:c r="B780" s="82" t="str">
        <x:v>Debug / Trace / Timeline / Performance / Replay</x:v>
      </x:c>
      <x:c r="C780" s="82" t="str">
        <x:v>CAP-DBG01-006</x:v>
      </x:c>
      <x:c r="D780" s="82" t="str">
        <x:v>Conditional Breakpoint</x:v>
      </x:c>
      <x:c r="E780" s="82" t="str">
        <x:v>表达式条件满足时暂停/捕获。</x:v>
      </x:c>
      <x:c r="F780" s="82" t="str"/>
      <x:c r="G780" s="82" t="str">
        <x:v>原基线478项</x:v>
      </x:c>
      <x:c r="H780" s="82" t="str">
        <x:v>原始能力契约；未按对象数量推算完成度</x:v>
      </x:c>
    </x:row>
    <x:row r="781">
      <x:c r="A781" s="82" t="str">
        <x:v>运行时</x:v>
      </x:c>
      <x:c r="B781" s="82" t="str">
        <x:v>Debug / Trace / Timeline / Performance / Replay</x:v>
      </x:c>
      <x:c r="C781" s="82" t="str">
        <x:v>CAP-DBG01-007</x:v>
      </x:c>
      <x:c r="D781" s="82" t="str">
        <x:v>Step Into/Over/Out</x:v>
      </x:c>
      <x:c r="E781" s="82" t="str">
        <x:v>对子图/Invocation/Node的结构化单步。</x:v>
      </x:c>
      <x:c r="F781" s="82" t="str"/>
      <x:c r="G781" s="82" t="str">
        <x:v>原基线478项</x:v>
      </x:c>
      <x:c r="H781" s="82" t="str">
        <x:v>原始能力契约；未按对象数量推算完成度</x:v>
      </x:c>
    </x:row>
    <x:row r="782">
      <x:c r="A782" s="82" t="str">
        <x:v>运行时</x:v>
      </x:c>
      <x:c r="B782" s="82" t="str">
        <x:v>Debug / Trace / Timeline / Performance / Replay</x:v>
      </x:c>
      <x:c r="C782" s="82" t="str">
        <x:v>CAP-DBG01-008</x:v>
      </x:c>
      <x:c r="D782" s="82" t="str">
        <x:v>Watch</x:v>
      </x:c>
      <x:c r="E782" s="82" t="str">
        <x:v>Variable/Port/Expression/Data摘要实时观察。</x:v>
      </x:c>
      <x:c r="F782" s="82" t="str"/>
      <x:c r="G782" s="82" t="str">
        <x:v>原基线478项</x:v>
      </x:c>
      <x:c r="H782" s="82" t="str">
        <x:v>原始能力契约；未按对象数量推算完成度</x:v>
      </x:c>
    </x:row>
    <x:row r="783">
      <x:c r="A783" s="82" t="str">
        <x:v>运行时</x:v>
      </x:c>
      <x:c r="B783" s="82" t="str">
        <x:v>Debug / Trace / Timeline / Performance / Replay</x:v>
      </x:c>
      <x:c r="C783" s="82" t="str">
        <x:v>CAP-DBG01-009</x:v>
      </x:c>
      <x:c r="D783" s="82" t="str">
        <x:v>Execution Trace</x:v>
      </x:c>
      <x:c r="E783" s="82" t="str">
        <x:v>结构化Node/Invocation/State/Fault轨迹。</x:v>
      </x:c>
      <x:c r="F783" s="82" t="str"/>
      <x:c r="G783" s="82" t="str">
        <x:v>原基线478项</x:v>
      </x:c>
      <x:c r="H783" s="82" t="str">
        <x:v>原始能力契约；未按对象数量推算完成度</x:v>
      </x:c>
    </x:row>
    <x:row r="784">
      <x:c r="A784" s="82" t="str">
        <x:v>运行时</x:v>
      </x:c>
      <x:c r="B784" s="82" t="str">
        <x:v>Debug / Trace / Timeline / Performance / Replay</x:v>
      </x:c>
      <x:c r="C784" s="82" t="str">
        <x:v>CAP-DBG01-010</x:v>
      </x:c>
      <x:c r="D784" s="82" t="str">
        <x:v>Correlation Trace</x:v>
      </x:c>
      <x:c r="E784" s="82" t="str">
        <x:v>跨Workbench/Worker追踪同一业务链。</x:v>
      </x:c>
      <x:c r="F784" s="82" t="str"/>
      <x:c r="G784" s="82" t="str">
        <x:v>原基线478项</x:v>
      </x:c>
      <x:c r="H784" s="82" t="str">
        <x:v>原始能力契约；未按对象数量推算完成度</x:v>
      </x:c>
    </x:row>
    <x:row r="785">
      <x:c r="A785" s="82" t="str">
        <x:v>运行时</x:v>
      </x:c>
      <x:c r="B785" s="82" t="str">
        <x:v>Debug / Trace / Timeline / Performance / Replay</x:v>
      </x:c>
      <x:c r="C785" s="82" t="str">
        <x:v>CAP-DBG01-011</x:v>
      </x:c>
      <x:c r="D785" s="82" t="str">
        <x:v>Timeline</x:v>
      </x:c>
      <x:c r="E785" s="82" t="str">
        <x:v>按Execution/Worker/Resource显示并行、等待、耗时。</x:v>
      </x:c>
      <x:c r="F785" s="82" t="str"/>
      <x:c r="G785" s="82" t="str">
        <x:v>原基线478项</x:v>
      </x:c>
      <x:c r="H785" s="82" t="str">
        <x:v>原始能力契约；未按对象数量推算完成度</x:v>
      </x:c>
    </x:row>
    <x:row r="786">
      <x:c r="A786" s="82" t="str">
        <x:v>运行时</x:v>
      </x:c>
      <x:c r="B786" s="82" t="str">
        <x:v>Debug / Trace / Timeline / Performance / Replay</x:v>
      </x:c>
      <x:c r="C786" s="82" t="str">
        <x:v>CAP-DBG01-012</x:v>
      </x:c>
      <x:c r="D786" s="82" t="str">
        <x:v>Metrics</x:v>
      </x:c>
      <x:c r="E786" s="82" t="str">
        <x:v>Duration/Rate/QueueLatency/CPU/GPU/Memory等。</x:v>
      </x:c>
      <x:c r="F786" s="82" t="str"/>
      <x:c r="G786" s="82" t="str">
        <x:v>原基线478项</x:v>
      </x:c>
      <x:c r="H786" s="82" t="str">
        <x:v>原始能力契约；未按对象数量推算完成度</x:v>
      </x:c>
    </x:row>
    <x:row r="787">
      <x:c r="A787" s="82" t="str">
        <x:v>运行时</x:v>
      </x:c>
      <x:c r="B787" s="82" t="str">
        <x:v>Debug / Trace / Timeline / Performance / Replay</x:v>
      </x:c>
      <x:c r="C787" s="82" t="str">
        <x:v>CAP-DBG01-013</x:v>
      </x:c>
      <x:c r="D787" s="82" t="str">
        <x:v>Critical Path</x:v>
      </x:c>
      <x:c r="E787" s="82" t="str">
        <x:v>识别当前/历史执行关键路径与瓶颈。</x:v>
      </x:c>
      <x:c r="F787" s="82" t="str"/>
      <x:c r="G787" s="82" t="str">
        <x:v>原基线478项</x:v>
      </x:c>
      <x:c r="H787" s="82" t="str">
        <x:v>原始能力契约；未按对象数量推算完成度</x:v>
      </x:c>
    </x:row>
    <x:row r="788">
      <x:c r="A788" s="82" t="str">
        <x:v>运行时</x:v>
      </x:c>
      <x:c r="B788" s="82" t="str">
        <x:v>Debug / Trace / Timeline / Performance / Replay</x:v>
      </x:c>
      <x:c r="C788" s="82" t="str">
        <x:v>CAP-DBG01-014</x:v>
      </x:c>
      <x:c r="D788" s="82" t="str">
        <x:v>Profiler</x:v>
      </x:c>
      <x:c r="E788" s="82" t="str">
        <x:v>Node/Worker/Provider性能分析。</x:v>
      </x:c>
      <x:c r="F788" s="82" t="str"/>
      <x:c r="G788" s="82" t="str">
        <x:v>原基线478项</x:v>
      </x:c>
      <x:c r="H788" s="82" t="str">
        <x:v>原始能力契约；未按对象数量推算完成度</x:v>
      </x:c>
    </x:row>
    <x:row r="789">
      <x:c r="A789" s="82" t="str">
        <x:v>运行时</x:v>
      </x:c>
      <x:c r="B789" s="82" t="str">
        <x:v>Debug / Trace / Timeline / Performance / Replay</x:v>
      </x:c>
      <x:c r="C789" s="82" t="str">
        <x:v>CAP-DBG01-015</x:v>
      </x:c>
      <x:c r="D789" s="82" t="str">
        <x:v>Replay Session</x:v>
      </x:c>
      <x:c r="E789" s="82" t="str">
        <x:v>加载历史Trace/Snapshot/Event以只读方式重放。</x:v>
      </x:c>
      <x:c r="F789" s="82" t="str"/>
      <x:c r="G789" s="82" t="str">
        <x:v>原基线478项</x:v>
      </x:c>
      <x:c r="H789" s="82" t="str">
        <x:v>原始能力契约；未按对象数量推算完成度</x:v>
      </x:c>
    </x:row>
    <x:row r="790">
      <x:c r="A790" s="82" t="str">
        <x:v>运行时</x:v>
      </x:c>
      <x:c r="B790" s="82" t="str">
        <x:v>Debug / Trace / Timeline / Performance / Replay</x:v>
      </x:c>
      <x:c r="C790" s="82" t="str">
        <x:v>CAP-DBG01-016</x:v>
      </x:c>
      <x:c r="D790" s="82" t="str">
        <x:v>Injection</x:v>
      </x:c>
      <x:c r="E790" s="82" t="str">
        <x:v>Simulation/Debug中受控注入Event/Input/Fault。</x:v>
      </x:c>
      <x:c r="F790" s="82" t="str"/>
      <x:c r="G790" s="82" t="str">
        <x:v>原基线478项</x:v>
      </x:c>
      <x:c r="H790" s="82" t="str">
        <x:v>原始能力契约；未按对象数量推算完成度</x:v>
      </x:c>
    </x:row>
    <x:row r="791">
      <x:c r="A791" s="82" t="str">
        <x:v>仿真与验证</x:v>
      </x:c>
      <x:c r="B791" s="82" t="str">
        <x:v>Simulation / Virtualization / Fault Injection</x:v>
      </x:c>
      <x:c r="C791" s="82" t="str">
        <x:v>CAP-SIM01-001</x:v>
      </x:c>
      <x:c r="D791" s="82" t="str">
        <x:v>Scenario Definition</x:v>
      </x:c>
      <x:c r="E791" s="82" t="str">
        <x:v>定义初始状态、刺激、阶段、断言和期望结果。</x:v>
      </x:c>
      <x:c r="F791" s="82" t="str">
        <x:v>不得复制第二套Real工程</x:v>
      </x:c>
      <x:c r="G791" s="82" t="str">
        <x:v>原基线478项</x:v>
      </x:c>
      <x:c r="H791" s="82" t="str">
        <x:v>原始能力契约；未按对象数量推算完成度</x:v>
      </x:c>
    </x:row>
    <x:row r="792">
      <x:c r="A792" s="82" t="str">
        <x:v>仿真与验证</x:v>
      </x:c>
      <x:c r="B792" s="82" t="str">
        <x:v>Simulation / Virtualization / Fault Injection</x:v>
      </x:c>
      <x:c r="C792" s="82" t="str">
        <x:v>CAP-SIM01-002</x:v>
      </x:c>
      <x:c r="D792" s="82" t="str">
        <x:v>Virtual Device</x:v>
      </x:c>
      <x:c r="E792" s="82" t="str">
        <x:v>实现真实Capability/Provider契约的虚拟设备。</x:v>
      </x:c>
      <x:c r="F792" s="82" t="str"/>
      <x:c r="G792" s="82" t="str">
        <x:v>原基线478项</x:v>
      </x:c>
      <x:c r="H792" s="82" t="str">
        <x:v>原始能力契约；未按对象数量推算完成度</x:v>
      </x:c>
    </x:row>
    <x:row r="793">
      <x:c r="A793" s="82" t="str">
        <x:v>仿真与验证</x:v>
      </x:c>
      <x:c r="B793" s="82" t="str">
        <x:v>Simulation / Virtualization / Fault Injection</x:v>
      </x:c>
      <x:c r="C793" s="82" t="str">
        <x:v>CAP-SIM01-003</x:v>
      </x:c>
      <x:c r="D793" s="82" t="str">
        <x:v>Virtual Plant</x:v>
      </x:c>
      <x:c r="E793" s="82" t="str">
        <x:v>设备/工艺环境简化物理模型及传感器/执行器耦合。</x:v>
      </x:c>
      <x:c r="F793" s="82" t="str"/>
      <x:c r="G793" s="82" t="str">
        <x:v>原基线478项</x:v>
      </x:c>
      <x:c r="H793" s="82" t="str">
        <x:v>原始能力契约；未按对象数量推算完成度</x:v>
      </x:c>
    </x:row>
    <x:row r="794">
      <x:c r="A794" s="82" t="str">
        <x:v>仿真与验证</x:v>
      </x:c>
      <x:c r="B794" s="82" t="str">
        <x:v>Simulation / Virtualization / Fault Injection</x:v>
      </x:c>
      <x:c r="C794" s="82" t="str">
        <x:v>CAP-SIM01-004</x:v>
      </x:c>
      <x:c r="D794" s="82" t="str">
        <x:v>Virtual Channel</x:v>
      </x:c>
      <x:c r="E794" s="82" t="str">
        <x:v>模拟连接、延迟、丢包、重连等Channel行为。</x:v>
      </x:c>
      <x:c r="F794" s="82" t="str"/>
      <x:c r="G794" s="82" t="str">
        <x:v>原基线478项</x:v>
      </x:c>
      <x:c r="H794" s="82" t="str">
        <x:v>原始能力契约；未按对象数量推算完成度</x:v>
      </x:c>
    </x:row>
    <x:row r="795">
      <x:c r="A795" s="82" t="str">
        <x:v>仿真与验证</x:v>
      </x:c>
      <x:c r="B795" s="82" t="str">
        <x:v>Simulation / Virtualization / Fault Injection</x:v>
      </x:c>
      <x:c r="C795" s="82" t="str">
        <x:v>CAP-SIM01-005</x:v>
      </x:c>
      <x:c r="D795" s="82" t="str">
        <x:v>Protocol Fault</x:v>
      </x:c>
      <x:c r="E795" s="82" t="str">
        <x:v>对Frame/Session注入协议错误、乱序、重复等。</x:v>
      </x:c>
      <x:c r="F795" s="82" t="str"/>
      <x:c r="G795" s="82" t="str">
        <x:v>原基线478项</x:v>
      </x:c>
      <x:c r="H795" s="82" t="str">
        <x:v>原始能力契约；未按对象数量推算完成度</x:v>
      </x:c>
    </x:row>
    <x:row r="796">
      <x:c r="A796" s="82" t="str">
        <x:v>仿真与验证</x:v>
      </x:c>
      <x:c r="B796" s="82" t="str">
        <x:v>Simulation / Virtualization / Fault Injection</x:v>
      </x:c>
      <x:c r="C796" s="82" t="str">
        <x:v>CAP-SIM01-006</x:v>
      </x:c>
      <x:c r="D796" s="82" t="str">
        <x:v>Virtual Time</x:v>
      </x:c>
      <x:c r="E796" s="82" t="str">
        <x:v>SimulationClock支持加速、暂停、Step、Determinism。</x:v>
      </x:c>
      <x:c r="F796" s="82" t="str"/>
      <x:c r="G796" s="82" t="str">
        <x:v>原基线478项</x:v>
      </x:c>
      <x:c r="H796" s="82" t="str">
        <x:v>原始能力契约；未按对象数量推算完成度</x:v>
      </x:c>
    </x:row>
    <x:row r="797">
      <x:c r="A797" s="82" t="str">
        <x:v>仿真与验证</x:v>
      </x:c>
      <x:c r="B797" s="82" t="str">
        <x:v>Simulation / Virtualization / Fault Injection</x:v>
      </x:c>
      <x:c r="C797" s="82" t="str">
        <x:v>CAP-SIM01-007</x:v>
      </x:c>
      <x:c r="D797" s="82" t="str">
        <x:v>Replay</x:v>
      </x:c>
      <x:c r="E797" s="82" t="str">
        <x:v>历史数据/事件/Trace映射为仿真输入。</x:v>
      </x:c>
      <x:c r="F797" s="82" t="str"/>
      <x:c r="G797" s="82" t="str">
        <x:v>原基线478项</x:v>
      </x:c>
      <x:c r="H797" s="82" t="str">
        <x:v>原始能力契约；未按对象数量推算完成度</x:v>
      </x:c>
    </x:row>
    <x:row r="798">
      <x:c r="A798" s="82" t="str">
        <x:v>仿真与验证</x:v>
      </x:c>
      <x:c r="B798" s="82" t="str">
        <x:v>Simulation / Virtualization / Fault Injection</x:v>
      </x:c>
      <x:c r="C798" s="82" t="str">
        <x:v>CAP-SIM01-008</x:v>
      </x:c>
      <x:c r="D798" s="82" t="str">
        <x:v>Fault Injection</x:v>
      </x:c>
      <x:c r="E798" s="82" t="str">
        <x:v>设备/网络/传感器/Worker故障注入。</x:v>
      </x:c>
      <x:c r="F798" s="82" t="str"/>
      <x:c r="G798" s="82" t="str">
        <x:v>原基线478项</x:v>
      </x:c>
      <x:c r="H798" s="82" t="str">
        <x:v>原始能力契约；未按对象数量推算完成度</x:v>
      </x:c>
    </x:row>
    <x:row r="799">
      <x:c r="A799" s="82" t="str">
        <x:v>仿真与验证</x:v>
      </x:c>
      <x:c r="B799" s="82" t="str">
        <x:v>Simulation / Virtualization / Fault Injection</x:v>
      </x:c>
      <x:c r="C799" s="82" t="str">
        <x:v>CAP-SIM01-009</x:v>
      </x:c>
      <x:c r="D799" s="82" t="str">
        <x:v>Hybrid/HIL</x:v>
      </x:c>
      <x:c r="E799" s="82" t="str">
        <x:v>Real+Virtual Provider组合和安全边界。</x:v>
      </x:c>
      <x:c r="F799" s="82" t="str"/>
      <x:c r="G799" s="82" t="str">
        <x:v>原基线478项</x:v>
      </x:c>
      <x:c r="H799" s="82" t="str">
        <x:v>原始能力契约；未按对象数量推算完成度</x:v>
      </x:c>
    </x:row>
    <x:row r="800">
      <x:c r="A800" s="82" t="str">
        <x:v>仿真与验证</x:v>
      </x:c>
      <x:c r="B800" s="82" t="str">
        <x:v>Simulation / Virtualization / Fault Injection</x:v>
      </x:c>
      <x:c r="C800" s="82" t="str">
        <x:v>CAP-SIM01-010</x:v>
      </x:c>
      <x:c r="D800" s="82" t="str">
        <x:v>Digital Twin Mapping</x:v>
      </x:c>
      <x:c r="E800" s="82" t="str">
        <x:v>Real Resource/Variable与Twin Model映射。</x:v>
      </x:c>
      <x:c r="F800" s="82" t="str"/>
      <x:c r="G800" s="82" t="str">
        <x:v>原基线478项</x:v>
      </x:c>
      <x:c r="H800" s="82" t="str">
        <x:v>原始能力契约；未按对象数量推算完成度</x:v>
      </x:c>
    </x:row>
    <x:row r="801">
      <x:c r="A801" s="82" t="str">
        <x:v>仿真与验证</x:v>
      </x:c>
      <x:c r="B801" s="82" t="str">
        <x:v>Simulation / Virtualization / Fault Injection</x:v>
      </x:c>
      <x:c r="C801" s="82" t="str">
        <x:v>CAP-SIM01-011</x:v>
      </x:c>
      <x:c r="D801" s="82" t="str">
        <x:v>Virtual Commissioning</x:v>
      </x:c>
      <x:c r="E801" s="82" t="str">
        <x:v>使用真实工程Definition对虚拟设备/Plant联调。</x:v>
      </x:c>
      <x:c r="F801" s="82" t="str"/>
      <x:c r="G801" s="82" t="str">
        <x:v>原基线478项</x:v>
      </x:c>
      <x:c r="H801" s="82" t="str">
        <x:v>原始能力契约；未按对象数量推算完成度</x:v>
      </x:c>
    </x:row>
    <x:row r="802">
      <x:c r="A802" s="82" t="str">
        <x:v>仿真与验证</x:v>
      </x:c>
      <x:c r="B802" s="82" t="str">
        <x:v>Simulation / Virtualization / Fault Injection</x:v>
      </x:c>
      <x:c r="C802" s="82" t="str">
        <x:v>CAP-SIM01-012</x:v>
      </x:c>
      <x:c r="D802" s="82" t="str">
        <x:v>State Compare</x:v>
      </x:c>
      <x:c r="E802" s="82" t="str">
        <x:v>Real/Replay/Golden状态与结果比较。</x:v>
      </x:c>
      <x:c r="F802" s="82" t="str"/>
      <x:c r="G802" s="82" t="str">
        <x:v>原基线478项</x:v>
      </x:c>
      <x:c r="H802" s="82" t="str">
        <x:v>原始能力契约；未按对象数量推算完成度</x:v>
      </x:c>
    </x:row>
    <x:row r="803">
      <x:c r="A803" s="82" t="str">
        <x:v>仿真与验证</x:v>
      </x:c>
      <x:c r="B803" s="82" t="str">
        <x:v>Simulation / Virtualization / Fault Injection</x:v>
      </x:c>
      <x:c r="C803" s="82" t="str">
        <x:v>CAP-SIM01-013</x:v>
      </x:c>
      <x:c r="D803" s="82" t="str">
        <x:v>Scenario Test</x:v>
      </x:c>
      <x:c r="E803" s="82" t="str">
        <x:v>自动执行场景、断言、Coverage和报告。</x:v>
      </x:c>
      <x:c r="F803" s="82" t="str"/>
      <x:c r="G803" s="82" t="str">
        <x:v>原基线478项</x:v>
      </x:c>
      <x:c r="H803" s="82" t="str">
        <x:v>原始能力契约；未按对象数量推算完成度</x:v>
      </x:c>
    </x:row>
    <x:row r="804">
      <x:c r="A804" s="82" t="str">
        <x:v>仿真与验证</x:v>
      </x:c>
      <x:c r="B804" s="82" t="str">
        <x:v>Simulation / Virtualization / Fault Injection</x:v>
      </x:c>
      <x:c r="C804" s="82" t="str">
        <x:v>CAP-SIM01-014</x:v>
      </x:c>
      <x:c r="D804" s="82" t="str">
        <x:v>Deterministic Seed</x:v>
      </x:c>
      <x:c r="E804" s="82" t="str">
        <x:v>随机模型Seed和可复现实验。</x:v>
      </x:c>
      <x:c r="F804" s="82" t="str"/>
      <x:c r="G804" s="82" t="str">
        <x:v>原基线478项</x:v>
      </x:c>
      <x:c r="H804" s="82" t="str">
        <x:v>原始能力契约；未按对象数量推算完成度</x:v>
      </x:c>
    </x:row>
    <x:row r="805">
      <x:c r="A805" s="82" t="str">
        <x:v>数据与工程治理</x:v>
      </x:c>
      <x:c r="B805" s="82" t="str">
        <x:v>History / Storage / Retention</x:v>
      </x:c>
      <x:c r="C805" s="82" t="str">
        <x:v>CAP-HIST01-001</x:v>
      </x:c>
      <x:c r="D805" s="82" t="str">
        <x:v>Historian Profile</x:v>
      </x:c>
      <x:c r="E805" s="82" t="str">
        <x:v>变量/指标采样、死区、聚合和保留策略。</x:v>
      </x:c>
      <x:c r="F805" s="82" t="str">
        <x:v>History不替代实时Variable/DataHandle</x:v>
      </x:c>
      <x:c r="G805" s="82" t="str">
        <x:v>原基线478项</x:v>
      </x:c>
      <x:c r="H805" s="82" t="str">
        <x:v>原始能力契约；未按对象数量推算完成度</x:v>
      </x:c>
    </x:row>
    <x:row r="806">
      <x:c r="A806" s="82" t="str">
        <x:v>数据与工程治理</x:v>
      </x:c>
      <x:c r="B806" s="82" t="str">
        <x:v>History / Storage / Retention</x:v>
      </x:c>
      <x:c r="C806" s="82" t="str">
        <x:v>CAP-HIST01-002</x:v>
      </x:c>
      <x:c r="D806" s="82" t="str">
        <x:v>History Write</x:v>
      </x:c>
      <x:c r="E806" s="82" t="str">
        <x:v>批量/异步可靠写入与失败缓冲。</x:v>
      </x:c>
      <x:c r="F806" s="82" t="str"/>
      <x:c r="G806" s="82" t="str">
        <x:v>原基线478项</x:v>
      </x:c>
      <x:c r="H806" s="82" t="str">
        <x:v>原始能力契约；未按对象数量推算完成度</x:v>
      </x:c>
    </x:row>
    <x:row r="807">
      <x:c r="A807" s="82" t="str">
        <x:v>数据与工程治理</x:v>
      </x:c>
      <x:c r="B807" s="82" t="str">
        <x:v>History / Storage / Retention</x:v>
      </x:c>
      <x:c r="C807" s="82" t="str">
        <x:v>CAP-HIST01-003</x:v>
      </x:c>
      <x:c r="D807" s="82" t="str">
        <x:v>History Query</x:v>
      </x:c>
      <x:c r="E807" s="82" t="str">
        <x:v>按时间/对象/Quality/聚合查询。</x:v>
      </x:c>
      <x:c r="F807" s="82" t="str"/>
      <x:c r="G807" s="82" t="str">
        <x:v>原基线478项</x:v>
      </x:c>
      <x:c r="H807" s="82" t="str">
        <x:v>原始能力契约；未按对象数量推算完成度</x:v>
      </x:c>
    </x:row>
    <x:row r="808">
      <x:c r="A808" s="82" t="str">
        <x:v>数据与工程治理</x:v>
      </x:c>
      <x:c r="B808" s="82" t="str">
        <x:v>History / Storage / Retention</x:v>
      </x:c>
      <x:c r="C808" s="82" t="str">
        <x:v>CAP-HIST01-004</x:v>
      </x:c>
      <x:c r="D808" s="82" t="str">
        <x:v>Aggregation</x:v>
      </x:c>
      <x:c r="E808" s="82" t="str">
        <x:v>Min/Max/Avg/Sum/Count/TimeWeighted等。</x:v>
      </x:c>
      <x:c r="F808" s="82" t="str"/>
      <x:c r="G808" s="82" t="str">
        <x:v>原基线478项</x:v>
      </x:c>
      <x:c r="H808" s="82" t="str">
        <x:v>原始能力契约；未按对象数量推算完成度</x:v>
      </x:c>
    </x:row>
    <x:row r="809">
      <x:c r="A809" s="82" t="str">
        <x:v>数据与工程治理</x:v>
      </x:c>
      <x:c r="B809" s="82" t="str">
        <x:v>History / Storage / Retention</x:v>
      </x:c>
      <x:c r="C809" s="82" t="str">
        <x:v>CAP-HIST01-005</x:v>
      </x:c>
      <x:c r="D809" s="82" t="str">
        <x:v>Retention</x:v>
      </x:c>
      <x:c r="E809" s="82" t="str">
        <x:v>冷热分层、归档、清理和合规保留。</x:v>
      </x:c>
      <x:c r="F809" s="82" t="str"/>
      <x:c r="G809" s="82" t="str">
        <x:v>原基线478项</x:v>
      </x:c>
      <x:c r="H809" s="82" t="str">
        <x:v>原始能力契约；未按对象数量推算完成度</x:v>
      </x:c>
    </x:row>
    <x:row r="810">
      <x:c r="A810" s="82" t="str">
        <x:v>数据与工程治理</x:v>
      </x:c>
      <x:c r="B810" s="82" t="str">
        <x:v>History / Storage / Retention</x:v>
      </x:c>
      <x:c r="C810" s="82" t="str">
        <x:v>CAP-HIST01-006</x:v>
      </x:c>
      <x:c r="D810" s="82" t="str">
        <x:v>Artifact Store</x:v>
      </x:c>
      <x:c r="E810" s="82" t="str">
        <x:v>Image/Projection/Volume/Report/Model等产物存储与引用。</x:v>
      </x:c>
      <x:c r="F810" s="82" t="str"/>
      <x:c r="G810" s="82" t="str">
        <x:v>原基线478项</x:v>
      </x:c>
      <x:c r="H810" s="82" t="str">
        <x:v>原始能力契约；未按对象数量推算完成度</x:v>
      </x:c>
    </x:row>
    <x:row r="811">
      <x:c r="A811" s="82" t="str">
        <x:v>数据与工程治理</x:v>
      </x:c>
      <x:c r="B811" s="82" t="str">
        <x:v>History / Storage / Retention</x:v>
      </x:c>
      <x:c r="C811" s="82" t="str">
        <x:v>CAP-HIST01-007</x:v>
      </x:c>
      <x:c r="D811" s="82" t="str">
        <x:v>Snapshot Store</x:v>
      </x:c>
      <x:c r="E811" s="82" t="str">
        <x:v>Runtime/Variable/State快照存储。</x:v>
      </x:c>
      <x:c r="F811" s="82" t="str"/>
      <x:c r="G811" s="82" t="str">
        <x:v>原基线478项</x:v>
      </x:c>
      <x:c r="H811" s="82" t="str">
        <x:v>原始能力契约；未按对象数量推算完成度</x:v>
      </x:c>
    </x:row>
    <x:row r="812">
      <x:c r="A812" s="82" t="str">
        <x:v>数据与工程治理</x:v>
      </x:c>
      <x:c r="B812" s="82" t="str">
        <x:v>History / Storage / Retention</x:v>
      </x:c>
      <x:c r="C812" s="82" t="str">
        <x:v>CAP-HIST01-008</x:v>
      </x:c>
      <x:c r="D812" s="82" t="str">
        <x:v>Replay Store</x:v>
      </x:c>
      <x:c r="E812" s="82" t="str">
        <x:v>Replay所需事件/数据/时间线存储。</x:v>
      </x:c>
      <x:c r="F812" s="82" t="str"/>
      <x:c r="G812" s="82" t="str">
        <x:v>原基线478项</x:v>
      </x:c>
      <x:c r="H812" s="82" t="str">
        <x:v>原始能力契约；未按对象数量推算完成度</x:v>
      </x:c>
    </x:row>
    <x:row r="813">
      <x:c r="A813" s="82" t="str">
        <x:v>数据与工程治理</x:v>
      </x:c>
      <x:c r="B813" s="82" t="str">
        <x:v>History / Storage / Retention</x:v>
      </x:c>
      <x:c r="C813" s="82" t="str">
        <x:v>CAP-HIST01-009</x:v>
      </x:c>
      <x:c r="D813" s="82" t="str">
        <x:v>Trace Store</x:v>
      </x:c>
      <x:c r="E813" s="82" t="str">
        <x:v>Execution/Correlation Trace长期存储。</x:v>
      </x:c>
      <x:c r="F813" s="82" t="str"/>
      <x:c r="G813" s="82" t="str">
        <x:v>原基线478项</x:v>
      </x:c>
      <x:c r="H813" s="82" t="str">
        <x:v>原始能力契约；未按对象数量推算完成度</x:v>
      </x:c>
    </x:row>
    <x:row r="814">
      <x:c r="A814" s="82" t="str">
        <x:v>数据与工程治理</x:v>
      </x:c>
      <x:c r="B814" s="82" t="str">
        <x:v>History / Storage / Retention</x:v>
      </x:c>
      <x:c r="C814" s="82" t="str">
        <x:v>CAP-HIST01-010</x:v>
      </x:c>
      <x:c r="D814" s="82" t="str">
        <x:v>Lineage</x:v>
      </x:c>
      <x:c r="E814" s="82" t="str">
        <x:v>Artifact/Result/Model/Recipe/Execution之间来源链。</x:v>
      </x:c>
      <x:c r="F814" s="82" t="str"/>
      <x:c r="G814" s="82" t="str">
        <x:v>原基线478项</x:v>
      </x:c>
      <x:c r="H814" s="82" t="str">
        <x:v>原始能力契约；未按对象数量推算完成度</x:v>
      </x:c>
    </x:row>
    <x:row r="815">
      <x:c r="A815" s="82" t="str">
        <x:v>数据与工程治理</x:v>
      </x:c>
      <x:c r="B815" s="82" t="str">
        <x:v>History / Storage / Retention</x:v>
      </x:c>
      <x:c r="C815" s="82" t="str">
        <x:v>CAP-HIST01-011</x:v>
      </x:c>
      <x:c r="D815" s="82" t="str">
        <x:v>Archive/Purge</x:v>
      </x:c>
      <x:c r="E815" s="82" t="str">
        <x:v>归档/删除策略、权限与审计。</x:v>
      </x:c>
      <x:c r="F815" s="82" t="str"/>
      <x:c r="G815" s="82" t="str">
        <x:v>原基线478项</x:v>
      </x:c>
      <x:c r="H815" s="82" t="str">
        <x:v>原始能力契约；未按对象数量推算完成度</x:v>
      </x:c>
    </x:row>
    <x:row r="816">
      <x:c r="A816" s="82" t="str">
        <x:v>数据与工程治理</x:v>
      </x:c>
      <x:c r="B816" s="82" t="str">
        <x:v>History / Storage / Retention</x:v>
      </x:c>
      <x:c r="C816" s="82" t="str">
        <x:v>CAP-HIST01-012</x:v>
      </x:c>
      <x:c r="D816" s="82" t="str">
        <x:v>数据血缘版本闭环</x:v>
      </x:c>
      <x:c r="E816" s="82" t="str">
        <x:v>将源设备/采样/算法/模型/配方/参数/程序/运行实例/输出Artifact关联为可查询血缘链。</x:v>
      </x:c>
      <x:c r="F816" s="82" t="str"/>
      <x:c r="G816" s="82" t="str">
        <x:v>原Mechanism子方面补强</x:v>
      </x:c>
      <x:c r="H816" s="82" t="str">
        <x:v>原始能力契约；未按对象数量推算完成度</x:v>
      </x:c>
    </x:row>
    <x:row r="817">
      <x:c r="A817" s="82" t="str">
        <x:v>数据与工程治理</x:v>
      </x:c>
      <x:c r="B817" s="82" t="str">
        <x:v>History / Storage / Retention</x:v>
      </x:c>
      <x:c r="C817" s="82" t="str">
        <x:v>CAP-HIST01-013</x:v>
      </x:c>
      <x:c r="D817" s="82" t="str">
        <x:v>历史记录完整性校验</x:v>
      </x:c>
      <x:c r="E817" s="82" t="str">
        <x:v>历史批次/Artifact支持Digest与链路校验，损坏、缺页或版本不一致应有结构化诊断。</x:v>
      </x:c>
      <x:c r="F817" s="82" t="str"/>
      <x:c r="G817" s="82" t="str">
        <x:v>原Mechanism子方面补强</x:v>
      </x:c>
      <x:c r="H817" s="82" t="str">
        <x:v>原始能力契约；未按对象数量推算完成度</x:v>
      </x:c>
    </x:row>
    <x:row r="818">
      <x:c r="A818" s="82" t="str">
        <x:v>数据与工程治理</x:v>
      </x:c>
      <x:c r="B818" s="82" t="str">
        <x:v>Notification / Messaging</x:v>
      </x:c>
      <x:c r="C818" s="82" t="str">
        <x:v>CAP-NOTIFY01-001</x:v>
      </x:c>
      <x:c r="D818" s="82" t="str">
        <x:v>Notification Message</x:v>
      </x:c>
      <x:c r="E818" s="82" t="str">
        <x:v>Severity/Category/Title/Body/Source/Correlation/Action。</x:v>
      </x:c>
      <x:c r="F818" s="82" t="str">
        <x:v>不替代Runtime Event Port与控制命令语义</x:v>
      </x:c>
      <x:c r="G818" s="82" t="str">
        <x:v>原基线478项</x:v>
      </x:c>
      <x:c r="H818" s="82" t="str">
        <x:v>原始能力契约；未按对象数量推算完成度</x:v>
      </x:c>
    </x:row>
    <x:row r="819">
      <x:c r="A819" s="82" t="str">
        <x:v>数据与工程治理</x:v>
      </x:c>
      <x:c r="B819" s="82" t="str">
        <x:v>Notification / Messaging</x:v>
      </x:c>
      <x:c r="C819" s="82" t="str">
        <x:v>CAP-NOTIFY01-002</x:v>
      </x:c>
      <x:c r="D819" s="82" t="str">
        <x:v>Topic</x:v>
      </x:c>
      <x:c r="E819" s="82" t="str">
        <x:v>稳定Topic/Channel定义。</x:v>
      </x:c>
      <x:c r="F819" s="82" t="str"/>
      <x:c r="G819" s="82" t="str">
        <x:v>原基线478项</x:v>
      </x:c>
      <x:c r="H819" s="82" t="str">
        <x:v>原始能力契约；未按对象数量推算完成度</x:v>
      </x:c>
    </x:row>
    <x:row r="820">
      <x:c r="A820" s="82" t="str">
        <x:v>数据与工程治理</x:v>
      </x:c>
      <x:c r="B820" s="82" t="str">
        <x:v>Notification / Messaging</x:v>
      </x:c>
      <x:c r="C820" s="82" t="str">
        <x:v>CAP-NOTIFY01-003</x:v>
      </x:c>
      <x:c r="D820" s="82" t="str">
        <x:v>Notification Service</x:v>
      </x:c>
      <x:c r="E820" s="82" t="str">
        <x:v>发布、订阅、过滤、聚合与投递。</x:v>
      </x:c>
      <x:c r="F820" s="82" t="str"/>
      <x:c r="G820" s="82" t="str">
        <x:v>原基线478项</x:v>
      </x:c>
      <x:c r="H820" s="82" t="str">
        <x:v>原始能力契约；未按对象数量推算完成度</x:v>
      </x:c>
    </x:row>
    <x:row r="821">
      <x:c r="A821" s="82" t="str">
        <x:v>数据与工程治理</x:v>
      </x:c>
      <x:c r="B821" s="82" t="str">
        <x:v>Notification / Messaging</x:v>
      </x:c>
      <x:c r="C821" s="82" t="str">
        <x:v>CAP-NOTIFY01-004</x:v>
      </x:c>
      <x:c r="D821" s="82" t="str">
        <x:v>User/Role Target</x:v>
      </x:c>
      <x:c r="E821" s="82" t="str">
        <x:v>按用户/角色/站点/终端定向通知。</x:v>
      </x:c>
      <x:c r="F821" s="82" t="str"/>
      <x:c r="G821" s="82" t="str">
        <x:v>原基线478项</x:v>
      </x:c>
      <x:c r="H821" s="82" t="str">
        <x:v>原始能力契约；未按对象数量推算完成度</x:v>
      </x:c>
    </x:row>
    <x:row r="822">
      <x:c r="A822" s="82" t="str">
        <x:v>数据与工程治理</x:v>
      </x:c>
      <x:c r="B822" s="82" t="str">
        <x:v>Notification / Messaging</x:v>
      </x:c>
      <x:c r="C822" s="82" t="str">
        <x:v>CAP-NOTIFY01-005</x:v>
      </x:c>
      <x:c r="D822" s="82" t="str">
        <x:v>Alarm Notification</x:v>
      </x:c>
      <x:c r="E822" s="82" t="str">
        <x:v>把专业Alarm映射为用户通知而不改变Alarm状态源。</x:v>
      </x:c>
      <x:c r="F822" s="82" t="str"/>
      <x:c r="G822" s="82" t="str">
        <x:v>原基线478项</x:v>
      </x:c>
      <x:c r="H822" s="82" t="str">
        <x:v>原始能力契约；未按对象数量推算完成度</x:v>
      </x:c>
    </x:row>
    <x:row r="823">
      <x:c r="A823" s="82" t="str">
        <x:v>数据与工程治理</x:v>
      </x:c>
      <x:c r="B823" s="82" t="str">
        <x:v>Notification / Messaging</x:v>
      </x:c>
      <x:c r="C823" s="82" t="str">
        <x:v>CAP-NOTIFY01-006</x:v>
      </x:c>
      <x:c r="D823" s="82" t="str">
        <x:v>Acknowledge</x:v>
      </x:c>
      <x:c r="E823" s="82" t="str">
        <x:v>通知确认/已读，与专业Alarm Ack区分。</x:v>
      </x:c>
      <x:c r="F823" s="82" t="str"/>
      <x:c r="G823" s="82" t="str">
        <x:v>原基线478项</x:v>
      </x:c>
      <x:c r="H823" s="82" t="str">
        <x:v>原始能力契约；未按对象数量推算完成度</x:v>
      </x:c>
    </x:row>
    <x:row r="824">
      <x:c r="A824" s="82" t="str">
        <x:v>数据与工程治理</x:v>
      </x:c>
      <x:c r="B824" s="82" t="str">
        <x:v>Notification / Messaging</x:v>
      </x:c>
      <x:c r="C824" s="82" t="str">
        <x:v>CAP-NOTIFY01-007</x:v>
      </x:c>
      <x:c r="D824" s="82" t="str">
        <x:v>Throttle/Deduplicate</x:v>
      </x:c>
      <x:c r="E824" s="82" t="str">
        <x:v>高频通知限流、合并、去重。</x:v>
      </x:c>
      <x:c r="F824" s="82" t="str"/>
      <x:c r="G824" s="82" t="str">
        <x:v>原基线478项</x:v>
      </x:c>
      <x:c r="H824" s="82" t="str">
        <x:v>原始能力契约；未按对象数量推算完成度</x:v>
      </x:c>
    </x:row>
    <x:row r="825">
      <x:c r="A825" s="82" t="str">
        <x:v>数据与工程治理</x:v>
      </x:c>
      <x:c r="B825" s="82" t="str">
        <x:v>Notification / Messaging</x:v>
      </x:c>
      <x:c r="C825" s="82" t="str">
        <x:v>CAP-NOTIFY01-008</x:v>
      </x:c>
      <x:c r="D825" s="82" t="str">
        <x:v>Persistent Inbox</x:v>
      </x:c>
      <x:c r="E825" s="82" t="str">
        <x:v>关键通知持久化和查询。</x:v>
      </x:c>
      <x:c r="F825" s="82" t="str"/>
      <x:c r="G825" s="82" t="str">
        <x:v>原基线478项</x:v>
      </x:c>
      <x:c r="H825" s="82" t="str">
        <x:v>原始能力契约；未按对象数量推算完成度</x:v>
      </x:c>
    </x:row>
    <x:row r="826">
      <x:c r="A826" s="82" t="str">
        <x:v>数据与工程治理</x:v>
      </x:c>
      <x:c r="B826" s="82" t="str">
        <x:v>Notification / Messaging</x:v>
      </x:c>
      <x:c r="C826" s="82" t="str">
        <x:v>CAP-NOTIFY01-009</x:v>
      </x:c>
      <x:c r="D826" s="82" t="str">
        <x:v>External Bridge</x:v>
      </x:c>
      <x:c r="E826" s="82" t="str">
        <x:v>邮件/IM/Webhook等外部通知适配器。</x:v>
      </x:c>
      <x:c r="F826" s="82" t="str"/>
      <x:c r="G826" s="82" t="str">
        <x:v>原基线478项</x:v>
      </x:c>
      <x:c r="H826" s="82" t="str">
        <x:v>原始能力契约；未按对象数量推算完成度</x:v>
      </x:c>
    </x:row>
    <x:row r="827">
      <x:c r="A827" s="82" t="str">
        <x:v>工程与Studio</x:v>
      </x:c>
      <x:c r="B827" s="82" t="str">
        <x:v>Editing / Studio Contribution</x:v>
      </x:c>
      <x:c r="C827" s="82" t="str">
        <x:v>CAP-STUDIO01-001</x:v>
      </x:c>
      <x:c r="D827" s="82" t="str">
        <x:v>Document Host</x:v>
      </x:c>
      <x:c r="E827" s="82" t="str">
        <x:v>多资源Document Tab、激活/关闭/Dirty状态。</x:v>
      </x:c>
      <x:c r="F827" s="82" t="str">
        <x:v>Workbench共享Shell，不做6/10套互不相关UI</x:v>
      </x:c>
      <x:c r="G827" s="82" t="str">
        <x:v>原基线478项</x:v>
      </x:c>
      <x:c r="H827" s="82" t="str">
        <x:v>原始能力契约；未按对象数量推算完成度</x:v>
      </x:c>
    </x:row>
    <x:row r="828">
      <x:c r="A828" s="82" t="str">
        <x:v>工程与Studio</x:v>
      </x:c>
      <x:c r="B828" s="82" t="str">
        <x:v>Editing / Studio Contribution</x:v>
      </x:c>
      <x:c r="C828" s="82" t="str">
        <x:v>CAP-STUDIO01-002</x:v>
      </x:c>
      <x:c r="D828" s="82" t="str">
        <x:v>Studio Context</x:v>
      </x:c>
      <x:c r="E828" s="82" t="str">
        <x:v>当前Project/Workbench/Resource/Selection/RunMode上下文。</x:v>
      </x:c>
      <x:c r="F828" s="82" t="str"/>
      <x:c r="G828" s="82" t="str">
        <x:v>原基线478项</x:v>
      </x:c>
      <x:c r="H828" s="82" t="str">
        <x:v>原始能力契约；未按对象数量推算完成度</x:v>
      </x:c>
    </x:row>
    <x:row r="829">
      <x:c r="A829" s="82" t="str">
        <x:v>工程与Studio</x:v>
      </x:c>
      <x:c r="B829" s="82" t="str">
        <x:v>Editing / Studio Contribution</x:v>
      </x:c>
      <x:c r="C829" s="82" t="str">
        <x:v>CAP-STUDIO01-003</x:v>
      </x:c>
      <x:c r="D829" s="82" t="str">
        <x:v>Selection Service</x:v>
      </x:c>
      <x:c r="E829" s="82" t="str">
        <x:v>跨Canvas/Outline/Property统一选择。</x:v>
      </x:c>
      <x:c r="F829" s="82" t="str"/>
      <x:c r="G829" s="82" t="str">
        <x:v>原基线478项</x:v>
      </x:c>
      <x:c r="H829" s="82" t="str">
        <x:v>原始能力契约；未按对象数量推算完成度</x:v>
      </x:c>
    </x:row>
    <x:row r="830">
      <x:c r="A830" s="82" t="str">
        <x:v>工程与Studio</x:v>
      </x:c>
      <x:c r="B830" s="82" t="str">
        <x:v>Editing / Studio Contribution</x:v>
      </x:c>
      <x:c r="C830" s="82" t="str">
        <x:v>CAP-STUDIO01-004</x:v>
      </x:c>
      <x:c r="D830" s="82" t="str">
        <x:v>Undo/Redo</x:v>
      </x:c>
      <x:c r="E830" s="82" t="str">
        <x:v>所有Definition编辑通过Transaction进入统一Undo。</x:v>
      </x:c>
      <x:c r="F830" s="82" t="str"/>
      <x:c r="G830" s="82" t="str">
        <x:v>原基线478项</x:v>
      </x:c>
      <x:c r="H830" s="82" t="str">
        <x:v>原始能力契约；未按对象数量推算完成度</x:v>
      </x:c>
    </x:row>
    <x:row r="831">
      <x:c r="A831" s="82" t="str">
        <x:v>工程与Studio</x:v>
      </x:c>
      <x:c r="B831" s="82" t="str">
        <x:v>Editing / Studio Contribution</x:v>
      </x:c>
      <x:c r="C831" s="82" t="str">
        <x:v>CAP-STUDIO01-005</x:v>
      </x:c>
      <x:c r="D831" s="82" t="str">
        <x:v>Clipboard</x:v>
      </x:c>
      <x:c r="E831" s="82" t="str">
        <x:v>Copy/Paste/Duplicate并处理ID/Reference重写。</x:v>
      </x:c>
      <x:c r="F831" s="82" t="str"/>
      <x:c r="G831" s="82" t="str">
        <x:v>原基线478项</x:v>
      </x:c>
      <x:c r="H831" s="82" t="str">
        <x:v>原始能力契约；未按对象数量推算完成度</x:v>
      </x:c>
    </x:row>
    <x:row r="832">
      <x:c r="A832" s="82" t="str">
        <x:v>工程与Studio</x:v>
      </x:c>
      <x:c r="B832" s="82" t="str">
        <x:v>Editing / Studio Contribution</x:v>
      </x:c>
      <x:c r="C832" s="82" t="str">
        <x:v>CAP-STUDIO01-006</x:v>
      </x:c>
      <x:c r="D832" s="82" t="str">
        <x:v>Search</x:v>
      </x:c>
      <x:c r="E832" s="82" t="str">
        <x:v>工程/资源/Node/Variable/文本/错误搜索。</x:v>
      </x:c>
      <x:c r="F832" s="82" t="str"/>
      <x:c r="G832" s="82" t="str">
        <x:v>原基线478项</x:v>
      </x:c>
      <x:c r="H832" s="82" t="str">
        <x:v>原始能力契约；未按对象数量推算完成度</x:v>
      </x:c>
    </x:row>
    <x:row r="833">
      <x:c r="A833" s="82" t="str">
        <x:v>工程与Studio</x:v>
      </x:c>
      <x:c r="B833" s="82" t="str">
        <x:v>Editing / Studio Contribution</x:v>
      </x:c>
      <x:c r="C833" s="82" t="str">
        <x:v>CAP-STUDIO01-007</x:v>
      </x:c>
      <x:c r="D833" s="82" t="str">
        <x:v>Navigation</x:v>
      </x:c>
      <x:c r="E833" s="82" t="str">
        <x:v>GoToDefinition/FindUsages/History/BackForward。</x:v>
      </x:c>
      <x:c r="F833" s="82" t="str"/>
      <x:c r="G833" s="82" t="str">
        <x:v>原基线478项</x:v>
      </x:c>
      <x:c r="H833" s="82" t="str">
        <x:v>原始能力契约；未按对象数量推算完成度</x:v>
      </x:c>
    </x:row>
    <x:row r="834">
      <x:c r="A834" s="82" t="str">
        <x:v>工程与Studio</x:v>
      </x:c>
      <x:c r="B834" s="82" t="str">
        <x:v>Editing / Studio Contribution</x:v>
      </x:c>
      <x:c r="C834" s="82" t="str">
        <x:v>CAP-STUDIO01-008</x:v>
      </x:c>
      <x:c r="D834" s="82" t="str">
        <x:v>Command Router</x:v>
      </x:c>
      <x:c r="E834" s="82" t="str">
        <x:v>菜单/Ribbon/快捷键/ContextMenu统一命令路由。</x:v>
      </x:c>
      <x:c r="F834" s="82" t="str"/>
      <x:c r="G834" s="82" t="str">
        <x:v>原基线478项</x:v>
      </x:c>
      <x:c r="H834" s="82" t="str">
        <x:v>原始能力契约；未按对象数量推算完成度</x:v>
      </x:c>
    </x:row>
    <x:row r="835">
      <x:c r="A835" s="82" t="str">
        <x:v>工程与Studio</x:v>
      </x:c>
      <x:c r="B835" s="82" t="str">
        <x:v>Editing / Studio Contribution</x:v>
      </x:c>
      <x:c r="C835" s="82" t="str">
        <x:v>CAP-STUDIO01-009</x:v>
      </x:c>
      <x:c r="D835" s="82" t="str">
        <x:v>Ribbon Contribution</x:v>
      </x:c>
      <x:c r="E835" s="82" t="str">
        <x:v>Workbench/Active Resource/Selection/RunMode动态贡献Top Ribbon。</x:v>
      </x:c>
      <x:c r="F835" s="82" t="str"/>
      <x:c r="G835" s="82" t="str">
        <x:v>原基线478项</x:v>
      </x:c>
      <x:c r="H835" s="82" t="str">
        <x:v>原始能力契约；未按对象数量推算完成度</x:v>
      </x:c>
    </x:row>
    <x:row r="836">
      <x:c r="A836" s="82" t="str">
        <x:v>工程与Studio</x:v>
      </x:c>
      <x:c r="B836" s="82" t="str">
        <x:v>Editing / Studio Contribution</x:v>
      </x:c>
      <x:c r="C836" s="82" t="str">
        <x:v>CAP-STUDIO01-010</x:v>
      </x:c>
      <x:c r="D836" s="82" t="str">
        <x:v>Toolbox Contribution</x:v>
      </x:c>
      <x:c r="E836" s="82" t="str">
        <x:v>专业图元/Node/对象目录动态贡献。</x:v>
      </x:c>
      <x:c r="F836" s="82" t="str"/>
      <x:c r="G836" s="82" t="str">
        <x:v>原基线478项</x:v>
      </x:c>
      <x:c r="H836" s="82" t="str">
        <x:v>原始能力契约；未按对象数量推算完成度</x:v>
      </x:c>
    </x:row>
    <x:row r="837">
      <x:c r="A837" s="82" t="str">
        <x:v>工程与Studio</x:v>
      </x:c>
      <x:c r="B837" s="82" t="str">
        <x:v>Editing / Studio Contribution</x:v>
      </x:c>
      <x:c r="C837" s="82" t="str">
        <x:v>CAP-STUDIO01-011</x:v>
      </x:c>
      <x:c r="D837" s="82" t="str">
        <x:v>Outline Contribution</x:v>
      </x:c>
      <x:c r="E837" s="82" t="str">
        <x:v>资源内部组织树由Editor贡献并语义过滤。</x:v>
      </x:c>
      <x:c r="F837" s="82" t="str"/>
      <x:c r="G837" s="82" t="str">
        <x:v>原基线478项</x:v>
      </x:c>
      <x:c r="H837" s="82" t="str">
        <x:v>原始能力契约；未按对象数量推算完成度</x:v>
      </x:c>
    </x:row>
    <x:row r="838">
      <x:c r="A838" s="82" t="str">
        <x:v>工程与Studio</x:v>
      </x:c>
      <x:c r="B838" s="82" t="str">
        <x:v>Editing / Studio Contribution</x:v>
      </x:c>
      <x:c r="C838" s="82" t="str">
        <x:v>CAP-STUDIO01-012</x:v>
      </x:c>
      <x:c r="D838" s="82" t="str">
        <x:v>Property Contribution</x:v>
      </x:c>
      <x:c r="E838" s="82" t="str">
        <x:v>专业Property/Editor动态贡献。</x:v>
      </x:c>
      <x:c r="F838" s="82" t="str"/>
      <x:c r="G838" s="82" t="str">
        <x:v>原基线478项</x:v>
      </x:c>
      <x:c r="H838" s="82" t="str">
        <x:v>原始能力契约；未按对象数量推算完成度</x:v>
      </x:c>
    </x:row>
    <x:row r="839">
      <x:c r="A839" s="82" t="str">
        <x:v>工程与Studio</x:v>
      </x:c>
      <x:c r="B839" s="82" t="str">
        <x:v>Editing / Studio Contribution</x:v>
      </x:c>
      <x:c r="C839" s="82" t="str">
        <x:v>CAP-STUDIO01-013</x:v>
      </x:c>
      <x:c r="D839" s="82" t="str">
        <x:v>Dock/ToolWindows</x:v>
      </x:c>
      <x:c r="E839" s="82" t="str">
        <x:v>Project Explorer、Properties、Variables、Diagnostics等可停靠。</x:v>
      </x:c>
      <x:c r="F839" s="82" t="str"/>
      <x:c r="G839" s="82" t="str">
        <x:v>原基线478项</x:v>
      </x:c>
      <x:c r="H839" s="82" t="str">
        <x:v>原始能力契约；未按对象数量推算完成度</x:v>
      </x:c>
    </x:row>
    <x:row r="840">
      <x:c r="A840" s="82" t="str">
        <x:v>工程与Studio</x:v>
      </x:c>
      <x:c r="B840" s="82" t="str">
        <x:v>Editing / Studio Contribution</x:v>
      </x:c>
      <x:c r="C840" s="82" t="str">
        <x:v>CAP-STUDIO01-014</x:v>
      </x:c>
      <x:c r="D840" s="82" t="str">
        <x:v>Workspace Layout</x:v>
      </x:c>
      <x:c r="E840" s="82" t="str">
        <x:v>按Workbench/用户保存恢复布局。</x:v>
      </x:c>
      <x:c r="F840" s="82" t="str"/>
      <x:c r="G840" s="82" t="str">
        <x:v>原基线478项</x:v>
      </x:c>
      <x:c r="H840" s="82" t="str">
        <x:v>原始能力契约；未按对象数量推算完成度</x:v>
      </x:c>
    </x:row>
    <x:row r="841">
      <x:c r="A841" s="82" t="str">
        <x:v>工程与Studio</x:v>
      </x:c>
      <x:c r="B841" s="82" t="str">
        <x:v>Editing / Studio Contribution</x:v>
      </x:c>
      <x:c r="C841" s="82" t="str">
        <x:v>CAP-STUDIO01-015</x:v>
      </x:c>
      <x:c r="D841" s="82" t="str">
        <x:v>Shortcut</x:v>
      </x:c>
      <x:c r="E841" s="82" t="str">
        <x:v>全局/上下文快捷键冲突解析。</x:v>
      </x:c>
      <x:c r="F841" s="82" t="str"/>
      <x:c r="G841" s="82" t="str">
        <x:v>原基线478项</x:v>
      </x:c>
      <x:c r="H841" s="82" t="str">
        <x:v>原始能力契约；未按对象数量推算完成度</x:v>
      </x:c>
    </x:row>
    <x:row r="842">
      <x:c r="A842" s="82" t="str">
        <x:v>工程与Studio</x:v>
      </x:c>
      <x:c r="B842" s="82" t="str">
        <x:v>Template / ImportExport / Baseline</x:v>
      </x:c>
      <x:c r="C842" s="82" t="str">
        <x:v>CAP-REUSE01-001</x:v>
      </x:c>
      <x:c r="D842" s="82" t="str">
        <x:v>Resource Template</x:v>
      </x:c>
      <x:c r="E842" s="82" t="str">
        <x:v>可创建标准Page/Flow/Pipeline/Plan等资源模板。</x:v>
      </x:c>
      <x:c r="F842" s="82" t="str">
        <x:v>专业格式由插件扩展</x:v>
      </x:c>
      <x:c r="G842" s="82" t="str">
        <x:v>原基线478项</x:v>
      </x:c>
      <x:c r="H842" s="82" t="str">
        <x:v>原始能力契约；未按对象数量推算完成度</x:v>
      </x:c>
    </x:row>
    <x:row r="843">
      <x:c r="A843" s="82" t="str">
        <x:v>工程与Studio</x:v>
      </x:c>
      <x:c r="B843" s="82" t="str">
        <x:v>Template / ImportExport / Baseline</x:v>
      </x:c>
      <x:c r="C843" s="82" t="str">
        <x:v>CAP-REUSE01-002</x:v>
      </x:c>
      <x:c r="D843" s="82" t="str">
        <x:v>Preset</x:v>
      </x:c>
      <x:c r="E843" s="82" t="str">
        <x:v>算法/渲染/设备/流程参数预设。</x:v>
      </x:c>
      <x:c r="F843" s="82" t="str"/>
      <x:c r="G843" s="82" t="str">
        <x:v>原基线478项</x:v>
      </x:c>
      <x:c r="H843" s="82" t="str">
        <x:v>原始能力契约；未按对象数量推算完成度</x:v>
      </x:c>
    </x:row>
    <x:row r="844">
      <x:c r="A844" s="82" t="str">
        <x:v>工程与Studio</x:v>
      </x:c>
      <x:c r="B844" s="82" t="str">
        <x:v>Template / ImportExport / Baseline</x:v>
      </x:c>
      <x:c r="C844" s="82" t="str">
        <x:v>CAP-REUSE01-003</x:v>
      </x:c>
      <x:c r="D844" s="82" t="str">
        <x:v>Wizard</x:v>
      </x:c>
      <x:c r="E844" s="82" t="str">
        <x:v>复杂资源/设备/工程创建向导。</x:v>
      </x:c>
      <x:c r="F844" s="82" t="str"/>
      <x:c r="G844" s="82" t="str">
        <x:v>原基线478项</x:v>
      </x:c>
      <x:c r="H844" s="82" t="str">
        <x:v>原始能力契约；未按对象数量推算完成度</x:v>
      </x:c>
    </x:row>
    <x:row r="845">
      <x:c r="A845" s="82" t="str">
        <x:v>工程与Studio</x:v>
      </x:c>
      <x:c r="B845" s="82" t="str">
        <x:v>Template / ImportExport / Baseline</x:v>
      </x:c>
      <x:c r="C845" s="82" t="str">
        <x:v>CAP-REUSE01-004</x:v>
      </x:c>
      <x:c r="D845" s="82" t="str">
        <x:v>Snippet</x:v>
      </x:c>
      <x:c r="E845" s="82" t="str">
        <x:v>局部Graph/画面/配置片段复用。</x:v>
      </x:c>
      <x:c r="F845" s="82" t="str"/>
      <x:c r="G845" s="82" t="str">
        <x:v>原基线478项</x:v>
      </x:c>
      <x:c r="H845" s="82" t="str">
        <x:v>原始能力契约；未按对象数量推算完成度</x:v>
      </x:c>
    </x:row>
    <x:row r="846">
      <x:c r="A846" s="82" t="str">
        <x:v>工程与Studio</x:v>
      </x:c>
      <x:c r="B846" s="82" t="str">
        <x:v>Template / ImportExport / Baseline</x:v>
      </x:c>
      <x:c r="C846" s="82" t="str">
        <x:v>CAP-REUSE01-005</x:v>
      </x:c>
      <x:c r="D846" s="82" t="str">
        <x:v>Clone/Boilerplate</x:v>
      </x:c>
      <x:c r="E846" s="82" t="str">
        <x:v>从模板复制并重写ID/Ref/参数。</x:v>
      </x:c>
      <x:c r="F846" s="82" t="str"/>
      <x:c r="G846" s="82" t="str">
        <x:v>原基线478项</x:v>
      </x:c>
      <x:c r="H846" s="82" t="str">
        <x:v>原始能力契约；未按对象数量推算完成度</x:v>
      </x:c>
    </x:row>
    <x:row r="847">
      <x:c r="A847" s="82" t="str">
        <x:v>工程与Studio</x:v>
      </x:c>
      <x:c r="B847" s="82" t="str">
        <x:v>Template / ImportExport / Baseline</x:v>
      </x:c>
      <x:c r="C847" s="82" t="str">
        <x:v>CAP-REUSE01-006</x:v>
      </x:c>
      <x:c r="D847" s="82" t="str">
        <x:v>Importer</x:v>
      </x:c>
      <x:c r="E847" s="82" t="str">
        <x:v>JSON/XML/CSV/Image/Model/Volume/SVG等导入。</x:v>
      </x:c>
      <x:c r="F847" s="82" t="str"/>
      <x:c r="G847" s="82" t="str">
        <x:v>原基线478项</x:v>
      </x:c>
      <x:c r="H847" s="82" t="str">
        <x:v>原始能力契约；未按对象数量推算完成度</x:v>
      </x:c>
    </x:row>
    <x:row r="848">
      <x:c r="A848" s="82" t="str">
        <x:v>工程与Studio</x:v>
      </x:c>
      <x:c r="B848" s="82" t="str">
        <x:v>Template / ImportExport / Baseline</x:v>
      </x:c>
      <x:c r="C848" s="82" t="str">
        <x:v>CAP-REUSE01-007</x:v>
      </x:c>
      <x:c r="D848" s="82" t="str">
        <x:v>Exporter</x:v>
      </x:c>
      <x:c r="E848" s="82" t="str">
        <x:v>结果/配置/模型/报表等导出。</x:v>
      </x:c>
      <x:c r="F848" s="82" t="str"/>
      <x:c r="G848" s="82" t="str">
        <x:v>原基线478项</x:v>
      </x:c>
      <x:c r="H848" s="82" t="str">
        <x:v>原始能力契约；未按对象数量推算完成度</x:v>
      </x:c>
    </x:row>
    <x:row r="849">
      <x:c r="A849" s="82" t="str">
        <x:v>工程与Studio</x:v>
      </x:c>
      <x:c r="B849" s="82" t="str">
        <x:v>Template / ImportExport / Baseline</x:v>
      </x:c>
      <x:c r="C849" s="82" t="str">
        <x:v>CAP-REUSE01-008</x:v>
      </x:c>
      <x:c r="D849" s="82" t="str">
        <x:v>Format Adapter</x:v>
      </x:c>
      <x:c r="E849" s="82" t="str">
        <x:v>专业格式由Plugin扩展并版本化。</x:v>
      </x:c>
      <x:c r="F849" s="82" t="str"/>
      <x:c r="G849" s="82" t="str">
        <x:v>原基线478项</x:v>
      </x:c>
      <x:c r="H849" s="82" t="str">
        <x:v>原始能力契约；未按对象数量推算完成度</x:v>
      </x:c>
    </x:row>
    <x:row r="850">
      <x:c r="A850" s="82" t="str">
        <x:v>工程与Studio</x:v>
      </x:c>
      <x:c r="B850" s="82" t="str">
        <x:v>Template / ImportExport / Baseline</x:v>
      </x:c>
      <x:c r="C850" s="82" t="str">
        <x:v>CAP-REUSE01-009</x:v>
      </x:c>
      <x:c r="D850" s="82" t="str">
        <x:v>Baseline</x:v>
      </x:c>
      <x:c r="E850" s="82" t="str">
        <x:v>保存Golden/Baseline定义与适用范围。</x:v>
      </x:c>
      <x:c r="F850" s="82" t="str"/>
      <x:c r="G850" s="82" t="str">
        <x:v>原基线478项</x:v>
      </x:c>
      <x:c r="H850" s="82" t="str">
        <x:v>原始能力契约；未按对象数量推算完成度</x:v>
      </x:c>
    </x:row>
    <x:row r="851">
      <x:c r="A851" s="82" t="str">
        <x:v>工程与Studio</x:v>
      </x:c>
      <x:c r="B851" s="82" t="str">
        <x:v>Template / ImportExport / Baseline</x:v>
      </x:c>
      <x:c r="C851" s="82" t="str">
        <x:v>CAP-REUSE01-010</x:v>
      </x:c>
      <x:c r="D851" s="82" t="str">
        <x:v>Diff</x:v>
      </x:c>
      <x:c r="E851" s="82" t="str">
        <x:v>Definition/Parameter/Image/Volume/Result差异结构化表达。</x:v>
      </x:c>
      <x:c r="F851" s="82" t="str"/>
      <x:c r="G851" s="82" t="str">
        <x:v>原基线478项</x:v>
      </x:c>
      <x:c r="H851" s="82" t="str">
        <x:v>原始能力契约；未按对象数量推算完成度</x:v>
      </x:c>
    </x:row>
    <x:row r="852">
      <x:c r="A852" s="82" t="str">
        <x:v>工程与Studio</x:v>
      </x:c>
      <x:c r="B852" s="82" t="str">
        <x:v>Template / ImportExport / Baseline</x:v>
      </x:c>
      <x:c r="C852" s="82" t="str">
        <x:v>CAP-REUSE01-011</x:v>
      </x:c>
      <x:c r="D852" s="82" t="str">
        <x:v>Regression Compare</x:v>
      </x:c>
      <x:c r="E852" s="82" t="str">
        <x:v>批量与Baseline比较并形成结果/报告。</x:v>
      </x:c>
      <x:c r="F852" s="82" t="str"/>
      <x:c r="G852" s="82" t="str">
        <x:v>原基线478项</x:v>
      </x:c>
      <x:c r="H852" s="82" t="str">
        <x:v>原始能力契约；未按对象数量推算完成度</x:v>
      </x:c>
    </x:row>
    <x:row r="853">
      <x:c r="A853" s="82" t="str">
        <x:v>工程与发布</x:v>
      </x:c>
      <x:c r="B853" s="82" t="str">
        <x:v>Version / Migration / Package / Deploy</x:v>
      </x:c>
      <x:c r="C853" s="82" t="str">
        <x:v>CAP-REL01-001</x:v>
      </x:c>
      <x:c r="D853" s="82" t="str">
        <x:v>Project Version</x:v>
      </x:c>
      <x:c r="E853" s="82" t="str">
        <x:v>工程版本/Revision及发布标识。</x:v>
      </x:c>
      <x:c r="F853" s="82" t="str">
        <x:v>禁止运行中无审计隐式漂移</x:v>
      </x:c>
      <x:c r="G853" s="82" t="str">
        <x:v>原基线478项</x:v>
      </x:c>
      <x:c r="H853" s="82" t="str">
        <x:v>原始能力契约；未按对象数量推算完成度</x:v>
      </x:c>
    </x:row>
    <x:row r="854">
      <x:c r="A854" s="82" t="str">
        <x:v>工程与发布</x:v>
      </x:c>
      <x:c r="B854" s="82" t="str">
        <x:v>Version / Migration / Package / Deploy</x:v>
      </x:c>
      <x:c r="C854" s="82" t="str">
        <x:v>CAP-REL01-002</x:v>
      </x:c>
      <x:c r="D854" s="82" t="str">
        <x:v>Schema Version</x:v>
      </x:c>
      <x:c r="E854" s="82" t="str">
        <x:v>持久化Schema版本。</x:v>
      </x:c>
      <x:c r="F854" s="82" t="str"/>
      <x:c r="G854" s="82" t="str">
        <x:v>原基线478项</x:v>
      </x:c>
      <x:c r="H854" s="82" t="str">
        <x:v>原始能力契约；未按对象数量推算完成度</x:v>
      </x:c>
    </x:row>
    <x:row r="855">
      <x:c r="A855" s="82" t="str">
        <x:v>工程与发布</x:v>
      </x:c>
      <x:c r="B855" s="82" t="str">
        <x:v>Version / Migration / Package / Deploy</x:v>
      </x:c>
      <x:c r="C855" s="82" t="str">
        <x:v>CAP-REL01-003</x:v>
      </x:c>
      <x:c r="D855" s="82" t="str">
        <x:v>Graph/Node Version</x:v>
      </x:c>
      <x:c r="E855" s="82" t="str">
        <x:v>Graph/Node Descriptor版本与兼容范围。</x:v>
      </x:c>
      <x:c r="F855" s="82" t="str"/>
      <x:c r="G855" s="82" t="str">
        <x:v>原基线478项</x:v>
      </x:c>
      <x:c r="H855" s="82" t="str">
        <x:v>原始能力契约；未按对象数量推算完成度</x:v>
      </x:c>
    </x:row>
    <x:row r="856">
      <x:c r="A856" s="82" t="str">
        <x:v>工程与发布</x:v>
      </x:c>
      <x:c r="B856" s="82" t="str">
        <x:v>Version / Migration / Package / Deploy</x:v>
      </x:c>
      <x:c r="C856" s="82" t="str">
        <x:v>CAP-REL01-004</x:v>
      </x:c>
      <x:c r="D856" s="82" t="str">
        <x:v>Protocol/Channel Config Version</x:v>
      </x:c>
      <x:c r="E856" s="82" t="str">
        <x:v>通信配置版本可审计迁移。</x:v>
      </x:c>
      <x:c r="F856" s="82" t="str"/>
      <x:c r="G856" s="82" t="str">
        <x:v>原基线478项</x:v>
      </x:c>
      <x:c r="H856" s="82" t="str">
        <x:v>原始能力契约；未按对象数量推算完成度</x:v>
      </x:c>
    </x:row>
    <x:row r="857">
      <x:c r="A857" s="82" t="str">
        <x:v>工程与发布</x:v>
      </x:c>
      <x:c r="B857" s="82" t="str">
        <x:v>Version / Migration / Package / Deploy</x:v>
      </x:c>
      <x:c r="C857" s="82" t="str">
        <x:v>CAP-REL01-005</x:v>
      </x:c>
      <x:c r="D857" s="82" t="str">
        <x:v>Migration Provider</x:v>
      </x:c>
      <x:c r="E857" s="82" t="str">
        <x:v>旧Schema/Node/Resource自动迁移。</x:v>
      </x:c>
      <x:c r="F857" s="82" t="str"/>
      <x:c r="G857" s="82" t="str">
        <x:v>原基线478项</x:v>
      </x:c>
      <x:c r="H857" s="82" t="str">
        <x:v>原始能力契约；未按对象数量推算完成度</x:v>
      </x:c>
    </x:row>
    <x:row r="858">
      <x:c r="A858" s="82" t="str">
        <x:v>工程与发布</x:v>
      </x:c>
      <x:c r="B858" s="82" t="str">
        <x:v>Version / Migration / Package / Deploy</x:v>
      </x:c>
      <x:c r="C858" s="82" t="str">
        <x:v>CAP-REL01-006</x:v>
      </x:c>
      <x:c r="D858" s="82" t="str">
        <x:v>Deprecated</x:v>
      </x:c>
      <x:c r="E858" s="82" t="str">
        <x:v>废弃对象/Node保留兼容期与替代提示。</x:v>
      </x:c>
      <x:c r="F858" s="82" t="str"/>
      <x:c r="G858" s="82" t="str">
        <x:v>原基线478项</x:v>
      </x:c>
      <x:c r="H858" s="82" t="str">
        <x:v>原始能力契约；未按对象数量推算完成度</x:v>
      </x:c>
    </x:row>
    <x:row r="859">
      <x:c r="A859" s="82" t="str">
        <x:v>工程与发布</x:v>
      </x:c>
      <x:c r="B859" s="82" t="str">
        <x:v>Version / Migration / Package / Deploy</x:v>
      </x:c>
      <x:c r="C859" s="82" t="str">
        <x:v>CAP-REL01-007</x:v>
      </x:c>
      <x:c r="D859" s="82" t="str">
        <x:v>Missing Placeholder</x:v>
      </x:c>
      <x:c r="E859" s="82" t="str">
        <x:v>缺Plugin/Node/Resource时保留Unknown/Missing占位。</x:v>
      </x:c>
      <x:c r="F859" s="82" t="str"/>
      <x:c r="G859" s="82" t="str">
        <x:v>原基线478项</x:v>
      </x:c>
      <x:c r="H859" s="82" t="str">
        <x:v>原始能力契约；未按对象数量推算完成度</x:v>
      </x:c>
    </x:row>
    <x:row r="860">
      <x:c r="A860" s="82" t="str">
        <x:v>工程与发布</x:v>
      </x:c>
      <x:c r="B860" s="82" t="str">
        <x:v>Version / Migration / Package / Deploy</x:v>
      </x:c>
      <x:c r="C860" s="82" t="str">
        <x:v>CAP-REL01-008</x:v>
      </x:c>
      <x:c r="D860" s="82" t="str">
        <x:v>Unknown Metadata Preserve</x:v>
      </x:c>
      <x:c r="E860" s="82" t="str">
        <x:v>前向兼容时保存未知字段不丢失。</x:v>
      </x:c>
      <x:c r="F860" s="82" t="str"/>
      <x:c r="G860" s="82" t="str">
        <x:v>原基线478项</x:v>
      </x:c>
      <x:c r="H860" s="82" t="str">
        <x:v>原始能力契约；未按对象数量推算完成度</x:v>
      </x:c>
    </x:row>
    <x:row r="861">
      <x:c r="A861" s="82" t="str">
        <x:v>工程与发布</x:v>
      </x:c>
      <x:c r="B861" s="82" t="str">
        <x:v>Version / Migration / Package / Deploy</x:v>
      </x:c>
      <x:c r="C861" s="82" t="str">
        <x:v>CAP-REL01-009</x:v>
      </x:c>
      <x:c r="D861" s="82" t="str">
        <x:v>Compatibility Check</x:v>
      </x:c>
      <x:c r="E861" s="82" t="str">
        <x:v>工程/插件/Provider/Runtime/Target兼容性检查。</x:v>
      </x:c>
      <x:c r="F861" s="82" t="str"/>
      <x:c r="G861" s="82" t="str">
        <x:v>原基线478项</x:v>
      </x:c>
      <x:c r="H861" s="82" t="str">
        <x:v>原始能力契约；未按对象数量推算完成度</x:v>
      </x:c>
    </x:row>
    <x:row r="862">
      <x:c r="A862" s="82" t="str">
        <x:v>工程与发布</x:v>
      </x:c>
      <x:c r="B862" s="82" t="str">
        <x:v>Version / Migration / Package / Deploy</x:v>
      </x:c>
      <x:c r="C862" s="82" t="str">
        <x:v>CAP-REL01-010</x:v>
      </x:c>
      <x:c r="D862" s="82" t="str">
        <x:v>Manifest</x:v>
      </x:c>
      <x:c r="E862" s="82" t="str">
        <x:v>冻结Definition/Dependency/Version/Target的运行清单。</x:v>
      </x:c>
      <x:c r="F862" s="82" t="str"/>
      <x:c r="G862" s="82" t="str">
        <x:v>原基线478项</x:v>
      </x:c>
      <x:c r="H862" s="82" t="str">
        <x:v>原始能力契约；未按对象数量推算完成度</x:v>
      </x:c>
    </x:row>
    <x:row r="863">
      <x:c r="A863" s="82" t="str">
        <x:v>工程与发布</x:v>
      </x:c>
      <x:c r="B863" s="82" t="str">
        <x:v>Version / Migration / Package / Deploy</x:v>
      </x:c>
      <x:c r="C863" s="82" t="str">
        <x:v>CAP-REL01-011</x:v>
      </x:c>
      <x:c r="D863" s="82" t="str">
        <x:v>Package</x:v>
      </x:c>
      <x:c r="E863" s="82" t="str">
        <x:v>把资源/模型/插件依赖打成可部署包。</x:v>
      </x:c>
      <x:c r="F863" s="82" t="str"/>
      <x:c r="G863" s="82" t="str">
        <x:v>原基线478项</x:v>
      </x:c>
      <x:c r="H863" s="82" t="str">
        <x:v>原始能力契约；未按对象数量推算完成度</x:v>
      </x:c>
    </x:row>
    <x:row r="864">
      <x:c r="A864" s="82" t="str">
        <x:v>工程与发布</x:v>
      </x:c>
      <x:c r="B864" s="82" t="str">
        <x:v>Version / Migration / Package / Deploy</x:v>
      </x:c>
      <x:c r="C864" s="82" t="str">
        <x:v>CAP-REL01-012</x:v>
      </x:c>
      <x:c r="D864" s="82" t="str">
        <x:v>Deploy</x:v>
      </x:c>
      <x:c r="E864" s="82" t="str">
        <x:v>部署到Station/Worker/Panel/Edge并验证。</x:v>
      </x:c>
      <x:c r="F864" s="82" t="str"/>
      <x:c r="G864" s="82" t="str">
        <x:v>原基线478项</x:v>
      </x:c>
      <x:c r="H864" s="82" t="str">
        <x:v>原始能力契约；未按对象数量推算完成度</x:v>
      </x:c>
    </x:row>
    <x:row r="865">
      <x:c r="A865" s="82" t="str">
        <x:v>工程与发布</x:v>
      </x:c>
      <x:c r="B865" s="82" t="str">
        <x:v>Version / Migration / Package / Deploy</x:v>
      </x:c>
      <x:c r="C865" s="82" t="str">
        <x:v>CAP-REL01-013</x:v>
      </x:c>
      <x:c r="D865" s="82" t="str">
        <x:v>Environment Binding</x:v>
      </x:c>
      <x:c r="E865" s="82" t="str">
        <x:v>开发/测试/生产Endpoint/Provider/Secret绑定。</x:v>
      </x:c>
      <x:c r="F865" s="82" t="str"/>
      <x:c r="G865" s="82" t="str">
        <x:v>原基线478项</x:v>
      </x:c>
      <x:c r="H865" s="82" t="str">
        <x:v>原始能力契约；未按对象数量推算完成度</x:v>
      </x:c>
    </x:row>
    <x:row r="866">
      <x:c r="A866" s="82" t="str">
        <x:v>工程与发布</x:v>
      </x:c>
      <x:c r="B866" s="82" t="str">
        <x:v>Version / Migration / Package / Deploy</x:v>
      </x:c>
      <x:c r="C866" s="82" t="str">
        <x:v>CAP-REL01-014</x:v>
      </x:c>
      <x:c r="D866" s="82" t="str">
        <x:v>Rollback</x:v>
      </x:c>
      <x:c r="E866" s="82" t="str">
        <x:v>失败/版本回退到已知Manifest。</x:v>
      </x:c>
      <x:c r="F866" s="82" t="str"/>
      <x:c r="G866" s="82" t="str">
        <x:v>原基线478项</x:v>
      </x:c>
      <x:c r="H866" s="82" t="str">
        <x:v>原始能力契约；未按对象数量推算完成度</x:v>
      </x:c>
    </x:row>
    <x:row r="867">
      <x:c r="A867" s="82" t="str">
        <x:v>工程与发布</x:v>
      </x:c>
      <x:c r="B867" s="82" t="str">
        <x:v>Version / Migration / Package / Deploy</x:v>
      </x:c>
      <x:c r="C867" s="82" t="str">
        <x:v>CAP-REL01-015</x:v>
      </x:c>
      <x:c r="D867" s="82" t="str">
        <x:v>Upgrade Preview</x:v>
      </x:c>
      <x:c r="E867" s="82" t="str">
        <x:v>迁移/兼容变更预览和影响范围。</x:v>
      </x:c>
      <x:c r="F867" s="82" t="str"/>
      <x:c r="G867" s="82" t="str">
        <x:v>原基线478项</x:v>
      </x:c>
      <x:c r="H867" s="82" t="str">
        <x:v>原始能力契约；未按对象数量推算完成度</x:v>
      </x:c>
    </x:row>
    <x:row r="868">
      <x:c r="A868" s="82" t="str">
        <x:v>工程与发布</x:v>
      </x:c>
      <x:c r="B868" s="82" t="str">
        <x:v>Version / Migration / Package / Deploy</x:v>
      </x:c>
      <x:c r="C868" s="82" t="str">
        <x:v>CAP-REL01-016</x:v>
      </x:c>
      <x:c r="D868" s="82" t="str">
        <x:v>发布制品完整性及签名</x:v>
      </x:c>
      <x:c r="E868" s="82" t="str">
        <x:v>Manifest/Package记录Hash、来源、构建版本与可选签名验证；部署端拒绝校验失败的制品。</x:v>
      </x:c>
      <x:c r="F868" s="82" t="str"/>
      <x:c r="G868" s="82" t="str">
        <x:v>原Mechanism子方面补强</x:v>
      </x:c>
      <x:c r="H868" s="82" t="str">
        <x:v>原始能力契约；未按对象数量推算完成度</x:v>
      </x:c>
    </x:row>
    <x:row r="869">
      <x:c r="A869" s="82" t="str">
        <x:v>工程与扩展</x:v>
      </x:c>
      <x:c r="B869" s="82" t="str">
        <x:v>Plugin / Registry / Extension</x:v>
      </x:c>
      <x:c r="C869" s="82" t="str">
        <x:v>CAP-EXT01-001</x:v>
      </x:c>
      <x:c r="D869" s="82" t="str">
        <x:v>Plugin Descriptor</x:v>
      </x:c>
      <x:c r="E869" s="82" t="str">
        <x:v>Plugin Id/Version/Dependency/Capability/EntryPoint。</x:v>
      </x:c>
      <x:c r="F869" s="82" t="str">
        <x:v>专业域通过扩展点进入，不污染Common</x:v>
      </x:c>
      <x:c r="G869" s="82" t="str">
        <x:v>原基线478项</x:v>
      </x:c>
      <x:c r="H869" s="82" t="str">
        <x:v>原始能力契约；未按对象数量推算完成度</x:v>
      </x:c>
    </x:row>
    <x:row r="870">
      <x:c r="A870" s="82" t="str">
        <x:v>工程与扩展</x:v>
      </x:c>
      <x:c r="B870" s="82" t="str">
        <x:v>Plugin / Registry / Extension</x:v>
      </x:c>
      <x:c r="C870" s="82" t="str">
        <x:v>CAP-EXT01-002</x:v>
      </x:c>
      <x:c r="D870" s="82" t="str">
        <x:v>Plugin Catalog</x:v>
      </x:c>
      <x:c r="E870" s="82" t="str">
        <x:v>发现、启用、禁用、版本与状态。</x:v>
      </x:c>
      <x:c r="F870" s="82" t="str"/>
      <x:c r="G870" s="82" t="str">
        <x:v>原基线478项</x:v>
      </x:c>
      <x:c r="H870" s="82" t="str">
        <x:v>原始能力契约；未按对象数量推算完成度</x:v>
      </x:c>
    </x:row>
    <x:row r="871">
      <x:c r="A871" s="82" t="str">
        <x:v>工程与扩展</x:v>
      </x:c>
      <x:c r="B871" s="82" t="str">
        <x:v>Plugin / Registry / Extension</x:v>
      </x:c>
      <x:c r="C871" s="82" t="str">
        <x:v>CAP-EXT01-003</x:v>
      </x:c>
      <x:c r="D871" s="82" t="str">
        <x:v>Extension Registry</x:v>
      </x:c>
      <x:c r="E871" s="82" t="str">
        <x:v>统一注册Node/Property/Editor/Compiler/Runtime/Debug等扩展。</x:v>
      </x:c>
      <x:c r="F871" s="82" t="str"/>
      <x:c r="G871" s="82" t="str">
        <x:v>原基线478项</x:v>
      </x:c>
      <x:c r="H871" s="82" t="str">
        <x:v>原始能力契约；未按对象数量推算完成度</x:v>
      </x:c>
    </x:row>
    <x:row r="872">
      <x:c r="A872" s="82" t="str">
        <x:v>工程与扩展</x:v>
      </x:c>
      <x:c r="B872" s="82" t="str">
        <x:v>Plugin / Registry / Extension</x:v>
      </x:c>
      <x:c r="C872" s="82" t="str">
        <x:v>CAP-EXT01-004</x:v>
      </x:c>
      <x:c r="D872" s="82" t="str">
        <x:v>Node Descriptor Extension</x:v>
      </x:c>
      <x:c r="E872" s="82" t="str">
        <x:v>专业Workbench注册Node元数据。</x:v>
      </x:c>
      <x:c r="F872" s="82" t="str"/>
      <x:c r="G872" s="82" t="str">
        <x:v>原基线478项</x:v>
      </x:c>
      <x:c r="H872" s="82" t="str">
        <x:v>原始能力契约；未按对象数量推算完成度</x:v>
      </x:c>
    </x:row>
    <x:row r="873">
      <x:c r="A873" s="82" t="str">
        <x:v>工程与扩展</x:v>
      </x:c>
      <x:c r="B873" s="82" t="str">
        <x:v>Plugin / Registry / Extension</x:v>
      </x:c>
      <x:c r="C873" s="82" t="str">
        <x:v>CAP-EXT01-005</x:v>
      </x:c>
      <x:c r="D873" s="82" t="str">
        <x:v>Node Factory Extension</x:v>
      </x:c>
      <x:c r="E873" s="82" t="str">
        <x:v>专业Node创建/反序列化。</x:v>
      </x:c>
      <x:c r="F873" s="82" t="str"/>
      <x:c r="G873" s="82" t="str">
        <x:v>原基线478项</x:v>
      </x:c>
      <x:c r="H873" s="82" t="str">
        <x:v>原始能力契约；未按对象数量推算完成度</x:v>
      </x:c>
    </x:row>
    <x:row r="874">
      <x:c r="A874" s="82" t="str">
        <x:v>工程与扩展</x:v>
      </x:c>
      <x:c r="B874" s="82" t="str">
        <x:v>Plugin / Registry / Extension</x:v>
      </x:c>
      <x:c r="C874" s="82" t="str">
        <x:v>CAP-EXT01-006</x:v>
      </x:c>
      <x:c r="D874" s="82" t="str">
        <x:v>Property Provider Extension</x:v>
      </x:c>
      <x:c r="E874" s="82" t="str">
        <x:v>专业属性/验证/Editor贡献。</x:v>
      </x:c>
      <x:c r="F874" s="82" t="str"/>
      <x:c r="G874" s="82" t="str">
        <x:v>原基线478项</x:v>
      </x:c>
      <x:c r="H874" s="82" t="str">
        <x:v>原始能力契约；未按对象数量推算完成度</x:v>
      </x:c>
    </x:row>
    <x:row r="875">
      <x:c r="A875" s="82" t="str">
        <x:v>工程与扩展</x:v>
      </x:c>
      <x:c r="B875" s="82" t="str">
        <x:v>Plugin / Registry / Extension</x:v>
      </x:c>
      <x:c r="C875" s="82" t="str">
        <x:v>CAP-EXT01-007</x:v>
      </x:c>
      <x:c r="D875" s="82" t="str">
        <x:v>Visual Template Extension</x:v>
      </x:c>
      <x:c r="E875" s="82" t="str">
        <x:v>Node/Element专业视觉模板。</x:v>
      </x:c>
      <x:c r="F875" s="82" t="str"/>
      <x:c r="G875" s="82" t="str">
        <x:v>原基线478项</x:v>
      </x:c>
      <x:c r="H875" s="82" t="str">
        <x:v>原始能力契约；未按对象数量推算完成度</x:v>
      </x:c>
    </x:row>
    <x:row r="876">
      <x:c r="A876" s="82" t="str">
        <x:v>工程与扩展</x:v>
      </x:c>
      <x:c r="B876" s="82" t="str">
        <x:v>Plugin / Registry / Extension</x:v>
      </x:c>
      <x:c r="C876" s="82" t="str">
        <x:v>CAP-EXT01-008</x:v>
      </x:c>
      <x:c r="D876" s="82" t="str">
        <x:v>Compiler Extension</x:v>
      </x:c>
      <x:c r="E876" s="82" t="str">
        <x:v>专业Definition编译到Domain Plan/IR。</x:v>
      </x:c>
      <x:c r="F876" s="82" t="str"/>
      <x:c r="G876" s="82" t="str">
        <x:v>原基线478项</x:v>
      </x:c>
      <x:c r="H876" s="82" t="str">
        <x:v>原始能力契约；未按对象数量推算完成度</x:v>
      </x:c>
    </x:row>
    <x:row r="877">
      <x:c r="A877" s="82" t="str">
        <x:v>工程与扩展</x:v>
      </x:c>
      <x:c r="B877" s="82" t="str">
        <x:v>Plugin / Registry / Extension</x:v>
      </x:c>
      <x:c r="C877" s="82" t="str">
        <x:v>CAP-EXT01-009</x:v>
      </x:c>
      <x:c r="D877" s="82" t="str">
        <x:v>Runtime Extension</x:v>
      </x:c>
      <x:c r="E877" s="82" t="str">
        <x:v>专业Runtime/OperationHandler/RuntimeAdapter注册。</x:v>
      </x:c>
      <x:c r="F877" s="82" t="str"/>
      <x:c r="G877" s="82" t="str">
        <x:v>原基线478项</x:v>
      </x:c>
      <x:c r="H877" s="82" t="str">
        <x:v>原始能力契约；未按对象数量推算完成度</x:v>
      </x:c>
    </x:row>
    <x:row r="878">
      <x:c r="A878" s="82" t="str">
        <x:v>工程与扩展</x:v>
      </x:c>
      <x:c r="B878" s="82" t="str">
        <x:v>Plugin / Registry / Extension</x:v>
      </x:c>
      <x:c r="C878" s="82" t="str">
        <x:v>CAP-EXT01-010</x:v>
      </x:c>
      <x:c r="D878" s="82" t="str">
        <x:v>Debug Contribution</x:v>
      </x:c>
      <x:c r="E878" s="82" t="str">
        <x:v>专业Watch/Viewer/Metric/调试操作。</x:v>
      </x:c>
      <x:c r="F878" s="82" t="str"/>
      <x:c r="G878" s="82" t="str">
        <x:v>原基线478项</x:v>
      </x:c>
      <x:c r="H878" s="82" t="str">
        <x:v>原始能力契约；未按对象数量推算完成度</x:v>
      </x:c>
    </x:row>
    <x:row r="879">
      <x:c r="A879" s="82" t="str">
        <x:v>工程与扩展</x:v>
      </x:c>
      <x:c r="B879" s="82" t="str">
        <x:v>Plugin / Registry / Extension</x:v>
      </x:c>
      <x:c r="C879" s="82" t="str">
        <x:v>CAP-EXT01-011</x:v>
      </x:c>
      <x:c r="D879" s="82" t="str">
        <x:v>Migration Provider Extension</x:v>
      </x:c>
      <x:c r="E879" s="82" t="str">
        <x:v>专业资源/Node版本迁移。</x:v>
      </x:c>
      <x:c r="F879" s="82" t="str"/>
      <x:c r="G879" s="82" t="str">
        <x:v>原基线478项</x:v>
      </x:c>
      <x:c r="H879" s="82" t="str">
        <x:v>原始能力契约；未按对象数量推算完成度</x:v>
      </x:c>
    </x:row>
    <x:row r="880">
      <x:c r="A880" s="82" t="str">
        <x:v>工程与扩展</x:v>
      </x:c>
      <x:c r="B880" s="82" t="str">
        <x:v>Plugin / Registry / Extension</x:v>
      </x:c>
      <x:c r="C880" s="82" t="str">
        <x:v>CAP-EXT01-012</x:v>
      </x:c>
      <x:c r="D880" s="82" t="str">
        <x:v>Provider/Worker Registration</x:v>
      </x:c>
      <x:c r="E880" s="82" t="str">
        <x:v>设备/算法/远端Worker能力注册。</x:v>
      </x:c>
      <x:c r="F880" s="82" t="str"/>
      <x:c r="G880" s="82" t="str">
        <x:v>原基线478项</x:v>
      </x:c>
      <x:c r="H880" s="82" t="str">
        <x:v>原始能力契约；未按对象数量推算完成度</x:v>
      </x:c>
    </x:row>
    <x:row r="881">
      <x:c r="A881" s="82" t="str">
        <x:v>工程与扩展</x:v>
      </x:c>
      <x:c r="B881" s="82" t="str">
        <x:v>Plugin / Registry / Extension</x:v>
      </x:c>
      <x:c r="C881" s="82" t="str">
        <x:v>CAP-EXT01-013</x:v>
      </x:c>
      <x:c r="D881" s="82" t="str">
        <x:v>Capability Discovery</x:v>
      </x:c>
      <x:c r="E881" s="82" t="str">
        <x:v>按Capability查询可用实现并参与Resolve。</x:v>
      </x:c>
      <x:c r="F881" s="82" t="str"/>
      <x:c r="G881" s="82" t="str">
        <x:v>原基线478项</x:v>
      </x:c>
      <x:c r="H881" s="82" t="str">
        <x:v>原始能力契约；未按对象数量推算完成度</x:v>
      </x:c>
    </x:row>
    <x:row r="887" ht="28" customHeight="1">
      <x:c r="A887" s="160" t="str">
        <x:v>B. 各项目“实施调整方式”证据统计（动态公式）</x:v>
      </x:c>
      <x:c r="B887" s="160"/>
      <x:c r="C887" s="160"/>
      <x:c r="D887" s="160"/>
      <x:c r="E887" s="160"/>
      <x:c r="F887" s="160"/>
      <x:c r="G887" s="160"/>
      <x:c r="H887" s="160"/>
      <x:c r="I887" s="160"/>
    </x:row>
    <x:row r="888" ht="24" customHeight="1">
      <x:c r="A888" s="161" t="str">
        <x:v>注意：统计对象包含V1.19旧源码条目和V4.9设计候选；同名匹配只证实存在声明，不是代码行为/测试验收。</x:v>
      </x:c>
      <x:c r="B888" s="161"/>
      <x:c r="C888" s="161"/>
      <x:c r="D888" s="161"/>
      <x:c r="E888" s="161"/>
      <x:c r="F888" s="161"/>
      <x:c r="G888" s="161"/>
      <x:c r="H888" s="161"/>
      <x:c r="I888" s="161"/>
    </x:row>
    <x:row r="889" ht="34" customHeight="1">
      <x:c r="A889" s="156" t="str">
        <x:v>项目Sheet</x:v>
      </x:c>
      <x:c r="B889" s="156" t="str">
        <x:v>记录总数</x:v>
      </x:c>
      <x:c r="C889" s="156" t="str">
        <x:v>原有·待核</x:v>
      </x:c>
      <x:c r="D889" s="156" t="str">
        <x:v>复用待核</x:v>
      </x:c>
      <x:c r="E889" s="156" t="str">
        <x:v>增构候选·待查重</x:v>
      </x:c>
      <x:c r="F889" s="156" t="str">
        <x:v>重构建议</x:v>
      </x:c>
      <x:c r="G889" s="156" t="str">
        <x:v>拆出建议</x:v>
      </x:c>
      <x:c r="H889" s="156" t="str">
        <x:v>迁移建议</x:v>
      </x:c>
      <x:c r="I889" s="156" t="str">
        <x:v>迁移/适配待核</x:v>
      </x:c>
    </x:row>
    <x:row r="890" ht="24" customHeight="1">
      <x:c r="A890" s="168" t="str">
        <x:v>F01_Core</x:v>
      </x:c>
      <x:c r="B890" s="168" t="n">
        <x:f>COUNTA('F01_Core'!C6:C61)</x:f>
        <x:v>56</x:v>
      </x:c>
      <x:c r="C890" s="168" t="n">
        <x:f>COUNTIF('F01_Core'!D6:D61,"原有·待核")</x:f>
        <x:v>0</x:v>
      </x:c>
      <x:c r="D890" s="168" t="n">
        <x:f>COUNTIF('F01_Core'!D6:D61,"复用待核")</x:f>
        <x:v>0</x:v>
      </x:c>
      <x:c r="E890" s="168" t="n">
        <x:f>COUNTIF('F01_Core'!D6:D61,"增构候选·待查重")</x:f>
        <x:v>0</x:v>
      </x:c>
      <x:c r="F890" s="168" t="n">
        <x:f>COUNTIF('F01_Core'!D6:D61,"重构建议")</x:f>
        <x:v>0</x:v>
      </x:c>
      <x:c r="G890" s="168" t="n">
        <x:f>COUNTIF('F01_Core'!D6:D61,"拆出建议")</x:f>
        <x:v>0</x:v>
      </x:c>
      <x:c r="H890" s="168" t="n">
        <x:f>COUNTIF('F01_Core'!D6:D61,"迁移建议")</x:f>
        <x:v>0</x:v>
      </x:c>
      <x:c r="I890" s="168" t="n">
        <x:f>COUNTIF('F01_Core'!D6:D61,"迁移/适配待核")</x:f>
        <x:v>0</x:v>
      </x:c>
    </x:row>
    <x:row r="891" ht="24" customHeight="1">
      <x:c r="A891" s="168" t="str">
        <x:v>F02_Numerics</x:v>
      </x:c>
      <x:c r="B891" s="168" t="n">
        <x:f>COUNTA('F02_Numerics'!C6:C55)</x:f>
        <x:v>50</x:v>
      </x:c>
      <x:c r="C891" s="168" t="n">
        <x:f>COUNTIF('F02_Numerics'!D6:D55,"原有·待核")</x:f>
        <x:v>0</x:v>
      </x:c>
      <x:c r="D891" s="168" t="n">
        <x:f>COUNTIF('F02_Numerics'!D6:D55,"复用待核")</x:f>
        <x:v>0</x:v>
      </x:c>
      <x:c r="E891" s="168" t="n">
        <x:f>COUNTIF('F02_Numerics'!D6:D55,"增构候选·待查重")</x:f>
        <x:v>0</x:v>
      </x:c>
      <x:c r="F891" s="168" t="n">
        <x:f>COUNTIF('F02_Numerics'!D6:D55,"重构建议")</x:f>
        <x:v>0</x:v>
      </x:c>
      <x:c r="G891" s="168" t="n">
        <x:f>COUNTIF('F02_Numerics'!D6:D55,"拆出建议")</x:f>
        <x:v>0</x:v>
      </x:c>
      <x:c r="H891" s="168" t="n">
        <x:f>COUNTIF('F02_Numerics'!D6:D55,"迁移建议")</x:f>
        <x:v>0</x:v>
      </x:c>
      <x:c r="I891" s="168" t="n">
        <x:f>COUNTIF('F02_Numerics'!D6:D55,"迁移/适配待核")</x:f>
        <x:v>0</x:v>
      </x:c>
    </x:row>
    <x:row r="892" ht="24" customHeight="1">
      <x:c r="A892" s="168" t="str">
        <x:v>F03_Geometry</x:v>
      </x:c>
      <x:c r="B892" s="168" t="n">
        <x:f>COUNTA('F03_Geometry'!C6:C55)</x:f>
        <x:v>50</x:v>
      </x:c>
      <x:c r="C892" s="168" t="n">
        <x:f>COUNTIF('F03_Geometry'!D6:D55,"原有·待核")</x:f>
        <x:v>0</x:v>
      </x:c>
      <x:c r="D892" s="168" t="n">
        <x:f>COUNTIF('F03_Geometry'!D6:D55,"复用待核")</x:f>
        <x:v>0</x:v>
      </x:c>
      <x:c r="E892" s="168" t="n">
        <x:f>COUNTIF('F03_Geometry'!D6:D55,"增构候选·待查重")</x:f>
        <x:v>0</x:v>
      </x:c>
      <x:c r="F892" s="168" t="n">
        <x:f>COUNTIF('F03_Geometry'!D6:D55,"重构建议")</x:f>
        <x:v>0</x:v>
      </x:c>
      <x:c r="G892" s="168" t="n">
        <x:f>COUNTIF('F03_Geometry'!D6:D55,"拆出建议")</x:f>
        <x:v>0</x:v>
      </x:c>
      <x:c r="H892" s="168" t="n">
        <x:f>COUNTIF('F03_Geometry'!D6:D55,"迁移建议")</x:f>
        <x:v>0</x:v>
      </x:c>
      <x:c r="I892" s="168" t="n">
        <x:f>COUNTIF('F03_Geometry'!D6:D55,"迁移/适配待核")</x:f>
        <x:v>0</x:v>
      </x:c>
    </x:row>
    <x:row r="893" ht="24" customHeight="1">
      <x:c r="A893" s="168" t="str">
        <x:v>F04_Imaging</x:v>
      </x:c>
      <x:c r="B893" s="168" t="n">
        <x:f>COUNTA('F04_Imaging'!C6:C55)</x:f>
        <x:v>50</x:v>
      </x:c>
      <x:c r="C893" s="168" t="n">
        <x:f>COUNTIF('F04_Imaging'!D6:D55,"原有·待核")</x:f>
        <x:v>0</x:v>
      </x:c>
      <x:c r="D893" s="168" t="n">
        <x:f>COUNTIF('F04_Imaging'!D6:D55,"复用待核")</x:f>
        <x:v>0</x:v>
      </x:c>
      <x:c r="E893" s="168" t="n">
        <x:f>COUNTIF('F04_Imaging'!D6:D55,"增构候选·待查重")</x:f>
        <x:v>0</x:v>
      </x:c>
      <x:c r="F893" s="168" t="n">
        <x:f>COUNTIF('F04_Imaging'!D6:D55,"重构建议")</x:f>
        <x:v>0</x:v>
      </x:c>
      <x:c r="G893" s="168" t="n">
        <x:f>COUNTIF('F04_Imaging'!D6:D55,"拆出建议")</x:f>
        <x:v>0</x:v>
      </x:c>
      <x:c r="H893" s="168" t="n">
        <x:f>COUNTIF('F04_Imaging'!D6:D55,"迁移建议")</x:f>
        <x:v>0</x:v>
      </x:c>
      <x:c r="I893" s="168" t="n">
        <x:f>COUNTIF('F04_Imaging'!D6:D55,"迁移/适配待核")</x:f>
        <x:v>0</x:v>
      </x:c>
    </x:row>
    <x:row r="894" ht="24" customHeight="1">
      <x:c r="A894" s="168" t="str">
        <x:v>F05_Volume</x:v>
      </x:c>
      <x:c r="B894" s="168" t="n">
        <x:f>COUNTA('F05_Volume'!C6:C55)</x:f>
        <x:v>50</x:v>
      </x:c>
      <x:c r="C894" s="168" t="n">
        <x:f>COUNTIF('F05_Volume'!D6:D55,"原有·待核")</x:f>
        <x:v>0</x:v>
      </x:c>
      <x:c r="D894" s="168" t="n">
        <x:f>COUNTIF('F05_Volume'!D6:D55,"复用待核")</x:f>
        <x:v>0</x:v>
      </x:c>
      <x:c r="E894" s="168" t="n">
        <x:f>COUNTIF('F05_Volume'!D6:D55,"增构候选·待查重")</x:f>
        <x:v>0</x:v>
      </x:c>
      <x:c r="F894" s="168" t="n">
        <x:f>COUNTIF('F05_Volume'!D6:D55,"重构建议")</x:f>
        <x:v>0</x:v>
      </x:c>
      <x:c r="G894" s="168" t="n">
        <x:f>COUNTIF('F05_Volume'!D6:D55,"拆出建议")</x:f>
        <x:v>0</x:v>
      </x:c>
      <x:c r="H894" s="168" t="n">
        <x:f>COUNTIF('F05_Volume'!D6:D55,"迁移建议")</x:f>
        <x:v>0</x:v>
      </x:c>
      <x:c r="I894" s="168" t="n">
        <x:f>COUNTIF('F05_Volume'!D6:D55,"迁移/适配待核")</x:f>
        <x:v>0</x:v>
      </x:c>
    </x:row>
    <x:row r="895" ht="24" customHeight="1">
      <x:c r="A895" s="168" t="str">
        <x:v>F06_Data</x:v>
      </x:c>
      <x:c r="B895" s="168" t="n">
        <x:f>COUNTA('F06_Data'!C6:C62)</x:f>
        <x:v>57</x:v>
      </x:c>
      <x:c r="C895" s="168" t="n">
        <x:f>COUNTIF('F06_Data'!D6:D62,"原有·待核")</x:f>
        <x:v>0</x:v>
      </x:c>
      <x:c r="D895" s="168" t="n">
        <x:f>COUNTIF('F06_Data'!D6:D62,"复用待核")</x:f>
        <x:v>0</x:v>
      </x:c>
      <x:c r="E895" s="168" t="n">
        <x:f>COUNTIF('F06_Data'!D6:D62,"增构候选·待查重")</x:f>
        <x:v>0</x:v>
      </x:c>
      <x:c r="F895" s="168" t="n">
        <x:f>COUNTIF('F06_Data'!D6:D62,"重构建议")</x:f>
        <x:v>0</x:v>
      </x:c>
      <x:c r="G895" s="168" t="n">
        <x:f>COUNTIF('F06_Data'!D6:D62,"拆出建议")</x:f>
        <x:v>0</x:v>
      </x:c>
      <x:c r="H895" s="168" t="n">
        <x:f>COUNTIF('F06_Data'!D6:D62,"迁移建议")</x:f>
        <x:v>0</x:v>
      </x:c>
      <x:c r="I895" s="168" t="n">
        <x:f>COUNTIF('F06_Data'!D6:D62,"迁移/适配待核")</x:f>
        <x:v>0</x:v>
      </x:c>
    </x:row>
    <x:row r="896" ht="24" customHeight="1">
      <x:c r="A896" s="168" t="str">
        <x:v>F07_Infrastructure</x:v>
      </x:c>
      <x:c r="B896" s="168" t="n">
        <x:f>COUNTA('F07_Infrastructure'!C6:C55)</x:f>
        <x:v>50</x:v>
      </x:c>
      <x:c r="C896" s="168" t="n">
        <x:f>COUNTIF('F07_Infrastructure'!D6:D55,"原有·待核")</x:f>
        <x:v>0</x:v>
      </x:c>
      <x:c r="D896" s="168" t="n">
        <x:f>COUNTIF('F07_Infrastructure'!D6:D55,"复用待核")</x:f>
        <x:v>0</x:v>
      </x:c>
      <x:c r="E896" s="168" t="n">
        <x:f>COUNTIF('F07_Infrastructure'!D6:D55,"增构候选·待查重")</x:f>
        <x:v>0</x:v>
      </x:c>
      <x:c r="F896" s="168" t="n">
        <x:f>COUNTIF('F07_Infrastructure'!D6:D55,"重构建议")</x:f>
        <x:v>0</x:v>
      </x:c>
      <x:c r="G896" s="168" t="n">
        <x:f>COUNTIF('F07_Infrastructure'!D6:D55,"拆出建议")</x:f>
        <x:v>0</x:v>
      </x:c>
      <x:c r="H896" s="168" t="n">
        <x:f>COUNTIF('F07_Infrastructure'!D6:D55,"迁移建议")</x:f>
        <x:v>0</x:v>
      </x:c>
      <x:c r="I896" s="168" t="n">
        <x:f>COUNTIF('F07_Infrastructure'!D6:D55,"迁移/适配待核")</x:f>
        <x:v>0</x:v>
      </x:c>
    </x:row>
    <x:row r="897" ht="24" customHeight="1">
      <x:c r="A897" s="168" t="str">
        <x:v>F08_Transport</x:v>
      </x:c>
      <x:c r="B897" s="168" t="n">
        <x:f>COUNTA('F08_Transport'!C6:C55)</x:f>
        <x:v>50</x:v>
      </x:c>
      <x:c r="C897" s="168" t="n">
        <x:f>COUNTIF('F08_Transport'!D6:D55,"原有·待核")</x:f>
        <x:v>0</x:v>
      </x:c>
      <x:c r="D897" s="168" t="n">
        <x:f>COUNTIF('F08_Transport'!D6:D55,"复用待核")</x:f>
        <x:v>0</x:v>
      </x:c>
      <x:c r="E897" s="168" t="n">
        <x:f>COUNTIF('F08_Transport'!D6:D55,"增构候选·待查重")</x:f>
        <x:v>0</x:v>
      </x:c>
      <x:c r="F897" s="168" t="n">
        <x:f>COUNTIF('F08_Transport'!D6:D55,"重构建议")</x:f>
        <x:v>0</x:v>
      </x:c>
      <x:c r="G897" s="168" t="n">
        <x:f>COUNTIF('F08_Transport'!D6:D55,"拆出建议")</x:f>
        <x:v>0</x:v>
      </x:c>
      <x:c r="H897" s="168" t="n">
        <x:f>COUNTIF('F08_Transport'!D6:D55,"迁移建议")</x:f>
        <x:v>0</x:v>
      </x:c>
      <x:c r="I897" s="168" t="n">
        <x:f>COUNTIF('F08_Transport'!D6:D55,"迁移/适配待核")</x:f>
        <x:v>0</x:v>
      </x:c>
    </x:row>
    <x:row r="898" ht="24" customHeight="1">
      <x:c r="A898" s="168" t="str">
        <x:v>M01_Core</x:v>
      </x:c>
      <x:c r="B898" s="168" t="n">
        <x:f>COUNTA('M01_Core'!C6:C278)</x:f>
        <x:v>273</x:v>
      </x:c>
      <x:c r="C898" s="168" t="n">
        <x:f>COUNTIF('M01_Core'!D6:D278,"原有·待核")</x:f>
        <x:v>0</x:v>
      </x:c>
      <x:c r="D898" s="168" t="n">
        <x:f>COUNTIF('M01_Core'!D6:D278,"复用待核")</x:f>
        <x:v>0</x:v>
      </x:c>
      <x:c r="E898" s="168" t="n">
        <x:f>COUNTIF('M01_Core'!D6:D278,"增构候选·待查重")</x:f>
        <x:v>0</x:v>
      </x:c>
      <x:c r="F898" s="168" t="n">
        <x:f>COUNTIF('M01_Core'!D6:D278,"重构建议")</x:f>
        <x:v>0</x:v>
      </x:c>
      <x:c r="G898" s="168" t="n">
        <x:f>COUNTIF('M01_Core'!D6:D278,"拆出建议")</x:f>
        <x:v>0</x:v>
      </x:c>
      <x:c r="H898" s="168" t="n">
        <x:f>COUNTIF('M01_Core'!D6:D278,"迁移建议")</x:f>
        <x:v>0</x:v>
      </x:c>
      <x:c r="I898" s="168" t="n">
        <x:f>COUNTIF('M01_Core'!D6:D278,"迁移/适配待核")</x:f>
        <x:v>0</x:v>
      </x:c>
    </x:row>
    <x:row r="899" ht="24" customHeight="1">
      <x:c r="A899" s="168" t="str">
        <x:v>M02_Data</x:v>
      </x:c>
      <x:c r="B899" s="168" t="n">
        <x:f>COUNTA('M02_Data'!C6:C233)</x:f>
        <x:v>228</x:v>
      </x:c>
      <x:c r="C899" s="168" t="n">
        <x:f>COUNTIF('M02_Data'!D6:D233,"原有·待核")</x:f>
        <x:v>0</x:v>
      </x:c>
      <x:c r="D899" s="168" t="n">
        <x:f>COUNTIF('M02_Data'!D6:D233,"复用待核")</x:f>
        <x:v>0</x:v>
      </x:c>
      <x:c r="E899" s="168" t="n">
        <x:f>COUNTIF('M02_Data'!D6:D233,"增构候选·待查重")</x:f>
        <x:v>0</x:v>
      </x:c>
      <x:c r="F899" s="168" t="n">
        <x:f>COUNTIF('M02_Data'!D6:D233,"重构建议")</x:f>
        <x:v>0</x:v>
      </x:c>
      <x:c r="G899" s="168" t="n">
        <x:f>COUNTIF('M02_Data'!D6:D233,"拆出建议")</x:f>
        <x:v>0</x:v>
      </x:c>
      <x:c r="H899" s="168" t="n">
        <x:f>COUNTIF('M02_Data'!D6:D233,"迁移建议")</x:f>
        <x:v>0</x:v>
      </x:c>
      <x:c r="I899" s="168" t="n">
        <x:f>COUNTIF('M02_Data'!D6:D233,"迁移/适配待核")</x:f>
        <x:v>0</x:v>
      </x:c>
    </x:row>
    <x:row r="900" ht="24" customHeight="1">
      <x:c r="A900" s="168" t="str">
        <x:v>M03_Logic</x:v>
      </x:c>
      <x:c r="B900" s="168" t="n">
        <x:f>COUNTA('M03_Logic'!C6:C127)</x:f>
        <x:v>122</x:v>
      </x:c>
      <x:c r="C900" s="168" t="n">
        <x:f>COUNTIF('M03_Logic'!D6:D127,"原有·待核")</x:f>
        <x:v>0</x:v>
      </x:c>
      <x:c r="D900" s="168" t="n">
        <x:f>COUNTIF('M03_Logic'!D6:D127,"复用待核")</x:f>
        <x:v>0</x:v>
      </x:c>
      <x:c r="E900" s="168" t="n">
        <x:f>COUNTIF('M03_Logic'!D6:D127,"增构候选·待查重")</x:f>
        <x:v>0</x:v>
      </x:c>
      <x:c r="F900" s="168" t="n">
        <x:f>COUNTIF('M03_Logic'!D6:D127,"重构建议")</x:f>
        <x:v>0</x:v>
      </x:c>
      <x:c r="G900" s="168" t="n">
        <x:f>COUNTIF('M03_Logic'!D6:D127,"拆出建议")</x:f>
        <x:v>0</x:v>
      </x:c>
      <x:c r="H900" s="168" t="n">
        <x:f>COUNTIF('M03_Logic'!D6:D127,"迁移建议")</x:f>
        <x:v>0</x:v>
      </x:c>
      <x:c r="I900" s="168" t="n">
        <x:f>COUNTIF('M03_Logic'!D6:D127,"迁移/适配待核")</x:f>
        <x:v>0</x:v>
      </x:c>
    </x:row>
    <x:row r="901" ht="24" customHeight="1">
      <x:c r="A901" s="168" t="str">
        <x:v>M04_Connectivity</x:v>
      </x:c>
      <x:c r="B901" s="168" t="n">
        <x:f>COUNTA('M04_Connectivity'!C6:C122)</x:f>
        <x:v>117</x:v>
      </x:c>
      <x:c r="C901" s="168" t="n">
        <x:f>COUNTIF('M04_Connectivity'!D6:D122,"原有·待核")</x:f>
        <x:v>0</x:v>
      </x:c>
      <x:c r="D901" s="168" t="n">
        <x:f>COUNTIF('M04_Connectivity'!D6:D122,"复用待核")</x:f>
        <x:v>0</x:v>
      </x:c>
      <x:c r="E901" s="168" t="n">
        <x:f>COUNTIF('M04_Connectivity'!D6:D122,"增构候选·待查重")</x:f>
        <x:v>0</x:v>
      </x:c>
      <x:c r="F901" s="168" t="n">
        <x:f>COUNTIF('M04_Connectivity'!D6:D122,"重构建议")</x:f>
        <x:v>0</x:v>
      </x:c>
      <x:c r="G901" s="168" t="n">
        <x:f>COUNTIF('M04_Connectivity'!D6:D122,"拆出建议")</x:f>
        <x:v>0</x:v>
      </x:c>
      <x:c r="H901" s="168" t="n">
        <x:f>COUNTIF('M04_Connectivity'!D6:D122,"迁移建议")</x:f>
        <x:v>0</x:v>
      </x:c>
      <x:c r="I901" s="168" t="n">
        <x:f>COUNTIF('M04_Connectivity'!D6:D122,"迁移/适配待核")</x:f>
        <x:v>0</x:v>
      </x:c>
    </x:row>
    <x:row r="902" ht="24" customHeight="1">
      <x:c r="A902" s="168" t="str">
        <x:v>M05_Visual</x:v>
      </x:c>
      <x:c r="B902" s="168" t="n">
        <x:f>COUNTA('M05_Visual'!C6:C212)</x:f>
        <x:v>207</x:v>
      </x:c>
      <x:c r="C902" s="168" t="n">
        <x:f>COUNTIF('M05_Visual'!D6:D212,"原有·待核")</x:f>
        <x:v>0</x:v>
      </x:c>
      <x:c r="D902" s="168" t="n">
        <x:f>COUNTIF('M05_Visual'!D6:D212,"复用待核")</x:f>
        <x:v>0</x:v>
      </x:c>
      <x:c r="E902" s="168" t="n">
        <x:f>COUNTIF('M05_Visual'!D6:D212,"增构候选·待查重")</x:f>
        <x:v>0</x:v>
      </x:c>
      <x:c r="F902" s="168" t="n">
        <x:f>COUNTIF('M05_Visual'!D6:D212,"重构建议")</x:f>
        <x:v>0</x:v>
      </x:c>
      <x:c r="G902" s="168" t="n">
        <x:f>COUNTIF('M05_Visual'!D6:D212,"拆出建议")</x:f>
        <x:v>0</x:v>
      </x:c>
      <x:c r="H902" s="168" t="n">
        <x:f>COUNTIF('M05_Visual'!D6:D212,"迁移建议")</x:f>
        <x:v>0</x:v>
      </x:c>
      <x:c r="I902" s="168" t="n">
        <x:f>COUNTIF('M05_Visual'!D6:D212,"迁移/适配待核")</x:f>
        <x:v>0</x:v>
      </x:c>
    </x:row>
    <x:row r="903" ht="24" customHeight="1">
      <x:c r="A903" s="168" t="str">
        <x:v>M06_Orchestration</x:v>
      </x:c>
      <x:c r="B903" s="168" t="n">
        <x:f>COUNTA('M06_Orchestration'!C6:C73)</x:f>
        <x:v>68</x:v>
      </x:c>
      <x:c r="C903" s="168" t="n">
        <x:f>COUNTIF('M06_Orchestration'!D6:D73,"原有·待核")</x:f>
        <x:v>0</x:v>
      </x:c>
      <x:c r="D903" s="168" t="n">
        <x:f>COUNTIF('M06_Orchestration'!D6:D73,"复用待核")</x:f>
        <x:v>0</x:v>
      </x:c>
      <x:c r="E903" s="168" t="n">
        <x:f>COUNTIF('M06_Orchestration'!D6:D73,"增构候选·待查重")</x:f>
        <x:v>0</x:v>
      </x:c>
      <x:c r="F903" s="168" t="n">
        <x:f>COUNTIF('M06_Orchestration'!D6:D73,"重构建议")</x:f>
        <x:v>0</x:v>
      </x:c>
      <x:c r="G903" s="168" t="n">
        <x:f>COUNTIF('M06_Orchestration'!D6:D73,"拆出建议")</x:f>
        <x:v>0</x:v>
      </x:c>
      <x:c r="H903" s="168" t="n">
        <x:f>COUNTIF('M06_Orchestration'!D6:D73,"迁移建议")</x:f>
        <x:v>0</x:v>
      </x:c>
      <x:c r="I903" s="168" t="n">
        <x:f>COUNTIF('M06_Orchestration'!D6:D73,"迁移/适配待核")</x:f>
        <x:v>0</x:v>
      </x:c>
    </x:row>
    <x:row r="904" ht="24" customHeight="1">
      <x:c r="A904" s="168" t="str">
        <x:v>M07_Runtime</x:v>
      </x:c>
      <x:c r="B904" s="168" t="n">
        <x:f>COUNTA('M07_Runtime'!C6:C232)</x:f>
        <x:v>227</x:v>
      </x:c>
      <x:c r="C904" s="168" t="n">
        <x:f>COUNTIF('M07_Runtime'!D6:D232,"原有·待核")</x:f>
        <x:v>0</x:v>
      </x:c>
      <x:c r="D904" s="168" t="n">
        <x:f>COUNTIF('M07_Runtime'!D6:D232,"复用待核")</x:f>
        <x:v>0</x:v>
      </x:c>
      <x:c r="E904" s="168" t="n">
        <x:f>COUNTIF('M07_Runtime'!D6:D232,"增构候选·待查重")</x:f>
        <x:v>0</x:v>
      </x:c>
      <x:c r="F904" s="168" t="n">
        <x:f>COUNTIF('M07_Runtime'!D6:D232,"重构建议")</x:f>
        <x:v>0</x:v>
      </x:c>
      <x:c r="G904" s="168" t="n">
        <x:f>COUNTIF('M07_Runtime'!D6:D232,"拆出建议")</x:f>
        <x:v>0</x:v>
      </x:c>
      <x:c r="H904" s="168" t="n">
        <x:f>COUNTIF('M07_Runtime'!D6:D232,"迁移建议")</x:f>
        <x:v>0</x:v>
      </x:c>
      <x:c r="I904" s="168" t="n">
        <x:f>COUNTIF('M07_Runtime'!D6:D232,"迁移/适配待核")</x:f>
        <x:v>0</x:v>
      </x:c>
    </x:row>
    <x:row r="905" ht="24" customHeight="1">
      <x:c r="A905" s="168" t="str">
        <x:v>M08_Lifecycle</x:v>
      </x:c>
      <x:c r="B905" s="168" t="n">
        <x:f>COUNTA('M08_Lifecycle'!C6:C55)</x:f>
        <x:v>50</x:v>
      </x:c>
      <x:c r="C905" s="168" t="n">
        <x:f>COUNTIF('M08_Lifecycle'!D6:D55,"原有·待核")</x:f>
        <x:v>0</x:v>
      </x:c>
      <x:c r="D905" s="168" t="n">
        <x:f>COUNTIF('M08_Lifecycle'!D6:D55,"复用待核")</x:f>
        <x:v>0</x:v>
      </x:c>
      <x:c r="E905" s="168" t="n">
        <x:f>COUNTIF('M08_Lifecycle'!D6:D55,"增构候选·待查重")</x:f>
        <x:v>0</x:v>
      </x:c>
      <x:c r="F905" s="168" t="n">
        <x:f>COUNTIF('M08_Lifecycle'!D6:D55,"重构建议")</x:f>
        <x:v>0</x:v>
      </x:c>
      <x:c r="G905" s="168" t="n">
        <x:f>COUNTIF('M08_Lifecycle'!D6:D55,"拆出建议")</x:f>
        <x:v>0</x:v>
      </x:c>
      <x:c r="H905" s="168" t="n">
        <x:f>COUNTIF('M08_Lifecycle'!D6:D55,"迁移建议")</x:f>
        <x:v>0</x:v>
      </x:c>
      <x:c r="I905" s="168" t="n">
        <x:f>COUNTIF('M08_Lifecycle'!D6:D55,"迁移/适配待核")</x:f>
        <x:v>0</x:v>
      </x:c>
    </x:row>
    <x:row r="906" ht="24" customHeight="1">
      <x:c r="A906" s="168" t="str">
        <x:v>M09_PresentationWpf</x:v>
      </x:c>
      <x:c r="B906" s="168" t="n">
        <x:f>COUNTA('M09_PresentationWpf'!C6:C55)</x:f>
        <x:v>50</x:v>
      </x:c>
      <x:c r="C906" s="168" t="n">
        <x:f>COUNTIF('M09_PresentationWpf'!D6:D55,"原有·待核")</x:f>
        <x:v>0</x:v>
      </x:c>
      <x:c r="D906" s="168" t="n">
        <x:f>COUNTIF('M09_PresentationWpf'!D6:D55,"复用待核")</x:f>
        <x:v>0</x:v>
      </x:c>
      <x:c r="E906" s="168" t="n">
        <x:f>COUNTIF('M09_PresentationWpf'!D6:D55,"增构候选·待查重")</x:f>
        <x:v>0</x:v>
      </x:c>
      <x:c r="F906" s="168" t="n">
        <x:f>COUNTIF('M09_PresentationWpf'!D6:D55,"重构建议")</x:f>
        <x:v>0</x:v>
      </x:c>
      <x:c r="G906" s="168" t="n">
        <x:f>COUNTIF('M09_PresentationWpf'!D6:D55,"拆出建议")</x:f>
        <x:v>0</x:v>
      </x:c>
      <x:c r="H906" s="168" t="n">
        <x:f>COUNTIF('M09_PresentationWpf'!D6:D55,"迁移建议")</x:f>
        <x:v>0</x:v>
      </x:c>
      <x:c r="I906" s="168" t="n">
        <x:f>COUNTIF('M09_PresentationWpf'!D6:D55,"迁移/适配待核")</x:f>
        <x:v>0</x:v>
      </x:c>
    </x:row>
    <x:row r="907" ht="26" customHeight="1">
      <x:c r="A907" s="170" t="str">
        <x:v>合计</x:v>
      </x:c>
      <x:c r="B907" s="170" t="n">
        <x:f>SUM(B890:B906)</x:f>
        <x:v>1755</x:v>
      </x:c>
      <x:c r="C907" s="170" t="n">
        <x:f>SUM(C890:C906)</x:f>
        <x:v>0</x:v>
      </x:c>
      <x:c r="D907" s="170" t="n">
        <x:f>SUM(D890:D906)</x:f>
        <x:v>0</x:v>
      </x:c>
      <x:c r="E907" s="170" t="n">
        <x:f>SUM(E890:E906)</x:f>
        <x:v>0</x:v>
      </x:c>
      <x:c r="F907" s="170" t="n">
        <x:f>SUM(F890:F906)</x:f>
        <x:v>0</x:v>
      </x:c>
      <x:c r="G907" s="170" t="n">
        <x:f>SUM(G890:G906)</x:f>
        <x:v>0</x:v>
      </x:c>
      <x:c r="H907" s="170" t="n">
        <x:f>SUM(H890:H906)</x:f>
        <x:v>0</x:v>
      </x:c>
      <x:c r="I907" s="170" t="n">
        <x:f>SUM(I890:I906)</x:f>
        <x:v>0</x:v>
      </x:c>
    </x:row>
    <x:row r="910">
      <x:c r="A910" t="str">
        <x:v>C. V2.01全平台审核规则引入（本册不扩大到Professional Domain对象详表）</x:v>
      </x:c>
      <x:c r="B910"/>
      <x:c r="C910"/>
      <x:c r="D910"/>
      <x:c r="E910"/>
      <x:c r="F910"/>
      <x:c r="G910"/>
      <x:c r="H910"/>
      <x:c r="I910"/>
    </x:row>
    <x:row r="911">
      <x:c r="A911" t="str">
        <x:v>来源：CxVisual_三方面逐阶段_最终目标架构与类型实施规格_V2.01.xlsx；V2.01以V7.7源码为主，新增V7.8成员仍须再次核证。</x:v>
      </x:c>
      <x:c r="B911"/>
      <x:c r="C911"/>
      <x:c r="D911"/>
      <x:c r="E911"/>
      <x:c r="F911"/>
      <x:c r="G911"/>
      <x:c r="H911"/>
      <x:c r="I911"/>
    </x:row>
    <x:row r="912">
      <x:c r="A912" s="198" t="str">
        <x:v>审核项目</x:v>
      </x:c>
      <x:c r="B912" s="198" t="str">
        <x:v>V2.01基线</x:v>
      </x:c>
      <x:c r="C912" s="198" t="str">
        <x:v>V6.2采用原则</x:v>
      </x:c>
      <x:c r="D912" s="198" t="str">
        <x:v>限制/注意</x:v>
      </x:c>
      <x:c r="E912" s="198" t="str">
        <x:v>核验状态</x:v>
      </x:c>
      <x:c r="F912" s="198" t="str">
        <x:v>来源Sheet</x:v>
      </x:c>
      <x:c r="G912" s="198" t="str">
        <x:v>受影响项目</x:v>
      </x:c>
      <x:c r="H912" s="198" t="str">
        <x:v>验收证据</x:v>
      </x:c>
      <x:c r="I912" s="198" t="str">
        <x:v>备注/特殊</x:v>
      </x:c>
    </x:row>
    <x:row r="913">
      <x:c r="A913" s="199" t="str">
        <x:v>三层目标</x:v>
      </x:c>
      <x:c r="B913" s="199" t="n">
        <x:v>135</x:v>
      </x:c>
      <x:c r="C913" s="199" t="str">
        <x:v>本册重点F22/M40，专业P73留在三方面主规划</x:v>
      </x:c>
      <x:c r="D913" s="199" t="str">
        <x:v>不可把135当本册已实施子方面</x:v>
      </x:c>
      <x:c r="E913" s="199" t="str">
        <x:v>已明确范围</x:v>
      </x:c>
      <x:c r="F913" s="199" t="str">
        <x:v>01_135子方面目标</x:v>
      </x:c>
      <x:c r="G913" s="199" t="str">
        <x:v>F/M/P</x:v>
      </x:c>
      <x:c r="H913" s="199" t="str">
        <x:v>能力出口+正常/异常案例</x:v>
      </x:c>
      <x:c r="I913" s="199" t="str"/>
    </x:row>
    <x:row r="914">
      <x:c r="A914" s="199" t="str">
        <x:v>原始类型身份</x:v>
      </x:c>
      <x:c r="B914" s="199" t="n">
        <x:v>4277</x:v>
      </x:c>
      <x:c r="C914" s="199" t="str">
        <x:v>以原始FQN/程序集/泛型/形态追踪</x:v>
      </x:c>
      <x:c r="D914" s="199" t="str">
        <x:v>3182旧源码+1080规划+15新增，不等于批准生产类</x:v>
      </x:c>
      <x:c r="E914" s="199" t="str">
        <x:v>待V7.8核证</x:v>
      </x:c>
      <x:c r="F914" s="199" t="str">
        <x:v>00_目标总览</x:v>
      </x:c>
      <x:c r="G914" s="199" t="str">
        <x:v>全类型</x:v>
      </x:c>
      <x:c r="H914" s="199" t="str">
        <x:v>类型身份对照</x:v>
      </x:c>
      <x:c r="I914" s="199" t="str">
        <x:v>不能仅依简单类名自动合并</x:v>
      </x:c>
    </x:row>
    <x:row r="915">
      <x:c r="A915" s="199" t="str">
        <x:v>同简名复用线索</x:v>
      </x:c>
      <x:c r="B915" s="199" t="n">
        <x:v>71</x:v>
      </x:c>
      <x:c r="C915" s="199" t="str">
        <x:v>逐项比对API/语义/生命周期</x:v>
      </x:c>
      <x:c r="D915" s="199" t="str">
        <x:v>相同简名不等于同一类型</x:v>
      </x:c>
      <x:c r="E915" s="199" t="str">
        <x:v>待裁决</x:v>
      </x:c>
      <x:c r="F915" s="199" t="str">
        <x:v>14_71同名复用核查</x:v>
      </x:c>
      <x:c r="G915" s="199" t="str">
        <x:v>F/M</x:v>
      </x:c>
      <x:c r="H915" s="199" t="str">
        <x:v>签名+业务行为</x:v>
      </x:c>
      <x:c r="I915" s="199" t="str"/>
    </x:row>
    <x:row r="916">
      <x:c r="A916" s="199" t="str">
        <x:v>建议命名碰撞</x:v>
      </x:c>
      <x:c r="B916" s="199" t="n">
        <x:v>62</x:v>
      </x:c>
      <x:c r="C916" s="199" t="str">
        <x:v>保留原始完整类型名消歧</x:v>
      </x:c>
      <x:c r="D916" s="199" t="str">
        <x:v>不得按建议短名/前缀去重</x:v>
      </x:c>
      <x:c r="E916" s="199" t="str">
        <x:v>待裁决</x:v>
      </x:c>
      <x:c r="F916" s="199" t="str">
        <x:v>15_62建议名碰撞</x:v>
      </x:c>
      <x:c r="G916" s="199" t="str">
        <x:v>F/M</x:v>
      </x:c>
      <x:c r="H916" s="199" t="str">
        <x:v>无误删测试</x:v>
      </x:c>
      <x:c r="I916" s="199" t="str"/>
    </x:row>
    <x:row r="917">
      <x:c r="A917" s="199" t="str">
        <x:v>349历史契约</x:v>
      </x:c>
      <x:c r="B917" s="199" t="n">
        <x:v>349</x:v>
      </x:c>
      <x:c r="C917" s="199" t="str">
        <x:v>保持历史映射且不重复计入类型</x:v>
      </x:c>
      <x:c r="D917" s="199" t="str">
        <x:v>成员/形态需签名级审查</x:v>
      </x:c>
      <x:c r="E917" s="199" t="str">
        <x:v>待核</x:v>
      </x:c>
      <x:c r="F917" s="199" t="str">
        <x:v>16_349基座契约映射</x:v>
      </x:c>
      <x:c r="G917" s="199" t="str">
        <x:v>Mechanism</x:v>
      </x:c>
      <x:c r="H917" s="199" t="str">
        <x:v>兼容往返</x:v>
      </x:c>
      <x:c r="I917" s="199" t="str"/>
    </x:row>
    <x:row r="918">
      <x:c r="A918" s="199" t="str">
        <x:v>155辅助类型</x:v>
      </x:c>
      <x:c r="B918" s="199" t="n">
        <x:v>155</x:v>
      </x:c>
      <x:c r="C918" s="199" t="str">
        <x:v>125测试+30Host独立于F/M/P能力Owner</x:v>
      </x:c>
      <x:c r="D918" s="199" t="str">
        <x:v>具体WPF公共控件项目需重新核对</x:v>
      </x:c>
      <x:c r="E918" s="199" t="str">
        <x:v>待核</x:v>
      </x:c>
      <x:c r="F918" s="199" t="str">
        <x:v>17_155辅助类型隔离</x:v>
      </x:c>
      <x:c r="G918" s="199" t="str">
        <x:v>Host/Tests/WPF</x:v>
      </x:c>
      <x:c r="H918" s="199" t="str">
        <x:v>程序集DAG</x:v>
      </x:c>
      <x:c r="I918" s="199" t="str"/>
    </x:row>
    <x:row r="919">
      <x:c r="A919" s="199" t="str">
        <x:v>新增审批</x:v>
      </x:c>
      <x:c r="B919" s="199" t="n">
        <x:v>15</x:v>
      </x:c>
      <x:c r="C919" s="199" t="str">
        <x:v>须以能力缺口+场景证明必要性</x:v>
      </x:c>
      <x:c r="D919" s="199" t="str">
        <x:v>未审批不算已实现或必须新建</x:v>
      </x:c>
      <x:c r="E919" s="199" t="str">
        <x:v>待裁决</x:v>
      </x:c>
      <x:c r="F919" s="199" t="str">
        <x:v>18_15新增候选审批</x:v>
      </x:c>
      <x:c r="G919" s="199" t="str">
        <x:v>F/M/P</x:v>
      </x:c>
      <x:c r="H919" s="199" t="str">
        <x:v>需求/接口/测试证据</x:v>
      </x:c>
      <x:c r="I919" s="199" t="str"/>
    </x:row>
    <x:row r="920">
      <x:c r="A920" s="199" t="str">
        <x:v>M0</x:v>
      </x:c>
      <x:c r="B920" s="199" t="str">
        <x:v>现状盘点</x:v>
      </x:c>
      <x:c r="C920" s="199" t="str">
        <x:v>统一真实源码身份、宿主/测试隔离</x:v>
      </x:c>
      <x:c r="D920" s="199" t="str">
        <x:v>代码存在≠验收完成</x:v>
      </x:c>
      <x:c r="E920" s="199" t="str">
        <x:v>待验收</x:v>
      </x:c>
      <x:c r="F920" s="199" t="str">
        <x:v>20_M0M7交付门禁</x:v>
      </x:c>
      <x:c r="G920" s="199" t="str">
        <x:v>跨项目</x:v>
      </x:c>
      <x:c r="H920" s="199" t="str">
        <x:v>AST+编译基线</x:v>
      </x:c>
      <x:c r="I920" s="199" t="str"/>
    </x:row>
    <x:row r="921">
      <x:c r="A921" s="199" t="str">
        <x:v>M1</x:v>
      </x:c>
      <x:c r="B921" s="199" t="str">
        <x:v>统一工程</x:v>
      </x:c>
      <x:c r="C921" s="199" t="str">
        <x:v>CxNode/Content/Symbol/引用往返</x:v>
      </x:c>
      <x:c r="D921" s="199" t="str">
        <x:v>无第二持久Graph</x:v>
      </x:c>
      <x:c r="E921" s="199" t="str">
        <x:v>待验收</x:v>
      </x:c>
      <x:c r="F921" s="199" t="str">
        <x:v>20_M0M7交付门禁</x:v>
      </x:c>
      <x:c r="G921" s="199" t="str">
        <x:v>Core/生命周期</x:v>
      </x:c>
      <x:c r="H921" s="199" t="str">
        <x:v>保存/加载/断链</x:v>
      </x:c>
      <x:c r="I921" s="199" t="str"/>
    </x:row>
    <x:row r="922">
      <x:c r="A922" s="199" t="str">
        <x:v>M2</x:v>
      </x:c>
      <x:c r="B922" s="199" t="str">
        <x:v>编排执行</x:v>
      </x:c>
      <x:c r="C922" s="199" t="str">
        <x:v>数据+编译+子流程+执行</x:v>
      </x:c>
      <x:c r="D922" s="199" t="str">
        <x:v>不能只实现Execute()空壳</x:v>
      </x:c>
      <x:c r="E922" s="199" t="str">
        <x:v>待验收</x:v>
      </x:c>
      <x:c r="F922" s="199" t="str">
        <x:v>20_M0M7交付门禁</x:v>
      </x:c>
      <x:c r="G922" s="199" t="str">
        <x:v>Orchestration/Runtime</x:v>
      </x:c>
      <x:c r="H922" s="199" t="str">
        <x:v>正常+异常回放</x:v>
      </x:c>
      <x:c r="I922" s="199" t="str"/>
    </x:row>
    <x:row r="923">
      <x:c r="A923" s="199" t="str">
        <x:v>M3</x:v>
      </x:c>
      <x:c r="B923" s="199" t="str">
        <x:v>可视编辑</x:v>
      </x:c>
      <x:c r="C923" s="199" t="str">
        <x:v>Core模型→Visual编辑→WPF绘制→UndoRedo</x:v>
      </x:c>
      <x:c r="D923" s="199" t="str">
        <x:v>Visual不得依赖WPF</x:v>
      </x:c>
      <x:c r="E923" s="199" t="str">
        <x:v>待验收</x:v>
      </x:c>
      <x:c r="F923" s="199" t="str">
        <x:v>20_M0M7交付门禁</x:v>
      </x:c>
      <x:c r="G923" s="199" t="str">
        <x:v>Core/Visual/WPF</x:v>
      </x:c>
      <x:c r="H923" s="199" t="str">
        <x:v>双画布/事务/保存</x:v>
      </x:c>
      <x:c r="I923" s="199" t="str"/>
    </x:row>
    <x:row r="924">
      <x:c r="A924" s="199" t="str">
        <x:v>M4</x:v>
      </x:c>
      <x:c r="B924" s="199" t="str">
        <x:v>虚拟设备</x:v>
      </x:c>
      <x:c r="C924" s="199" t="str">
        <x:v>虚拟PLC→HMI→故障恢复</x:v>
      </x:c>
      <x:c r="D924" s="199" t="str">
        <x:v>实际硬件另验收</x:v>
      </x:c>
      <x:c r="E924" s="199" t="str">
        <x:v>待验收</x:v>
      </x:c>
      <x:c r="F924" s="199" t="str">
        <x:v>20_M0M7交付门禁</x:v>
      </x:c>
      <x:c r="G924" s="199" t="str">
        <x:v>Connectivity/Simulation</x:v>
      </x:c>
      <x:c r="H924" s="199" t="str">
        <x:v>无硬件闭环</x:v>
      </x:c>
      <x:c r="I924" s="199" t="str"/>
    </x:row>
    <x:row r="925">
      <x:c r="A925" s="199" t="str">
        <x:v>M5</x:v>
      </x:c>
      <x:c r="B925" s="199" t="str">
        <x:v>视觉检测</x:v>
      </x:c>
      <x:c r="C925" s="199" t="str">
        <x:v>图像→算法→缺陷→判定→证据</x:v>
      </x:c>
      <x:c r="D925" s="199" t="str">
        <x:v>算法实现属于Professional.Vision</x:v>
      </x:c>
      <x:c r="E925" s="199" t="str">
        <x:v>待验收</x:v>
      </x:c>
      <x:c r="F925" s="199" t="str">
        <x:v>20_M0M7交付门禁</x:v>
      </x:c>
      <x:c r="G925" s="199" t="str">
        <x:v>Vision/Inspection</x:v>
      </x:c>
      <x:c r="H925" s="199" t="str">
        <x:v>真实标注样本</x:v>
      </x:c>
      <x:c r="I925" s="199" t="str"/>
    </x:row>
    <x:row r="926">
      <x:c r="A926" s="199" t="str">
        <x:v>M6</x:v>
      </x:c>
      <x:c r="B926" s="199" t="str">
        <x:v>CT3D</x:v>
      </x:c>
      <x:c r="C926" s="199" t="str">
        <x:v>采集→重建→体数据→MPR/体绘</x:v>
      </x:c>
      <x:c r="D926" s="199" t="str">
        <x:v>体绘与WPF公共项目独立；2～10GB释放</x:v>
      </x:c>
      <x:c r="E926" s="199" t="str">
        <x:v>待验收</x:v>
      </x:c>
      <x:c r="F926" s="199" t="str">
        <x:v>20_M0M7交付门禁</x:v>
      </x:c>
      <x:c r="G926" s="199" t="str">
        <x:v>Foundation.Volume/CT3D</x:v>
      </x:c>
      <x:c r="H926" s="199" t="str">
        <x:v>大体积异常测试</x:v>
      </x:c>
      <x:c r="I926" s="199" t="str"/>
    </x:row>
    <x:row r="927">
      <x:c r="A927" s="199" t="str">
        <x:v>M7</x:v>
      </x:c>
      <x:c r="B927" s="199" t="str">
        <x:v>整体验收</x:v>
      </x:c>
      <x:c r="C927" s="199" t="str">
        <x:v>5个既有系统+8案例</x:v>
      </x:c>
      <x:c r="D927" s="199" t="str">
        <x:v>仅列类/编译通过不等于完整交付</x:v>
      </x:c>
      <x:c r="E927" s="199" t="str">
        <x:v>待验收</x:v>
      </x:c>
      <x:c r="F927" s="199" t="str">
        <x:v>20_M0M7交付门禁</x:v>
      </x:c>
      <x:c r="G927" s="199" t="str">
        <x:v>F/M/P</x:v>
      </x:c>
      <x:c r="H927" s="199" t="str">
        <x:v>工业闭环与稳定性</x:v>
      </x:c>
      <x:c r="I927" s="199" t="str"/>
    </x:row>
    <x:row r="929" ht="35.25" customHeight="1">
      <x:c r="A929" s="218" t="str">
        <x:v>V6.4补充：重点架构闭环验收</x:v>
      </x:c>
      <x:c r="B929" s="218"/>
      <x:c r="C929" s="218"/>
      <x:c r="D929" s="218"/>
      <x:c r="E929" s="218"/>
      <x:c r="F929" s="218"/>
    </x:row>
    <x:row r="930" ht="35.25" customHeight="1">
      <x:c r="A930" s="218" t="str">
        <x:v>门禁ID</x:v>
      </x:c>
      <x:c r="B930" s="218" t="str">
        <x:v>项目</x:v>
      </x:c>
      <x:c r="C930" s="218" t="str">
        <x:v>对象/能力</x:v>
      </x:c>
      <x:c r="D930" s="218" t="str">
        <x:v>必要验收链</x:v>
      </x:c>
      <x:c r="E930" s="218" t="str">
        <x:v>失败反例</x:v>
      </x:c>
      <x:c r="F930" s="218" t="str">
        <x:v>状态</x:v>
      </x:c>
    </x:row>
    <x:row r="931" ht="35.25" customHeight="1">
      <x:c r="A931" s="217" t="str">
        <x:v>G01</x:v>
      </x:c>
      <x:c r="B931" s="217" t="str">
        <x:v>F_Core</x:v>
      </x:c>
      <x:c r="C931" s="217" t="str">
        <x:v>F01/F02基础运算</x:v>
      </x:c>
      <x:c r="D931" s="217" t="str">
        <x:v>独立单测+边界/并发</x:v>
      </x:c>
      <x:c r="E931" s="217" t="str">
        <x:v>不得引用Mechanism或持有设备全局状态</x:v>
      </x:c>
      <x:c r="F931" s="217" t="str">
        <x:v>待实现/待测试</x:v>
      </x:c>
    </x:row>
    <x:row r="932" ht="35.25" customHeight="1">
      <x:c r="A932" s="217" t="str">
        <x:v>G02</x:v>
      </x:c>
      <x:c r="B932" s="217" t="str">
        <x:v>M_Core</x:v>
      </x:c>
      <x:c r="C932" s="217" t="str">
        <x:v>Project/Page/Content/Symbol/Group/Element</x:v>
      </x:c>
      <x:c r="D932" s="217" t="str">
        <x:v>新建→引用→保存→加载→版本兼容</x:v>
      </x:c>
      <x:c r="E932" s="217" t="str">
        <x:v>不创建第二持久Graph/SymbolDefinition树</x:v>
      </x:c>
      <x:c r="F932" s="217" t="str">
        <x:v>待集成验收</x:v>
      </x:c>
    </x:row>
    <x:row r="933" ht="35.25" customHeight="1">
      <x:c r="A933" s="217" t="str">
        <x:v>G03</x:v>
      </x:c>
      <x:c r="B933" s="217" t="str">
        <x:v>M_Core/M_Visual</x:v>
      </x:c>
      <x:c r="C933" s="217" t="str">
        <x:v>数据事务+可视Undo/Redo</x:v>
      </x:c>
      <x:c r="D933" s="217" t="str">
        <x:v>Group复合编辑→提交→单步撤销→重做</x:v>
      </x:c>
      <x:c r="E933" s="217" t="str">
        <x:v>Core不解释拖动/Handle；Undo须原子</x:v>
      </x:c>
      <x:c r="F933" s="217" t="str">
        <x:v>待集成验收</x:v>
      </x:c>
    </x:row>
    <x:row r="934" ht="35.25" customHeight="1">
      <x:c r="A934" s="217" t="str">
        <x:v>G04</x:v>
      </x:c>
      <x:c r="B934" s="217" t="str">
        <x:v>M_Visual/M_PresentationWpf</x:v>
      </x:c>
      <x:c r="C934" s="217" t="str">
        <x:v>UI无关Visual</x:v>
      </x:c>
      <x:c r="D934" s="217" t="str">
        <x:v>Visual无WPF/WinForms依赖→实际WPF渲染</x:v>
      </x:c>
      <x:c r="E934" s="217" t="str">
        <x:v>命中/选择不可双重Owner</x:v>
      </x:c>
      <x:c r="F934" s="217" t="str">
        <x:v>待源码构建</x:v>
      </x:c>
    </x:row>
    <x:row r="935" ht="35.25" customHeight="1">
      <x:c r="A935" s="217" t="str">
        <x:v>G05</x:v>
      </x:c>
      <x:c r="B935" s="217" t="str">
        <x:v>M_Orchestration</x:v>
      </x:c>
      <x:c r="C935" s="217" t="str">
        <x:v>流程连线语义</x:v>
      </x:c>
      <x:c r="D935" s="217" t="str">
        <x:v>端口约束校验→创建逻辑连接→Diagram投影</x:v>
      </x:c>
      <x:c r="E935" s="217" t="str">
        <x:v>不能画线成功即认定逻辑连接</x:v>
      </x:c>
      <x:c r="F935" s="217" t="str">
        <x:v>待集成验收</x:v>
      </x:c>
    </x:row>
    <x:row r="936" ht="35.25" customHeight="1">
      <x:c r="A936" s="217" t="str">
        <x:v>G06</x:v>
      </x:c>
      <x:c r="B936" s="217" t="str">
        <x:v>M_Data/M_Runtime</x:v>
      </x:c>
      <x:c r="C936" s="217" t="str">
        <x:v>DataHandle/Lease</x:v>
      </x:c>
      <x:c r="D936" s="217" t="str">
        <x:v>2GB~10GB传递、引用、释放和取消</x:v>
      </x:c>
      <x:c r="E936" s="217" t="str">
        <x:v>不得深复制/内存泄漏/悬挂引用</x:v>
      </x:c>
      <x:c r="F936" s="217" t="str">
        <x:v>待压力测试</x:v>
      </x:c>
    </x:row>
    <x:row r="937" ht="35.25" customHeight="1">
      <x:c r="A937" s="217" t="str">
        <x:v>G07</x:v>
      </x:c>
      <x:c r="B937" s="217" t="str">
        <x:v>M_Runtime</x:v>
      </x:c>
      <x:c r="C937" s="217" t="str">
        <x:v>重放外部动作</x:v>
      </x:c>
      <x:c r="D937" s="217" t="str">
        <x:v>幂等标识/副作用补偿/异常恢复</x:v>
      </x:c>
      <x:c r="E937" s="217" t="str">
        <x:v>不可重放未确认幂等的设备动作</x:v>
      </x:c>
      <x:c r="F937" s="217" t="str">
        <x:v>待故障测试</x:v>
      </x:c>
    </x:row>
    <x:row r="938" ht="35.25" customHeight="1">
      <x:c r="A938" s="217" t="str">
        <x:v>G08</x:v>
      </x:c>
      <x:c r="B938" s="217" t="str">
        <x:v>M_Core/M_Lifecycle</x:v>
      </x:c>
      <x:c r="C938" s="217" t="str">
        <x:v>M38模板与M39迁移</x:v>
      </x:c>
      <x:c r="D938" s="217" t="str">
        <x:v>旧格式装载、实例化、保存、再次打开</x:v>
      </x:c>
      <x:c r="E938" s="217" t="str">
        <x:v>与专业工艺/运行生命周期隔离</x:v>
      </x:c>
      <x:c r="F938" s="217" t="str">
        <x:v>待迁移验证</x:v>
      </x:c>
    </x:row>
    <x:row r="939" ht="35.25" customHeight="1">
      <x:c r="A939" s="217" t="str">
        <x:v>G09</x:v>
      </x:c>
      <x:c r="B939" s="217" t="str">
        <x:v>M_Runtime</x:v>
      </x:c>
      <x:c r="C939" s="217" t="str">
        <x:v>M34公共仿真</x:v>
      </x:c>
      <x:c r="D939" s="217" t="str">
        <x:v>模拟时钟、事件、故障注入、恢复</x:v>
      </x:c>
      <x:c r="E939" s="217" t="str">
        <x:v>具体专业虚拟设备不硬编码公共机制</x:v>
      </x:c>
      <x:c r="F939" s="217" t="str">
        <x:v>待专业回归</x:v>
      </x:c>
    </x:row>
    <x:row r="940" ht="35.25" customHeight="1">
      <x:c r="A940" s="217" t="str">
        <x:v>G10</x:v>
      </x:c>
      <x:c r="B940" s="217" t="str">
        <x:v>M_PresentationWpf</x:v>
      </x:c>
      <x:c r="C940" s="217" t="str">
        <x:v>2D绘制和编排</x:v>
      </x:c>
      <x:c r="D940" s="217" t="str">
        <x:v>矩形/Group/Symbol/Diagram共用视图会话</x:v>
      </x:c>
      <x:c r="E940" s="217" t="str">
        <x:v>不依赖Foundation.Volume</x:v>
      </x:c>
      <x:c r="F940" s="217" t="str">
        <x:v>待UI测试</x:v>
      </x:c>
    </x:row>
    <x:row r="941" ht="35.25" customHeight="1">
      <x:c r="A941" s="217" t="str">
        <x:v>G11</x:v>
      </x:c>
      <x:c r="B941" s="217" t="str">
        <x:v>全部项目</x:v>
      </x:c>
      <x:c r="C941" s="217" t="str">
        <x:v>V2.01/V7.8身份</x:v>
      </x:c>
      <x:c r="D941" s="217" t="str">
        <x:v>FQN、程序集、嵌套泛型及形态核对</x:v>
      </x:c>
      <x:c r="E941" s="217" t="str">
        <x:v>仅同名/同文件不是同类型的最终证明</x:v>
      </x:c>
      <x:c r="F941" s="217" t="str">
        <x:v>待源码AST</x:v>
      </x:c>
    </x:row>
    <x:row r="942" ht="35.25" customHeight="1">
      <x:c r="A942" s="217" t="str">
        <x:v>G12</x:v>
      </x:c>
      <x:c r="B942" s="217" t="str">
        <x:v>全部项目</x:v>
      </x:c>
      <x:c r="C942" s="217" t="str">
        <x:v>公开API可编译</x:v>
      </x:c>
      <x:c r="D942" s="217" t="str">
        <x:v>签名/返回/异常/线程/生命周期完整</x:v>
      </x:c>
      <x:c r="E942" s="217" t="str">
        <x:v>旧方法词条不能充作完整公开API</x:v>
      </x:c>
      <x:c r="F942" s="217" t="str">
        <x:v>待编码验收</x:v>
      </x:c>
    </x:row>
  </x:sheetData>
  <x:mergeCells>
    <x:mergeCell ref="A1:I1"/>
    <x:mergeCell ref="A887:I887"/>
    <x:mergeCell ref="A888:I888"/>
  </x:mergeCells>
  <x:pageMargins left="0.7" right="0.7" top="0.75" bottom="0.75" header="0.3" footer="0.3"/>
</x:worksheet>
</file>